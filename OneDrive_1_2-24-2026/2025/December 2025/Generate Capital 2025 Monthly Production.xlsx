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2" documentId="13_ncr:1_{D98336C7-1A8B-4C8F-BB4C-2EDBA7475AE5}" xr6:coauthVersionLast="47" xr6:coauthVersionMax="47" xr10:uidLastSave="{04C45411-1586-4A7B-9CFE-E6506C12C5A2}"/>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32" l="1"/>
  <c r="J172" i="29"/>
  <c r="J173" i="29"/>
  <c r="I172" i="29"/>
  <c r="I173" i="29"/>
  <c r="H172" i="29"/>
  <c r="H173" i="29"/>
  <c r="G172" i="29"/>
  <c r="G173" i="29"/>
  <c r="F172" i="29"/>
  <c r="F173" i="29"/>
  <c r="E172" i="29"/>
  <c r="E173" i="29"/>
  <c r="D172" i="29"/>
  <c r="D173" i="29"/>
  <c r="C172" i="29"/>
  <c r="C173" i="29"/>
  <c r="J171" i="18"/>
  <c r="J172" i="18"/>
  <c r="J173" i="18"/>
  <c r="G171" i="18"/>
  <c r="G172" i="18"/>
  <c r="G173" i="18"/>
  <c r="I172" i="18"/>
  <c r="I173" i="18"/>
  <c r="H172" i="18"/>
  <c r="H173" i="18"/>
  <c r="F172" i="18"/>
  <c r="F173" i="18"/>
  <c r="E172" i="18"/>
  <c r="E173" i="18"/>
  <c r="D172" i="18"/>
  <c r="D173" i="18"/>
  <c r="C172" i="18"/>
  <c r="C173" i="18"/>
  <c r="I172" i="1"/>
  <c r="I173" i="1"/>
  <c r="H172" i="1"/>
  <c r="H173" i="1"/>
  <c r="F172" i="1"/>
  <c r="F173" i="1"/>
  <c r="E172" i="1"/>
  <c r="E173" i="1"/>
  <c r="D172" i="1"/>
  <c r="D173" i="1"/>
  <c r="C171" i="1"/>
  <c r="C172" i="1"/>
  <c r="C173" i="1"/>
  <c r="H2" i="29"/>
  <c r="H171" i="30"/>
  <c r="H172" i="30"/>
  <c r="H172" i="34" s="1"/>
  <c r="H173" i="30"/>
  <c r="H173" i="34" s="1"/>
  <c r="E2" i="29"/>
  <c r="E172" i="30"/>
  <c r="E172" i="34" s="1"/>
  <c r="E173" i="30"/>
  <c r="D172" i="30"/>
  <c r="D173" i="30"/>
  <c r="C172" i="30"/>
  <c r="C173" i="30"/>
  <c r="D2" i="29"/>
  <c r="E173" i="34"/>
  <c r="D172" i="34"/>
  <c r="D173" i="34"/>
  <c r="C171" i="34"/>
  <c r="C172" i="34"/>
  <c r="C173" i="34"/>
  <c r="I158" i="33"/>
  <c r="J158" i="33" s="1"/>
  <c r="I159" i="33"/>
  <c r="J159" i="33" s="1"/>
  <c r="I160" i="33"/>
  <c r="J160" i="33" s="1"/>
  <c r="I161" i="33"/>
  <c r="J161" i="33" s="1"/>
  <c r="I162" i="33"/>
  <c r="J162" i="33" s="1"/>
  <c r="I163" i="33"/>
  <c r="J163" i="33" s="1"/>
  <c r="I164" i="33"/>
  <c r="J164" i="33" s="1"/>
  <c r="I165" i="33"/>
  <c r="J165" i="33" s="1"/>
  <c r="I166" i="33"/>
  <c r="J166" i="33" s="1"/>
  <c r="I167" i="33"/>
  <c r="J167" i="33" s="1"/>
  <c r="I168" i="33"/>
  <c r="J168" i="33" s="1"/>
  <c r="I169" i="33"/>
  <c r="J169" i="33" s="1"/>
  <c r="I170" i="33"/>
  <c r="J170" i="33" s="1"/>
  <c r="I171" i="33"/>
  <c r="J171" i="33" s="1"/>
  <c r="I172" i="33"/>
  <c r="J172" i="33" s="1"/>
  <c r="I173" i="33"/>
  <c r="J173" i="33" s="1"/>
  <c r="F159" i="33"/>
  <c r="G159" i="33" s="1"/>
  <c r="F160" i="33"/>
  <c r="G160" i="33" s="1"/>
  <c r="F161" i="33"/>
  <c r="G161" i="33" s="1"/>
  <c r="F162" i="33"/>
  <c r="G162" i="33" s="1"/>
  <c r="F163" i="33"/>
  <c r="G163" i="33" s="1"/>
  <c r="F164" i="33"/>
  <c r="G164" i="33" s="1"/>
  <c r="F165" i="33"/>
  <c r="G165" i="33" s="1"/>
  <c r="F166" i="33"/>
  <c r="G166" i="33" s="1"/>
  <c r="F167" i="33"/>
  <c r="G167" i="33" s="1"/>
  <c r="F168" i="33"/>
  <c r="G168" i="33" s="1"/>
  <c r="F169" i="33"/>
  <c r="G169" i="33" s="1"/>
  <c r="F170" i="33"/>
  <c r="G170" i="33" s="1"/>
  <c r="F171" i="33"/>
  <c r="G171" i="33" s="1"/>
  <c r="F172" i="33"/>
  <c r="G172" i="33" s="1"/>
  <c r="F173" i="33"/>
  <c r="G173" i="33" s="1"/>
  <c r="H2" i="33"/>
  <c r="E2" i="33"/>
  <c r="E2" i="28"/>
  <c r="D2" i="28"/>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H2" i="32"/>
  <c r="E2" i="32"/>
  <c r="D2" i="32"/>
  <c r="D2" i="33"/>
  <c r="J171" i="32"/>
  <c r="J172" i="32"/>
  <c r="I171" i="32"/>
  <c r="I172" i="32"/>
  <c r="C172" i="32"/>
  <c r="C167" i="29"/>
  <c r="C168" i="29"/>
  <c r="C169" i="29"/>
  <c r="C170" i="29"/>
  <c r="C171" i="29"/>
  <c r="J167" i="18"/>
  <c r="J168" i="18"/>
  <c r="J169" i="18"/>
  <c r="J170" i="18"/>
  <c r="I167" i="18"/>
  <c r="I168" i="18"/>
  <c r="I169" i="18"/>
  <c r="I170" i="18"/>
  <c r="I171" i="18"/>
  <c r="H167" i="18"/>
  <c r="H168" i="18"/>
  <c r="H169" i="18"/>
  <c r="H170" i="18"/>
  <c r="H171" i="18"/>
  <c r="G167" i="18"/>
  <c r="F167" i="18"/>
  <c r="F168" i="18"/>
  <c r="G168" i="18" s="1"/>
  <c r="F169" i="18"/>
  <c r="G169" i="18" s="1"/>
  <c r="F170" i="18"/>
  <c r="G170" i="18" s="1"/>
  <c r="F171" i="18"/>
  <c r="E167" i="18"/>
  <c r="E168" i="18"/>
  <c r="E169" i="18"/>
  <c r="E170" i="18"/>
  <c r="E171" i="18"/>
  <c r="D167" i="18"/>
  <c r="D168" i="18"/>
  <c r="D169" i="18"/>
  <c r="D170" i="18"/>
  <c r="D171" i="18"/>
  <c r="C167" i="18"/>
  <c r="C168" i="18"/>
  <c r="C169" i="18"/>
  <c r="C170" i="18"/>
  <c r="C171" i="18"/>
  <c r="J165" i="1"/>
  <c r="J166" i="1"/>
  <c r="J167" i="1"/>
  <c r="J168" i="1"/>
  <c r="J169" i="1"/>
  <c r="J170" i="1"/>
  <c r="J171" i="1"/>
  <c r="I165" i="1"/>
  <c r="I166" i="1"/>
  <c r="I167" i="1"/>
  <c r="I168" i="1"/>
  <c r="I169" i="1"/>
  <c r="I170" i="1"/>
  <c r="I171" i="1"/>
  <c r="H165" i="1"/>
  <c r="H166" i="1"/>
  <c r="H167" i="1"/>
  <c r="H168" i="1"/>
  <c r="H169" i="1"/>
  <c r="H170" i="1"/>
  <c r="H171" i="1"/>
  <c r="G165" i="1"/>
  <c r="G166" i="1"/>
  <c r="G167" i="1"/>
  <c r="G168" i="1"/>
  <c r="G169" i="1"/>
  <c r="G170" i="1"/>
  <c r="G171" i="1"/>
  <c r="F165" i="1"/>
  <c r="F166" i="1"/>
  <c r="F167" i="1"/>
  <c r="F168" i="1"/>
  <c r="F169" i="1"/>
  <c r="F170" i="1"/>
  <c r="F171" i="1"/>
  <c r="E165" i="1"/>
  <c r="E166" i="1"/>
  <c r="E167" i="1"/>
  <c r="E168" i="1"/>
  <c r="E169" i="1"/>
  <c r="E170" i="1"/>
  <c r="E171" i="1"/>
  <c r="C167" i="1"/>
  <c r="C168" i="1"/>
  <c r="C169" i="1"/>
  <c r="C170" i="1"/>
  <c r="D165" i="1"/>
  <c r="D166" i="1"/>
  <c r="D167" i="1"/>
  <c r="D168" i="1"/>
  <c r="D169" i="1"/>
  <c r="D170" i="1"/>
  <c r="D171" i="1"/>
  <c r="F173" i="30" l="1"/>
  <c r="G173" i="30" s="1"/>
  <c r="F172" i="34"/>
  <c r="G172" i="34" s="1"/>
  <c r="F172" i="30"/>
  <c r="G172" i="30" s="1"/>
  <c r="F173" i="34"/>
  <c r="G173" i="34" s="1"/>
  <c r="I173" i="30"/>
  <c r="I172" i="30"/>
  <c r="I171" i="30"/>
  <c r="J171" i="30" s="1"/>
  <c r="J166" i="29"/>
  <c r="J167" i="29"/>
  <c r="J168" i="29"/>
  <c r="J169" i="29"/>
  <c r="J170" i="29"/>
  <c r="J171" i="29"/>
  <c r="I167" i="29"/>
  <c r="I168" i="29"/>
  <c r="I169" i="29"/>
  <c r="I170" i="29"/>
  <c r="I171" i="29"/>
  <c r="H167" i="29"/>
  <c r="H168" i="29"/>
  <c r="H169" i="29"/>
  <c r="H170" i="29"/>
  <c r="H171" i="29"/>
  <c r="G167" i="29"/>
  <c r="G168" i="29"/>
  <c r="G169" i="29"/>
  <c r="G170" i="29"/>
  <c r="G171" i="29"/>
  <c r="F167" i="29"/>
  <c r="F168" i="29"/>
  <c r="F169" i="29"/>
  <c r="F170" i="29"/>
  <c r="F171" i="29"/>
  <c r="E167" i="29"/>
  <c r="E168" i="29"/>
  <c r="E169" i="29"/>
  <c r="E170" i="29"/>
  <c r="E171" i="29"/>
  <c r="D167" i="29"/>
  <c r="D168" i="29"/>
  <c r="D169" i="29"/>
  <c r="D170" i="29"/>
  <c r="D171" i="29"/>
  <c r="H2" i="18"/>
  <c r="E2" i="18"/>
  <c r="D2" i="18"/>
  <c r="H2" i="1"/>
  <c r="E2" i="1"/>
  <c r="D2" i="1"/>
  <c r="E159" i="1"/>
  <c r="D155" i="1"/>
  <c r="J173" i="30" l="1"/>
  <c r="I173" i="34"/>
  <c r="J173" i="34" s="1"/>
  <c r="J172" i="30"/>
  <c r="I172" i="34"/>
  <c r="J172" i="34" s="1"/>
  <c r="I160" i="32"/>
  <c r="J160" i="32" s="1"/>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F159" i="32"/>
  <c r="G159" i="32" s="1"/>
  <c r="I159" i="32"/>
  <c r="J159" i="32" s="1"/>
  <c r="F160" i="32"/>
  <c r="G160" i="32" s="1"/>
  <c r="F161" i="32"/>
  <c r="G161" i="32" s="1"/>
  <c r="I161" i="32"/>
  <c r="J161" i="32" s="1"/>
  <c r="F162" i="32"/>
  <c r="G162" i="32" s="1"/>
  <c r="I162" i="32"/>
  <c r="J162" i="32" s="1"/>
  <c r="F163" i="32"/>
  <c r="G163" i="32" s="1"/>
  <c r="I163" i="32"/>
  <c r="J163" i="32" s="1"/>
  <c r="F164" i="32"/>
  <c r="G164" i="32" s="1"/>
  <c r="I164" i="32"/>
  <c r="J164" i="32" s="1"/>
  <c r="F165" i="32"/>
  <c r="G165" i="32" s="1"/>
  <c r="I165" i="32"/>
  <c r="J165" i="32" s="1"/>
  <c r="F166" i="32"/>
  <c r="G166" i="32" s="1"/>
  <c r="I166" i="32"/>
  <c r="I166" i="30" s="1"/>
  <c r="F167" i="32"/>
  <c r="G167" i="32" s="1"/>
  <c r="I167" i="32"/>
  <c r="J167" i="32"/>
  <c r="F168" i="32"/>
  <c r="G168" i="32" s="1"/>
  <c r="I168" i="32"/>
  <c r="J168" i="32" s="1"/>
  <c r="F169" i="32"/>
  <c r="G169" i="32"/>
  <c r="I169" i="32"/>
  <c r="I169" i="30" s="1"/>
  <c r="J169" i="32"/>
  <c r="F170" i="32"/>
  <c r="G170" i="32" s="1"/>
  <c r="I170" i="32"/>
  <c r="J170" i="32" s="1"/>
  <c r="F171" i="32"/>
  <c r="G171" i="32" s="1"/>
  <c r="C167" i="34"/>
  <c r="C168" i="34"/>
  <c r="C169" i="34"/>
  <c r="C170" i="34"/>
  <c r="C159" i="30"/>
  <c r="C160" i="30"/>
  <c r="C161" i="30"/>
  <c r="C162" i="30"/>
  <c r="C163" i="30"/>
  <c r="C164" i="30"/>
  <c r="C165" i="30"/>
  <c r="C166" i="30"/>
  <c r="C167" i="30"/>
  <c r="C168" i="30"/>
  <c r="C169" i="30"/>
  <c r="C170" i="30"/>
  <c r="C171" i="30"/>
  <c r="I160" i="30"/>
  <c r="I164" i="30"/>
  <c r="I164" i="34" s="1"/>
  <c r="I167" i="30"/>
  <c r="I167" i="34" s="1"/>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5" i="34" s="1"/>
  <c r="H166" i="30"/>
  <c r="H166" i="34" s="1"/>
  <c r="H167" i="30"/>
  <c r="H167" i="34" s="1"/>
  <c r="H168" i="30"/>
  <c r="H168" i="34" s="1"/>
  <c r="H169" i="30"/>
  <c r="H169" i="34" s="1"/>
  <c r="H170" i="30"/>
  <c r="H170" i="34" s="1"/>
  <c r="H171" i="34"/>
  <c r="H5" i="30"/>
  <c r="H4"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6" i="34" s="1"/>
  <c r="E167" i="30"/>
  <c r="E167" i="34" s="1"/>
  <c r="E168" i="30"/>
  <c r="E168" i="34" s="1"/>
  <c r="E169" i="30"/>
  <c r="E169" i="34" s="1"/>
  <c r="E170" i="30"/>
  <c r="E170" i="34" s="1"/>
  <c r="E171" i="30"/>
  <c r="E4" i="30"/>
  <c r="E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5" i="34" s="1"/>
  <c r="D156" i="30"/>
  <c r="D157" i="30"/>
  <c r="D158" i="30"/>
  <c r="D159" i="30"/>
  <c r="D160" i="30"/>
  <c r="D161" i="30"/>
  <c r="D162" i="30"/>
  <c r="D163" i="30"/>
  <c r="D164" i="30"/>
  <c r="D165" i="30"/>
  <c r="D166" i="30"/>
  <c r="D167" i="30"/>
  <c r="D167" i="34" s="1"/>
  <c r="D168" i="30"/>
  <c r="D168" i="34" s="1"/>
  <c r="F168" i="34" s="1"/>
  <c r="G168" i="34" s="1"/>
  <c r="D169" i="30"/>
  <c r="D169" i="34" s="1"/>
  <c r="D170" i="30"/>
  <c r="D170" i="34" s="1"/>
  <c r="D171" i="30"/>
  <c r="D171" i="34" s="1"/>
  <c r="D5" i="30"/>
  <c r="D4" i="30"/>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J171" i="31" s="1"/>
  <c r="F159" i="31"/>
  <c r="G159" i="31" s="1"/>
  <c r="F160" i="31"/>
  <c r="G160" i="31" s="1"/>
  <c r="F161" i="31"/>
  <c r="G161" i="31" s="1"/>
  <c r="F162" i="31"/>
  <c r="G162" i="31" s="1"/>
  <c r="F163" i="31"/>
  <c r="G163" i="31" s="1"/>
  <c r="F164" i="31"/>
  <c r="G164" i="31" s="1"/>
  <c r="F165" i="31"/>
  <c r="G165" i="31" s="1"/>
  <c r="F166" i="31"/>
  <c r="G166" i="31" s="1"/>
  <c r="F167" i="31"/>
  <c r="G167" i="31" s="1"/>
  <c r="F168" i="31"/>
  <c r="G168" i="31" s="1"/>
  <c r="F169" i="31"/>
  <c r="G169" i="31" s="1"/>
  <c r="F170" i="31"/>
  <c r="G170" i="31" s="1"/>
  <c r="F171" i="31"/>
  <c r="G171" i="31" s="1"/>
  <c r="I127" i="31"/>
  <c r="C167" i="31"/>
  <c r="C168" i="31"/>
  <c r="C169" i="31"/>
  <c r="C170" i="31"/>
  <c r="C171"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5" i="29"/>
  <c r="D165" i="29"/>
  <c r="F165" i="29" s="1"/>
  <c r="G165" i="29" s="1"/>
  <c r="E165" i="29"/>
  <c r="H165" i="29"/>
  <c r="I165" i="29"/>
  <c r="J165" i="29"/>
  <c r="C166" i="29"/>
  <c r="D166" i="29"/>
  <c r="F166" i="29" s="1"/>
  <c r="G166" i="29" s="1"/>
  <c r="E166" i="29"/>
  <c r="H166" i="29"/>
  <c r="I166" i="29"/>
  <c r="C159" i="18"/>
  <c r="D159" i="18"/>
  <c r="F159" i="18" s="1"/>
  <c r="G159" i="18" s="1"/>
  <c r="E159" i="18"/>
  <c r="H159" i="18"/>
  <c r="I159" i="18"/>
  <c r="J159" i="18"/>
  <c r="C160" i="18"/>
  <c r="D160" i="18"/>
  <c r="F160" i="18" s="1"/>
  <c r="G160" i="18" s="1"/>
  <c r="E160" i="18"/>
  <c r="H160" i="18"/>
  <c r="I160" i="18"/>
  <c r="J160" i="18"/>
  <c r="C161" i="18"/>
  <c r="D161" i="18"/>
  <c r="F161" i="18" s="1"/>
  <c r="G161" i="18" s="1"/>
  <c r="E161" i="18"/>
  <c r="H161" i="18"/>
  <c r="I161" i="18"/>
  <c r="J161" i="18"/>
  <c r="C162" i="18"/>
  <c r="D162" i="18"/>
  <c r="F162" i="18" s="1"/>
  <c r="G162" i="18" s="1"/>
  <c r="E162" i="18"/>
  <c r="H162" i="18"/>
  <c r="I162" i="18"/>
  <c r="J162" i="18"/>
  <c r="C163" i="18"/>
  <c r="D163" i="18"/>
  <c r="F163" i="18" s="1"/>
  <c r="G163" i="18" s="1"/>
  <c r="E163" i="18"/>
  <c r="H163" i="18"/>
  <c r="I163" i="18"/>
  <c r="J163" i="18"/>
  <c r="C164" i="18"/>
  <c r="D164" i="18"/>
  <c r="F164" i="18" s="1"/>
  <c r="G164" i="18" s="1"/>
  <c r="E164" i="18"/>
  <c r="H164" i="18"/>
  <c r="I164" i="18"/>
  <c r="J164" i="18"/>
  <c r="C165" i="18"/>
  <c r="D165" i="18"/>
  <c r="F165" i="18" s="1"/>
  <c r="G165" i="18" s="1"/>
  <c r="E165" i="18"/>
  <c r="H165" i="18"/>
  <c r="I165" i="18"/>
  <c r="J165" i="18"/>
  <c r="C166" i="18"/>
  <c r="D166" i="18"/>
  <c r="F166" i="18" s="1"/>
  <c r="G166" i="18" s="1"/>
  <c r="E166" i="18"/>
  <c r="H166" i="18"/>
  <c r="I166" i="18"/>
  <c r="J166" i="18"/>
  <c r="C165" i="1"/>
  <c r="C166" i="1"/>
  <c r="C165" i="34"/>
  <c r="C166" i="34"/>
  <c r="E165" i="34" l="1"/>
  <c r="F164" i="30"/>
  <c r="G164" i="30" s="1"/>
  <c r="F163" i="30"/>
  <c r="G163" i="30" s="1"/>
  <c r="F162" i="30"/>
  <c r="G162" i="30" s="1"/>
  <c r="F161" i="30"/>
  <c r="G161" i="30" s="1"/>
  <c r="E2" i="30"/>
  <c r="I161" i="30"/>
  <c r="J161" i="30" s="1"/>
  <c r="F159" i="30"/>
  <c r="G159" i="30" s="1"/>
  <c r="I162" i="30"/>
  <c r="J162" i="30" s="1"/>
  <c r="F160" i="30"/>
  <c r="G160" i="30" s="1"/>
  <c r="D2" i="30"/>
  <c r="H2" i="30"/>
  <c r="F169" i="34"/>
  <c r="G169" i="34" s="1"/>
  <c r="F167" i="34"/>
  <c r="G167" i="34" s="1"/>
  <c r="J169" i="30"/>
  <c r="I166" i="34"/>
  <c r="J166" i="34" s="1"/>
  <c r="J166" i="30"/>
  <c r="J166" i="32"/>
  <c r="F165" i="30"/>
  <c r="G165" i="30" s="1"/>
  <c r="F171" i="30"/>
  <c r="G171" i="30" s="1"/>
  <c r="J164" i="30"/>
  <c r="I163" i="30"/>
  <c r="J163" i="30" s="1"/>
  <c r="J160" i="30"/>
  <c r="I171" i="34"/>
  <c r="J171" i="34" s="1"/>
  <c r="E171" i="34"/>
  <c r="F171" i="34" s="1"/>
  <c r="G171" i="34" s="1"/>
  <c r="F166" i="30"/>
  <c r="G166" i="30" s="1"/>
  <c r="I159" i="30"/>
  <c r="J159" i="30" s="1"/>
  <c r="I168" i="30"/>
  <c r="I168" i="34" s="1"/>
  <c r="J168" i="34" s="1"/>
  <c r="I170" i="30"/>
  <c r="J170" i="30" s="1"/>
  <c r="F170" i="34"/>
  <c r="G170" i="34" s="1"/>
  <c r="J167" i="34"/>
  <c r="I165" i="30"/>
  <c r="F170" i="30"/>
  <c r="G170" i="30" s="1"/>
  <c r="I169" i="34"/>
  <c r="J169" i="34" s="1"/>
  <c r="F169" i="30"/>
  <c r="G169" i="30" s="1"/>
  <c r="F168" i="30"/>
  <c r="G168" i="30" s="1"/>
  <c r="F167" i="30"/>
  <c r="G167" i="30" s="1"/>
  <c r="J167" i="30"/>
  <c r="D165" i="34"/>
  <c r="F165" i="34" s="1"/>
  <c r="G165" i="34" s="1"/>
  <c r="D166" i="34"/>
  <c r="F166" i="34" s="1"/>
  <c r="G166" i="34" s="1"/>
  <c r="G165" i="28"/>
  <c r="J168" i="30" l="1"/>
  <c r="I170" i="34"/>
  <c r="J170" i="34" s="1"/>
  <c r="J165" i="30"/>
  <c r="I165" i="34"/>
  <c r="J165" i="34" s="1"/>
  <c r="J164" i="28"/>
  <c r="J165" i="28"/>
  <c r="I166" i="28"/>
  <c r="J166" i="28" s="1"/>
  <c r="F163" i="28"/>
  <c r="F164" i="28"/>
  <c r="F165" i="28"/>
  <c r="F166" i="28"/>
  <c r="G166" i="28" s="1"/>
  <c r="C165" i="28"/>
  <c r="C166" i="28"/>
  <c r="I133" i="28"/>
  <c r="F132" i="28"/>
  <c r="F133" i="28"/>
  <c r="F90" i="28"/>
  <c r="J14" i="28"/>
  <c r="F136" i="28"/>
  <c r="F137" i="28"/>
  <c r="F138" i="28"/>
  <c r="F139" i="28"/>
  <c r="G50" i="28" l="1"/>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F162" i="28"/>
  <c r="G163" i="28"/>
  <c r="G164" i="28"/>
  <c r="F36" i="28"/>
  <c r="G34" i="28"/>
  <c r="G35" i="28"/>
  <c r="C22" i="28"/>
  <c r="G159" i="28"/>
  <c r="I159" i="28"/>
  <c r="J159" i="28"/>
  <c r="F160" i="28"/>
  <c r="G160" i="28"/>
  <c r="I160" i="28"/>
  <c r="J160" i="28"/>
  <c r="G161" i="28"/>
  <c r="I161" i="28"/>
  <c r="J161" i="28"/>
  <c r="G162" i="28"/>
  <c r="I162" i="28"/>
  <c r="J162" i="28"/>
  <c r="I163" i="28"/>
  <c r="J163" i="28" s="1"/>
  <c r="I164" i="28"/>
  <c r="I164" i="29"/>
  <c r="H164" i="29"/>
  <c r="I162" i="29"/>
  <c r="H159" i="29"/>
  <c r="H160" i="29"/>
  <c r="H161" i="29"/>
  <c r="H162" i="29"/>
  <c r="H163" i="29"/>
  <c r="E159" i="29"/>
  <c r="E160" i="29"/>
  <c r="E161" i="29"/>
  <c r="E162" i="29"/>
  <c r="E163" i="29"/>
  <c r="E164" i="29"/>
  <c r="D159" i="29"/>
  <c r="F159" i="29" s="1"/>
  <c r="G159" i="29" s="1"/>
  <c r="D160" i="29"/>
  <c r="F160" i="29" s="1"/>
  <c r="G160" i="29" s="1"/>
  <c r="D161" i="29"/>
  <c r="F161" i="29" s="1"/>
  <c r="G161" i="29" s="1"/>
  <c r="D162" i="29"/>
  <c r="F162" i="29" s="1"/>
  <c r="G162" i="29" s="1"/>
  <c r="D163" i="29"/>
  <c r="D164" i="29"/>
  <c r="C159" i="29"/>
  <c r="C160" i="29"/>
  <c r="C161" i="29"/>
  <c r="C162" i="29"/>
  <c r="C163" i="29"/>
  <c r="C164" i="29"/>
  <c r="J155" i="26"/>
  <c r="J156" i="26"/>
  <c r="J157" i="26"/>
  <c r="J158" i="26"/>
  <c r="J162" i="26"/>
  <c r="J163" i="26"/>
  <c r="J164" i="26"/>
  <c r="I156" i="26"/>
  <c r="I157" i="26"/>
  <c r="I158" i="26"/>
  <c r="I159" i="26"/>
  <c r="I159" i="29" s="1"/>
  <c r="J159" i="29" s="1"/>
  <c r="I160" i="26"/>
  <c r="I160" i="29" s="1"/>
  <c r="J160" i="29" s="1"/>
  <c r="I161" i="26"/>
  <c r="I161" i="29" s="1"/>
  <c r="J161" i="29" s="1"/>
  <c r="I162" i="26"/>
  <c r="I163" i="26"/>
  <c r="I164" i="26"/>
  <c r="G159" i="26"/>
  <c r="G160" i="26"/>
  <c r="G162" i="26"/>
  <c r="G163" i="26"/>
  <c r="G164" i="26"/>
  <c r="F159" i="26"/>
  <c r="F160" i="26"/>
  <c r="F161" i="26"/>
  <c r="G161" i="26" s="1"/>
  <c r="F162" i="26"/>
  <c r="F163" i="26"/>
  <c r="F164" i="26"/>
  <c r="C159" i="26"/>
  <c r="C160" i="26"/>
  <c r="C161" i="26"/>
  <c r="C162" i="26"/>
  <c r="C163" i="26"/>
  <c r="C164" i="26"/>
  <c r="J158" i="19"/>
  <c r="J160" i="19"/>
  <c r="J161" i="19"/>
  <c r="J162" i="19"/>
  <c r="J163" i="19"/>
  <c r="J164" i="19"/>
  <c r="I158" i="19"/>
  <c r="I159" i="19"/>
  <c r="J159" i="19" s="1"/>
  <c r="I160" i="19"/>
  <c r="I161" i="19"/>
  <c r="I162" i="19"/>
  <c r="I163" i="19"/>
  <c r="I164" i="19"/>
  <c r="G158" i="19"/>
  <c r="G160" i="19"/>
  <c r="G161" i="19"/>
  <c r="G162" i="19"/>
  <c r="G163" i="19"/>
  <c r="G164" i="19"/>
  <c r="F158" i="19"/>
  <c r="F159" i="19"/>
  <c r="G159" i="19" s="1"/>
  <c r="F160" i="19"/>
  <c r="F161" i="19"/>
  <c r="F162" i="19"/>
  <c r="F163" i="19"/>
  <c r="F164" i="19"/>
  <c r="J152" i="20"/>
  <c r="J153" i="20"/>
  <c r="J154" i="20"/>
  <c r="J155" i="20"/>
  <c r="J156" i="20"/>
  <c r="J157" i="20"/>
  <c r="J158" i="20"/>
  <c r="J162" i="20"/>
  <c r="J163" i="20"/>
  <c r="J164" i="20"/>
  <c r="I152" i="20"/>
  <c r="I153" i="20"/>
  <c r="I154" i="20"/>
  <c r="I155" i="20"/>
  <c r="I156" i="20"/>
  <c r="I157" i="20"/>
  <c r="I158" i="20"/>
  <c r="I159" i="20"/>
  <c r="J159" i="20" s="1"/>
  <c r="I160" i="20"/>
  <c r="J160" i="20" s="1"/>
  <c r="I161" i="20"/>
  <c r="J161" i="20" s="1"/>
  <c r="I162" i="20"/>
  <c r="I163" i="20"/>
  <c r="I164" i="20"/>
  <c r="G144" i="20"/>
  <c r="G145" i="20"/>
  <c r="G146" i="20"/>
  <c r="G147" i="20"/>
  <c r="G148" i="20"/>
  <c r="G149" i="20"/>
  <c r="G150" i="20"/>
  <c r="G151" i="20"/>
  <c r="G152" i="20"/>
  <c r="G153" i="20"/>
  <c r="G154" i="20"/>
  <c r="G155" i="20"/>
  <c r="G156" i="20"/>
  <c r="G157" i="20"/>
  <c r="G158" i="20"/>
  <c r="G161" i="20"/>
  <c r="G162" i="20"/>
  <c r="G163" i="20"/>
  <c r="G164"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G159" i="20" s="1"/>
  <c r="F160" i="20"/>
  <c r="G160" i="20" s="1"/>
  <c r="F161" i="20"/>
  <c r="F162" i="20"/>
  <c r="F163" i="20"/>
  <c r="F164" i="20"/>
  <c r="C159" i="20"/>
  <c r="C160" i="20"/>
  <c r="C161" i="20"/>
  <c r="C162" i="20"/>
  <c r="C163" i="20"/>
  <c r="C164" i="20"/>
  <c r="J158" i="21"/>
  <c r="J159" i="21"/>
  <c r="J162" i="21"/>
  <c r="J163" i="21"/>
  <c r="J164" i="21"/>
  <c r="I158" i="21"/>
  <c r="I159" i="21"/>
  <c r="I160" i="21"/>
  <c r="J160" i="21" s="1"/>
  <c r="I161" i="21"/>
  <c r="J161" i="21" s="1"/>
  <c r="I162" i="21"/>
  <c r="I163" i="21"/>
  <c r="I164" i="21"/>
  <c r="G158" i="21"/>
  <c r="G161" i="21"/>
  <c r="G162" i="21"/>
  <c r="G163" i="21"/>
  <c r="G164" i="21"/>
  <c r="F158" i="21"/>
  <c r="F159" i="21"/>
  <c r="G159" i="21" s="1"/>
  <c r="F160" i="21"/>
  <c r="G160" i="21" s="1"/>
  <c r="F161" i="21"/>
  <c r="F162" i="21"/>
  <c r="F163" i="21"/>
  <c r="F164" i="21"/>
  <c r="C159" i="21"/>
  <c r="C160" i="21"/>
  <c r="C161" i="21"/>
  <c r="C162" i="21"/>
  <c r="C163" i="21"/>
  <c r="C164" i="21"/>
  <c r="J152" i="4"/>
  <c r="J153" i="4"/>
  <c r="J154" i="4"/>
  <c r="J155" i="4"/>
  <c r="J156" i="4"/>
  <c r="J157" i="4"/>
  <c r="J158" i="4"/>
  <c r="J159" i="4"/>
  <c r="J160" i="4"/>
  <c r="J161" i="4"/>
  <c r="J162" i="4"/>
  <c r="J163" i="4"/>
  <c r="J164" i="4"/>
  <c r="I158" i="4"/>
  <c r="I159" i="4"/>
  <c r="I160" i="4"/>
  <c r="I161" i="4"/>
  <c r="I162" i="4"/>
  <c r="I163" i="4"/>
  <c r="I164" i="4"/>
  <c r="G155" i="4"/>
  <c r="G156" i="4"/>
  <c r="G157" i="4"/>
  <c r="G158" i="4"/>
  <c r="G159" i="4"/>
  <c r="G160" i="4"/>
  <c r="G162" i="4"/>
  <c r="G163" i="4"/>
  <c r="G164" i="4"/>
  <c r="F159" i="4"/>
  <c r="F160" i="4"/>
  <c r="F161" i="4"/>
  <c r="G161" i="4" s="1"/>
  <c r="F162" i="4"/>
  <c r="F163" i="4"/>
  <c r="F164" i="4"/>
  <c r="C159" i="4"/>
  <c r="C160" i="4"/>
  <c r="C161" i="4"/>
  <c r="C162" i="4"/>
  <c r="C163" i="4"/>
  <c r="C164" i="4"/>
  <c r="J152" i="3"/>
  <c r="J153" i="3"/>
  <c r="J154" i="3"/>
  <c r="J155" i="3"/>
  <c r="J156" i="3"/>
  <c r="J157" i="3"/>
  <c r="J158" i="3"/>
  <c r="J159" i="3"/>
  <c r="J160" i="3"/>
  <c r="J161" i="3"/>
  <c r="J162" i="3"/>
  <c r="J163" i="3"/>
  <c r="J164" i="3"/>
  <c r="I154" i="3"/>
  <c r="I155" i="3"/>
  <c r="I156" i="3"/>
  <c r="I157" i="3"/>
  <c r="I158" i="3"/>
  <c r="I159" i="3"/>
  <c r="I160" i="3"/>
  <c r="I161" i="3"/>
  <c r="I162" i="3"/>
  <c r="I163" i="3"/>
  <c r="I164" i="3"/>
  <c r="G152" i="3"/>
  <c r="G153" i="3"/>
  <c r="G154" i="3"/>
  <c r="G155" i="3"/>
  <c r="G156" i="3"/>
  <c r="G157" i="3"/>
  <c r="G158" i="3"/>
  <c r="G159" i="3"/>
  <c r="G160" i="3"/>
  <c r="G161" i="3"/>
  <c r="G162" i="3"/>
  <c r="G163" i="3"/>
  <c r="G164" i="3"/>
  <c r="F154" i="3"/>
  <c r="F155" i="3"/>
  <c r="F156" i="3"/>
  <c r="F157" i="3"/>
  <c r="F158" i="3"/>
  <c r="F159" i="3"/>
  <c r="F160" i="3"/>
  <c r="F161" i="3"/>
  <c r="F162" i="3"/>
  <c r="F163" i="3"/>
  <c r="F164" i="3"/>
  <c r="C159" i="3"/>
  <c r="C160" i="3"/>
  <c r="C161" i="3"/>
  <c r="C162" i="3"/>
  <c r="C163" i="3"/>
  <c r="C164" i="3"/>
  <c r="J153" i="72"/>
  <c r="J154" i="72"/>
  <c r="J155" i="72"/>
  <c r="J156" i="72"/>
  <c r="J157" i="72"/>
  <c r="J158" i="72"/>
  <c r="J159" i="72"/>
  <c r="J160" i="72"/>
  <c r="J161" i="72"/>
  <c r="J162" i="72"/>
  <c r="J163" i="72"/>
  <c r="J164" i="72"/>
  <c r="I154" i="72"/>
  <c r="I155" i="72"/>
  <c r="I156" i="72"/>
  <c r="I157" i="72"/>
  <c r="I158" i="72"/>
  <c r="I159" i="72"/>
  <c r="I160" i="72"/>
  <c r="I161" i="72"/>
  <c r="I162" i="72"/>
  <c r="I163" i="72"/>
  <c r="I164" i="72"/>
  <c r="G153" i="72"/>
  <c r="G154" i="72"/>
  <c r="G155" i="72"/>
  <c r="G156" i="72"/>
  <c r="G157" i="72"/>
  <c r="G158" i="72"/>
  <c r="G159" i="72"/>
  <c r="G160" i="72"/>
  <c r="G161" i="72"/>
  <c r="G162" i="72"/>
  <c r="G163" i="72"/>
  <c r="G164" i="72"/>
  <c r="F154" i="72"/>
  <c r="F155" i="72"/>
  <c r="F156" i="72"/>
  <c r="F157" i="72"/>
  <c r="F158" i="72"/>
  <c r="F159" i="72"/>
  <c r="F160" i="72"/>
  <c r="F161" i="72"/>
  <c r="F162" i="72"/>
  <c r="F163" i="72"/>
  <c r="F164" i="72"/>
  <c r="C159" i="72"/>
  <c r="C160" i="72"/>
  <c r="C161" i="72"/>
  <c r="C162" i="72"/>
  <c r="C163" i="72"/>
  <c r="C164" i="72"/>
  <c r="C159" i="19"/>
  <c r="C160" i="19"/>
  <c r="C161" i="19"/>
  <c r="C162" i="19"/>
  <c r="C163" i="19"/>
  <c r="C164" i="19"/>
  <c r="F164" i="29" l="1"/>
  <c r="G164" i="29" s="1"/>
  <c r="I163" i="29"/>
  <c r="F163" i="29"/>
  <c r="G163" i="29" s="1"/>
  <c r="J163" i="29"/>
  <c r="J162" i="29"/>
  <c r="J164" i="29"/>
  <c r="J161" i="26"/>
  <c r="J160" i="26"/>
  <c r="J159" i="26"/>
  <c r="F58" i="26" l="1"/>
  <c r="F59" i="26"/>
  <c r="F60" i="26"/>
  <c r="F61" i="26"/>
  <c r="F62" i="26"/>
  <c r="F63" i="26"/>
  <c r="F64" i="26"/>
  <c r="F65" i="26"/>
  <c r="G65" i="26" s="1"/>
  <c r="F66" i="26"/>
  <c r="F67" i="26"/>
  <c r="F68" i="26"/>
  <c r="F69" i="26"/>
  <c r="F70" i="26"/>
  <c r="F71" i="26"/>
  <c r="F72" i="26"/>
  <c r="F73" i="26"/>
  <c r="F74" i="26"/>
  <c r="G74" i="26" s="1"/>
  <c r="F75" i="26"/>
  <c r="F76" i="26"/>
  <c r="F77" i="26"/>
  <c r="F78" i="26"/>
  <c r="F79" i="26"/>
  <c r="F80" i="26"/>
  <c r="F81" i="26"/>
  <c r="F82" i="26"/>
  <c r="G82" i="26" s="1"/>
  <c r="F83" i="26"/>
  <c r="F84" i="26"/>
  <c r="F85" i="26"/>
  <c r="F86" i="26"/>
  <c r="F87" i="26"/>
  <c r="F88" i="26"/>
  <c r="F89" i="26"/>
  <c r="F90" i="26"/>
  <c r="G90" i="26" s="1"/>
  <c r="F91" i="26"/>
  <c r="F92" i="26"/>
  <c r="F93" i="26"/>
  <c r="F94" i="26"/>
  <c r="F95" i="26"/>
  <c r="F96" i="26"/>
  <c r="F97" i="26"/>
  <c r="F98" i="26"/>
  <c r="G98" i="26" s="1"/>
  <c r="F99" i="26"/>
  <c r="F100" i="26"/>
  <c r="F101" i="26"/>
  <c r="F102" i="26"/>
  <c r="F103" i="26"/>
  <c r="F105" i="26"/>
  <c r="F106" i="26"/>
  <c r="F107" i="26"/>
  <c r="G107" i="26" s="1"/>
  <c r="F108" i="26"/>
  <c r="F109" i="26"/>
  <c r="F110" i="26"/>
  <c r="F111" i="26"/>
  <c r="F112" i="26"/>
  <c r="F113" i="26"/>
  <c r="F114" i="26"/>
  <c r="F115" i="26"/>
  <c r="G115" i="26" s="1"/>
  <c r="F116" i="26"/>
  <c r="F117" i="26"/>
  <c r="F118" i="26"/>
  <c r="F119" i="26"/>
  <c r="F120" i="26"/>
  <c r="F121" i="26"/>
  <c r="F122" i="26"/>
  <c r="F123" i="26"/>
  <c r="G123" i="26" s="1"/>
  <c r="F124" i="26"/>
  <c r="F125" i="26"/>
  <c r="F126" i="26"/>
  <c r="F127" i="26"/>
  <c r="F128" i="26"/>
  <c r="F129" i="26"/>
  <c r="F130" i="26"/>
  <c r="F131" i="26"/>
  <c r="F132" i="26"/>
  <c r="F133" i="26"/>
  <c r="F134" i="26"/>
  <c r="F135" i="26"/>
  <c r="F136" i="26"/>
  <c r="F137" i="26"/>
  <c r="F138" i="26"/>
  <c r="F139" i="26"/>
  <c r="G139" i="26" s="1"/>
  <c r="F140" i="26"/>
  <c r="F141" i="26"/>
  <c r="F142" i="26"/>
  <c r="F143" i="26"/>
  <c r="F144" i="26"/>
  <c r="F145" i="26"/>
  <c r="F146" i="26"/>
  <c r="F147" i="26"/>
  <c r="G147" i="26" s="1"/>
  <c r="F148" i="26"/>
  <c r="F149" i="26"/>
  <c r="F150" i="26"/>
  <c r="F151" i="26"/>
  <c r="F152" i="26"/>
  <c r="F153" i="26"/>
  <c r="F154" i="26"/>
  <c r="F155" i="26"/>
  <c r="G155" i="26" s="1"/>
  <c r="F156" i="26"/>
  <c r="F157" i="26"/>
  <c r="F158" i="26"/>
  <c r="G63" i="26"/>
  <c r="G64" i="26"/>
  <c r="G71" i="26"/>
  <c r="G72" i="26"/>
  <c r="G73" i="26"/>
  <c r="G79" i="26"/>
  <c r="G80" i="26"/>
  <c r="G81" i="26"/>
  <c r="G87" i="26"/>
  <c r="G88" i="26"/>
  <c r="G89" i="26"/>
  <c r="G95" i="26"/>
  <c r="G96" i="26"/>
  <c r="G97" i="26"/>
  <c r="G103" i="26"/>
  <c r="G105" i="26"/>
  <c r="G113" i="26"/>
  <c r="G121" i="26"/>
  <c r="G128" i="26"/>
  <c r="G129" i="26"/>
  <c r="G136" i="26"/>
  <c r="G137" i="26"/>
  <c r="J159" i="27"/>
  <c r="J162" i="27"/>
  <c r="J163" i="27"/>
  <c r="J164" i="27"/>
  <c r="I159" i="27"/>
  <c r="I160" i="27"/>
  <c r="J160" i="27" s="1"/>
  <c r="I161" i="27"/>
  <c r="J161" i="27" s="1"/>
  <c r="I162" i="27"/>
  <c r="I163" i="27"/>
  <c r="I164" i="27"/>
  <c r="F53" i="27"/>
  <c r="I158" i="1"/>
  <c r="J158" i="1" s="1"/>
  <c r="I159" i="1"/>
  <c r="I159" i="34" s="1"/>
  <c r="I160" i="1"/>
  <c r="I160" i="34" s="1"/>
  <c r="I161" i="1"/>
  <c r="I161" i="34" s="1"/>
  <c r="I162" i="1"/>
  <c r="I163" i="1"/>
  <c r="I163" i="34" s="1"/>
  <c r="I164" i="1"/>
  <c r="J164" i="1" s="1"/>
  <c r="H158" i="1"/>
  <c r="H159" i="1"/>
  <c r="H159" i="34" s="1"/>
  <c r="H160" i="1"/>
  <c r="H160" i="34" s="1"/>
  <c r="H161" i="1"/>
  <c r="H162" i="1"/>
  <c r="H162" i="34" s="1"/>
  <c r="H163" i="1"/>
  <c r="H163" i="34" s="1"/>
  <c r="H164" i="1"/>
  <c r="E158" i="1"/>
  <c r="F158" i="1" s="1"/>
  <c r="G158" i="1" s="1"/>
  <c r="E160" i="1"/>
  <c r="E160" i="34" s="1"/>
  <c r="E161" i="1"/>
  <c r="E162" i="1"/>
  <c r="E163" i="1"/>
  <c r="E164" i="1"/>
  <c r="D158" i="1"/>
  <c r="D159" i="1"/>
  <c r="D159" i="34" s="1"/>
  <c r="D160" i="1"/>
  <c r="D160" i="34" s="1"/>
  <c r="D161" i="1"/>
  <c r="D161" i="34" s="1"/>
  <c r="D162" i="1"/>
  <c r="D162" i="34" s="1"/>
  <c r="D163" i="1"/>
  <c r="D163" i="34" s="1"/>
  <c r="D164" i="1"/>
  <c r="D164" i="34" s="1"/>
  <c r="C158" i="1"/>
  <c r="C159" i="1"/>
  <c r="C160" i="1"/>
  <c r="C161" i="1"/>
  <c r="C162" i="1"/>
  <c r="C163" i="1"/>
  <c r="C164" i="1"/>
  <c r="H164" i="34"/>
  <c r="E162" i="34"/>
  <c r="C158" i="34"/>
  <c r="C159" i="34"/>
  <c r="C160" i="34"/>
  <c r="C161" i="34"/>
  <c r="C162" i="34"/>
  <c r="C163" i="34"/>
  <c r="C164" i="34"/>
  <c r="F6" i="27"/>
  <c r="G6" i="27" s="1"/>
  <c r="F7" i="27"/>
  <c r="F8" i="27"/>
  <c r="F9" i="27"/>
  <c r="F10" i="27"/>
  <c r="F11" i="27"/>
  <c r="F12" i="27"/>
  <c r="G12" i="27" s="1"/>
  <c r="F13" i="27"/>
  <c r="F14" i="27"/>
  <c r="G14" i="27" s="1"/>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4" i="27"/>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F118" i="27"/>
  <c r="G118" i="27" s="1"/>
  <c r="F119" i="27"/>
  <c r="F120" i="27"/>
  <c r="F121" i="27"/>
  <c r="F122" i="27"/>
  <c r="F123" i="27"/>
  <c r="F124" i="27"/>
  <c r="F125" i="27"/>
  <c r="F126" i="27"/>
  <c r="F127" i="27"/>
  <c r="F128" i="27"/>
  <c r="F129" i="27"/>
  <c r="F130" i="27"/>
  <c r="F131" i="27"/>
  <c r="F132" i="27"/>
  <c r="F133" i="27"/>
  <c r="F134" i="27"/>
  <c r="F135" i="27"/>
  <c r="F136" i="27"/>
  <c r="F137" i="27"/>
  <c r="F138" i="27"/>
  <c r="F139" i="27"/>
  <c r="F140" i="27"/>
  <c r="G140" i="27" s="1"/>
  <c r="F141" i="27"/>
  <c r="F142" i="27"/>
  <c r="F143" i="27"/>
  <c r="F144" i="27"/>
  <c r="F145" i="27"/>
  <c r="F146" i="27"/>
  <c r="F147" i="27"/>
  <c r="F148" i="27"/>
  <c r="F149" i="27"/>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3"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63" i="27"/>
  <c r="G64" i="27"/>
  <c r="G66" i="27"/>
  <c r="G68" i="27"/>
  <c r="G74" i="27"/>
  <c r="G76" i="27"/>
  <c r="G79" i="27"/>
  <c r="G94" i="27"/>
  <c r="G95" i="27"/>
  <c r="G100" i="27"/>
  <c r="G101" i="27"/>
  <c r="G104" i="27"/>
  <c r="G112" i="27"/>
  <c r="G113" i="27"/>
  <c r="G117" i="27"/>
  <c r="G119" i="27"/>
  <c r="G120" i="27"/>
  <c r="G121" i="27"/>
  <c r="G122" i="27"/>
  <c r="G123" i="27"/>
  <c r="G124" i="27"/>
  <c r="G125" i="27"/>
  <c r="G126" i="27"/>
  <c r="G127" i="27"/>
  <c r="G128" i="27"/>
  <c r="G129" i="27"/>
  <c r="G130" i="27"/>
  <c r="G131" i="27"/>
  <c r="G132" i="27"/>
  <c r="G133" i="27"/>
  <c r="G134" i="27"/>
  <c r="G135" i="27"/>
  <c r="G136" i="27"/>
  <c r="G137" i="27"/>
  <c r="G138" i="27"/>
  <c r="G139" i="27"/>
  <c r="G141" i="27"/>
  <c r="G142" i="27"/>
  <c r="G143" i="27"/>
  <c r="G144" i="27"/>
  <c r="G145" i="27"/>
  <c r="G146" i="27"/>
  <c r="G147" i="27"/>
  <c r="G148" i="27"/>
  <c r="G149" i="27"/>
  <c r="G151" i="27"/>
  <c r="G154" i="27"/>
  <c r="G159" i="27"/>
  <c r="G162" i="27"/>
  <c r="J4" i="26"/>
  <c r="I4" i="26"/>
  <c r="G4" i="27"/>
  <c r="J4" i="27"/>
  <c r="I4" i="27"/>
  <c r="F4" i="27"/>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E119" i="29"/>
  <c r="F119" i="29"/>
  <c r="G119" i="29" s="1"/>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E158" i="29"/>
  <c r="H158" i="29"/>
  <c r="C96" i="29"/>
  <c r="D96" i="29"/>
  <c r="E96" i="29"/>
  <c r="H96" i="29"/>
  <c r="C97" i="29"/>
  <c r="D97" i="29"/>
  <c r="E97" i="29"/>
  <c r="H97" i="29"/>
  <c r="F121" i="30"/>
  <c r="G121" i="30" s="1"/>
  <c r="F122" i="30"/>
  <c r="G122" i="30" s="1"/>
  <c r="F138" i="30"/>
  <c r="G138" i="30" s="1"/>
  <c r="F153" i="30"/>
  <c r="G153" i="30" s="1"/>
  <c r="D148" i="34"/>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7" i="34" s="1"/>
  <c r="D118" i="1"/>
  <c r="D119" i="1"/>
  <c r="F119" i="1" s="1"/>
  <c r="G119" i="1" s="1"/>
  <c r="D120" i="1"/>
  <c r="D121" i="1"/>
  <c r="D121" i="34" s="1"/>
  <c r="D122" i="1"/>
  <c r="D122" i="34" s="1"/>
  <c r="D123" i="1"/>
  <c r="D124" i="1"/>
  <c r="D125" i="1"/>
  <c r="D126" i="1"/>
  <c r="D127" i="1"/>
  <c r="D128" i="1"/>
  <c r="D129" i="1"/>
  <c r="D130" i="1"/>
  <c r="D131" i="1"/>
  <c r="D132" i="1"/>
  <c r="D133" i="1"/>
  <c r="D134" i="1"/>
  <c r="D135" i="1"/>
  <c r="D136" i="1"/>
  <c r="D137" i="1"/>
  <c r="D138" i="1"/>
  <c r="D139" i="1"/>
  <c r="D140" i="1"/>
  <c r="D140" i="34" s="1"/>
  <c r="D141" i="1"/>
  <c r="D142" i="1"/>
  <c r="D143" i="1"/>
  <c r="D144" i="1"/>
  <c r="D145" i="1"/>
  <c r="D146" i="1"/>
  <c r="D147" i="1"/>
  <c r="D148" i="1"/>
  <c r="D149" i="1"/>
  <c r="D150" i="1"/>
  <c r="D151" i="1"/>
  <c r="D152" i="1"/>
  <c r="D153" i="1"/>
  <c r="D154"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J11" i="26"/>
  <c r="J24" i="26"/>
  <c r="J40" i="26"/>
  <c r="J59" i="26"/>
  <c r="J101" i="26"/>
  <c r="J133" i="26"/>
  <c r="J134" i="26"/>
  <c r="J138" i="26"/>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G142" i="26"/>
  <c r="G130" i="26"/>
  <c r="G131" i="26"/>
  <c r="G132" i="26"/>
  <c r="G133" i="26"/>
  <c r="G134" i="26"/>
  <c r="G135" i="26"/>
  <c r="G138" i="26"/>
  <c r="G140" i="26"/>
  <c r="G141" i="26"/>
  <c r="G143" i="26"/>
  <c r="G144" i="26"/>
  <c r="G145" i="26"/>
  <c r="G146" i="26"/>
  <c r="G148" i="26"/>
  <c r="G149" i="26"/>
  <c r="G150" i="26"/>
  <c r="G151" i="26"/>
  <c r="G152" i="26"/>
  <c r="G153"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G108" i="19"/>
  <c r="G127" i="19"/>
  <c r="G140" i="19"/>
  <c r="G156"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5" i="32"/>
  <c r="C5" i="31"/>
  <c r="C5"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G156" i="30" s="1"/>
  <c r="F157" i="30"/>
  <c r="G157" i="30" s="1"/>
  <c r="F158" i="30"/>
  <c r="G158" i="30" s="1"/>
  <c r="C154" i="30"/>
  <c r="C155" i="30"/>
  <c r="C156" i="30"/>
  <c r="C157" i="30"/>
  <c r="C158" i="30"/>
  <c r="G97" i="4"/>
  <c r="G105" i="4"/>
  <c r="G106" i="4"/>
  <c r="G107" i="4"/>
  <c r="G109" i="4"/>
  <c r="G121" i="4"/>
  <c r="G122" i="4"/>
  <c r="G123" i="4"/>
  <c r="G124" i="4"/>
  <c r="G125" i="4"/>
  <c r="G127" i="4"/>
  <c r="G136" i="4"/>
  <c r="G137" i="4"/>
  <c r="G139" i="4"/>
  <c r="G152" i="4"/>
  <c r="G153"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I153" i="4"/>
  <c r="I154" i="4"/>
  <c r="I155" i="4"/>
  <c r="I156" i="4"/>
  <c r="I15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I153" i="3"/>
  <c r="F148" i="3"/>
  <c r="G148" i="3"/>
  <c r="F149" i="3"/>
  <c r="G149" i="3"/>
  <c r="F150" i="3"/>
  <c r="G150" i="3"/>
  <c r="F151" i="3"/>
  <c r="G151" i="3" s="1"/>
  <c r="F152" i="3"/>
  <c r="F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F144" i="72"/>
  <c r="G144" i="72" s="1"/>
  <c r="F145" i="72"/>
  <c r="G145" i="72"/>
  <c r="F146" i="72"/>
  <c r="G146" i="72"/>
  <c r="F147" i="72"/>
  <c r="G147" i="72"/>
  <c r="F148" i="72"/>
  <c r="G148" i="72" s="1"/>
  <c r="F149" i="72"/>
  <c r="G149" i="72" s="1"/>
  <c r="F150" i="72"/>
  <c r="G150" i="72" s="1"/>
  <c r="F151" i="72"/>
  <c r="G151" i="72" s="1"/>
  <c r="F152" i="72"/>
  <c r="G152" i="72" s="1"/>
  <c r="F153" i="72"/>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I117" i="19"/>
  <c r="I118" i="19"/>
  <c r="J118" i="19" s="1"/>
  <c r="C119" i="30"/>
  <c r="C118" i="30"/>
  <c r="C154" i="1"/>
  <c r="F133" i="33"/>
  <c r="G133" i="33" s="1"/>
  <c r="I18" i="33"/>
  <c r="J18" i="33" s="1"/>
  <c r="I19" i="33"/>
  <c r="J19" i="33" s="1"/>
  <c r="I20" i="33"/>
  <c r="J20" i="33" s="1"/>
  <c r="I21" i="33"/>
  <c r="J21" i="33" s="1"/>
  <c r="I22" i="33"/>
  <c r="J22" i="33" s="1"/>
  <c r="I23" i="33"/>
  <c r="J23" i="33"/>
  <c r="I24" i="33"/>
  <c r="J24" i="33" s="1"/>
  <c r="I25" i="33"/>
  <c r="J25" i="33" s="1"/>
  <c r="I26" i="33"/>
  <c r="J26" i="33" s="1"/>
  <c r="I27" i="33"/>
  <c r="J27" i="33" s="1"/>
  <c r="I28" i="33"/>
  <c r="J28" i="33" s="1"/>
  <c r="I29" i="33"/>
  <c r="J29" i="33" s="1"/>
  <c r="I30" i="33"/>
  <c r="J30" i="33"/>
  <c r="I31" i="33"/>
  <c r="J31" i="33" s="1"/>
  <c r="I32" i="33"/>
  <c r="I33" i="33"/>
  <c r="J33" i="33" s="1"/>
  <c r="I34" i="33"/>
  <c r="J34" i="33" s="1"/>
  <c r="I35" i="33"/>
  <c r="J35" i="33" s="1"/>
  <c r="I36" i="33"/>
  <c r="J36" i="33" s="1"/>
  <c r="I37" i="33"/>
  <c r="J37" i="33" s="1"/>
  <c r="I38" i="33"/>
  <c r="J38" i="33" s="1"/>
  <c r="I39" i="33"/>
  <c r="J39" i="33" s="1"/>
  <c r="I40" i="33"/>
  <c r="J40" i="33" s="1"/>
  <c r="I41" i="33"/>
  <c r="J41" i="33" s="1"/>
  <c r="I42" i="33"/>
  <c r="J42" i="33" s="1"/>
  <c r="I43" i="33"/>
  <c r="I44" i="33"/>
  <c r="J44" i="33" s="1"/>
  <c r="I45" i="33"/>
  <c r="J45" i="33" s="1"/>
  <c r="I46" i="33"/>
  <c r="J46" i="33" s="1"/>
  <c r="I47" i="33"/>
  <c r="J47" i="33" s="1"/>
  <c r="I48" i="33"/>
  <c r="J48" i="33" s="1"/>
  <c r="I49" i="33"/>
  <c r="J49" i="33" s="1"/>
  <c r="I50" i="33"/>
  <c r="J50" i="33"/>
  <c r="I51" i="33"/>
  <c r="J51" i="33" s="1"/>
  <c r="I52" i="33"/>
  <c r="J52" i="33" s="1"/>
  <c r="I53" i="33"/>
  <c r="J53" i="33" s="1"/>
  <c r="I54" i="33"/>
  <c r="J54" i="33" s="1"/>
  <c r="I55" i="33"/>
  <c r="J55" i="33" s="1"/>
  <c r="I56" i="33"/>
  <c r="J56" i="33" s="1"/>
  <c r="I57" i="33"/>
  <c r="J57" i="33" s="1"/>
  <c r="I58" i="33"/>
  <c r="J58" i="33" s="1"/>
  <c r="I59" i="33"/>
  <c r="I60" i="33"/>
  <c r="J60" i="33" s="1"/>
  <c r="I61" i="33"/>
  <c r="J61" i="33" s="1"/>
  <c r="I62" i="33"/>
  <c r="J62" i="33" s="1"/>
  <c r="I63" i="33"/>
  <c r="J63" i="33" s="1"/>
  <c r="I64" i="33"/>
  <c r="J64" i="33" s="1"/>
  <c r="I65" i="33"/>
  <c r="J65" i="33" s="1"/>
  <c r="I66" i="33"/>
  <c r="J66" i="33" s="1"/>
  <c r="I67" i="33"/>
  <c r="J67" i="33" s="1"/>
  <c r="I68" i="33"/>
  <c r="J68" i="33" s="1"/>
  <c r="I69" i="33"/>
  <c r="J69" i="33" s="1"/>
  <c r="I70" i="33"/>
  <c r="J70" i="33" s="1"/>
  <c r="I71" i="33"/>
  <c r="J71" i="33" s="1"/>
  <c r="I72" i="33"/>
  <c r="J72" i="33" s="1"/>
  <c r="I73" i="33"/>
  <c r="J73" i="33" s="1"/>
  <c r="I74" i="33"/>
  <c r="J74" i="33"/>
  <c r="I75" i="33"/>
  <c r="J75" i="33" s="1"/>
  <c r="I76" i="33"/>
  <c r="J76" i="33" s="1"/>
  <c r="I77" i="33"/>
  <c r="J77" i="33" s="1"/>
  <c r="I78" i="33"/>
  <c r="J78" i="33" s="1"/>
  <c r="I79" i="33"/>
  <c r="J79" i="33" s="1"/>
  <c r="I80" i="33"/>
  <c r="J80" i="33" s="1"/>
  <c r="I81" i="33"/>
  <c r="J81" i="33" s="1"/>
  <c r="I82" i="33"/>
  <c r="J82" i="33" s="1"/>
  <c r="I83" i="33"/>
  <c r="J83" i="33" s="1"/>
  <c r="I84" i="33"/>
  <c r="J84" i="33" s="1"/>
  <c r="I85" i="33"/>
  <c r="J85" i="33" s="1"/>
  <c r="I86" i="33"/>
  <c r="J86" i="33" s="1"/>
  <c r="I87" i="33"/>
  <c r="J87" i="33" s="1"/>
  <c r="I88" i="33"/>
  <c r="J88" i="33" s="1"/>
  <c r="I89" i="33"/>
  <c r="J89" i="33" s="1"/>
  <c r="I90" i="33"/>
  <c r="J90" i="33" s="1"/>
  <c r="I91" i="33"/>
  <c r="J91" i="33" s="1"/>
  <c r="I92" i="33"/>
  <c r="J92" i="33" s="1"/>
  <c r="I93" i="33"/>
  <c r="J93" i="33" s="1"/>
  <c r="I94" i="33"/>
  <c r="I95" i="33"/>
  <c r="J95" i="33"/>
  <c r="I96" i="33"/>
  <c r="J96" i="33" s="1"/>
  <c r="I97" i="33"/>
  <c r="J97" i="33" s="1"/>
  <c r="I98" i="33"/>
  <c r="J98" i="33" s="1"/>
  <c r="I99" i="33"/>
  <c r="J99" i="33" s="1"/>
  <c r="I100" i="33"/>
  <c r="J100" i="33" s="1"/>
  <c r="I101" i="33"/>
  <c r="J101" i="33" s="1"/>
  <c r="I102" i="33"/>
  <c r="J102" i="33" s="1"/>
  <c r="I103" i="33"/>
  <c r="J103" i="33" s="1"/>
  <c r="I104" i="33"/>
  <c r="J104" i="33" s="1"/>
  <c r="I105" i="33"/>
  <c r="J105" i="33" s="1"/>
  <c r="I106" i="33"/>
  <c r="J106" i="33"/>
  <c r="I107" i="33"/>
  <c r="J107" i="33" s="1"/>
  <c r="I108" i="33"/>
  <c r="J108" i="33" s="1"/>
  <c r="I109" i="33"/>
  <c r="J109" i="33" s="1"/>
  <c r="I110" i="33"/>
  <c r="J110" i="33" s="1"/>
  <c r="I111" i="33"/>
  <c r="J111" i="33" s="1"/>
  <c r="I112" i="33"/>
  <c r="J112" i="33" s="1"/>
  <c r="I113" i="33"/>
  <c r="J113" i="33" s="1"/>
  <c r="I114" i="33"/>
  <c r="J114" i="33" s="1"/>
  <c r="I115" i="33"/>
  <c r="J115" i="33" s="1"/>
  <c r="I116" i="33"/>
  <c r="J116" i="33" s="1"/>
  <c r="I117" i="33"/>
  <c r="J117" i="33" s="1"/>
  <c r="I118" i="33"/>
  <c r="J118" i="33" s="1"/>
  <c r="I119" i="33"/>
  <c r="J119" i="33" s="1"/>
  <c r="I120" i="33"/>
  <c r="J120" i="33" s="1"/>
  <c r="I121" i="33"/>
  <c r="J121" i="33" s="1"/>
  <c r="I122" i="33"/>
  <c r="J122" i="33" s="1"/>
  <c r="I123" i="33"/>
  <c r="J123" i="33" s="1"/>
  <c r="I124" i="33"/>
  <c r="J124" i="33" s="1"/>
  <c r="I125" i="33"/>
  <c r="J125" i="33" s="1"/>
  <c r="I126" i="33"/>
  <c r="J126" i="33" s="1"/>
  <c r="I127" i="33"/>
  <c r="J127" i="33" s="1"/>
  <c r="I128" i="33"/>
  <c r="J128" i="33" s="1"/>
  <c r="I129" i="33"/>
  <c r="J129" i="33" s="1"/>
  <c r="I130" i="33"/>
  <c r="J130" i="33" s="1"/>
  <c r="I131" i="33"/>
  <c r="J131" i="33" s="1"/>
  <c r="I132" i="33"/>
  <c r="J132" i="33" s="1"/>
  <c r="I133" i="33"/>
  <c r="J133" i="33" s="1"/>
  <c r="I134" i="33"/>
  <c r="J134" i="33" s="1"/>
  <c r="I135" i="33"/>
  <c r="J135" i="33" s="1"/>
  <c r="I136" i="33"/>
  <c r="J136" i="33" s="1"/>
  <c r="I137" i="33"/>
  <c r="J137" i="33" s="1"/>
  <c r="I138" i="33"/>
  <c r="J138" i="33" s="1"/>
  <c r="I139" i="33"/>
  <c r="J139" i="33" s="1"/>
  <c r="I140" i="33"/>
  <c r="J140" i="33" s="1"/>
  <c r="I141" i="33"/>
  <c r="I142" i="33"/>
  <c r="J142" i="33" s="1"/>
  <c r="I143" i="33"/>
  <c r="J143" i="33" s="1"/>
  <c r="I144" i="33"/>
  <c r="J144" i="33" s="1"/>
  <c r="I145" i="33"/>
  <c r="I146" i="33"/>
  <c r="J146" i="33" s="1"/>
  <c r="I147" i="33"/>
  <c r="J147" i="33" s="1"/>
  <c r="I148" i="33"/>
  <c r="J148" i="33" s="1"/>
  <c r="I149" i="33"/>
  <c r="J149" i="33" s="1"/>
  <c r="I150" i="33"/>
  <c r="J150" i="33" s="1"/>
  <c r="I151" i="33"/>
  <c r="J151" i="33" s="1"/>
  <c r="I152" i="33"/>
  <c r="J152" i="33" s="1"/>
  <c r="I153" i="33"/>
  <c r="J153" i="33" s="1"/>
  <c r="I154" i="33"/>
  <c r="J154" i="33" s="1"/>
  <c r="I155" i="33"/>
  <c r="J155" i="33" s="1"/>
  <c r="I156" i="33"/>
  <c r="J156" i="33" s="1"/>
  <c r="I157" i="33"/>
  <c r="J157" i="33" s="1"/>
  <c r="I16" i="33"/>
  <c r="F18" i="33"/>
  <c r="G18" i="33" s="1"/>
  <c r="F19" i="33"/>
  <c r="G19" i="33" s="1"/>
  <c r="F20" i="33"/>
  <c r="G20" i="33" s="1"/>
  <c r="F21" i="33"/>
  <c r="G21" i="33" s="1"/>
  <c r="F22" i="33"/>
  <c r="G22" i="33" s="1"/>
  <c r="F23" i="33"/>
  <c r="G23" i="33" s="1"/>
  <c r="F24" i="33"/>
  <c r="G24" i="33" s="1"/>
  <c r="F25" i="33"/>
  <c r="G25" i="33" s="1"/>
  <c r="F26" i="33"/>
  <c r="G26" i="33" s="1"/>
  <c r="F27" i="33"/>
  <c r="G27" i="33" s="1"/>
  <c r="F28" i="33"/>
  <c r="G28" i="33" s="1"/>
  <c r="F29" i="33"/>
  <c r="G29" i="33" s="1"/>
  <c r="F30" i="33"/>
  <c r="G30" i="33" s="1"/>
  <c r="F31" i="33"/>
  <c r="G31" i="33" s="1"/>
  <c r="F32" i="33"/>
  <c r="G32" i="33" s="1"/>
  <c r="F33" i="33"/>
  <c r="G33" i="33" s="1"/>
  <c r="F34" i="33"/>
  <c r="G34" i="33" s="1"/>
  <c r="F35" i="33"/>
  <c r="G35" i="33" s="1"/>
  <c r="F36" i="33"/>
  <c r="G36" i="33" s="1"/>
  <c r="F37" i="33"/>
  <c r="G37" i="33" s="1"/>
  <c r="F38" i="33"/>
  <c r="G38" i="33" s="1"/>
  <c r="F39" i="33"/>
  <c r="G39" i="33" s="1"/>
  <c r="F40" i="33"/>
  <c r="G40" i="33" s="1"/>
  <c r="F41" i="33"/>
  <c r="G41" i="33" s="1"/>
  <c r="F42" i="33"/>
  <c r="G42" i="33" s="1"/>
  <c r="F43" i="33"/>
  <c r="G43" i="33" s="1"/>
  <c r="F44" i="33"/>
  <c r="G44" i="33" s="1"/>
  <c r="F45" i="33"/>
  <c r="G45" i="33" s="1"/>
  <c r="F46" i="33"/>
  <c r="G46" i="33" s="1"/>
  <c r="F47" i="33"/>
  <c r="G47" i="33"/>
  <c r="F48" i="33"/>
  <c r="G48" i="33"/>
  <c r="F49" i="33"/>
  <c r="G49" i="33" s="1"/>
  <c r="F50" i="33"/>
  <c r="G50" i="33" s="1"/>
  <c r="F51" i="33"/>
  <c r="G51" i="33" s="1"/>
  <c r="F52" i="33"/>
  <c r="G52" i="33" s="1"/>
  <c r="F53" i="33"/>
  <c r="G53" i="33" s="1"/>
  <c r="F54" i="33"/>
  <c r="G54" i="33" s="1"/>
  <c r="F55" i="33"/>
  <c r="G55" i="33" s="1"/>
  <c r="F56" i="33"/>
  <c r="G56" i="33" s="1"/>
  <c r="F57" i="33"/>
  <c r="G57" i="33" s="1"/>
  <c r="F58" i="33"/>
  <c r="G58" i="33" s="1"/>
  <c r="F59" i="33"/>
  <c r="G59" i="33" s="1"/>
  <c r="F60" i="33"/>
  <c r="G60" i="33" s="1"/>
  <c r="F61" i="33"/>
  <c r="G61" i="33" s="1"/>
  <c r="F62" i="33"/>
  <c r="G62" i="33" s="1"/>
  <c r="F63" i="33"/>
  <c r="G63" i="33" s="1"/>
  <c r="F64" i="33"/>
  <c r="G64" i="33" s="1"/>
  <c r="F65" i="33"/>
  <c r="G65" i="33" s="1"/>
  <c r="F66" i="33"/>
  <c r="G66" i="33" s="1"/>
  <c r="F67" i="33"/>
  <c r="G67" i="33" s="1"/>
  <c r="F68" i="33"/>
  <c r="G68" i="33" s="1"/>
  <c r="F69" i="33"/>
  <c r="G69" i="33" s="1"/>
  <c r="F70" i="33"/>
  <c r="G70" i="33" s="1"/>
  <c r="F71" i="33"/>
  <c r="G71" i="33" s="1"/>
  <c r="F72" i="33"/>
  <c r="G72" i="33" s="1"/>
  <c r="F73" i="33"/>
  <c r="G73" i="33" s="1"/>
  <c r="F74" i="33"/>
  <c r="G74" i="33" s="1"/>
  <c r="F75" i="33"/>
  <c r="G75" i="33" s="1"/>
  <c r="F76" i="33"/>
  <c r="G76" i="33" s="1"/>
  <c r="F77" i="33"/>
  <c r="G77" i="33" s="1"/>
  <c r="F78" i="33"/>
  <c r="G78" i="33" s="1"/>
  <c r="F79" i="33"/>
  <c r="G79" i="33" s="1"/>
  <c r="F80" i="33"/>
  <c r="G80" i="33" s="1"/>
  <c r="F81" i="33"/>
  <c r="G81" i="33" s="1"/>
  <c r="F82" i="33"/>
  <c r="G82" i="33" s="1"/>
  <c r="F83" i="33"/>
  <c r="G83" i="33" s="1"/>
  <c r="F84" i="33"/>
  <c r="G84" i="33" s="1"/>
  <c r="F85" i="33"/>
  <c r="G85" i="33" s="1"/>
  <c r="F86" i="33"/>
  <c r="G86" i="33" s="1"/>
  <c r="F87" i="33"/>
  <c r="G87" i="33" s="1"/>
  <c r="F88" i="33"/>
  <c r="G88" i="33" s="1"/>
  <c r="F89" i="33"/>
  <c r="G89" i="33" s="1"/>
  <c r="F90" i="33"/>
  <c r="G90" i="33" s="1"/>
  <c r="F91" i="33"/>
  <c r="G91" i="33"/>
  <c r="F92" i="33"/>
  <c r="G92" i="33" s="1"/>
  <c r="F93" i="33"/>
  <c r="G93" i="33" s="1"/>
  <c r="F94" i="33"/>
  <c r="G94" i="33" s="1"/>
  <c r="F95" i="33"/>
  <c r="G95" i="33" s="1"/>
  <c r="F96" i="33"/>
  <c r="G96" i="33" s="1"/>
  <c r="F97" i="33"/>
  <c r="G97" i="33" s="1"/>
  <c r="F98" i="33"/>
  <c r="G98" i="33" s="1"/>
  <c r="F99" i="33"/>
  <c r="G99" i="33" s="1"/>
  <c r="F100" i="33"/>
  <c r="G100" i="33" s="1"/>
  <c r="F101" i="33"/>
  <c r="G101" i="33" s="1"/>
  <c r="F102" i="33"/>
  <c r="G102" i="33" s="1"/>
  <c r="F103" i="33"/>
  <c r="G103" i="33" s="1"/>
  <c r="F104" i="33"/>
  <c r="G104" i="33"/>
  <c r="F105" i="33"/>
  <c r="G105" i="33" s="1"/>
  <c r="F106" i="33"/>
  <c r="G106" i="33" s="1"/>
  <c r="F107" i="33"/>
  <c r="G107" i="33" s="1"/>
  <c r="F108" i="33"/>
  <c r="G108" i="33" s="1"/>
  <c r="F109" i="33"/>
  <c r="G109" i="33" s="1"/>
  <c r="F110" i="33"/>
  <c r="G110" i="33" s="1"/>
  <c r="F111" i="33"/>
  <c r="G111" i="33" s="1"/>
  <c r="F112" i="33"/>
  <c r="G112" i="33" s="1"/>
  <c r="F113" i="33"/>
  <c r="G113" i="33" s="1"/>
  <c r="F114" i="33"/>
  <c r="G114" i="33" s="1"/>
  <c r="F115" i="33"/>
  <c r="G115" i="33" s="1"/>
  <c r="F116" i="33"/>
  <c r="G116" i="33" s="1"/>
  <c r="F117" i="33"/>
  <c r="G117" i="33" s="1"/>
  <c r="F118" i="33"/>
  <c r="G118" i="33" s="1"/>
  <c r="F119" i="33"/>
  <c r="G119" i="33" s="1"/>
  <c r="F120" i="33"/>
  <c r="G120" i="33" s="1"/>
  <c r="F121" i="33"/>
  <c r="G121" i="33" s="1"/>
  <c r="F122" i="33"/>
  <c r="G122" i="33" s="1"/>
  <c r="F123" i="33"/>
  <c r="G123" i="33" s="1"/>
  <c r="F124" i="33"/>
  <c r="G124" i="33" s="1"/>
  <c r="F125" i="33"/>
  <c r="G125" i="33" s="1"/>
  <c r="F126" i="33"/>
  <c r="G126" i="33" s="1"/>
  <c r="F127" i="33"/>
  <c r="G127" i="33" s="1"/>
  <c r="F128" i="33"/>
  <c r="G128" i="33" s="1"/>
  <c r="F129" i="33"/>
  <c r="G129" i="33" s="1"/>
  <c r="F130" i="33"/>
  <c r="G130" i="33" s="1"/>
  <c r="F131" i="33"/>
  <c r="G131" i="33" s="1"/>
  <c r="F132" i="33"/>
  <c r="G132" i="33"/>
  <c r="F134" i="33"/>
  <c r="G134" i="33" s="1"/>
  <c r="F135" i="33"/>
  <c r="G135" i="33" s="1"/>
  <c r="F136" i="33"/>
  <c r="G136" i="33" s="1"/>
  <c r="F137" i="33"/>
  <c r="G137" i="33" s="1"/>
  <c r="F138" i="33"/>
  <c r="G138" i="33" s="1"/>
  <c r="F139" i="33"/>
  <c r="G139" i="33" s="1"/>
  <c r="F140" i="33"/>
  <c r="G140" i="33" s="1"/>
  <c r="F141" i="33"/>
  <c r="G141" i="33" s="1"/>
  <c r="F142" i="33"/>
  <c r="G142" i="33" s="1"/>
  <c r="F143" i="33"/>
  <c r="G143" i="33" s="1"/>
  <c r="F144" i="33"/>
  <c r="G144" i="33" s="1"/>
  <c r="F145" i="33"/>
  <c r="G145" i="33" s="1"/>
  <c r="F146" i="33"/>
  <c r="G146" i="33" s="1"/>
  <c r="F147" i="33"/>
  <c r="G147" i="33" s="1"/>
  <c r="F148" i="33"/>
  <c r="G148" i="33" s="1"/>
  <c r="F149" i="33"/>
  <c r="G149" i="33" s="1"/>
  <c r="F150" i="33"/>
  <c r="G150" i="33"/>
  <c r="F151" i="33"/>
  <c r="G151" i="33" s="1"/>
  <c r="F152" i="33"/>
  <c r="G152" i="33" s="1"/>
  <c r="F153" i="33"/>
  <c r="G153" i="33" s="1"/>
  <c r="F154" i="33"/>
  <c r="G154" i="33" s="1"/>
  <c r="F155" i="33"/>
  <c r="G155" i="33"/>
  <c r="F156" i="33"/>
  <c r="G156" i="33" s="1"/>
  <c r="F157" i="33"/>
  <c r="G157" i="33" s="1"/>
  <c r="F158" i="33"/>
  <c r="G158" i="33" s="1"/>
  <c r="F105" i="32"/>
  <c r="G105" i="32" s="1"/>
  <c r="I18" i="32"/>
  <c r="I18" i="30" s="1"/>
  <c r="J18" i="30" s="1"/>
  <c r="J18" i="32"/>
  <c r="I19" i="32"/>
  <c r="I20" i="32"/>
  <c r="I21" i="32"/>
  <c r="I22" i="32"/>
  <c r="I23" i="32"/>
  <c r="I23" i="30" s="1"/>
  <c r="J23" i="30" s="1"/>
  <c r="I24" i="32"/>
  <c r="I25" i="32"/>
  <c r="I25" i="30" s="1"/>
  <c r="J25" i="30" s="1"/>
  <c r="J25" i="32"/>
  <c r="I26" i="32"/>
  <c r="I27" i="32"/>
  <c r="I28" i="32"/>
  <c r="I28" i="30" s="1"/>
  <c r="J28" i="30" s="1"/>
  <c r="I29" i="32"/>
  <c r="I29" i="30" s="1"/>
  <c r="J29" i="30" s="1"/>
  <c r="I30" i="32"/>
  <c r="I31" i="32"/>
  <c r="I32" i="32"/>
  <c r="I33" i="32"/>
  <c r="I34" i="32"/>
  <c r="I35" i="32"/>
  <c r="I35" i="30" s="1"/>
  <c r="J35" i="30" s="1"/>
  <c r="I36" i="32"/>
  <c r="I36" i="30" s="1"/>
  <c r="J36" i="30" s="1"/>
  <c r="I37" i="32"/>
  <c r="I38" i="32"/>
  <c r="I39" i="32"/>
  <c r="I40" i="32"/>
  <c r="I41" i="32"/>
  <c r="I42" i="32"/>
  <c r="I43" i="32"/>
  <c r="I44" i="32"/>
  <c r="I45" i="32"/>
  <c r="I46" i="32"/>
  <c r="I47" i="32"/>
  <c r="I47" i="30" s="1"/>
  <c r="J47" i="30" s="1"/>
  <c r="I48" i="32"/>
  <c r="I48" i="30" s="1"/>
  <c r="J48" i="30" s="1"/>
  <c r="I49" i="32"/>
  <c r="I50" i="32"/>
  <c r="I51" i="32"/>
  <c r="I52" i="32"/>
  <c r="I52" i="30" s="1"/>
  <c r="J52" i="30" s="1"/>
  <c r="I53" i="32"/>
  <c r="I53" i="30" s="1"/>
  <c r="J53" i="30" s="1"/>
  <c r="I54" i="32"/>
  <c r="I54" i="30" s="1"/>
  <c r="J54" i="30" s="1"/>
  <c r="J54" i="32"/>
  <c r="I55" i="32"/>
  <c r="I56" i="32"/>
  <c r="I57" i="32"/>
  <c r="I58" i="32"/>
  <c r="I59" i="32"/>
  <c r="I60" i="32"/>
  <c r="I61" i="32"/>
  <c r="I61" i="30" s="1"/>
  <c r="J61" i="30" s="1"/>
  <c r="I62" i="32"/>
  <c r="I63" i="32"/>
  <c r="I64" i="32"/>
  <c r="I65" i="32"/>
  <c r="I66" i="32"/>
  <c r="I67" i="32"/>
  <c r="I68" i="32"/>
  <c r="J68" i="32"/>
  <c r="I69" i="32"/>
  <c r="I70" i="32"/>
  <c r="I71" i="32"/>
  <c r="I72" i="32"/>
  <c r="I73" i="32"/>
  <c r="I73" i="30" s="1"/>
  <c r="J73" i="30" s="1"/>
  <c r="J73" i="32"/>
  <c r="I74" i="32"/>
  <c r="I74" i="30" s="1"/>
  <c r="J74" i="30" s="1"/>
  <c r="I75" i="32"/>
  <c r="J75" i="32"/>
  <c r="I76" i="32"/>
  <c r="I76" i="30" s="1"/>
  <c r="J76" i="30" s="1"/>
  <c r="I77" i="32"/>
  <c r="I77" i="30" s="1"/>
  <c r="J77" i="30" s="1"/>
  <c r="I78" i="32"/>
  <c r="I79" i="32"/>
  <c r="I79" i="30" s="1"/>
  <c r="J79" i="30" s="1"/>
  <c r="I80" i="32"/>
  <c r="I81" i="32"/>
  <c r="I82" i="32"/>
  <c r="I83" i="32"/>
  <c r="I84" i="32"/>
  <c r="I84" i="30" s="1"/>
  <c r="J84" i="30" s="1"/>
  <c r="J84" i="32"/>
  <c r="I85" i="32"/>
  <c r="J85" i="32"/>
  <c r="I86" i="32"/>
  <c r="I87" i="32"/>
  <c r="I87" i="30" s="1"/>
  <c r="J87" i="30" s="1"/>
  <c r="I88" i="32"/>
  <c r="J88" i="32"/>
  <c r="I89" i="32"/>
  <c r="I89" i="30" s="1"/>
  <c r="J89" i="30" s="1"/>
  <c r="I90" i="32"/>
  <c r="I91" i="32"/>
  <c r="J91" i="32"/>
  <c r="I92" i="32"/>
  <c r="I93" i="32"/>
  <c r="I94" i="32"/>
  <c r="I95" i="32"/>
  <c r="I95" i="30" s="1"/>
  <c r="J95" i="30" s="1"/>
  <c r="I96" i="32"/>
  <c r="I97" i="32"/>
  <c r="I97" i="30" s="1"/>
  <c r="J97" i="30" s="1"/>
  <c r="I98" i="32"/>
  <c r="I99" i="32"/>
  <c r="I99" i="30" s="1"/>
  <c r="J99" i="30" s="1"/>
  <c r="I100" i="32"/>
  <c r="I101" i="32"/>
  <c r="J101" i="32"/>
  <c r="I102" i="32"/>
  <c r="I103" i="32"/>
  <c r="I104" i="32"/>
  <c r="I105" i="32"/>
  <c r="I105" i="30" s="1"/>
  <c r="J105" i="30" s="1"/>
  <c r="I106" i="32"/>
  <c r="I106" i="30" s="1"/>
  <c r="J106" i="30" s="1"/>
  <c r="I107" i="32"/>
  <c r="J107" i="32"/>
  <c r="I108" i="32"/>
  <c r="I109" i="32"/>
  <c r="I110" i="32"/>
  <c r="I111" i="32"/>
  <c r="J111" i="32"/>
  <c r="I112" i="32"/>
  <c r="I113" i="32"/>
  <c r="I114" i="32"/>
  <c r="I115" i="32"/>
  <c r="I115" i="30" s="1"/>
  <c r="J115" i="30" s="1"/>
  <c r="I116" i="32"/>
  <c r="I117" i="32"/>
  <c r="I117" i="30" s="1"/>
  <c r="J117" i="30" s="1"/>
  <c r="I118" i="32"/>
  <c r="I119" i="32"/>
  <c r="I120" i="32"/>
  <c r="I121" i="32"/>
  <c r="I122" i="32"/>
  <c r="I123" i="32"/>
  <c r="I124" i="32"/>
  <c r="I125" i="32"/>
  <c r="J125" i="32"/>
  <c r="I126" i="32"/>
  <c r="I127" i="32"/>
  <c r="I128" i="32"/>
  <c r="I128" i="30" s="1"/>
  <c r="J128" i="30" s="1"/>
  <c r="I129" i="32"/>
  <c r="I129" i="30" s="1"/>
  <c r="J129" i="30" s="1"/>
  <c r="I130" i="32"/>
  <c r="I131" i="32"/>
  <c r="I132" i="32"/>
  <c r="I132" i="30" s="1"/>
  <c r="J132" i="30" s="1"/>
  <c r="I133" i="32"/>
  <c r="I134" i="32"/>
  <c r="I135" i="32"/>
  <c r="I136" i="32"/>
  <c r="I137" i="32"/>
  <c r="I138" i="32"/>
  <c r="I139" i="32"/>
  <c r="I140" i="32"/>
  <c r="I141" i="32"/>
  <c r="I142" i="32"/>
  <c r="I143" i="32"/>
  <c r="I144" i="32"/>
  <c r="I145" i="32"/>
  <c r="I145" i="30" s="1"/>
  <c r="J145" i="30" s="1"/>
  <c r="I146" i="32"/>
  <c r="I147" i="32"/>
  <c r="I148" i="32"/>
  <c r="I149" i="32"/>
  <c r="I150" i="32"/>
  <c r="I151" i="32"/>
  <c r="I151" i="30" s="1"/>
  <c r="J151" i="30" s="1"/>
  <c r="I152" i="32"/>
  <c r="I153" i="32"/>
  <c r="I153" i="30" s="1"/>
  <c r="J153" i="30" s="1"/>
  <c r="I154" i="32"/>
  <c r="I155" i="32"/>
  <c r="I156" i="32"/>
  <c r="I156" i="30" s="1"/>
  <c r="J156" i="30" s="1"/>
  <c r="J156" i="32"/>
  <c r="I157" i="32"/>
  <c r="I158" i="32"/>
  <c r="F18" i="32"/>
  <c r="G18" i="32" s="1"/>
  <c r="F19" i="32"/>
  <c r="G19" i="32" s="1"/>
  <c r="F20" i="32"/>
  <c r="G20" i="32" s="1"/>
  <c r="F21" i="32"/>
  <c r="G21" i="32" s="1"/>
  <c r="F22" i="32"/>
  <c r="G22" i="32" s="1"/>
  <c r="F23" i="32"/>
  <c r="G23" i="32" s="1"/>
  <c r="F24" i="32"/>
  <c r="G24" i="32" s="1"/>
  <c r="F25" i="32"/>
  <c r="G25" i="32" s="1"/>
  <c r="F26" i="32"/>
  <c r="G26" i="32" s="1"/>
  <c r="F27" i="32"/>
  <c r="G27" i="32" s="1"/>
  <c r="F28" i="32"/>
  <c r="G28" i="32" s="1"/>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43" i="32"/>
  <c r="G43" i="32" s="1"/>
  <c r="F44" i="32"/>
  <c r="G44" i="32" s="1"/>
  <c r="F45" i="32"/>
  <c r="G45" i="32" s="1"/>
  <c r="F46" i="32"/>
  <c r="G46" i="32" s="1"/>
  <c r="F47" i="32"/>
  <c r="G47" i="32" s="1"/>
  <c r="F48" i="32"/>
  <c r="G48" i="32" s="1"/>
  <c r="F49" i="32"/>
  <c r="G49" i="32" s="1"/>
  <c r="F50" i="32"/>
  <c r="G50" i="32" s="1"/>
  <c r="F51" i="32"/>
  <c r="G51" i="32" s="1"/>
  <c r="F52" i="32"/>
  <c r="G52" i="32" s="1"/>
  <c r="F53" i="32"/>
  <c r="G53" i="32" s="1"/>
  <c r="F54" i="32"/>
  <c r="G54" i="32" s="1"/>
  <c r="F55" i="32"/>
  <c r="G55" i="32" s="1"/>
  <c r="F56" i="32"/>
  <c r="G56" i="32" s="1"/>
  <c r="F57" i="32"/>
  <c r="G57" i="32" s="1"/>
  <c r="F58" i="32"/>
  <c r="G58" i="32" s="1"/>
  <c r="F59" i="32"/>
  <c r="G59" i="32" s="1"/>
  <c r="F60" i="32"/>
  <c r="G60" i="32" s="1"/>
  <c r="F61" i="32"/>
  <c r="G61" i="32" s="1"/>
  <c r="F62" i="32"/>
  <c r="G62" i="32" s="1"/>
  <c r="F63" i="32"/>
  <c r="G63" i="32" s="1"/>
  <c r="F64" i="32"/>
  <c r="G64" i="32" s="1"/>
  <c r="F65" i="32"/>
  <c r="G65" i="32" s="1"/>
  <c r="F66" i="32"/>
  <c r="G66" i="32" s="1"/>
  <c r="F67" i="32"/>
  <c r="G67" i="32" s="1"/>
  <c r="F68" i="32"/>
  <c r="G68" i="32" s="1"/>
  <c r="F69" i="32"/>
  <c r="G69" i="32" s="1"/>
  <c r="F70" i="32"/>
  <c r="G70" i="32" s="1"/>
  <c r="F71" i="32"/>
  <c r="G71" i="32"/>
  <c r="F72" i="32"/>
  <c r="G72" i="32" s="1"/>
  <c r="F73" i="32"/>
  <c r="G73" i="32" s="1"/>
  <c r="F74" i="32"/>
  <c r="G74" i="32" s="1"/>
  <c r="F75" i="32"/>
  <c r="G75" i="32" s="1"/>
  <c r="F76" i="32"/>
  <c r="G76" i="32" s="1"/>
  <c r="F77" i="32"/>
  <c r="G77" i="32" s="1"/>
  <c r="F78" i="32"/>
  <c r="G78" i="32" s="1"/>
  <c r="F79" i="32"/>
  <c r="G79" i="32" s="1"/>
  <c r="F80" i="32"/>
  <c r="G80" i="32" s="1"/>
  <c r="F81" i="32"/>
  <c r="G81" i="32" s="1"/>
  <c r="F82" i="32"/>
  <c r="G82" i="32" s="1"/>
  <c r="F83" i="32"/>
  <c r="G83" i="32" s="1"/>
  <c r="F84" i="32"/>
  <c r="G84" i="32" s="1"/>
  <c r="F85" i="32"/>
  <c r="G85" i="32" s="1"/>
  <c r="F86" i="32"/>
  <c r="G86" i="32" s="1"/>
  <c r="F87" i="32"/>
  <c r="G87" i="32" s="1"/>
  <c r="F88" i="32"/>
  <c r="G88" i="32" s="1"/>
  <c r="F89" i="32"/>
  <c r="G89" i="32" s="1"/>
  <c r="F90" i="32"/>
  <c r="F91" i="32"/>
  <c r="G91" i="32" s="1"/>
  <c r="F92" i="32"/>
  <c r="G92" i="32" s="1"/>
  <c r="F93" i="32"/>
  <c r="G93" i="32" s="1"/>
  <c r="F94" i="32"/>
  <c r="G94" i="32"/>
  <c r="F95" i="32"/>
  <c r="G95" i="32" s="1"/>
  <c r="F96" i="32"/>
  <c r="G96" i="32" s="1"/>
  <c r="F97" i="32"/>
  <c r="G97" i="32" s="1"/>
  <c r="F98" i="32"/>
  <c r="G98" i="32" s="1"/>
  <c r="F99" i="32"/>
  <c r="G99" i="32"/>
  <c r="F100" i="32"/>
  <c r="G100" i="32" s="1"/>
  <c r="F101" i="32"/>
  <c r="G101" i="32" s="1"/>
  <c r="F102" i="32"/>
  <c r="G102" i="32" s="1"/>
  <c r="F103" i="32"/>
  <c r="G103" i="32"/>
  <c r="F104" i="32"/>
  <c r="G104" i="32" s="1"/>
  <c r="F106" i="32"/>
  <c r="G106" i="32" s="1"/>
  <c r="F107" i="32"/>
  <c r="G107" i="32" s="1"/>
  <c r="F108" i="32"/>
  <c r="G108" i="32" s="1"/>
  <c r="F109" i="32"/>
  <c r="G109" i="32" s="1"/>
  <c r="F110" i="32"/>
  <c r="G110" i="32" s="1"/>
  <c r="F111" i="32"/>
  <c r="G111" i="32" s="1"/>
  <c r="F112" i="32"/>
  <c r="G112" i="32" s="1"/>
  <c r="F113" i="32"/>
  <c r="G113" i="32" s="1"/>
  <c r="F114" i="32"/>
  <c r="G114" i="32" s="1"/>
  <c r="F115" i="32"/>
  <c r="G115" i="32" s="1"/>
  <c r="F116" i="32"/>
  <c r="G116" i="32" s="1"/>
  <c r="F117" i="32"/>
  <c r="G117" i="32" s="1"/>
  <c r="F118" i="32"/>
  <c r="G118" i="32" s="1"/>
  <c r="F119" i="32"/>
  <c r="G119" i="32"/>
  <c r="F120" i="32"/>
  <c r="G120" i="32" s="1"/>
  <c r="F121" i="32"/>
  <c r="G121" i="32" s="1"/>
  <c r="F122" i="32"/>
  <c r="G122" i="32" s="1"/>
  <c r="F123" i="32"/>
  <c r="G123" i="32" s="1"/>
  <c r="F124" i="32"/>
  <c r="G124" i="32"/>
  <c r="F125" i="32"/>
  <c r="G125" i="32" s="1"/>
  <c r="F126" i="32"/>
  <c r="G126" i="32" s="1"/>
  <c r="F127" i="32"/>
  <c r="G127" i="32" s="1"/>
  <c r="F128" i="32"/>
  <c r="G128" i="32" s="1"/>
  <c r="F129" i="32"/>
  <c r="G129" i="32" s="1"/>
  <c r="F130" i="32"/>
  <c r="G130" i="32" s="1"/>
  <c r="F131" i="32"/>
  <c r="G131" i="32" s="1"/>
  <c r="F132" i="32"/>
  <c r="G132" i="32" s="1"/>
  <c r="F133" i="32"/>
  <c r="G133" i="32" s="1"/>
  <c r="F134" i="32"/>
  <c r="G134" i="32"/>
  <c r="F135" i="32"/>
  <c r="G135" i="32"/>
  <c r="F136" i="32"/>
  <c r="G136" i="32" s="1"/>
  <c r="F137" i="32"/>
  <c r="G137" i="32" s="1"/>
  <c r="F138" i="32"/>
  <c r="G138" i="32" s="1"/>
  <c r="F139" i="32"/>
  <c r="G139" i="32" s="1"/>
  <c r="F140" i="32"/>
  <c r="G140" i="32" s="1"/>
  <c r="F141" i="32"/>
  <c r="G141" i="32" s="1"/>
  <c r="F142" i="32"/>
  <c r="G142" i="32" s="1"/>
  <c r="F143" i="32"/>
  <c r="G143" i="32" s="1"/>
  <c r="F144" i="32"/>
  <c r="G144" i="32" s="1"/>
  <c r="F145" i="32"/>
  <c r="G145" i="32" s="1"/>
  <c r="F146" i="32"/>
  <c r="G146" i="32" s="1"/>
  <c r="F147" i="32"/>
  <c r="G147" i="32"/>
  <c r="F148" i="32"/>
  <c r="G148" i="32" s="1"/>
  <c r="F149" i="32"/>
  <c r="G149" i="32" s="1"/>
  <c r="F150" i="32"/>
  <c r="G150" i="32" s="1"/>
  <c r="F151" i="32"/>
  <c r="G151" i="32" s="1"/>
  <c r="F152" i="32"/>
  <c r="G152" i="32" s="1"/>
  <c r="F153" i="32"/>
  <c r="G153" i="32" s="1"/>
  <c r="F154" i="32"/>
  <c r="G154" i="32" s="1"/>
  <c r="G155" i="32"/>
  <c r="F156" i="32"/>
  <c r="G156" i="32" s="1"/>
  <c r="F157" i="32"/>
  <c r="G157" i="32" s="1"/>
  <c r="F158" i="32"/>
  <c r="G158" i="32" s="1"/>
  <c r="F16" i="32"/>
  <c r="G16" i="32" s="1"/>
  <c r="F131" i="30"/>
  <c r="G131" i="30" s="1"/>
  <c r="F124" i="30"/>
  <c r="G124" i="30" s="1"/>
  <c r="H2" i="26"/>
  <c r="D2" i="26"/>
  <c r="K2" i="26" s="1"/>
  <c r="H2" i="27"/>
  <c r="D2" i="27"/>
  <c r="K2" i="27" s="1"/>
  <c r="H2" i="28"/>
  <c r="K2" i="28"/>
  <c r="H2" i="31"/>
  <c r="D2" i="31"/>
  <c r="K2" i="31" s="1"/>
  <c r="I18" i="31"/>
  <c r="J18" i="31" s="1"/>
  <c r="I19" i="31"/>
  <c r="J19" i="31" s="1"/>
  <c r="I20" i="31"/>
  <c r="I21" i="31"/>
  <c r="J21" i="31" s="1"/>
  <c r="I22" i="31"/>
  <c r="J22" i="31" s="1"/>
  <c r="I23" i="31"/>
  <c r="J23" i="31" s="1"/>
  <c r="I24" i="31"/>
  <c r="I25" i="31"/>
  <c r="J25" i="31" s="1"/>
  <c r="I26" i="31"/>
  <c r="J26" i="31" s="1"/>
  <c r="I27" i="31"/>
  <c r="J27" i="31" s="1"/>
  <c r="I28" i="31"/>
  <c r="J28" i="31" s="1"/>
  <c r="I29" i="31"/>
  <c r="I30" i="31"/>
  <c r="J30" i="31"/>
  <c r="I31" i="31"/>
  <c r="J31" i="31"/>
  <c r="I32" i="31"/>
  <c r="J32" i="31" s="1"/>
  <c r="I33" i="31"/>
  <c r="I34" i="31"/>
  <c r="J34" i="31"/>
  <c r="I35" i="31"/>
  <c r="J35" i="31" s="1"/>
  <c r="I36" i="31"/>
  <c r="I37" i="31"/>
  <c r="J37" i="31" s="1"/>
  <c r="I38" i="31"/>
  <c r="J38" i="31" s="1"/>
  <c r="I39" i="31"/>
  <c r="I40" i="31"/>
  <c r="I41" i="31"/>
  <c r="I42" i="31"/>
  <c r="J42" i="31" s="1"/>
  <c r="I43" i="31"/>
  <c r="J43" i="31" s="1"/>
  <c r="I44" i="31"/>
  <c r="J44" i="31" s="1"/>
  <c r="I45" i="31"/>
  <c r="J45" i="31" s="1"/>
  <c r="I46" i="31"/>
  <c r="J46" i="31" s="1"/>
  <c r="I47" i="31"/>
  <c r="J47" i="31" s="1"/>
  <c r="I48" i="31"/>
  <c r="J48" i="31" s="1"/>
  <c r="I49" i="31"/>
  <c r="I50" i="31"/>
  <c r="J50" i="31" s="1"/>
  <c r="I51" i="31"/>
  <c r="J51" i="31" s="1"/>
  <c r="I52" i="31"/>
  <c r="J52" i="31"/>
  <c r="I53" i="31"/>
  <c r="I54" i="31"/>
  <c r="J54" i="31" s="1"/>
  <c r="I55" i="31"/>
  <c r="J55" i="31" s="1"/>
  <c r="I56" i="31"/>
  <c r="I57" i="31"/>
  <c r="J57" i="31" s="1"/>
  <c r="I58" i="31"/>
  <c r="J58" i="31" s="1"/>
  <c r="I59" i="31"/>
  <c r="J59" i="31" s="1"/>
  <c r="I60" i="31"/>
  <c r="J60" i="31" s="1"/>
  <c r="I61" i="31"/>
  <c r="J61" i="31" s="1"/>
  <c r="I62" i="31"/>
  <c r="J62" i="31" s="1"/>
  <c r="I63" i="31"/>
  <c r="J63" i="31" s="1"/>
  <c r="I64" i="31"/>
  <c r="J64" i="31" s="1"/>
  <c r="I65" i="31"/>
  <c r="I66" i="31"/>
  <c r="J66" i="31" s="1"/>
  <c r="I67" i="31"/>
  <c r="I68" i="31"/>
  <c r="J68" i="31"/>
  <c r="I69" i="31"/>
  <c r="J69" i="31" s="1"/>
  <c r="I70" i="31"/>
  <c r="J70" i="31" s="1"/>
  <c r="I71" i="31"/>
  <c r="J71" i="31" s="1"/>
  <c r="I72" i="31"/>
  <c r="J72" i="31" s="1"/>
  <c r="I73" i="31"/>
  <c r="I74" i="31"/>
  <c r="J74" i="31" s="1"/>
  <c r="I75" i="31"/>
  <c r="J75" i="31" s="1"/>
  <c r="I76" i="31"/>
  <c r="J76" i="31"/>
  <c r="I77" i="31"/>
  <c r="J77" i="31" s="1"/>
  <c r="I78" i="31"/>
  <c r="J78" i="31" s="1"/>
  <c r="I79" i="31"/>
  <c r="J79" i="31" s="1"/>
  <c r="I80" i="31"/>
  <c r="I81" i="31"/>
  <c r="I82" i="31"/>
  <c r="J82" i="31" s="1"/>
  <c r="I83" i="31"/>
  <c r="J83" i="31" s="1"/>
  <c r="I84" i="31"/>
  <c r="J84" i="31" s="1"/>
  <c r="I85" i="31"/>
  <c r="I86" i="31"/>
  <c r="J86" i="31" s="1"/>
  <c r="I87" i="31"/>
  <c r="J87" i="31" s="1"/>
  <c r="I88" i="31"/>
  <c r="J88" i="31" s="1"/>
  <c r="I89" i="31"/>
  <c r="I90" i="31"/>
  <c r="I91" i="31"/>
  <c r="J91" i="31" s="1"/>
  <c r="I92" i="31"/>
  <c r="J92" i="31" s="1"/>
  <c r="I93" i="31"/>
  <c r="J93" i="31" s="1"/>
  <c r="I94" i="31"/>
  <c r="J94" i="31"/>
  <c r="I95" i="31"/>
  <c r="J95" i="31"/>
  <c r="I96" i="31"/>
  <c r="J96" i="31" s="1"/>
  <c r="I97" i="31"/>
  <c r="I98" i="31"/>
  <c r="J98" i="31" s="1"/>
  <c r="I99" i="31"/>
  <c r="J99" i="31" s="1"/>
  <c r="I100" i="31"/>
  <c r="J100" i="31"/>
  <c r="I101" i="31"/>
  <c r="J101" i="31" s="1"/>
  <c r="I102" i="31"/>
  <c r="J102" i="31" s="1"/>
  <c r="I103" i="31"/>
  <c r="J103" i="31" s="1"/>
  <c r="I104" i="31"/>
  <c r="J104" i="31" s="1"/>
  <c r="I105" i="31"/>
  <c r="J105" i="31" s="1"/>
  <c r="I106" i="31"/>
  <c r="I107" i="31"/>
  <c r="J107" i="31" s="1"/>
  <c r="I108" i="31"/>
  <c r="J108" i="31" s="1"/>
  <c r="I109" i="31"/>
  <c r="J109" i="31" s="1"/>
  <c r="I110" i="31"/>
  <c r="I111" i="31"/>
  <c r="J111" i="31" s="1"/>
  <c r="I112" i="31"/>
  <c r="J112" i="31" s="1"/>
  <c r="I113" i="31"/>
  <c r="J113" i="31" s="1"/>
  <c r="I114" i="31"/>
  <c r="J114" i="31"/>
  <c r="I115" i="31"/>
  <c r="J115" i="31" s="1"/>
  <c r="I116" i="31"/>
  <c r="I117" i="31"/>
  <c r="J117" i="31"/>
  <c r="I118" i="31"/>
  <c r="J118" i="31"/>
  <c r="I119" i="31"/>
  <c r="J119" i="31" s="1"/>
  <c r="I120" i="31"/>
  <c r="J120" i="31" s="1"/>
  <c r="I121" i="31"/>
  <c r="J121" i="31" s="1"/>
  <c r="I122" i="31"/>
  <c r="J122" i="31" s="1"/>
  <c r="I123" i="31"/>
  <c r="J123" i="31" s="1"/>
  <c r="I124" i="31"/>
  <c r="J124" i="31" s="1"/>
  <c r="I125" i="31"/>
  <c r="I126" i="31"/>
  <c r="J127" i="31"/>
  <c r="I128" i="31"/>
  <c r="J128" i="31" s="1"/>
  <c r="I129" i="31"/>
  <c r="J129" i="31" s="1"/>
  <c r="I130" i="31"/>
  <c r="J130" i="31" s="1"/>
  <c r="I131" i="31"/>
  <c r="J131" i="31"/>
  <c r="I132" i="31"/>
  <c r="J132" i="31" s="1"/>
  <c r="I133" i="31"/>
  <c r="J133" i="31" s="1"/>
  <c r="I134" i="31"/>
  <c r="I135" i="31"/>
  <c r="J135" i="31" s="1"/>
  <c r="I136" i="31"/>
  <c r="I137" i="31"/>
  <c r="I138" i="31"/>
  <c r="J138" i="31"/>
  <c r="I139" i="31"/>
  <c r="I140" i="31"/>
  <c r="J140" i="31" s="1"/>
  <c r="I141" i="31"/>
  <c r="J141" i="31" s="1"/>
  <c r="I142" i="31"/>
  <c r="I143" i="31"/>
  <c r="J143" i="31"/>
  <c r="I144" i="31"/>
  <c r="I145" i="31"/>
  <c r="J145" i="31" s="1"/>
  <c r="I146" i="31"/>
  <c r="J146" i="31" s="1"/>
  <c r="I147" i="31"/>
  <c r="J147" i="31" s="1"/>
  <c r="I148" i="31"/>
  <c r="J148" i="31" s="1"/>
  <c r="I149" i="31"/>
  <c r="J149" i="31" s="1"/>
  <c r="I150" i="31"/>
  <c r="J150" i="31" s="1"/>
  <c r="I151" i="31"/>
  <c r="J151" i="31" s="1"/>
  <c r="I152" i="31"/>
  <c r="J152" i="31" s="1"/>
  <c r="I153" i="31"/>
  <c r="J153" i="31" s="1"/>
  <c r="I154" i="31"/>
  <c r="J154" i="31" s="1"/>
  <c r="F18" i="31"/>
  <c r="G18" i="31" s="1"/>
  <c r="F19" i="31"/>
  <c r="G19" i="31" s="1"/>
  <c r="F20" i="31"/>
  <c r="G20" i="31" s="1"/>
  <c r="F21" i="31"/>
  <c r="G21" i="31" s="1"/>
  <c r="F22" i="31"/>
  <c r="G22" i="31" s="1"/>
  <c r="F23" i="31"/>
  <c r="G23" i="31"/>
  <c r="F24" i="31"/>
  <c r="G24" i="31" s="1"/>
  <c r="F25" i="31"/>
  <c r="G25" i="31" s="1"/>
  <c r="F26" i="31"/>
  <c r="G26" i="31" s="1"/>
  <c r="F27" i="31"/>
  <c r="G27" i="31" s="1"/>
  <c r="F28" i="31"/>
  <c r="G28" i="31" s="1"/>
  <c r="F29" i="31"/>
  <c r="G29" i="31" s="1"/>
  <c r="F30" i="31"/>
  <c r="G30" i="31" s="1"/>
  <c r="F31" i="31"/>
  <c r="G31" i="31"/>
  <c r="F32" i="31"/>
  <c r="G32" i="31" s="1"/>
  <c r="F33" i="31"/>
  <c r="G33" i="31" s="1"/>
  <c r="F34" i="31"/>
  <c r="G34" i="31" s="1"/>
  <c r="F35" i="31"/>
  <c r="G35" i="31" s="1"/>
  <c r="F36" i="31"/>
  <c r="G36" i="31"/>
  <c r="F37" i="31"/>
  <c r="G37" i="31" s="1"/>
  <c r="F38" i="31"/>
  <c r="G38" i="31" s="1"/>
  <c r="F39" i="31"/>
  <c r="G39" i="31" s="1"/>
  <c r="F40" i="31"/>
  <c r="G40" i="31" s="1"/>
  <c r="F41" i="31"/>
  <c r="G41" i="31" s="1"/>
  <c r="F42" i="31"/>
  <c r="G42" i="31"/>
  <c r="F43" i="31"/>
  <c r="G43" i="31" s="1"/>
  <c r="F44" i="31"/>
  <c r="G44" i="31" s="1"/>
  <c r="F45" i="31"/>
  <c r="G45" i="31" s="1"/>
  <c r="F46" i="31"/>
  <c r="G46" i="31" s="1"/>
  <c r="F47" i="31"/>
  <c r="G47" i="31"/>
  <c r="F48" i="31"/>
  <c r="G48" i="31"/>
  <c r="F49" i="31"/>
  <c r="G49" i="31" s="1"/>
  <c r="F50" i="31"/>
  <c r="G50" i="31" s="1"/>
  <c r="F51" i="31"/>
  <c r="G51" i="31"/>
  <c r="F52" i="31"/>
  <c r="G52" i="31" s="1"/>
  <c r="F53" i="31"/>
  <c r="G53" i="31"/>
  <c r="F54" i="31"/>
  <c r="G54" i="31" s="1"/>
  <c r="F55" i="31"/>
  <c r="G55" i="31" s="1"/>
  <c r="F56" i="31"/>
  <c r="G56" i="31" s="1"/>
  <c r="F57" i="31"/>
  <c r="G57" i="31"/>
  <c r="F58" i="31"/>
  <c r="G58" i="31"/>
  <c r="F59" i="31"/>
  <c r="G59" i="31"/>
  <c r="F60" i="31"/>
  <c r="G60" i="31" s="1"/>
  <c r="F61" i="31"/>
  <c r="G61" i="31" s="1"/>
  <c r="F62" i="31"/>
  <c r="G62" i="31" s="1"/>
  <c r="F63" i="31"/>
  <c r="G63" i="31"/>
  <c r="F64" i="31"/>
  <c r="G64" i="31"/>
  <c r="F65" i="31"/>
  <c r="G65" i="31"/>
  <c r="F66" i="31"/>
  <c r="G66" i="31"/>
  <c r="F67" i="31"/>
  <c r="G67" i="31" s="1"/>
  <c r="F68" i="31"/>
  <c r="G68" i="31" s="1"/>
  <c r="F69" i="31"/>
  <c r="G69" i="31" s="1"/>
  <c r="F70" i="31"/>
  <c r="G70" i="31" s="1"/>
  <c r="F71" i="31"/>
  <c r="G71" i="31" s="1"/>
  <c r="F72" i="31"/>
  <c r="G72" i="31" s="1"/>
  <c r="F73" i="31"/>
  <c r="G73" i="31" s="1"/>
  <c r="F74" i="31"/>
  <c r="G74" i="31" s="1"/>
  <c r="F75" i="31"/>
  <c r="G75" i="31" s="1"/>
  <c r="F76" i="31"/>
  <c r="G76" i="31" s="1"/>
  <c r="F77" i="31"/>
  <c r="G77" i="31"/>
  <c r="F78" i="31"/>
  <c r="G78" i="31" s="1"/>
  <c r="F79" i="31"/>
  <c r="G79" i="31" s="1"/>
  <c r="F80" i="31"/>
  <c r="G80" i="31" s="1"/>
  <c r="F81" i="31"/>
  <c r="G81" i="31" s="1"/>
  <c r="F82" i="31"/>
  <c r="G82" i="31"/>
  <c r="F83" i="31"/>
  <c r="G83" i="31" s="1"/>
  <c r="F84" i="31"/>
  <c r="G84" i="31" s="1"/>
  <c r="F85" i="31"/>
  <c r="G85" i="31" s="1"/>
  <c r="F86" i="31"/>
  <c r="G86" i="31" s="1"/>
  <c r="F87" i="31"/>
  <c r="G87" i="31"/>
  <c r="F88" i="31"/>
  <c r="G88" i="31" s="1"/>
  <c r="F89" i="31"/>
  <c r="G89" i="31" s="1"/>
  <c r="F90" i="31"/>
  <c r="G90" i="31" s="1"/>
  <c r="F91" i="31"/>
  <c r="G91" i="31" s="1"/>
  <c r="F92" i="31"/>
  <c r="G92" i="31" s="1"/>
  <c r="F93" i="31"/>
  <c r="G93" i="31"/>
  <c r="F94" i="31"/>
  <c r="G94" i="31" s="1"/>
  <c r="F95" i="31"/>
  <c r="G95" i="31" s="1"/>
  <c r="F96" i="31"/>
  <c r="G96" i="31" s="1"/>
  <c r="F97" i="31"/>
  <c r="G97" i="31" s="1"/>
  <c r="F98" i="31"/>
  <c r="G98" i="31" s="1"/>
  <c r="F99" i="31"/>
  <c r="G99" i="31" s="1"/>
  <c r="F100" i="31"/>
  <c r="G100" i="31" s="1"/>
  <c r="F101" i="31"/>
  <c r="G101" i="31" s="1"/>
  <c r="F102" i="31"/>
  <c r="G102" i="31" s="1"/>
  <c r="F103" i="31"/>
  <c r="G103" i="31" s="1"/>
  <c r="F104" i="31"/>
  <c r="G104" i="31"/>
  <c r="F105" i="31"/>
  <c r="G105" i="31" s="1"/>
  <c r="F106" i="31"/>
  <c r="G106" i="31" s="1"/>
  <c r="F107" i="31"/>
  <c r="G107" i="31" s="1"/>
  <c r="F108" i="31"/>
  <c r="G108" i="31" s="1"/>
  <c r="F109" i="31"/>
  <c r="G109" i="31" s="1"/>
  <c r="F110" i="31"/>
  <c r="G110" i="31" s="1"/>
  <c r="F111" i="31"/>
  <c r="G111" i="31" s="1"/>
  <c r="F112" i="31"/>
  <c r="G112" i="31" s="1"/>
  <c r="F113" i="31"/>
  <c r="G113" i="31" s="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s="1"/>
  <c r="F125" i="31"/>
  <c r="G125" i="31" s="1"/>
  <c r="F126" i="31"/>
  <c r="G126" i="31" s="1"/>
  <c r="F127" i="31"/>
  <c r="G127" i="31" s="1"/>
  <c r="F128" i="31"/>
  <c r="G128" i="31" s="1"/>
  <c r="F129" i="31"/>
  <c r="G129" i="31" s="1"/>
  <c r="F130" i="31"/>
  <c r="G130" i="31" s="1"/>
  <c r="F131" i="31"/>
  <c r="G131" i="31" s="1"/>
  <c r="F132" i="31"/>
  <c r="G132" i="31" s="1"/>
  <c r="F133" i="31"/>
  <c r="G133" i="31"/>
  <c r="F134" i="31"/>
  <c r="G134" i="31" s="1"/>
  <c r="F135" i="31"/>
  <c r="G135" i="31" s="1"/>
  <c r="F136" i="31"/>
  <c r="G136" i="31" s="1"/>
  <c r="F137" i="31"/>
  <c r="G137" i="31" s="1"/>
  <c r="F138" i="31"/>
  <c r="G138" i="31" s="1"/>
  <c r="F139" i="31"/>
  <c r="G139" i="31" s="1"/>
  <c r="F140" i="31"/>
  <c r="G140" i="31" s="1"/>
  <c r="F141" i="31"/>
  <c r="G141" i="31" s="1"/>
  <c r="F142" i="31"/>
  <c r="G142" i="31" s="1"/>
  <c r="F143" i="31"/>
  <c r="G143" i="31"/>
  <c r="F144" i="31"/>
  <c r="G144" i="31" s="1"/>
  <c r="F145" i="31"/>
  <c r="G145" i="31" s="1"/>
  <c r="F146" i="31"/>
  <c r="G146" i="31" s="1"/>
  <c r="F147" i="31"/>
  <c r="G147" i="31" s="1"/>
  <c r="F148" i="31"/>
  <c r="G148" i="31" s="1"/>
  <c r="F149" i="31"/>
  <c r="G149" i="31" s="1"/>
  <c r="F150" i="31"/>
  <c r="G150" i="31" s="1"/>
  <c r="F151" i="31"/>
  <c r="G151" i="31" s="1"/>
  <c r="F152" i="31"/>
  <c r="G152" i="31" s="1"/>
  <c r="F153" i="31"/>
  <c r="G153" i="31" s="1"/>
  <c r="F154" i="31"/>
  <c r="G154" i="31" s="1"/>
  <c r="F155" i="31"/>
  <c r="G155" i="31"/>
  <c r="F156" i="31"/>
  <c r="G156" i="31" s="1"/>
  <c r="F157" i="31"/>
  <c r="G157" i="31"/>
  <c r="F158" i="31"/>
  <c r="G158" i="31" s="1"/>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s="1"/>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s="1"/>
  <c r="I64" i="28"/>
  <c r="J64" i="28" s="1"/>
  <c r="I65" i="28"/>
  <c r="J65" i="28"/>
  <c r="I66" i="28"/>
  <c r="J66" i="28" s="1"/>
  <c r="I67" i="28"/>
  <c r="J67" i="28" s="1"/>
  <c r="I68" i="28"/>
  <c r="J68" i="28"/>
  <c r="I69" i="28"/>
  <c r="J69" i="28"/>
  <c r="I70" i="28"/>
  <c r="J70" i="28"/>
  <c r="I71" i="28"/>
  <c r="J71" i="28" s="1"/>
  <c r="I72" i="28"/>
  <c r="J72" i="28" s="1"/>
  <c r="I73" i="28"/>
  <c r="J73" i="28" s="1"/>
  <c r="I74" i="28"/>
  <c r="J74" i="28" s="1"/>
  <c r="I75" i="28"/>
  <c r="J75" i="28" s="1"/>
  <c r="I76" i="28"/>
  <c r="J76" i="28" s="1"/>
  <c r="I77" i="28"/>
  <c r="J77" i="28" s="1"/>
  <c r="I78" i="28"/>
  <c r="J78" i="28" s="1"/>
  <c r="I79" i="28"/>
  <c r="I80" i="28"/>
  <c r="J80" i="28"/>
  <c r="I81" i="28"/>
  <c r="J81" i="28" s="1"/>
  <c r="I82" i="28"/>
  <c r="J82" i="28"/>
  <c r="I83" i="28"/>
  <c r="J83" i="28" s="1"/>
  <c r="I84" i="28"/>
  <c r="J84" i="28" s="1"/>
  <c r="I85" i="28"/>
  <c r="J85" i="28" s="1"/>
  <c r="I86" i="28"/>
  <c r="J86" i="28" s="1"/>
  <c r="I87" i="28"/>
  <c r="J87" i="28"/>
  <c r="I88" i="28"/>
  <c r="J88" i="28" s="1"/>
  <c r="I89" i="28"/>
  <c r="J89" i="28" s="1"/>
  <c r="I90" i="28"/>
  <c r="J90" i="28"/>
  <c r="I91" i="28"/>
  <c r="J91" i="28" s="1"/>
  <c r="I92" i="28"/>
  <c r="J92" i="28" s="1"/>
  <c r="I93" i="28"/>
  <c r="J93" i="28" s="1"/>
  <c r="I94" i="28"/>
  <c r="J94" i="28"/>
  <c r="I95" i="28"/>
  <c r="J95" i="28"/>
  <c r="I96" i="28"/>
  <c r="J96" i="28" s="1"/>
  <c r="I97" i="28"/>
  <c r="J97" i="28" s="1"/>
  <c r="I98" i="28"/>
  <c r="J98" i="28"/>
  <c r="I99" i="28"/>
  <c r="J99" i="28" s="1"/>
  <c r="I100" i="28"/>
  <c r="J100" i="28"/>
  <c r="I101" i="28"/>
  <c r="J101" i="28" s="1"/>
  <c r="I102" i="28"/>
  <c r="J102" i="28" s="1"/>
  <c r="I103" i="28"/>
  <c r="J103" i="28" s="1"/>
  <c r="I104" i="28"/>
  <c r="J104" i="28" s="1"/>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s="1"/>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s="1"/>
  <c r="J133" i="28"/>
  <c r="I134" i="28"/>
  <c r="J134" i="28"/>
  <c r="I135" i="28"/>
  <c r="J135" i="28"/>
  <c r="I137" i="28"/>
  <c r="J137" i="28" s="1"/>
  <c r="I138" i="28"/>
  <c r="J138" i="28" s="1"/>
  <c r="I139" i="28"/>
  <c r="J139" i="28" s="1"/>
  <c r="I140" i="28"/>
  <c r="J140" i="28" s="1"/>
  <c r="I141" i="28"/>
  <c r="J141" i="28" s="1"/>
  <c r="I142" i="28"/>
  <c r="J142" i="28"/>
  <c r="I143" i="28"/>
  <c r="J143" i="28"/>
  <c r="J144" i="28"/>
  <c r="I145" i="28"/>
  <c r="J145" i="28" s="1"/>
  <c r="I146" i="28"/>
  <c r="J146" i="28"/>
  <c r="I147" i="28"/>
  <c r="J147" i="28" s="1"/>
  <c r="I148" i="28"/>
  <c r="J148" i="28" s="1"/>
  <c r="I149" i="28"/>
  <c r="J149" i="28" s="1"/>
  <c r="I150" i="28"/>
  <c r="J150" i="28"/>
  <c r="I151" i="28"/>
  <c r="J151" i="28" s="1"/>
  <c r="I152" i="28"/>
  <c r="J152" i="28" s="1"/>
  <c r="I153" i="28"/>
  <c r="J153" i="28" s="1"/>
  <c r="I154" i="28"/>
  <c r="J154" i="28"/>
  <c r="I155" i="28"/>
  <c r="J155" i="28"/>
  <c r="I156" i="28"/>
  <c r="J156" i="28" s="1"/>
  <c r="I157" i="28"/>
  <c r="J157" i="28" s="1"/>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F35"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F51" i="28"/>
  <c r="G51" i="28"/>
  <c r="F52" i="28"/>
  <c r="G52" i="28"/>
  <c r="F53" i="28"/>
  <c r="G53" i="28"/>
  <c r="F54" i="28"/>
  <c r="G54" i="28"/>
  <c r="F55" i="28"/>
  <c r="G55" i="28" s="1"/>
  <c r="F56" i="28"/>
  <c r="G56" i="28" s="1"/>
  <c r="F57" i="28"/>
  <c r="G57" i="28"/>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c r="F78" i="28"/>
  <c r="G78" i="28" s="1"/>
  <c r="F79" i="28"/>
  <c r="G79" i="28" s="1"/>
  <c r="F80" i="28"/>
  <c r="G80" i="28" s="1"/>
  <c r="F81" i="28"/>
  <c r="G81" i="28" s="1"/>
  <c r="F82" i="28"/>
  <c r="G82" i="28" s="1"/>
  <c r="F83" i="28"/>
  <c r="G83" i="28" s="1"/>
  <c r="F84" i="28"/>
  <c r="G84" i="28" s="1"/>
  <c r="F85" i="28"/>
  <c r="G85" i="28" s="1"/>
  <c r="F86" i="28"/>
  <c r="G86" i="28" s="1"/>
  <c r="F87" i="28"/>
  <c r="G87" i="28"/>
  <c r="F88" i="28"/>
  <c r="G88" i="28" s="1"/>
  <c r="F89" i="28"/>
  <c r="G89" i="28" s="1"/>
  <c r="G90" i="28"/>
  <c r="F91" i="28"/>
  <c r="G91" i="28" s="1"/>
  <c r="F92" i="28"/>
  <c r="G92" i="28" s="1"/>
  <c r="F93" i="28"/>
  <c r="G93" i="28"/>
  <c r="F94" i="28"/>
  <c r="G94" i="28"/>
  <c r="F95" i="28"/>
  <c r="G95" i="28"/>
  <c r="F96" i="28"/>
  <c r="G96" i="28"/>
  <c r="F97" i="28"/>
  <c r="G97" i="28" s="1"/>
  <c r="F98" i="28"/>
  <c r="G98" i="28" s="1"/>
  <c r="F99" i="28"/>
  <c r="G99" i="28"/>
  <c r="F100" i="28"/>
  <c r="G100" i="28"/>
  <c r="F101" i="28"/>
  <c r="G101" i="28" s="1"/>
  <c r="F102" i="28"/>
  <c r="G102" i="28"/>
  <c r="F103" i="28"/>
  <c r="G103" i="28" s="1"/>
  <c r="F104" i="28"/>
  <c r="G104" i="28" s="1"/>
  <c r="F105" i="28"/>
  <c r="G105" i="28"/>
  <c r="F106" i="28"/>
  <c r="G106" i="28"/>
  <c r="F107" i="28"/>
  <c r="G107" i="28" s="1"/>
  <c r="F108" i="28"/>
  <c r="G108" i="28"/>
  <c r="F109" i="28"/>
  <c r="G109" i="28"/>
  <c r="F110" i="28"/>
  <c r="G110" i="28"/>
  <c r="F111" i="28"/>
  <c r="G111" i="28"/>
  <c r="F112" i="28"/>
  <c r="G112" i="28" s="1"/>
  <c r="F113" i="28"/>
  <c r="G113" i="28"/>
  <c r="F114" i="28"/>
  <c r="G114" i="28" s="1"/>
  <c r="F115" i="28"/>
  <c r="G115" i="28" s="1"/>
  <c r="F116" i="28"/>
  <c r="G116" i="28" s="1"/>
  <c r="F117" i="28"/>
  <c r="G117" i="28"/>
  <c r="F118" i="28"/>
  <c r="G118" i="28" s="1"/>
  <c r="F119" i="28"/>
  <c r="G119" i="28"/>
  <c r="F120" i="28"/>
  <c r="G120" i="28"/>
  <c r="F121" i="28"/>
  <c r="G121" i="28" s="1"/>
  <c r="F122" i="28"/>
  <c r="G122" i="28"/>
  <c r="F123" i="28"/>
  <c r="G123" i="28"/>
  <c r="F124" i="28"/>
  <c r="G124" i="28"/>
  <c r="F125" i="28"/>
  <c r="G125" i="28"/>
  <c r="F126" i="28"/>
  <c r="G126" i="28"/>
  <c r="F127" i="28"/>
  <c r="G127" i="28"/>
  <c r="F128" i="28"/>
  <c r="G128" i="28"/>
  <c r="F129" i="28"/>
  <c r="G129" i="28"/>
  <c r="F130" i="28"/>
  <c r="G130" i="28"/>
  <c r="F131" i="28"/>
  <c r="G131" i="28"/>
  <c r="G132" i="28"/>
  <c r="G133" i="28"/>
  <c r="F134" i="28"/>
  <c r="G134" i="28" s="1"/>
  <c r="F135" i="28"/>
  <c r="G135" i="28" s="1"/>
  <c r="G137" i="28"/>
  <c r="G138" i="28"/>
  <c r="G139" i="28"/>
  <c r="F140" i="28"/>
  <c r="G140" i="28"/>
  <c r="F141" i="28"/>
  <c r="G141" i="28"/>
  <c r="F142" i="28"/>
  <c r="G142" i="28"/>
  <c r="F143" i="28"/>
  <c r="G143" i="28"/>
  <c r="F144" i="28"/>
  <c r="G144" i="28" s="1"/>
  <c r="F145" i="28"/>
  <c r="G145" i="28" s="1"/>
  <c r="F146" i="28"/>
  <c r="G146" i="28"/>
  <c r="G147" i="28"/>
  <c r="F148" i="28"/>
  <c r="G148" i="28"/>
  <c r="F149" i="28"/>
  <c r="G149" i="28" s="1"/>
  <c r="F150" i="28"/>
  <c r="G150" i="28" s="1"/>
  <c r="F151" i="28"/>
  <c r="G151" i="28" s="1"/>
  <c r="F152" i="28"/>
  <c r="G152" i="28" s="1"/>
  <c r="F153" i="28"/>
  <c r="G153" i="28"/>
  <c r="F154" i="28"/>
  <c r="G154" i="28"/>
  <c r="F155" i="28"/>
  <c r="G155" i="28"/>
  <c r="F156" i="28"/>
  <c r="G156" i="28"/>
  <c r="F157" i="28"/>
  <c r="G157" i="28" s="1"/>
  <c r="F158" i="28"/>
  <c r="G158" i="28" s="1"/>
  <c r="I18" i="27"/>
  <c r="J18" i="27" s="1"/>
  <c r="I19" i="27"/>
  <c r="I19" i="29" s="1"/>
  <c r="I20" i="27"/>
  <c r="I20" i="29" s="1"/>
  <c r="I21" i="27"/>
  <c r="I21" i="29" s="1"/>
  <c r="I22" i="27"/>
  <c r="I22" i="29" s="1"/>
  <c r="I23" i="27"/>
  <c r="J23" i="27" s="1"/>
  <c r="I24" i="27"/>
  <c r="J24" i="27" s="1"/>
  <c r="I25" i="27"/>
  <c r="J25" i="27" s="1"/>
  <c r="I26" i="27"/>
  <c r="J26" i="27" s="1"/>
  <c r="I27" i="27"/>
  <c r="I27" i="29" s="1"/>
  <c r="I28" i="27"/>
  <c r="J28" i="27" s="1"/>
  <c r="I29" i="27"/>
  <c r="I30" i="27"/>
  <c r="I30" i="29" s="1"/>
  <c r="I31" i="27"/>
  <c r="I31" i="29" s="1"/>
  <c r="I32" i="27"/>
  <c r="J32" i="27" s="1"/>
  <c r="I33" i="27"/>
  <c r="J33" i="27" s="1"/>
  <c r="I34" i="27"/>
  <c r="J34" i="27" s="1"/>
  <c r="I35" i="27"/>
  <c r="I35" i="29" s="1"/>
  <c r="I36" i="27"/>
  <c r="I36" i="29" s="1"/>
  <c r="I37" i="27"/>
  <c r="J37" i="27" s="1"/>
  <c r="I38" i="27"/>
  <c r="J38" i="27" s="1"/>
  <c r="I39" i="27"/>
  <c r="I39" i="29" s="1"/>
  <c r="I40" i="27"/>
  <c r="J40" i="27" s="1"/>
  <c r="I41" i="27"/>
  <c r="J41" i="27" s="1"/>
  <c r="I42" i="27"/>
  <c r="J42" i="27" s="1"/>
  <c r="I43" i="27"/>
  <c r="I43" i="29" s="1"/>
  <c r="I44" i="27"/>
  <c r="I44" i="29" s="1"/>
  <c r="I45" i="27"/>
  <c r="I45" i="29" s="1"/>
  <c r="J45" i="29" s="1"/>
  <c r="I46" i="27"/>
  <c r="J46" i="27" s="1"/>
  <c r="I47" i="27"/>
  <c r="J47" i="27" s="1"/>
  <c r="I48" i="27"/>
  <c r="J48" i="27" s="1"/>
  <c r="I49" i="27"/>
  <c r="J49" i="27" s="1"/>
  <c r="I50" i="27"/>
  <c r="J50" i="27" s="1"/>
  <c r="I51" i="27"/>
  <c r="I51" i="29" s="1"/>
  <c r="I52" i="27"/>
  <c r="I52" i="29" s="1"/>
  <c r="I53" i="27"/>
  <c r="I53" i="29" s="1"/>
  <c r="I54" i="27"/>
  <c r="I54" i="29" s="1"/>
  <c r="I55" i="27"/>
  <c r="J55" i="27" s="1"/>
  <c r="I56" i="27"/>
  <c r="J56" i="27" s="1"/>
  <c r="I57" i="27"/>
  <c r="I57" i="29" s="1"/>
  <c r="I58" i="27"/>
  <c r="I58" i="29" s="1"/>
  <c r="I59" i="27"/>
  <c r="I60" i="27"/>
  <c r="I60" i="29" s="1"/>
  <c r="I61" i="27"/>
  <c r="I61" i="29" s="1"/>
  <c r="J61" i="27"/>
  <c r="I62" i="27"/>
  <c r="I63" i="27"/>
  <c r="I63" i="29" s="1"/>
  <c r="I64" i="27"/>
  <c r="J64" i="27"/>
  <c r="I65" i="27"/>
  <c r="J65" i="27" s="1"/>
  <c r="I66" i="27"/>
  <c r="J66" i="27" s="1"/>
  <c r="I67" i="27"/>
  <c r="I67" i="29" s="1"/>
  <c r="I68" i="27"/>
  <c r="I68" i="29" s="1"/>
  <c r="I69" i="27"/>
  <c r="J69" i="27" s="1"/>
  <c r="I70" i="27"/>
  <c r="I71" i="27"/>
  <c r="I72" i="27"/>
  <c r="I72" i="29" s="1"/>
  <c r="J72" i="27"/>
  <c r="I73" i="27"/>
  <c r="J73" i="27" s="1"/>
  <c r="I74" i="27"/>
  <c r="J74" i="27" s="1"/>
  <c r="I75" i="27"/>
  <c r="I75" i="29" s="1"/>
  <c r="I76" i="27"/>
  <c r="I76" i="29" s="1"/>
  <c r="I77" i="27"/>
  <c r="I77" i="29" s="1"/>
  <c r="J77" i="27"/>
  <c r="I78" i="27"/>
  <c r="I79" i="27"/>
  <c r="I80" i="27"/>
  <c r="J80" i="27" s="1"/>
  <c r="I81" i="27"/>
  <c r="I82" i="27"/>
  <c r="I83" i="27"/>
  <c r="J83" i="27" s="1"/>
  <c r="I84" i="27"/>
  <c r="I84" i="29" s="1"/>
  <c r="I85" i="27"/>
  <c r="I85" i="29" s="1"/>
  <c r="I86" i="27"/>
  <c r="I86" i="29" s="1"/>
  <c r="I87" i="27"/>
  <c r="I87" i="29" s="1"/>
  <c r="I88" i="27"/>
  <c r="J88" i="27" s="1"/>
  <c r="I89" i="27"/>
  <c r="J89" i="27" s="1"/>
  <c r="I90" i="27"/>
  <c r="J90" i="27" s="1"/>
  <c r="I91" i="27"/>
  <c r="J91" i="27"/>
  <c r="I92" i="27"/>
  <c r="I92" i="29" s="1"/>
  <c r="J92" i="27"/>
  <c r="I93" i="27"/>
  <c r="J93" i="27" s="1"/>
  <c r="I94" i="27"/>
  <c r="I94" i="29" s="1"/>
  <c r="I95" i="27"/>
  <c r="I95" i="29" s="1"/>
  <c r="I96" i="27"/>
  <c r="I97" i="27"/>
  <c r="I98" i="27"/>
  <c r="J98" i="27" s="1"/>
  <c r="I99" i="27"/>
  <c r="I100" i="27"/>
  <c r="I100" i="29" s="1"/>
  <c r="I101" i="27"/>
  <c r="I102" i="27"/>
  <c r="J102" i="27" s="1"/>
  <c r="I103" i="27"/>
  <c r="J103" i="27" s="1"/>
  <c r="I104" i="27"/>
  <c r="I105" i="27"/>
  <c r="I105" i="29" s="1"/>
  <c r="J105" i="27"/>
  <c r="I106" i="27"/>
  <c r="J106" i="27" s="1"/>
  <c r="I107" i="27"/>
  <c r="J107" i="27" s="1"/>
  <c r="I108" i="27"/>
  <c r="I108" i="29" s="1"/>
  <c r="I109" i="27"/>
  <c r="I109" i="29" s="1"/>
  <c r="I110" i="27"/>
  <c r="I110" i="29" s="1"/>
  <c r="I111" i="27"/>
  <c r="J111" i="27" s="1"/>
  <c r="I112" i="27"/>
  <c r="I112" i="29" s="1"/>
  <c r="I113" i="27"/>
  <c r="J113" i="27" s="1"/>
  <c r="I114" i="27"/>
  <c r="J114" i="27" s="1"/>
  <c r="I115" i="27"/>
  <c r="I116" i="27"/>
  <c r="I116" i="29" s="1"/>
  <c r="I117" i="27"/>
  <c r="J117" i="27" s="1"/>
  <c r="I118" i="27"/>
  <c r="I118" i="29" s="1"/>
  <c r="J118" i="27"/>
  <c r="I119" i="27"/>
  <c r="J119" i="27" s="1"/>
  <c r="I120" i="27"/>
  <c r="I120" i="29" s="1"/>
  <c r="I121" i="27"/>
  <c r="I121" i="29" s="1"/>
  <c r="I122" i="27"/>
  <c r="J122" i="27" s="1"/>
  <c r="I123" i="27"/>
  <c r="I123" i="29" s="1"/>
  <c r="I124" i="27"/>
  <c r="I124" i="29" s="1"/>
  <c r="I125" i="27"/>
  <c r="J125" i="27" s="1"/>
  <c r="I126" i="27"/>
  <c r="J126" i="27" s="1"/>
  <c r="I127" i="27"/>
  <c r="J127" i="27" s="1"/>
  <c r="I128" i="27"/>
  <c r="I128" i="29" s="1"/>
  <c r="I129" i="27"/>
  <c r="I129" i="29" s="1"/>
  <c r="I130" i="27"/>
  <c r="I130" i="29" s="1"/>
  <c r="I131" i="27"/>
  <c r="J131" i="27" s="1"/>
  <c r="I132" i="27"/>
  <c r="I133" i="27"/>
  <c r="I133" i="29" s="1"/>
  <c r="I134" i="27"/>
  <c r="I134" i="29" s="1"/>
  <c r="I135" i="27"/>
  <c r="I135" i="29" s="1"/>
  <c r="I136" i="27"/>
  <c r="J136" i="27" s="1"/>
  <c r="I137" i="27"/>
  <c r="J137" i="27"/>
  <c r="I138" i="27"/>
  <c r="I138" i="29" s="1"/>
  <c r="J138" i="27"/>
  <c r="I139" i="27"/>
  <c r="I140" i="27"/>
  <c r="J140" i="27" s="1"/>
  <c r="I141" i="27"/>
  <c r="J141" i="27" s="1"/>
  <c r="I142" i="27"/>
  <c r="I143" i="27"/>
  <c r="I143" i="29" s="1"/>
  <c r="J143" i="27"/>
  <c r="I144" i="27"/>
  <c r="J144" i="27" s="1"/>
  <c r="I145" i="27"/>
  <c r="I146" i="27"/>
  <c r="I146" i="29" s="1"/>
  <c r="I147" i="27"/>
  <c r="I147" i="29" s="1"/>
  <c r="J147" i="27"/>
  <c r="I148" i="27"/>
  <c r="J148" i="27" s="1"/>
  <c r="I149" i="27"/>
  <c r="J149" i="27" s="1"/>
  <c r="I150" i="27"/>
  <c r="J150" i="27" s="1"/>
  <c r="I151" i="27"/>
  <c r="I152" i="27"/>
  <c r="I153" i="27"/>
  <c r="J153" i="27" s="1"/>
  <c r="I154" i="27"/>
  <c r="I154" i="29" s="1"/>
  <c r="J154" i="27"/>
  <c r="I155" i="27"/>
  <c r="J155" i="27" s="1"/>
  <c r="I156" i="27"/>
  <c r="I156" i="29" s="1"/>
  <c r="I157" i="27"/>
  <c r="J157" i="27" s="1"/>
  <c r="F10" i="30"/>
  <c r="G10" i="30" s="1"/>
  <c r="F38" i="30"/>
  <c r="G38" i="30" s="1"/>
  <c r="F70" i="30"/>
  <c r="G70" i="30" s="1"/>
  <c r="F87" i="30"/>
  <c r="G87" i="30" s="1"/>
  <c r="F92" i="30"/>
  <c r="G92" i="30" s="1"/>
  <c r="F93" i="30"/>
  <c r="G93" i="30" s="1"/>
  <c r="F101" i="30"/>
  <c r="G101" i="30" s="1"/>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68" i="21"/>
  <c r="J125" i="31"/>
  <c r="J40" i="31"/>
  <c r="J73" i="21"/>
  <c r="J49" i="21"/>
  <c r="J116" i="31"/>
  <c r="J50" i="21"/>
  <c r="J56" i="21"/>
  <c r="J40" i="21"/>
  <c r="J16" i="21"/>
  <c r="J8" i="21"/>
  <c r="J24" i="31"/>
  <c r="J34" i="21"/>
  <c r="J18" i="21"/>
  <c r="J94" i="21"/>
  <c r="J79" i="28"/>
  <c r="J93" i="21"/>
  <c r="J13" i="21"/>
  <c r="J74" i="21"/>
  <c r="J80" i="31"/>
  <c r="J137" i="31"/>
  <c r="J73" i="31"/>
  <c r="J41" i="31"/>
  <c r="J33" i="31"/>
  <c r="F69" i="30"/>
  <c r="G69" i="30" s="1"/>
  <c r="F54" i="30"/>
  <c r="G54" i="30" s="1"/>
  <c r="J145" i="27"/>
  <c r="J82" i="27"/>
  <c r="J58" i="27"/>
  <c r="E2" i="19"/>
  <c r="F59" i="3"/>
  <c r="G59" i="3" s="1"/>
  <c r="F19" i="1"/>
  <c r="G19" i="1" s="1"/>
  <c r="F29" i="1"/>
  <c r="G29" i="1"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37" i="72"/>
  <c r="J21" i="72"/>
  <c r="J5" i="72"/>
  <c r="J22" i="72"/>
  <c r="J43" i="72"/>
  <c r="I17" i="33"/>
  <c r="J17" i="33" s="1"/>
  <c r="F17" i="33"/>
  <c r="G17" i="33" s="1"/>
  <c r="J16" i="33"/>
  <c r="F16" i="33"/>
  <c r="G16" i="33" s="1"/>
  <c r="I17" i="32"/>
  <c r="F17" i="32"/>
  <c r="G17" i="32" s="1"/>
  <c r="I16" i="32"/>
  <c r="I17" i="31"/>
  <c r="J17" i="31" s="1"/>
  <c r="F17" i="31"/>
  <c r="G17" i="31" s="1"/>
  <c r="I16" i="31"/>
  <c r="J16" i="31" s="1"/>
  <c r="F16" i="31"/>
  <c r="G16" i="31" s="1"/>
  <c r="I17" i="28"/>
  <c r="J17" i="28"/>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s="1"/>
  <c r="I14" i="33"/>
  <c r="J14" i="33" s="1"/>
  <c r="F14" i="33"/>
  <c r="G14" i="33" s="1"/>
  <c r="I13" i="33"/>
  <c r="J13" i="33"/>
  <c r="F13" i="33"/>
  <c r="G13" i="33" s="1"/>
  <c r="I12" i="33"/>
  <c r="J12" i="33" s="1"/>
  <c r="F12" i="33"/>
  <c r="G12" i="33"/>
  <c r="I11" i="33"/>
  <c r="J11" i="33" s="1"/>
  <c r="F11" i="33"/>
  <c r="G11" i="33" s="1"/>
  <c r="I10" i="33"/>
  <c r="J10" i="33" s="1"/>
  <c r="F10" i="33"/>
  <c r="G10" i="33" s="1"/>
  <c r="I9" i="33"/>
  <c r="J9" i="33" s="1"/>
  <c r="F9" i="33"/>
  <c r="G9" i="33" s="1"/>
  <c r="I8" i="33"/>
  <c r="J8" i="33" s="1"/>
  <c r="F8" i="33"/>
  <c r="G8" i="33" s="1"/>
  <c r="I7" i="33"/>
  <c r="J7" i="33" s="1"/>
  <c r="F7" i="33"/>
  <c r="G7" i="33" s="1"/>
  <c r="I6" i="33"/>
  <c r="J6" i="33"/>
  <c r="F6" i="33"/>
  <c r="G6" i="33" s="1"/>
  <c r="I5" i="33"/>
  <c r="J5" i="33" s="1"/>
  <c r="F5" i="33"/>
  <c r="G5" i="33" s="1"/>
  <c r="I4" i="33"/>
  <c r="J4" i="33" s="1"/>
  <c r="F4" i="33"/>
  <c r="G4" i="33" s="1"/>
  <c r="K2" i="33"/>
  <c r="A1" i="33" a="1"/>
  <c r="A1" i="33" s="1"/>
  <c r="I15" i="32"/>
  <c r="J15" i="32"/>
  <c r="F15" i="32"/>
  <c r="G15" i="32" s="1"/>
  <c r="I14" i="32"/>
  <c r="F14" i="32"/>
  <c r="G14" i="32" s="1"/>
  <c r="I13" i="32"/>
  <c r="F13" i="32"/>
  <c r="G13" i="32"/>
  <c r="I12" i="32"/>
  <c r="F12" i="32"/>
  <c r="G12" i="32" s="1"/>
  <c r="I11" i="32"/>
  <c r="F11" i="32"/>
  <c r="G11" i="32" s="1"/>
  <c r="I10" i="32"/>
  <c r="F10" i="32"/>
  <c r="G10" i="32" s="1"/>
  <c r="I9" i="32"/>
  <c r="F9" i="32"/>
  <c r="G9" i="32" s="1"/>
  <c r="I8" i="32"/>
  <c r="F8" i="32"/>
  <c r="G8" i="32" s="1"/>
  <c r="I7" i="32"/>
  <c r="F7" i="32"/>
  <c r="G7" i="32" s="1"/>
  <c r="I6" i="32"/>
  <c r="F6" i="32"/>
  <c r="G6" i="32" s="1"/>
  <c r="I5" i="32"/>
  <c r="J5" i="32"/>
  <c r="F5" i="32"/>
  <c r="G5" i="32" s="1"/>
  <c r="I4" i="32"/>
  <c r="F4" i="32"/>
  <c r="G4" i="32" s="1"/>
  <c r="K2" i="32"/>
  <c r="A1" i="32" a="1"/>
  <c r="A1" i="32" s="1"/>
  <c r="I15" i="31"/>
  <c r="J15" i="31" s="1"/>
  <c r="F15" i="31"/>
  <c r="G15" i="31" s="1"/>
  <c r="I14" i="31"/>
  <c r="J14" i="31" s="1"/>
  <c r="F14" i="31"/>
  <c r="G14" i="31"/>
  <c r="I13" i="31"/>
  <c r="J13" i="31" s="1"/>
  <c r="F13" i="31"/>
  <c r="G13" i="31" s="1"/>
  <c r="I12" i="31"/>
  <c r="J12" i="31"/>
  <c r="F12" i="31"/>
  <c r="G12" i="31" s="1"/>
  <c r="I11" i="31"/>
  <c r="J11" i="31"/>
  <c r="F11" i="31"/>
  <c r="G11" i="31" s="1"/>
  <c r="I10" i="31"/>
  <c r="J10" i="31" s="1"/>
  <c r="F10" i="31"/>
  <c r="G10" i="31" s="1"/>
  <c r="I9" i="31"/>
  <c r="J9" i="31" s="1"/>
  <c r="F9" i="31"/>
  <c r="G9" i="31"/>
  <c r="I8" i="31"/>
  <c r="J8" i="31" s="1"/>
  <c r="F8" i="31"/>
  <c r="G8" i="31"/>
  <c r="I7" i="31"/>
  <c r="J7" i="31" s="1"/>
  <c r="F7" i="31"/>
  <c r="G7" i="31" s="1"/>
  <c r="I6" i="31"/>
  <c r="J6" i="31" s="1"/>
  <c r="F6" i="31"/>
  <c r="G6" i="31"/>
  <c r="I5" i="31"/>
  <c r="J5" i="31" s="1"/>
  <c r="F5" i="31"/>
  <c r="G5" i="31" s="1"/>
  <c r="I4" i="31"/>
  <c r="J4" i="31"/>
  <c r="F4" i="31"/>
  <c r="G4" i="31" s="1"/>
  <c r="E2" i="31"/>
  <c r="A1" i="31" a="1"/>
  <c r="A1" i="31" s="1"/>
  <c r="I15" i="28"/>
  <c r="J15" i="28"/>
  <c r="F15" i="28"/>
  <c r="G15" i="28"/>
  <c r="I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A1" i="28" a="1"/>
  <c r="A1" i="28" s="1"/>
  <c r="I15" i="27"/>
  <c r="I15" i="29" s="1"/>
  <c r="I14" i="27"/>
  <c r="I14" i="29" s="1"/>
  <c r="J14" i="27"/>
  <c r="I13" i="27"/>
  <c r="J13" i="27" s="1"/>
  <c r="I12" i="27"/>
  <c r="I12" i="29" s="1"/>
  <c r="I11" i="27"/>
  <c r="I11" i="29" s="1"/>
  <c r="I10" i="27"/>
  <c r="I10" i="29" s="1"/>
  <c r="I9" i="27"/>
  <c r="J9" i="27" s="1"/>
  <c r="I8" i="27"/>
  <c r="J8" i="27" s="1"/>
  <c r="I7" i="27"/>
  <c r="I7" i="29" s="1"/>
  <c r="J7" i="27"/>
  <c r="I6" i="27"/>
  <c r="I6" i="29" s="1"/>
  <c r="I5" i="27"/>
  <c r="J5" i="27" s="1"/>
  <c r="F5" i="27"/>
  <c r="G5" i="27" s="1"/>
  <c r="I4" i="29"/>
  <c r="E2" i="27"/>
  <c r="A1" i="27" a="1"/>
  <c r="A1" i="27" s="1"/>
  <c r="E2" i="26"/>
  <c r="A1" i="26" a="1"/>
  <c r="A1" i="26" s="1"/>
  <c r="A1" i="19" a="1"/>
  <c r="A1" i="19" s="1"/>
  <c r="A1" i="20" a="1"/>
  <c r="A1" i="20"/>
  <c r="A1" i="21" a="1"/>
  <c r="A1" i="21" s="1"/>
  <c r="A1" i="4" a="1"/>
  <c r="A1" i="4" s="1"/>
  <c r="K2" i="3"/>
  <c r="A1" i="3" a="1"/>
  <c r="A1" i="3" s="1"/>
  <c r="A1" i="72" a="1"/>
  <c r="A1" i="72" s="1"/>
  <c r="I2" i="33"/>
  <c r="J2" i="33" s="1"/>
  <c r="I51" i="30" l="1"/>
  <c r="J51" i="30" s="1"/>
  <c r="I123" i="30"/>
  <c r="J123" i="30" s="1"/>
  <c r="I26" i="30"/>
  <c r="J26" i="30" s="1"/>
  <c r="I155" i="30"/>
  <c r="J155" i="30" s="1"/>
  <c r="I130" i="30"/>
  <c r="J130" i="30" s="1"/>
  <c r="I78" i="30"/>
  <c r="J78" i="30" s="1"/>
  <c r="I107" i="30"/>
  <c r="J107" i="30" s="1"/>
  <c r="I96" i="30"/>
  <c r="J96" i="30" s="1"/>
  <c r="I55" i="30"/>
  <c r="J55" i="30" s="1"/>
  <c r="I138" i="30"/>
  <c r="J138" i="30" s="1"/>
  <c r="I85" i="30"/>
  <c r="J85" i="30" s="1"/>
  <c r="I16" i="30"/>
  <c r="J16" i="30" s="1"/>
  <c r="I114" i="30"/>
  <c r="J114" i="30" s="1"/>
  <c r="I93" i="30"/>
  <c r="J93" i="30" s="1"/>
  <c r="I136" i="30"/>
  <c r="J136" i="30" s="1"/>
  <c r="I103" i="30"/>
  <c r="J103" i="30" s="1"/>
  <c r="I40" i="30"/>
  <c r="J40" i="30" s="1"/>
  <c r="I147" i="30"/>
  <c r="J147" i="30" s="1"/>
  <c r="I124" i="30"/>
  <c r="J124" i="30" s="1"/>
  <c r="I102" i="30"/>
  <c r="J102" i="30" s="1"/>
  <c r="I157" i="30"/>
  <c r="J157" i="30" s="1"/>
  <c r="I50" i="30"/>
  <c r="J50" i="30" s="1"/>
  <c r="I81" i="30"/>
  <c r="J81" i="30" s="1"/>
  <c r="I71" i="30"/>
  <c r="J71" i="30" s="1"/>
  <c r="I60" i="30"/>
  <c r="J60" i="30" s="1"/>
  <c r="I17" i="30"/>
  <c r="J17" i="30" s="1"/>
  <c r="I91" i="30"/>
  <c r="J91" i="30" s="1"/>
  <c r="I49" i="30"/>
  <c r="J49" i="30" s="1"/>
  <c r="I80" i="30"/>
  <c r="J80" i="30" s="1"/>
  <c r="I109" i="30"/>
  <c r="J109" i="30" s="1"/>
  <c r="I69" i="30"/>
  <c r="J69" i="30" s="1"/>
  <c r="I58" i="30"/>
  <c r="J58" i="30" s="1"/>
  <c r="I152" i="30"/>
  <c r="J152" i="30" s="1"/>
  <c r="I30" i="30"/>
  <c r="J30" i="30" s="1"/>
  <c r="I90" i="30"/>
  <c r="J90" i="30" s="1"/>
  <c r="I88" i="30"/>
  <c r="J88" i="30" s="1"/>
  <c r="I113" i="30"/>
  <c r="J113" i="30" s="1"/>
  <c r="I112" i="30"/>
  <c r="J112" i="30" s="1"/>
  <c r="I66" i="30"/>
  <c r="J66" i="30" s="1"/>
  <c r="I65" i="30"/>
  <c r="J65" i="30" s="1"/>
  <c r="I83" i="30"/>
  <c r="J83" i="30" s="1"/>
  <c r="I82" i="30"/>
  <c r="J82" i="30" s="1"/>
  <c r="I75" i="30"/>
  <c r="J75" i="30" s="1"/>
  <c r="I111" i="30"/>
  <c r="J111" i="30" s="1"/>
  <c r="I98" i="30"/>
  <c r="J98" i="30" s="1"/>
  <c r="I101" i="30"/>
  <c r="J101" i="30" s="1"/>
  <c r="I92" i="30"/>
  <c r="J92" i="30" s="1"/>
  <c r="I70" i="30"/>
  <c r="J70" i="30" s="1"/>
  <c r="I149" i="30"/>
  <c r="J149" i="30" s="1"/>
  <c r="I116" i="30"/>
  <c r="J116" i="30" s="1"/>
  <c r="I62" i="30"/>
  <c r="J62" i="30" s="1"/>
  <c r="I68" i="30"/>
  <c r="J68" i="30" s="1"/>
  <c r="I108" i="30"/>
  <c r="J108" i="30" s="1"/>
  <c r="I125" i="30"/>
  <c r="J125" i="30" s="1"/>
  <c r="I122" i="30"/>
  <c r="J122" i="30" s="1"/>
  <c r="I46" i="30"/>
  <c r="J46" i="30" s="1"/>
  <c r="I154" i="30"/>
  <c r="J154" i="30" s="1"/>
  <c r="I57" i="30"/>
  <c r="J57" i="30" s="1"/>
  <c r="I141" i="30"/>
  <c r="J141" i="30" s="1"/>
  <c r="I45" i="30"/>
  <c r="J45" i="30" s="1"/>
  <c r="I140" i="30"/>
  <c r="J140" i="30" s="1"/>
  <c r="I39" i="30"/>
  <c r="J39" i="30" s="1"/>
  <c r="I38" i="30"/>
  <c r="J38" i="30" s="1"/>
  <c r="I139" i="30"/>
  <c r="J139" i="30" s="1"/>
  <c r="I137" i="30"/>
  <c r="J137" i="30" s="1"/>
  <c r="I32" i="30"/>
  <c r="J32" i="30" s="1"/>
  <c r="I135" i="30"/>
  <c r="I31" i="30"/>
  <c r="J31" i="30" s="1"/>
  <c r="I56" i="30"/>
  <c r="J56" i="30" s="1"/>
  <c r="I24" i="30"/>
  <c r="J24" i="30" s="1"/>
  <c r="I133" i="30"/>
  <c r="J133" i="30" s="1"/>
  <c r="I21" i="30"/>
  <c r="J21" i="30" s="1"/>
  <c r="I121" i="30"/>
  <c r="J121" i="30" s="1"/>
  <c r="I120" i="30"/>
  <c r="J120" i="30" s="1"/>
  <c r="I20" i="30"/>
  <c r="J20" i="30" s="1"/>
  <c r="I19" i="30"/>
  <c r="J19" i="30" s="1"/>
  <c r="I131" i="30"/>
  <c r="J131" i="30" s="1"/>
  <c r="I15" i="30"/>
  <c r="J15" i="30" s="1"/>
  <c r="I13" i="30"/>
  <c r="J13" i="30" s="1"/>
  <c r="I12" i="30"/>
  <c r="J12" i="30" s="1"/>
  <c r="I11" i="30"/>
  <c r="J11" i="30" s="1"/>
  <c r="I127" i="30"/>
  <c r="J127" i="30" s="1"/>
  <c r="I9" i="30"/>
  <c r="J9" i="30" s="1"/>
  <c r="I8" i="30"/>
  <c r="J8" i="30" s="1"/>
  <c r="I7" i="30"/>
  <c r="J7" i="30" s="1"/>
  <c r="I5" i="30"/>
  <c r="I4" i="30"/>
  <c r="I148" i="30"/>
  <c r="J148" i="30" s="1"/>
  <c r="I100" i="30"/>
  <c r="J100" i="30" s="1"/>
  <c r="I143" i="30"/>
  <c r="J143" i="30" s="1"/>
  <c r="I119" i="30"/>
  <c r="J119" i="30" s="1"/>
  <c r="I146" i="30"/>
  <c r="J146" i="30" s="1"/>
  <c r="I39" i="34"/>
  <c r="I68" i="34"/>
  <c r="J115" i="32"/>
  <c r="J145" i="32"/>
  <c r="J144" i="32"/>
  <c r="I144" i="30"/>
  <c r="J144" i="30" s="1"/>
  <c r="J106" i="32"/>
  <c r="J105" i="32"/>
  <c r="J55" i="32"/>
  <c r="J53" i="32"/>
  <c r="J51" i="32"/>
  <c r="J50" i="32"/>
  <c r="J49" i="32"/>
  <c r="J48" i="32"/>
  <c r="J47" i="32"/>
  <c r="J79" i="32"/>
  <c r="J96" i="32"/>
  <c r="J93" i="32"/>
  <c r="J157" i="32"/>
  <c r="J155" i="32"/>
  <c r="J153" i="32"/>
  <c r="J152" i="32"/>
  <c r="J149" i="32"/>
  <c r="J103" i="32"/>
  <c r="J6" i="32"/>
  <c r="I6" i="30"/>
  <c r="J6" i="30" s="1"/>
  <c r="J90" i="32"/>
  <c r="J89" i="32"/>
  <c r="J113" i="32"/>
  <c r="J112" i="32"/>
  <c r="J67" i="32"/>
  <c r="I67" i="30"/>
  <c r="J67" i="30" s="1"/>
  <c r="J66" i="32"/>
  <c r="J65" i="32"/>
  <c r="J64" i="32"/>
  <c r="I64" i="30"/>
  <c r="J64" i="30" s="1"/>
  <c r="J63" i="32"/>
  <c r="I63" i="30"/>
  <c r="J63" i="30" s="1"/>
  <c r="J83" i="32"/>
  <c r="J82" i="32"/>
  <c r="J77" i="32"/>
  <c r="J76" i="32"/>
  <c r="J97" i="32"/>
  <c r="J61" i="32"/>
  <c r="J87" i="32"/>
  <c r="J86" i="32"/>
  <c r="I86" i="30"/>
  <c r="J86" i="30" s="1"/>
  <c r="J98" i="32"/>
  <c r="J60" i="32"/>
  <c r="J104" i="32"/>
  <c r="I104" i="30"/>
  <c r="J104" i="30" s="1"/>
  <c r="J59" i="32"/>
  <c r="I59" i="30"/>
  <c r="J59" i="30" s="1"/>
  <c r="J72" i="32"/>
  <c r="I72" i="30"/>
  <c r="J72" i="30" s="1"/>
  <c r="J81" i="32"/>
  <c r="J80" i="32"/>
  <c r="J99" i="32"/>
  <c r="J92" i="32"/>
  <c r="J110" i="32"/>
  <c r="I110" i="30"/>
  <c r="J110" i="30" s="1"/>
  <c r="J118" i="32"/>
  <c r="I118" i="30"/>
  <c r="J118" i="30" s="1"/>
  <c r="J71" i="32"/>
  <c r="J70" i="32"/>
  <c r="J116" i="32"/>
  <c r="J158" i="32"/>
  <c r="I158" i="30"/>
  <c r="J158" i="30" s="1"/>
  <c r="J69" i="32"/>
  <c r="J62" i="32"/>
  <c r="J114" i="32"/>
  <c r="J109" i="32"/>
  <c r="J58" i="32"/>
  <c r="J150" i="32"/>
  <c r="I150" i="30"/>
  <c r="J150" i="30" s="1"/>
  <c r="J108" i="32"/>
  <c r="J126" i="32"/>
  <c r="I126" i="30"/>
  <c r="J126" i="30" s="1"/>
  <c r="J124" i="32"/>
  <c r="J123" i="32"/>
  <c r="J122" i="32"/>
  <c r="J46" i="32"/>
  <c r="J147" i="32"/>
  <c r="J154" i="32"/>
  <c r="J57" i="32"/>
  <c r="J95" i="32"/>
  <c r="J94" i="32"/>
  <c r="I94" i="30"/>
  <c r="J94" i="30" s="1"/>
  <c r="J74" i="32"/>
  <c r="J142" i="32"/>
  <c r="I142" i="30"/>
  <c r="J142" i="30" s="1"/>
  <c r="J141" i="32"/>
  <c r="J44" i="32"/>
  <c r="I44" i="30"/>
  <c r="J44" i="30" s="1"/>
  <c r="J43" i="32"/>
  <c r="I43" i="30"/>
  <c r="J43" i="30" s="1"/>
  <c r="J42" i="32"/>
  <c r="I42" i="30"/>
  <c r="J42" i="30" s="1"/>
  <c r="J41" i="32"/>
  <c r="I41" i="30"/>
  <c r="J41" i="30" s="1"/>
  <c r="J40" i="32"/>
  <c r="J140" i="32"/>
  <c r="J39" i="32"/>
  <c r="J38" i="32"/>
  <c r="J138" i="32"/>
  <c r="J37" i="32"/>
  <c r="I37" i="30"/>
  <c r="J37" i="30" s="1"/>
  <c r="J139" i="32"/>
  <c r="J137" i="32"/>
  <c r="J36" i="32"/>
  <c r="J35" i="32"/>
  <c r="J34" i="32"/>
  <c r="I34" i="30"/>
  <c r="J34" i="30" s="1"/>
  <c r="J136" i="32"/>
  <c r="J33" i="32"/>
  <c r="I33" i="30"/>
  <c r="J33" i="30" s="1"/>
  <c r="J32" i="32"/>
  <c r="J135" i="32"/>
  <c r="J30" i="32"/>
  <c r="J29" i="32"/>
  <c r="J28" i="32"/>
  <c r="J56" i="32"/>
  <c r="J26" i="32"/>
  <c r="J24" i="32"/>
  <c r="J23" i="32"/>
  <c r="J22" i="32"/>
  <c r="I22" i="30"/>
  <c r="J22" i="30" s="1"/>
  <c r="J134" i="32"/>
  <c r="I134" i="30"/>
  <c r="J134" i="30" s="1"/>
  <c r="J133" i="32"/>
  <c r="J21" i="32"/>
  <c r="J117" i="32"/>
  <c r="J121" i="32"/>
  <c r="J120" i="32"/>
  <c r="J132" i="32"/>
  <c r="J20" i="32"/>
  <c r="J17" i="32"/>
  <c r="J131" i="32"/>
  <c r="J14" i="32"/>
  <c r="I14" i="30"/>
  <c r="J14" i="30" s="1"/>
  <c r="J13" i="32"/>
  <c r="J12" i="32"/>
  <c r="J130" i="32"/>
  <c r="J129" i="32"/>
  <c r="J11" i="32"/>
  <c r="J128" i="32"/>
  <c r="J127" i="32"/>
  <c r="J10" i="32"/>
  <c r="I10" i="30"/>
  <c r="J10" i="30" s="1"/>
  <c r="J9" i="32"/>
  <c r="J7" i="32"/>
  <c r="I2" i="32"/>
  <c r="J2" i="32" s="1"/>
  <c r="J4" i="32"/>
  <c r="J148" i="32"/>
  <c r="J27" i="32"/>
  <c r="I27" i="30"/>
  <c r="J27" i="30" s="1"/>
  <c r="F2" i="32"/>
  <c r="G2" i="32" s="1"/>
  <c r="J100" i="32"/>
  <c r="J151" i="32"/>
  <c r="J143" i="32"/>
  <c r="J119" i="32"/>
  <c r="J146" i="32"/>
  <c r="F48" i="30"/>
  <c r="G48" i="30" s="1"/>
  <c r="F21" i="30"/>
  <c r="G21" i="30" s="1"/>
  <c r="J67" i="31"/>
  <c r="F55" i="30"/>
  <c r="G55" i="30" s="1"/>
  <c r="D144" i="34"/>
  <c r="D136" i="34"/>
  <c r="J65" i="31"/>
  <c r="J90" i="31"/>
  <c r="J29" i="31"/>
  <c r="F65" i="30"/>
  <c r="G65" i="30" s="1"/>
  <c r="J85" i="31"/>
  <c r="J81" i="31"/>
  <c r="D120" i="34"/>
  <c r="D126" i="34"/>
  <c r="D125" i="34"/>
  <c r="J39" i="31"/>
  <c r="J56" i="31"/>
  <c r="F8" i="30"/>
  <c r="G8" i="30" s="1"/>
  <c r="I109" i="34"/>
  <c r="D127" i="34"/>
  <c r="F73" i="30"/>
  <c r="G73" i="30" s="1"/>
  <c r="F66" i="30"/>
  <c r="G66" i="30" s="1"/>
  <c r="I29" i="34"/>
  <c r="I15" i="34"/>
  <c r="D105" i="34"/>
  <c r="D100" i="34"/>
  <c r="D158" i="34"/>
  <c r="I29" i="29"/>
  <c r="I64" i="29"/>
  <c r="I151" i="29"/>
  <c r="I132" i="29"/>
  <c r="I132" i="34" s="1"/>
  <c r="I79" i="29"/>
  <c r="I137" i="29"/>
  <c r="I137" i="34" s="1"/>
  <c r="I139" i="29"/>
  <c r="I142" i="29"/>
  <c r="I145" i="29"/>
  <c r="D146" i="34"/>
  <c r="I96" i="29"/>
  <c r="I115" i="29"/>
  <c r="I152" i="29"/>
  <c r="J156" i="29"/>
  <c r="D113" i="34"/>
  <c r="I78" i="29"/>
  <c r="I78" i="34" s="1"/>
  <c r="F2" i="28"/>
  <c r="G2" i="28" s="1"/>
  <c r="I82" i="29"/>
  <c r="D107" i="34"/>
  <c r="I97" i="29"/>
  <c r="D111" i="34"/>
  <c r="I104" i="29"/>
  <c r="I59" i="29"/>
  <c r="I81" i="29"/>
  <c r="I101" i="29"/>
  <c r="D99" i="34"/>
  <c r="I99" i="29"/>
  <c r="I71" i="29"/>
  <c r="I70" i="29"/>
  <c r="I91" i="29"/>
  <c r="I62" i="29"/>
  <c r="I2" i="28"/>
  <c r="J2" i="28" s="1"/>
  <c r="F159" i="1"/>
  <c r="G159" i="1" s="1"/>
  <c r="F163" i="1"/>
  <c r="G163" i="1" s="1"/>
  <c r="J164" i="34"/>
  <c r="J160" i="1"/>
  <c r="F160" i="34"/>
  <c r="G160" i="34" s="1"/>
  <c r="J159" i="1"/>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J92" i="1"/>
  <c r="I82"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E147" i="34"/>
  <c r="E143" i="34"/>
  <c r="E141" i="34"/>
  <c r="E139" i="34"/>
  <c r="E135" i="34"/>
  <c r="E133" i="34"/>
  <c r="E131" i="34"/>
  <c r="E127" i="34"/>
  <c r="E125" i="34"/>
  <c r="E123" i="34"/>
  <c r="H117" i="34"/>
  <c r="H113" i="34"/>
  <c r="H111" i="34"/>
  <c r="H109" i="34"/>
  <c r="H105" i="34"/>
  <c r="H103" i="34"/>
  <c r="H101" i="34"/>
  <c r="J163" i="34"/>
  <c r="J162" i="1"/>
  <c r="D157" i="34"/>
  <c r="D149" i="34"/>
  <c r="D147" i="34"/>
  <c r="D141" i="34"/>
  <c r="D139" i="34"/>
  <c r="D133" i="34"/>
  <c r="D131" i="34"/>
  <c r="F131" i="34" s="1"/>
  <c r="G131" i="34" s="1"/>
  <c r="D123" i="34"/>
  <c r="E119" i="34"/>
  <c r="E117" i="34"/>
  <c r="F117" i="34" s="1"/>
  <c r="G117" i="34" s="1"/>
  <c r="E115" i="34"/>
  <c r="E111" i="34"/>
  <c r="E109" i="34"/>
  <c r="E107" i="34"/>
  <c r="E103" i="34"/>
  <c r="E101" i="34"/>
  <c r="E99"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I35" i="34"/>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E105" i="34"/>
  <c r="I162" i="34"/>
  <c r="J162" i="34" s="1"/>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E159" i="34"/>
  <c r="F159" i="34" s="1"/>
  <c r="G159" i="34" s="1"/>
  <c r="J161" i="1"/>
  <c r="H154" i="34"/>
  <c r="H152" i="34"/>
  <c r="H146" i="34"/>
  <c r="H144" i="34"/>
  <c r="H138" i="34"/>
  <c r="H136" i="34"/>
  <c r="H130" i="34"/>
  <c r="H128" i="34"/>
  <c r="H122" i="34"/>
  <c r="H120" i="34"/>
  <c r="F162" i="34"/>
  <c r="G162" i="34" s="1"/>
  <c r="E158" i="34"/>
  <c r="J160" i="34"/>
  <c r="H107"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E144" i="34"/>
  <c r="E142" i="34"/>
  <c r="E140" i="34"/>
  <c r="F140" i="34" s="1"/>
  <c r="G140" i="34" s="1"/>
  <c r="E138" i="34"/>
  <c r="E136" i="34"/>
  <c r="E134" i="34"/>
  <c r="E132" i="34"/>
  <c r="E130" i="34"/>
  <c r="E128" i="34"/>
  <c r="E126" i="34"/>
  <c r="E124" i="34"/>
  <c r="E122" i="34"/>
  <c r="F122" i="34" s="1"/>
  <c r="G122" i="34" s="1"/>
  <c r="E120" i="34"/>
  <c r="H116" i="34"/>
  <c r="H114" i="34"/>
  <c r="H112" i="34"/>
  <c r="H108" i="34"/>
  <c r="H106" i="34"/>
  <c r="H104" i="34"/>
  <c r="H100" i="34"/>
  <c r="H98" i="34"/>
  <c r="J159"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D132" i="34"/>
  <c r="D128" i="34"/>
  <c r="E118" i="34"/>
  <c r="E116" i="34"/>
  <c r="E114" i="34"/>
  <c r="E112" i="34"/>
  <c r="E110" i="34"/>
  <c r="E108" i="34"/>
  <c r="E106" i="34"/>
  <c r="E104" i="34"/>
  <c r="E102" i="34"/>
  <c r="E98" i="34"/>
  <c r="F162" i="1"/>
  <c r="G162" i="1" s="1"/>
  <c r="D4" i="34"/>
  <c r="H115"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D102" i="34"/>
  <c r="D98" i="34"/>
  <c r="E164" i="34"/>
  <c r="F164" i="34" s="1"/>
  <c r="G164" i="34" s="1"/>
  <c r="E153" i="34"/>
  <c r="E145" i="34"/>
  <c r="E137" i="34"/>
  <c r="E129" i="34"/>
  <c r="E121" i="34"/>
  <c r="F121" i="34" s="1"/>
  <c r="G121" i="34" s="1"/>
  <c r="H99"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H135" i="34"/>
  <c r="H133" i="34"/>
  <c r="H131" i="34"/>
  <c r="H129" i="34"/>
  <c r="H127" i="34"/>
  <c r="H125" i="34"/>
  <c r="H123" i="34"/>
  <c r="H121" i="34"/>
  <c r="H119" i="34"/>
  <c r="E163" i="34"/>
  <c r="F163" i="34" s="1"/>
  <c r="G163" i="34" s="1"/>
  <c r="F160" i="1"/>
  <c r="G160" i="1" s="1"/>
  <c r="H161" i="34"/>
  <c r="J161" i="34" s="1"/>
  <c r="E161" i="34"/>
  <c r="F161" i="34" s="1"/>
  <c r="G161" i="34" s="1"/>
  <c r="H157" i="34"/>
  <c r="J115" i="27"/>
  <c r="J112" i="27"/>
  <c r="J63" i="27"/>
  <c r="J75" i="27"/>
  <c r="J81" i="27"/>
  <c r="I158" i="29"/>
  <c r="J158" i="29" s="1"/>
  <c r="J124" i="27"/>
  <c r="J123" i="27"/>
  <c r="J133" i="27"/>
  <c r="J132" i="27"/>
  <c r="J128" i="27"/>
  <c r="J100" i="27"/>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J115" i="29"/>
  <c r="J92" i="29"/>
  <c r="I120" i="34"/>
  <c r="J120" i="29"/>
  <c r="J19" i="29"/>
  <c r="J124" i="29"/>
  <c r="J134" i="29"/>
  <c r="I129" i="34"/>
  <c r="J129" i="29"/>
  <c r="J101" i="29"/>
  <c r="I101" i="34"/>
  <c r="I84" i="34"/>
  <c r="J84" i="29"/>
  <c r="I123" i="34"/>
  <c r="J123" i="29"/>
  <c r="J112" i="29"/>
  <c r="J133" i="29"/>
  <c r="I128" i="34"/>
  <c r="J128" i="29"/>
  <c r="J100" i="29"/>
  <c r="J11" i="29"/>
  <c r="I105" i="34"/>
  <c r="J105" i="29"/>
  <c r="J99" i="29"/>
  <c r="I76" i="34"/>
  <c r="J76" i="29"/>
  <c r="J121" i="29"/>
  <c r="J104" i="29"/>
  <c r="I83" i="29"/>
  <c r="I66" i="29"/>
  <c r="I50" i="29"/>
  <c r="I42" i="29"/>
  <c r="I34" i="29"/>
  <c r="I26" i="29"/>
  <c r="I18" i="29"/>
  <c r="I150" i="29"/>
  <c r="J54" i="27"/>
  <c r="J45" i="27"/>
  <c r="J36" i="27"/>
  <c r="J31" i="27"/>
  <c r="J27" i="27"/>
  <c r="J22" i="27"/>
  <c r="I90" i="29"/>
  <c r="I74" i="29"/>
  <c r="I65" i="29"/>
  <c r="I65" i="34" s="1"/>
  <c r="I49" i="29"/>
  <c r="I49" i="34" s="1"/>
  <c r="I41" i="29"/>
  <c r="I33" i="29"/>
  <c r="I25" i="29"/>
  <c r="I17" i="29"/>
  <c r="I9" i="29"/>
  <c r="D103" i="34"/>
  <c r="F97" i="29"/>
  <c r="G97" i="29" s="1"/>
  <c r="I153" i="29"/>
  <c r="F152" i="29"/>
  <c r="G152" i="29" s="1"/>
  <c r="F144" i="29"/>
  <c r="G144" i="29" s="1"/>
  <c r="F136" i="29"/>
  <c r="G136" i="29" s="1"/>
  <c r="F123" i="29"/>
  <c r="G123" i="29" s="1"/>
  <c r="I117" i="29"/>
  <c r="I113" i="29"/>
  <c r="F108" i="29"/>
  <c r="G108" i="29" s="1"/>
  <c r="J12" i="27"/>
  <c r="I89" i="29"/>
  <c r="I73" i="29"/>
  <c r="I73" i="34" s="1"/>
  <c r="I56" i="29"/>
  <c r="I48" i="29"/>
  <c r="I48" i="34" s="1"/>
  <c r="I40" i="29"/>
  <c r="I32" i="29"/>
  <c r="I24" i="29"/>
  <c r="I16" i="29"/>
  <c r="I8" i="29"/>
  <c r="I148" i="29"/>
  <c r="J148" i="29" s="1"/>
  <c r="I140" i="29"/>
  <c r="I125" i="29"/>
  <c r="F109" i="29"/>
  <c r="G109" i="29" s="1"/>
  <c r="I106" i="29"/>
  <c r="I102" i="29"/>
  <c r="J53" i="27"/>
  <c r="J44" i="27"/>
  <c r="J39" i="27"/>
  <c r="J35" i="27"/>
  <c r="J30" i="27"/>
  <c r="J21" i="27"/>
  <c r="I5" i="29"/>
  <c r="I5" i="34" s="1"/>
  <c r="I88" i="29"/>
  <c r="I80" i="29"/>
  <c r="I55" i="29"/>
  <c r="I47" i="29"/>
  <c r="I23" i="29"/>
  <c r="I23" i="34" s="1"/>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38" i="29"/>
  <c r="I38" i="34" s="1"/>
  <c r="I126" i="29"/>
  <c r="I122" i="29"/>
  <c r="I107" i="29"/>
  <c r="I103" i="29"/>
  <c r="I98" i="29"/>
  <c r="J108" i="27"/>
  <c r="J99" i="27"/>
  <c r="J94" i="27"/>
  <c r="J85" i="27"/>
  <c r="J52" i="27"/>
  <c r="J43" i="27"/>
  <c r="J29" i="27"/>
  <c r="J20" i="27"/>
  <c r="I37" i="29"/>
  <c r="I13" i="29"/>
  <c r="I157" i="29"/>
  <c r="J157" i="29" s="1"/>
  <c r="I149" i="29"/>
  <c r="F148" i="29"/>
  <c r="G148" i="29" s="1"/>
  <c r="I141" i="29"/>
  <c r="F121" i="29"/>
  <c r="G121" i="29" s="1"/>
  <c r="I111" i="29"/>
  <c r="I93" i="29"/>
  <c r="I28" i="29"/>
  <c r="I144" i="29"/>
  <c r="J144" i="29" s="1"/>
  <c r="I136" i="29"/>
  <c r="I136" i="34" s="1"/>
  <c r="I127" i="29"/>
  <c r="I119" i="29"/>
  <c r="J119" i="29" s="1"/>
  <c r="J11" i="27"/>
  <c r="J139" i="27"/>
  <c r="J116" i="27"/>
  <c r="J84" i="27"/>
  <c r="J51" i="27"/>
  <c r="J19" i="27"/>
  <c r="D115" i="34"/>
  <c r="D96" i="34"/>
  <c r="I155" i="29"/>
  <c r="J155" i="29" s="1"/>
  <c r="F154" i="29"/>
  <c r="G154" i="29" s="1"/>
  <c r="F146" i="29"/>
  <c r="G146" i="29" s="1"/>
  <c r="I131" i="29"/>
  <c r="I131" i="34" s="1"/>
  <c r="F126" i="29"/>
  <c r="G126" i="29" s="1"/>
  <c r="F111" i="29"/>
  <c r="G111" i="29" s="1"/>
  <c r="J108" i="29"/>
  <c r="F99" i="29"/>
  <c r="G99" i="29" s="1"/>
  <c r="J67" i="29"/>
  <c r="J59" i="29"/>
  <c r="J51" i="29"/>
  <c r="J43" i="29"/>
  <c r="J35" i="29"/>
  <c r="J27" i="29"/>
  <c r="J96" i="29"/>
  <c r="I151" i="34"/>
  <c r="J151" i="29"/>
  <c r="I143" i="34"/>
  <c r="J143" i="29"/>
  <c r="J91" i="29"/>
  <c r="J83" i="29"/>
  <c r="J75" i="29"/>
  <c r="J58" i="29"/>
  <c r="J50" i="29"/>
  <c r="J10" i="29"/>
  <c r="J154" i="29"/>
  <c r="F153" i="29"/>
  <c r="G153" i="29" s="1"/>
  <c r="D153" i="34"/>
  <c r="J146" i="29"/>
  <c r="F145" i="29"/>
  <c r="G145" i="29" s="1"/>
  <c r="D145" i="34"/>
  <c r="J138" i="29"/>
  <c r="F137" i="29"/>
  <c r="G137" i="29" s="1"/>
  <c r="D137" i="34"/>
  <c r="F100" i="29"/>
  <c r="G100" i="29" s="1"/>
  <c r="E100" i="34"/>
  <c r="J90" i="29"/>
  <c r="J82" i="29"/>
  <c r="J57" i="29"/>
  <c r="J49" i="29"/>
  <c r="J41" i="29"/>
  <c r="J9" i="29"/>
  <c r="D97" i="34"/>
  <c r="F140" i="29"/>
  <c r="G140" i="29" s="1"/>
  <c r="F132" i="29"/>
  <c r="G132" i="29" s="1"/>
  <c r="F129" i="29"/>
  <c r="G129" i="29" s="1"/>
  <c r="D129" i="34"/>
  <c r="F125" i="29"/>
  <c r="G125" i="29" s="1"/>
  <c r="H118" i="34"/>
  <c r="J118" i="29"/>
  <c r="H110" i="34"/>
  <c r="J110" i="29"/>
  <c r="H102" i="34"/>
  <c r="J81" i="29"/>
  <c r="J64" i="29"/>
  <c r="J56" i="29"/>
  <c r="J40" i="29"/>
  <c r="J97" i="29"/>
  <c r="J152" i="29"/>
  <c r="F118" i="29"/>
  <c r="G118" i="29" s="1"/>
  <c r="F110" i="29"/>
  <c r="G110" i="29" s="1"/>
  <c r="F102" i="29"/>
  <c r="G102" i="29" s="1"/>
  <c r="J80" i="29"/>
  <c r="J72" i="29"/>
  <c r="J63" i="29"/>
  <c r="J55" i="29"/>
  <c r="J39" i="29"/>
  <c r="J31" i="29"/>
  <c r="J15" i="29"/>
  <c r="J7" i="29"/>
  <c r="D134" i="34"/>
  <c r="D124" i="34"/>
  <c r="I147" i="34"/>
  <c r="J147" i="29"/>
  <c r="I139" i="34"/>
  <c r="J139" i="29"/>
  <c r="F138" i="29"/>
  <c r="G138" i="29" s="1"/>
  <c r="D138" i="34"/>
  <c r="F130" i="29"/>
  <c r="G130" i="29" s="1"/>
  <c r="D130" i="34"/>
  <c r="J95" i="29"/>
  <c r="J87" i="29"/>
  <c r="J79" i="29"/>
  <c r="J71" i="29"/>
  <c r="J62" i="29"/>
  <c r="J54" i="29"/>
  <c r="J46" i="29"/>
  <c r="J30" i="29"/>
  <c r="J22" i="29"/>
  <c r="J14" i="29"/>
  <c r="J6" i="29"/>
  <c r="F157" i="29"/>
  <c r="G157" i="29" s="1"/>
  <c r="F149" i="29"/>
  <c r="G149" i="29" s="1"/>
  <c r="J142" i="29"/>
  <c r="F141" i="29"/>
  <c r="G141" i="29" s="1"/>
  <c r="F133" i="29"/>
  <c r="G133" i="29" s="1"/>
  <c r="J94" i="29"/>
  <c r="J86" i="29"/>
  <c r="J78" i="29"/>
  <c r="J70" i="29"/>
  <c r="J61" i="29"/>
  <c r="J53" i="29"/>
  <c r="J29" i="29"/>
  <c r="J21" i="29"/>
  <c r="D142" i="34"/>
  <c r="J153" i="29"/>
  <c r="J145" i="29"/>
  <c r="I145" i="34"/>
  <c r="F127" i="29"/>
  <c r="G127" i="29" s="1"/>
  <c r="J85" i="29"/>
  <c r="J77" i="29"/>
  <c r="J68" i="29"/>
  <c r="J60" i="29"/>
  <c r="J52" i="29"/>
  <c r="J44" i="29"/>
  <c r="J36" i="29"/>
  <c r="J20" i="29"/>
  <c r="J12" i="29"/>
  <c r="D150" i="34"/>
  <c r="D108" i="34"/>
  <c r="F155" i="29"/>
  <c r="G155" i="29" s="1"/>
  <c r="F147" i="29"/>
  <c r="G147" i="29" s="1"/>
  <c r="J140" i="29"/>
  <c r="F139" i="29"/>
  <c r="G139" i="29" s="1"/>
  <c r="F131" i="29"/>
  <c r="G131" i="29" s="1"/>
  <c r="J137" i="29"/>
  <c r="J135" i="29"/>
  <c r="J132" i="29"/>
  <c r="J130" i="29"/>
  <c r="J116" i="29"/>
  <c r="F122" i="29"/>
  <c r="G122" i="29" s="1"/>
  <c r="F114" i="29"/>
  <c r="G114" i="29" s="1"/>
  <c r="J109" i="29"/>
  <c r="F106" i="29"/>
  <c r="G106" i="29" s="1"/>
  <c r="F98" i="29"/>
  <c r="G98" i="29" s="1"/>
  <c r="J69" i="26"/>
  <c r="I69" i="29"/>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J118" i="1"/>
  <c r="F147" i="30"/>
  <c r="G147" i="30" s="1"/>
  <c r="F49" i="30"/>
  <c r="G49" i="30" s="1"/>
  <c r="F14" i="30"/>
  <c r="G14" i="30" s="1"/>
  <c r="F146" i="30"/>
  <c r="G146" i="30" s="1"/>
  <c r="F128" i="30"/>
  <c r="G128" i="30" s="1"/>
  <c r="F105" i="30"/>
  <c r="G105" i="30" s="1"/>
  <c r="F67" i="30"/>
  <c r="G67" i="30" s="1"/>
  <c r="F82" i="30"/>
  <c r="G82" i="30" s="1"/>
  <c r="F74" i="30"/>
  <c r="G74" i="30" s="1"/>
  <c r="F127" i="30"/>
  <c r="G127" i="30" s="1"/>
  <c r="F107" i="30"/>
  <c r="G107" i="30" s="1"/>
  <c r="F20" i="30"/>
  <c r="G20" i="30" s="1"/>
  <c r="F41" i="30"/>
  <c r="G41" i="30" s="1"/>
  <c r="F85" i="30"/>
  <c r="G85" i="30" s="1"/>
  <c r="F61" i="30"/>
  <c r="G61" i="30" s="1"/>
  <c r="F7" i="30"/>
  <c r="G7" i="30" s="1"/>
  <c r="F155" i="30"/>
  <c r="G155" i="30" s="1"/>
  <c r="F150" i="30"/>
  <c r="G150" i="30" s="1"/>
  <c r="F154" i="30"/>
  <c r="G154" i="30" s="1"/>
  <c r="F108" i="30"/>
  <c r="G108" i="30" s="1"/>
  <c r="F45" i="30"/>
  <c r="G45" i="30" s="1"/>
  <c r="F37" i="30"/>
  <c r="G37" i="30" s="1"/>
  <c r="F143" i="30"/>
  <c r="G143" i="30" s="1"/>
  <c r="F99" i="30"/>
  <c r="G99" i="30" s="1"/>
  <c r="F135" i="30"/>
  <c r="G135" i="30" s="1"/>
  <c r="F72" i="30"/>
  <c r="G72" i="30" s="1"/>
  <c r="F119" i="30"/>
  <c r="G119" i="30" s="1"/>
  <c r="F141" i="30"/>
  <c r="G141" i="30" s="1"/>
  <c r="F134" i="30"/>
  <c r="G134" i="30" s="1"/>
  <c r="F120" i="30"/>
  <c r="G120" i="30" s="1"/>
  <c r="F47" i="30"/>
  <c r="G47" i="30" s="1"/>
  <c r="F139" i="30"/>
  <c r="G139" i="30" s="1"/>
  <c r="G51" i="29"/>
  <c r="G53" i="29"/>
  <c r="F31" i="30"/>
  <c r="G31" i="30" s="1"/>
  <c r="J32" i="33"/>
  <c r="F126" i="30"/>
  <c r="G126" i="30" s="1"/>
  <c r="F106" i="30"/>
  <c r="G106" i="30" s="1"/>
  <c r="F43" i="30"/>
  <c r="G43" i="30" s="1"/>
  <c r="F94" i="30"/>
  <c r="G94" i="30" s="1"/>
  <c r="F79" i="30"/>
  <c r="G79" i="30" s="1"/>
  <c r="F140" i="30"/>
  <c r="G140" i="30" s="1"/>
  <c r="F86" i="30"/>
  <c r="G86" i="30" s="1"/>
  <c r="F111" i="30"/>
  <c r="G111" i="30" s="1"/>
  <c r="F24" i="30"/>
  <c r="G24" i="30" s="1"/>
  <c r="J43" i="33"/>
  <c r="F53" i="30"/>
  <c r="G53" i="30" s="1"/>
  <c r="F30" i="30"/>
  <c r="G30" i="30" s="1"/>
  <c r="F60" i="30"/>
  <c r="G60" i="30" s="1"/>
  <c r="F6" i="30"/>
  <c r="G6" i="30" s="1"/>
  <c r="J141" i="33"/>
  <c r="J59" i="33"/>
  <c r="F118" i="30"/>
  <c r="G118" i="30" s="1"/>
  <c r="F104" i="30"/>
  <c r="G104" i="30" s="1"/>
  <c r="F29" i="30"/>
  <c r="G29" i="30" s="1"/>
  <c r="F133" i="30"/>
  <c r="G133" i="30" s="1"/>
  <c r="F51" i="30"/>
  <c r="G51" i="30" s="1"/>
  <c r="F44" i="30"/>
  <c r="G44" i="30" s="1"/>
  <c r="F28" i="30"/>
  <c r="G28" i="30" s="1"/>
  <c r="J94" i="33"/>
  <c r="F102" i="30"/>
  <c r="G102" i="30" s="1"/>
  <c r="F34" i="30"/>
  <c r="G34" i="30" s="1"/>
  <c r="F13" i="30"/>
  <c r="G13" i="30" s="1"/>
  <c r="J145" i="33"/>
  <c r="F19" i="30"/>
  <c r="G19" i="30" s="1"/>
  <c r="F100" i="30"/>
  <c r="G100" i="30" s="1"/>
  <c r="F33" i="30"/>
  <c r="G33" i="30" s="1"/>
  <c r="F83" i="30"/>
  <c r="G83" i="30" s="1"/>
  <c r="F4" i="30"/>
  <c r="G4" i="30" s="1"/>
  <c r="I30" i="34"/>
  <c r="F116" i="30"/>
  <c r="G116" i="30" s="1"/>
  <c r="F78" i="30"/>
  <c r="G78" i="30" s="1"/>
  <c r="F50" i="30"/>
  <c r="G50" i="30" s="1"/>
  <c r="J5" i="30"/>
  <c r="F142" i="30"/>
  <c r="G142" i="30" s="1"/>
  <c r="F63" i="30"/>
  <c r="G63" i="30" s="1"/>
  <c r="F26" i="30"/>
  <c r="G26" i="30" s="1"/>
  <c r="F2" i="33"/>
  <c r="G2" i="33" s="1"/>
  <c r="F88" i="30"/>
  <c r="G88" i="30" s="1"/>
  <c r="F75" i="30"/>
  <c r="G75" i="30" s="1"/>
  <c r="F25" i="30"/>
  <c r="G25" i="30" s="1"/>
  <c r="F59" i="30"/>
  <c r="G59" i="30" s="1"/>
  <c r="J16" i="32"/>
  <c r="F96" i="30"/>
  <c r="G96" i="30" s="1"/>
  <c r="F109" i="30"/>
  <c r="G109" i="30" s="1"/>
  <c r="J8" i="32"/>
  <c r="F90" i="30"/>
  <c r="G90" i="30" s="1"/>
  <c r="F77" i="30"/>
  <c r="G77" i="30" s="1"/>
  <c r="F12" i="30"/>
  <c r="G12" i="30" s="1"/>
  <c r="J45" i="32"/>
  <c r="F32" i="30"/>
  <c r="G32" i="30" s="1"/>
  <c r="J19" i="32"/>
  <c r="F89" i="30"/>
  <c r="G89" i="30" s="1"/>
  <c r="F130" i="30"/>
  <c r="G130" i="30" s="1"/>
  <c r="F18" i="30"/>
  <c r="G18" i="30" s="1"/>
  <c r="F46" i="30"/>
  <c r="G46" i="30" s="1"/>
  <c r="F39" i="30"/>
  <c r="G39" i="30" s="1"/>
  <c r="F52" i="30"/>
  <c r="G52" i="30" s="1"/>
  <c r="F114" i="30"/>
  <c r="G114" i="30" s="1"/>
  <c r="F76" i="30"/>
  <c r="G76" i="30" s="1"/>
  <c r="J102" i="32"/>
  <c r="J78" i="32"/>
  <c r="F144" i="30"/>
  <c r="G144" i="30" s="1"/>
  <c r="F113" i="30"/>
  <c r="G113" i="30" s="1"/>
  <c r="F125" i="30"/>
  <c r="G125" i="30" s="1"/>
  <c r="F152" i="30"/>
  <c r="G152" i="30" s="1"/>
  <c r="F57" i="30"/>
  <c r="G57" i="30" s="1"/>
  <c r="F23" i="30"/>
  <c r="G23" i="30" s="1"/>
  <c r="F16" i="30"/>
  <c r="G16" i="30" s="1"/>
  <c r="F9" i="30"/>
  <c r="G9" i="30" s="1"/>
  <c r="J31" i="32"/>
  <c r="F132" i="30"/>
  <c r="G132" i="30" s="1"/>
  <c r="F151" i="30"/>
  <c r="G151" i="30" s="1"/>
  <c r="F5" i="30"/>
  <c r="G5" i="30" s="1"/>
  <c r="J52" i="32"/>
  <c r="F129" i="30"/>
  <c r="G129" i="30" s="1"/>
  <c r="F145" i="30"/>
  <c r="G145" i="30" s="1"/>
  <c r="F17" i="30"/>
  <c r="G17" i="30" s="1"/>
  <c r="F56" i="30"/>
  <c r="G56" i="30" s="1"/>
  <c r="F15" i="30"/>
  <c r="G15" i="30" s="1"/>
  <c r="J4" i="30"/>
  <c r="F62" i="30"/>
  <c r="G62" i="30" s="1"/>
  <c r="F42" i="30"/>
  <c r="G42" i="30" s="1"/>
  <c r="F110" i="30"/>
  <c r="G110" i="30" s="1"/>
  <c r="F97" i="30"/>
  <c r="G97" i="30" s="1"/>
  <c r="F58" i="30"/>
  <c r="G58" i="30" s="1"/>
  <c r="F80" i="30"/>
  <c r="G80" i="30" s="1"/>
  <c r="F98" i="30"/>
  <c r="G98" i="30" s="1"/>
  <c r="F68" i="30"/>
  <c r="G68" i="30" s="1"/>
  <c r="J134" i="31"/>
  <c r="F11" i="30"/>
  <c r="G11" i="30" s="1"/>
  <c r="J142" i="31"/>
  <c r="J97" i="31"/>
  <c r="F117" i="30"/>
  <c r="G117" i="30" s="1"/>
  <c r="F112" i="30"/>
  <c r="G112" i="30" s="1"/>
  <c r="F84" i="30"/>
  <c r="G84" i="30" s="1"/>
  <c r="J36" i="31"/>
  <c r="F136" i="30"/>
  <c r="G136" i="30" s="1"/>
  <c r="F95" i="30"/>
  <c r="G95" i="30" s="1"/>
  <c r="J106" i="31"/>
  <c r="J53" i="31"/>
  <c r="F81" i="30"/>
  <c r="G81" i="30" s="1"/>
  <c r="F123" i="30"/>
  <c r="G123" i="30" s="1"/>
  <c r="F148" i="30"/>
  <c r="G148" i="30" s="1"/>
  <c r="F115" i="30"/>
  <c r="G115" i="30" s="1"/>
  <c r="F71" i="30"/>
  <c r="G71" i="30" s="1"/>
  <c r="F36" i="30"/>
  <c r="G36" i="30" s="1"/>
  <c r="J144" i="31"/>
  <c r="F35" i="30"/>
  <c r="G35" i="30" s="1"/>
  <c r="F22" i="30"/>
  <c r="G22" i="30" s="1"/>
  <c r="F103" i="30"/>
  <c r="G103" i="30" s="1"/>
  <c r="F149" i="30"/>
  <c r="G149" i="30" s="1"/>
  <c r="F2" i="31"/>
  <c r="G2" i="31" s="1"/>
  <c r="I2" i="31"/>
  <c r="J2" i="31" s="1"/>
  <c r="F27" i="30"/>
  <c r="G27" i="30" s="1"/>
  <c r="J110" i="31"/>
  <c r="J49" i="31"/>
  <c r="J20" i="31"/>
  <c r="F137" i="30"/>
  <c r="G137" i="30" s="1"/>
  <c r="J89" i="31"/>
  <c r="F91" i="30"/>
  <c r="G91" i="30" s="1"/>
  <c r="F64" i="30"/>
  <c r="G64" i="30" s="1"/>
  <c r="F40" i="30"/>
  <c r="G40" i="30" s="1"/>
  <c r="J136" i="31"/>
  <c r="J139" i="31"/>
  <c r="J126" i="31"/>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37" i="29"/>
  <c r="G20" i="29"/>
  <c r="I2" i="4"/>
  <c r="J2" i="4" s="1"/>
  <c r="F62" i="1"/>
  <c r="G62" i="1" s="1"/>
  <c r="J81" i="1"/>
  <c r="F121" i="1"/>
  <c r="G121" i="1" s="1"/>
  <c r="F105" i="1"/>
  <c r="G105" i="1" s="1"/>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F2" i="26"/>
  <c r="G2" i="26" s="1"/>
  <c r="I2" i="26"/>
  <c r="J2" i="26" s="1"/>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50" i="34" l="1"/>
  <c r="I138" i="34"/>
  <c r="I56" i="34"/>
  <c r="I133" i="34"/>
  <c r="J133" i="34" s="1"/>
  <c r="I58" i="34"/>
  <c r="I57" i="34"/>
  <c r="I111" i="34"/>
  <c r="I141" i="34"/>
  <c r="I124" i="34"/>
  <c r="J124" i="34" s="1"/>
  <c r="I75" i="34"/>
  <c r="I90" i="34"/>
  <c r="J90" i="34" s="1"/>
  <c r="I81" i="34"/>
  <c r="J81" i="34" s="1"/>
  <c r="I146" i="34"/>
  <c r="I92" i="34"/>
  <c r="I96" i="34"/>
  <c r="I64" i="34"/>
  <c r="I91" i="34"/>
  <c r="J130" i="34"/>
  <c r="I130" i="34"/>
  <c r="J128" i="34"/>
  <c r="I59" i="34"/>
  <c r="I149" i="34"/>
  <c r="J149" i="34" s="1"/>
  <c r="I121" i="34"/>
  <c r="J121" i="34" s="1"/>
  <c r="I88" i="34"/>
  <c r="J88" i="34" s="1"/>
  <c r="I140" i="34"/>
  <c r="I7" i="34"/>
  <c r="I12" i="34"/>
  <c r="I45" i="34"/>
  <c r="J45" i="34" s="1"/>
  <c r="I94" i="34"/>
  <c r="J135" i="30"/>
  <c r="I135" i="34"/>
  <c r="J135" i="34" s="1"/>
  <c r="I134" i="34"/>
  <c r="I14" i="34"/>
  <c r="J14" i="34" s="1"/>
  <c r="F146" i="34"/>
  <c r="G146" i="34" s="1"/>
  <c r="E2" i="34"/>
  <c r="I63" i="34"/>
  <c r="J63" i="34" s="1"/>
  <c r="D2" i="34"/>
  <c r="F115" i="34"/>
  <c r="G115" i="34" s="1"/>
  <c r="F142" i="34"/>
  <c r="G142" i="34" s="1"/>
  <c r="I22" i="34"/>
  <c r="J22" i="34" s="1"/>
  <c r="I118" i="34"/>
  <c r="J118" i="34" s="1"/>
  <c r="H2" i="34"/>
  <c r="I142" i="34"/>
  <c r="J142" i="34" s="1"/>
  <c r="I6" i="34"/>
  <c r="J6" i="34" s="1"/>
  <c r="F119" i="34"/>
  <c r="G119" i="34" s="1"/>
  <c r="F110" i="34"/>
  <c r="G110" i="34" s="1"/>
  <c r="I150" i="34"/>
  <c r="J150" i="34" s="1"/>
  <c r="F147" i="34"/>
  <c r="G147" i="34" s="1"/>
  <c r="J143" i="34"/>
  <c r="J129" i="34"/>
  <c r="J132" i="34"/>
  <c r="J140" i="34"/>
  <c r="F123" i="34"/>
  <c r="G123" i="34" s="1"/>
  <c r="F98" i="34"/>
  <c r="G98" i="34" s="1"/>
  <c r="F145" i="34"/>
  <c r="G145" i="34" s="1"/>
  <c r="F107" i="34"/>
  <c r="G107" i="34" s="1"/>
  <c r="F120" i="34"/>
  <c r="G120" i="34" s="1"/>
  <c r="F136" i="34"/>
  <c r="G136" i="34" s="1"/>
  <c r="F106" i="34"/>
  <c r="G106" i="34" s="1"/>
  <c r="F141" i="34"/>
  <c r="G141" i="34" s="1"/>
  <c r="F154" i="34"/>
  <c r="G154" i="34" s="1"/>
  <c r="F158" i="34"/>
  <c r="G158" i="34" s="1"/>
  <c r="J147" i="34"/>
  <c r="F124" i="34"/>
  <c r="G124" i="34" s="1"/>
  <c r="J137" i="34"/>
  <c r="F126" i="34"/>
  <c r="G126" i="34" s="1"/>
  <c r="F125" i="34"/>
  <c r="G125" i="34" s="1"/>
  <c r="J136" i="34"/>
  <c r="I8" i="34"/>
  <c r="J8" i="34" s="1"/>
  <c r="F144" i="34"/>
  <c r="G144" i="34" s="1"/>
  <c r="F111" i="34"/>
  <c r="G111" i="34" s="1"/>
  <c r="F127" i="34"/>
  <c r="G127" i="34" s="1"/>
  <c r="I31" i="34"/>
  <c r="J31" i="34" s="1"/>
  <c r="F157" i="34"/>
  <c r="G157" i="34" s="1"/>
  <c r="J145" i="34"/>
  <c r="I83" i="34"/>
  <c r="J83" i="34" s="1"/>
  <c r="I33" i="34"/>
  <c r="J33" i="34" s="1"/>
  <c r="F152" i="34"/>
  <c r="G152" i="34" s="1"/>
  <c r="J138" i="34"/>
  <c r="I74" i="34"/>
  <c r="J74" i="34" s="1"/>
  <c r="I42" i="34"/>
  <c r="J42" i="34" s="1"/>
  <c r="I67" i="34"/>
  <c r="J67" i="34" s="1"/>
  <c r="F105" i="34"/>
  <c r="G105" i="34" s="1"/>
  <c r="I103" i="34"/>
  <c r="J103" i="34" s="1"/>
  <c r="I40" i="34"/>
  <c r="J40" i="34" s="1"/>
  <c r="I99" i="34"/>
  <c r="J99" i="34" s="1"/>
  <c r="F99" i="34"/>
  <c r="G99" i="34" s="1"/>
  <c r="I26" i="34"/>
  <c r="J26" i="34" s="1"/>
  <c r="I25" i="34"/>
  <c r="J25" i="34" s="1"/>
  <c r="F97" i="34"/>
  <c r="G97" i="34" s="1"/>
  <c r="I17" i="34"/>
  <c r="J17" i="34" s="1"/>
  <c r="J101" i="34"/>
  <c r="I112" i="34"/>
  <c r="J112" i="34" s="1"/>
  <c r="I97" i="34"/>
  <c r="J97" i="34" s="1"/>
  <c r="I27" i="34"/>
  <c r="J27" i="34" s="1"/>
  <c r="I86" i="34"/>
  <c r="I20" i="34"/>
  <c r="J20" i="34" s="1"/>
  <c r="I95" i="34"/>
  <c r="J95" i="34" s="1"/>
  <c r="I54" i="34"/>
  <c r="J54" i="34" s="1"/>
  <c r="I19" i="34"/>
  <c r="J19" i="34" s="1"/>
  <c r="I108" i="34"/>
  <c r="J108" i="34" s="1"/>
  <c r="I11" i="34"/>
  <c r="J11" i="34" s="1"/>
  <c r="I43" i="34"/>
  <c r="J43" i="34" s="1"/>
  <c r="I51" i="34"/>
  <c r="J51" i="34" s="1"/>
  <c r="I79" i="34"/>
  <c r="J79" i="34" s="1"/>
  <c r="I53" i="34"/>
  <c r="J53" i="34" s="1"/>
  <c r="I116" i="34"/>
  <c r="J116" i="34" s="1"/>
  <c r="I110" i="34"/>
  <c r="J110" i="34" s="1"/>
  <c r="I36" i="34"/>
  <c r="J36" i="34" s="1"/>
  <c r="I10" i="34"/>
  <c r="J10" i="34" s="1"/>
  <c r="I87" i="34"/>
  <c r="J87" i="34" s="1"/>
  <c r="I52" i="34"/>
  <c r="J52" i="34" s="1"/>
  <c r="I61" i="34"/>
  <c r="J61" i="34" s="1"/>
  <c r="I72" i="34"/>
  <c r="J72" i="34" s="1"/>
  <c r="I85" i="34"/>
  <c r="J85" i="34" s="1"/>
  <c r="I104" i="34"/>
  <c r="J104" i="34" s="1"/>
  <c r="I60" i="34"/>
  <c r="J60" i="34" s="1"/>
  <c r="I21" i="34"/>
  <c r="J21" i="34" s="1"/>
  <c r="I44" i="34"/>
  <c r="J44" i="34" s="1"/>
  <c r="I71" i="34"/>
  <c r="J71" i="34" s="1"/>
  <c r="I115" i="34"/>
  <c r="J115" i="34" s="1"/>
  <c r="I77" i="34"/>
  <c r="J77" i="34" s="1"/>
  <c r="I100" i="34"/>
  <c r="J100" i="34" s="1"/>
  <c r="I28" i="34"/>
  <c r="J28" i="34" s="1"/>
  <c r="I93" i="34"/>
  <c r="J93" i="34" s="1"/>
  <c r="I13" i="34"/>
  <c r="J13" i="34" s="1"/>
  <c r="I37" i="34"/>
  <c r="J37" i="34" s="1"/>
  <c r="I46" i="34"/>
  <c r="I55" i="34"/>
  <c r="J55" i="34" s="1"/>
  <c r="I80" i="34"/>
  <c r="J80" i="34" s="1"/>
  <c r="I102" i="34"/>
  <c r="J102" i="34" s="1"/>
  <c r="I16" i="34"/>
  <c r="J16" i="34" s="1"/>
  <c r="I24" i="34"/>
  <c r="J24" i="34" s="1"/>
  <c r="I32" i="34"/>
  <c r="J32" i="34" s="1"/>
  <c r="I89" i="34"/>
  <c r="J89" i="34" s="1"/>
  <c r="I9" i="34"/>
  <c r="J9" i="34" s="1"/>
  <c r="I41" i="34"/>
  <c r="J41" i="34" s="1"/>
  <c r="I18" i="34"/>
  <c r="J18" i="34" s="1"/>
  <c r="I34" i="34"/>
  <c r="J34" i="34" s="1"/>
  <c r="I66" i="34"/>
  <c r="J66" i="34" s="1"/>
  <c r="F112" i="34"/>
  <c r="G112" i="34" s="1"/>
  <c r="F143" i="34"/>
  <c r="G143" i="34" s="1"/>
  <c r="F149" i="34"/>
  <c r="G149" i="34" s="1"/>
  <c r="I62" i="34"/>
  <c r="J62" i="34" s="1"/>
  <c r="I70" i="34"/>
  <c r="J70" i="34" s="1"/>
  <c r="F118" i="34"/>
  <c r="G118" i="34" s="1"/>
  <c r="F133" i="34"/>
  <c r="G133" i="34" s="1"/>
  <c r="F113" i="34"/>
  <c r="G113" i="34" s="1"/>
  <c r="J134" i="34"/>
  <c r="F137" i="34"/>
  <c r="G137" i="34" s="1"/>
  <c r="F138" i="34"/>
  <c r="G138" i="34" s="1"/>
  <c r="F139" i="34"/>
  <c r="G139" i="34" s="1"/>
  <c r="J141" i="29"/>
  <c r="F104" i="34"/>
  <c r="G104" i="34" s="1"/>
  <c r="F103" i="34"/>
  <c r="G103" i="34" s="1"/>
  <c r="F116" i="34"/>
  <c r="G116" i="34" s="1"/>
  <c r="F109" i="34"/>
  <c r="G109" i="34" s="1"/>
  <c r="J66" i="29"/>
  <c r="J65" i="29"/>
  <c r="J102" i="29"/>
  <c r="F114" i="34"/>
  <c r="G114" i="34" s="1"/>
  <c r="F128" i="34"/>
  <c r="G128" i="34" s="1"/>
  <c r="J120" i="34"/>
  <c r="F135" i="34"/>
  <c r="G135" i="34" s="1"/>
  <c r="F151" i="34"/>
  <c r="G151" i="34" s="1"/>
  <c r="F155" i="34"/>
  <c r="G155" i="34" s="1"/>
  <c r="I154" i="34"/>
  <c r="J154" i="34" s="1"/>
  <c r="I158" i="34"/>
  <c r="J158" i="34" s="1"/>
  <c r="I155" i="34"/>
  <c r="J155" i="34" s="1"/>
  <c r="I156" i="34"/>
  <c r="J156" i="34" s="1"/>
  <c r="I153" i="34"/>
  <c r="J153" i="34" s="1"/>
  <c r="I152" i="34"/>
  <c r="J152" i="34" s="1"/>
  <c r="I2" i="1"/>
  <c r="J2" i="1" s="1"/>
  <c r="F102" i="34"/>
  <c r="G102" i="34" s="1"/>
  <c r="J111" i="34"/>
  <c r="F132" i="34"/>
  <c r="G132" i="34" s="1"/>
  <c r="F130" i="34"/>
  <c r="G130" i="34" s="1"/>
  <c r="J105" i="34"/>
  <c r="J151" i="34"/>
  <c r="J123" i="34"/>
  <c r="J139" i="34"/>
  <c r="J146" i="34"/>
  <c r="F101" i="34"/>
  <c r="G101" i="34" s="1"/>
  <c r="F134" i="34"/>
  <c r="G134" i="34" s="1"/>
  <c r="J141" i="34"/>
  <c r="J131" i="34"/>
  <c r="F129" i="34"/>
  <c r="G129" i="34" s="1"/>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09" i="34"/>
  <c r="J134" i="18"/>
  <c r="J136" i="18"/>
  <c r="J120" i="1"/>
  <c r="J132" i="1"/>
  <c r="J114" i="1"/>
  <c r="J154" i="1"/>
  <c r="J146" i="1"/>
  <c r="J116" i="1"/>
  <c r="J148" i="1"/>
  <c r="J152" i="1"/>
  <c r="J140" i="1"/>
  <c r="J142" i="1"/>
  <c r="J5" i="34"/>
  <c r="I2" i="30"/>
  <c r="J2" i="30" s="1"/>
  <c r="F2" i="30"/>
  <c r="G2" i="30" s="1"/>
  <c r="J65" i="34"/>
  <c r="J96" i="34"/>
  <c r="J58" i="34"/>
  <c r="J38" i="34"/>
  <c r="F10" i="34"/>
  <c r="G10" i="34" s="1"/>
  <c r="F96" i="34"/>
  <c r="G96" i="34" s="1"/>
  <c r="F61" i="34"/>
  <c r="G61" i="34" s="1"/>
  <c r="F89" i="34"/>
  <c r="G89" i="34" s="1"/>
  <c r="F40" i="34"/>
  <c r="G40" i="34" s="1"/>
  <c r="J155" i="1"/>
  <c r="J138" i="1"/>
  <c r="F65" i="34"/>
  <c r="G65" i="34" s="1"/>
  <c r="F9" i="34"/>
  <c r="G9" i="34" s="1"/>
  <c r="F73" i="34"/>
  <c r="G73" i="34" s="1"/>
  <c r="J64" i="34"/>
  <c r="F24" i="34"/>
  <c r="G24" i="34" s="1"/>
  <c r="J139" i="1"/>
  <c r="J56" i="34"/>
  <c r="J23" i="34"/>
  <c r="J150" i="1"/>
  <c r="J7" i="34"/>
  <c r="J75" i="1"/>
  <c r="J149" i="1"/>
  <c r="J110" i="1"/>
  <c r="F66" i="34"/>
  <c r="G66" i="34" s="1"/>
  <c r="J59" i="34"/>
  <c r="J73" i="34"/>
  <c r="F79" i="34"/>
  <c r="G79" i="34" s="1"/>
  <c r="F77" i="34"/>
  <c r="G77" i="34" s="1"/>
  <c r="F69" i="34"/>
  <c r="G69" i="34" s="1"/>
  <c r="F57" i="34"/>
  <c r="G57" i="34" s="1"/>
  <c r="J82" i="34"/>
  <c r="J82" i="1"/>
  <c r="F59" i="34"/>
  <c r="G59" i="34" s="1"/>
  <c r="F32" i="34"/>
  <c r="G32" i="34" s="1"/>
  <c r="J78" i="34"/>
  <c r="J94" i="34"/>
  <c r="J23" i="1"/>
  <c r="F39" i="34"/>
  <c r="G39" i="34" s="1"/>
  <c r="J57" i="34"/>
  <c r="F26" i="34"/>
  <c r="G26" i="34" s="1"/>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F13" i="34"/>
  <c r="G13" i="34" s="1"/>
  <c r="F74" i="34"/>
  <c r="G74" i="34" s="1"/>
  <c r="F8" i="34"/>
  <c r="G8" i="34" s="1"/>
  <c r="F56" i="34"/>
  <c r="G56" i="34" s="1"/>
  <c r="F80" i="34"/>
  <c r="G80" i="34" s="1"/>
  <c r="F72" i="34"/>
  <c r="G72" i="34" s="1"/>
  <c r="F7" i="34"/>
  <c r="G7" i="34" s="1"/>
  <c r="F83" i="34"/>
  <c r="G83" i="34" s="1"/>
  <c r="F21" i="34"/>
  <c r="G21" i="34" s="1"/>
  <c r="F2" i="1"/>
  <c r="G2" i="1" s="1"/>
  <c r="F91" i="34"/>
  <c r="G91" i="34" s="1"/>
  <c r="F63" i="34"/>
  <c r="G63" i="34" s="1"/>
  <c r="F18" i="34"/>
  <c r="G18" i="34" s="1"/>
  <c r="F82" i="34"/>
  <c r="G82" i="34" s="1"/>
  <c r="J35" i="34"/>
  <c r="F47" i="34"/>
  <c r="G47" i="34" s="1"/>
  <c r="F86" i="34"/>
  <c r="G86" i="34" s="1"/>
  <c r="F23" i="34"/>
  <c r="G23" i="34" s="1"/>
  <c r="F64" i="34"/>
  <c r="G64" i="34" s="1"/>
  <c r="F95" i="34"/>
  <c r="G95" i="34" s="1"/>
  <c r="F60" i="34"/>
  <c r="G60" i="34" s="1"/>
  <c r="J137" i="1"/>
  <c r="F76" i="34"/>
  <c r="G76" i="34" s="1"/>
  <c r="J92" i="34"/>
  <c r="F17" i="34"/>
  <c r="G17" i="34" s="1"/>
  <c r="J48" i="34"/>
  <c r="F46" i="34"/>
  <c r="G46" i="34" s="1"/>
  <c r="F55" i="34"/>
  <c r="G55" i="34" s="1"/>
  <c r="F4" i="34"/>
  <c r="G4" i="34" s="1"/>
  <c r="F35" i="34"/>
  <c r="G35" i="34" s="1"/>
  <c r="F19" i="34"/>
  <c r="G19" i="34" s="1"/>
  <c r="F15" i="34"/>
  <c r="G15" i="34" s="1"/>
  <c r="F70" i="34"/>
  <c r="G70" i="34" s="1"/>
  <c r="F52" i="34"/>
  <c r="G52" i="34" s="1"/>
  <c r="F16" i="34"/>
  <c r="G16" i="34" s="1"/>
  <c r="F6" i="34"/>
  <c r="G6" i="34" s="1"/>
  <c r="F43" i="34"/>
  <c r="G43" i="34" s="1"/>
  <c r="F68" i="34"/>
  <c r="G68" i="34" s="1"/>
  <c r="F50" i="34"/>
  <c r="G50" i="34" s="1"/>
  <c r="F42" i="34"/>
  <c r="G42" i="34" s="1"/>
  <c r="F93" i="34"/>
  <c r="G93" i="34" s="1"/>
  <c r="F49" i="34"/>
  <c r="G49" i="34" s="1"/>
  <c r="F45" i="34"/>
  <c r="G45" i="34" s="1"/>
  <c r="F94" i="34"/>
  <c r="G94" i="34" s="1"/>
  <c r="F14" i="34"/>
  <c r="G14" i="34" s="1"/>
  <c r="F54" i="34"/>
  <c r="G54" i="34" s="1"/>
  <c r="F38" i="34"/>
  <c r="G38" i="34" s="1"/>
  <c r="F36" i="34"/>
  <c r="G36" i="34" s="1"/>
  <c r="F29" i="34"/>
  <c r="G29" i="34" s="1"/>
  <c r="J68" i="34"/>
  <c r="F92" i="34"/>
  <c r="G92" i="34" s="1"/>
  <c r="F41" i="34"/>
  <c r="G41" i="34" s="1"/>
  <c r="F75" i="34"/>
  <c r="G75" i="34" s="1"/>
  <c r="F58" i="34"/>
  <c r="G58" i="34" s="1"/>
  <c r="F53" i="34"/>
  <c r="G53" i="34" s="1"/>
  <c r="F25" i="34"/>
  <c r="G25" i="34" s="1"/>
  <c r="F11" i="34"/>
  <c r="G11" i="34" s="1"/>
  <c r="F88" i="34"/>
  <c r="G88" i="34" s="1"/>
  <c r="F81" i="34"/>
  <c r="G81" i="34" s="1"/>
  <c r="F22" i="34"/>
  <c r="G22" i="34" s="1"/>
  <c r="F12" i="34"/>
  <c r="G12" i="34" s="1"/>
  <c r="F27" i="34"/>
  <c r="G27" i="34" s="1"/>
  <c r="F37" i="34"/>
  <c r="G37" i="34" s="1"/>
  <c r="F34" i="34"/>
  <c r="G34" i="34" s="1"/>
  <c r="F84" i="34"/>
  <c r="G84" i="34" s="1"/>
  <c r="F62" i="34"/>
  <c r="G62" i="34" s="1"/>
  <c r="F90" i="34"/>
  <c r="G90" i="34" s="1"/>
  <c r="F67" i="34"/>
  <c r="G67" i="34" s="1"/>
  <c r="J75" i="34"/>
  <c r="J91" i="34"/>
  <c r="F51" i="34"/>
  <c r="G51" i="34" s="1"/>
  <c r="I2" i="29"/>
  <c r="J2" i="29" s="1"/>
  <c r="F2" i="29"/>
  <c r="G2" i="29" s="1"/>
  <c r="J86" i="34"/>
  <c r="J84" i="34"/>
  <c r="J46" i="34"/>
  <c r="J39" i="34"/>
  <c r="J30" i="34"/>
  <c r="J15" i="34"/>
  <c r="J12" i="34"/>
  <c r="J5" i="18"/>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tc={FA21CFFC-9B61-47DB-8F62-30500FD79B73}</author>
  </authors>
  <commentList>
    <comment ref="D89" authorId="0" shapeId="0" xr:uid="{FA21CFFC-9B61-47DB-8F62-30500FD79B73}">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tc={E6B7AAB6-C794-452D-BBAB-5088AF8E9386}</author>
  </authors>
  <commentList>
    <comment ref="D89" authorId="0" shapeId="0" xr:uid="{E6B7AAB6-C794-452D-BBAB-5088AF8E9386}">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<sst xmlns="http://schemas.openxmlformats.org/spreadsheetml/2006/main" count="5231" uniqueCount="3269">
  <si>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</si>
  <si>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</si>
  <si>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</si>
  <si>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</si>
  <si>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</si>
  <si>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</si>
  <si>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</si>
  <si>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</si>
  <si>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</si>
  <si>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</si>
  <si>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</si>
  <si>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</si>
  <si>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</si>
  <si>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</si>
  <si>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</si>
  <si>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</si>
  <si>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</si>
  <si>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</si>
  <si>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</si>
  <si>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</si>
  <si>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</si>
  <si>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</si>
  <si>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</si>
  <si>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</si>
  <si>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</si>
  <si>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</si>
  <si>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</si>
  <si>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</si>
  <si>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</si>
  <si>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</si>
  <si>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</si>
  <si>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</si>
  <si>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</si>
  <si>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</si>
  <si>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</si>
  <si>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</si>
  <si>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</si>
  <si>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</si>
  <si>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</si>
  <si>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</si>
  <si>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</si>
  <si>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</si>
  <si>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</si>
  <si>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</si>
  <si>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</si>
  <si>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</si>
  <si>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</si>
  <si>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</si>
  <si>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</si>
  <si>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</si>
  <si>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</si>
  <si>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</si>
  <si>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</si>
  <si>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</si>
  <si>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</si>
  <si>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</si>
  <si>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</si>
  <si>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</si>
  <si>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</si>
  <si>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</si>
  <si>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</si>
  <si>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</si>
  <si>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</si>
  <si>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</si>
  <si>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</si>
  <si>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</si>
  <si>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</si>
  <si>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</si>
  <si>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</si>
  <si>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</si>
  <si>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</si>
  <si>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</si>
  <si>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</si>
  <si>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</si>
  <si>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</si>
  <si>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</si>
  <si>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</si>
  <si>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</si>
  <si>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</si>
  <si>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</si>
  <si>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</si>
  <si>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</si>
  <si>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</si>
  <si>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</si>
  <si>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</si>
  <si>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</si>
  <si>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</si>
  <si>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</si>
  <si>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</si>
  <si>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</si>
  <si>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</si>
  <si>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</si>
  <si>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</si>
  <si>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</si>
  <si>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</si>
  <si>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</si>
  <si>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</si>
  <si>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</si>
  <si>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</si>
  <si>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</si>
  <si>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</si>
  <si>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</si>
  <si>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</si>
  <si>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</si>
  <si>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</si>
  <si>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</si>
  <si>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</si>
  <si>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</si>
  <si>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</si>
  <si>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</si>
  <si>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</si>
  <si>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</si>
  <si>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</si>
  <si>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</si>
  <si>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</si>
  <si>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</si>
  <si>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</si>
  <si>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</si>
  <si>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</si>
  <si>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</si>
  <si>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</si>
  <si>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</si>
  <si>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</si>
  <si>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</si>
  <si>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</si>
  <si>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</si>
  <si>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</si>
  <si>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</si>
  <si>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</si>
  <si>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</si>
  <si>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</si>
  <si>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</si>
  <si>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</si>
  <si>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</si>
  <si>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</si>
  <si>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</si>
  <si>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</si>
  <si>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</si>
  <si>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</si>
  <si>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</si>
  <si>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</si>
  <si>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</si>
  <si>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</si>
  <si>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</si>
  <si>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</si>
  <si>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</si>
  <si>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</si>
  <si>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</si>
  <si>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</si>
  <si>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</si>
  <si>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</si>
  <si>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</si>
  <si>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</si>
  <si>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</si>
  <si>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</si>
  <si>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</si>
  <si>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</si>
  <si>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</si>
  <si>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</si>
  <si>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</si>
  <si>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</si>
  <si>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</si>
  <si>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</si>
  <si>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</si>
  <si>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</si>
  <si>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</si>
  <si>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</si>
  <si>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</si>
  <si>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</si>
  <si>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</si>
  <si>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</si>
  <si>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</si>
  <si>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</si>
  <si>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</si>
  <si>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</si>
  <si>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</si>
  <si>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</si>
  <si>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</si>
  <si>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</si>
  <si>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</si>
  <si>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</si>
  <si>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</si>
  <si>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</si>
  <si>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</si>
  <si>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</si>
  <si>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</si>
  <si>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</si>
  <si>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</si>
  <si>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</si>
  <si>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</si>
  <si>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</si>
  <si>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</si>
  <si>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</si>
  <si>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</si>
  <si>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</si>
  <si>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</si>
  <si>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</si>
  <si>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</si>
  <si>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</si>
  <si>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</si>
  <si>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</si>
  <si>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</si>
  <si>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</si>
  <si>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</si>
  <si>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</si>
  <si>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</si>
  <si>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</si>
  <si>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</si>
  <si>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</si>
  <si>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</si>
  <si>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</si>
  <si>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</si>
  <si>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</si>
  <si>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</si>
  <si>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</si>
  <si>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</si>
  <si>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1. The inverter was offline from 01/01 as it was being RMA'd. After the inverter was replaced, it came back online on 01/16 at 11:00 AM.</t>
  </si>
  <si>
    <t>1.SR095581</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</si>
  <si>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</si>
  <si>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</si>
  <si>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</si>
  <si>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</si>
  <si>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</si>
  <si>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</si>
  <si>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</si>
  <si>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</si>
  <si>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</si>
  <si>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</si>
  <si>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</si>
  <si>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</si>
  <si>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</si>
  <si>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</si>
  <si>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</si>
  <si>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</si>
  <si>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</si>
  <si>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</si>
  <si>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</si>
  <si>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</si>
  <si>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</si>
  <si>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</si>
  <si>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</si>
  <si>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</si>
  <si>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</si>
  <si>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</si>
  <si>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</si>
  <si>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</si>
  <si>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</si>
  <si>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</si>
  <si>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</si>
  <si>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</si>
  <si>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</si>
  <si>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</si>
  <si>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</si>
  <si>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</si>
  <si>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</si>
  <si>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</si>
  <si>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</si>
  <si>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</si>
  <si>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</si>
  <si>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</si>
  <si>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</si>
  <si>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</si>
  <si>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</si>
  <si>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</si>
  <si>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</si>
  <si>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</si>
  <si>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</si>
  <si>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</si>
  <si>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</si>
  <si>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</si>
  <si>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</si>
  <si>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</si>
  <si>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</si>
  <si>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</si>
  <si>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</si>
  <si>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</si>
  <si>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</si>
  <si>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</si>
  <si>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</si>
  <si>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</si>
  <si>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</si>
  <si>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</si>
  <si>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</si>
  <si>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</si>
  <si>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</si>
  <si>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</si>
  <si>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</si>
  <si>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</si>
  <si>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</si>
  <si>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</si>
  <si>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</si>
  <si>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</si>
  <si>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</si>
  <si>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</si>
  <si>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</si>
  <si>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</si>
  <si>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</si>
  <si>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</si>
  <si>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</si>
  <si>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</si>
  <si>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</si>
  <si>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</si>
  <si>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</si>
  <si>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</si>
  <si>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</si>
  <si>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</si>
  <si>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</si>
  <si>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</si>
  <si>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</si>
  <si>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</si>
  <si>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</si>
  <si>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</si>
  <si>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</si>
  <si>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</si>
  <si>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</si>
  <si>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</si>
  <si>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</si>
  <si>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</si>
  <si>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</si>
  <si>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</si>
  <si>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</si>
  <si>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</si>
  <si>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</si>
  <si>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</si>
  <si>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</si>
  <si>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</si>
  <si>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</si>
  <si>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</si>
  <si>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</si>
  <si>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</si>
  <si>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</si>
  <si>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</si>
  <si>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</si>
  <si>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</si>
  <si>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</si>
  <si>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</si>
  <si>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</si>
  <si>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</si>
  <si>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</si>
  <si>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</si>
  <si>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</si>
  <si>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</si>
  <si>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</si>
  <si>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</si>
  <si>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</si>
  <si>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</si>
  <si>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</si>
  <si>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</si>
  <si>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</si>
  <si>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</si>
  <si>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</si>
  <si>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</si>
  <si>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</si>
  <si>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</si>
  <si>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</si>
  <si>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</si>
  <si>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</si>
  <si>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</si>
  <si>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</si>
  <si>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</si>
  <si>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</si>
  <si>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</si>
  <si>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</si>
  <si>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</si>
  <si>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</si>
  <si>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</si>
  <si>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</si>
  <si>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</si>
  <si>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</si>
  <si>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</si>
  <si>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</si>
  <si>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</si>
  <si>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</si>
  <si>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</si>
  <si>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</si>
  <si>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</si>
  <si>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</si>
  <si>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</si>
  <si>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</si>
  <si>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</si>
  <si>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</si>
  <si>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</si>
  <si>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</si>
  <si>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</si>
  <si>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</si>
  <si>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</si>
  <si>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</si>
  <si>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</si>
  <si>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</si>
  <si>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</si>
  <si>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</si>
  <si>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</si>
  <si>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</si>
  <si>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</si>
  <si>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</si>
  <si>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</si>
  <si>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</si>
  <si>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</si>
  <si>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</si>
  <si>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</si>
  <si>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</si>
  <si>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</si>
  <si>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</si>
  <si>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</si>
  <si>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</si>
  <si>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</si>
  <si>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</si>
  <si>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</si>
  <si>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</si>
  <si>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</si>
  <si>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</si>
  <si>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</si>
  <si>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</si>
  <si>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</si>
  <si>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</si>
  <si>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</si>
  <si>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</si>
  <si>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</si>
  <si>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</si>
  <si>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</si>
  <si>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</si>
  <si>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</si>
  <si>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</si>
  <si>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</si>
  <si>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</si>
  <si>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</si>
  <si>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</si>
  <si>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</si>
  <si>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</si>
  <si>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</si>
  <si>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</si>
  <si>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</si>
  <si>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</si>
  <si>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</si>
  <si>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</si>
  <si>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</si>
  <si>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</si>
  <si>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</si>
  <si>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</si>
  <si>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</si>
  <si>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</si>
  <si>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</si>
  <si>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</si>
  <si>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</si>
  <si>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</si>
  <si>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</si>
  <si>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</si>
  <si>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</si>
  <si>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</si>
  <si>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</si>
  <si>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</si>
  <si>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</si>
  <si>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</si>
  <si>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</si>
  <si>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</si>
  <si>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</si>
  <si>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</si>
  <si>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</si>
  <si>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</si>
  <si>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</si>
  <si>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</si>
  <si>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</si>
  <si>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</si>
  <si>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</si>
  <si>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</si>
  <si>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</si>
  <si>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</si>
  <si>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</si>
  <si>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</si>
  <si>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</si>
  <si>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</si>
  <si>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</si>
  <si>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</si>
  <si>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</si>
  <si>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</si>
  <si>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</si>
  <si>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</si>
  <si>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</si>
  <si>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</si>
  <si>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</si>
  <si>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</si>
  <si>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</si>
  <si>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</si>
  <si>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</si>
  <si>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</si>
  <si>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</si>
  <si>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</si>
  <si>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</si>
  <si>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</si>
  <si>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</si>
  <si>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</si>
  <si>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</si>
  <si>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</si>
  <si>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</si>
  <si>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</si>
  <si>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</si>
  <si>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</si>
  <si>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</si>
  <si>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</si>
  <si>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</si>
  <si>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</si>
  <si>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</si>
  <si>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</si>
  <si>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</si>
  <si>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</si>
  <si>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</si>
  <si>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</si>
  <si>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</si>
  <si>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</si>
  <si>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</si>
  <si>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</si>
  <si>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</si>
  <si>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</si>
  <si>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</si>
  <si>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</si>
  <si>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</si>
  <si>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</si>
  <si>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</si>
  <si>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</si>
  <si>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</si>
  <si>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</si>
  <si>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</si>
  <si>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</si>
  <si>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</si>
  <si>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</si>
  <si>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</si>
  <si>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</si>
  <si>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</si>
  <si>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</si>
  <si>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</si>
  <si>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</si>
  <si>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</si>
  <si>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</si>
  <si>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</si>
  <si>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</si>
  <si>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</si>
  <si>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</si>
  <si>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</si>
  <si>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</si>
  <si>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</si>
  <si>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</si>
  <si>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</si>
  <si>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</si>
  <si>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</si>
  <si>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</si>
  <si>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</si>
  <si>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</si>
  <si>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</si>
  <si>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</si>
  <si>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</si>
  <si>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</si>
  <si>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</si>
  <si>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</si>
  <si>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</si>
  <si>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</si>
  <si>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</si>
  <si>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</si>
  <si>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</si>
  <si>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</si>
  <si>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</si>
  <si>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</si>
  <si>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</si>
  <si>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</si>
  <si>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</si>
  <si>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</si>
  <si>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</si>
  <si>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</si>
  <si>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</si>
  <si>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</si>
  <si>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</si>
  <si>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</si>
  <si>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</si>
  <si>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</si>
  <si>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</si>
  <si>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</si>
  <si>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</si>
  <si>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</si>
  <si>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</si>
  <si>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</si>
  <si>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</si>
  <si>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</si>
  <si>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</si>
  <si>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</si>
  <si>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</si>
  <si>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</si>
  <si>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</si>
  <si>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</si>
  <si>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</si>
  <si>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</si>
  <si>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</si>
  <si>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</si>
  <si>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</si>
  <si>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</si>
  <si>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</si>
  <si>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</si>
  <si>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</si>
  <si>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</si>
  <si>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</si>
  <si>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</si>
  <si>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</si>
  <si>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</si>
  <si>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</si>
  <si>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</si>
  <si>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</si>
  <si>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</si>
  <si>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</si>
  <si>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</si>
  <si>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</si>
  <si>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</si>
  <si>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</si>
  <si>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</si>
  <si>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</si>
  <si>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</si>
  <si>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</si>
  <si>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</si>
  <si>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</si>
  <si>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</si>
  <si>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</si>
  <si>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</si>
  <si>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</si>
  <si>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</si>
  <si>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</si>
  <si>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</si>
  <si>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</si>
  <si>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</si>
  <si>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</si>
  <si>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</si>
  <si>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</si>
  <si>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</si>
  <si>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</si>
  <si>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</si>
  <si>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</si>
  <si>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</si>
  <si>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</si>
  <si>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</si>
  <si>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</si>
  <si>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</si>
  <si>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</si>
  <si>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</si>
  <si>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</si>
  <si>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1.Site stopped communication at 23:45 on 03/27 and continued throught the month.</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</si>
  <si>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</si>
  <si>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</si>
  <si>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</si>
  <si>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</si>
  <si>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</si>
  <si>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</si>
  <si>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</si>
  <si>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</si>
  <si>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</si>
  <si>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</si>
  <si>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</si>
  <si>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</si>
  <si>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</si>
  <si>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</si>
  <si>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</si>
  <si>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</si>
  <si>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</si>
  <si>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</si>
  <si>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</si>
  <si>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</si>
  <si>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</si>
  <si>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</si>
  <si>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</si>
  <si>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</si>
  <si>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</si>
  <si>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</si>
  <si>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</si>
  <si>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</si>
  <si>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</si>
  <si>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</si>
  <si>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</si>
  <si>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</si>
  <si>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</si>
  <si>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</si>
  <si>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</si>
  <si>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</si>
  <si>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</si>
  <si>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</si>
  <si>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</si>
  <si>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</si>
  <si>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</si>
  <si>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</si>
  <si>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</si>
  <si>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</si>
  <si>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</si>
  <si>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</si>
  <si>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</si>
  <si>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</si>
  <si>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</si>
  <si>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</si>
  <si>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</si>
  <si>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</si>
  <si>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</si>
  <si>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</si>
  <si>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</si>
  <si>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</si>
  <si>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</si>
  <si>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</si>
  <si>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</si>
  <si>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</si>
  <si>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</si>
  <si>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</si>
  <si>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</si>
  <si>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</si>
  <si>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</si>
  <si>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</si>
  <si>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</si>
  <si>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</si>
  <si>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</si>
  <si>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</si>
  <si>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</si>
  <si>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</si>
  <si>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</si>
  <si>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</si>
  <si>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</si>
  <si>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</si>
  <si>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</si>
  <si>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</si>
  <si>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</si>
  <si>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</si>
  <si>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</si>
  <si>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</si>
  <si>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</si>
  <si>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</si>
  <si>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</si>
  <si>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</si>
  <si>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</si>
  <si>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</si>
  <si>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</si>
  <si>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</si>
  <si>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</si>
  <si>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</si>
  <si>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</si>
  <si>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</si>
  <si>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</si>
  <si>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</si>
  <si>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</si>
  <si>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</si>
  <si>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</si>
  <si>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</si>
  <si>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</si>
  <si>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</si>
  <si>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</si>
  <si>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</si>
  <si>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</si>
  <si>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</si>
  <si>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</si>
  <si>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</si>
  <si>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</si>
  <si>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</si>
  <si>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</si>
  <si>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</si>
  <si>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</si>
  <si>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</si>
  <si>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</si>
  <si>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</si>
  <si>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</si>
  <si>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</si>
  <si>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</si>
  <si>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</si>
  <si>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</si>
  <si>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</si>
  <si>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</si>
  <si>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</si>
  <si>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</si>
  <si>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</si>
  <si>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</si>
  <si>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</si>
  <si>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</si>
  <si>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</si>
  <si>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</si>
  <si>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</si>
  <si>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</si>
  <si>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</si>
  <si>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</si>
  <si>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</si>
  <si>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</si>
  <si>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</si>
  <si>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</si>
  <si>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</si>
  <si>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</si>
  <si>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</si>
  <si>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</si>
  <si>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</si>
  <si>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</si>
  <si>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</si>
  <si>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</si>
  <si>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</si>
  <si>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</si>
  <si>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</si>
  <si>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</si>
  <si>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</si>
  <si>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</si>
  <si>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</si>
  <si>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</si>
  <si>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</si>
  <si>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</si>
  <si>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</si>
  <si>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</si>
  <si>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</si>
  <si>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</si>
  <si>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</si>
  <si>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</si>
  <si>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</si>
  <si>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</si>
  <si>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</si>
  <si>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</si>
  <si>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</si>
  <si>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</si>
  <si>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</si>
  <si>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</si>
  <si>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</si>
  <si>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</si>
  <si>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</si>
  <si>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</si>
  <si>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</si>
  <si>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</si>
  <si>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</si>
  <si>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</si>
  <si>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</si>
  <si>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</si>
  <si>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</si>
  <si>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</si>
  <si>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</si>
  <si>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</si>
  <si>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</si>
  <si>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</si>
  <si>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</si>
  <si>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</si>
  <si>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</si>
  <si>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</si>
  <si>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</si>
  <si>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</si>
  <si>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</si>
  <si>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</si>
  <si>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</si>
  <si>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</si>
  <si>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</si>
  <si>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</si>
  <si>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</si>
  <si>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</si>
  <si>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</si>
  <si>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</si>
  <si>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</si>
  <si>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</si>
  <si>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</si>
  <si>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</si>
  <si>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</si>
  <si>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</si>
  <si>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</si>
  <si>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</si>
  <si>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</si>
  <si>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</si>
  <si>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</si>
  <si>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</si>
  <si>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</si>
  <si>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</si>
  <si>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</si>
  <si>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</si>
  <si>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</si>
  <si>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</si>
  <si>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</si>
  <si>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</si>
  <si>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</si>
  <si>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</si>
  <si>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</si>
  <si>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</si>
  <si>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</si>
  <si>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</si>
  <si>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</si>
  <si>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</si>
  <si>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</si>
  <si>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</si>
  <si>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</si>
  <si>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</si>
  <si>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</si>
  <si>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</si>
  <si>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</si>
  <si>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</si>
  <si>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</si>
  <si>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</si>
  <si>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</si>
  <si>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</si>
  <si>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</si>
  <si>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</si>
  <si>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</si>
  <si>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</si>
  <si>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</si>
  <si>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</si>
  <si>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</si>
  <si>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</si>
  <si>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</si>
  <si>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</si>
  <si>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</si>
  <si>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</si>
  <si>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</si>
  <si>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</si>
  <si>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</si>
  <si>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</si>
  <si>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</si>
  <si>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</si>
  <si>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</si>
  <si>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</si>
  <si>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</si>
  <si>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</si>
  <si>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</si>
  <si>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</si>
  <si>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</si>
  <si>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</si>
  <si>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</si>
  <si>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</si>
  <si>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</si>
  <si>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</si>
  <si>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</si>
  <si>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</si>
  <si>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</si>
  <si>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</si>
  <si>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</si>
  <si>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</si>
  <si>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</si>
  <si>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</si>
  <si>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</si>
  <si>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</si>
  <si>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</si>
  <si>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</si>
  <si>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</si>
  <si>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</si>
  <si>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</si>
  <si>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</si>
  <si>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</si>
  <si>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</si>
  <si>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</si>
  <si>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</si>
  <si>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</si>
  <si>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</si>
  <si>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</si>
  <si>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</si>
  <si>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</si>
  <si>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</si>
  <si>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</si>
  <si>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</si>
  <si>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</si>
  <si>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</si>
  <si>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</si>
  <si>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</si>
  <si>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</si>
  <si>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</si>
  <si>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</si>
  <si>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</si>
  <si>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</si>
  <si>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</si>
  <si>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</si>
  <si>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</si>
  <si>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</si>
  <si>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</si>
  <si>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</si>
  <si>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</si>
  <si>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</si>
  <si>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</si>
  <si>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</si>
  <si>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</si>
  <si>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</si>
  <si>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</si>
  <si>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</si>
  <si>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</si>
  <si>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</si>
  <si>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</si>
  <si>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</si>
  <si>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</si>
  <si>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</si>
  <si>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</si>
  <si>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</si>
  <si>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</si>
  <si>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</si>
  <si>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</si>
  <si>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</si>
  <si>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</si>
  <si>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</si>
  <si>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</si>
  <si>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</si>
  <si>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</si>
  <si>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</si>
  <si>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</si>
  <si>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</si>
  <si>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</si>
  <si>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</si>
  <si>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</si>
  <si>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</si>
  <si>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</si>
  <si>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</si>
  <si>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</si>
  <si>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</si>
  <si>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</si>
  <si>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</si>
  <si>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</si>
  <si>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</si>
  <si>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</si>
  <si>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</si>
  <si>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</si>
  <si>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</si>
  <si>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</si>
  <si>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</si>
  <si>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</si>
  <si>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</si>
  <si>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</si>
  <si>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</si>
  <si>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</si>
  <si>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</si>
  <si>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</si>
  <si>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</si>
  <si>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</si>
  <si>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</si>
  <si>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</si>
  <si>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</si>
  <si>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</si>
  <si>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</si>
  <si>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</si>
  <si>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</si>
  <si>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</si>
  <si>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</si>
  <si>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</si>
  <si>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</si>
  <si>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</si>
  <si>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</si>
  <si>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</si>
  <si>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</si>
  <si>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</si>
  <si>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</si>
  <si>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</si>
  <si>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</si>
  <si>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</si>
  <si>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</si>
  <si>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</si>
  <si>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</si>
  <si>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</si>
  <si>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</si>
  <si>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</si>
  <si>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</si>
  <si>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</si>
  <si>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</si>
  <si>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</si>
  <si>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</si>
  <si>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</si>
  <si>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</si>
  <si>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</si>
  <si>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</si>
  <si>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</si>
  <si>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</si>
  <si>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</si>
  <si>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</si>
  <si>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</si>
  <si>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</si>
  <si>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</si>
  <si>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</si>
  <si>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</si>
  <si>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</si>
  <si>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</si>
  <si>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</si>
  <si>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</si>
  <si>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</si>
  <si>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</si>
  <si>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</si>
  <si>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</si>
  <si>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</si>
  <si>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</si>
  <si>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</si>
  <si>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</si>
  <si>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</si>
  <si>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</si>
  <si>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</si>
  <si>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</si>
  <si>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</si>
  <si>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</si>
  <si>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</si>
  <si>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</si>
  <si>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</si>
  <si>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</si>
  <si>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</si>
  <si>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</si>
  <si>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</si>
  <si>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</si>
  <si>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</si>
  <si>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</si>
  <si>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</si>
  <si>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</si>
  <si>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</si>
  <si>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</si>
  <si>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</si>
  <si>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</si>
  <si>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</si>
  <si>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</si>
  <si>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</si>
  <si>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</si>
  <si>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</si>
  <si>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</si>
  <si>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</si>
  <si>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</si>
  <si>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</si>
  <si>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</si>
  <si>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</si>
  <si>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</si>
  <si>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</si>
  <si>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</si>
  <si>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</si>
  <si>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</si>
  <si>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</si>
  <si>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</si>
  <si>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</si>
  <si>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</si>
  <si>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</si>
  <si>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</si>
  <si>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</si>
  <si>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</si>
  <si>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</si>
  <si>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</si>
  <si>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</si>
  <si>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</si>
  <si>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</si>
  <si>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</si>
  <si>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</si>
  <si>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</si>
  <si>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</si>
  <si>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</si>
  <si>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</si>
  <si>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</si>
  <si>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</si>
  <si>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</si>
  <si>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</si>
  <si>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</si>
  <si>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</si>
  <si>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</si>
  <si>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</si>
  <si>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</si>
  <si>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</si>
  <si>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</si>
  <si>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</si>
  <si>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</si>
  <si>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</si>
  <si>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</si>
  <si>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</si>
  <si>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</si>
  <si>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</si>
  <si>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</si>
  <si>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</si>
  <si>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</si>
  <si>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</si>
  <si>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</si>
  <si>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</si>
  <si>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</si>
  <si>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</si>
  <si>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</si>
  <si>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</si>
  <si>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</si>
  <si>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</si>
  <si>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</si>
  <si>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</si>
  <si>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</si>
  <si>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1. Site production was low on 05/04,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</si>
  <si>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</si>
  <si>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</si>
  <si>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</si>
  <si>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</si>
  <si>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</si>
  <si>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</si>
  <si>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</si>
  <si>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</si>
  <si>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</si>
  <si>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</si>
  <si>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</si>
  <si>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</si>
  <si>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</si>
  <si>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</si>
  <si>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</si>
  <si>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</si>
  <si>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</si>
  <si>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</si>
  <si>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</si>
  <si>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</si>
  <si>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</si>
  <si>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</si>
  <si>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</si>
  <si>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</si>
  <si>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</si>
  <si>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</si>
  <si>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</si>
  <si>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</si>
  <si>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</si>
  <si>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</si>
  <si>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</si>
  <si>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</si>
  <si>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</si>
  <si>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</si>
  <si>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</si>
  <si>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</si>
  <si>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</si>
  <si>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</si>
  <si>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</si>
  <si>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</si>
  <si>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</si>
  <si>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</si>
  <si>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</si>
  <si>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</si>
  <si>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</si>
  <si>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</si>
  <si>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</si>
  <si>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</si>
  <si>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</si>
  <si>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</si>
  <si>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</si>
  <si>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</si>
  <si>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</si>
  <si>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</si>
  <si>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</si>
  <si>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</si>
  <si>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</si>
  <si>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</si>
  <si>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</si>
  <si>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</si>
  <si>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</si>
  <si>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</si>
  <si>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</si>
  <si>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</si>
  <si>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</si>
  <si>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</si>
  <si>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</si>
  <si>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</si>
  <si>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</si>
  <si>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</si>
  <si>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</si>
  <si>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</si>
  <si>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</si>
  <si>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</si>
  <si>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</si>
  <si>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</si>
  <si>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</si>
  <si>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</si>
  <si>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</si>
  <si>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</si>
  <si>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</si>
  <si>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</si>
  <si>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</si>
  <si>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</si>
  <si>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</si>
  <si>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</si>
  <si>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</si>
  <si>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</si>
  <si>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</si>
  <si>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</si>
  <si>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</si>
  <si>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</si>
  <si>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</si>
  <si>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</si>
  <si>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</si>
  <si>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</si>
  <si>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</si>
  <si>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</si>
  <si>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</si>
  <si>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</si>
  <si>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</si>
  <si>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</si>
  <si>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</si>
  <si>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</si>
  <si>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</si>
  <si>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</si>
  <si>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</si>
  <si>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</si>
  <si>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</si>
  <si>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</si>
  <si>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</si>
  <si>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</si>
  <si>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</si>
  <si>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</si>
  <si>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</si>
  <si>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</si>
  <si>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</si>
  <si>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</si>
  <si>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</si>
  <si>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</si>
  <si>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</si>
  <si>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</si>
  <si>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</si>
  <si>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</si>
  <si>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</si>
  <si>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</si>
  <si>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</si>
  <si>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</si>
  <si>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</si>
  <si>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</si>
  <si>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</si>
  <si>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</si>
  <si>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</si>
  <si>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</si>
  <si>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</si>
  <si>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</si>
  <si>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</si>
  <si>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</si>
  <si>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</si>
  <si>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</si>
  <si>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</si>
  <si>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</si>
  <si>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</si>
  <si>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</si>
  <si>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</si>
  <si>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</si>
  <si>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</si>
  <si>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</si>
  <si>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</si>
  <si>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</si>
  <si>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</si>
  <si>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</si>
  <si>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</si>
  <si>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</si>
  <si>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</si>
  <si>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</si>
  <si>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</si>
  <si>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</si>
  <si>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</si>
  <si>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</si>
  <si>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</si>
  <si>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</si>
  <si>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</si>
  <si>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</si>
  <si>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</si>
  <si>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</si>
  <si>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</si>
  <si>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</si>
  <si>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</si>
  <si>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</si>
  <si>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</si>
  <si>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</si>
  <si>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</si>
  <si>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</si>
  <si>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</si>
  <si>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</si>
  <si>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</si>
  <si>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</si>
  <si>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</si>
  <si>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</si>
  <si>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</si>
  <si>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</si>
  <si>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</si>
  <si>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</si>
  <si>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</si>
  <si>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</si>
  <si>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</si>
  <si>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</si>
  <si>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</si>
  <si>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</si>
  <si>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</si>
  <si>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</si>
  <si>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</si>
  <si>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</si>
  <si>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</si>
  <si>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</si>
  <si>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</si>
  <si>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</si>
  <si>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</si>
  <si>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</si>
  <si>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</si>
  <si>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</si>
  <si>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</si>
  <si>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</si>
  <si>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</si>
  <si>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</si>
  <si>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</si>
  <si>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</si>
  <si>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</si>
  <si>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</si>
  <si>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</si>
  <si>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</si>
  <si>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</si>
  <si>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</si>
  <si>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</si>
  <si>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</si>
  <si>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</si>
  <si>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</si>
  <si>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</si>
  <si>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</si>
  <si>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</si>
  <si>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</si>
  <si>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</si>
  <si>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</si>
  <si>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</si>
  <si>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</si>
  <si>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</si>
  <si>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</si>
  <si>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</si>
  <si>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</si>
  <si>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</si>
  <si>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</si>
  <si>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</si>
  <si>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</si>
  <si>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</si>
  <si>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</si>
  <si>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</si>
  <si>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</si>
  <si>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</si>
  <si>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</si>
  <si>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</si>
  <si>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</si>
  <si>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</si>
  <si>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</si>
  <si>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</si>
  <si>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</si>
  <si>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</si>
  <si>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</si>
  <si>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</si>
  <si>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</si>
  <si>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</si>
  <si>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</si>
  <si>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</si>
  <si>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</si>
  <si>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</si>
  <si>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</si>
  <si>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</si>
  <si>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</si>
  <si>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</si>
  <si>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</si>
  <si>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</si>
  <si>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</si>
  <si>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</si>
  <si>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</si>
  <si>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</si>
  <si>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</si>
  <si>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</si>
  <si>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</si>
  <si>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</si>
  <si>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</si>
  <si>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</si>
  <si>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</si>
  <si>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</si>
  <si>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</si>
  <si>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</si>
  <si>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</si>
  <si>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</si>
  <si>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</si>
  <si>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</si>
  <si>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</si>
  <si>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</si>
  <si>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</si>
  <si>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</si>
  <si>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</si>
  <si>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</si>
  <si>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</si>
  <si>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</si>
  <si>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</si>
  <si>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</si>
  <si>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</si>
  <si>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</si>
  <si>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</si>
  <si>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</si>
  <si>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</si>
  <si>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</si>
  <si>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</si>
  <si>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</si>
  <si>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</si>
  <si>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</si>
  <si>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</si>
  <si>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</si>
  <si>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</si>
  <si>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</si>
  <si>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</si>
  <si>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</si>
  <si>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</si>
  <si>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</si>
  <si>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</si>
  <si>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</si>
  <si>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</si>
  <si>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</si>
  <si>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</si>
  <si>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</si>
  <si>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</si>
  <si>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</si>
  <si>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</si>
  <si>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</si>
  <si>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</si>
  <si>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</si>
  <si>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</si>
  <si>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</si>
  <si>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</si>
  <si>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</si>
  <si>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</si>
  <si>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</si>
  <si>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</si>
  <si>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</si>
  <si>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</si>
  <si>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</si>
  <si>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</si>
  <si>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</si>
  <si>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</si>
  <si>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</si>
  <si>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</si>
  <si>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</si>
  <si>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</si>
  <si>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</si>
  <si>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</si>
  <si>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</si>
  <si>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</si>
  <si>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</si>
  <si>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</si>
  <si>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</si>
  <si>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</si>
  <si>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</si>
  <si>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</si>
  <si>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</si>
  <si>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</si>
  <si>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</si>
  <si>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</si>
  <si>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</si>
  <si>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</si>
  <si>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</si>
  <si>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</si>
  <si>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</si>
  <si>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</si>
  <si>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</si>
  <si>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</si>
  <si>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</si>
  <si>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</si>
  <si>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</si>
  <si>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</si>
  <si>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</si>
  <si>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</si>
  <si>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</si>
  <si>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</si>
  <si>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</si>
  <si>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</si>
  <si>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</si>
  <si>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</si>
  <si>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</si>
  <si>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</si>
  <si>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</si>
  <si>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</si>
  <si>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</si>
  <si>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</si>
  <si>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</si>
  <si>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</si>
  <si>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</si>
  <si>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</si>
  <si>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</si>
  <si>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</si>
  <si>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</si>
  <si>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</si>
  <si>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</si>
  <si>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</si>
  <si>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</si>
  <si>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</si>
  <si>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</si>
  <si>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</si>
  <si>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</si>
  <si>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</si>
  <si>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</si>
  <si>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</si>
  <si>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</si>
  <si>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</si>
  <si>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</si>
  <si>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</si>
  <si>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</si>
  <si>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</si>
  <si>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</si>
  <si>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</si>
  <si>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</si>
  <si>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</si>
  <si>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</si>
  <si>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</si>
  <si>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</si>
  <si>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</si>
  <si>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</si>
  <si>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</si>
  <si>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</si>
  <si>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</si>
  <si>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</si>
  <si>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</si>
  <si>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</si>
  <si>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</si>
  <si>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</si>
  <si>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</si>
  <si>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</si>
  <si>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</si>
  <si>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</si>
  <si>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</si>
  <si>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</si>
  <si>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</si>
  <si>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</si>
  <si>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</si>
  <si>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</si>
  <si>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</si>
  <si>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</si>
  <si>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</si>
  <si>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</si>
  <si>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</si>
  <si>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</si>
  <si>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</si>
  <si>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</si>
  <si>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</si>
  <si>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</si>
  <si>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</si>
  <si>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</si>
  <si>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</si>
  <si>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</si>
  <si>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</si>
  <si>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</si>
  <si>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</si>
  <si>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</si>
  <si>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</si>
  <si>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</si>
  <si>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</si>
  <si>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</si>
  <si>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</si>
  <si>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</si>
  <si>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</si>
  <si>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</si>
  <si>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</si>
  <si>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</si>
  <si>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</si>
  <si>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</si>
  <si>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</si>
  <si>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</si>
  <si>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</si>
  <si>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</si>
  <si>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</si>
  <si>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</si>
  <si>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</si>
  <si>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</si>
  <si>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</si>
  <si>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</si>
  <si>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</si>
  <si>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</si>
  <si>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</si>
  <si>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</si>
  <si>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</si>
  <si>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</si>
  <si>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</si>
  <si>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</si>
  <si>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</si>
  <si>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</si>
  <si>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</si>
  <si>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</si>
  <si>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</si>
  <si>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</si>
  <si>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</si>
  <si>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</si>
  <si>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</si>
  <si>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</si>
  <si>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</si>
  <si>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</si>
  <si>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</si>
  <si>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</si>
  <si>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</si>
  <si>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</si>
  <si>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</si>
  <si>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</si>
  <si>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1.Low production/generation due to low irradiance 07/10 , 07/31</t>
  </si>
  <si>
    <t>1.Inverter 2 has been offline since 03/28, reporting a fault current.
2.The meter power dropped to zero and also lost communication multiple times throughout the month.</t>
  </si>
  <si>
    <t>1. SR100622
2.SR100117</t>
  </si>
  <si>
    <t>August Actual v. Expected</t>
  </si>
  <si>
    <t>August Actual v. Forecasted</t>
  </si>
  <si>
    <t xml:space="preserve"> </t>
  </si>
  <si>
    <t>1.Meter B phase currents dropped to Zero whole month. Need to replace CT</t>
  </si>
  <si>
    <t>1.SR102152</t>
  </si>
  <si>
    <t>1. Inverter 3 middle unit(unit 3.2) is producing as expected from 08/01
2.Estimated values are low in AE we have also verified the file which was given by GC</t>
  </si>
  <si>
    <t>1.	SR103360</t>
  </si>
  <si>
    <t>1.Site was offline from 02/21 due to Phase C fuse was blown and parts were needed</t>
  </si>
  <si>
    <t>1. 96 optimizers are down for site construction. GenC says EPC is remapping, completion estimated by next week</t>
  </si>
  <si>
    <t>1. Weather station stopped communicating on 11/22 at 07:00.
2. Inverter module 1.0.153 12D31EC2-C5 is offline, reporting no comms with power optimizer.</t>
  </si>
  <si>
    <t>1.SR093633
2.	SR093292</t>
  </si>
  <si>
    <t>1. 26 optimizers are down for roof repair.
2. Weather station stopped communicating since 06/14/24.
3. Inverter 2 middle unit (unit 2.1) was offline on multiple days and reporting low voltage
4. Meter was reading inaccurate Valuses for whole month likely bad CT.</t>
  </si>
  <si>
    <t>1. SR093294
2. SR086842
3. SR104856
4. SR103245</t>
  </si>
  <si>
    <t>SR103245</t>
  </si>
  <si>
    <t>1. Actual vs expected delta is showing 16% due to expected energy recording low possibly due to data glitch (similar event observe last years).</t>
  </si>
  <si>
    <t>1. The estimated values in AlsoEnergy appeared lower, and there was a discrepancy between the values shown in the Configuration and Analysis sections.</t>
  </si>
  <si>
    <t>1. Inverter 3 is underproducing due to unit(7E9C82CA) underproducing from 13:30 on 06/20 and reporting "external fan" fault.
2. Actual vs expected delta is showing 72% due to expected energy recording low possibly due to data glitch (similar event observe last 2 years).</t>
  </si>
  <si>
    <t>1.SR101786 , SR102902</t>
  </si>
  <si>
    <t>SR102902</t>
  </si>
  <si>
    <t>1.  Actual vs expected delta is showing 29% due to expected energy recording low possibly due to data glitch (similar event observe last 2 years).</t>
  </si>
  <si>
    <t>1.Module 1.0.90 (21772020-D8) No communication. 1.0.29 - 217E44D3-B6 - offline
2.  Actual vs expected delta is showing 36% due to expected energy recording low possibly due to data glitch (similar event observe last years).</t>
  </si>
  <si>
    <t>1.	SR093236</t>
  </si>
  <si>
    <t>1.Site stopped communicating from 03/25. On 03/27 Technician stated that main breaker tripped and malfunctioning. Site was back online on 08/28 at 16:00</t>
  </si>
  <si>
    <t>1.SR102532 , 	SR102532</t>
  </si>
  <si>
    <t>SR102532</t>
  </si>
  <si>
    <t>1. Actual vs Forcasted delta is showing 103% due to Forcasted energy recording low possibly due to data glitch (similar event observe last 2 years).</t>
  </si>
  <si>
    <t>1.Inverter 1 started late for production since 08/01. On 08/11  Technician with SolarEdge support troubleshot inverter 1 but it remained offline. Inverter is now being RMA'd</t>
  </si>
  <si>
    <t>1.SR105502</t>
  </si>
  <si>
    <t xml:space="preserve"> 1.Inverter 2, Unit 2.2 tripped offline on 08/01 at 15:30 EDT reporting low voltage and error status in SE. On 08/20 technician after swapping and pairing optimizer inverter 2 is producing as expected. Solaredge has also rmad an optimizer. And again Inverter 2 unit 2.2 is being offline during morning hours and started producing at mid-day from 08/25</t>
  </si>
  <si>
    <t>1.SR105544</t>
  </si>
  <si>
    <t>1. The meter has been capturing only 222 kW at peak, which suggests that two inverters may be offline. As there is no communication with the inverters, we are currently unable to confirm which specific units are affected.</t>
  </si>
  <si>
    <t>1. SR107329</t>
  </si>
  <si>
    <t xml:space="preserve"> 1.Inverter 1 left unit tripped offline at 14:00 on 08/12. It came back online on 08/18
2.Meter screen is blinking on and off and only showing the Elkor main screen. Meter is recording and reporting correctly from 08/13 . No action to be taken
3.  Actual vs expected delta is showing 26% due to expected energy recording low possibly due to data glitch (similar event observe last 2 years).</t>
  </si>
  <si>
    <t>1.SR106170
2.SR106173</t>
  </si>
  <si>
    <t>SR106173</t>
  </si>
  <si>
    <t xml:space="preserve">1. Optimizer 1.0.124 is offline. Will investigate combinely with other modules.
</t>
  </si>
  <si>
    <t>1.	SR095662</t>
  </si>
  <si>
    <t>1. Weather Station is showing erroneous (0 w/m^2) values at mid day from 07/20 at 09:30.</t>
  </si>
  <si>
    <t>1.SR105932</t>
  </si>
  <si>
    <t>1. Inverter 1 unit 1.2 is derating by 30kW since 07/15. On 08/08 Technicain  has replaced the faulty external fan in inverter unit 1.2 and it producing normally</t>
  </si>
  <si>
    <t>1. Inverter 1 right unit (Unit 1.7) is still experiencing multiple tripping events. Entire inverter 1 offline from 08/27 at 2:00</t>
  </si>
  <si>
    <t>1.SR105933</t>
  </si>
  <si>
    <t>1. Inverter 2 unit 2 tripped offline at 14:45 on 08/01 and reporting grid voltage. It producing normally from 08/11
2.Inverter 3 unit 3.3 tripped offline at 14:45 on 08/21 and reporting "Ground Current - RCD".  It came back online at 11:15 on 08/22 and also  Unit 3.3 is experiencing late starts every day since  08/27 . Followed up with SE</t>
  </si>
  <si>
    <t>1.SR105525
2.SR106721</t>
  </si>
  <si>
    <t>SR106721</t>
  </si>
  <si>
    <t xml:space="preserve">1.Inverter 1 is producing at its half production through out the month. 1 IGBT needs replacement to get inverter fully functional.
2.Inverter 5 tripped offline from 08/27 at 12:15 and it came back online at 14:00 on 08/29 </t>
  </si>
  <si>
    <t>1.SR104403
2.SR107039</t>
  </si>
  <si>
    <t>SR107039</t>
  </si>
  <si>
    <t>1.Inverter 2 is derating by 100kW during the peak hours, Possibly due to increase in Heatsink T temperature. On 08/14 inverters Fans verified operating normally
2. Meter was not communicated for whole month.</t>
  </si>
  <si>
    <t>1.SR105772
2. 	SR098641</t>
  </si>
  <si>
    <t>1. Site lost communication from 08/22 to end of the month.
2.Meter stopped communicating from 14:05 on 03/16 till date.</t>
  </si>
  <si>
    <t>1.	SR106726
2.SR098641</t>
  </si>
  <si>
    <t xml:space="preserve">1. Inverter 8 was back online at 10:40 on 08/11
2.Inverter 28 tripped offline at 13:55 on 08/16 and was back online at 08/21.
3.All inverters were experiencing multiple trippings due to fluctuatins in voltages since 07/29 and was resolved </t>
  </si>
  <si>
    <t>1.SR104724
2.SR106386
3.SR105002</t>
  </si>
  <si>
    <t>SR106386</t>
  </si>
  <si>
    <t>1. Meter was not communicated from 20:40 on 8/21 to end of the month.
2.Weather station lost communication from 07/15</t>
  </si>
  <si>
    <t>1. SR106732
2.SR106732</t>
  </si>
  <si>
    <t>SR106732</t>
  </si>
  <si>
    <t>1.Site tripped offline at 13:10 and was back online at 13:40 on 08/05.</t>
  </si>
  <si>
    <t>1.SR105660</t>
  </si>
  <si>
    <t>1.Inverters 2 tripped offline at 06:15 on 08/01 and is reporting "Ph. T Blower Fault"and was back online at 10:25 on 04/08,again tripped offline at 06:15 on 08/05 and was back online at 10:35 on 08/06.</t>
  </si>
  <si>
    <t>1.SR105475</t>
  </si>
  <si>
    <t>1.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</si>
  <si>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1.SR093024</t>
  </si>
  <si>
    <t>1.Inverter 2 was offline at 06:25 on 08/22 and was back online at 11:30 on 08/22
2.2.Inverter 1 was derating by 60kw during peak hours throughout the month.</t>
  </si>
  <si>
    <t>1.SR106735
2.SR105776</t>
  </si>
  <si>
    <t>SR105776</t>
  </si>
  <si>
    <t xml:space="preserve">1.Inverter 1 was underperforming by 100kw  , inverter 2 by 60kw and inverter 3 by 50kw during peak hours through out the month
</t>
  </si>
  <si>
    <t xml:space="preserve">1.SR105777
</t>
  </si>
  <si>
    <t>1. Trackers A01,5-7,10: B17-23,D19-23,29: F19-23,27,33:G13-14 were stuck. Further troubleshooting is required</t>
  </si>
  <si>
    <t>1.SR095253,SR098877</t>
  </si>
  <si>
    <t>1.Inverter 1 was underperforming by 100kw, inverter 2 by 50kw, inverter 3 by 120kw and was back to normal on 08/21.
2.Trackers 6,14 15 were struck throughout the month.</t>
  </si>
  <si>
    <t>1.SR105778
2.SR106622</t>
  </si>
  <si>
    <t>SR106622</t>
  </si>
  <si>
    <t>1.Site tripped offline at 03:15 on 08/31 and meter voltages were dropped to 0
2.Inverters 3 &amp;4 were experiencing multiple trippings from 11:00 on 08/27 and were back to normal on 08/28.
3.44 trackers were currently struck . Further troubleshooting required.
4.Inverter 1 was derating by 70kw and inverter 3 is derating by 120kw due to inverter internal temperature throughout the month.</t>
  </si>
  <si>
    <t>1.SR107254
2.SR107042
3.SR106503
4.SR1057754</t>
  </si>
  <si>
    <t>SR107042</t>
  </si>
  <si>
    <t>SR106503</t>
  </si>
  <si>
    <t>SR105775</t>
  </si>
  <si>
    <t>1.Inverter 32 was tripped offline at 14:15 on 08/09 and back at 08:45 on 08/13, again tripped offline at 14:15 on 08/18 and was back at 11:00 on 08/20 ,again tripped offline at 12:45pm on 08/31 reporting "Grid voltage out of range" .
2.Inverter 36 tripped offline at 13:30 on 08/28 and reporting "Bus Imbalance - Protect0070".
3. Inverter 9 was offline on multiple days of the month and reporting "Grid Line Voltage Out of Range - GridV.OutLim".
4. Inverter 29 tripped offline at 14:15 on 08/15 and was back online at 11:00 on 08/20 ,again tripped offline at 01:50pm on 08/22.  reporting "Grid Phase Voltage Out of Range - GridV.OutLim" .
5.Inverters 28 was frequently trippping on and off and was completely tripped offline at 01:30pm  on 08/21 reporting"Grid Phase Voltage Out of Range - GridV.OutL"
6.Inverter 23 tripped offline at 14:45 on 08/11 and reporting Grid Line Voltage Out of Range - GridV.OutLim and was back online at 08:45 on 08/13
7. Inverter 5 tripped offline at 14:00 on 08/08 and reporting "Grid Line Voltage Out of Range - GridV.OutLim"and was back online at 13:15 on 08/13
8.Inverter 30 was tripped offline at 14:15 on 08/01 was back online at 08:45 on 08/13, again tripped offline at 11:45 on 08/15 and was back online at 11:00 on 08/20.
9.Inverter 3 powerhead was swapped and issue was resolved on 08/13.From then on,inverter was back online and producing.</t>
  </si>
  <si>
    <t>1.SR107253,SR105960,SR106340
2.SR107147
3.SR106786,SR105526,SR106340
4.SR106755,SR106340
5.SR106662,SR106271
6.SR106031
7.SR105923
8.SR106340
9.SR105423</t>
  </si>
  <si>
    <t>SR105960</t>
  </si>
  <si>
    <t>SR106340</t>
  </si>
  <si>
    <t>SR107147</t>
  </si>
  <si>
    <t>SR106786</t>
  </si>
  <si>
    <t>SR105526</t>
  </si>
  <si>
    <t>SR106755</t>
  </si>
  <si>
    <t>SR106662</t>
  </si>
  <si>
    <t>SR106271</t>
  </si>
  <si>
    <t>SR106031</t>
  </si>
  <si>
    <t>SR105923</t>
  </si>
  <si>
    <t>SR105423</t>
  </si>
  <si>
    <t>1. Inverter 2 was offline from 08:45 to 11:30 on 08/21.</t>
  </si>
  <si>
    <t>1. SR105799</t>
  </si>
  <si>
    <t>1. The site tripped offline at 15:50 on 08/13 and came back online at 09:30 on 08/14.</t>
  </si>
  <si>
    <t>1. SR106209</t>
  </si>
  <si>
    <t>1. SR099347, SR101820, SR103655</t>
  </si>
  <si>
    <t xml:space="preserve">1. The site went offline at 02:00 on 08/08 and came back online at 10:25 on 08/10.
2. The site went offline at 02:00 on 08/12 and came back online at 09:50 on 08/13.
3. The site went offline at 02:00 on 08/26 and came back online at 08:50 on 08/27. It went offline again at 16:50 on 08/28 and has remained offline since then.
</t>
  </si>
  <si>
    <t>1. SR105915
2. SR106037
3. SR106926</t>
  </si>
  <si>
    <t>SR106037</t>
  </si>
  <si>
    <t>SR106926</t>
  </si>
  <si>
    <t>1. Inverter 1 is derating by 140 kW and Inverter 4 by 70 kW during peak hours throughout the month.
2. Inverters 1 and 2 were taken offline from 09:45 to 12:45 on 08/01 while a technician was on site working on CB11. Both the positive and negative feeder 11 wires were relocated to the spare terminal on the DC switch due to damage at the original terminal.</t>
  </si>
  <si>
    <t>1. SR105775
2. SR104674</t>
  </si>
  <si>
    <t>SR104674</t>
  </si>
  <si>
    <t>1. The site tripped offline at 18:00 on 08/03 and came back online at 16:20 on 08/05.</t>
  </si>
  <si>
    <t>1. SR105048</t>
  </si>
  <si>
    <t>1. The site tripped offline at 18:00 on 08/03 and came back online at 16:20 on 08/05.
2. The meter is reporting erroneous values for both power and current.
3.The POA Pyranometer Up has been reporting 0 W/m² since 08/18</t>
  </si>
  <si>
    <t>1. SR105049
2. SR106574
3.SR105649</t>
  </si>
  <si>
    <t>SR106574</t>
  </si>
  <si>
    <t>SR105649</t>
  </si>
  <si>
    <t>1. The site was offline from 11:05 to 13:30 on 08/13.
2. The site was offline from 07:20 to 10:50 and from 16:15 to 17:55 on 08/26.
3.  Inverter 1 has been derating at 1343 kW since 08/17.</t>
  </si>
  <si>
    <t>1. SR106194
2. SR106923
3. SR107234</t>
  </si>
  <si>
    <t>SR106923</t>
  </si>
  <si>
    <t>SR107234</t>
  </si>
  <si>
    <t>1. The site was offline from 07:20 to 10:50 and from 16:15 to 17:55 on 08/26.
2. Inverter 1 has been derating at 1343 kW since 08/17.
3. The site was offline from 11:05 to 13:30 on 08/13.</t>
  </si>
  <si>
    <t>1. SR106924
2. SR107236
3. SR106195</t>
  </si>
  <si>
    <t>SR107236</t>
  </si>
  <si>
    <t>SR106195</t>
  </si>
  <si>
    <t>1. The site was offline from 11:05 to 13:30 on 08/13.
2. The inverter was offline on 08/25 and came back online at 15:05 on the same day, but strings 4 and 5 remain offline, and 2 Y-connectors along with repair wires need to be replaced.</t>
  </si>
  <si>
    <t>1. SR106192
2. SR106797, SR107188</t>
  </si>
  <si>
    <t>SR106797</t>
  </si>
  <si>
    <t>SR107188</t>
  </si>
  <si>
    <t>1. The site was offline from 11:05 to 13:30 on 08/13.
2. The site was offline from 07:20 to 17:55 on 08/26.</t>
  </si>
  <si>
    <t>1. SR106193
2. SR106920</t>
  </si>
  <si>
    <t>SR106920</t>
  </si>
  <si>
    <t>1. The site tripped offline at 18:35 on 08/05 and came back online on 08/06.</t>
  </si>
  <si>
    <t>1. SR105728</t>
  </si>
  <si>
    <t>1. Inverters 1 and 2 were offline from 07/14. Inverter 2 came back online at 14:40 on 08/08, and Inverter 1 came back online at 11:30 on 08/12.
2. The site went offline at 15:40 on 08/06 and came back online at 14:10 on 08/08.
3. The site tripped offline at 09:55 on 08/21 and came back online at 10:00 on 08/22.
4. Inverter 1 has been offline since 08/25.
5. The site tripped offline at 10:45 on 08/26 and came back online at 14:55 on the same day.</t>
  </si>
  <si>
    <t>1. SR104383
2. SR105857
3. SR106643
4. SR106843
5. SR106934</t>
  </si>
  <si>
    <t>SR105857</t>
  </si>
  <si>
    <t>SR106643</t>
  </si>
  <si>
    <t>SR106843</t>
  </si>
  <si>
    <t>SR106934</t>
  </si>
  <si>
    <t>1. Trackers 1 through 49 have been stuck since 07/28.</t>
  </si>
  <si>
    <t>1. SR105180</t>
  </si>
  <si>
    <t>1. Inverter 2 started production late on 08/01, 08/02, 08/04, 08/05, 08/06, and 08/07 due to a ground fault.
2. Inverter 2 was offline from 14:50 on 08/25 and came back online at 09:35 on 08/27.
3. Inverter 1 tripped offline at 15:00 on 08/28 due to "Overall Work STOP" and came back online at 17:30 on 08/29.</t>
  </si>
  <si>
    <t>1. SR105779
2. SR106925, SR107064
3. SR107142</t>
  </si>
  <si>
    <t>SR106925</t>
  </si>
  <si>
    <t>SR107064</t>
  </si>
  <si>
    <t>SR107142</t>
  </si>
  <si>
    <t>1. Trackers 156, 158, 159, and 161 have been stuck since 08/09, and tracker 16 has been stuck since 08/18.</t>
  </si>
  <si>
    <t>1. SR105938</t>
  </si>
  <si>
    <t>1. Tracker 169 is stuck from 07/17</t>
  </si>
  <si>
    <t>1. The site tripped offline at 14:10 on 07/31 due to the SEL relay being in an open state. The relay was closed at 16:10 on 07/31, but the site remained offline and later came back online at 12:05 on 08/01.
2. The site went offline at 09:30 on 08/18 and later came back online at 15:00 on 08/27.</t>
  </si>
  <si>
    <t>1. SR105450
2. SR106428, SR106658</t>
  </si>
  <si>
    <t>SR106428</t>
  </si>
  <si>
    <t>SR106658</t>
  </si>
  <si>
    <t>1. Inverter tripped offline at 14:10 on 08/03 due to "STOP" and came back online at 17:10 on the same day after a remote reset.</t>
  </si>
  <si>
    <t>1. SR104691</t>
  </si>
  <si>
    <t>1. Trackers 23, 24, 33, 37, and 72 through 151 have been stuck since 06/02</t>
  </si>
  <si>
    <t>1. SR102328</t>
  </si>
  <si>
    <t>1. Inverter 2 tripped offline at 09:40 on 08/01 due to a ground fault and came back online at 12:35 by remote reset; tripped offline again at 10:45 on 08/02 due to a ground fault and came back online at 16:30 by remote reset; tripped offline at 08:25 on 08/03 and came back online at 10:40 by remote reset; tripped offline at 12:45 on 08/03 due to the AC breaker being in the open state and came back online at 15:35; tripped offline at 09:40 on 08/06 due to the AC breaker being in the open state and came back online at 12:40 by remote reset; and tripped offline again at 09:20 on 08/07 due to the AC breaker being in the open state and came back online at 15:15 by remote reset.
2. Inverter 1 tripped offline at 16:20 on 08/22 due to the AC breaker being in the open state and later came back online at 18:30 by remote reset.</t>
  </si>
  <si>
    <t>1. SR105474
2. SR106767</t>
  </si>
  <si>
    <t>SR106767</t>
  </si>
  <si>
    <t>1. The site tripped offline at 18:30 on 08/23 due to the SEL relay being open and later came back online at 13:05 on 08/29.</t>
  </si>
  <si>
    <t>1. SR106794</t>
  </si>
  <si>
    <t xml:space="preserve">1. NCU1 tracker 10 was stuck from 07/07 and resumed tracking from 08/18. </t>
  </si>
  <si>
    <t>1. SR104075</t>
  </si>
  <si>
    <t>1. Inverter 1 was offline from 16:40 on 05/26 due to the AC breaker being in an "Open" state and came back online at 13:00 on 08/27 after the inverter was re-energized.
2. tracker NCU3 1041 was stuck on 08/12 and later resumed tracking from 08/21 and tracker NCU4 1056 was stuck from 08/15.</t>
  </si>
  <si>
    <t>1. SR105283
2. SR106058</t>
  </si>
  <si>
    <t>SR106058</t>
  </si>
  <si>
    <t>1. The inverter was offline from 06/28 because the AC breaker switch was in the "Open" state and later came back online at 15:10 on 08/06.</t>
  </si>
  <si>
    <t>1. The site has been offline since 06:20 on 08/10 due to a transformer failure.</t>
  </si>
  <si>
    <t>1. SR105964, SR106921</t>
  </si>
  <si>
    <t>SR106921</t>
  </si>
  <si>
    <t xml:space="preserve">1. The site went offline at 19:03 on 08/04 and was brought back online at 08:12 on 08/05 via a remote reset. It experienced further outages from 18:44 on 08/07 to 09:45 on 08/08, then again from 19:00 on 08/08 to 11:45 on 08/09, and once more from 19:00 on 08/09 to 07:00 on 08/10. Another outage occurred from 19:30 on 08/17 to 12:30 on 08/18, followed by one from 10:25 on 08/18 to 02:10 on 08/19. The site was also offline from 11:30 to 15:00 on 08/25, and again from 10:30 to 16:20 on 08/26.
2. Inverter 1, module 4 went offline at 11:50 on 08/11 and later came back online at 12:25 on 08/13. Again module 4 was offline from 09:30 on 08/21 to 16:15 on 08/26.
3. Inverter 1, module 2 went offline at 15:40 on 08/12 and later came back online at 12:25 on 08/13.
</t>
  </si>
  <si>
    <t>1. SR105637, 	SR106985, SR105305
2. SR106002
3. SR106164</t>
  </si>
  <si>
    <t>SR106985</t>
  </si>
  <si>
    <t>SR105305</t>
  </si>
  <si>
    <t>SR106002</t>
  </si>
  <si>
    <t>SR106164</t>
  </si>
  <si>
    <t>1. Fourteen trackers have been stuck since 04/11: NCU1 SPC 111, 112, 118, 205, 305, 307, 310, 311, and NCU2 SPC 125, 126, 136, 242, 338, 341. Actuator replacement is required.</t>
  </si>
  <si>
    <t>1. SR099686</t>
  </si>
  <si>
    <t>1. Fifteen trackers have been stuck since 03/21: NCU1 SPC 101, 206, 218, 314, and NCU2 SPC 118, 128, 230, 234, 321, 323, 333, 334, 336, 337, 343.</t>
  </si>
  <si>
    <t>1. Nineteen trackers have been stuck throughout the month: NCU1 SPC 115–127 and NCU2 SPC 216, 220, 230, 240, 253, 329, and 338. Additional troubleshooting is required as the terminal blocks need to be replaced.
2. Inverter 1 offline from 07/01  is reporting the AC breaker state as OPEN. Inverter 1 to be RMA'ed and remain offline through out the month.</t>
  </si>
  <si>
    <t>1. SR097454
2. SR106501, SR103824</t>
  </si>
  <si>
    <t>SR106501</t>
  </si>
  <si>
    <t>SR103824</t>
  </si>
  <si>
    <t>1. Site was offline at 17:35 on 07/18. Site came back online at 11:35 on 08/28</t>
  </si>
  <si>
    <t>1.SR104633</t>
  </si>
  <si>
    <t>1.Inverter tripped offline at 17:06 on 08/02 and it came back online at 08:30 on 08/04 
2.Site tripped offline from 13:35 to 15:00 on 08/13. And again tripped offline from 08/14 at 19:00 and came back online at 15:53 on 08/14
3.Site tripped offline from 06:27 to 10:09 on 08/18
4. Site was taken offline from 09:30 to 14:26 on 08/19 due to utility to perform some emergency repair works.
5.Inverter tripped offline from 09:30 to 13:29 on 08/27</t>
  </si>
  <si>
    <t>1.SR105543
2.SR106211
3.SR106418
4.SR106495
5.	SR107013</t>
  </si>
  <si>
    <t>SR106211</t>
  </si>
  <si>
    <t>SR106418</t>
  </si>
  <si>
    <t>SR106495</t>
  </si>
  <si>
    <t>SR107013</t>
  </si>
  <si>
    <t>1.Inverter 1 tripped offline on 08/22 at 17:00 and reporting "Error" and it came back online at 10:00 on 08/23, and also CB 8 offline from ground fault from 08/23 and it came back online at 11:30 on 08/27</t>
  </si>
  <si>
    <t>1.SR106766</t>
  </si>
  <si>
    <t>1.Site offline from 08:30 on 08/10 and it came back online at 17:30 on 08/12</t>
  </si>
  <si>
    <t>1.SR105304</t>
  </si>
  <si>
    <t>1.	SR105307</t>
  </si>
  <si>
    <t xml:space="preserve">1.- Inverter 2 unit 1 (7E9B4E78) tripped offline at 14:15 on 08/06 and reporting "Grid voltage". On 08/11 Inveretr AC fuse replaced, inverter is producing normally.
</t>
  </si>
  <si>
    <t>1.SR105865</t>
  </si>
  <si>
    <t>1. Inverter 1 On 06/30 at 14:15, Inverter 1 tripped offline. Parts are being RMAd, including Inverter 1 Unit 1.4. On 08/14 at 13:15, Inverter 1 Unit 1.4 tripped offline again. On 08/21, the inverter was producing normally. On 08/26 at 14:30, Inverter 1 tripped offline once more, reporting "3 Phase Possible Arc Detection". On 08/27, the inverter was reset, and all powerheads resumed normal production.
2.Inverter 3 center unit 3.1 tripped offline at 14:00 on 08/09. On 08/11 terminated DC homeruns and inverter is producing normally. Inverter 3 center 3.1 unit tripped offline at 13:00 on 08/24 and reporting "3 Phase Possible Arc Detection"</t>
  </si>
  <si>
    <t>1.	SR103710
2.SR103871</t>
  </si>
  <si>
    <t>1.SR103361</t>
  </si>
  <si>
    <t>1.Inverter 2, Unit 2.1 did not start for production on 08/19.</t>
  </si>
  <si>
    <t>1.SR106530</t>
  </si>
  <si>
    <t>1.Inverter 3 and   unit 3.1 tripped offline  at 13:45 on 06/29 and has been offline since then.
2.Inverter 1 unit 1.1 tripped offline at 16:30 on 08/06.  Inverter 1 unit 1.2 tripped offline at 12:45 on 08/09. On 08/22  inveretr 1 center and left unit.  Units were reenergized and have been operating normally.
3.Inveretr 2 center is offline from 08/14. On 08/22 Inveretr 2 left unit swapped optimizer and isolated string 2 to reenergize.  Center unit reenergized.
4. Inverter 2 tripped offline at 13:15 and reporting "Fault". On 08/22  technician swapped optimizers and reenergized inverter 1 left and center units, inverter 2 left and center units, and inverter 3 center unit. Strings were isolated in inverter 2 left unit and inverter 3 left unit.</t>
  </si>
  <si>
    <t>1.SR103641
2.SR105731
3.	SR105732
4.	SR106387</t>
  </si>
  <si>
    <t>SR105731</t>
  </si>
  <si>
    <t>SR105732</t>
  </si>
  <si>
    <t>SR106387</t>
  </si>
  <si>
    <t>1.	SR103246</t>
  </si>
  <si>
    <t>1.Inverter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2.Site tripped offline on 08/19 at 10:45 due to  Casey Electric is onsite doing work on the Mian Transformer.  Site came back online at 8:15 on 08/20</t>
  </si>
  <si>
    <t>1.SR100220
2.	SR106493</t>
  </si>
  <si>
    <t>SR106493</t>
  </si>
  <si>
    <t>1.Inverters 7, 12 &amp; 14 has stopped communicating from 08/27, production cannot be verified at meter level.</t>
  </si>
  <si>
    <t>1.	SR107059</t>
  </si>
  <si>
    <t>1.Trackers 1 and 55 are stuck at 15degrees from 19:00CDT on 08/05.
2.Inverter 11 offline from 08/19 and it being RMAD
3. Inverter 6 tripped offline at 14:45 on 08/26. Inverter came back online at 13:15 on 08/27</t>
  </si>
  <si>
    <t>1.	SR105922
2.SR106486
3.	SR106986</t>
  </si>
  <si>
    <t>SR106486</t>
  </si>
  <si>
    <t>SR106986</t>
  </si>
  <si>
    <t>1. Inverter 1 has been underperforming by 13 kW due to a 'Fault' since 07/11.
2.Inverters were offline from 09:00 to 09:45 on 08/27. Inverter 3 came back online at 11:00.</t>
  </si>
  <si>
    <t>1.SR104292
2.SR107019</t>
  </si>
  <si>
    <t>SR107019</t>
  </si>
  <si>
    <t>1.Site offline from 08:50 on 08/21 and it came back online on 08/22 at 11:00</t>
  </si>
  <si>
    <t>1.SR106630</t>
  </si>
  <si>
    <t>1.Meter 2 was not capturing the actual production of Inverter 2, resulting in a deviation of approximately 700 to 900 kW in the overall meter production. Throughout the month of July, voltage drops were observed on Phases 2-3 and 3-1, while Phase 3 currents increased. Meter 2 resumed accurately capturing production data as of 08/12</t>
  </si>
  <si>
    <t>1.SR105531</t>
  </si>
  <si>
    <t>1.All trackers have been stuck at 0.99 degrees since 05/07.
2.Casey Electric checked in for punch list items.  They will deenergize equipment from 19:41 to 19:51 on 08/19 to work with the transformer. The checked out.
3.Site taken offline from 09:15 to 15:15 due to EPC is replacing a board in DAS cabinet.</t>
  </si>
  <si>
    <t>1.	SR101228
2.SR106480
3.SR106626</t>
  </si>
  <si>
    <t>SR106480</t>
  </si>
  <si>
    <t>SR106626</t>
  </si>
  <si>
    <t>1. Tracker T02.E.57 ,  Tracker B05 &amp; 17 are offline.
2.- Site tripped offline at 10:30 from 07/31 and it came back online at 10:00 on 08/01
3.Inverter 2 offline from 08/02 and it came back online at 14:25 on 08/04</t>
  </si>
  <si>
    <t>1.SR105354
2.SR105433
3.	SR105530</t>
  </si>
  <si>
    <t>SR105433</t>
  </si>
  <si>
    <t>SR105530</t>
  </si>
  <si>
    <t>1.Site tripped offline from 18:15 to 19:15 on 08/18 and reporting " Fault Grid Phase Voltage Out of Range - GridV.OutLim"</t>
  </si>
  <si>
    <t>1.SR106471</t>
  </si>
  <si>
    <t>1. Trackers 8, 9, 11, 42, 43, 109 &amp; 110 are deviating. Will investigate next time from 08/06</t>
  </si>
  <si>
    <t>1.SR105284</t>
  </si>
  <si>
    <t>1.Site offline from 08/21 at 08:45 due to planned outage and it came back online at 13:35 on 08/22</t>
  </si>
  <si>
    <t>1.	SR106448</t>
  </si>
  <si>
    <t>1. Inverter tripped offline at 16:05 on 08/06 and it came back online at 11:45 on 08/08
2.Site tripped offline at 17:45 on 08/22 and it came back online at 12:20 on 08/25</t>
  </si>
  <si>
    <t>1.SR105769
2.	SR106769</t>
  </si>
  <si>
    <t>SR106769</t>
  </si>
  <si>
    <t>1.Site expired in AE on 08/31</t>
  </si>
  <si>
    <t>1. Meter voltages dropped to zero at 03:30 on 08/30.
2. Inverter 2 tripped offline 15:30 on 08/31.</t>
  </si>
  <si>
    <t>1. SR100771
2. SR107263</t>
  </si>
  <si>
    <t>SR107263</t>
  </si>
  <si>
    <t>1. The site tripped offline at 11:30 on 08/22 and back online at 12:45 on 08/24.
2. The site tripped offline at 05:45 on 08/25 and came back online at 08:15 on 08/27.
3. The site tripped offline at 05:15 on 08/30 and came back online at 07:45 on 08/30.</t>
  </si>
  <si>
    <t>1. SR106749
2. SR106773
3. SR107225</t>
  </si>
  <si>
    <t>SR106773</t>
  </si>
  <si>
    <t>SR107225</t>
  </si>
  <si>
    <t>1. The site has been offline since 08:30 on 08/31.</t>
  </si>
  <si>
    <t>1. SR107245</t>
  </si>
  <si>
    <t>September Actual v. Expected</t>
  </si>
  <si>
    <t>September Actual v. Forecasted</t>
  </si>
  <si>
    <t>1. Meter B phase currents dropped to Zero whole month. Need to replace CT</t>
  </si>
  <si>
    <t>1. SR107464</t>
  </si>
  <si>
    <t>1. Inverter 3 has been underproducing by 12 kW since 12:45 on 09/11, as unit 3.1 (right unit) is underproducing.
2.Estimated values are low in AE we have also verified the file which was given by GC</t>
  </si>
  <si>
    <t>1. SR108295</t>
  </si>
  <si>
    <t>1. 96 optimizers are down for site construction. GenC says EPC is remapping, appears complete on 09/17</t>
  </si>
  <si>
    <t xml:space="preserve">1.3 optimizers are offline: 2.0.160, 3.0.17, 3.0.33 </t>
  </si>
  <si>
    <t>1.SR095666</t>
  </si>
  <si>
    <t>1. SR093633
2. SR093292</t>
  </si>
  <si>
    <t xml:space="preserve">	23,678.5</t>
  </si>
  <si>
    <t>1. Inverter 2, unit 2.2, was offline for multiple days and came back online at 09:30 on 09/18.
2. 26 optimizers are down for roof repair.
3. Weather station stopped communicating since 06/14/24.
4. Meter was reading inaccurate Valuses for whole month likely bad CT.</t>
  </si>
  <si>
    <t>1. SR104856
2. SR093924
3. SR086842
4. SR103245</t>
  </si>
  <si>
    <t>SR093924</t>
  </si>
  <si>
    <t>1. Inverter 7, unit 7.1, was offline from 11:15 on 08/27 and came back online at 10:15 on 09/19.
2. Inverter 8, unit 8.3, was offline from 12:45 on 08/30 and came back online at 11:15 on 09/05.
3. Inverter 11 (left unit) was offline since 04/18 and came back online at 09:45 on 09/19.</t>
  </si>
  <si>
    <t>1. SR108228
2. SR107240
3. SR101786 SR102902</t>
  </si>
  <si>
    <t>SR107240</t>
  </si>
  <si>
    <t>SR101786</t>
  </si>
  <si>
    <t>1. SR102672</t>
  </si>
  <si>
    <t>1.Module 1.0.90 (21772020-D8) No communication. 1.0.29 - 217E44D3-B6 - offline
2.Actual vs expected delta is showing 36% due to expected energy recording low possibly due to data glitch (similar event observe last years).</t>
  </si>
  <si>
    <t>1.Inverter unit 1.2 has been underperforming by approx 20kW since the site was re-energized on 8/27.</t>
  </si>
  <si>
    <t>1.SR107361</t>
  </si>
  <si>
    <t xml:space="preserve">1. Home run Solar shut off the site at 08:30am on 09/22 to perform roof repairs. </t>
  </si>
  <si>
    <t>1.SR102529</t>
  </si>
  <si>
    <t>1.SR088282</t>
  </si>
  <si>
    <t>1. Inverter 1 is back online at 10:45am on 09/11</t>
  </si>
  <si>
    <t>1.Inverter 2 unit 2.3 was offline from 10:15 on 09/29 to end of the month</t>
  </si>
  <si>
    <t>1.SR108939</t>
  </si>
  <si>
    <t>1. Inverter 2 unit 2.2 is being offline during morning hours and started producing at mid-day from 08/25 and mostly offline for whole day and self resolving for the next couple of days.</t>
  </si>
  <si>
    <t>1.Inverter 3 unit 3.3 tripped offline at 12:00PM on 08/30.
2.4 Inverter modules are offline. Will investigate next time on site. Module 1.0.64 Module 4.0.39 , 3.0.20 ,1.0.64</t>
  </si>
  <si>
    <t>1.SR107242
2.SR093324</t>
  </si>
  <si>
    <t>SR093324</t>
  </si>
  <si>
    <t>1.The meter has been capturing only 222 kW at peak since 14:15 on 08/13, later inverter 2 is back online at 11:15 on 09/12</t>
  </si>
  <si>
    <t>1.SR107329</t>
  </si>
  <si>
    <t>1.Actual vs expected delta is showing 26%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</si>
  <si>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offline.On 09/10 inverter 10 is being RMA'd</t>
  </si>
  <si>
    <t>1.SR093326
2.SR107164</t>
  </si>
  <si>
    <t>SR107164</t>
  </si>
  <si>
    <t>1.Inverter modules 3.0.144 and 5.0.100 are offline 4.0.66 - 30513B3F-FB - half production because split between 4 modules</t>
  </si>
  <si>
    <t>1.SR093327</t>
  </si>
  <si>
    <t>1.Inverter 1 having morning shading issue</t>
  </si>
  <si>
    <t>1.During peak hours, the Plane of Array (POA) and GHI values we’re receiving from the site are unusually low, while the other parameters are within expected ranges from 07/20 at 09:30. This suggests there may be an issue with the Pyranometer sensor at the site, as the settings on the PowerTrack appear to be configured correctly. I recommend sending a technician to the site to investigate and resolve this issue.
2. 6 modules are offline: Module 1.2.1 Module 1.2.13 Module 1.2.14 Module 1.11.5 Module 2.1.12 Module 2.1.16
3.Weather Station is showing erroneous (0 w/m^2) values at mid day from 07/20 at 09:30.</t>
  </si>
  <si>
    <t>1.SR105932
2.SR098241
3.	SR105932</t>
  </si>
  <si>
    <t>SR098241</t>
  </si>
  <si>
    <t>SR105932</t>
  </si>
  <si>
    <t>1.Inverter 1 unit 1.3 having morning shading issue and inverter 2 having evening shading issues</t>
  </si>
  <si>
    <t>1. Inverter 1, unit 1.7(Right unit) tripped offline at 10:00 on 09/13.
2. Inverter 1 tripped offline at 12:00 on 08/27, later back online at 13:30 on 09/11</t>
  </si>
  <si>
    <t>1.SR107934
2.SR105933</t>
  </si>
  <si>
    <t>SR105933</t>
  </si>
  <si>
    <t>1.Inverter 3 Unit 3.3 is experiencing late starts every day, later Inverter has not experienced any issues since 9/13</t>
  </si>
  <si>
    <t>1.SR106721</t>
  </si>
  <si>
    <t>1.Inverter 5 tripped offline at 13:45 on 09/15, later technician troubleshooted the inverter and it was back online at 14:45 but modules 2 &amp; 3 are kept offline.
2.Inverter 1 is producing at its half production through out the month. 1 IGBT needs replacement to get inverter fully functional.</t>
  </si>
  <si>
    <t>1.SR108007, SR108411
2.SR104403</t>
  </si>
  <si>
    <t>SR108411</t>
  </si>
  <si>
    <t>SR104403</t>
  </si>
  <si>
    <t>1. Meter was not communicated for whole month.</t>
  </si>
  <si>
    <t>1. Site lost communication from 08/22, technician confirmed that the site is online onsite. GPM is shipping the equipment.</t>
  </si>
  <si>
    <t>1.SR106726</t>
  </si>
  <si>
    <t>1. The meter is showing a phase voltage imbalance of ~130V. Phases A &amp; B are reading 270V and phase 3 is ~140V but is occasionally in-line with the other phases. Inverter voltage normal from 09/09.</t>
  </si>
  <si>
    <t>1.SR107702</t>
  </si>
  <si>
    <t>1.Weather station lost communication from 07/15
2. Inverters filters has been replaced on 09/03.</t>
  </si>
  <si>
    <t>1.SR107603
2.SR107011</t>
  </si>
  <si>
    <t>SR107011</t>
  </si>
  <si>
    <t>1.Inverter 2 did not start for production on 09/23, later back online at 11:10 on 09/24
2.Expected energy values are reporting very low. Created a case #66639 with GPM, As per GPM the BOM has been frozen from 02/27.</t>
  </si>
  <si>
    <t>1.SR108390
2.SR099403</t>
  </si>
  <si>
    <t>1.Inverter 2 having shading issue</t>
  </si>
  <si>
    <t>1. Site was offline from 08:40 to 10:55 on 09/10 due to planned outage.</t>
  </si>
  <si>
    <t>1.SR107750</t>
  </si>
  <si>
    <t>1. Site was offline from 08:40 to 10:55 on 09/10 due to planned outage.
2.The energy meter at Washington 3 is showing an issue with C-phase PT where the voltage measurement is drifting from 07/24, later site remain offline from 12:15 on 09/23 due to inverter to XFMR busbars had thermal damage and need to be replaced
3. Site was offline from 05:20am to 15:30 on 09/05
4.POA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</si>
  <si>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1.SR107751
2.SR105816
3.SR107490
4.SR093024</t>
  </si>
  <si>
    <t>SR105816</t>
  </si>
  <si>
    <t>SR107490</t>
  </si>
  <si>
    <t>1. Site was offline from 08:40 to 10:55 on 09/10 due to planned outage.
2. Site was offline from 05:20am to 15:30 on 09/05
3.Site lost communication at 12:15 on 09/24, possibly offline.</t>
  </si>
  <si>
    <t>1.SR107758
2.SR107491
3.SR108045</t>
  </si>
  <si>
    <t>SR107491</t>
  </si>
  <si>
    <t>SR108045</t>
  </si>
  <si>
    <t>1. Site tripped offline at14:05 on 09/10, later back online at 08:00 on 09/11</t>
  </si>
  <si>
    <t>1.SR107780</t>
  </si>
  <si>
    <t>1. Inverter 4 has been experiencing multiple trip events on 09/19 and back to normal production on 09/20.</t>
  </si>
  <si>
    <t>1.SR108277</t>
  </si>
  <si>
    <t>1.site tripped offline at 10:05am on 09/24 and back online at 14:30 on 09/24
2.All trackers are stuck from 1PM on 09/04</t>
  </si>
  <si>
    <t>1.SR108456
2.SR107506</t>
  </si>
  <si>
    <t>SR107506</t>
  </si>
  <si>
    <t>1.site tripped offline at 2:30PM on 09/24
2. 7-8 trackers were struck throughout the month.</t>
  </si>
  <si>
    <t>1.SR108486
2.SR106622</t>
  </si>
  <si>
    <t>1. Site is back online at 11:00 on 09/01.
2.Site tripped offline from 8:20AM to 18:30 on 09/17 due to utility outage.
3.44 trackers were struck through out the month. Further troubleshooting required.
4.Inverter 1 was derating by 70kw and inverter 3 is derating by 120kw due to inverter internal temperature throughout the month.</t>
  </si>
  <si>
    <t>1.SR107254
2.SR108118
3.SR106503
4.SR105774</t>
  </si>
  <si>
    <t>SR108118</t>
  </si>
  <si>
    <t>SR105774</t>
  </si>
  <si>
    <t xml:space="preserve">1. Inverter 30 tripped offline at 15:00 on 09/01 and back online at 09:45 on 09/03
2.Inverter 33 tripped offline at 11:45 on 09/20 and later back online at 11:00 on 09/21
3. Inverter 23 tripped offline at 14:00 on 09/02 and later back online at 09:13 on 09/03
4.Inverter 19 has been RMA'd from 09/15
5. Inverter 28 is back online at 08:00 and again tripped offline at 13:00 on 09/03
6.Inverter 29 is back online at 08:00 and again tripped offline at 15:00 on 09/03 and back online at 09:00 on 09/08
7. Inverter 29 tripped offline at 14:00 on 09/09 and back online at 10:00 on 09/21
8. Inverter 28 &amp; 30 have tripped offline on 09/08 and back online on 09/21
9.inverter 9 has derated to 100kW from 08/31
10. Inverter 9 is back online at 09:00 on 09/03
11.Inverter 9 tripped offline at 10:45 on 09/15 </t>
  </si>
  <si>
    <t>1.SR107267
2.SR108310
3.SR107323
4.SR108010
5.SR106662
6.SR106755
7.SR107706
8.SR107651
9.SR107331
10.SR106786
11.SR108010</t>
  </si>
  <si>
    <t>SR108310</t>
  </si>
  <si>
    <t>SR107323</t>
  </si>
  <si>
    <t>SR108010</t>
  </si>
  <si>
    <t>SR107706</t>
  </si>
  <si>
    <t>SR107651</t>
  </si>
  <si>
    <t>SR107331</t>
  </si>
  <si>
    <t>1.10 trackers are stuck from 09/22
2.Meter have stopped communicating from 13:00 on 09/04 and reporting 0 values, production can be verified at inverter level.
3.Site tripped offline from 09:55am to 14:25 on 09/24</t>
  </si>
  <si>
    <t>1.SR108338
2.SR107449
3.SR108470</t>
  </si>
  <si>
    <t>SR107449</t>
  </si>
  <si>
    <t>SR108470</t>
  </si>
  <si>
    <t>1.All inverter experiencing multiple trip events due to Phase 2 voltage fluctuations at meter. Inverters 3 and 4 are offline on 09/17 and later back online at 16:30 on 09/17</t>
  </si>
  <si>
    <t>1.SR108139</t>
  </si>
  <si>
    <t>1.SR101820</t>
  </si>
  <si>
    <t>1.Site started communication on 09/02 the data of august was bacfilled to september due to that actual was high</t>
  </si>
  <si>
    <t>1. Inverter 1 is derating by 140 kW and Inverter 4 by 70 kW during peak hours throughout the month.</t>
  </si>
  <si>
    <t>1.SR105775</t>
  </si>
  <si>
    <t>1.POA Pyranometer UP irradiance reporting 0W/m2 since 08/18. Due to this expected energy values in monthly reports has been affected</t>
  </si>
  <si>
    <t>1.SR105649</t>
  </si>
  <si>
    <t>1.  Inverter 1 has been derating at 1343 kW since 08/17, later back to normal production at 13:40 on 09/02
2.Site tripped offline from 08:25 AM to 11:55 AM and again 13:45 to 18:45 on 09/17.</t>
  </si>
  <si>
    <t>1.SR107234
2.SR108143</t>
  </si>
  <si>
    <t>SR108143</t>
  </si>
  <si>
    <t>1.Site tripped offline from 08:25 AM to 11:55 AM and again 13:45 to 18:45 on 09/17.
2.Inverter 1 has been derating at 1343 kW since 08/17, later back to normal production at 13:40 on 09/02
3. Site lost communication from 08:30am on 09/18 and later regained at 02:05am on 09/19 energy has not backfilled, possibly offline.</t>
  </si>
  <si>
    <t>1.SR108145
2.SR107236
3.SR105659, SR108266</t>
  </si>
  <si>
    <t>SR105659</t>
  </si>
  <si>
    <t>SR108266</t>
  </si>
  <si>
    <t>1. Pad 1 trackers 1, 63 ,109 are stuck at 0 deg and trackers 57, 119 are stuck at 255 deg. Additionally, Pad 2 trackers 43 , 114 are stuck at 0 deg and trackers 86, 124 are stuck at 255 deg from 09/07. Charging panel and node is being RMA'd</t>
  </si>
  <si>
    <t>1.SR107585</t>
  </si>
  <si>
    <t>1.The inverter was offline on 08/25 and came back online at 15:05 on the same day, but strings 4 and 5 remain offline, and 2 Y-connectors later the strings has been replaced on 09/12
2. Site is not communicating from 09/16 to DAS but producing onsite.</t>
  </si>
  <si>
    <t>1.SR106797
2.SR108023</t>
  </si>
  <si>
    <t>SR108023</t>
  </si>
  <si>
    <t>1.Site tripped offline from 08:25 AM to 11:55 AM and again 13:45 to 18:45 on 09/17.</t>
  </si>
  <si>
    <t>1.SR108111</t>
  </si>
  <si>
    <t>1.Site tripped offline at 08:00 on 09/09 and meter voltage dropped to 0V and remained offline throughout the month.</t>
  </si>
  <si>
    <t>1.SR107665</t>
  </si>
  <si>
    <t>1.Meter is reporting 0 values since 09/04 and even stopped capturing data throughout the month.
2.Site stopped communicating from 09/09</t>
  </si>
  <si>
    <t>1.SR107450
2.SR107667</t>
  </si>
  <si>
    <t>SR107667</t>
  </si>
  <si>
    <t>1.SR107666</t>
  </si>
  <si>
    <t>1.Inverter 1 has been offline since 08/25 and was back online at 09:00 on 09/09</t>
  </si>
  <si>
    <t>1.SR106843</t>
  </si>
  <si>
    <t>1.SR105180</t>
  </si>
  <si>
    <t>1.Inverter 1 is facing multiple trippings and each time it trips its reporting "Overall Work STOP" since 09/04 and issue was resolved on 09/12.</t>
  </si>
  <si>
    <t>1.SR107142</t>
  </si>
  <si>
    <t>1.Site tripped offline at 15:35 on 09/15 and it came back online at 09:35 on 09/16 and again site tripped offline form 09:40 on 09/22 and it came back online at 12:25 on 09/23</t>
  </si>
  <si>
    <t>1.SR107955</t>
  </si>
  <si>
    <t>1.Site tripped offline at 15:03 on 09/04 and was back online 09/05
2.Site tripped offline at 07:25 on 09/05 and SEL voltage dropped to 1V and back at 12:07 on 09/08 but inverter 1 left offline since then. Site again tripped offline at 09:32 on 09/10 and was back online at 10:53 on 09/24.</t>
  </si>
  <si>
    <t>1.SR107478
2.SR107493,SR107781</t>
  </si>
  <si>
    <t>SR107493</t>
  </si>
  <si>
    <t>SR107781</t>
  </si>
  <si>
    <t>1.Inverter tripped offline at 16:00 on 09/06  and reporting "AC breaker switch open" and was back online on 09/07.Inverter again tripped offline at 16:30 on 09/09 reporting AC contactor is in "Open" state and was back at 18:00 on the same day.Inverter again tripped offlinr at 11:00 on 09/22 and was back at 13:15 on 09/22.</t>
  </si>
  <si>
    <t>1.SR107090</t>
  </si>
  <si>
    <t>1.SR102328</t>
  </si>
  <si>
    <t>1. Tracker NCU4 1056 was stuck from 08/15 and later self-resolved. Tracker NCU2 1005 got stuck on 09/08 and resumed tracking on 09/11.
2. Inverter 1 was offline from 13:00 on 09/09 and came back online at 07:00 on 09/10. The inverter went offline again on 09/16.
3. The meter is missing phase A throughout the month, resulting in incomplete production data for both inverters.</t>
  </si>
  <si>
    <t>1. SR106058
2. SR106176
3. SR108248</t>
  </si>
  <si>
    <t>SR106176</t>
  </si>
  <si>
    <t>SR108248</t>
  </si>
  <si>
    <t>1. Module 4 was offline from 09/01 and came back online at 09:40 on 09/03.
2. The site was offline on 09/15 and came back online at 07:05 on 09/16.
3. The site was offline on 09/18 and came back online at 12:25 on 09/19.
4. The site was offline from 07:20 to 11:20 on 09/21.
5. The site was offline from 07:15 to 09:15 on 09/23.
6. Module 4 was offline from 07:30 on 09/21 and came back online at 11:50 on 09/23.</t>
  </si>
  <si>
    <t>1. SR107313
2. SR107939
3. SR108225
4. SR108330
5. SR108395
6. SR108400</t>
  </si>
  <si>
    <t>SR107939</t>
  </si>
  <si>
    <t>SR108225</t>
  </si>
  <si>
    <t>SR108330</t>
  </si>
  <si>
    <t>SR108395</t>
  </si>
  <si>
    <t>SR108400</t>
  </si>
  <si>
    <t>1. The site tripped offline at 10:30 on 09/03 and came back online at 11:05 on 09/05.
2. Inverter 1 tripped offline at 09:25 on 09/14 and came back online at 12:15 on 09/15.
3. The site was offline from 12:55 to 14:30 on 09/23 while the technician was onsite for preventive maintenance.</t>
  </si>
  <si>
    <t>1. SR107376
2. SR107937
3. PM9480</t>
  </si>
  <si>
    <t>SR107937</t>
  </si>
  <si>
    <t>1. Inverter 1 offline from 07/01  is reporting the AC breaker state as OPEN. Inverter 1 to be RMA'd and remain offline through out the month.
2. Nineteen trackers have been stuck throughout the month: NCU1 SPC 115–127 and NCU2 SPC 216, 220, 230, 240, 253, 329, and 338. Additional troubleshooting is required as the terminal blocks need to be replaced.</t>
  </si>
  <si>
    <t>1. SR106501
2. SR097454</t>
  </si>
  <si>
    <t>1. The site tripped offline at 02:20 on 09/06 and came back online at 17:32 on the same day.
2. The site tripped offline at 07:15 on 09/12 and came back online at 14:15 on the same day.
3. The site tripped offline at 07:45 on 09/22 and came back online at 09:35 on the same day.</t>
  </si>
  <si>
    <t>1. SR107556
2. SR107893
3. SR108334</t>
  </si>
  <si>
    <t>SR107893</t>
  </si>
  <si>
    <t>SR108334</t>
  </si>
  <si>
    <t>1.Inverter 2 having heavy shading isuue from afternoon to evening hours</t>
  </si>
  <si>
    <t>1. Inverter 2 experiencing minor shading issue</t>
  </si>
  <si>
    <t>1. Inverter 2 (as per SE Inverter 1) — Units 1.1 and 1.2 tripped offline at 12:00, and Unit 1.3 tripped offline at 16:15 on 06/18. The inverter has remained offline  and SolarEdge has rmad the center unit and Left unit being RMA'd.</t>
  </si>
  <si>
    <t>1.SR103141</t>
  </si>
  <si>
    <t>1.Inverter 3 left unit tripped offline at 13:00 on 09/04 and was back online at 11:00 on 09/13.
2.Inverter 1 tripped offline at 13:30 on 09/04 displaying "generic fault in AE" and no fault in SE and was back online at 12:30 on 09/10.</t>
  </si>
  <si>
    <t>1.SR103871
2.SR103710</t>
  </si>
  <si>
    <t>1.Inverter 2 , unit 2.1 started prodduction on 09/15</t>
  </si>
  <si>
    <t>1.Inverter 1 unit 1.1 tripped offline at 1:45pm on 09/02 and was back online at 8:45am on 09/04.
2.Inverter 2 unit 2.1 tripped offline since 02:15pm on 08/23 flagging "03*9B" error and was back online at 08:30 am on 09/04.
3.Inverter 3 unit 3.2 was offline from 09/12 and remained throughout the month.</t>
  </si>
  <si>
    <t>1.SR107411
2.SR106387
3.SR107805,SR103641</t>
  </si>
  <si>
    <t>SR107805</t>
  </si>
  <si>
    <t>1. Inverter 2, Unit 2.1 tripped offline at 11:45 on 06/19 and was back online at 09:30am on 09/16.</t>
  </si>
  <si>
    <t>1.Inverter 1 unit 1.2 was offline since 09/16 and remained offline throughout the same.</t>
  </si>
  <si>
    <t>1.SR108093</t>
  </si>
  <si>
    <t xml:space="preserve">1.Inveter was offline from 07:30cdt to 08:45cdt on 09/05.
2.Inverter 1 underperforming by 100 kW, inverter 2 underperforming by 5 kW, inverter 7 underperforming by 15 kW, inverter 8 underperforming by 37 kW, inverter 10 dropped 15kW since 8/28/25,inverter 9 dropped 7 kW since 9/4/25.
</t>
  </si>
  <si>
    <t>1.SR107495
2.SR100220</t>
  </si>
  <si>
    <t>1.Inverter 8 has stopped communicating at 07:15cdt on 09/23,no production at meter level and was back at 12:30cdt on 09/23.
2.Inverter 6 has stop communicating since 5:30cdt on 09/22,no production at meter level
3.Inverter 10 stop communicating at 07:00cdt on 09/02, no production at meter level and was back at 17:00cdt on 09/04.
4.Inverter 11 has stopped communicating since 08/27 ,no production at meter level.Inverters 7, 12 &amp; 14 has stopped communicating since 08/27, production cannot be verified at meter level.Inverter 12 was back at 17:00cdt on 09/04.</t>
  </si>
  <si>
    <t>1.SR108427
2.SR108396
3.SR107295
4.SR107059</t>
  </si>
  <si>
    <t>SR108396</t>
  </si>
  <si>
    <t>SR107295</t>
  </si>
  <si>
    <t>SR107059</t>
  </si>
  <si>
    <t>1.Trackers 1 and 55 are stuck at 15degrees from 19:00CDT on 08/05.
2.Inverter 11 offline from 08/19 and was back online at 10:00CDT on 09/11.</t>
  </si>
  <si>
    <t>1.SR105922
2.SR106486</t>
  </si>
  <si>
    <t>1.Site tripped offline at 09:35 on 09/03 and was back online at 03:20 on 09/04 .Site again tripped offline at 09:20 on 09/15,meter voltages dropped to 0V. Additionally both Z-phase and Y- phase voltages are also dropped to 0V and site was back online at 08:30 on 09/17.</t>
  </si>
  <si>
    <t>1.SR107368,SR107988</t>
  </si>
  <si>
    <t>SR107988</t>
  </si>
  <si>
    <t>1.All trackers are currently operating.</t>
  </si>
  <si>
    <t>1.SR105354,SR106824</t>
  </si>
  <si>
    <t>SR106824</t>
  </si>
  <si>
    <t>1.Currently trackers  TCU 33 through 66 are currently stuck and 3,19,50,54,62,64 are stuck. Waiting for permission to dispatch
2.Inverter 2 is derating by anywhere from 5 kW to ~20 kW in the afternoons. Issue looks to have started on 03/28. Doesn't look like shading should be an issue here, and we do not have data from this time last year. No alerts present.</t>
  </si>
  <si>
    <t>1.	SR098066
2.	SR099545</t>
  </si>
  <si>
    <t>1. Inverter 1 has been underproducing by 300 kW and Inverter 2 by 2,000 kW since 09/08, as all trackers except 92–119 and 169–175 (out of 175 trackers) were stuck at 49°. The issue was later resolved at 12:20 on 09/11.</t>
  </si>
  <si>
    <t>1. SR107641</t>
  </si>
  <si>
    <t>1. Trackers 8, 9, 11, 42, 43, 109, and 110 were deviating. Trackers 11, 42, 43, 109, and 110 resumed tracking on 09/11, and currently, trackers 8 and 9 are still deviating.</t>
  </si>
  <si>
    <t>1. SR105284</t>
  </si>
  <si>
    <t>1. The site went offline at 12:45 on 09/05 and came back online at 15:25 on 09/08.
2. The site went offline at 09:35 on 09/11 and came back online at 19:40 on the same day.</t>
  </si>
  <si>
    <t>1. SR107529
2. SR107809, SR107813</t>
  </si>
  <si>
    <t>SR107809</t>
  </si>
  <si>
    <t>SR107813</t>
  </si>
  <si>
    <t>1. The site is performing as expected, but the expected and forecasted values are high. A similar event was observed over the past two years.</t>
  </si>
  <si>
    <t>1. Inverter 2 was offline from 09/01 and came back online on 09/23.
2. Meter voltages dropped to zero at 12:45 on 09/07 and were restored at 12:45 on 09/11.</t>
  </si>
  <si>
    <t>1. SR107263
2. SR100771</t>
  </si>
  <si>
    <t>SR100771</t>
  </si>
  <si>
    <t>1. Pad 2 has been offline since 11:45 on 09/23.</t>
  </si>
  <si>
    <t>1. SR108424</t>
  </si>
  <si>
    <t>1. The site tripped offline at 08:30 on 08/31 and came back online at 10:00 on 09/03.
2. The weather station stopped communicating at 08:00 on 09/22.</t>
  </si>
  <si>
    <t>1. SR107245
2. SR108392</t>
  </si>
  <si>
    <t>SR108392</t>
  </si>
  <si>
    <t>October Actual v. Expected</t>
  </si>
  <si>
    <t>October Actual v. Forecasted</t>
  </si>
  <si>
    <t>Status</t>
  </si>
  <si>
    <t>1. Meter B phase currents dropped to Zero whole month. Need to replace CT's</t>
  </si>
  <si>
    <t>1. Pending</t>
  </si>
  <si>
    <t>1. Inverter 2 has afternoon shading.</t>
  </si>
  <si>
    <t>1. Inverter 3 has been underproducing by 12 kW  and reporting "External Fan Fault" since 12:45 on 09/11, as unit 3.1 (right unit) is underproducing.
2.Estimated values are low in AE we have also verified the file which was given by GC</t>
  </si>
  <si>
    <t>1. Completed</t>
  </si>
  <si>
    <t>1.Closed</t>
  </si>
  <si>
    <t>1.Site production was low due to low irradiance on 10/30</t>
  </si>
  <si>
    <t>1. Weather station stopped communicating on 11/22 at 07:00. pending replacement POA.
2. Inverter module 1.0.153 (12D31EC2-C5) went offline on 11/15/24, reporting “no communication with power optimizer,” and came back online at 12:00 on 10/09.</t>
  </si>
  <si>
    <t xml:space="preserve">1. Pending
2. Pending
</t>
  </si>
  <si>
    <t>1. Inverter 2, unit 2.2, was offline for multiple days and After the RMA’d board was replaced, the inverter came back online at 09:30 on 10/10.
2. 26 optimizers are down for roof repair.
3. Weather station stopped communicating since 06/14/24.
4. Meter was reading inaccurate Valuses form 06/20/25. After the technician replaced the CTs on 10/22, the meter is reading correctly.</t>
  </si>
  <si>
    <t>1. Closed
2. Closed
3. Closed
4. Work in Progress</t>
  </si>
  <si>
    <t>1. Inverter 2 tripped offline at 14:46 to 15:45 on 10/07 later self resolved.</t>
  </si>
  <si>
    <t>1. SR109161</t>
  </si>
  <si>
    <t>1. Closed</t>
  </si>
  <si>
    <t>1. Inverter 1 has minor shading issue.</t>
  </si>
  <si>
    <t>1. Inverter 1, Unit 12, was offline from 10/01 to 10/16, and two strings were isolated from Unit 1.2 from 10/16.</t>
  </si>
  <si>
    <t>1. PM8307, 	SR109623</t>
  </si>
  <si>
    <t>1. Completed, Pending</t>
  </si>
  <si>
    <t>1. Inverter 12 tripped offline at 17:00 on 10/20.</t>
  </si>
  <si>
    <t>1. SR110132</t>
  </si>
  <si>
    <t>1. pending</t>
  </si>
  <si>
    <t>1. Inverter 3 left unit is having multiple trippings since 06/08 on high irradiance day. After the technician replaced the DC relay board on 10/03, the inverter came back online and has been producing as expected.</t>
  </si>
  <si>
    <t>1. Inverter 3 has heavy morning shading.</t>
  </si>
  <si>
    <t>1.Pending</t>
  </si>
  <si>
    <t>1.Inverter unit 1.2 has been underperforming by approx 20kW since the site was re-energized on 8/27 and fans were replaced on 10/06.</t>
  </si>
  <si>
    <t>1.SR107741</t>
  </si>
  <si>
    <t>1. Actual vs Forcasted delta is showing 78% due to Forcasted energy recording low possibly due to data glitch (similar event observe last 2 years).</t>
  </si>
  <si>
    <t>1. Inverter 1 left unit offline from 10/29</t>
  </si>
  <si>
    <t>1.	SR110250</t>
  </si>
  <si>
    <t>1.Inverter 2 expericing afternoon shading issue</t>
  </si>
  <si>
    <t>1. Inverter 2 unit 2.3 was being RMA'd</t>
  </si>
  <si>
    <t>1. Inverter 1  producing as expected from 10/03</t>
  </si>
  <si>
    <t>1.	SR089666</t>
  </si>
  <si>
    <t>1.Inverter 2 unit 2.2 resolved from 10/15</t>
  </si>
  <si>
    <t>1.	SR105544</t>
  </si>
  <si>
    <t>1.Inverter 3 unit 3.3 tripped offline at 12:00PM on 08/30.
2.4 Inverter modules are offline Module 1.0.64 Module 4.0.39 3.0.20 1.0.64</t>
  </si>
  <si>
    <t>1.Completed
2.Pending</t>
  </si>
  <si>
    <t>1. Weather station has morning shading due to that expected values are low.</t>
  </si>
  <si>
    <t>1.Actual vs expected delta is showing 14%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</si>
  <si>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 and later back online on 10/15 as the power head was swapped.</t>
  </si>
  <si>
    <t>1.Pending
2.Completed</t>
  </si>
  <si>
    <t>1.SR109950</t>
  </si>
  <si>
    <t>1. Inverter 1 unit 1.1 was offline for whole month and unit 1.2 was offline from 10/19.</t>
  </si>
  <si>
    <t>1. SR110586</t>
  </si>
  <si>
    <t>1. New</t>
  </si>
  <si>
    <t>1.Pending
2.Pending
3.Pending</t>
  </si>
  <si>
    <t>1. Inverter 3 right unit tripped offline at 07:00 on 10/12 and back online at 13:00 on 10/12.</t>
  </si>
  <si>
    <t>1. Inverter 1 is producing at its half production through out the month. 1 IGBT needs replacement to get inverter fully functional.</t>
  </si>
  <si>
    <t>1. SR104403</t>
  </si>
  <si>
    <t>1. Inverters 1 and 2 tripped offline at 08:50 on 10/16. Inverter 2 back online at 13:45 on 10/17, and Inverter 1 back online at 11:10 on 10/21.
2. Meter was not communicated for whole month.</t>
  </si>
  <si>
    <t>1. SR109570
2. SR098641</t>
  </si>
  <si>
    <t>1. Closed 
2. Pending</t>
  </si>
  <si>
    <t>1. Site lost communication to DAS from 08/22, technician confirmed that the site is online onsite. Site regained it's communication at 10:20 on 10/16. Additionally, Inverters 21 to 27 and 30 to 33 have been offline since 10/17, and Inverter 13 has been offline since 10/18.</t>
  </si>
  <si>
    <t>1. The meter is showing a phase voltage imbalance of ~130V. Phases A &amp; B are reading 270V and phase 3 is ~140V but is occasionally in-line with the other phases. meter voltage normal from 10/14.
2. Inverter 19 (4.3) tripped offline 14:40 on 9/28 and is reporting "Grid line voltage over limit" and back online at 09:40 on 10/14.</t>
  </si>
  <si>
    <t>1. SR107702
2. SR108697</t>
  </si>
  <si>
    <t>1. Closed 
2. Closed</t>
  </si>
  <si>
    <t>SR108697</t>
  </si>
  <si>
    <t>1. Weather station lost communication from 07/15.
2. IInverter 2 went offline at 07:00 on 10/01, reporting a “SE PHASE R BLOWER FAIL (98)” fault, and came back online at 11:05 on 10/02. It went offline again at 07:00 on 10/05 and was restored at 16:05 on 10/07. Once more, it went offline at 07:00 on 10/09; after a remote fan test and reset, the inverter came back online at 12:15 on the same day. The inverter went offline again at 07:00 on 10/17, reporting a “PHASE S BLOWER FAULT.” After the fan was replaced, the inverter was back online at 14:30 on 10/17.</t>
  </si>
  <si>
    <t xml:space="preserve">1.SR107603
2. SR108823, SR109086, SR109267, SR109625
</t>
  </si>
  <si>
    <t>1. Pending
2. Closed</t>
  </si>
  <si>
    <t>SR108823</t>
  </si>
  <si>
    <t>SR109086</t>
  </si>
  <si>
    <t>SR109267</t>
  </si>
  <si>
    <t>SR109625</t>
  </si>
  <si>
    <t>1. Expected energy values are reporting very low. Created a case #66639 with GPM, As per GPM the BOM has been frozen from 02/27.</t>
  </si>
  <si>
    <t>1. The energy meter at Washington 3 is showing an issue with C-phase PT where the voltage measurement is drifting from 07/24, later site remain offline from 12:15 on 09/23 due to inverter to XFMR busbars had thermal damage and need to be replaced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</si>
  <si>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SR105816
2.SR093024</t>
  </si>
  <si>
    <t>1. Inverter 2 tripped offline from 12:55 to 17:20 on 10/06. It tripped offline again at 09:40 on 10/08 after the technician replaced the SIM card. The inverter came back online at 13:05 on 10/08.
2. Inverter 2 went offline at 07:00 on 10/10, and Inverter 1 went offline at 11:50 on 10/10. After the technician reset both inverters, Inverter 2 back online at 11:10 on 10/14, and Inverter 1 back online at 13:40 on 10/14.
3. Inverter 2 tripped offline again at 07:00 on 10/15, reporting an "AC Contactor Fault." After the technician power-cycled the inverter, it came back online at 15:30 on 10/17. and tripping on and off throughout the month.
4. Inverter 1 tripped offline at 08:35 on 10/25, reporting an "AC Contactor Fault." After the technician replaced the AC filter fuse, it came back online at 10:20 on 10/28.</t>
  </si>
  <si>
    <t>1. SR108045
2. SR109320, SR109505
3. SR109505
4. SR109987</t>
  </si>
  <si>
    <t>1. Closed
2. Closed
3. Closed
4. pending</t>
  </si>
  <si>
    <t>SR109320</t>
  </si>
  <si>
    <t>SR109505</t>
  </si>
  <si>
    <t>SR109987</t>
  </si>
  <si>
    <t>1. Site lost communication to DAS at 02:00 from 10/19, technician confirmed that
the site is online onsite. Site regained it's communication at 13:30 on 10/21.but data was not backfilled.</t>
  </si>
  <si>
    <t>1. SR109668</t>
  </si>
  <si>
    <t xml:space="preserve">1. Completed </t>
  </si>
  <si>
    <t>1. The site went offline at 08:10 on 10/03 due to USNE work at the site and came back online at 18:50 on 10/03.
2. The site went offline at 12:05 on 10/07 due to USNE performing meter testing and back online at 16:50 on 10/07.</t>
  </si>
  <si>
    <t>1. SR108636
2. SR107181</t>
  </si>
  <si>
    <t>1. Closed
2. Pending</t>
  </si>
  <si>
    <t>SR107181</t>
  </si>
  <si>
    <t>1. Site lost communication to DAS at 08:55 from 10/22, technician confirmed that
the site is online onsite. Site regained it's communication at 02:05 on 10/23.but data was not backfilled.
2. All trackers were stuck from 13:00 on 09/04. After the technician replaced the RevPi, all racking began tracking as expected.</t>
  </si>
  <si>
    <t>1. SR109840
2. SR107506</t>
  </si>
  <si>
    <t>1. Closed
2. Closed</t>
  </si>
  <si>
    <t>1. 44 trackers were stuck since 08/29. After the technician installed a new motor, all trackers began tracking as expected.
2. Inverter 1 was derating by 70kw and inverter 3 is derating by 120kw due to inverter internal temperature throughout the month.
3.  The site went offline at 07:45 on 10/08 due to a planned outage and back online at 14:25 on 10/08. and again tripped offline at 08:10 on 10/14 and back online at 12:20 on 10/14.
4. The site tripped offline at 13:50 on 10/15 and back online at 16:15 on 10/15 .</t>
  </si>
  <si>
    <t>1. SR106503
2. SR105774
3. SR109185
4. SR109523</t>
  </si>
  <si>
    <t>1. Completed
2. pending
3. Closed 
4. Closed</t>
  </si>
  <si>
    <t>SR109185</t>
  </si>
  <si>
    <t>SR109523</t>
  </si>
  <si>
    <t>1. Inverter 19 was RMA'd on 09/15. After the technician replaced the power head, the inverter came back online at 13:30 on 10/22.
2. inverter 9 has derated to 100kW from 08/31
3. IInverter 29 tripped offline at 12:15 on 10/01. After the technician reset the main breaker, inverters back online at 13:30 on 10/22. The inverter tripped offline again at 12:30 on 10/27.
4. Inverter 32 tripped offline at 14:15 on 10/02. After the technician reset the main breaker, inverter back online at 13:30 on 10/22.
5. inverter 12 tripped offline at 14:00 on 10/15 and inverter is under RMA'd since 10/22.
6. Inverters 1 to 11, 13 to 18, and 20 tripped offline at 07:45 on 10/19, reporting "Grid Line Voltage Out of Range." After the technician reset the main breaker, all these inverters came back online at 11:30 on 10/22.
7. Inverter 23 tripped offline at 12:45 on 10/21, reporting "Grid Line Voltage Out of Range." After the technician reset the main breaker, the inverter back online at 13:30 on 10/22.</t>
  </si>
  <si>
    <t>1. SR108010
2. SR107331
3. SR108847, SR110116
4. SR108922
5. SR109568
6. SR109669
7. SR109669</t>
  </si>
  <si>
    <t>SR109669</t>
  </si>
  <si>
    <t>SR108847</t>
  </si>
  <si>
    <t>SR110116</t>
  </si>
  <si>
    <t>SR108922</t>
  </si>
  <si>
    <t>SR109568</t>
  </si>
  <si>
    <t>1. 10 trackers were stuck from 09/22. On 10/08, 8 trackers resumed tracking, while 2 remained stuck. On 10/17, an additional tracker resumed tracking. TCU 255 is currently under RMA.
2. Meter have stopped communicating from 13:00 on 09/04 and resumed communication at 17:10 on 10/08.</t>
  </si>
  <si>
    <t xml:space="preserve">1.SR108338
2.SR107449
</t>
  </si>
  <si>
    <t>1. pending
2. Closed</t>
  </si>
  <si>
    <t>1. SR101820</t>
  </si>
  <si>
    <t>1. Inverter 2 tripped offline at 09:25 on 09/30. After the technician replaced the DC contactor, inverter back online at 09:50 on 10/02.
2. Site went offline at 14:50 to 21:45 on 10/19.</t>
  </si>
  <si>
    <t>1. SR105775
2. SR109680</t>
  </si>
  <si>
    <t>SR109680</t>
  </si>
  <si>
    <t>1. The site went offline from 07:50 to 10:05 and again from 12:55 to 15:05 on 10/08. It tripped offline again at 08:20 on 10/14 and back online at 16:05 on 10/15.
2. The Site tripped offline at 14:00 on 10/20 and back online at 08:15 on 10/21.
3. The Site tripped offline from 10:10 to 12:10 and again from 13:15 to 16:50 on 10/24.</t>
  </si>
  <si>
    <t>1. SR109223
2. SR109728
3. SR109937</t>
  </si>
  <si>
    <t>1. Closed
2. Closed
3. Closed</t>
  </si>
  <si>
    <t>SR109728</t>
  </si>
  <si>
    <t>SR109937</t>
  </si>
  <si>
    <t>1. The site went offline from 07:50 to 10:05 and again from 12:55 to 15:05 on 10/08. It tripped offline again at 08:20 on 10/14 and back online at 16:05 on 10/15.
2. Site was offline from 08:20 on 10/18 and back online at 02:05 on 10/19.
3. The Site tripped offline at 14:00 on 10/20 and back online at 08:15 on 10/21.
4. The Site tripped offline from 10:10 to 12:10 and again from 13:15 to 16:50 on 10/24.</t>
  </si>
  <si>
    <t>1. SR109224, SR109343
2. SR109343
3. SR109729
4. SR109938</t>
  </si>
  <si>
    <t>1. Closed
2. Closed
3. Closed
4. Closed</t>
  </si>
  <si>
    <t>SR109343</t>
  </si>
  <si>
    <t>SR109729</t>
  </si>
  <si>
    <t>SR109938</t>
  </si>
  <si>
    <t>1. Pad 1 trackers 1, 63 ,109 are stuck at 0 deg and trackers 57, 119 are stuck at 255 deg. Additionally, Pad 2 trackers 43 , 114 are stuck at 0 deg and trackers 86, 124 are stuck at 255 deg from 09/07. After the technician installed the charger panel and node, the trackers have been tracking as expected since 10/27.</t>
  </si>
  <si>
    <t>1. SR107585</t>
  </si>
  <si>
    <t>1. Site lost communication to DAS from 09/16, technician confirmed that
the site is online onsite. Site regained it's communication at 15:20 on 10/21.but data was not backfilled.
2. Site tripped offline at 10:10 to 12:10 on 10/24.</t>
  </si>
  <si>
    <t>1. SR108023, SR109726
2. SR109939</t>
  </si>
  <si>
    <t>1. Completed
2. Closed</t>
  </si>
  <si>
    <t>SR109726</t>
  </si>
  <si>
    <t>SR109939</t>
  </si>
  <si>
    <t>1. SR109225
2. SR109727
3. SR109940</t>
  </si>
  <si>
    <t>SR109727</t>
  </si>
  <si>
    <t>SR109940</t>
  </si>
  <si>
    <t>1.Site is offline since 08:00 on 09/09 and back online at 15:25 on 10/03</t>
  </si>
  <si>
    <t>1.Completed</t>
  </si>
  <si>
    <t>1. Meter is intermittently lossing communication since 09/04, production can be verified at inverter level.
2.Site is offline since 08:00 on 09/09 and back online at 15:25 on 10/03</t>
  </si>
  <si>
    <t>1.Weather station is not communicating for whole month.
2. Site tripped offline at 02:30 on 10/20 and back online at 09:35 on 10/22</t>
  </si>
  <si>
    <t>1.SR106739
2.SR109707</t>
  </si>
  <si>
    <t>SR109707</t>
  </si>
  <si>
    <t>1.SR109604</t>
  </si>
  <si>
    <t>1.Meter lost communication at 10:05 on 10/23 and later site tripped offline at 13:50 on 10/25 and was back online at 08:10 on 10/27</t>
  </si>
  <si>
    <t>1.SR109988</t>
  </si>
  <si>
    <t>1.Inverter 1 is offline from 09/10 and  back online at 12:10 on 10/23
2. Tracker motor 1 has stuck  from starting of the month has resolved at 11:10 on 10/28</t>
  </si>
  <si>
    <t>1.SR107781
2.SR108776</t>
  </si>
  <si>
    <t>1.Completed
2.Work in progress</t>
  </si>
  <si>
    <t>SR108776</t>
  </si>
  <si>
    <t>1. Trackers 23, 24, 33, 37, and 72 through 151 have been stuck since 06/02. Further troubleshooting is needed to program the gateways associated with NCU 2</t>
  </si>
  <si>
    <t>1.Site tripped offline at 11:00 on 10/03 and back online at 11:55 on 10/04
2.Both inverters tripped offline from 12:00 to 13:30 on 10/14</t>
  </si>
  <si>
    <t>1.SR108983
2.SR109461</t>
  </si>
  <si>
    <t>1.Closed
2.Closed</t>
  </si>
  <si>
    <t>SR109461</t>
  </si>
  <si>
    <t>1.Inverter tripped offline at 09:00 on 10/01 and remained offline through out the month</t>
  </si>
  <si>
    <t>1.SR108827</t>
  </si>
  <si>
    <t>1.Site tripped offline at 08:30 on 10/11 and back online at 11:15 on 10/12</t>
  </si>
  <si>
    <t>1.SR109390</t>
  </si>
  <si>
    <t>1.Inverter started late at 10:15 and again tripped at 13:20 and back online at 15:50 by remote reset.
2.Inverter was offline from 10:40 to 13:30 on 10/07 as tech was onsite to replace the IGBTs in DPS 2. When he was working he found that the backplane between port 1 and 2 was faulty as well. The DPS will not function with the faulty backplane. SMA to order more parts and return to replace them.
3.Inverter was offline from 08:15 to 13:40 on 10/14 
4.Inverter started late for production at 08:55 on 10/17 and again tripped offline at 10:00 and back online at 13:15</t>
  </si>
  <si>
    <t>1.SR108808
2.SR106270
3.SR109462
4.SR109620</t>
  </si>
  <si>
    <t>1.Closed
2.Pending
3.Closed
4.Closed</t>
  </si>
  <si>
    <t>SR106270</t>
  </si>
  <si>
    <t>SR109462</t>
  </si>
  <si>
    <t>SR109620</t>
  </si>
  <si>
    <t>1.The meter is missing phase A throughout the month, resulting in incomplete production data for both inverters. GC will review in 2026
2.Inverter 1 is back online at 15:05 on 10/21
3.Combiner box 02-09 is offline from 10:40 to 14:55 on 10/21 due to damaged module
4.NCU 1 is missing communications and tracker angles cannot be confirmed, NCU 4 SPC 1015 is stuck.</t>
  </si>
  <si>
    <t>1.SR108248
2.SR106176
3.SR109493
4.SR108120</t>
  </si>
  <si>
    <t>1.Completed
2.Completed
3.Closed
4.Pending</t>
  </si>
  <si>
    <t>SR109493</t>
  </si>
  <si>
    <t>SR108120</t>
  </si>
  <si>
    <t>1.SR106921</t>
  </si>
  <si>
    <t>1.Inverter module 1.4 has started for the production late at 12:00 on 10/17 and again offline whole day on 10/20 and again back online at 15:40 on 10/21</t>
  </si>
  <si>
    <t>1.SR109619</t>
  </si>
  <si>
    <t>1.Work in progress</t>
  </si>
  <si>
    <t>1.Site tripped offline at 09:35 on 10/19 and back online at 09:25 on 10/20</t>
  </si>
  <si>
    <t>1.SR109675</t>
  </si>
  <si>
    <t>1.Site tripped offline at 09:35 on 10/19 and back online at 09:25 on 10/20
2.15 trackers are stuck: NCU 1 SPC 101, 206, 218, &amp; 314 NCU 2 SPC 118, 128, 230, 234, 321, 323, 333, 334, 336, 337, &amp; 343</t>
  </si>
  <si>
    <t>1.SR109676
2.SR098860</t>
  </si>
  <si>
    <t>1. Closed
2.Pending</t>
  </si>
  <si>
    <t xml:space="preserve">1.Inverter is back online at 12:55 on 10/22
2. 7 trackers 119,216,220,329, 338, 143, and 240 have seized slew drives. 
</t>
  </si>
  <si>
    <t>1.SR106501
2.SR109998</t>
  </si>
  <si>
    <t>1.Closed
2.Pending</t>
  </si>
  <si>
    <t>SR109998</t>
  </si>
  <si>
    <t>1. Inverter tripped offline at 17:45 on 10/05 and remained offline for rest of the month
2.Weather station is not communicating through out the month.</t>
  </si>
  <si>
    <t>1.SR109080
2.SR109079</t>
  </si>
  <si>
    <t xml:space="preserve">1.Pending
2.Pending
</t>
  </si>
  <si>
    <t>SR109079</t>
  </si>
  <si>
    <t>1. Site tripped offline at 04:28 and back online at 11:20 on 10/08
2. Site started for the production late at 11:45 on 10/17
3. Site tripped offline from 07:40 to 11:00 on 10/27</t>
  </si>
  <si>
    <t>1.SR109187
2.SR109632
3.SR110017</t>
  </si>
  <si>
    <t>SR109632</t>
  </si>
  <si>
    <t>SR110017</t>
  </si>
  <si>
    <t>1. Site tripped offline from 00:14 and back online at 00:24 on 10/26.</t>
  </si>
  <si>
    <t>1.SR109990</t>
  </si>
  <si>
    <t xml:space="preserve">1. Closed
</t>
  </si>
  <si>
    <t>1. Site tripped offline at 12:45 om 10/21 and later back online at 14:00 on 10/22</t>
  </si>
  <si>
    <t>1.SR109794</t>
  </si>
  <si>
    <t>1. Panel 1.0.7 124BD3FC-2C Panel 1.0.65 124CF1D2-21 Panel 1.0.84 124BDFF4-30 Panel 3.0.28 124A7869-3D Panel 3.0.31 124CF59F-F2 are offline later technician has replaced 4 optimizers on 10/01</t>
  </si>
  <si>
    <t>1.SR095946</t>
  </si>
  <si>
    <t>1. Inverters 3 and 4 had heavy shading in morning.</t>
  </si>
  <si>
    <t>1. Inverter 1 unit 1.5 was offline from 10/10 to end of the month.
2. Inverter 3 unit 3.1 was offline from 10/10 to end of the month.</t>
  </si>
  <si>
    <t>1. SR110156
2. SR110155</t>
  </si>
  <si>
    <t>SR110155</t>
  </si>
  <si>
    <t>1. Inverter 1 unit 1.2 has heavy shading in the afternoon.</t>
  </si>
  <si>
    <t>1. Inverter 3 has heavy shading in morning and evening.</t>
  </si>
  <si>
    <t>1. Inverter 3 has afternoon shading.</t>
  </si>
  <si>
    <t>1. Inverter 3 middle unit was back online at 14:00 on 10/20 and again tripped offline at 16:00 on 10/21, inverter 1 right unit is under underperforming by 10kW later from 10/20 inverter is producing as expected.</t>
  </si>
  <si>
    <t>1.SR107411</t>
  </si>
  <si>
    <t>1. Site was producing as expected</t>
  </si>
  <si>
    <t>1. Inverter 1 unit 1.2 was offline since 09/16 and later technician has replaced the blown fuses on 10/22</t>
  </si>
  <si>
    <t>1.SR109644</t>
  </si>
  <si>
    <t>1.Inverters 1 and 9 have had late starts each morning since 9/19 due to isolation faults. They self-resolve and come back online by 8 or 9 am each day.
2. Trackers A1 S 4, A1 S 16, A1 S 28, A1 S 41, A1 S 49, A1 S 68 are stuck since 10/10
3. Inverters 1, 7, 8 are offline from 11:00 to 17:30 on 10/22</t>
  </si>
  <si>
    <t>1.SR108394
2.SR109330
3.SR109858</t>
  </si>
  <si>
    <t>1.Pending
2.Pending
3.Closed</t>
  </si>
  <si>
    <t>SR109330</t>
  </si>
  <si>
    <t>SR109858</t>
  </si>
  <si>
    <t>1. Inverter 11 derating at 75kW from 10/01 and resolved on 10/17
2. Inverter 6 has regained its communication at 11:45 on 10/17 but energy has not backfilled.
3.Inverter 16 tripped offline on 10/2/25 at 16:37 and back online at 15:15 on 10/16
4.Inverter 7 is back online at 09:30 on 10/01, Inverter 14 is back online at 09:00 on 10/02</t>
  </si>
  <si>
    <t>1.SR108936
2.SR108396
3.SR108982
4.SR107059</t>
  </si>
  <si>
    <t>1.Closed
2.Closed
3.Closed
4.Closed</t>
  </si>
  <si>
    <t>SR108982</t>
  </si>
  <si>
    <t>1. The site tripped offline at 14:15 on 10/14 and back online at 16:45 on 10/14.
2.  Tracker TCU 1, 2, 7, 30, 34, 55, 62, 70 and 85 are  stuck since 10/14.</t>
  </si>
  <si>
    <t xml:space="preserve">1. SR108972
2. SR105922
</t>
  </si>
  <si>
    <t xml:space="preserve">1. Closed
2. Pending
</t>
  </si>
  <si>
    <t>SR105922</t>
  </si>
  <si>
    <t xml:space="preserve">1. The site tripped offline at 11:45 on 10/20 and later auto-reclosed, back online at 12:00 on 10/20.
</t>
  </si>
  <si>
    <t>1. SR109734</t>
  </si>
  <si>
    <t>1. Trackers 93 through 190 have been stuck since 10/20 and later resumed tracking from 10/22.</t>
  </si>
  <si>
    <t>1. SR109715</t>
  </si>
  <si>
    <t xml:space="preserve">1. Pending
</t>
  </si>
  <si>
    <t>1. The site tripped offline at 10:00 on 10/06 and later auto-reclosed, back online at 16:45 on 10/06.
1. The site tripped offline at 09:45 on 10/07 and back online at 09:45 on 10/08.</t>
  </si>
  <si>
    <t>1. SR109096
2. SR109144</t>
  </si>
  <si>
    <t>SR109144</t>
  </si>
  <si>
    <t>1. Trackers 50 and 61 have been stuck since 10/14.
2. Inverter 7 underperforming by 14kW from 9/24 (2 strings). Inverter 10 underperforming by 14kW from 8/28.</t>
  </si>
  <si>
    <t>1. SR109450
2. SR109452</t>
  </si>
  <si>
    <t xml:space="preserve">1. Pending
2. Pending
</t>
  </si>
  <si>
    <t>SR109452</t>
  </si>
  <si>
    <t>1. All trackers were stuck between 53° and 55° on 10/27 and later self-resolved,  back online at 13:30 on 10/27.</t>
  </si>
  <si>
    <t>1. SR110025</t>
  </si>
  <si>
    <t>1. Currently, tracker TCUs 3, 19, 39, 50, 60, 62, and 64 have been stuck since 10/14. After a remote reset, TCUs 3, 62, and 64 resumed tracking, while the remaining TCUs are still stuck.
2.Inverter 2 is derating by anywhere from 5 kW to ~20 kW in the afternoons. Issue looks to have started on 03/28. Doesn't look like shading should be an issue here, and we do not have data from this time last year. No alerts present.</t>
  </si>
  <si>
    <t>1. Pending
2. Pending</t>
  </si>
  <si>
    <t>1. The site tripped offline at 10:00 on 10/06 and back online at 13:45 on 10/06.
2. Trackers E-098, 168, &amp; 169 are stuced since 10/10 and later resumed tracking from 10/16.
3. The site was offline at 10:15 on 10/19 and back online at 19:20 on 10/21.</t>
  </si>
  <si>
    <t>1. SR109097
2. SR109353
3. SR109692</t>
  </si>
  <si>
    <t>SR109353</t>
  </si>
  <si>
    <t>SR109692</t>
  </si>
  <si>
    <t>1. Trackers 8 and 9 had been deviating since 07/29 and resumed normal tracking on 10/01.
2. Tracker 33 getting stucked since 10/16.</t>
  </si>
  <si>
    <t>1. SR105284
2. SR109592</t>
  </si>
  <si>
    <t>SR109592</t>
  </si>
  <si>
    <t>1. The site tripped offline at 09:30 on 10/10 and back online at 15:45 on 10/13.</t>
  </si>
  <si>
    <t>1. SR109335</t>
  </si>
  <si>
    <t>1. The site was taken offline from 10:55 to 11:25 on 10/03 as EV Solar was on-site to replace a UPS device.
2. The site was taken offline from 07:00 to 11:25 on 10/07 due to a planned outage.
3. The site was taken offline from 12:35 to 13:25 on 10/08 as EV Solar was on-site to install a UPS device.
4. he site was taken offline from 10:00 to 16:05 on 10/10 due to utility works at the site</t>
  </si>
  <si>
    <t>1. SR108961
2. SR109101
3. SR109195
4. SR109326</t>
  </si>
  <si>
    <t xml:space="preserve">1. Closed
2. Closed
3. Closed
4. Closed
</t>
  </si>
  <si>
    <t>SR109101</t>
  </si>
  <si>
    <t>SR109195</t>
  </si>
  <si>
    <t>SR109326</t>
  </si>
  <si>
    <t>1. Inverter 2 was offline at 07:00 on 10/11.
2. The meter has been communicating intermittently throughout the month.</t>
  </si>
  <si>
    <t>1. SR109524
2. SR100771</t>
  </si>
  <si>
    <t>1. The site tripped offline at 10:00 on 10/11 due to the SEL relay being in an open state. After the EPC reset the SEL relay, the site came back online at 16:00 on 10/11.
2. All trackers are strucked since 09/27 after remote reset all trackers are back online at 10/06.
3. Tracker TCU 11 had been intermittently getting stuck since 10/07. The EPC found a loose fuse and tightened it, after which the tracker returned to normal operation.
4. The site went offline at 07:00 on 10/18 and back online at 14:20 on 10/18.
5. Inverter 15 went offline at 07:00 on 10/18 and later self-resolved, back online at 17:00 on 10/18.
6. The site tripped offline at 07:15 on 10/19 due to the SEL relay being in an open state. After the EPC remotely closed the relay, the site came back online at 11:45 on 10/20.
7.  All trackers have been intermittently getting stuck since 10/21/25 and reporting snow alarms. After the technician cleared the snow, all trackers resumed normal operation.
8. The site tripped offline at 10:30 on 10/26. After a remote reset, the site came back online at 16:45 on 10/26.</t>
  </si>
  <si>
    <t>1. SR108678
2. SR108984
3. SR109158
4. SR109664
5. SR109665
6. SR109681
7. SR109851
8. SR109995</t>
  </si>
  <si>
    <t>SR109995</t>
  </si>
  <si>
    <t>SR108984</t>
  </si>
  <si>
    <t>SR109158</t>
  </si>
  <si>
    <t>SR109664</t>
  </si>
  <si>
    <t>SR109665</t>
  </si>
  <si>
    <t>SR109681</t>
  </si>
  <si>
    <t>SR109851</t>
  </si>
  <si>
    <t>1. Pad 2 inverters (2.01 through 2.20) tripped offline at 09:15 on 09/26. Pad 1 inverters (1.01 through 1.20) tripped offline at 07:45 on 09/27, reporting the fault “Grid Phase Voltage Out of Range – GridV.OutLim.” Additionally, the site went offline on 09/30 due to an infestation in the main breaker and was brought back online at 09:30 on 10/08.</t>
  </si>
  <si>
    <t>1. SR108599</t>
  </si>
  <si>
    <t>1. The weather station stopped communicating at 08:00 on 09/22.
2. The site tripped offline at 09:30 on 10/22 due to SEL relay open and also All inverters reporting fault grid phase voltage out of range - GridV.OutLim and later site is back online at 18:20 on 10/22.</t>
  </si>
  <si>
    <t>1. SR108392
2. SR109809</t>
  </si>
  <si>
    <t>SR109809</t>
  </si>
  <si>
    <t>1. Site was offline from 02:15 on 10/23 to 13:00 on 10/29.</t>
  </si>
  <si>
    <t>1. SR110198</t>
  </si>
  <si>
    <t>1. Site tripped offline at 09:05 to 11:30 on 10/07 due to planned outage.
2. Site tripped offline at 09:10 to 16:05 on 10/10 due to repairs at the site.
3. Site tripped offline at 09:10 to 16:25 on 10/13 and later self reolved.</t>
  </si>
  <si>
    <t>1. SR109102, SR109103
2. SR109325
3. SR109403</t>
  </si>
  <si>
    <t>SR109103</t>
  </si>
  <si>
    <t>SR109325</t>
  </si>
  <si>
    <t>SR109403</t>
  </si>
  <si>
    <t>1. Trackers TCU 41 Strucked on 10/07.</t>
  </si>
  <si>
    <t>1. SR109160</t>
  </si>
  <si>
    <t>1. inverter 4 is underperforming by 10 kW from 10/07.</t>
  </si>
  <si>
    <t>1. SR109156</t>
  </si>
  <si>
    <t>1. Trackers TCU 39 Strucked on 10/07 and TCU 33 and 66 strucked on 10/14.</t>
  </si>
  <si>
    <t>1. SR109157</t>
  </si>
  <si>
    <t>1. The site tripped offline from 10:30 to 15:15 on 10/16 due to car on pole.</t>
  </si>
  <si>
    <t>1. SR109198, SR109525
SR109585</t>
  </si>
  <si>
    <t>SR109525</t>
  </si>
  <si>
    <t>SR109585</t>
  </si>
  <si>
    <t>November Actual v. Expected</t>
  </si>
  <si>
    <t>November Actual v. Forecasted</t>
  </si>
  <si>
    <t>1. Estimated values are low in AE we have also verified the file which was given by GC</t>
  </si>
  <si>
    <t>1. Inverter 1 middle unit was offline on 11/25</t>
  </si>
  <si>
    <t>1.SR111795</t>
  </si>
  <si>
    <t>1.New</t>
  </si>
  <si>
    <t>1. Weather station stopped communicating on 11/22 at 07:00. replacement POA.</t>
  </si>
  <si>
    <t xml:space="preserve">1. SR093633
</t>
  </si>
  <si>
    <t xml:space="preserve">1. Pending </t>
  </si>
  <si>
    <t>1. 26 optimizers are down for roof repair.
2. Weather station stopped communicating since 06/14/24.</t>
  </si>
  <si>
    <t xml:space="preserve">1.SR093924
2. SR086842
</t>
  </si>
  <si>
    <t>1. Pending 
2. Closed</t>
  </si>
  <si>
    <t>1. Inverter 3 is underproducing due to unit(7E9C82CA) underproducing from 13:30 on 06/20 and reporting "external fan" fault.
2. Actual vs expected delta is showing 34% due to expected energy recording low possibly due to data glitch (similar event observe last 2 years).</t>
  </si>
  <si>
    <t>1. Inverter 1, Unit 12, was offline from 10/01 to 10/16. Two strings were isolated from Unit 1.2 on 10/16. The technician re-landed the strings and paired the inverter, and the inverters units have been producing as expected since 11/15.</t>
  </si>
  <si>
    <t>1. PM8307, SR109623</t>
  </si>
  <si>
    <t>1. Inverter 12 tripped offline at 17:00 on 10/20. After the technician power-cycled the inverter, it came back online at 08:00 on 11/20.</t>
  </si>
  <si>
    <t>1.Site was offline from 15:15 on 11/12 and back online at 12:15 on 11/14</t>
  </si>
  <si>
    <t>1.SR111002</t>
  </si>
  <si>
    <t>1.  Actual vs forcasted delta is showing 15% due to expected energy recording low possibly due to data glitch (similar event observe last 2 years).</t>
  </si>
  <si>
    <t>1. Inverter 2 has morning shading.</t>
  </si>
  <si>
    <t>1. SR093236</t>
  </si>
  <si>
    <t>1. Actual vs Forcasted delta is showing 47% due to Forcasted energy recording low possibly due to data glitch (similar event observe last 2 years).</t>
  </si>
  <si>
    <t>1. SR102529</t>
  </si>
  <si>
    <t>1. Inverter 1’s left unit went offline on 10/29 and remained offline for the rest of the month.</t>
  </si>
  <si>
    <t>1. SR110250</t>
  </si>
  <si>
    <t>1. Some optimizers with production issues 1264FFBB-30 - Half production  12639DA9-BB - Half production</t>
  </si>
  <si>
    <t>1. SR088282</t>
  </si>
  <si>
    <t>1. Inverter 2 expericing afternoon shading issue</t>
  </si>
  <si>
    <t>1. Inverter 2, unit 2.3, was being RMA’d, and Inverter 2 went offline at 13:00 on 11/06.
2. Inverter 3 middle unit tripped offline at 12:15 on 11/17.</t>
  </si>
  <si>
    <t>1. SR108939, SR110231
2. SR112049</t>
  </si>
  <si>
    <t>1. Closed
2. New</t>
  </si>
  <si>
    <t>SR110231</t>
  </si>
  <si>
    <t>SR112049</t>
  </si>
  <si>
    <t>1. SR088813</t>
  </si>
  <si>
    <t>1.Inverter 1 has shading issue.</t>
  </si>
  <si>
    <t>1. 4 Inverter modules are offline Module 1.0.64 Module 4.0.39 3.0.20 1.0.64</t>
  </si>
  <si>
    <t>1. SR093324</t>
  </si>
  <si>
    <t>1. Inverter 1’s right unit went offline at 08:00 on 10/31 and remained offline throughout the month.</t>
  </si>
  <si>
    <t>1. SR111880</t>
  </si>
  <si>
    <t xml:space="preserve">1. SR093326, SR110229
</t>
  </si>
  <si>
    <t>SR110229</t>
  </si>
  <si>
    <t>1.Inverter modules 3.0.144 and 5.0.100 are offline 4.0.66 - 30513B3F-FB - half 
production because split between 4 modules</t>
  </si>
  <si>
    <t>1. SR093327</t>
  </si>
  <si>
    <t>1.Inverter 2 having heavy shading isuue in mid day hours</t>
  </si>
  <si>
    <t>1. SR109950</t>
  </si>
  <si>
    <t>1. Inverter 1 unit 1.1 went offline at 09:30 on 09/27, and unit 1.2 went offline at 17:00 on 10/19. After the technician replaced the blown fuses in the inverter powerhead, the inverter began producing as expected.</t>
  </si>
  <si>
    <t>1. Inverter 1 having morning shading issue.</t>
  </si>
  <si>
    <t xml:space="preserve">1.Inverter 1 unit 1.2 having evening shading issue </t>
  </si>
  <si>
    <t>1. SR105932
2. SR098241
3. SR105932</t>
  </si>
  <si>
    <t>1. Inverter 2 derating by 150kW from 10/17/25.
2. The site went offline at 14:00 on 11/04 and came back online at 08:00 on 11/05 while the technician was onsite performing PM inspections.</t>
  </si>
  <si>
    <t>1. SR109775
2. PM1971</t>
  </si>
  <si>
    <t>1. The meter lost communication at 14:05 on 03/16. After the technician re-installed and re-rigged the meter, it was back online at 16:50 on 11/19.</t>
  </si>
  <si>
    <t>1. SR098641</t>
  </si>
  <si>
    <t>1. Inverters 21 to 27 and 30 to 33 have been offline since 10/17, and Inverter 13 has been offline since 10/18. After the technician replaced the fuses, all these inverters were back online at 11:20 on 11/20.</t>
  </si>
  <si>
    <t xml:space="preserve">1. SR106726, SR110996 </t>
  </si>
  <si>
    <t>SR110996</t>
  </si>
  <si>
    <t>1. The Production was low on 11/12, 11/17, 11/18, 11/29, and 11/30 due to low irradiance.</t>
  </si>
  <si>
    <t>1. Weather station lost communication from 07/15.</t>
  </si>
  <si>
    <t xml:space="preserve">1.SR107603
</t>
  </si>
  <si>
    <t>1. Denied</t>
  </si>
  <si>
    <t>1. The Production was low on 11/13, 11/17, 11/18, 11/29, and 11/30 due to low irradiance.</t>
  </si>
  <si>
    <t>1. The Production was low on 11/05, 11/09, 11/10 and 11/16 due to low irradiance.</t>
  </si>
  <si>
    <t>1. Inverter 2 tripped offline at 07:00 on 11/01, reporting an "AC Contactor Fault." After the technician Power cycling, it came back online at 11:40 on 11/03. and again tripped offline at 07:00 on 11/10 and back online at 14:55 on 11/14.
2. The site was taken offline from 12:05 to 13:25 on 11/04 while the technician was onsite troubleshooting Inverter 2.</t>
  </si>
  <si>
    <t>1. SR110488, SR111045
2. SR111045</t>
  </si>
  <si>
    <t>SR111045</t>
  </si>
  <si>
    <t>1. The site tripped offline at 22:15 on 11/15 and later self-resolved,  back online at 11:45 on 11/16.</t>
  </si>
  <si>
    <t>1. SR111167</t>
  </si>
  <si>
    <t>1. Site stopped communication to DAS at 02:00 on 11/20.</t>
  </si>
  <si>
    <t>1. SR111378</t>
  </si>
  <si>
    <t>1. The site tripped offline at 14:00 on 11/05 and back online at 07:00 on 11/06.
2. The site was taken offline from 09:45 to 14:50 on 11/21 while the technician was onsite. Inverters 3 and 4 were taken offline and remained offline throughout the month. The site was taken offline again from 09:50 to 12:20 on 11/26 while the technician was onsite cleaning out a rodent infestation in Inverters 3 and 4.</t>
  </si>
  <si>
    <t xml:space="preserve">1. SR110681
2. SR105508 </t>
  </si>
  <si>
    <t>SR105508</t>
  </si>
  <si>
    <t>1. rackers A7, A10, F27, F33, G13, and G14 have been out of service since 10/23. These trackers need to be replaced and are pending replacement.
2. Site lost communication to DAS at 11:35 from 11/29, Site regained it's communication at 02:05 on 11/30.but data was not backfilled.</t>
  </si>
  <si>
    <t>1. SR109834</t>
  </si>
  <si>
    <t>1.  Gateway 5 missing 3 trackers 6, 14 and 15 were strucked since 08/20.</t>
  </si>
  <si>
    <t>1. SR106622,SR110008</t>
  </si>
  <si>
    <t>SR110008</t>
  </si>
  <si>
    <t>1. The site tripped offline at 20:05 on 11/16. After the technician replaced the switchgear and SEL, the site came back online at 10:05 on 11/19.
2. The site tripped offline at 09:30 on 11/23. After the technician reset the and SEL, the site came back online at 10:00 on 11/25.
3. The site tripped offline at 18:55 on 11/28 and later self-resolved. The site came back online at 16:35 on 11/29.</t>
  </si>
  <si>
    <t>1. SR111199
2. SR111498
3. SR111826</t>
  </si>
  <si>
    <t>SR111498</t>
  </si>
  <si>
    <t>SR111826</t>
  </si>
  <si>
    <t>1. Inverter 12 tripped offline at 14:00 on 10/15. After the technician replaced the parts, the inverter came back online at 11:15 on 11/05.
2. Inverter 29 tripped offline at 12:30 on 10/27 and reported ‘Grid Phase Voltage Out of Range.’ After the technician reset the breaker, the inverter came back online at 12:15 on 11/05.</t>
  </si>
  <si>
    <t xml:space="preserve">1. SR109568
2. SR108847, SR110116
</t>
  </si>
  <si>
    <t xml:space="preserve">1. Closed
2. Closed
</t>
  </si>
  <si>
    <t>1. 6 trackers were stuck from 10/17, an additional tracker resumed tracking. TCU 255 is currently under RMA.
2. Site lost communication to DAS at 11:40 on 11/20, Site regained it's communication at 22:05 on 11/20.
3.Weather station regained its communication at 14:45 on 11/30</t>
  </si>
  <si>
    <t>1. SR108338
2. SR111393</t>
  </si>
  <si>
    <t>1. Denied
2. Closed</t>
  </si>
  <si>
    <t>SR111393</t>
  </si>
  <si>
    <t>1. POA Pyranometer UP stopped communicating from 11/16 and POA Pyranometer DOWN stopped communicating since past years</t>
  </si>
  <si>
    <t>1.SR112202</t>
  </si>
  <si>
    <t>1. Inverter 1 has been experiencing multiple trip events since 11:25 on 11/18. Additionally, the inverter tripped offline at 09:30 on 11/19.
2. The site went offline at 12:30 on 11/20 due to an MV issue and remained offline throughout the month.</t>
  </si>
  <si>
    <t>1. SR111271
2. SR111271</t>
  </si>
  <si>
    <t>SR111271</t>
  </si>
  <si>
    <t>1.Deined</t>
  </si>
  <si>
    <t>1.Site tripped offline at 13:40 on 10/31 back online at 08:20 on 11/02 
2.site tripped offline at 08:05 back online at 13:00 on 11/12</t>
  </si>
  <si>
    <t>1.SR110436
2.	SR110913</t>
  </si>
  <si>
    <t>SR110913</t>
  </si>
  <si>
    <t>1.site tripped offline at 08:05 back online at 13:00 on 11/12</t>
  </si>
  <si>
    <t>1.	SR110914</t>
  </si>
  <si>
    <t>1.Inverters were taken offline from 09:55 to 11:55 on 11/04 while technician was onsite to update firware.</t>
  </si>
  <si>
    <t xml:space="preserve">1.SR109797 </t>
  </si>
  <si>
    <t>1. 15 trackers are currently stuck on 11/11
     Tracker 01 devices 11, 38, 44, 75, 92, 106, 119
     Tracker 02 devices 21, 27, 36, 43, 52, 66, 88, 124</t>
  </si>
  <si>
    <t>1.	SR111019</t>
  </si>
  <si>
    <t>1.Site was offline at 13:40 on 10/31 and back online at 08:20 on 11/02 
2.Site offline at 08:00 back online at 13:00 on 11/12</t>
  </si>
  <si>
    <t>1.SR110434
2.	SR110915</t>
  </si>
  <si>
    <t>SR110915</t>
  </si>
  <si>
    <t>1.Site was offline at 13:45 on 10/31 back online at 08:20 on 11/02
2.Site offline at 08:00 back online at 13:00 on 11/12</t>
  </si>
  <si>
    <t>1.SR110435
2.	SR110918</t>
  </si>
  <si>
    <t>SR110918</t>
  </si>
  <si>
    <t>1.Inverter module 1-1 was offline whole day on 11/09.
2.Inverter module 1-2 was offline whole day on 11/10.
3.Modules startting late for the production most of the days during the month</t>
  </si>
  <si>
    <t>1.Inverter module 1-1 was offline whole day on 11/09.
2.Inverter module 1-2 was offline whole day on 11/10.
3.Modules startting late for the production most of the days during the month
4.Meter is intermittently lossing communication since 09/04, production can be verified at inverter level.</t>
  </si>
  <si>
    <t>1.SR107667</t>
  </si>
  <si>
    <t>1.Site is back online at 09:00 on 11/03
2.Site tripped offline at 00:00 on 11/04 and later tech closed the recloser at 11:00 on 11/04</t>
  </si>
  <si>
    <t>1.SR110474
2.SR110575</t>
  </si>
  <si>
    <t>SR110575</t>
  </si>
  <si>
    <t>1.Inverter 1 &amp; 2 module 2 has started late for the production at 12:00 on 11/09. 2.Modules started late for the production most of the days.</t>
  </si>
  <si>
    <t>1.Site production was low on 11/07 &amp; 11/10 due to rain or snow</t>
  </si>
  <si>
    <t>1.Site tripped offline at 12:20pm on 11/27 and back online at 11:30 on 11/29
2.Tracker 30 has stuck at -44deg at 08:35 on 11/04 and later back to track at 14:30 on 11/17</t>
  </si>
  <si>
    <t>1.SR111801</t>
  </si>
  <si>
    <t>1.Site tripped offline at 3:45PM on 11/16 and later back online at 08:10 on 11/07
2. Site was offline from 12:05pm on 11/26 and remained offline throughout the month.</t>
  </si>
  <si>
    <t>1.SR111175
2.SR111776, SR111964</t>
  </si>
  <si>
    <t>1.Closed
2. Pending</t>
  </si>
  <si>
    <t>SR111776</t>
  </si>
  <si>
    <t>SR111964</t>
  </si>
  <si>
    <t>1. Inverter is offline from 11/01 and back online at 11:35 on 11/05</t>
  </si>
  <si>
    <t>1.SR110487</t>
  </si>
  <si>
    <t>1.MTR 1 - 4 tracker has stuck at -3.31 deg from 12:30 on 10/31. Impacting production during morning and evening hours</t>
  </si>
  <si>
    <t>1.SR112194</t>
  </si>
  <si>
    <t>1.The inverter tripped offline around 7:05am later ROC reset the inverter at 8:50am est on 11/15. 
2.Inverter tripped offline at 15:45 on 11/29. ROC reset the inverter at 9:30am on 11/30</t>
  </si>
  <si>
    <t>1.SR111157
2.SR111837</t>
  </si>
  <si>
    <t>SR111837</t>
  </si>
  <si>
    <t>1.Site tripped offline at 04:25 on 11/01 and back online at 10:20 on 10/15. Again site tripped offline at 10:50 on 11/16 later back online at 11:50 on 11/17 again tripped offline at 13:45 on 11/18 and back online at 14:25 on 11/24
2.Site tripped offline at 12:30 to 14:35 on 11/26
3.All Inverter tripped offline at 14:25 on 11/28 and back online at 12:30 on 11/29 and again tripped offline at 11:55 on 11/30</t>
  </si>
  <si>
    <t>1.SR110430
2.SR111779
3.SR111825</t>
  </si>
  <si>
    <t>1.Completed
2.Completed
3.Pending</t>
  </si>
  <si>
    <t>SR111779</t>
  </si>
  <si>
    <t>SR111825</t>
  </si>
  <si>
    <t>1.Site was offline at 01:20 on 11/03 back online at 13:20 on 11/05</t>
  </si>
  <si>
    <t>1.SR110563</t>
  </si>
  <si>
    <t>1.closed</t>
  </si>
  <si>
    <t>1.Inverter tripped offline at 11:45 and back online at 13:20 on 11/12</t>
  </si>
  <si>
    <t>1.	SR108827</t>
  </si>
  <si>
    <t>1.Site production was low on 11/09 &amp; 11/10 , 11/11 due to rain or snow</t>
  </si>
  <si>
    <t>1.Site production was low on 11/14 due to rain or snow</t>
  </si>
  <si>
    <t>1.Inverter offline at 09:05 on 11/06 and came back online at 10:55 on 11/07 and again inverter offline at 06:00 came back online at 12:25 on 11/08
2.Site was offline at 08:20 came back online at 13:25 on 11/18</t>
  </si>
  <si>
    <t>1.SR110716
2.SR111256</t>
  </si>
  <si>
    <t>SR111256</t>
  </si>
  <si>
    <t>1.The meter is missing phase A throughout the month, resulting in incomplete production data for both inverters. GC will review in 2026
2.NCU 1 is missing communications and tracker angles cannot be confirmed, NCU 4 SPC 1015 is stuck.</t>
  </si>
  <si>
    <t>1.SR108248
2.SR108120</t>
  </si>
  <si>
    <t>1.Site is back online at 15:30 on 11/01</t>
  </si>
  <si>
    <t>1.SR110483</t>
  </si>
  <si>
    <t>1.	SR106921</t>
  </si>
  <si>
    <t xml:space="preserve">1.Site was offline on 11/01 and back online at 10:35 on 11/02 </t>
  </si>
  <si>
    <t>1.SR110473</t>
  </si>
  <si>
    <t>1.25 trackers are currently stuck:
          NCU 1 SPC 101, 106, 111, 112, 116, 118, 201, 204, 301, 302, 305, 307, 309, 310
          NCU 2 SPC 125, 126, 136, 141, 223, 234, 242, 324, 327, 338, 341</t>
  </si>
  <si>
    <t>1.	SR110135</t>
  </si>
  <si>
    <t>1.15 trackers are stuck: NCU 1 SPC 101, 206, 218, &amp; 314 NCU 2 SPC 118, 128, 230, 234, 321, 323, 333, 334, 336, 337, &amp; 343
2.POA pyranometer stopped communicating from 14:05 on 11/07. Additionally, rPOA pyranometer is not communicating since past years</t>
  </si>
  <si>
    <t>1.SR098860
2.SR112216</t>
  </si>
  <si>
    <t>1.Pending
2.New</t>
  </si>
  <si>
    <t>SR112216</t>
  </si>
  <si>
    <t xml:space="preserve"> 1.7 trackers 119,216,220,329, 338, 143, and 240 have seized slew drives. 
2.Site was offline on 10/30 and back online at 11:35 on 11/05
3.Site tripped offline at 09:25 back online at 14:05 on 11/09
4.Site tripped offline at 19:50 on 11/16 back online at 09:05 on 11/18</t>
  </si>
  <si>
    <t>1.SR109998
2.	SR110355
3.	SR110838
4.	SR111220</t>
  </si>
  <si>
    <t>1.Pending
2.Closed
3.Closed
4.Closed</t>
  </si>
  <si>
    <t>SR110355</t>
  </si>
  <si>
    <t>SR110838</t>
  </si>
  <si>
    <t>SR111220</t>
  </si>
  <si>
    <t>1.Weather station is not communicating through out the month.
2.Inverter tripped offline at 17:45 on 10/05 and back online at 11:55 on 11/21</t>
  </si>
  <si>
    <t>1.SR109079
2.SR109080</t>
  </si>
  <si>
    <t>1.Deined
2.Closed</t>
  </si>
  <si>
    <t>SR109080</t>
  </si>
  <si>
    <t>1.Site was offline on 11/01 and came back online on 11/02
2.Site was offline at 06:30 and back online at 09:03 on 11/05
3.Site tripped offline at 08:40 on 11/10 and came back online at 10:31 on 11/12
4.Site tripped offline at 06:47 came back online at 11:37 on 11/15
5.Site offline at 06:00 it came back online at 11:06 on 11/17
6.Site tripped offline at 07:25 it came back online at 14:23 on 11/30</t>
  </si>
  <si>
    <t>1.SR110477
2.SR110660
3.SR110852
4.	SR111161
5.	SR111183
6.	SR111841</t>
  </si>
  <si>
    <t>1.Closed
2.Closed
3.Closed
4.Closed
5.Closed
6.Closed</t>
  </si>
  <si>
    <t>SR110660</t>
  </si>
  <si>
    <t>SR110852</t>
  </si>
  <si>
    <t>SR111161</t>
  </si>
  <si>
    <t>SR111183</t>
  </si>
  <si>
    <t>SR111841</t>
  </si>
  <si>
    <t>Actual vs Forcasted delta is showing 13% due to Forcasted energy recording low possibly due to data glitch (similar event observe last 2 years).</t>
  </si>
  <si>
    <t>Actual vs Forcasted delta is showing 25% due to Forcasted energy recording low possibly due to data glitch (similar event observe last 2 years).</t>
  </si>
  <si>
    <t>1.Site was tripped offline from 03:30 and back online 05:15 on 11/04 
2. Inverters 2.01 to 2.24 are offline on 11/12 and came back online at 09:00 on 11/13</t>
  </si>
  <si>
    <t>1.SR110576
2.SR110935</t>
  </si>
  <si>
    <t>1.Closed
2.Completed</t>
  </si>
  <si>
    <t>SR110935</t>
  </si>
  <si>
    <t>1.Site was offline at 11:00 on 11/04 and it came back online at 09:45 on 11/05</t>
  </si>
  <si>
    <t>1.SR110655</t>
  </si>
  <si>
    <t>1.Inverters 1,2 are having morning shading issue</t>
  </si>
  <si>
    <t>1.Site production was low due to low irradiance or snow on 11/10 , 11/12 , 11/26 , 11/30</t>
  </si>
  <si>
    <t>1. Actual vs Forcasted delta is showing 19% due to Forcasted energy recording low possibly due to data glitch (similar event observe last 2 years).</t>
  </si>
  <si>
    <t>1.Site production was low due to low irradiance or snow on 11/09 , 11/10 , 11/26 , 11/30</t>
  </si>
  <si>
    <t>1. Inverter 1 unit 1.5 was offline from 10/10 and it came back online on 11/10
2. Inverter 3 unit 3.1 was offline from 10/10 and it came back online on 11/10</t>
  </si>
  <si>
    <t>1.	SR110156
2.	SR110155</t>
  </si>
  <si>
    <t>1. Inverter 2, unit 2.1 offline on 11/28</t>
  </si>
  <si>
    <t>1.SR111819</t>
  </si>
  <si>
    <t>1. Actual vs Forcasted delta is showing 24% due to Forcasted energy recording low possibly due to data glitch (similar event observe last 2 years).</t>
  </si>
  <si>
    <t>1.Site was offline from 08:15 to 14:45 on 11/04</t>
  </si>
  <si>
    <t>1.SR110598</t>
  </si>
  <si>
    <t xml:space="preserve">1.Multiple trackers are stuck
2.Site was offline on 11/04  at 11:30 to 15:30 </t>
  </si>
  <si>
    <t>1.SR109332
2.	SR110652</t>
  </si>
  <si>
    <t>1.Pending
2.Closed</t>
  </si>
  <si>
    <t>SR110652</t>
  </si>
  <si>
    <t>1.Inverter 3 having heavy shading issue in morning hours
2. Actual vs Forcasted delta is showing 18% due to Forcasted energy recording low possibly due to data glitch (similar event observe last 2 years).</t>
  </si>
  <si>
    <t>1.Site was offline on 10/31 at 11:00 and it came back online on 11/04
2.Site was offline on 11/11 and it came back online at 10:15 on 11/18</t>
  </si>
  <si>
    <t>1.SR110484
2.SR110884</t>
  </si>
  <si>
    <t>SR110884</t>
  </si>
  <si>
    <t>1.Site came back online at 10:30 on 11/01
2.Site was offline on 11/06 and it came back online at 10:40 on 11/07 
3.Site was offline at 10:00 on 11/20 at 10:10 on 11/21</t>
  </si>
  <si>
    <t>1.SR110407
2.	SR110728
3.SR111391</t>
  </si>
  <si>
    <t>1.Closed
2.Closed
3.Closed</t>
  </si>
  <si>
    <t>SR110728</t>
  </si>
  <si>
    <t>SR111391</t>
  </si>
  <si>
    <t>1.Site was tripped offline at 08:00 on 11/04 and it came back online on 11/06</t>
  </si>
  <si>
    <t>1.	SR110246</t>
  </si>
  <si>
    <t>1.Site was offline at 19:50 on 10/31 and it came back online at 10:40 on 11/02
2.Inverter 1 offline on 11/08 and it came back online at 12:50 on 11/09
3. All trackers are stuck between 51 and 55 DEG on 11/12. on 11/17  Technician was reset trackers, tracking properly tracking.</t>
  </si>
  <si>
    <t>1.SR110476
2.	SR110703
3.	SR110938</t>
  </si>
  <si>
    <t>SR110703</t>
  </si>
  <si>
    <t>SR110938</t>
  </si>
  <si>
    <t>1.Site tripped offline from 13:30 to 16:00 on 11/21</t>
  </si>
  <si>
    <t>1.SR111476</t>
  </si>
  <si>
    <t>1.Site was offline due to utility at 08:00 on 11/05 came back online at 16:20 on same day</t>
  </si>
  <si>
    <t>1.	SR110669</t>
  </si>
  <si>
    <t>1.Site tripped offline at 16:10 on 11/26 and it came back online at 10:40 on 11/28</t>
  </si>
  <si>
    <t>1.SR111796</t>
  </si>
  <si>
    <t>1.Site was offline from 12:45 to 13:00 on 11/08
2.The meter is missing comms but the inverters are communicating on 11/30</t>
  </si>
  <si>
    <t>1.	SR110776
2.	SR111863</t>
  </si>
  <si>
    <t>1.Closed
2.pendig</t>
  </si>
  <si>
    <t>SR111863</t>
  </si>
  <si>
    <t xml:space="preserve">1.Site tripped offline at 08:20 on 11/06 and it came back online at 12:10 on 11/07
2.Site took offline for some maintenance on the circuit from 07:00 until 18:00 on  11/12/25.	</t>
  </si>
  <si>
    <t>1.	SR110704
2.SR110882</t>
  </si>
  <si>
    <t>SR110882</t>
  </si>
  <si>
    <t>1. Inverter 2 was offline at 07:00 on 10/11. denied by customer
2. The meter has been communicating intermittently throughout the month.</t>
  </si>
  <si>
    <t xml:space="preserve">1.Closed
2.Pending
</t>
  </si>
  <si>
    <t xml:space="preserve">1.Site tripped offline from 11:00 to 12:30 on 11/01 and again site tripped offline at 23:45 on 11/03 and it came back online at 09:45 on 11/06 
2. All trackers are stuck from 10:25 am CST on 11/6. NCU is reporting a snow alarm.
3.Site was offline at 05:45 on 11/18 </t>
  </si>
  <si>
    <t>1.	SR110361
2.	SR110787
3.SR110863</t>
  </si>
  <si>
    <t>1.Closed
2.Pending
3.Pending</t>
  </si>
  <si>
    <t>SR110787</t>
  </si>
  <si>
    <t>SR110863</t>
  </si>
  <si>
    <t>1.Site was tripped offline at 12:30 on 11/05 and it came back online on 01:15 on 11/06
2.Site tripped offline from 06:15 to 07:15 on 11/07
3. Inverter 2 is constantly derating at 50kW from 08:30 on 11/10 and reporting "Temperature Sensor Fault - Warn0050".
4. Weather station stopped communicating on 9/22.</t>
  </si>
  <si>
    <t>1.SR110691
2.	SR110755
3.SR110867
4.SR108392</t>
  </si>
  <si>
    <t>1.Closed
2.Closed
3.Pending
4.Pending</t>
  </si>
  <si>
    <t>SR110755</t>
  </si>
  <si>
    <t>SR110867</t>
  </si>
  <si>
    <t>1. Inverter 2 tripped offline at 09:45 on 11/03 and It came back online on 11/06
2. site tripped offline 08:31 on 11/13 it came back online on same day
3. Inverter 2 tripped offline at 11:00 on 11/15 it came back online on 11/16</t>
  </si>
  <si>
    <t>1.SR110574
2.	SR111001
3.	SR111163</t>
  </si>
  <si>
    <t>1.Closed
2.Closed
3.Pending</t>
  </si>
  <si>
    <t>SR111001</t>
  </si>
  <si>
    <t>SR111163</t>
  </si>
  <si>
    <t xml:space="preserve">1. Site was  taken off for utility maintenance on 11/12 from 07:00 to 18:00
</t>
  </si>
  <si>
    <t>1.SR110883</t>
  </si>
  <si>
    <t>1. Trackers TCU 41 Strucked on 10/07.Hold until 2026 per client</t>
  </si>
  <si>
    <t>1.SR109160</t>
  </si>
  <si>
    <t>1.Denied</t>
  </si>
  <si>
    <t>1. Inverter 4 is underperforming by 10 kW from 10/07. Hold until 2026 per client</t>
  </si>
  <si>
    <t>1.SR109156</t>
  </si>
  <si>
    <t>1. Trackers TCU 39 Strucked on 10/07 and TCU 33 and 66 strucked on 10/14.Hold until 2026 per client</t>
  </si>
  <si>
    <t>1.	SR109157</t>
  </si>
  <si>
    <t>1. Inverters 1.10, 2.05, and 2.11 have been intermittently derating to 50 kW during high-irradiance days since 11/10.</t>
  </si>
  <si>
    <t>1. SR112383</t>
  </si>
  <si>
    <t>December Actual v. Expected</t>
  </si>
  <si>
    <t>December Actual v. Forecasted</t>
  </si>
  <si>
    <t>1. Meter B phase currents dropped to Zero whole month. Need to replace CT's.On 12/30 CT's were removed</t>
  </si>
  <si>
    <t>1.Site production was low from 12/14 to 12/17 due to snow</t>
  </si>
  <si>
    <t>1. Inverter 1 (middle unit) was offline on 11/25. After the technician replaced the defective optimizer, the inverter unit came back online at 10:30 on 12/09.</t>
  </si>
  <si>
    <t>1. SR111795</t>
  </si>
  <si>
    <t>1.1 Optimizer was offline</t>
  </si>
  <si>
    <t>1.SR110236</t>
  </si>
  <si>
    <t>1. SR093633</t>
  </si>
  <si>
    <t>1. Inverter 2 started late for the production on 12/19
Inverters producing as expected and expected  value and forecasted energy values difference.</t>
  </si>
  <si>
    <t>1.SR113179</t>
  </si>
  <si>
    <t>1. The site went offline at 07:00 on 12/08. Additionally, the inverters reported a ‘Grid Voltage’ fault, and the site came back online at 07:00 on 12/09.
2. Inverter 1 has minor shading issue.</t>
  </si>
  <si>
    <t>1. SR112395</t>
  </si>
  <si>
    <t>1. Site tripped offline at 14:00 on 12/04 and back online at 09:00 on 12/08.
2. Inverter 4 was offline on 12/09 and reporting "critical temperature on AC terminal" and remained offline throughout the month.</t>
  </si>
  <si>
    <t>1. SR112247
2. SR112416</t>
  </si>
  <si>
    <t xml:space="preserve">1. Closed
2. Pending </t>
  </si>
  <si>
    <t>1.  Actual vs forcasted delta is showing 17% due to expected energy recording low possibly due to data glitch (similar event observe last 2 years).</t>
  </si>
  <si>
    <t>1.Module 1.0.90 (21772020-D8) No communication. 1.0.29 - 217E44D3-B6 - offline.</t>
  </si>
  <si>
    <t>1. Actual vs Forcasted delta is showing 20% due to Forcasted energy recording low possibly due to data glitch (similar event observe last 2 years).</t>
  </si>
  <si>
    <t>1. Inverter 1’s left unit went offline on 10/29 later back online at 10:45 on 12/01
2.1 broken modulefound during the PM</t>
  </si>
  <si>
    <t>1. SR110250
2.SR109181</t>
  </si>
  <si>
    <t>1. Inverter 2 has offline from 12/23 and offline for rest of the month
2.Some optimizers with production issues 1264FFBB-30 - Half production  12639DA9-BB - Half production</t>
  </si>
  <si>
    <t>1.SR113444
2.SR088282</t>
  </si>
  <si>
    <t>1.Pending
2.Pending</t>
  </si>
  <si>
    <t>1.Inverter 3 unit 3.1 tripped offline at 12:00 on 11/17 and remained rest of the month.</t>
  </si>
  <si>
    <t>1.SR112392</t>
  </si>
  <si>
    <t>1.Inverter 1 right unit was offline on 10/30 and later back online at 10:45 on 12/05</t>
  </si>
  <si>
    <t>1.SR111880</t>
  </si>
  <si>
    <t>1.Inverter 2 started late for the production on 12/16 and having heavy shading isuue in mid day hours</t>
  </si>
  <si>
    <t>1.SR112764</t>
  </si>
  <si>
    <t xml:space="preserve">1. 6 modules are offline: Module 1.2.1 Module 1.2.13 Module 1.2.14 Module 1.11.5 Module 2.1.12 Module 2.1.16
</t>
  </si>
  <si>
    <t>1.SR098241</t>
  </si>
  <si>
    <t>1.Inverter 1 tripped offline at 13:15 on 12/16 and later back online at 11:45 on 12/19
2.Site tripped offline at 16:00 on 12/25 and later back online at 11:40 on 12/30.
3.Inverter E is offline and Inverter A is producing at half of the capacity compared to peers from 11:30 on 12/30 after the site was re-energized.</t>
  </si>
  <si>
    <t>1.SR113149
2.SR113624
3.SR113912</t>
  </si>
  <si>
    <t>1.Closed
2,Work in progress
3.Pending</t>
  </si>
  <si>
    <t>SR113912</t>
  </si>
  <si>
    <t>1.29 modules were damaged
2. inverter 2 derating by 150kW from 10/17/25, later PE has made repairs on 12/25
3.Inverter 5 is offline from 07:15 on 11/26 and back online at 08:00 on 12/03
4.Inverter 3 module was not communicating</t>
  </si>
  <si>
    <t>1.SR104556
2.SR109775
3.SR112024
4.SR113579</t>
  </si>
  <si>
    <t>1.Pending
2.Closed
3.Closed
4.Pending</t>
  </si>
  <si>
    <t>SR112024</t>
  </si>
  <si>
    <t>SR113579</t>
  </si>
  <si>
    <t>1.Site production was low on 12/02,12/10,12/23,12/24,12/25,12/26,12/27 &amp;12/28 due to snow.</t>
  </si>
  <si>
    <t xml:space="preserve">1.Site production was low most of the days due to snow due to that forcasted (theoretical) values appear higher </t>
  </si>
  <si>
    <t>1.Inverter 1 was offline from 12/06 and back online at 11:00 on 12/10
2.Inverter 1 was offline from 12/13 and back online at 12:40 on 12/17</t>
  </si>
  <si>
    <t>1.SR112418
2.SR112831</t>
  </si>
  <si>
    <t>1. The Production was low on 12/02, 12/07, 12/10, 12/15, 12/26 , 12/17  &amp; 12/28 due to low irradiance/snow</t>
  </si>
  <si>
    <t>1. The Production was low on 12/02, 12/03, 12/04, 12/05, 12/14 , 12/23 &amp; 12/27 due to low irradiance/snow</t>
  </si>
  <si>
    <t>1.Site tripped offline at 22:15 on 12/29 and back online at 12:35 on 12/30
2.Inverter 1 tripped offline at 12:15 on 12/27 and back online at 12:35 on 12/30</t>
  </si>
  <si>
    <t>1.SR113825</t>
  </si>
  <si>
    <t>1.Site was offline from 12:15 on 09/23 due to inverter to XFMR busbars had thermal damage and later back online at 15:30 on 12/23 and again offline from 10:30 on 12/24 and remained offline throughout the month due to oil leak in transformer.</t>
  </si>
  <si>
    <t>1.SR105816 ,SR113584</t>
  </si>
  <si>
    <t>1.Closed, New</t>
  </si>
  <si>
    <t>1.Inverter 1 tripped offline at 10:05 on 12/15 and later back online at 10:25 on 12/16
2.Site tripped offline at 22:15 on 12/29 and back online at 12:35 on 12/30</t>
  </si>
  <si>
    <t>1.SR112838
2.SR113823</t>
  </si>
  <si>
    <t>1. The Production was low on 12/04, 12/13, 12/15,  due to low irradiance.</t>
  </si>
  <si>
    <t>1.Inverters 3&amp;4 were kept offline from 11/21 and back online at 14:10 on 12/09
2.Site tripped offline at 09:30 and back online at 16:10 on 12/04, Inverter 2 was offline after site was back online on 12/04 and back online at 14:10 on 12/09
3.Site tripped offline at 11:05 on 12/16 and back online at 11:45 on 12/17
4.Site tripped offline at 12:05 on 12/21 and back online at 13:00 on 12/23
5.Site tripped offline from 10:10 to 14:30 on 12/31 and inverters 3&amp;4 remained offline after site is back online.</t>
  </si>
  <si>
    <t>1.SR105508
2.SR112225
3.SR112950
4.SR113336
5.SR113456</t>
  </si>
  <si>
    <t>1.Closed
2.Closed
3.Closed
4.Closed
5.Pending</t>
  </si>
  <si>
    <t>SR112950</t>
  </si>
  <si>
    <t>SR113336</t>
  </si>
  <si>
    <t>SR113456</t>
  </si>
  <si>
    <t>1.Trackers: Group A tracker 1, 5, 6, 7, &amp; 10
          Group F tracker 22, 27, &amp; 33
          Group G tracker 13 &amp; 14 are stuck</t>
  </si>
  <si>
    <t>1.SR113372</t>
  </si>
  <si>
    <t>1.  Gateway 5 missing 3 trackers 6, 14 and 15 were strucked since 08/20.Gc to hold untill 2026
2.Inverter 4 tripped offline at 09:40 on 12/11 and back online at 10:30 on 12/17
3.8 trackers are stuck, previously requested to hold until 2026: T01.A.30; B.24; D.17; E.06, 13, 14, &amp; 18; F.13</t>
  </si>
  <si>
    <t>1.SR106622
2.SR112656
3.SR114038</t>
  </si>
  <si>
    <t>SR114038</t>
  </si>
  <si>
    <t>1.Site tripped offline at 07:55 on 12/15 and back online at 23:00 on 12/17</t>
  </si>
  <si>
    <t>1.SR112755</t>
  </si>
  <si>
    <t>1.Inverters 1 - 20 started for production at 14:30 on 12/07
2.Inverter 9 has derated to 100kW from 08/31, tech has updated inverters 9 &amp; 30 back to 100% on 12/07
3.Inverter 18 has derated at 50kW on 12/20 to 12/22
4.Weather station lost communication while technician was on site at 14:00 on 12/07 and came back online at 16:45 on 12/09</t>
  </si>
  <si>
    <t>1.SR112331
2.SR107331, SR111325
4.	SR112331</t>
  </si>
  <si>
    <t>SR111325</t>
  </si>
  <si>
    <t>SR112331</t>
  </si>
  <si>
    <t>1.10 trackers are stuck:
          T01.C.44, 45, 46, 48, &amp; 50
          T01.D.48 &amp; 49
          T01.E.37 &amp; 43
Remaining trackers offline:
C.44 - R280
C.45 - R240
C.46 - R263
C.48 - R257
C.50 - R241
D.49 - R243
2.POA pyranometer up reporting 0 from 12/30</t>
  </si>
  <si>
    <t>1.SR108338</t>
  </si>
  <si>
    <t>1.Site stopped communicating to GPM DAS From 02:00 on 12/17 and remained rest of the month but site is online and producing in Ingecon portal</t>
  </si>
  <si>
    <t>1.SR112948</t>
  </si>
  <si>
    <t>1.Inverter 1-1 module and inverter 2-1 module was offline on 12/02,12/07 &amp; 12/27
2.Inverter 1-2 module and inverter 2-2 module was offline on 12/02,12/10, 12/23 &amp; 12/28</t>
  </si>
  <si>
    <t>1. POA Pyranometer UP stopped communicating from 11/16 and POA Pyranometer DOWN stopped communicating since past years
2.Meter 1 is not capuring inverters data but production can be verified at inverter level from 11/16
3.Inverter 3 tripped offline at 15:05 on 12/29 and back online at 09:00 on 12/31</t>
  </si>
  <si>
    <t>1.SR112202
2.SR113983
3.SR113857</t>
  </si>
  <si>
    <t>1. Pending
2.Pending
3.Completed</t>
  </si>
  <si>
    <t>SR113857</t>
  </si>
  <si>
    <t>1.The site went offline at 12:30 on 11/20 due to an MV issue and back online at 09:10 on 12/10
2.Site tripped offline at 14:45 on 12/19 and back online at 14:55 on 12/22, inverter 1 was offline on 12/23 and back online at 10:25 on 12/24
3.Site tripped offline at 15:20 on 12/28 and back online at 09:20 on 12/30</t>
  </si>
  <si>
    <t>1.SR111271
2.SR113327
3.SR113700</t>
  </si>
  <si>
    <t>1.Closed
2.Completed
3.Completed</t>
  </si>
  <si>
    <t>SR113700</t>
  </si>
  <si>
    <t>1.POA Pyranometer UP irradiance reporting 0W/m2 since 08/18. Due to this expected energy values in monthly reports has been affected.</t>
  </si>
  <si>
    <t>1. The site tripped offline at 07:50 on 12/15 and back online at 12:05 on 12/15.
2. The site tripped offline at 13:40 on 12/17 and back online at 16:00 on 12/15.</t>
  </si>
  <si>
    <t>1. SR112750
2. SR113058</t>
  </si>
  <si>
    <t>1. SR112751
2. SR113059</t>
  </si>
  <si>
    <t>1. Site production was low on 12/24 due to snow</t>
  </si>
  <si>
    <t>1. site was offline at 13:00 on 12/29 and remained offline rest of the month.
2. 15 trackers are stuck from 11/11
     Tracker 01 devices 11, 38, 44, 75, 92, 106, 119
     Tracker 02 devices 21, 27, 36, 43, 52, 66, 88, 124</t>
  </si>
  <si>
    <t>1. SR113860, SR113861
2. SR111019</t>
  </si>
  <si>
    <t>SR111019</t>
  </si>
  <si>
    <t>1. The site tripped offline at 07:50 on 12/15 and back online at 12:05 on 12/15.
2. The site tripped offline at 13:40 on 12/17 and back online at 16:00 on 12/18.</t>
  </si>
  <si>
    <t>1. SR112748
2. SR113057</t>
  </si>
  <si>
    <t>1. SR112749
2. SR113056</t>
  </si>
  <si>
    <t>1. Inverter module 1-1 was offline whole day on 12/02,12/06 and 12/08
2. Inverter module 1-2 was offline whole day on 12/09,12/15,12/23 and 12/27
3. Modules startting late for the production most of the days during the month</t>
  </si>
  <si>
    <t>1. Inverter module 1-1 was offline whole day on 12/02,12/06,12/27
2. Inverter module 1-2 was offline whole day on 12/09,12/23
3. Modules startting late for the production most of the days during the month
4. Meter is intermittently lossing communication since 09/04, production can be verified at inverter level.
5. Weather station stopped communicating at 13:55 on 04/03/25.</t>
  </si>
  <si>
    <t>4. SR107667</t>
  </si>
  <si>
    <t>4. Closed</t>
  </si>
  <si>
    <t>1. Inverter module 1-2 was offline whole day on 12/02,12/23,12/27 and 12/28.
2. Inverter module 1-1 was offline whole day on 12/06,12/15 and 12/26.
3. Modules startting late for the production most of the days during the month</t>
  </si>
  <si>
    <t>1. Site tripped offline at 04:00 on 12/01 and back online at 13:15 on 12/01.
2. Site tripped offline at 09:55 on 12/19, After the technician closed the SEL, the site came back online at 11:35 on 12/21.
3. Site tripped offline at 00:30 on 12/30 and remained offline rest of the month.
4. Weather station is not communicating for whole month.</t>
  </si>
  <si>
    <t>1. SR111861
2. SR113323
3. SR113809
4. SR106739</t>
  </si>
  <si>
    <t>1. Closed
2. Closed
3. Completed
4. Denied</t>
  </si>
  <si>
    <t>SR113809</t>
  </si>
  <si>
    <t>SR106739</t>
  </si>
  <si>
    <t>1. SR109604</t>
  </si>
  <si>
    <t>1. Modules started late for the production most of the days.</t>
  </si>
  <si>
    <t>1. Site was tripped offline at 12:05 on 11/26 and site is back online at 12:00 on 12/03.</t>
  </si>
  <si>
    <t>1. SR111776, SR111964</t>
  </si>
  <si>
    <t>1. Site production was low on 12/02,12/23,12/27 and 12/28 due to snow</t>
  </si>
  <si>
    <t>1.MTR 1 - 4 tracker has stuck at -3.31 deg from 12:30 on 10/31. Impacting production during morning and evening hours and  after technician recalibrated the tracker is back online on 12/08 and tracking as expected .</t>
  </si>
  <si>
    <t>1. Inverter 1 tripped offline at 08:00 on 12/05. After a remote reset, the inverter came back online at 08:30 on 12/05. It tripped offline again at 11:30 on 12/15, reporting ‘contactor opened due to overvoltage.’ After a remote reset, the inverter came back online at 15:22 on 12/15.
2. Inverter 1 was offline at 07:00 on 12/30. After a remote reset, the inverter came back online at 10:15 on 12/30.
3. Inverter 1 was offline at 13:00 on 12/31. After a remote reset, the inverter came back online at 15:45 on 12/31.</t>
  </si>
  <si>
    <t>1. SR112253
2. SR113837
3. SR113924</t>
  </si>
  <si>
    <t>1. Closed
2. Closed
3. New</t>
  </si>
  <si>
    <t>SR113924</t>
  </si>
  <si>
    <t>1. Both inverters tripped offline at 11:35 and reported the AC breaker in an ‘open state.’ After the technician closed the SEL, both inverters came back online at 12:45 on 12/01.
2. NCU 1 trackers 21 &amp; 53 are strucked since 12/03. 
3. The site tripped offline at 11:10 on 12/04. After the technician closed the SEL, the site came back online at 09:10 on 12/05.
4. The site tripped offline at 12:20 on 12/08 while a technician was onsite working on the trackers and came back online at 14:00 on 12/09.
5. The site tripped offline at 09:50 on 12/11 while a technician was onsite working on the trackers and came back online at 11:35 on 12/17.
6.Site tripped offline at 10:30 on 12/18 and remained offline rest of the month.</t>
  </si>
  <si>
    <t>1. SR111825
2. SR112035, SR113433 
3. SR112217
4. SR112035
5. SR111825, SR112892
6. SR113201</t>
  </si>
  <si>
    <t>1. Closed
2. Pending 
3. Closed
4. Closed
5. Closed
6. Pending</t>
  </si>
  <si>
    <t>SR113433</t>
  </si>
  <si>
    <t>SR112217</t>
  </si>
  <si>
    <t>SR112035</t>
  </si>
  <si>
    <t>SR112892</t>
  </si>
  <si>
    <t>SR113201</t>
  </si>
  <si>
    <t>1.CB 1.11 strings 14, 15 and string 5 &amp; 6 were isolated due to ground faults</t>
  </si>
  <si>
    <t>1.SR112199</t>
  </si>
  <si>
    <t>1. Inverter 1 tripped offline at 10:40 on 12/10. After a remote reset, the inverter came back online at 12:10 on 12/10.</t>
  </si>
  <si>
    <t>1. SR112502</t>
  </si>
  <si>
    <t>1.Site production was low on 12/02, 12/03, 12/27 &amp; 12/28 due to snow.</t>
  </si>
  <si>
    <t>1.Site production was low on 12/07 &amp; 12/10 due to snow.</t>
  </si>
  <si>
    <t>1.Site production was low on 12/02 due to snow</t>
  </si>
  <si>
    <t>1. Inverter 1 was offline at 07:00 on 12/08, reporting a “ground fault.” After a remote breaker reset, the inverter returned online at 12:35 on 12/08. It went offline again at 07:00 on 12/12, reporting a “ground fault,” and after a remote breaker reset, it returned online at 10:20 on 12/13. Once again, the inverter went offline at 07:00 on 12/18 with a “ground fault,” and after a remote breaker reset, it returned online at 11:00 on 12/18.</t>
  </si>
  <si>
    <t>1. SR112379</t>
  </si>
  <si>
    <t xml:space="preserve">1. Site tripped offline at 07:30 on 12/29 and remained offline rest of the month.
2. The meter is missing phase A throughout the month, resulting in incomplete production data for both inverters. GC will review in 2026
3. NCU 1 is missing communications and tracker angles cannot be confirmed, NCU 4 SPC 1015 is stuck. Pending replacement slew drive needed.
4. All trackers were stuck on 12/04 and reporting “stow mode.” After the technician power-cycled the TCUs, all trackers came back online on 12/05. </t>
  </si>
  <si>
    <t>1. SR113716
2. SR108248
3. SR108120
4. SR112191</t>
  </si>
  <si>
    <t>1. New
2. Closed
3. Pending
5. Closed</t>
  </si>
  <si>
    <t>SR112191</t>
  </si>
  <si>
    <t>1. Actual vs Forcasted delta is showing 28% due to Forcasted energy recording low possibly due to data glitch (similar event observe last 2 years).</t>
  </si>
  <si>
    <t>1. The site has been offline since 06:20 on 08/10 due to a transformer failure. After the technician replaced the SIM card, the site came back online at 13:31 on 12/30.</t>
  </si>
  <si>
    <t xml:space="preserve">1.	SR106921, SR112759 </t>
  </si>
  <si>
    <t>1. Work in Progress</t>
  </si>
  <si>
    <t>1. SR110135, SR113865</t>
  </si>
  <si>
    <t>1.15 trackers are stuck: NCU 1 SPC 101, 206, 218, &amp; 314 NCU 2 SPC 118, 128, 230, 234, 321, 323, 333, 334, 336, 337, &amp; 343
2.POA pyranometer stopped communicating from 14:05 on 11/07. Additionally, POA pyranometer is not communicating since past years</t>
  </si>
  <si>
    <t>1. SR098860, SR099264, SR113864
2. SR112216</t>
  </si>
  <si>
    <t xml:space="preserve">1. Pending
2 .Pending
</t>
  </si>
  <si>
    <t>SR113864</t>
  </si>
  <si>
    <t xml:space="preserve">1. Site tripped offline at 22:15 on 12/09 and back online at 09:10 on 12/11.
2. Site tripped offline at 01:20 on 12/19  After the technician closed the relay, the site came back online at 11:10 on 12/21.
3. The site went offline at 12:55 on 12/29 and remained offline for the rest of the month.
4. 7 trackers 119,216,220,329, 338, 143, and 240 have seized slew drives. </t>
  </si>
  <si>
    <t>1. SR112506
2. SR113322
3. SR113815
4. SR109998</t>
  </si>
  <si>
    <t>1. Closed 
2. Closed 
3. New
4. Pending</t>
  </si>
  <si>
    <t>SR113815</t>
  </si>
  <si>
    <t>1. Weather station is not communicating through out the month.</t>
  </si>
  <si>
    <t>1. SR109079, SR110746</t>
  </si>
  <si>
    <t>1. The site tripped offline at 08:15 AM on 12/19. After the technician closed the relay, the site came back online at 14:27 on 12/21.
2. The site tripped offline at 07:53 on 12/23. After the recloser was closed remotely, the site came back online at 09:00 on 12/23.
3.Site tripped offline at 06:50 on 12/30 and remained offline rest of the month</t>
  </si>
  <si>
    <t>1. SR113325
2. SR113414
3.SR113817</t>
  </si>
  <si>
    <t>1. Closed 
2. Closed 
3.Completed</t>
  </si>
  <si>
    <t>SR113817</t>
  </si>
  <si>
    <t>1.Site production was low on 12/02,12/14,12/23 &amp; 12/27 due to snow</t>
  </si>
  <si>
    <t xml:space="preserve">1. Inverters and weather station stopped communicating at 03:00 on 12/29 </t>
  </si>
  <si>
    <t>1. The site went offline at 04:00 on 12/05. After the technician replaced the cable, the site came back online at 10:30 on 12/29.</t>
  </si>
  <si>
    <t>1. SR112261, SR113150</t>
  </si>
  <si>
    <t>1. Inverter S.1 was offline from 12/16 and remained offline for the rest of the month.</t>
  </si>
  <si>
    <t>1. SR113089</t>
  </si>
  <si>
    <t>1. Inverter 2 is derating by 25 kW during peak hours on 12/01 (peak production) due to all three units temperature fluctuation. Isue resolved on 12/11</t>
  </si>
  <si>
    <t>1.SR111884</t>
  </si>
  <si>
    <t>1. inverter 3 unit 3.3 was offline on 11/25 and later back online at 12:00 on 12/26</t>
  </si>
  <si>
    <t>1.SR112553</t>
  </si>
  <si>
    <t>1.Site production was low on 12/14 to 12/17 due to snow</t>
  </si>
  <si>
    <t>1. Actual vs Forcasted delta is showing 31% due to Forcasted energy recording low possibly due to data glitch (similar event observe last 2 years).</t>
  </si>
  <si>
    <t>1.Inverter unit 1.2 was offline on 12/15 and reporting a low voltage fault.</t>
  </si>
  <si>
    <t>1.	SR113437</t>
  </si>
  <si>
    <t>1.pending</t>
  </si>
  <si>
    <t>1. Inverter 3 unit 3.1 was offline on 12/08</t>
  </si>
  <si>
    <t>1.	SR112389</t>
  </si>
  <si>
    <t>1.Site was offline at 07:30 on 12/19 throuth the month</t>
  </si>
  <si>
    <t>1.	SR113237</t>
  </si>
  <si>
    <t>1.  Inverter 1 unit 1.2 was offline on 09/29 at 14:30</t>
  </si>
  <si>
    <t>1.SR112357</t>
  </si>
  <si>
    <t>1. Actual vs Forcasted delta is showing 42% due to Forcasted energy recording low possibly due to data glitch (similar event observe last 2 years).</t>
  </si>
  <si>
    <t>1.Multiple trackers are stuck</t>
  </si>
  <si>
    <t>1.SR109332</t>
  </si>
  <si>
    <t xml:space="preserve">1. Inverter 4 is derating on 12/04 at 50kw, reporting temperature sensor fault.  inverter was producing at expected rates around 14:00 on 12/19. </t>
  </si>
  <si>
    <t>1.SR112210</t>
  </si>
  <si>
    <t>1.completed</t>
  </si>
  <si>
    <t>1.Site was offline from 10:30 to 13:30 on 12/26</t>
  </si>
  <si>
    <t>1.SR113649</t>
  </si>
  <si>
    <t>1.Inverter 1 tripped offline at 09:40 on 12/06 and back online at 16:05 on 12/08.tech noted that CB 10 was offline and later back online on 12/09</t>
  </si>
  <si>
    <t>1.SR113247</t>
  </si>
  <si>
    <t>1.Site tripped offline at 12:20 on 12/07 and it came back online at 14:25 on 12/08
2.Inverters tripped offline at 12:25 on 12/27 and it came back online on 12/29</t>
  </si>
  <si>
    <t>1.	SR112334
2.SR113692</t>
  </si>
  <si>
    <t xml:space="preserve">1.Closed
2.pending
</t>
  </si>
  <si>
    <t>1. Actual vs Forcasted delta is showing 16% due to Forcasted energy recording low possibly due to data glitch (similar event observe last 2 years).</t>
  </si>
  <si>
    <t xml:space="preserve">1. Site tripped offline at 09:05 on 12/10 and it came back online on 12/11 at 08:40
2.All trackers are now stuck on 12/04, approximately a quarter inch of snow fall residual reported nearby. </t>
  </si>
  <si>
    <t>1.	SR112499
2.	SR112060</t>
  </si>
  <si>
    <t xml:space="preserve">1.Closed
2.closed
</t>
  </si>
  <si>
    <t>1.All trackers are now stuck, approximately a quarter inch of snow fall residual reported nearby on 12/04 and selfresolved on 12/05</t>
  </si>
  <si>
    <t>1.	SR112060</t>
  </si>
  <si>
    <t>1. Both inverters tripped offline at 12:30 on 12/27 and came back online on 12/29</t>
  </si>
  <si>
    <t>1.	SR113693</t>
  </si>
  <si>
    <t>1.The meter is missing comms but the inverters are communicating on 11/30
2.Inverters tripped offline at 12:30 on 12/27 and back online on 12/29
2.Inverter 2 is offline on 12/31</t>
  </si>
  <si>
    <t>1.SR111863
2.SR113693
3.SR113917</t>
  </si>
  <si>
    <t>1.Closed
2.closed
3.Closed</t>
  </si>
  <si>
    <t>SR113917</t>
  </si>
  <si>
    <t>1.31 trackers are currently stuck: #2, 4, 6, 9-13, 32-47, 49, 50, 52, 78-84. - These trackers have a low battery auto stow warning, several are charging, this may be related to the recent snowfall. Issue self resolved on 12/17</t>
  </si>
  <si>
    <t>1.	SR112440</t>
  </si>
  <si>
    <t>1.Actual vs Forcasted delta is showing 12% due to Forcasted energy recording low possibly due to data glitch (similar event observe last 2 years).</t>
  </si>
  <si>
    <t>1. Site was offline for whole month.</t>
  </si>
  <si>
    <t>1. SR110863</t>
  </si>
  <si>
    <t>1. All trackers on site were not tracking properly for whole month.
2. Inverters 1.14, 2.04, 2.13, 2.15 and 2.20 were derating at 47kw from 12/01 to 12/15</t>
  </si>
  <si>
    <t>1. SR113569
2. SR112384</t>
  </si>
  <si>
    <t>1. Pending
2. completed</t>
  </si>
  <si>
    <t>1. Inverter 2 was derated to 50kW from 11/10 to 11:15 on 12/19.
2. Weather station was not communicated for whole month.</t>
  </si>
  <si>
    <t>1. SR110867
2. SR108392</t>
  </si>
  <si>
    <t>1. Completed
2. Pending</t>
  </si>
  <si>
    <t>1. Site has tripped offline at 00:15 on 12/26 and later back online at 12:00 on 12/26.
2. Site was offline from 08:45 on 12/19 to 12:00 on 12/20.
3. Inverter 2 was underproducing by 500kW for whole month.
4. Inverter 2 was offline from 11/29 to 08:00 on 12/02.
5. POA and BPO was not communicated from 07:15 on 12/23.</t>
  </si>
  <si>
    <t>1. SR113626
2.  SR113177
3. SR113003
4. SR111163
5. SR113452</t>
  </si>
  <si>
    <t>1. Closed
2. Closed
3. Pending
4. Pending
5. Pending</t>
  </si>
  <si>
    <t>SR113003</t>
  </si>
  <si>
    <t>SR113452</t>
  </si>
  <si>
    <t>1. Site was offline from 07:00 on 12/19 to 10:00 on 12/22.
2. Inverter 2 was offline from 10:00 on 12/22 to end of the month.</t>
  </si>
  <si>
    <t>1. SR113185
2. SR113455</t>
  </si>
  <si>
    <t>1.Site production was low on 12/18 ,12/26 to 12/28 due to snow</t>
  </si>
  <si>
    <t>1.Site production was low on 12/09 , 12/10 , 12/11 ,12/13 , 12/18, 12/22 , 12/26, 12/27, 12/28 due to snow</t>
  </si>
  <si>
    <t>1. Site was offline from 07:00 on 12/29 to end of the month.</t>
  </si>
  <si>
    <t>1. SR113743</t>
  </si>
  <si>
    <t>1. Inverter 23 was offline from 07:00 on 12/05 to end of the month.</t>
  </si>
  <si>
    <t>1. SR112320</t>
  </si>
  <si>
    <t>1. Site was de-energised from 16:00 to 18:00 on 12/19.
2.  Inverters 1.10, 2.05 and 2.11 are intermittently derating at 50kw during high irradiance from 11/10 to 12/17.</t>
  </si>
  <si>
    <t>1. SR113222
2. SR112383</t>
  </si>
  <si>
    <t>1. Closed
2. Completed</t>
  </si>
  <si>
    <t>1.Site tripped offline at 08:45 on 12/06 and it came back online at 14:15 on 12/17
2.Site tripped offline at 15:00 on 12/28 and it came back online at 14:15 12/29</t>
  </si>
  <si>
    <t>1.SR112318
2.	SR113699</t>
  </si>
  <si>
    <t>.</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</si>
  <si>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</si>
  <si>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</si>
  <si>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</si>
  <si>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</si>
  <si>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</si>
  <si>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</si>
  <si>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</si>
  <si>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</si>
  <si>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</si>
  <si>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</si>
  <si>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</si>
  <si>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</si>
  <si>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</si>
  <si>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</si>
  <si>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</si>
  <si>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</si>
  <si>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</si>
  <si>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</si>
  <si>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</si>
  <si>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</si>
  <si>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</si>
  <si>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</si>
  <si>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</si>
  <si>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</si>
  <si>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</si>
  <si>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</si>
  <si>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</si>
  <si>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</si>
  <si>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</si>
  <si>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</si>
  <si>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</si>
  <si>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</si>
  <si>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</si>
  <si>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</si>
  <si>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</si>
  <si>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</si>
  <si>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</si>
  <si>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</si>
  <si>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</si>
  <si>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</si>
  <si>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</si>
  <si>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</si>
  <si>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</si>
  <si>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</si>
  <si>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</si>
  <si>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</si>
  <si>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</si>
  <si>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</si>
  <si>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</si>
  <si>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</si>
  <si>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</si>
  <si>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</si>
  <si>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</si>
  <si>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</si>
  <si>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</si>
  <si>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</si>
  <si>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</si>
  <si>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</si>
  <si>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</si>
  <si>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</si>
  <si>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</si>
  <si>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</si>
  <si>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</si>
  <si>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</si>
  <si>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</si>
  <si>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</si>
  <si>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</si>
  <si>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</si>
  <si>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</si>
  <si>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</si>
  <si>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</si>
  <si>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</si>
  <si>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</si>
  <si>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</si>
  <si>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</si>
  <si>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</si>
  <si>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</si>
  <si>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</si>
  <si>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</si>
  <si>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</si>
  <si>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</si>
  <si>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</si>
  <si>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</si>
  <si>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</si>
  <si>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</si>
  <si>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</si>
  <si>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</si>
  <si>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</si>
  <si>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</si>
  <si>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</si>
  <si>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</si>
  <si>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</si>
  <si>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</si>
  <si>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</si>
  <si>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</si>
  <si>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</si>
  <si>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</si>
  <si>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</si>
  <si>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</si>
  <si>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</si>
  <si>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</si>
  <si>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</si>
  <si>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</si>
  <si>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</si>
  <si>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</si>
  <si>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</si>
  <si>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</si>
  <si>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</si>
  <si>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</si>
  <si>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</si>
  <si>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</si>
  <si>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</si>
  <si>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</si>
  <si>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</si>
  <si>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</si>
  <si>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</si>
  <si>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</si>
  <si>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</si>
  <si>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</si>
  <si>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</si>
  <si>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</si>
  <si>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</si>
  <si>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</si>
  <si>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</si>
  <si>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</si>
  <si>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</si>
  <si>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</si>
  <si>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</si>
  <si>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</si>
  <si>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</si>
  <si>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</si>
  <si>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</si>
  <si>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</si>
  <si>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</si>
  <si>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</si>
  <si>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</si>
  <si>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</si>
  <si>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</si>
  <si>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</si>
  <si>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</si>
  <si>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</si>
  <si>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</si>
  <si>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</si>
  <si>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</si>
  <si>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</si>
  <si>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</si>
  <si>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</si>
  <si>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</si>
  <si>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</si>
  <si>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</si>
  <si>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</si>
  <si>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</si>
  <si>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</si>
  <si>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</si>
  <si>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</si>
  <si>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</si>
  <si>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</si>
  <si>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</si>
  <si>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</si>
  <si>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</si>
  <si>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</si>
  <si>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</si>
  <si>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</si>
  <si>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</si>
  <si>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</si>
  <si>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</si>
  <si>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</si>
  <si>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</si>
  <si>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</si>
  <si>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</si>
  <si>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</si>
  <si>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</si>
  <si>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</si>
  <si>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</si>
  <si>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</si>
  <si>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</si>
  <si>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</si>
  <si>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</si>
  <si>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</si>
  <si>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</si>
  <si>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</si>
  <si>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</si>
  <si>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</si>
  <si>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</si>
  <si>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</si>
  <si>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</si>
  <si>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</si>
  <si>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</si>
  <si>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</si>
  <si>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</si>
  <si>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</si>
  <si>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</si>
  <si>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</si>
  <si>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</si>
  <si>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</si>
  <si>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</si>
  <si>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</si>
  <si>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</si>
  <si>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</si>
  <si>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</si>
  <si>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</si>
  <si>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</si>
  <si>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</si>
  <si>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</si>
  <si>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</si>
  <si>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</si>
  <si>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</si>
  <si>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</si>
  <si>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</si>
  <si>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</si>
  <si>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</si>
  <si>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</si>
  <si>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</si>
  <si>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</si>
  <si>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</si>
  <si>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</si>
  <si>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</si>
  <si>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</si>
  <si>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</si>
  <si>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</si>
  <si>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</si>
  <si>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</si>
  <si>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</si>
  <si>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</si>
  <si>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</si>
  <si>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</si>
  <si>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</si>
  <si>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</si>
  <si>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</si>
  <si>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</si>
  <si>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</si>
  <si>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</si>
  <si>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</si>
  <si>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</si>
  <si>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</si>
  <si>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</si>
  <si>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</si>
  <si>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</si>
  <si>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</si>
  <si>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</si>
  <si>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</si>
  <si>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</si>
  <si>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</si>
  <si>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</si>
  <si>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</si>
  <si>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</si>
  <si>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</si>
  <si>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</si>
  <si>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</si>
  <si>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</si>
  <si>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</si>
  <si>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</si>
  <si>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</si>
  <si>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</si>
  <si>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</si>
  <si>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</si>
  <si>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</si>
  <si>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</si>
  <si>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</si>
  <si>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</si>
  <si>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</si>
  <si>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</si>
  <si>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</si>
  <si>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</si>
  <si>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</si>
  <si>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</si>
  <si>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</si>
  <si>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</si>
  <si>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</si>
  <si>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</si>
  <si>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</si>
  <si>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</si>
  <si>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</si>
  <si>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</si>
  <si>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</si>
  <si>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</si>
  <si>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</si>
  <si>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</si>
  <si>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</si>
  <si>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</si>
  <si>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</si>
  <si>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</si>
  <si>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</si>
  <si>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</si>
  <si>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</si>
  <si>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</si>
  <si>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</si>
  <si>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</si>
  <si>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</si>
  <si>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</si>
  <si>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</si>
  <si>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</si>
  <si>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</si>
  <si>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</si>
  <si>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</si>
  <si>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</si>
  <si>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</si>
  <si>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</si>
  <si>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</si>
  <si>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</si>
  <si>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</si>
  <si>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</si>
  <si>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</si>
  <si>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</si>
  <si>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</si>
  <si>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</si>
  <si>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</si>
  <si>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</si>
  <si>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</si>
  <si>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</si>
  <si>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</si>
  <si>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</si>
  <si>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</si>
  <si>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</si>
  <si>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</si>
  <si>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</si>
  <si>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</si>
  <si>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</si>
  <si>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</si>
  <si>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</si>
  <si>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</si>
  <si>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</si>
  <si>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</si>
  <si>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</si>
  <si>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</si>
  <si>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</si>
  <si>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</si>
  <si>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</si>
  <si>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</si>
  <si>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</si>
  <si>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</si>
  <si>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</si>
  <si>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</si>
  <si>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</si>
  <si>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</si>
  <si>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</si>
  <si>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</si>
  <si>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</si>
  <si>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</si>
  <si>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</si>
  <si>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</si>
  <si>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</si>
  <si>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</si>
  <si>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</si>
  <si>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</si>
  <si>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</si>
  <si>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</si>
  <si>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</si>
  <si>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</si>
  <si>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</si>
  <si>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</si>
  <si>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</si>
  <si>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</si>
  <si>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</si>
  <si>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</si>
  <si>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</si>
  <si>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</si>
  <si>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</si>
  <si>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</si>
  <si>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</si>
  <si>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</si>
  <si>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</si>
  <si>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</si>
  <si>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</si>
  <si>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</si>
  <si>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</si>
  <si>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</si>
  <si>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</si>
  <si>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</si>
  <si>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</si>
  <si>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</si>
  <si>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</si>
  <si>
    <t>S Cottage Grove Ave - North</t>
  </si>
  <si>
    <t>IL: Beecher - Cottage Grove North (PW)</t>
  </si>
  <si>
    <t>SOL-11114</t>
  </si>
  <si>
    <t>S Cottage Grove Ave - South</t>
  </si>
  <si>
    <t>IL: Beecher - Cottage Grove South (PW)</t>
  </si>
  <si>
    <t>SOL-11115</t>
  </si>
  <si>
    <t>9521 US 14 - McHenry</t>
  </si>
  <si>
    <t>IL: Harvard - 9618 US HWY 14 (PW)</t>
  </si>
  <si>
    <t>SOL-11110</t>
  </si>
  <si>
    <t>Goodenow West</t>
  </si>
  <si>
    <t>IL: Beecher - 701 E Goodenow Rd (PW)</t>
  </si>
  <si>
    <t>SOL-11112</t>
  </si>
  <si>
    <t>NY: Stormville - Green Haven - (IRA)</t>
  </si>
  <si>
    <t>Power factors</t>
  </si>
  <si>
    <t>SOL-11151</t>
  </si>
  <si>
    <t>Anacott Solar, LLC</t>
  </si>
  <si>
    <t>IL: Hillsboro - Anacott (PW)</t>
  </si>
  <si>
    <t>SOL-11134</t>
  </si>
  <si>
    <t>Gougar Road Solar 1, LLC</t>
  </si>
  <si>
    <t>IL: Manhattan - Gougar (PW)</t>
  </si>
  <si>
    <t>SOL-11148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</si>
</sst>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
      <sz val="11"/>
      <color rgb="FF000000"/>
      <name val="Calibri"/>
      <scheme val="minor"/>
    </font>
    <font>
      <sz val="11"/>
      <name val="Calibri"/>
      <scheme val="minor"/>
    </font>
    <font>
      <sz val="11"/>
      <color rgb="FF000000"/>
      <name val="Calibri"/>
      <charset val="1"/>
    </font>
    <font>
      <sz val="10"/>
      <color theme="1"/>
      <name val="Arial"/>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95">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Alignment="1">
      <alignment vertical="top" wrapText="1"/>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9" fillId="0" borderId="0" xfId="0" applyFont="1" applyAlignment="1">
      <alignment horizontal="left" vertical="top" wrapText="1"/>
    </xf>
    <xf numFmtId="0" fontId="50" fillId="0" borderId="0" xfId="0" applyFont="1" applyAlignment="1">
      <alignment horizontal="left" vertical="top" wrapText="1"/>
    </xf>
    <xf numFmtId="0" fontId="49" fillId="0" borderId="0" xfId="0" applyFont="1" applyAlignment="1">
      <alignment horizontal="left" wrapText="1"/>
    </xf>
    <xf numFmtId="3" fontId="31" fillId="0" borderId="0" xfId="1" applyNumberFormat="1" applyFont="1" applyFill="1" applyBorder="1" applyAlignment="1">
      <alignment horizontal="right"/>
    </xf>
    <xf numFmtId="0" fontId="44" fillId="0" borderId="0" xfId="0" applyFont="1" applyAlignment="1">
      <alignment vertical="top" wrapText="1"/>
    </xf>
    <xf numFmtId="0" fontId="0" fillId="0" borderId="0" xfId="0" applyAlignment="1">
      <alignment wrapText="1"/>
    </xf>
    <xf numFmtId="0" fontId="51" fillId="0" borderId="0" xfId="0" applyFont="1" applyAlignment="1">
      <alignment wrapText="1"/>
    </xf>
    <xf numFmtId="0" fontId="52" fillId="40" borderId="13" xfId="0" applyFont="1" applyFill="1" applyBorder="1"/>
    <xf numFmtId="0" fontId="52" fillId="40" borderId="14" xfId="0" applyFont="1" applyFill="1" applyBorder="1"/>
    <xf numFmtId="0" fontId="0" fillId="0" borderId="0" xfId="0" applyAlignment="1">
      <alignment vertical="top"/>
    </xf>
    <xf numFmtId="0" fontId="6" fillId="45" borderId="1" xfId="0" applyFont="1" applyFill="1" applyBorder="1" applyAlignment="1">
      <alignment horizontal="center" vertical="top"/>
    </xf>
    <xf numFmtId="0" fontId="6" fillId="0" borderId="0" xfId="0" applyFont="1" applyAlignment="1">
      <alignment vertical="top"/>
    </xf>
    <xf numFmtId="0" fontId="31" fillId="0" borderId="0" xfId="0" applyFont="1" applyAlignment="1">
      <alignment vertical="top"/>
    </xf>
    <xf numFmtId="0" fontId="34" fillId="0" borderId="0" xfId="0" applyFont="1" applyAlignment="1">
      <alignment vertical="top"/>
    </xf>
    <xf numFmtId="49" fontId="1" fillId="0" borderId="0" xfId="0" applyNumberFormat="1" applyFont="1" applyAlignment="1">
      <alignment vertical="top" wrapText="1"/>
    </xf>
    <xf numFmtId="49" fontId="1" fillId="0" borderId="0" xfId="0" applyNumberFormat="1" applyFont="1" applyAlignment="1">
      <alignment horizontal="left" vertical="top" wrapText="1"/>
    </xf>
    <xf numFmtId="49" fontId="1" fillId="0" borderId="0" xfId="0" applyNumberFormat="1" applyFont="1" applyAlignment="1">
      <alignment vertical="center" wrapText="1"/>
    </xf>
    <xf numFmtId="49" fontId="1" fillId="46" borderId="0" xfId="0" applyNumberFormat="1" applyFont="1" applyFill="1" applyAlignment="1">
      <alignment vertical="top" wrapText="1"/>
    </xf>
    <xf numFmtId="0" fontId="51" fillId="0" borderId="0" xfId="0" applyFont="1" applyAlignment="1">
      <alignment horizontal="left" wrapText="1"/>
    </xf>
    <xf numFmtId="0" fontId="35" fillId="40" borderId="0" xfId="0" applyFont="1" applyFill="1" applyAlignment="1">
      <alignment horizontal="center"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 displayName="Jayasri  Garapati [AGS]" id="{7B7AAA1F-CD92-4734-9C81-8EF5709C53DE}"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73" totalsRowShown="0">
  <autoFilter ref="A3:F173"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9" dT="2025-12-03T06:55:49.21" personId="{AF97A668-C846-42C6-9CD9-D5A754369886}" id="{FA21CFFC-9B61-47DB-8F62-30500FD79B73}">
    <text>Since meter is reporting 0 we have taken total inverter energy as actual 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D89" dT="2026-01-06T06:01:13.15" personId="{7B7AAA1F-CD92-4734-9C81-8EF5709C53DE}" id="{E6B7AAB6-C794-452D-BBAB-5088AF8E9386}">
    <text>Since meter is reporting 0 we have taken total inverter energy as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91" Type="http://schemas.openxmlformats.org/officeDocument/2006/relationships/hyperlink" Target="https://us3.assetplanner.com/service_request?ID=100771"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hyperlink" Target="https://us3.assetplanner.com/service_request?ID=100622" TargetMode="External"/><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87" Type="http://schemas.openxmlformats.org/officeDocument/2006/relationships/printerSettings" Target="../printerSettings/printerSettings4.bin"/><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us3.assetplanner.com/service_request?ID=1023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5002" TargetMode="External"/><Relationship Id="rId63" Type="http://schemas.openxmlformats.org/officeDocument/2006/relationships/hyperlink" Target="https://us3.assetplanner.com/service_request?ID=107147" TargetMode="External"/><Relationship Id="rId84" Type="http://schemas.openxmlformats.org/officeDocument/2006/relationships/hyperlink" Target="https://us3.assetplanner.com/service_request?ID=104674" TargetMode="External"/><Relationship Id="rId138" Type="http://schemas.openxmlformats.org/officeDocument/2006/relationships/hyperlink" Target="https://us3.assetplanner.com/service_request?ID=105543" TargetMode="External"/><Relationship Id="rId159" Type="http://schemas.openxmlformats.org/officeDocument/2006/relationships/hyperlink" Target="https://us3.assetplanner.com/service_request?ID=107059"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5779" TargetMode="External"/><Relationship Id="rId11" Type="http://schemas.openxmlformats.org/officeDocument/2006/relationships/hyperlink" Target="https://us3.assetplanner.com/service_request?ID=103245" TargetMode="External"/><Relationship Id="rId32" Type="http://schemas.openxmlformats.org/officeDocument/2006/relationships/hyperlink" Target="https://us3.assetplanner.com/service_request?ID=105525" TargetMode="External"/><Relationship Id="rId53" Type="http://schemas.openxmlformats.org/officeDocument/2006/relationships/hyperlink" Target="https://us3.assetplanner.com/service_request?ID=098877" TargetMode="External"/><Relationship Id="rId74" Type="http://schemas.openxmlformats.org/officeDocument/2006/relationships/hyperlink" Target="https://us3.assetplanner.com/service_request?ID=105423" TargetMode="External"/><Relationship Id="rId128" Type="http://schemas.openxmlformats.org/officeDocument/2006/relationships/hyperlink" Target="https://us3.assetplanner.com/service_request?ID=106985" TargetMode="External"/><Relationship Id="rId149" Type="http://schemas.openxmlformats.org/officeDocument/2006/relationships/hyperlink" Target="https://us3.assetplanner.com/service_request?ID=103871" TargetMode="External"/><Relationship Id="rId5" Type="http://schemas.openxmlformats.org/officeDocument/2006/relationships/hyperlink" Target="https://us3.assetplanner.com/service_request?ID=093291" TargetMode="External"/><Relationship Id="rId95" Type="http://schemas.openxmlformats.org/officeDocument/2006/relationships/hyperlink" Target="https://us3.assetplanner.com/service_request?ID=106192" TargetMode="External"/><Relationship Id="rId160" Type="http://schemas.openxmlformats.org/officeDocument/2006/relationships/hyperlink" Target="https://us3.assetplanner.com/service_request?ID=105922" TargetMode="External"/><Relationship Id="rId181" Type="http://schemas.openxmlformats.org/officeDocument/2006/relationships/hyperlink" Target="https://us3.assetplanner.com/service_request?ID=107263" TargetMode="External"/><Relationship Id="rId22" Type="http://schemas.openxmlformats.org/officeDocument/2006/relationships/hyperlink" Target="https://us3.assetplanner.com/service_request?ID=105544" TargetMode="External"/><Relationship Id="rId43" Type="http://schemas.openxmlformats.org/officeDocument/2006/relationships/hyperlink" Target="https://us3.assetplanner.com/service_request?ID=106732" TargetMode="External"/><Relationship Id="rId64" Type="http://schemas.openxmlformats.org/officeDocument/2006/relationships/hyperlink" Target="https://us3.assetplanner.com/service_request?ID=106786" TargetMode="External"/><Relationship Id="rId118" Type="http://schemas.openxmlformats.org/officeDocument/2006/relationships/hyperlink" Target="https://us3.assetplanner.com/service_request?ID=105474" TargetMode="External"/><Relationship Id="rId139" Type="http://schemas.openxmlformats.org/officeDocument/2006/relationships/hyperlink" Target="https://us3.assetplanner.com/service_request?ID=106211" TargetMode="External"/><Relationship Id="rId85" Type="http://schemas.openxmlformats.org/officeDocument/2006/relationships/hyperlink" Target="https://us3.assetplanner.com/service_request?ID=105048" TargetMode="External"/><Relationship Id="rId150" Type="http://schemas.openxmlformats.org/officeDocument/2006/relationships/hyperlink" Target="https://us3.assetplanner.com/service_request?ID=103361"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106721" TargetMode="External"/><Relationship Id="rId108" Type="http://schemas.openxmlformats.org/officeDocument/2006/relationships/hyperlink" Target="https://us3.assetplanner.com/service_request?ID=106925" TargetMode="External"/><Relationship Id="rId129" Type="http://schemas.openxmlformats.org/officeDocument/2006/relationships/hyperlink" Target="https://us3.assetplanner.com/service_request?ID=105305" TargetMode="External"/><Relationship Id="rId54" Type="http://schemas.openxmlformats.org/officeDocument/2006/relationships/hyperlink" Target="https://us3.assetplanner.com/service_request?ID=105778" TargetMode="External"/><Relationship Id="rId75" Type="http://schemas.openxmlformats.org/officeDocument/2006/relationships/hyperlink" Target="https://us3.assetplanner.com/service_request?ID=105799" TargetMode="External"/><Relationship Id="rId96" Type="http://schemas.openxmlformats.org/officeDocument/2006/relationships/hyperlink" Target="https://us3.assetplanner.com/service_request?ID=106797" TargetMode="External"/><Relationship Id="rId140" Type="http://schemas.openxmlformats.org/officeDocument/2006/relationships/hyperlink" Target="https://us3.assetplanner.com/service_request?ID=106418" TargetMode="External"/><Relationship Id="rId161" Type="http://schemas.openxmlformats.org/officeDocument/2006/relationships/hyperlink" Target="https://us3.assetplanner.com/service_request?ID=106486" TargetMode="External"/><Relationship Id="rId182" Type="http://schemas.openxmlformats.org/officeDocument/2006/relationships/hyperlink" Target="https://us3.assetplanner.com/service_request?ID=106749"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106767" TargetMode="External"/><Relationship Id="rId44" Type="http://schemas.openxmlformats.org/officeDocument/2006/relationships/hyperlink" Target="https://us3.assetplanner.com/service_request?ID=106732" TargetMode="External"/><Relationship Id="rId65" Type="http://schemas.openxmlformats.org/officeDocument/2006/relationships/hyperlink" Target="https://us3.assetplanner.com/service_request?ID=105526" TargetMode="External"/><Relationship Id="rId86" Type="http://schemas.openxmlformats.org/officeDocument/2006/relationships/hyperlink" Target="https://us3.assetplanner.com/service_request?ID=105049" TargetMode="External"/><Relationship Id="rId130" Type="http://schemas.openxmlformats.org/officeDocument/2006/relationships/hyperlink" Target="https://us3.assetplanner.com/service_request?ID=106002" TargetMode="External"/><Relationship Id="rId151" Type="http://schemas.openxmlformats.org/officeDocument/2006/relationships/hyperlink" Target="https://us3.assetplanner.com/service_request?ID=106530" TargetMode="External"/><Relationship Id="rId172" Type="http://schemas.openxmlformats.org/officeDocument/2006/relationships/hyperlink" Target="https://us3.assetplanner.com/service_request?ID=105354" TargetMode="External"/><Relationship Id="rId13" Type="http://schemas.openxmlformats.org/officeDocument/2006/relationships/hyperlink" Target="https://us3.assetplanner.com/service_request?ID=101786" TargetMode="External"/><Relationship Id="rId18" Type="http://schemas.openxmlformats.org/officeDocument/2006/relationships/hyperlink" Target="https://us3.assetplanner.com/service_request?ID=102532" TargetMode="External"/><Relationship Id="rId39" Type="http://schemas.openxmlformats.org/officeDocument/2006/relationships/hyperlink" Target="https://us3.assetplanner.com/service_request?ID=098641" TargetMode="External"/><Relationship Id="rId109" Type="http://schemas.openxmlformats.org/officeDocument/2006/relationships/hyperlink" Target="https://us3.assetplanner.com/service_request?ID=107064" TargetMode="External"/><Relationship Id="rId34" Type="http://schemas.openxmlformats.org/officeDocument/2006/relationships/hyperlink" Target="https://us3.assetplanner.com/service_request?ID=104403" TargetMode="External"/><Relationship Id="rId50" Type="http://schemas.openxmlformats.org/officeDocument/2006/relationships/hyperlink" Target="https://us3.assetplanner.com/service_request?ID=105776" TargetMode="External"/><Relationship Id="rId55" Type="http://schemas.openxmlformats.org/officeDocument/2006/relationships/hyperlink" Target="https://us3.assetplanner.com/service_request?ID=106622" TargetMode="External"/><Relationship Id="rId76" Type="http://schemas.openxmlformats.org/officeDocument/2006/relationships/hyperlink" Target="https://us3.assetplanner.com/service_request?ID=106209" TargetMode="External"/><Relationship Id="rId97" Type="http://schemas.openxmlformats.org/officeDocument/2006/relationships/hyperlink" Target="https://us3.assetplanner.com/service_request?ID=107188" TargetMode="External"/><Relationship Id="rId104" Type="http://schemas.openxmlformats.org/officeDocument/2006/relationships/hyperlink" Target="https://us3.assetplanner.com/service_request?ID=106843" TargetMode="External"/><Relationship Id="rId120" Type="http://schemas.openxmlformats.org/officeDocument/2006/relationships/hyperlink" Target="https://us3.assetplanner.com/service_request?ID=106794" TargetMode="External"/><Relationship Id="rId125" Type="http://schemas.openxmlformats.org/officeDocument/2006/relationships/hyperlink" Target="https://us3.assetplanner.com/service_request?ID=105964" TargetMode="External"/><Relationship Id="rId141" Type="http://schemas.openxmlformats.org/officeDocument/2006/relationships/hyperlink" Target="https://us3.assetplanner.com/service_request?ID=106495" TargetMode="External"/><Relationship Id="rId146" Type="http://schemas.openxmlformats.org/officeDocument/2006/relationships/hyperlink" Target="https://us3.assetplanner.com/service_request?ID=105865" TargetMode="External"/><Relationship Id="rId167" Type="http://schemas.openxmlformats.org/officeDocument/2006/relationships/hyperlink" Target="https://us3.assetplanner.com/service_request?ID=101228" TargetMode="External"/><Relationship Id="rId7" Type="http://schemas.openxmlformats.org/officeDocument/2006/relationships/hyperlink" Target="https://us3.assetplanner.com/service_request?ID=093292" TargetMode="External"/><Relationship Id="rId71" Type="http://schemas.openxmlformats.org/officeDocument/2006/relationships/hyperlink" Target="https://us3.assetplanner.com/service_request?ID=106031" TargetMode="External"/><Relationship Id="rId92" Type="http://schemas.openxmlformats.org/officeDocument/2006/relationships/hyperlink" Target="https://us3.assetplanner.com/service_request?ID=106924" TargetMode="External"/><Relationship Id="rId162" Type="http://schemas.openxmlformats.org/officeDocument/2006/relationships/hyperlink" Target="https://us3.assetplanner.com/service_request?ID=106986" TargetMode="External"/><Relationship Id="rId183" Type="http://schemas.openxmlformats.org/officeDocument/2006/relationships/hyperlink" Target="https://us3.assetplanner.com/service_request?ID=106773" TargetMode="External"/><Relationship Id="rId2" Type="http://schemas.openxmlformats.org/officeDocument/2006/relationships/hyperlink" Target="https://us3.assetplanner.com/service_request?ID=103360" TargetMode="External"/><Relationship Id="rId29" Type="http://schemas.openxmlformats.org/officeDocument/2006/relationships/hyperlink" Target="https://us3.assetplanner.com/service_request?ID=105932" TargetMode="External"/><Relationship Id="rId24" Type="http://schemas.openxmlformats.org/officeDocument/2006/relationships/hyperlink" Target="https://us3.assetplanner.com/service_request?ID=107329" TargetMode="External"/><Relationship Id="rId40" Type="http://schemas.openxmlformats.org/officeDocument/2006/relationships/hyperlink" Target="https://us3.assetplanner.com/service_request?ID=104724" TargetMode="External"/><Relationship Id="rId45" Type="http://schemas.openxmlformats.org/officeDocument/2006/relationships/hyperlink" Target="https://us3.assetplanner.com/service_request?ID=105660" TargetMode="External"/><Relationship Id="rId66" Type="http://schemas.openxmlformats.org/officeDocument/2006/relationships/hyperlink" Target="https://us3.assetplanner.com/service_request?ID=106340" TargetMode="External"/><Relationship Id="rId87" Type="http://schemas.openxmlformats.org/officeDocument/2006/relationships/hyperlink" Target="https://us3.assetplanner.com/service_request?ID=106574" TargetMode="External"/><Relationship Id="rId110" Type="http://schemas.openxmlformats.org/officeDocument/2006/relationships/hyperlink" Target="https://us3.assetplanner.com/service_request?ID=107142" TargetMode="External"/><Relationship Id="rId115" Type="http://schemas.openxmlformats.org/officeDocument/2006/relationships/hyperlink" Target="https://us3.assetplanner.com/service_request?ID=106658" TargetMode="External"/><Relationship Id="rId131" Type="http://schemas.openxmlformats.org/officeDocument/2006/relationships/hyperlink" Target="https://us3.assetplanner.com/service_request?ID=106164" TargetMode="External"/><Relationship Id="rId136" Type="http://schemas.openxmlformats.org/officeDocument/2006/relationships/hyperlink" Target="https://us3.assetplanner.com/service_request?ID=103824" TargetMode="External"/><Relationship Id="rId157" Type="http://schemas.openxmlformats.org/officeDocument/2006/relationships/hyperlink" Target="https://us3.assetplanner.com/service_request?ID=100220" TargetMode="External"/><Relationship Id="rId178" Type="http://schemas.openxmlformats.org/officeDocument/2006/relationships/hyperlink" Target="https://us3.assetplanner.com/service_request?ID=105769" TargetMode="External"/><Relationship Id="rId61" Type="http://schemas.openxmlformats.org/officeDocument/2006/relationships/hyperlink" Target="https://us3.assetplanner.com/service_request?ID=105960" TargetMode="External"/><Relationship Id="rId82" Type="http://schemas.openxmlformats.org/officeDocument/2006/relationships/hyperlink" Target="https://us3.assetplanner.com/service_request?ID=106926" TargetMode="External"/><Relationship Id="rId152" Type="http://schemas.openxmlformats.org/officeDocument/2006/relationships/hyperlink" Target="https://us3.assetplanner.com/service_request?ID=103641" TargetMode="External"/><Relationship Id="rId173" Type="http://schemas.openxmlformats.org/officeDocument/2006/relationships/hyperlink" Target="https://us3.assetplanner.com/service_request?ID=105433" TargetMode="External"/><Relationship Id="rId19" Type="http://schemas.openxmlformats.org/officeDocument/2006/relationships/hyperlink" Target="https://us3.assetplanner.com/service_request?ID=088282" TargetMode="External"/><Relationship Id="rId14" Type="http://schemas.openxmlformats.org/officeDocument/2006/relationships/hyperlink" Target="https://us3.assetplanner.com/service_request?ID=102902" TargetMode="External"/><Relationship Id="rId30" Type="http://schemas.openxmlformats.org/officeDocument/2006/relationships/hyperlink" Target="https://us3.assetplanner.com/service_request?ID=104744" TargetMode="External"/><Relationship Id="rId35" Type="http://schemas.openxmlformats.org/officeDocument/2006/relationships/hyperlink" Target="https://us3.assetplanner.com/service_request?ID=107039" TargetMode="External"/><Relationship Id="rId56" Type="http://schemas.openxmlformats.org/officeDocument/2006/relationships/hyperlink" Target="https://us3.assetplanner.com/service_request?ID=10725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5728" TargetMode="External"/><Relationship Id="rId105" Type="http://schemas.openxmlformats.org/officeDocument/2006/relationships/hyperlink" Target="https://us3.assetplanner.com/service_request?ID=106934" TargetMode="External"/><Relationship Id="rId126" Type="http://schemas.openxmlformats.org/officeDocument/2006/relationships/hyperlink" Target="https://us3.assetplanner.com/service_request?ID=106921" TargetMode="External"/><Relationship Id="rId147" Type="http://schemas.openxmlformats.org/officeDocument/2006/relationships/hyperlink" Target="https://us3.assetplanner.com/service_request?ID=103141" TargetMode="External"/><Relationship Id="rId168" Type="http://schemas.openxmlformats.org/officeDocument/2006/relationships/hyperlink" Target="https://us3.assetplanner.com/service_request?ID=106480" TargetMode="External"/><Relationship Id="rId8" Type="http://schemas.openxmlformats.org/officeDocument/2006/relationships/hyperlink" Target="https://us3.assetplanner.com/service_request?ID=093294" TargetMode="External"/><Relationship Id="rId51" Type="http://schemas.openxmlformats.org/officeDocument/2006/relationships/hyperlink" Target="https://us3.assetplanner.com/service_request?ID=105777" TargetMode="External"/><Relationship Id="rId72" Type="http://schemas.openxmlformats.org/officeDocument/2006/relationships/hyperlink" Target="https://us3.assetplanner.com/service_request?ID=105923" TargetMode="External"/><Relationship Id="rId93" Type="http://schemas.openxmlformats.org/officeDocument/2006/relationships/hyperlink" Target="https://us3.assetplanner.com/service_request?ID=107236" TargetMode="External"/><Relationship Id="rId98" Type="http://schemas.openxmlformats.org/officeDocument/2006/relationships/hyperlink" Target="https://us3.assetplanner.com/service_request?ID=106193" TargetMode="External"/><Relationship Id="rId121" Type="http://schemas.openxmlformats.org/officeDocument/2006/relationships/hyperlink" Target="https://us3.assetplanner.com/service_request?ID=104075" TargetMode="External"/><Relationship Id="rId142" Type="http://schemas.openxmlformats.org/officeDocument/2006/relationships/hyperlink" Target="https://us3.assetplanner.com/service_request?ID=107013" TargetMode="External"/><Relationship Id="rId163" Type="http://schemas.openxmlformats.org/officeDocument/2006/relationships/hyperlink" Target="https://us3.assetplanner.com/service_request?ID=104292" TargetMode="External"/><Relationship Id="rId184" Type="http://schemas.openxmlformats.org/officeDocument/2006/relationships/hyperlink" Target="https://us3.assetplanner.com/service_request?ID=107225" TargetMode="External"/><Relationship Id="rId3" Type="http://schemas.openxmlformats.org/officeDocument/2006/relationships/hyperlink" Target="https://us3.assetplanner.com/service_request?ID=097569" TargetMode="External"/><Relationship Id="rId25" Type="http://schemas.openxmlformats.org/officeDocument/2006/relationships/hyperlink" Target="https://us3.assetplanner.com/service_request?ID=106170"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6755" TargetMode="External"/><Relationship Id="rId116" Type="http://schemas.openxmlformats.org/officeDocument/2006/relationships/hyperlink" Target="https://us3.assetplanner.com/service_request?ID=104691" TargetMode="External"/><Relationship Id="rId137" Type="http://schemas.openxmlformats.org/officeDocument/2006/relationships/hyperlink" Target="https://us3.assetplanner.com/service_request?ID=104633" TargetMode="External"/><Relationship Id="rId158" Type="http://schemas.openxmlformats.org/officeDocument/2006/relationships/hyperlink" Target="https://us3.assetplanner.com/service_request?ID=106493" TargetMode="External"/><Relationship Id="rId20" Type="http://schemas.openxmlformats.org/officeDocument/2006/relationships/hyperlink" Target="https://us3.assetplanner.com/service_request?ID=105502" TargetMode="External"/><Relationship Id="rId41" Type="http://schemas.openxmlformats.org/officeDocument/2006/relationships/hyperlink" Target="https://us3.assetplanner.com/service_request?ID=106386" TargetMode="External"/><Relationship Id="rId62" Type="http://schemas.openxmlformats.org/officeDocument/2006/relationships/hyperlink" Target="https://us3.assetplanner.com/service_request?ID=106340" TargetMode="External"/><Relationship Id="rId83" Type="http://schemas.openxmlformats.org/officeDocument/2006/relationships/hyperlink" Target="https://us3.assetplanner.com/service_request?ID=105775" TargetMode="External"/><Relationship Id="rId88" Type="http://schemas.openxmlformats.org/officeDocument/2006/relationships/hyperlink" Target="https://us3.assetplanner.com/service_request?ID=105649" TargetMode="External"/><Relationship Id="rId111" Type="http://schemas.openxmlformats.org/officeDocument/2006/relationships/hyperlink" Target="https://us3.assetplanner.com/service_request?ID=105938" TargetMode="External"/><Relationship Id="rId132" Type="http://schemas.openxmlformats.org/officeDocument/2006/relationships/hyperlink" Target="https://us3.assetplanner.com/service_request?ID=099686" TargetMode="External"/><Relationship Id="rId153" Type="http://schemas.openxmlformats.org/officeDocument/2006/relationships/hyperlink" Target="https://us3.assetplanner.com/service_request?ID=105731" TargetMode="External"/><Relationship Id="rId174" Type="http://schemas.openxmlformats.org/officeDocument/2006/relationships/hyperlink" Target="https://us3.assetplanner.com/service_request?ID=105530" TargetMode="External"/><Relationship Id="rId179" Type="http://schemas.openxmlformats.org/officeDocument/2006/relationships/hyperlink" Target="https://us3.assetplanner.com/service_request?ID=106769"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5772" TargetMode="External"/><Relationship Id="rId57" Type="http://schemas.openxmlformats.org/officeDocument/2006/relationships/hyperlink" Target="https://us3.assetplanner.com/service_request?ID=107042" TargetMode="External"/><Relationship Id="rId106" Type="http://schemas.openxmlformats.org/officeDocument/2006/relationships/hyperlink" Target="https://us3.assetplanner.com/service_request?ID=105180" TargetMode="External"/><Relationship Id="rId127" Type="http://schemas.openxmlformats.org/officeDocument/2006/relationships/hyperlink" Target="https://us3.assetplanner.com/service_request?ID=105637" TargetMode="External"/><Relationship Id="rId10" Type="http://schemas.openxmlformats.org/officeDocument/2006/relationships/hyperlink" Target="https://us3.assetplanner.com/service_request?ID=104856" TargetMode="External"/><Relationship Id="rId31" Type="http://schemas.openxmlformats.org/officeDocument/2006/relationships/hyperlink" Target="https://us3.assetplanner.com/service_request?ID=105933" TargetMode="External"/><Relationship Id="rId52" Type="http://schemas.openxmlformats.org/officeDocument/2006/relationships/hyperlink" Target="https://us3.assetplanner.com/service_request?ID=095253" TargetMode="External"/><Relationship Id="rId73" Type="http://schemas.openxmlformats.org/officeDocument/2006/relationships/hyperlink" Target="https://us3.assetplanner.com/service_request?ID=106340"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6195" TargetMode="External"/><Relationship Id="rId99" Type="http://schemas.openxmlformats.org/officeDocument/2006/relationships/hyperlink" Target="https://us3.assetplanner.com/service_request?ID=106920" TargetMode="External"/><Relationship Id="rId101" Type="http://schemas.openxmlformats.org/officeDocument/2006/relationships/hyperlink" Target="https://us3.assetplanner.com/service_request?ID=104383" TargetMode="External"/><Relationship Id="rId122" Type="http://schemas.openxmlformats.org/officeDocument/2006/relationships/hyperlink" Target="https://us3.assetplanner.com/service_request?ID=105283" TargetMode="External"/><Relationship Id="rId143" Type="http://schemas.openxmlformats.org/officeDocument/2006/relationships/hyperlink" Target="https://us3.assetplanner.com/service_request?ID=106766" TargetMode="External"/><Relationship Id="rId148" Type="http://schemas.openxmlformats.org/officeDocument/2006/relationships/hyperlink" Target="https://us3.assetplanner.com/service_request?ID=103710" TargetMode="External"/><Relationship Id="rId164" Type="http://schemas.openxmlformats.org/officeDocument/2006/relationships/hyperlink" Target="https://us3.assetplanner.com/service_request?ID=107019" TargetMode="External"/><Relationship Id="rId169" Type="http://schemas.openxmlformats.org/officeDocument/2006/relationships/hyperlink" Target="https://us3.assetplanner.com/service_request?ID=106626" TargetMode="External"/><Relationship Id="rId185" Type="http://schemas.openxmlformats.org/officeDocument/2006/relationships/hyperlink" Target="https://us3.assetplanner.com/service_request?ID=107245" TargetMode="External"/><Relationship Id="rId4" Type="http://schemas.openxmlformats.org/officeDocument/2006/relationships/hyperlink" Target="https://us3.assetplanner.com/service_request?ID=102535"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0771" TargetMode="External"/><Relationship Id="rId26" Type="http://schemas.openxmlformats.org/officeDocument/2006/relationships/hyperlink" Target="https://us3.assetplanner.com/service_request?ID=106173" TargetMode="External"/><Relationship Id="rId47" Type="http://schemas.openxmlformats.org/officeDocument/2006/relationships/hyperlink" Target="https://us3.assetplanner.com/service_request?ID=105475" TargetMode="External"/><Relationship Id="rId68" Type="http://schemas.openxmlformats.org/officeDocument/2006/relationships/hyperlink" Target="https://us3.assetplanner.com/service_request?ID=106340" TargetMode="External"/><Relationship Id="rId89" Type="http://schemas.openxmlformats.org/officeDocument/2006/relationships/hyperlink" Target="https://us3.assetplanner.com/service_request?ID=106194" TargetMode="External"/><Relationship Id="rId112" Type="http://schemas.openxmlformats.org/officeDocument/2006/relationships/hyperlink" Target="https://us3.assetplanner.com/service_request?ID=101152" TargetMode="External"/><Relationship Id="rId133" Type="http://schemas.openxmlformats.org/officeDocument/2006/relationships/hyperlink" Target="https://us3.assetplanner.com/service_request?ID=098860" TargetMode="External"/><Relationship Id="rId154" Type="http://schemas.openxmlformats.org/officeDocument/2006/relationships/hyperlink" Target="https://us3.assetplanner.com/service_request?ID=105732" TargetMode="External"/><Relationship Id="rId175" Type="http://schemas.openxmlformats.org/officeDocument/2006/relationships/hyperlink" Target="https://us3.assetplanner.com/service_request?ID=106471"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6503" TargetMode="External"/><Relationship Id="rId79" Type="http://schemas.openxmlformats.org/officeDocument/2006/relationships/hyperlink" Target="https://us3.assetplanner.com/service_request?ID=103655" TargetMode="External"/><Relationship Id="rId102" Type="http://schemas.openxmlformats.org/officeDocument/2006/relationships/hyperlink" Target="https://us3.assetplanner.com/service_request?ID=105857" TargetMode="External"/><Relationship Id="rId123" Type="http://schemas.openxmlformats.org/officeDocument/2006/relationships/hyperlink" Target="https://us3.assetplanner.com/service_request?ID=106058" TargetMode="External"/><Relationship Id="rId144" Type="http://schemas.openxmlformats.org/officeDocument/2006/relationships/hyperlink" Target="https://us3.assetplanner.com/service_request?ID=105304" TargetMode="External"/><Relationship Id="rId90" Type="http://schemas.openxmlformats.org/officeDocument/2006/relationships/hyperlink" Target="https://us3.assetplanner.com/service_request?ID=106923" TargetMode="External"/><Relationship Id="rId165" Type="http://schemas.openxmlformats.org/officeDocument/2006/relationships/hyperlink" Target="https://us3.assetplanner.com/service_request?ID=106630" TargetMode="External"/><Relationship Id="rId186" Type="http://schemas.openxmlformats.org/officeDocument/2006/relationships/printerSettings" Target="../printerSettings/printerSettings5.bin"/><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6662" TargetMode="External"/><Relationship Id="rId113" Type="http://schemas.openxmlformats.org/officeDocument/2006/relationships/hyperlink" Target="https://us3.assetplanner.com/service_request?ID=105450" TargetMode="External"/><Relationship Id="rId134" Type="http://schemas.openxmlformats.org/officeDocument/2006/relationships/hyperlink" Target="https://us3.assetplanner.com/service_request?ID=097454" TargetMode="External"/><Relationship Id="rId80" Type="http://schemas.openxmlformats.org/officeDocument/2006/relationships/hyperlink" Target="https://us3.assetplanner.com/service_request?ID=105915" TargetMode="External"/><Relationship Id="rId155" Type="http://schemas.openxmlformats.org/officeDocument/2006/relationships/hyperlink" Target="https://us3.assetplanner.com/service_request?ID=106387" TargetMode="External"/><Relationship Id="rId176" Type="http://schemas.openxmlformats.org/officeDocument/2006/relationships/hyperlink" Target="https://us3.assetplanner.com/service_request?ID=105284"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5775" TargetMode="External"/><Relationship Id="rId103" Type="http://schemas.openxmlformats.org/officeDocument/2006/relationships/hyperlink" Target="https://us3.assetplanner.com/service_request?ID=106643" TargetMode="External"/><Relationship Id="rId124" Type="http://schemas.openxmlformats.org/officeDocument/2006/relationships/hyperlink" Target="https://us3.assetplanner.com/service_request?ID=103685" TargetMode="External"/><Relationship Id="rId70" Type="http://schemas.openxmlformats.org/officeDocument/2006/relationships/hyperlink" Target="https://us3.assetplanner.com/service_request?ID=106271" TargetMode="External"/><Relationship Id="rId91" Type="http://schemas.openxmlformats.org/officeDocument/2006/relationships/hyperlink" Target="https://us3.assetplanner.com/service_request?ID=107234" TargetMode="External"/><Relationship Id="rId145" Type="http://schemas.openxmlformats.org/officeDocument/2006/relationships/hyperlink" Target="https://us3.assetplanner.com/service_request?ID=105307" TargetMode="External"/><Relationship Id="rId166" Type="http://schemas.openxmlformats.org/officeDocument/2006/relationships/hyperlink" Target="https://us3.assetplanner.com/service_request?ID=105531" TargetMode="External"/><Relationship Id="rId1" Type="http://schemas.openxmlformats.org/officeDocument/2006/relationships/hyperlink" Target="https://us3.assetplanner.com/service_request?ID=102152" TargetMode="External"/><Relationship Id="rId28" Type="http://schemas.openxmlformats.org/officeDocument/2006/relationships/hyperlink" Target="https://us3.assetplanner.com/service_request?ID=095662" TargetMode="External"/><Relationship Id="rId49" Type="http://schemas.openxmlformats.org/officeDocument/2006/relationships/hyperlink" Target="https://us3.assetplanner.com/service_request?ID=106735" TargetMode="External"/><Relationship Id="rId114" Type="http://schemas.openxmlformats.org/officeDocument/2006/relationships/hyperlink" Target="https://us3.assetplanner.com/service_request?ID=106428" TargetMode="External"/><Relationship Id="rId60" Type="http://schemas.openxmlformats.org/officeDocument/2006/relationships/hyperlink" Target="https://us3.assetplanner.com/service_request?ID=107253" TargetMode="External"/><Relationship Id="rId81" Type="http://schemas.openxmlformats.org/officeDocument/2006/relationships/hyperlink" Target="https://us3.assetplanner.com/service_request?ID=106037" TargetMode="External"/><Relationship Id="rId135" Type="http://schemas.openxmlformats.org/officeDocument/2006/relationships/hyperlink" Target="https://us3.assetplanner.com/service_request?ID=106501" TargetMode="External"/><Relationship Id="rId156" Type="http://schemas.openxmlformats.org/officeDocument/2006/relationships/hyperlink" Target="https://us3.assetplanner.com/service_request?ID=103246" TargetMode="External"/><Relationship Id="rId177" Type="http://schemas.openxmlformats.org/officeDocument/2006/relationships/hyperlink" Target="https://us3.assetplanner.com/service_request?ID=106448"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8400" TargetMode="External"/><Relationship Id="rId21" Type="http://schemas.openxmlformats.org/officeDocument/2006/relationships/hyperlink" Target="https://us3.assetplanner.com/service_request?ID=105502" TargetMode="External"/><Relationship Id="rId42" Type="http://schemas.openxmlformats.org/officeDocument/2006/relationships/hyperlink" Target="https://us3.assetplanner.com/service_request?ID=106726" TargetMode="External"/><Relationship Id="rId63" Type="http://schemas.openxmlformats.org/officeDocument/2006/relationships/hyperlink" Target="https://us3.assetplanner.com/service_request?ID=108118" TargetMode="External"/><Relationship Id="rId84" Type="http://schemas.openxmlformats.org/officeDocument/2006/relationships/hyperlink" Target="https://us3.assetplanner.com/service_request?ID=107234"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7245" TargetMode="External"/><Relationship Id="rId107" Type="http://schemas.openxmlformats.org/officeDocument/2006/relationships/hyperlink" Target="https://us3.assetplanner.com/service_request?ID=106058" TargetMode="External"/><Relationship Id="rId11" Type="http://schemas.openxmlformats.org/officeDocument/2006/relationships/hyperlink" Target="https://us3.assetplanner.com/service_request?ID=103259"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7758" TargetMode="External"/><Relationship Id="rId74" Type="http://schemas.openxmlformats.org/officeDocument/2006/relationships/hyperlink" Target="https://us3.assetplanner.com/service_request?ID=107331" TargetMode="External"/><Relationship Id="rId128" Type="http://schemas.openxmlformats.org/officeDocument/2006/relationships/hyperlink" Target="https://us3.assetplanner.com/service_request?ID=106530" TargetMode="External"/><Relationship Id="rId149" Type="http://schemas.openxmlformats.org/officeDocument/2006/relationships/hyperlink" Target="https://us3.assetplanner.com/service_request?ID=098066"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450" TargetMode="External"/><Relationship Id="rId160" Type="http://schemas.openxmlformats.org/officeDocument/2006/relationships/hyperlink" Target="https://us3.assetplanner.com/service_request?ID=108392" TargetMode="External"/><Relationship Id="rId22" Type="http://schemas.openxmlformats.org/officeDocument/2006/relationships/hyperlink" Target="https://us3.assetplanner.com/service_request?ID=108939" TargetMode="External"/><Relationship Id="rId43" Type="http://schemas.openxmlformats.org/officeDocument/2006/relationships/hyperlink" Target="https://us3.assetplanner.com/service_request?ID=107702" TargetMode="External"/><Relationship Id="rId64" Type="http://schemas.openxmlformats.org/officeDocument/2006/relationships/hyperlink" Target="https://us3.assetplanner.com/service_request?ID=106503" TargetMode="External"/><Relationship Id="rId118" Type="http://schemas.openxmlformats.org/officeDocument/2006/relationships/hyperlink" Target="https://us3.assetplanner.com/service_request?ID=107376" TargetMode="External"/><Relationship Id="rId139" Type="http://schemas.openxmlformats.org/officeDocument/2006/relationships/hyperlink" Target="https://us3.assetplanner.com/service_request?ID=107295" TargetMode="External"/><Relationship Id="rId85" Type="http://schemas.openxmlformats.org/officeDocument/2006/relationships/hyperlink" Target="https://us3.assetplanner.com/service_request?ID=108143" TargetMode="External"/><Relationship Id="rId150"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8228" TargetMode="External"/><Relationship Id="rId17" Type="http://schemas.openxmlformats.org/officeDocument/2006/relationships/hyperlink" Target="https://us3.assetplanner.com/service_request?ID=093236" TargetMode="External"/><Relationship Id="rId33" Type="http://schemas.openxmlformats.org/officeDocument/2006/relationships/hyperlink" Target="https://us3.assetplanner.com/service_request?ID=098241" TargetMode="External"/><Relationship Id="rId38" Type="http://schemas.openxmlformats.org/officeDocument/2006/relationships/hyperlink" Target="https://us3.assetplanner.com/service_request?ID=108007" TargetMode="External"/><Relationship Id="rId59" Type="http://schemas.openxmlformats.org/officeDocument/2006/relationships/hyperlink" Target="https://us3.assetplanner.com/service_request?ID=107506" TargetMode="External"/><Relationship Id="rId103" Type="http://schemas.openxmlformats.org/officeDocument/2006/relationships/hyperlink" Target="https://us3.assetplanner.com/service_request?ID=107493" TargetMode="External"/><Relationship Id="rId108" Type="http://schemas.openxmlformats.org/officeDocument/2006/relationships/hyperlink" Target="https://us3.assetplanner.com/service_request?ID=106176" TargetMode="External"/><Relationship Id="rId124" Type="http://schemas.openxmlformats.org/officeDocument/2006/relationships/hyperlink" Target="https://us3.assetplanner.com/service_request?ID=108334" TargetMode="External"/><Relationship Id="rId129" Type="http://schemas.openxmlformats.org/officeDocument/2006/relationships/hyperlink" Target="https://us3.assetplanner.com/service_request?ID=107411" TargetMode="External"/><Relationship Id="rId54" Type="http://schemas.openxmlformats.org/officeDocument/2006/relationships/hyperlink" Target="https://us3.assetplanner.com/service_request?ID=107491" TargetMode="External"/><Relationship Id="rId70" Type="http://schemas.openxmlformats.org/officeDocument/2006/relationships/hyperlink" Target="https://us3.assetplanner.com/service_request?ID=106662" TargetMode="External"/><Relationship Id="rId75" Type="http://schemas.openxmlformats.org/officeDocument/2006/relationships/hyperlink" Target="https://us3.assetplanner.com/service_request?ID=106786" TargetMode="External"/><Relationship Id="rId91" Type="http://schemas.openxmlformats.org/officeDocument/2006/relationships/hyperlink" Target="https://us3.assetplanner.com/service_request?ID=106797" TargetMode="External"/><Relationship Id="rId96" Type="http://schemas.openxmlformats.org/officeDocument/2006/relationships/hyperlink" Target="https://us3.assetplanner.com/service_request?ID=107667" TargetMode="External"/><Relationship Id="rId140" Type="http://schemas.openxmlformats.org/officeDocument/2006/relationships/hyperlink" Target="https://us3.assetplanner.com/service_request?ID=107059" TargetMode="External"/><Relationship Id="rId145" Type="http://schemas.openxmlformats.org/officeDocument/2006/relationships/hyperlink" Target="https://us3.assetplanner.com/service_request?ID=098278" TargetMode="External"/><Relationship Id="rId161" Type="http://schemas.openxmlformats.org/officeDocument/2006/relationships/printerSettings" Target="../printerSettings/printerSettings6.bin"/><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7751" TargetMode="External"/><Relationship Id="rId114" Type="http://schemas.openxmlformats.org/officeDocument/2006/relationships/hyperlink" Target="https://us3.assetplanner.com/service_request?ID=108225" TargetMode="External"/><Relationship Id="rId119" Type="http://schemas.openxmlformats.org/officeDocument/2006/relationships/hyperlink" Target="https://us3.assetplanner.com/service_request?ID=107937" TargetMode="External"/><Relationship Id="rId44" Type="http://schemas.openxmlformats.org/officeDocument/2006/relationships/hyperlink" Target="https://us3.assetplanner.com/service_request?ID=107603" TargetMode="External"/><Relationship Id="rId60" Type="http://schemas.openxmlformats.org/officeDocument/2006/relationships/hyperlink" Target="https://us3.assetplanner.com/service_request?ID=108486" TargetMode="External"/><Relationship Id="rId65"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8145" TargetMode="External"/><Relationship Id="rId130" Type="http://schemas.openxmlformats.org/officeDocument/2006/relationships/hyperlink" Target="https://us3.assetplanner.com/service_request?ID=106387" TargetMode="External"/><Relationship Id="rId135" Type="http://schemas.openxmlformats.org/officeDocument/2006/relationships/hyperlink" Target="https://us3.assetplanner.com/service_request?ID=107495" TargetMode="External"/><Relationship Id="rId151" Type="http://schemas.openxmlformats.org/officeDocument/2006/relationships/hyperlink" Target="https://us3.assetplanner.com/service_request?ID=107641" TargetMode="External"/><Relationship Id="rId156" Type="http://schemas.openxmlformats.org/officeDocument/2006/relationships/hyperlink" Target="https://us3.assetplanner.com/service_request?ID=107263" TargetMode="External"/><Relationship Id="rId13" Type="http://schemas.openxmlformats.org/officeDocument/2006/relationships/hyperlink" Target="https://us3.assetplanner.com/service_request?ID=107240" TargetMode="External"/><Relationship Id="rId18" Type="http://schemas.openxmlformats.org/officeDocument/2006/relationships/hyperlink" Target="https://us3.assetplanner.com/service_request?ID=107361" TargetMode="External"/><Relationship Id="rId39" Type="http://schemas.openxmlformats.org/officeDocument/2006/relationships/hyperlink" Target="https://us3.assetplanner.com/service_request?ID=108411" TargetMode="External"/><Relationship Id="rId109" Type="http://schemas.openxmlformats.org/officeDocument/2006/relationships/hyperlink" Target="https://us3.assetplanner.com/service_request?ID=108248"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5816" TargetMode="External"/><Relationship Id="rId55" Type="http://schemas.openxmlformats.org/officeDocument/2006/relationships/hyperlink" Target="https://us3.assetplanner.com/service_request?ID=108045" TargetMode="External"/><Relationship Id="rId76" Type="http://schemas.openxmlformats.org/officeDocument/2006/relationships/hyperlink" Target="https://us3.assetplanner.com/service_request?ID=108010" TargetMode="External"/><Relationship Id="rId97" Type="http://schemas.openxmlformats.org/officeDocument/2006/relationships/hyperlink" Target="https://us3.assetplanner.com/service_request?ID=107666" TargetMode="External"/><Relationship Id="rId104" Type="http://schemas.openxmlformats.org/officeDocument/2006/relationships/hyperlink" Target="https://us3.assetplanner.com/service_request?ID=10778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3141" TargetMode="External"/><Relationship Id="rId141" Type="http://schemas.openxmlformats.org/officeDocument/2006/relationships/hyperlink" Target="https://us3.assetplanner.com/service_request?ID=105922" TargetMode="External"/><Relationship Id="rId146" Type="http://schemas.openxmlformats.org/officeDocument/2006/relationships/hyperlink" Target="https://us3.assetplanner.com/service_request?ID=098670"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6755" TargetMode="External"/><Relationship Id="rId92" Type="http://schemas.openxmlformats.org/officeDocument/2006/relationships/hyperlink" Target="https://us3.assetplanner.com/service_request?ID=108023"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107164"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4403" TargetMode="External"/><Relationship Id="rId45" Type="http://schemas.openxmlformats.org/officeDocument/2006/relationships/hyperlink" Target="https://us3.assetplanner.com/service_request?ID=107011" TargetMode="External"/><Relationship Id="rId66" Type="http://schemas.openxmlformats.org/officeDocument/2006/relationships/hyperlink" Target="https://us3.assetplanner.com/service_request?ID=107267" TargetMode="External"/><Relationship Id="rId87" Type="http://schemas.openxmlformats.org/officeDocument/2006/relationships/hyperlink" Target="https://us3.assetplanner.com/service_request?ID=107236" TargetMode="External"/><Relationship Id="rId110" Type="http://schemas.openxmlformats.org/officeDocument/2006/relationships/hyperlink" Target="https://us3.assetplanner.com/service_request?ID=105964" TargetMode="External"/><Relationship Id="rId115" Type="http://schemas.openxmlformats.org/officeDocument/2006/relationships/hyperlink" Target="https://us3.assetplanner.com/service_request?ID=108330" TargetMode="External"/><Relationship Id="rId131" Type="http://schemas.openxmlformats.org/officeDocument/2006/relationships/hyperlink" Target="https://us3.assetplanner.com/service_request?ID=107805" TargetMode="External"/><Relationship Id="rId136" Type="http://schemas.openxmlformats.org/officeDocument/2006/relationships/hyperlink" Target="https://us3.assetplanner.com/service_request?ID=100220" TargetMode="External"/><Relationship Id="rId157" Type="http://schemas.openxmlformats.org/officeDocument/2006/relationships/hyperlink" Target="https://us3.assetplanner.com/service_request?ID=100771" TargetMode="External"/><Relationship Id="rId61" Type="http://schemas.openxmlformats.org/officeDocument/2006/relationships/hyperlink" Target="https://us3.assetplanner.com/service_request?ID=106622" TargetMode="External"/><Relationship Id="rId82" Type="http://schemas.openxmlformats.org/officeDocument/2006/relationships/hyperlink" Target="https://us3.assetplanner.com/service_request?ID=105775" TargetMode="External"/><Relationship Id="rId152" Type="http://schemas.openxmlformats.org/officeDocument/2006/relationships/hyperlink" Target="https://us3.assetplanner.com/service_request?ID=105284" TargetMode="External"/><Relationship Id="rId19" Type="http://schemas.openxmlformats.org/officeDocument/2006/relationships/hyperlink" Target="https://us3.assetplanner.com/service_request?ID=102529" TargetMode="External"/><Relationship Id="rId14" Type="http://schemas.openxmlformats.org/officeDocument/2006/relationships/hyperlink" Target="https://us3.assetplanner.com/service_request?ID=101786" TargetMode="External"/><Relationship Id="rId30" Type="http://schemas.openxmlformats.org/officeDocument/2006/relationships/hyperlink" Target="https://us3.assetplanner.com/service_request?ID=093327" TargetMode="External"/><Relationship Id="rId35" Type="http://schemas.openxmlformats.org/officeDocument/2006/relationships/hyperlink" Target="https://us3.assetplanner.com/service_request?ID=107934" TargetMode="External"/><Relationship Id="rId56" Type="http://schemas.openxmlformats.org/officeDocument/2006/relationships/hyperlink" Target="https://us3.assetplanner.com/service_request?ID=107780" TargetMode="External"/><Relationship Id="rId77" Type="http://schemas.openxmlformats.org/officeDocument/2006/relationships/hyperlink" Target="https://us3.assetplanner.com/service_request?ID=108338" TargetMode="External"/><Relationship Id="rId100" Type="http://schemas.openxmlformats.org/officeDocument/2006/relationships/hyperlink" Target="https://us3.assetplanner.com/service_request?ID=107142" TargetMode="External"/><Relationship Id="rId105" Type="http://schemas.openxmlformats.org/officeDocument/2006/relationships/hyperlink" Target="https://us3.assetplanner.com/service_request?ID=107090" TargetMode="External"/><Relationship Id="rId126" Type="http://schemas.openxmlformats.org/officeDocument/2006/relationships/hyperlink" Target="https://us3.assetplanner.com/service_request?ID=103871" TargetMode="External"/><Relationship Id="rId147" Type="http://schemas.openxmlformats.org/officeDocument/2006/relationships/hyperlink" Target="https://us3.assetplanner.com/service_request?ID=105354"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7490" TargetMode="External"/><Relationship Id="rId72" Type="http://schemas.openxmlformats.org/officeDocument/2006/relationships/hyperlink" Target="https://us3.assetplanner.com/service_request?ID=107706" TargetMode="External"/><Relationship Id="rId93" Type="http://schemas.openxmlformats.org/officeDocument/2006/relationships/hyperlink" Target="https://us3.assetplanner.com/service_request?ID=108111" TargetMode="External"/><Relationship Id="rId98" Type="http://schemas.openxmlformats.org/officeDocument/2006/relationships/hyperlink" Target="https://us3.assetplanner.com/service_request?ID=106843" TargetMode="External"/><Relationship Id="rId121" Type="http://schemas.openxmlformats.org/officeDocument/2006/relationships/hyperlink" Target="https://us3.assetplanner.com/service_request?ID=097454" TargetMode="External"/><Relationship Id="rId142" Type="http://schemas.openxmlformats.org/officeDocument/2006/relationships/hyperlink" Target="https://us3.assetplanner.com/service_request?ID=106486"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108390" TargetMode="External"/><Relationship Id="rId67" Type="http://schemas.openxmlformats.org/officeDocument/2006/relationships/hyperlink" Target="https://us3.assetplanner.com/service_request?ID=108310" TargetMode="External"/><Relationship Id="rId116" Type="http://schemas.openxmlformats.org/officeDocument/2006/relationships/hyperlink" Target="https://us3.assetplanner.com/service_request?ID=108395" TargetMode="External"/><Relationship Id="rId137" Type="http://schemas.openxmlformats.org/officeDocument/2006/relationships/hyperlink" Target="https://us3.assetplanner.com/service_request?ID=108427" TargetMode="External"/><Relationship Id="rId158" Type="http://schemas.openxmlformats.org/officeDocument/2006/relationships/hyperlink" Target="https://us3.assetplanner.com/service_request?ID=108424"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107254" TargetMode="External"/><Relationship Id="rId83" Type="http://schemas.openxmlformats.org/officeDocument/2006/relationships/hyperlink" Target="https://us3.assetplanner.com/service_request?ID=105649" TargetMode="External"/><Relationship Id="rId88" Type="http://schemas.openxmlformats.org/officeDocument/2006/relationships/hyperlink" Target="https://us3.assetplanner.com/service_request?ID=105659" TargetMode="External"/><Relationship Id="rId111" Type="http://schemas.openxmlformats.org/officeDocument/2006/relationships/hyperlink" Target="https://us3.assetplanner.com/service_request?ID=106921" TargetMode="External"/><Relationship Id="rId132" Type="http://schemas.openxmlformats.org/officeDocument/2006/relationships/hyperlink" Target="https://us3.assetplanner.com/service_request?ID=103641" TargetMode="External"/><Relationship Id="rId153" Type="http://schemas.openxmlformats.org/officeDocument/2006/relationships/hyperlink" Target="https://us3.assetplanner.com/service_request?ID=107529" TargetMode="External"/><Relationship Id="rId15" Type="http://schemas.openxmlformats.org/officeDocument/2006/relationships/hyperlink" Target="https://us3.assetplanner.com/service_request?ID=102902" TargetMode="External"/><Relationship Id="rId36" Type="http://schemas.openxmlformats.org/officeDocument/2006/relationships/hyperlink" Target="https://us3.assetplanner.com/service_request?ID=105933" TargetMode="External"/><Relationship Id="rId57" Type="http://schemas.openxmlformats.org/officeDocument/2006/relationships/hyperlink" Target="https://us3.assetplanner.com/service_request?ID=108277" TargetMode="External"/><Relationship Id="rId106" Type="http://schemas.openxmlformats.org/officeDocument/2006/relationships/hyperlink" Target="https://us3.assetplanner.com/service_request?ID=102328" TargetMode="External"/><Relationship Id="rId127" Type="http://schemas.openxmlformats.org/officeDocument/2006/relationships/hyperlink" Target="https://us3.assetplanner.com/service_request?ID=10371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093024" TargetMode="External"/><Relationship Id="rId73" Type="http://schemas.openxmlformats.org/officeDocument/2006/relationships/hyperlink" Target="https://us3.assetplanner.com/service_request?ID=107651" TargetMode="External"/><Relationship Id="rId78" Type="http://schemas.openxmlformats.org/officeDocument/2006/relationships/hyperlink" Target="https://us3.assetplanner.com/service_request?ID=107449" TargetMode="External"/><Relationship Id="rId94" Type="http://schemas.openxmlformats.org/officeDocument/2006/relationships/hyperlink" Target="https://us3.assetplanner.com/service_request?ID=107665" TargetMode="External"/><Relationship Id="rId99" Type="http://schemas.openxmlformats.org/officeDocument/2006/relationships/hyperlink" Target="https://us3.assetplanner.com/service_request?ID=105180" TargetMode="External"/><Relationship Id="rId101" Type="http://schemas.openxmlformats.org/officeDocument/2006/relationships/hyperlink" Target="https://us3.assetplanner.com/service_request?ID=107955" TargetMode="External"/><Relationship Id="rId122" Type="http://schemas.openxmlformats.org/officeDocument/2006/relationships/hyperlink" Target="https://us3.assetplanner.com/service_request?ID=107556" TargetMode="External"/><Relationship Id="rId143" Type="http://schemas.openxmlformats.org/officeDocument/2006/relationships/hyperlink" Target="https://us3.assetplanner.com/service_request?ID=107368" TargetMode="External"/><Relationship Id="rId148" Type="http://schemas.openxmlformats.org/officeDocument/2006/relationships/hyperlink" Target="https://us3.assetplanner.com/service_request?ID=106824"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7323" TargetMode="External"/><Relationship Id="rId89" Type="http://schemas.openxmlformats.org/officeDocument/2006/relationships/hyperlink" Target="https://us3.assetplanner.com/service_request?ID=108266" TargetMode="External"/><Relationship Id="rId112" Type="http://schemas.openxmlformats.org/officeDocument/2006/relationships/hyperlink" Target="https://us3.assetplanner.com/service_request?ID=107313" TargetMode="External"/><Relationship Id="rId133" Type="http://schemas.openxmlformats.org/officeDocument/2006/relationships/hyperlink" Target="https://us3.assetplanner.com/service_request?ID=103246" TargetMode="External"/><Relationship Id="rId154" Type="http://schemas.openxmlformats.org/officeDocument/2006/relationships/hyperlink" Target="https://us3.assetplanner.com/service_request?ID=107809"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6721" TargetMode="External"/><Relationship Id="rId58" Type="http://schemas.openxmlformats.org/officeDocument/2006/relationships/hyperlink" Target="https://us3.assetplanner.com/service_request?ID=108456" TargetMode="External"/><Relationship Id="rId79" Type="http://schemas.openxmlformats.org/officeDocument/2006/relationships/hyperlink" Target="https://us3.assetplanner.com/service_request?ID=108470" TargetMode="External"/><Relationship Id="rId102" Type="http://schemas.openxmlformats.org/officeDocument/2006/relationships/hyperlink" Target="https://us3.assetplanner.com/service_request?ID=107478" TargetMode="External"/><Relationship Id="rId123" Type="http://schemas.openxmlformats.org/officeDocument/2006/relationships/hyperlink" Target="https://us3.assetplanner.com/service_request?ID=107893" TargetMode="External"/><Relationship Id="rId144" Type="http://schemas.openxmlformats.org/officeDocument/2006/relationships/hyperlink" Target="https://us3.assetplanner.com/service_request?ID=107988" TargetMode="External"/><Relationship Id="rId90" Type="http://schemas.openxmlformats.org/officeDocument/2006/relationships/hyperlink" Target="https://us3.assetplanner.com/service_request?ID=107585" TargetMode="External"/><Relationship Id="rId27" Type="http://schemas.openxmlformats.org/officeDocument/2006/relationships/hyperlink" Target="https://us3.assetplanner.com/service_request?ID=107329" TargetMode="External"/><Relationship Id="rId48" Type="http://schemas.openxmlformats.org/officeDocument/2006/relationships/hyperlink" Target="https://us3.assetplanner.com/service_request?ID=107750" TargetMode="External"/><Relationship Id="rId69" Type="http://schemas.openxmlformats.org/officeDocument/2006/relationships/hyperlink" Target="https://us3.assetplanner.com/service_request?ID=108010" TargetMode="External"/><Relationship Id="rId113" Type="http://schemas.openxmlformats.org/officeDocument/2006/relationships/hyperlink" Target="https://us3.assetplanner.com/service_request?ID=107939" TargetMode="External"/><Relationship Id="rId134" Type="http://schemas.openxmlformats.org/officeDocument/2006/relationships/hyperlink" Target="https://us3.assetplanner.com/service_request?ID=108093" TargetMode="External"/><Relationship Id="rId80" Type="http://schemas.openxmlformats.org/officeDocument/2006/relationships/hyperlink" Target="https://us3.assetplanner.com/service_request?ID=108139" TargetMode="External"/><Relationship Id="rId155" Type="http://schemas.openxmlformats.org/officeDocument/2006/relationships/hyperlink" Target="https://us3.assetplanner.com/service_request?ID=107813"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9675" TargetMode="External"/><Relationship Id="rId21" Type="http://schemas.openxmlformats.org/officeDocument/2006/relationships/hyperlink" Target="https://us3.assetplanner.com/service_request?ID=108939" TargetMode="External"/><Relationship Id="rId42" Type="http://schemas.openxmlformats.org/officeDocument/2006/relationships/hyperlink" Target="https://us3.assetplanner.com/service_request?ID=108823" TargetMode="External"/><Relationship Id="rId63" Type="http://schemas.openxmlformats.org/officeDocument/2006/relationships/hyperlink" Target="https://us3.assetplanner.com/service_request?ID=108010" TargetMode="External"/><Relationship Id="rId84" Type="http://schemas.openxmlformats.org/officeDocument/2006/relationships/hyperlink" Target="https://us3.assetplanner.com/service_request?ID=109938"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9335" TargetMode="External"/><Relationship Id="rId170" Type="http://schemas.openxmlformats.org/officeDocument/2006/relationships/hyperlink" Target="https://us3.assetplanner.com/service_request?ID=109665" TargetMode="External"/><Relationship Id="rId107" Type="http://schemas.openxmlformats.org/officeDocument/2006/relationships/hyperlink" Target="https://us3.assetplanner.com/service_request?ID=108808" TargetMode="External"/><Relationship Id="rId11" Type="http://schemas.openxmlformats.org/officeDocument/2006/relationships/hyperlink" Target="https://us3.assetplanner.com/service_request?ID=109161"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9987" TargetMode="External"/><Relationship Id="rId74" Type="http://schemas.openxmlformats.org/officeDocument/2006/relationships/hyperlink" Target="https://us3.assetplanner.com/service_request?ID=105775" TargetMode="External"/><Relationship Id="rId128" Type="http://schemas.openxmlformats.org/officeDocument/2006/relationships/hyperlink" Target="https://us3.assetplanner.com/service_request?ID=109794" TargetMode="External"/><Relationship Id="rId149" Type="http://schemas.openxmlformats.org/officeDocument/2006/relationships/hyperlink" Target="https://us3.assetplanner.com/service_request?ID=098278"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666" TargetMode="External"/><Relationship Id="rId160" Type="http://schemas.openxmlformats.org/officeDocument/2006/relationships/hyperlink" Target="https://us3.assetplanner.com/service_request?ID=108961" TargetMode="External"/><Relationship Id="rId181" Type="http://schemas.openxmlformats.org/officeDocument/2006/relationships/hyperlink" Target="https://us3.assetplanner.com/service_request?ID=109403" TargetMode="External"/><Relationship Id="rId22" Type="http://schemas.openxmlformats.org/officeDocument/2006/relationships/hyperlink" Target="https://us3.assetplanner.com/service_request?ID=089666" TargetMode="External"/><Relationship Id="rId43" Type="http://schemas.openxmlformats.org/officeDocument/2006/relationships/hyperlink" Target="https://us3.assetplanner.com/service_request?ID=109086" TargetMode="External"/><Relationship Id="rId64" Type="http://schemas.openxmlformats.org/officeDocument/2006/relationships/hyperlink" Target="https://us3.assetplanner.com/service_request?ID=107331" TargetMode="External"/><Relationship Id="rId118" Type="http://schemas.openxmlformats.org/officeDocument/2006/relationships/hyperlink" Target="https://us3.assetplanner.com/service_request?ID=109676" TargetMode="External"/><Relationship Id="rId139" Type="http://schemas.openxmlformats.org/officeDocument/2006/relationships/hyperlink" Target="https://us3.assetplanner.com/service_request?ID=108982" TargetMode="External"/><Relationship Id="rId85" Type="http://schemas.openxmlformats.org/officeDocument/2006/relationships/hyperlink" Target="https://us3.assetplanner.com/service_request?ID=107585" TargetMode="External"/><Relationship Id="rId150" Type="http://schemas.openxmlformats.org/officeDocument/2006/relationships/hyperlink" Target="https://us3.assetplanner.com/service_request?ID=098670" TargetMode="External"/><Relationship Id="rId171" Type="http://schemas.openxmlformats.org/officeDocument/2006/relationships/hyperlink" Target="https://us3.assetplanner.com/service_request?ID=109681"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098241" TargetMode="External"/><Relationship Id="rId108" Type="http://schemas.openxmlformats.org/officeDocument/2006/relationships/hyperlink" Target="https://us3.assetplanner.com/service_request?ID=106270" TargetMode="External"/><Relationship Id="rId129" Type="http://schemas.openxmlformats.org/officeDocument/2006/relationships/hyperlink" Target="https://us3.assetplanner.com/service_request?ID=095946" TargetMode="External"/><Relationship Id="rId54" Type="http://schemas.openxmlformats.org/officeDocument/2006/relationships/hyperlink" Target="https://us3.assetplanner.com/service_request?ID=109668" TargetMode="External"/><Relationship Id="rId75" Type="http://schemas.openxmlformats.org/officeDocument/2006/relationships/hyperlink" Target="https://us3.assetplanner.com/service_request?ID=109680" TargetMode="External"/><Relationship Id="rId96" Type="http://schemas.openxmlformats.org/officeDocument/2006/relationships/hyperlink" Target="https://us3.assetplanner.com/service_request?ID=106739" TargetMode="External"/><Relationship Id="rId140" Type="http://schemas.openxmlformats.org/officeDocument/2006/relationships/hyperlink" Target="https://us3.assetplanner.com/service_request?ID=107059" TargetMode="External"/><Relationship Id="rId161" Type="http://schemas.openxmlformats.org/officeDocument/2006/relationships/hyperlink" Target="https://us3.assetplanner.com/service_request?ID=109101" TargetMode="External"/><Relationship Id="rId182" Type="http://schemas.openxmlformats.org/officeDocument/2006/relationships/hyperlink" Target="https://us3.assetplanner.com/service_request?ID=109160"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119" Type="http://schemas.openxmlformats.org/officeDocument/2006/relationships/hyperlink" Target="https://us3.assetplanner.com/service_request?ID=098860" TargetMode="External"/><Relationship Id="rId44" Type="http://schemas.openxmlformats.org/officeDocument/2006/relationships/hyperlink" Target="https://us3.assetplanner.com/service_request?ID=109267" TargetMode="External"/><Relationship Id="rId65" Type="http://schemas.openxmlformats.org/officeDocument/2006/relationships/hyperlink" Target="https://us3.assetplanner.com/service_request?ID=108847" TargetMode="External"/><Relationship Id="rId86" Type="http://schemas.openxmlformats.org/officeDocument/2006/relationships/hyperlink" Target="https://us3.assetplanner.com/service_request?ID=108023" TargetMode="External"/><Relationship Id="rId130" Type="http://schemas.openxmlformats.org/officeDocument/2006/relationships/hyperlink" Target="https://us3.assetplanner.com/service_request?ID=110156" TargetMode="External"/><Relationship Id="rId151" Type="http://schemas.openxmlformats.org/officeDocument/2006/relationships/hyperlink" Target="https://us3.assetplanner.com/service_request?ID=110025" TargetMode="External"/><Relationship Id="rId172" Type="http://schemas.openxmlformats.org/officeDocument/2006/relationships/hyperlink" Target="https://us3.assetplanner.com/service_request?ID=109851" TargetMode="External"/><Relationship Id="rId13" Type="http://schemas.openxmlformats.org/officeDocument/2006/relationships/hyperlink" Target="https://us3.assetplanner.com/service_request?ID=109623" TargetMode="External"/><Relationship Id="rId18" Type="http://schemas.openxmlformats.org/officeDocument/2006/relationships/hyperlink" Target="https://us3.assetplanner.com/service_request?ID=102529" TargetMode="External"/><Relationship Id="rId39" Type="http://schemas.openxmlformats.org/officeDocument/2006/relationships/hyperlink" Target="https://us3.assetplanner.com/service_request?ID=107702" TargetMode="External"/><Relationship Id="rId109" Type="http://schemas.openxmlformats.org/officeDocument/2006/relationships/hyperlink" Target="https://us3.assetplanner.com/service_request?ID=109462"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9320" TargetMode="External"/><Relationship Id="rId55" Type="http://schemas.openxmlformats.org/officeDocument/2006/relationships/hyperlink" Target="https://us3.assetplanner.com/service_request?ID=108636" TargetMode="External"/><Relationship Id="rId76" Type="http://schemas.openxmlformats.org/officeDocument/2006/relationships/hyperlink" Target="https://us3.assetplanner.com/service_request?ID=105649" TargetMode="External"/><Relationship Id="rId97" Type="http://schemas.openxmlformats.org/officeDocument/2006/relationships/hyperlink" Target="https://us3.assetplanner.com/service_request?ID=109707" TargetMode="External"/><Relationship Id="rId104" Type="http://schemas.openxmlformats.org/officeDocument/2006/relationships/hyperlink" Target="https://us3.assetplanner.com/service_request?ID=10946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9632" TargetMode="External"/><Relationship Id="rId141" Type="http://schemas.openxmlformats.org/officeDocument/2006/relationships/hyperlink" Target="https://us3.assetplanner.com/service_request?ID=108972" TargetMode="External"/><Relationship Id="rId146" Type="http://schemas.openxmlformats.org/officeDocument/2006/relationships/hyperlink" Target="https://us3.assetplanner.com/service_request?ID=109144" TargetMode="External"/><Relationship Id="rId167" Type="http://schemas.openxmlformats.org/officeDocument/2006/relationships/hyperlink" Target="https://us3.assetplanner.com/service_request?ID=108984"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8338" TargetMode="External"/><Relationship Id="rId92" Type="http://schemas.openxmlformats.org/officeDocument/2006/relationships/hyperlink" Target="https://us3.assetplanner.com/service_request?ID=107665" TargetMode="External"/><Relationship Id="rId162" Type="http://schemas.openxmlformats.org/officeDocument/2006/relationships/hyperlink" Target="https://us3.assetplanner.com/service_request?ID=109195" TargetMode="External"/><Relationship Id="rId183" Type="http://schemas.openxmlformats.org/officeDocument/2006/relationships/hyperlink" Target="https://us3.assetplanner.com/service_request?ID=109156"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8697" TargetMode="External"/><Relationship Id="rId45" Type="http://schemas.openxmlformats.org/officeDocument/2006/relationships/hyperlink" Target="https://us3.assetplanner.com/service_request?ID=109625" TargetMode="External"/><Relationship Id="rId66" Type="http://schemas.openxmlformats.org/officeDocument/2006/relationships/hyperlink" Target="https://us3.assetplanner.com/service_request?ID=110116" TargetMode="External"/><Relationship Id="rId87" Type="http://schemas.openxmlformats.org/officeDocument/2006/relationships/hyperlink" Target="https://us3.assetplanner.com/service_request?ID=109726" TargetMode="External"/><Relationship Id="rId110" Type="http://schemas.openxmlformats.org/officeDocument/2006/relationships/hyperlink" Target="https://us3.assetplanner.com/service_request?ID=109620" TargetMode="External"/><Relationship Id="rId115" Type="http://schemas.openxmlformats.org/officeDocument/2006/relationships/hyperlink" Target="https://us3.assetplanner.com/service_request?ID=106921" TargetMode="External"/><Relationship Id="rId131" Type="http://schemas.openxmlformats.org/officeDocument/2006/relationships/hyperlink" Target="https://us3.assetplanner.com/service_request?ID=110155" TargetMode="External"/><Relationship Id="rId136" Type="http://schemas.openxmlformats.org/officeDocument/2006/relationships/hyperlink" Target="https://us3.assetplanner.com/service_request?ID=109858" TargetMode="External"/><Relationship Id="rId157" Type="http://schemas.openxmlformats.org/officeDocument/2006/relationships/hyperlink" Target="https://us3.assetplanner.com/service_request?ID=105284" TargetMode="External"/><Relationship Id="rId178" Type="http://schemas.openxmlformats.org/officeDocument/2006/relationships/hyperlink" Target="https://us3.assetplanner.com/service_request?ID=109102" TargetMode="External"/><Relationship Id="rId61" Type="http://schemas.openxmlformats.org/officeDocument/2006/relationships/hyperlink" Target="https://us3.assetplanner.com/service_request?ID=109185" TargetMode="External"/><Relationship Id="rId82" Type="http://schemas.openxmlformats.org/officeDocument/2006/relationships/hyperlink" Target="https://us3.assetplanner.com/service_request?ID=109343" TargetMode="External"/><Relationship Id="rId152" Type="http://schemas.openxmlformats.org/officeDocument/2006/relationships/hyperlink" Target="https://us3.assetplanner.com/service_request?ID=098066" TargetMode="External"/><Relationship Id="rId173" Type="http://schemas.openxmlformats.org/officeDocument/2006/relationships/hyperlink" Target="https://us3.assetplanner.com/service_request?ID=109995" TargetMode="External"/><Relationship Id="rId19" Type="http://schemas.openxmlformats.org/officeDocument/2006/relationships/hyperlink" Target="https://us3.assetplanner.com/service_request?ID=110250" TargetMode="External"/><Relationship Id="rId14" Type="http://schemas.openxmlformats.org/officeDocument/2006/relationships/hyperlink" Target="https://us3.assetplanner.com/service_request?ID=110132" TargetMode="External"/><Relationship Id="rId30" Type="http://schemas.openxmlformats.org/officeDocument/2006/relationships/hyperlink" Target="https://us3.assetplanner.com/service_request?ID=109950" TargetMode="External"/><Relationship Id="rId35" Type="http://schemas.openxmlformats.org/officeDocument/2006/relationships/hyperlink" Target="https://us3.assetplanner.com/service_request?ID=104403" TargetMode="External"/><Relationship Id="rId56" Type="http://schemas.openxmlformats.org/officeDocument/2006/relationships/hyperlink" Target="https://us3.assetplanner.com/service_request?ID=107181" TargetMode="External"/><Relationship Id="rId77" Type="http://schemas.openxmlformats.org/officeDocument/2006/relationships/hyperlink" Target="https://us3.assetplanner.com/service_request?ID=109223" TargetMode="External"/><Relationship Id="rId100" Type="http://schemas.openxmlformats.org/officeDocument/2006/relationships/hyperlink" Target="https://us3.assetplanner.com/service_request?ID=107781" TargetMode="External"/><Relationship Id="rId105" Type="http://schemas.openxmlformats.org/officeDocument/2006/relationships/hyperlink" Target="https://us3.assetplanner.com/service_request?ID=108827" TargetMode="External"/><Relationship Id="rId126" Type="http://schemas.openxmlformats.org/officeDocument/2006/relationships/hyperlink" Target="https://us3.assetplanner.com/service_request?ID=110017" TargetMode="External"/><Relationship Id="rId147" Type="http://schemas.openxmlformats.org/officeDocument/2006/relationships/hyperlink" Target="https://us3.assetplanner.com/service_request?ID=109450" TargetMode="External"/><Relationship Id="rId168" Type="http://schemas.openxmlformats.org/officeDocument/2006/relationships/hyperlink" Target="https://us3.assetplanner.com/service_request?ID=109158"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9505" TargetMode="External"/><Relationship Id="rId72" Type="http://schemas.openxmlformats.org/officeDocument/2006/relationships/hyperlink" Target="https://us3.assetplanner.com/service_request?ID=107449" TargetMode="External"/><Relationship Id="rId93" Type="http://schemas.openxmlformats.org/officeDocument/2006/relationships/hyperlink" Target="https://us3.assetplanner.com/service_request?ID=107450" TargetMode="External"/><Relationship Id="rId98" Type="http://schemas.openxmlformats.org/officeDocument/2006/relationships/hyperlink" Target="https://us3.assetplanner.com/service_request?ID=109604" TargetMode="External"/><Relationship Id="rId121" Type="http://schemas.openxmlformats.org/officeDocument/2006/relationships/hyperlink" Target="https://us3.assetplanner.com/service_request?ID=109998" TargetMode="External"/><Relationship Id="rId142" Type="http://schemas.openxmlformats.org/officeDocument/2006/relationships/hyperlink" Target="https://us3.assetplanner.com/service_request?ID=105922" TargetMode="External"/><Relationship Id="rId163" Type="http://schemas.openxmlformats.org/officeDocument/2006/relationships/hyperlink" Target="https://us3.assetplanner.com/service_request?ID=109326" TargetMode="External"/><Relationship Id="rId184" Type="http://schemas.openxmlformats.org/officeDocument/2006/relationships/hyperlink" Target="https://us3.assetplanner.com/service_request?ID=109157"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8922" TargetMode="External"/><Relationship Id="rId116" Type="http://schemas.openxmlformats.org/officeDocument/2006/relationships/hyperlink" Target="https://us3.assetplanner.com/service_request?ID=109619" TargetMode="External"/><Relationship Id="rId137" Type="http://schemas.openxmlformats.org/officeDocument/2006/relationships/hyperlink" Target="https://us3.assetplanner.com/service_request?ID=108936" TargetMode="External"/><Relationship Id="rId158" Type="http://schemas.openxmlformats.org/officeDocument/2006/relationships/hyperlink" Target="https://us3.assetplanner.com/service_request?ID=109592"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107603" TargetMode="External"/><Relationship Id="rId62" Type="http://schemas.openxmlformats.org/officeDocument/2006/relationships/hyperlink" Target="https://us3.assetplanner.com/service_request?ID=109523" TargetMode="External"/><Relationship Id="rId83" Type="http://schemas.openxmlformats.org/officeDocument/2006/relationships/hyperlink" Target="https://us3.assetplanner.com/service_request?ID=109729" TargetMode="External"/><Relationship Id="rId88" Type="http://schemas.openxmlformats.org/officeDocument/2006/relationships/hyperlink" Target="https://us3.assetplanner.com/service_request?ID=109939" TargetMode="External"/><Relationship Id="rId111" Type="http://schemas.openxmlformats.org/officeDocument/2006/relationships/hyperlink" Target="https://us3.assetplanner.com/service_request?ID=108248" TargetMode="External"/><Relationship Id="rId132" Type="http://schemas.openxmlformats.org/officeDocument/2006/relationships/hyperlink" Target="https://us3.assetplanner.com/service_request?ID=107411" TargetMode="External"/><Relationship Id="rId153" Type="http://schemas.openxmlformats.org/officeDocument/2006/relationships/hyperlink" Target="https://us3.assetplanner.com/service_request?ID=099545" TargetMode="External"/><Relationship Id="rId174" Type="http://schemas.openxmlformats.org/officeDocument/2006/relationships/hyperlink" Target="https://us3.assetplanner.com/service_request?ID=108599" TargetMode="External"/><Relationship Id="rId179" Type="http://schemas.openxmlformats.org/officeDocument/2006/relationships/hyperlink" Target="https://us3.assetplanner.com/service_request?ID=109103"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9570" TargetMode="External"/><Relationship Id="rId57" Type="http://schemas.openxmlformats.org/officeDocument/2006/relationships/hyperlink" Target="https://us3.assetplanner.com/service_request?ID=109840" TargetMode="External"/><Relationship Id="rId106" Type="http://schemas.openxmlformats.org/officeDocument/2006/relationships/hyperlink" Target="https://us3.assetplanner.com/service_request?ID=109390" TargetMode="External"/><Relationship Id="rId127" Type="http://schemas.openxmlformats.org/officeDocument/2006/relationships/hyperlink" Target="https://us3.assetplanner.com/service_request?ID=10999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110586" TargetMode="External"/><Relationship Id="rId52" Type="http://schemas.openxmlformats.org/officeDocument/2006/relationships/hyperlink" Target="https://us3.assetplanner.com/service_request?ID=109505" TargetMode="External"/><Relationship Id="rId73" Type="http://schemas.openxmlformats.org/officeDocument/2006/relationships/hyperlink" Target="https://us3.assetplanner.com/service_request?ID=101820" TargetMode="External"/><Relationship Id="rId78" Type="http://schemas.openxmlformats.org/officeDocument/2006/relationships/hyperlink" Target="https://us3.assetplanner.com/service_request?ID=109728" TargetMode="External"/><Relationship Id="rId94" Type="http://schemas.openxmlformats.org/officeDocument/2006/relationships/hyperlink" Target="https://us3.assetplanner.com/service_request?ID=107667" TargetMode="External"/><Relationship Id="rId99" Type="http://schemas.openxmlformats.org/officeDocument/2006/relationships/hyperlink" Target="https://us3.assetplanner.com/service_request?ID=109988" TargetMode="External"/><Relationship Id="rId101" Type="http://schemas.openxmlformats.org/officeDocument/2006/relationships/hyperlink" Target="https://us3.assetplanner.com/service_request?ID=108776" TargetMode="External"/><Relationship Id="rId122" Type="http://schemas.openxmlformats.org/officeDocument/2006/relationships/hyperlink" Target="https://us3.assetplanner.com/service_request?ID=109080" TargetMode="External"/><Relationship Id="rId143" Type="http://schemas.openxmlformats.org/officeDocument/2006/relationships/hyperlink" Target="https://us3.assetplanner.com/service_request?ID=109734" TargetMode="External"/><Relationship Id="rId148" Type="http://schemas.openxmlformats.org/officeDocument/2006/relationships/hyperlink" Target="https://us3.assetplanner.com/service_request?ID=109452" TargetMode="External"/><Relationship Id="rId164" Type="http://schemas.openxmlformats.org/officeDocument/2006/relationships/hyperlink" Target="https://us3.assetplanner.com/service_request?ID=109524" TargetMode="External"/><Relationship Id="rId169" Type="http://schemas.openxmlformats.org/officeDocument/2006/relationships/hyperlink" Target="https://us3.assetplanner.com/service_request?ID=109664" TargetMode="External"/><Relationship Id="rId185" Type="http://schemas.openxmlformats.org/officeDocument/2006/relationships/hyperlink" Target="https://us3.assetplanner.com/service_request?ID=109198"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9325"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816" TargetMode="External"/><Relationship Id="rId68" Type="http://schemas.openxmlformats.org/officeDocument/2006/relationships/hyperlink" Target="https://us3.assetplanner.com/service_request?ID=109568" TargetMode="External"/><Relationship Id="rId89" Type="http://schemas.openxmlformats.org/officeDocument/2006/relationships/hyperlink" Target="https://us3.assetplanner.com/service_request?ID=109225" TargetMode="External"/><Relationship Id="rId112" Type="http://schemas.openxmlformats.org/officeDocument/2006/relationships/hyperlink" Target="https://us3.assetplanner.com/service_request?ID=106176" TargetMode="External"/><Relationship Id="rId133" Type="http://schemas.openxmlformats.org/officeDocument/2006/relationships/hyperlink" Target="https://us3.assetplanner.com/service_request?ID=109644" TargetMode="External"/><Relationship Id="rId154" Type="http://schemas.openxmlformats.org/officeDocument/2006/relationships/hyperlink" Target="https://us3.assetplanner.com/service_request?ID=109097" TargetMode="External"/><Relationship Id="rId175" Type="http://schemas.openxmlformats.org/officeDocument/2006/relationships/hyperlink" Target="https://us3.assetplanner.com/service_request?ID=108392"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7506" TargetMode="External"/><Relationship Id="rId79" Type="http://schemas.openxmlformats.org/officeDocument/2006/relationships/hyperlink" Target="https://us3.assetplanner.com/service_request?ID=109937" TargetMode="External"/><Relationship Id="rId102" Type="http://schemas.openxmlformats.org/officeDocument/2006/relationships/hyperlink" Target="https://us3.assetplanner.com/service_request?ID=102328" TargetMode="External"/><Relationship Id="rId123" Type="http://schemas.openxmlformats.org/officeDocument/2006/relationships/hyperlink" Target="https://us3.assetplanner.com/service_request?ID=109079" TargetMode="External"/><Relationship Id="rId144" Type="http://schemas.openxmlformats.org/officeDocument/2006/relationships/hyperlink" Target="https://us3.assetplanner.com/service_request?ID=109715" TargetMode="External"/><Relationship Id="rId90" Type="http://schemas.openxmlformats.org/officeDocument/2006/relationships/hyperlink" Target="https://us3.assetplanner.com/service_request?ID=109727" TargetMode="External"/><Relationship Id="rId165" Type="http://schemas.openxmlformats.org/officeDocument/2006/relationships/hyperlink" Target="https://us3.assetplanner.com/service_request?ID=100771" TargetMode="External"/><Relationship Id="rId186" Type="http://schemas.openxmlformats.org/officeDocument/2006/relationships/hyperlink" Target="https://us3.assetplanner.com/service_request?ID=109525" TargetMode="External"/><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9669" TargetMode="External"/><Relationship Id="rId113" Type="http://schemas.openxmlformats.org/officeDocument/2006/relationships/hyperlink" Target="https://us3.assetplanner.com/service_request?ID=109493" TargetMode="External"/><Relationship Id="rId134" Type="http://schemas.openxmlformats.org/officeDocument/2006/relationships/hyperlink" Target="https://us3.assetplanner.com/service_request?ID=108394" TargetMode="External"/><Relationship Id="rId80" Type="http://schemas.openxmlformats.org/officeDocument/2006/relationships/hyperlink" Target="https://us3.assetplanner.com/service_request?ID=109224" TargetMode="External"/><Relationship Id="rId155" Type="http://schemas.openxmlformats.org/officeDocument/2006/relationships/hyperlink" Target="https://us3.assetplanner.com/service_request?ID=109353" TargetMode="External"/><Relationship Id="rId176" Type="http://schemas.openxmlformats.org/officeDocument/2006/relationships/hyperlink" Target="https://us3.assetplanner.com/service_request?ID=109809" TargetMode="External"/><Relationship Id="rId17" Type="http://schemas.openxmlformats.org/officeDocument/2006/relationships/hyperlink" Target="https://us3.assetplanner.com/service_request?ID=107741"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6503" TargetMode="External"/><Relationship Id="rId103" Type="http://schemas.openxmlformats.org/officeDocument/2006/relationships/hyperlink" Target="https://us3.assetplanner.com/service_request?ID=108983" TargetMode="External"/><Relationship Id="rId124" Type="http://schemas.openxmlformats.org/officeDocument/2006/relationships/hyperlink" Target="https://us3.assetplanner.com/service_request?ID=109187" TargetMode="External"/><Relationship Id="rId70" Type="http://schemas.openxmlformats.org/officeDocument/2006/relationships/hyperlink" Target="https://us3.assetplanner.com/service_request?ID=109669" TargetMode="External"/><Relationship Id="rId91" Type="http://schemas.openxmlformats.org/officeDocument/2006/relationships/hyperlink" Target="https://us3.assetplanner.com/service_request?ID=109940" TargetMode="External"/><Relationship Id="rId145" Type="http://schemas.openxmlformats.org/officeDocument/2006/relationships/hyperlink" Target="https://us3.assetplanner.com/service_request?ID=109096" TargetMode="External"/><Relationship Id="rId166" Type="http://schemas.openxmlformats.org/officeDocument/2006/relationships/hyperlink" Target="https://us3.assetplanner.com/service_request?ID=108678" TargetMode="External"/><Relationship Id="rId187" Type="http://schemas.openxmlformats.org/officeDocument/2006/relationships/hyperlink" Target="https://us3.assetplanner.com/service_request?ID=109585" TargetMode="External"/><Relationship Id="rId1" Type="http://schemas.openxmlformats.org/officeDocument/2006/relationships/hyperlink" Target="https://us3.assetplanner.com/service_request?ID=107464" TargetMode="External"/><Relationship Id="rId28" Type="http://schemas.openxmlformats.org/officeDocument/2006/relationships/hyperlink" Target="https://us3.assetplanner.com/service_request?ID=107164" TargetMode="External"/><Relationship Id="rId49" Type="http://schemas.openxmlformats.org/officeDocument/2006/relationships/hyperlink" Target="https://us3.assetplanner.com/service_request?ID=108045" TargetMode="External"/><Relationship Id="rId114" Type="http://schemas.openxmlformats.org/officeDocument/2006/relationships/hyperlink" Target="https://us3.assetplanner.com/service_request?ID=108120" TargetMode="External"/><Relationship Id="rId60"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9343" TargetMode="External"/><Relationship Id="rId135" Type="http://schemas.openxmlformats.org/officeDocument/2006/relationships/hyperlink" Target="https://us3.assetplanner.com/service_request?ID=109330" TargetMode="External"/><Relationship Id="rId156" Type="http://schemas.openxmlformats.org/officeDocument/2006/relationships/hyperlink" Target="https://us3.assetplanner.com/service_request?ID=109692" TargetMode="External"/><Relationship Id="rId177" Type="http://schemas.openxmlformats.org/officeDocument/2006/relationships/hyperlink" Target="https://us3.assetplanner.com/service_request?ID=110198"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us3.assetplanner.com/service_request?ID=110728" TargetMode="External"/><Relationship Id="rId21" Type="http://schemas.openxmlformats.org/officeDocument/2006/relationships/hyperlink" Target="https://us3.assetplanner.com/service_request?ID=093326" TargetMode="External"/><Relationship Id="rId42" Type="http://schemas.openxmlformats.org/officeDocument/2006/relationships/hyperlink" Target="https://us3.assetplanner.com/service_request?ID=110681" TargetMode="External"/><Relationship Id="rId63" Type="http://schemas.openxmlformats.org/officeDocument/2006/relationships/hyperlink" Target="https://us3.assetplanner.com/service_request?ID=111019" TargetMode="External"/><Relationship Id="rId84" Type="http://schemas.openxmlformats.org/officeDocument/2006/relationships/hyperlink" Target="https://us3.assetplanner.com/service_request?ID=110716" TargetMode="External"/><Relationship Id="rId138" Type="http://schemas.openxmlformats.org/officeDocument/2006/relationships/hyperlink" Target="https://us3.assetplanner.com/service_request?ID=110755" TargetMode="External"/><Relationship Id="rId107" Type="http://schemas.openxmlformats.org/officeDocument/2006/relationships/hyperlink" Target="https://us3.assetplanner.com/service_request?ID=110655" TargetMode="External"/><Relationship Id="rId11" Type="http://schemas.openxmlformats.org/officeDocument/2006/relationships/hyperlink" Target="https://us3.assetplanner.com/service_request?ID=093236" TargetMode="External"/><Relationship Id="rId32" Type="http://schemas.openxmlformats.org/officeDocument/2006/relationships/hyperlink" Target="https://us3.assetplanner.com/service_request?ID=106726" TargetMode="External"/><Relationship Id="rId53" Type="http://schemas.openxmlformats.org/officeDocument/2006/relationships/hyperlink" Target="https://us3.assetplanner.com/service_request?ID=108338" TargetMode="External"/><Relationship Id="rId74" Type="http://schemas.openxmlformats.org/officeDocument/2006/relationships/hyperlink" Target="https://us3.assetplanner.com/service_request?ID=111776" TargetMode="External"/><Relationship Id="rId128" Type="http://schemas.openxmlformats.org/officeDocument/2006/relationships/hyperlink" Target="https://us3.assetplanner.com/service_request?ID=110776" TargetMode="External"/><Relationship Id="rId149" Type="http://schemas.openxmlformats.org/officeDocument/2006/relationships/hyperlink" Target="https://us3.assetplanner.com/service_request?ID=112216" TargetMode="External"/><Relationship Id="rId5" Type="http://schemas.openxmlformats.org/officeDocument/2006/relationships/hyperlink" Target="https://us3.assetplanner.com/service_request?ID=093924" TargetMode="External"/><Relationship Id="rId95" Type="http://schemas.openxmlformats.org/officeDocument/2006/relationships/hyperlink" Target="https://us3.assetplanner.com/service_request?ID=110838" TargetMode="External"/><Relationship Id="rId22" Type="http://schemas.openxmlformats.org/officeDocument/2006/relationships/hyperlink" Target="https://us3.assetplanner.com/service_request?ID=110229" TargetMode="External"/><Relationship Id="rId27" Type="http://schemas.openxmlformats.org/officeDocument/2006/relationships/hyperlink" Target="https://us3.assetplanner.com/service_request?ID=098241" TargetMode="External"/><Relationship Id="rId43" Type="http://schemas.openxmlformats.org/officeDocument/2006/relationships/hyperlink" Target="https://us3.assetplanner.com/service_request?ID=105508" TargetMode="External"/><Relationship Id="rId48" Type="http://schemas.openxmlformats.org/officeDocument/2006/relationships/hyperlink" Target="https://us3.assetplanner.com/service_request?ID=111498" TargetMode="External"/><Relationship Id="rId64" Type="http://schemas.openxmlformats.org/officeDocument/2006/relationships/hyperlink" Target="https://us3.assetplanner.com/service_request?ID=110434" TargetMode="External"/><Relationship Id="rId69" Type="http://schemas.openxmlformats.org/officeDocument/2006/relationships/hyperlink" Target="https://us3.assetplanner.com/service_request?ID=110474" TargetMode="External"/><Relationship Id="rId113" Type="http://schemas.openxmlformats.org/officeDocument/2006/relationships/hyperlink" Target="https://us3.assetplanner.com/service_request?ID=110652" TargetMode="External"/><Relationship Id="rId118" Type="http://schemas.openxmlformats.org/officeDocument/2006/relationships/hyperlink" Target="https://us3.assetplanner.com/service_request?ID=111391" TargetMode="External"/><Relationship Id="rId134" Type="http://schemas.openxmlformats.org/officeDocument/2006/relationships/hyperlink" Target="https://us3.assetplanner.com/service_request?ID=110361" TargetMode="External"/><Relationship Id="rId139" Type="http://schemas.openxmlformats.org/officeDocument/2006/relationships/hyperlink" Target="https://us3.assetplanner.com/service_request?ID=110867" TargetMode="External"/><Relationship Id="rId80" Type="http://schemas.openxmlformats.org/officeDocument/2006/relationships/hyperlink" Target="https://us3.assetplanner.com/service_request?ID=111779" TargetMode="External"/><Relationship Id="rId85" Type="http://schemas.openxmlformats.org/officeDocument/2006/relationships/hyperlink" Target="https://us3.assetplanner.com/service_request?ID=111256" TargetMode="External"/><Relationship Id="rId150" Type="http://schemas.openxmlformats.org/officeDocument/2006/relationships/hyperlink" Target="https://us3.assetplanner.com/service_request?ID=112202" TargetMode="External"/><Relationship Id="rId12" Type="http://schemas.openxmlformats.org/officeDocument/2006/relationships/hyperlink" Target="https://us3.assetplanner.com/service_request?ID=102529" TargetMode="External"/><Relationship Id="rId17" Type="http://schemas.openxmlformats.org/officeDocument/2006/relationships/hyperlink" Target="https://us3.assetplanner.com/service_request?ID=112049" TargetMode="External"/><Relationship Id="rId33" Type="http://schemas.openxmlformats.org/officeDocument/2006/relationships/hyperlink" Target="https://us3.assetplanner.com/service_request?ID=110996" TargetMode="External"/><Relationship Id="rId38" Type="http://schemas.openxmlformats.org/officeDocument/2006/relationships/hyperlink" Target="https://us3.assetplanner.com/service_request?ID=111045" TargetMode="External"/><Relationship Id="rId59" Type="http://schemas.openxmlformats.org/officeDocument/2006/relationships/hyperlink" Target="https://us3.assetplanner.com/service_request?ID=110436" TargetMode="External"/><Relationship Id="rId103" Type="http://schemas.openxmlformats.org/officeDocument/2006/relationships/hyperlink" Target="https://us3.assetplanner.com/service_request?ID=111183" TargetMode="External"/><Relationship Id="rId108" Type="http://schemas.openxmlformats.org/officeDocument/2006/relationships/hyperlink" Target="https://us3.assetplanner.com/service_request?ID=110156" TargetMode="External"/><Relationship Id="rId124" Type="http://schemas.openxmlformats.org/officeDocument/2006/relationships/hyperlink" Target="https://us3.assetplanner.com/service_request?ID=110938" TargetMode="External"/><Relationship Id="rId129" Type="http://schemas.openxmlformats.org/officeDocument/2006/relationships/hyperlink" Target="https://us3.assetplanner.com/service_request?ID=111863" TargetMode="External"/><Relationship Id="rId54" Type="http://schemas.openxmlformats.org/officeDocument/2006/relationships/hyperlink" Target="https://us3.assetplanner.com/service_request?ID=111393" TargetMode="External"/><Relationship Id="rId70" Type="http://schemas.openxmlformats.org/officeDocument/2006/relationships/hyperlink" Target="https://us3.assetplanner.com/service_request?ID=110575" TargetMode="External"/><Relationship Id="rId75" Type="http://schemas.openxmlformats.org/officeDocument/2006/relationships/hyperlink" Target="https://us3.assetplanner.com/service_request?ID=111964" TargetMode="External"/><Relationship Id="rId91" Type="http://schemas.openxmlformats.org/officeDocument/2006/relationships/hyperlink" Target="https://us3.assetplanner.com/service_request?ID=110135" TargetMode="External"/><Relationship Id="rId96" Type="http://schemas.openxmlformats.org/officeDocument/2006/relationships/hyperlink" Target="https://us3.assetplanner.com/service_request?ID=111220" TargetMode="External"/><Relationship Id="rId140" Type="http://schemas.openxmlformats.org/officeDocument/2006/relationships/hyperlink" Target="https://us3.assetplanner.com/service_request?ID=108392" TargetMode="External"/><Relationship Id="rId145" Type="http://schemas.openxmlformats.org/officeDocument/2006/relationships/hyperlink" Target="https://us3.assetplanner.com/service_request?ID=109160" TargetMode="External"/><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86842" TargetMode="External"/><Relationship Id="rId23" Type="http://schemas.openxmlformats.org/officeDocument/2006/relationships/hyperlink" Target="https://us3.assetplanner.com/service_request?ID=093327" TargetMode="External"/><Relationship Id="rId28" Type="http://schemas.openxmlformats.org/officeDocument/2006/relationships/hyperlink" Target="https://us3.assetplanner.com/service_request?ID=105932" TargetMode="External"/><Relationship Id="rId49" Type="http://schemas.openxmlformats.org/officeDocument/2006/relationships/hyperlink" Target="https://us3.assetplanner.com/service_request?ID=111826" TargetMode="External"/><Relationship Id="rId114" Type="http://schemas.openxmlformats.org/officeDocument/2006/relationships/hyperlink" Target="https://us3.assetplanner.com/service_request?ID=110484" TargetMode="External"/><Relationship Id="rId119" Type="http://schemas.openxmlformats.org/officeDocument/2006/relationships/hyperlink" Target="https://us3.assetplanner.com/service_request?ID=110246" TargetMode="External"/><Relationship Id="rId44" Type="http://schemas.openxmlformats.org/officeDocument/2006/relationships/hyperlink" Target="https://us3.assetplanner.com/service_request?ID=109834" TargetMode="External"/><Relationship Id="rId60" Type="http://schemas.openxmlformats.org/officeDocument/2006/relationships/hyperlink" Target="https://us3.assetplanner.com/service_request?ID=110913" TargetMode="External"/><Relationship Id="rId65" Type="http://schemas.openxmlformats.org/officeDocument/2006/relationships/hyperlink" Target="https://us3.assetplanner.com/service_request?ID=110915" TargetMode="External"/><Relationship Id="rId81" Type="http://schemas.openxmlformats.org/officeDocument/2006/relationships/hyperlink" Target="https://us3.assetplanner.com/service_request?ID=111825" TargetMode="External"/><Relationship Id="rId86" Type="http://schemas.openxmlformats.org/officeDocument/2006/relationships/hyperlink" Target="https://us3.assetplanner.com/service_request?ID=108248" TargetMode="External"/><Relationship Id="rId130" Type="http://schemas.openxmlformats.org/officeDocument/2006/relationships/hyperlink" Target="https://us3.assetplanner.com/service_request?ID=110704" TargetMode="External"/><Relationship Id="rId135" Type="http://schemas.openxmlformats.org/officeDocument/2006/relationships/hyperlink" Target="https://us3.assetplanner.com/service_request?ID=110787" TargetMode="External"/><Relationship Id="rId151" Type="http://schemas.openxmlformats.org/officeDocument/2006/relationships/printerSettings" Target="../printerSettings/printerSettings7.bin"/><Relationship Id="rId13" Type="http://schemas.openxmlformats.org/officeDocument/2006/relationships/hyperlink" Target="https://us3.assetplanner.com/service_request?ID=110250" TargetMode="External"/><Relationship Id="rId18" Type="http://schemas.openxmlformats.org/officeDocument/2006/relationships/hyperlink" Target="https://us3.assetplanner.com/service_request?ID=088813" TargetMode="External"/><Relationship Id="rId39" Type="http://schemas.openxmlformats.org/officeDocument/2006/relationships/hyperlink" Target="https://us3.assetplanner.com/service_request?ID=111045" TargetMode="External"/><Relationship Id="rId109" Type="http://schemas.openxmlformats.org/officeDocument/2006/relationships/hyperlink" Target="https://us3.assetplanner.com/service_request?ID=110155" TargetMode="External"/><Relationship Id="rId34" Type="http://schemas.openxmlformats.org/officeDocument/2006/relationships/hyperlink" Target="https://us3.assetplanner.com/service_request?ID=107603" TargetMode="External"/><Relationship Id="rId50" Type="http://schemas.openxmlformats.org/officeDocument/2006/relationships/hyperlink" Target="https://us3.assetplanner.com/service_request?ID=109568" TargetMode="External"/><Relationship Id="rId55" Type="http://schemas.openxmlformats.org/officeDocument/2006/relationships/hyperlink" Target="https://us3.assetplanner.com/service_request?ID=101820" TargetMode="External"/><Relationship Id="rId76" Type="http://schemas.openxmlformats.org/officeDocument/2006/relationships/hyperlink" Target="https://us3.assetplanner.com/service_request?ID=110487" TargetMode="External"/><Relationship Id="rId97" Type="http://schemas.openxmlformats.org/officeDocument/2006/relationships/hyperlink" Target="https://us3.assetplanner.com/service_request?ID=109079" TargetMode="External"/><Relationship Id="rId104" Type="http://schemas.openxmlformats.org/officeDocument/2006/relationships/hyperlink" Target="https://us3.assetplanner.com/service_request?ID=111841" TargetMode="External"/><Relationship Id="rId120" Type="http://schemas.openxmlformats.org/officeDocument/2006/relationships/hyperlink" Target="https://us3.assetplanner.com/service_request?ID=098278" TargetMode="External"/><Relationship Id="rId125" Type="http://schemas.openxmlformats.org/officeDocument/2006/relationships/hyperlink" Target="https://us3.assetplanner.com/service_request?ID=111476" TargetMode="External"/><Relationship Id="rId141" Type="http://schemas.openxmlformats.org/officeDocument/2006/relationships/hyperlink" Target="https://us3.assetplanner.com/service_request?ID=110574" TargetMode="External"/><Relationship Id="rId146" Type="http://schemas.openxmlformats.org/officeDocument/2006/relationships/hyperlink" Target="https://us3.assetplanner.com/service_request?ID=109156" TargetMode="External"/><Relationship Id="rId7" Type="http://schemas.openxmlformats.org/officeDocument/2006/relationships/hyperlink" Target="https://us3.assetplanner.com/service_request?ID=103259" TargetMode="External"/><Relationship Id="rId71" Type="http://schemas.openxmlformats.org/officeDocument/2006/relationships/hyperlink" Target="https://us3.assetplanner.com/service_request?ID=109604" TargetMode="External"/><Relationship Id="rId92" Type="http://schemas.openxmlformats.org/officeDocument/2006/relationships/hyperlink" Target="https://us3.assetplanner.com/service_request?ID=098860" TargetMode="External"/><Relationship Id="rId2" Type="http://schemas.openxmlformats.org/officeDocument/2006/relationships/hyperlink" Target="https://us3.assetplanner.com/service_request?ID=111795" TargetMode="External"/><Relationship Id="rId29" Type="http://schemas.openxmlformats.org/officeDocument/2006/relationships/hyperlink" Target="https://us3.assetplanner.com/service_request?ID=104403" TargetMode="External"/><Relationship Id="rId24" Type="http://schemas.openxmlformats.org/officeDocument/2006/relationships/hyperlink" Target="https://us3.assetplanner.com/service_request?ID=109950" TargetMode="External"/><Relationship Id="rId40" Type="http://schemas.openxmlformats.org/officeDocument/2006/relationships/hyperlink" Target="https://us3.assetplanner.com/service_request?ID=111167" TargetMode="External"/><Relationship Id="rId45" Type="http://schemas.openxmlformats.org/officeDocument/2006/relationships/hyperlink" Target="https://us3.assetplanner.com/service_request?ID=106622" TargetMode="External"/><Relationship Id="rId66" Type="http://schemas.openxmlformats.org/officeDocument/2006/relationships/hyperlink" Target="https://us3.assetplanner.com/service_request?ID=110435" TargetMode="External"/><Relationship Id="rId87" Type="http://schemas.openxmlformats.org/officeDocument/2006/relationships/hyperlink" Target="https://us3.assetplanner.com/service_request?ID=108120" TargetMode="External"/><Relationship Id="rId110" Type="http://schemas.openxmlformats.org/officeDocument/2006/relationships/hyperlink" Target="https://us3.assetplanner.com/service_request?ID=111819" TargetMode="External"/><Relationship Id="rId115" Type="http://schemas.openxmlformats.org/officeDocument/2006/relationships/hyperlink" Target="https://us3.assetplanner.com/service_request?ID=110884" TargetMode="External"/><Relationship Id="rId131" Type="http://schemas.openxmlformats.org/officeDocument/2006/relationships/hyperlink" Target="https://us3.assetplanner.com/service_request?ID=110882" TargetMode="External"/><Relationship Id="rId136" Type="http://schemas.openxmlformats.org/officeDocument/2006/relationships/hyperlink" Target="https://us3.assetplanner.com/service_request?ID=110863" TargetMode="External"/><Relationship Id="rId61" Type="http://schemas.openxmlformats.org/officeDocument/2006/relationships/hyperlink" Target="https://us3.assetplanner.com/service_request?ID=110914" TargetMode="External"/><Relationship Id="rId82" Type="http://schemas.openxmlformats.org/officeDocument/2006/relationships/hyperlink" Target="https://us3.assetplanner.com/service_request?ID=110563" TargetMode="External"/><Relationship Id="rId152" Type="http://schemas.openxmlformats.org/officeDocument/2006/relationships/vmlDrawing" Target="../drawings/vmlDrawing1.vml"/><Relationship Id="rId19" Type="http://schemas.openxmlformats.org/officeDocument/2006/relationships/hyperlink" Target="https://us3.assetplanner.com/service_request?ID=093324" TargetMode="External"/><Relationship Id="rId14" Type="http://schemas.openxmlformats.org/officeDocument/2006/relationships/hyperlink" Target="https://us3.assetplanner.com/service_request?ID=088282" TargetMode="External"/><Relationship Id="rId30" Type="http://schemas.openxmlformats.org/officeDocument/2006/relationships/hyperlink" Target="https://us3.assetplanner.com/service_request?ID=109775" TargetMode="External"/><Relationship Id="rId35" Type="http://schemas.openxmlformats.org/officeDocument/2006/relationships/hyperlink" Target="https://us3.assetplanner.com/service_request?ID=105816" TargetMode="External"/><Relationship Id="rId56" Type="http://schemas.openxmlformats.org/officeDocument/2006/relationships/hyperlink" Target="https://us3.assetplanner.com/service_request?ID=111271" TargetMode="External"/><Relationship Id="rId77" Type="http://schemas.openxmlformats.org/officeDocument/2006/relationships/hyperlink" Target="https://us3.assetplanner.com/service_request?ID=111157" TargetMode="External"/><Relationship Id="rId100" Type="http://schemas.openxmlformats.org/officeDocument/2006/relationships/hyperlink" Target="https://us3.assetplanner.com/service_request?ID=110660" TargetMode="External"/><Relationship Id="rId105" Type="http://schemas.openxmlformats.org/officeDocument/2006/relationships/hyperlink" Target="https://us3.assetplanner.com/service_request?ID=110576" TargetMode="External"/><Relationship Id="rId126" Type="http://schemas.openxmlformats.org/officeDocument/2006/relationships/hyperlink" Target="https://us3.assetplanner.com/service_request?ID=110669" TargetMode="External"/><Relationship Id="rId147" Type="http://schemas.openxmlformats.org/officeDocument/2006/relationships/hyperlink" Target="https://us3.assetplanner.com/service_request?ID=109157" TargetMode="External"/><Relationship Id="rId8" Type="http://schemas.openxmlformats.org/officeDocument/2006/relationships/hyperlink" Target="https://us3.assetplanner.com/service_request?ID=109623" TargetMode="External"/><Relationship Id="rId51" Type="http://schemas.openxmlformats.org/officeDocument/2006/relationships/hyperlink" Target="https://us3.assetplanner.com/service_request?ID=108847" TargetMode="External"/><Relationship Id="rId72" Type="http://schemas.openxmlformats.org/officeDocument/2006/relationships/hyperlink" Target="https://us3.assetplanner.com/service_request?ID=111801" TargetMode="External"/><Relationship Id="rId93" Type="http://schemas.openxmlformats.org/officeDocument/2006/relationships/hyperlink" Target="https://us3.assetplanner.com/service_request?ID=109998" TargetMode="External"/><Relationship Id="rId98" Type="http://schemas.openxmlformats.org/officeDocument/2006/relationships/hyperlink" Target="https://us3.assetplanner.com/service_request?ID=109080" TargetMode="External"/><Relationship Id="rId121" Type="http://schemas.openxmlformats.org/officeDocument/2006/relationships/hyperlink" Target="https://us3.assetplanner.com/service_request?ID=098670" TargetMode="External"/><Relationship Id="rId142" Type="http://schemas.openxmlformats.org/officeDocument/2006/relationships/hyperlink" Target="https://us3.assetplanner.com/service_request?ID=111001" TargetMode="External"/><Relationship Id="rId3" Type="http://schemas.openxmlformats.org/officeDocument/2006/relationships/hyperlink" Target="https://us3.assetplanner.com/service_request?ID=095666" TargetMode="External"/><Relationship Id="rId25" Type="http://schemas.openxmlformats.org/officeDocument/2006/relationships/hyperlink" Target="https://us3.assetplanner.com/service_request?ID=110586" TargetMode="External"/><Relationship Id="rId46" Type="http://schemas.openxmlformats.org/officeDocument/2006/relationships/hyperlink" Target="https://us3.assetplanner.com/service_request?ID=110008" TargetMode="External"/><Relationship Id="rId67" Type="http://schemas.openxmlformats.org/officeDocument/2006/relationships/hyperlink" Target="https://us3.assetplanner.com/service_request?ID=110918" TargetMode="External"/><Relationship Id="rId116" Type="http://schemas.openxmlformats.org/officeDocument/2006/relationships/hyperlink" Target="https://us3.assetplanner.com/service_request?ID=110407" TargetMode="External"/><Relationship Id="rId137" Type="http://schemas.openxmlformats.org/officeDocument/2006/relationships/hyperlink" Target="https://us3.assetplanner.com/service_request?ID=110691" TargetMode="External"/><Relationship Id="rId20" Type="http://schemas.openxmlformats.org/officeDocument/2006/relationships/hyperlink" Target="https://us3.assetplanner.com/service_request?ID=111880" TargetMode="External"/><Relationship Id="rId41" Type="http://schemas.openxmlformats.org/officeDocument/2006/relationships/hyperlink" Target="https://us3.assetplanner.com/service_request?ID=111378" TargetMode="External"/><Relationship Id="rId62" Type="http://schemas.openxmlformats.org/officeDocument/2006/relationships/hyperlink" Target="https://us3.assetplanner.com/service_request?ID=109797" TargetMode="External"/><Relationship Id="rId83" Type="http://schemas.openxmlformats.org/officeDocument/2006/relationships/hyperlink" Target="https://us3.assetplanner.com/service_request?ID=108827" TargetMode="External"/><Relationship Id="rId88" Type="http://schemas.openxmlformats.org/officeDocument/2006/relationships/hyperlink" Target="https://us3.assetplanner.com/service_request?ID=110483" TargetMode="External"/><Relationship Id="rId111" Type="http://schemas.openxmlformats.org/officeDocument/2006/relationships/hyperlink" Target="https://us3.assetplanner.com/service_request?ID=110598" TargetMode="External"/><Relationship Id="rId132" Type="http://schemas.openxmlformats.org/officeDocument/2006/relationships/hyperlink" Target="https://us3.assetplanner.com/service_request?ID=109524" TargetMode="External"/><Relationship Id="rId153" Type="http://schemas.openxmlformats.org/officeDocument/2006/relationships/comments" Target="../comments1.xml"/><Relationship Id="rId15" Type="http://schemas.openxmlformats.org/officeDocument/2006/relationships/hyperlink" Target="https://us3.assetplanner.com/service_request?ID=108939" TargetMode="External"/><Relationship Id="rId36" Type="http://schemas.openxmlformats.org/officeDocument/2006/relationships/hyperlink" Target="https://us3.assetplanner.com/service_request?ID=093024" TargetMode="External"/><Relationship Id="rId57" Type="http://schemas.openxmlformats.org/officeDocument/2006/relationships/hyperlink" Target="https://us3.assetplanner.com/service_request?ID=111271" TargetMode="External"/><Relationship Id="rId106" Type="http://schemas.openxmlformats.org/officeDocument/2006/relationships/hyperlink" Target="https://us3.assetplanner.com/service_request?ID=110935" TargetMode="External"/><Relationship Id="rId127" Type="http://schemas.openxmlformats.org/officeDocument/2006/relationships/hyperlink" Target="https://us3.assetplanner.com/service_request?ID=111796" TargetMode="External"/><Relationship Id="rId10" Type="http://schemas.openxmlformats.org/officeDocument/2006/relationships/hyperlink" Target="https://us3.assetplanner.com/service_request?ID=111002" TargetMode="External"/><Relationship Id="rId31" Type="http://schemas.openxmlformats.org/officeDocument/2006/relationships/hyperlink" Target="https://us3.assetplanner.com/service_request?ID=098641" TargetMode="External"/><Relationship Id="rId52" Type="http://schemas.openxmlformats.org/officeDocument/2006/relationships/hyperlink" Target="https://us3.assetplanner.com/service_request?ID=110116" TargetMode="External"/><Relationship Id="rId73" Type="http://schemas.openxmlformats.org/officeDocument/2006/relationships/hyperlink" Target="https://us3.assetplanner.com/service_request?ID=111175" TargetMode="External"/><Relationship Id="rId78" Type="http://schemas.openxmlformats.org/officeDocument/2006/relationships/hyperlink" Target="https://us3.assetplanner.com/service_request?ID=111837" TargetMode="External"/><Relationship Id="rId94" Type="http://schemas.openxmlformats.org/officeDocument/2006/relationships/hyperlink" Target="https://us3.assetplanner.com/service_request?ID=110355" TargetMode="External"/><Relationship Id="rId99" Type="http://schemas.openxmlformats.org/officeDocument/2006/relationships/hyperlink" Target="https://us3.assetplanner.com/service_request?ID=110477" TargetMode="External"/><Relationship Id="rId101" Type="http://schemas.openxmlformats.org/officeDocument/2006/relationships/hyperlink" Target="https://us3.assetplanner.com/service_request?ID=110852" TargetMode="External"/><Relationship Id="rId122" Type="http://schemas.openxmlformats.org/officeDocument/2006/relationships/hyperlink" Target="https://us3.assetplanner.com/service_request?ID=110476" TargetMode="External"/><Relationship Id="rId143" Type="http://schemas.openxmlformats.org/officeDocument/2006/relationships/hyperlink" Target="https://us3.assetplanner.com/service_request?ID=111163" TargetMode="External"/><Relationship Id="rId148" Type="http://schemas.openxmlformats.org/officeDocument/2006/relationships/hyperlink" Target="https://us3.assetplanner.com/service_request?ID=112194"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10132" TargetMode="External"/><Relationship Id="rId26" Type="http://schemas.openxmlformats.org/officeDocument/2006/relationships/hyperlink" Target="https://us3.assetplanner.com/service_request?ID=105932" TargetMode="External"/><Relationship Id="rId47" Type="http://schemas.openxmlformats.org/officeDocument/2006/relationships/hyperlink" Target="https://us3.assetplanner.com/service_request?ID=111199" TargetMode="External"/><Relationship Id="rId68" Type="http://schemas.openxmlformats.org/officeDocument/2006/relationships/hyperlink" Target="https://us3.assetplanner.com/service_request?ID=107667" TargetMode="External"/><Relationship Id="rId89" Type="http://schemas.openxmlformats.org/officeDocument/2006/relationships/hyperlink" Target="https://us3.assetplanner.com/service_request?ID=106921" TargetMode="External"/><Relationship Id="rId112" Type="http://schemas.openxmlformats.org/officeDocument/2006/relationships/hyperlink" Target="https://us3.assetplanner.com/service_request?ID=109332" TargetMode="External"/><Relationship Id="rId133" Type="http://schemas.openxmlformats.org/officeDocument/2006/relationships/hyperlink" Target="https://us3.assetplanner.com/service_request?ID=100771" TargetMode="External"/><Relationship Id="rId154" Type="http://schemas.microsoft.com/office/2017/10/relationships/threadedComment" Target="../threadedComments/threadedComment1.xml"/><Relationship Id="rId16" Type="http://schemas.openxmlformats.org/officeDocument/2006/relationships/hyperlink" Target="https://us3.assetplanner.com/service_request?ID=110231" TargetMode="External"/><Relationship Id="rId37" Type="http://schemas.openxmlformats.org/officeDocument/2006/relationships/hyperlink" Target="https://us3.assetplanner.com/service_request?ID=110488" TargetMode="External"/><Relationship Id="rId58" Type="http://schemas.openxmlformats.org/officeDocument/2006/relationships/hyperlink" Target="https://us3.assetplanner.com/service_request?ID=105649" TargetMode="External"/><Relationship Id="rId79" Type="http://schemas.openxmlformats.org/officeDocument/2006/relationships/hyperlink" Target="https://us3.assetplanner.com/service_request?ID=110430" TargetMode="External"/><Relationship Id="rId102" Type="http://schemas.openxmlformats.org/officeDocument/2006/relationships/hyperlink" Target="https://us3.assetplanner.com/service_request?ID=111161" TargetMode="External"/><Relationship Id="rId123" Type="http://schemas.openxmlformats.org/officeDocument/2006/relationships/hyperlink" Target="https://us3.assetplanner.com/service_request?ID=110703" TargetMode="External"/><Relationship Id="rId144" Type="http://schemas.openxmlformats.org/officeDocument/2006/relationships/hyperlink" Target="https://us3.assetplanner.com/service_request?ID=110883" TargetMode="External"/><Relationship Id="rId90" Type="http://schemas.openxmlformats.org/officeDocument/2006/relationships/hyperlink" Target="https://us3.assetplanner.com/service_request?ID=110473"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us3.assetplanner.com/service_request?ID=112024" TargetMode="External"/><Relationship Id="rId117" Type="http://schemas.openxmlformats.org/officeDocument/2006/relationships/hyperlink" Target="https://us3.assetplanner.com/service_request?ID=113452" TargetMode="External"/><Relationship Id="rId21" Type="http://schemas.openxmlformats.org/officeDocument/2006/relationships/hyperlink" Target="https://us3.assetplanner.com/service_request?ID=109950" TargetMode="External"/><Relationship Id="rId42" Type="http://schemas.openxmlformats.org/officeDocument/2006/relationships/hyperlink" Target="https://us3.assetplanner.com/service_request?ID=112331" TargetMode="External"/><Relationship Id="rId47" Type="http://schemas.openxmlformats.org/officeDocument/2006/relationships/hyperlink" Target="https://us3.assetplanner.com/service_request?ID=113857" TargetMode="External"/><Relationship Id="rId63" Type="http://schemas.openxmlformats.org/officeDocument/2006/relationships/hyperlink" Target="https://us3.assetplanner.com/service_request?ID=112194" TargetMode="External"/><Relationship Id="rId68" Type="http://schemas.openxmlformats.org/officeDocument/2006/relationships/hyperlink" Target="https://us3.assetplanner.com/service_request?ID=112217" TargetMode="External"/><Relationship Id="rId84" Type="http://schemas.openxmlformats.org/officeDocument/2006/relationships/hyperlink" Target="https://us3.assetplanner.com/service_request?ID=112506" TargetMode="External"/><Relationship Id="rId89" Type="http://schemas.openxmlformats.org/officeDocument/2006/relationships/hyperlink" Target="https://us3.assetplanner.com/service_request?ID=113817" TargetMode="External"/><Relationship Id="rId112" Type="http://schemas.openxmlformats.org/officeDocument/2006/relationships/hyperlink" Target="https://us3.assetplanner.com/service_request?ID=113569" TargetMode="External"/><Relationship Id="rId16" Type="http://schemas.openxmlformats.org/officeDocument/2006/relationships/hyperlink" Target="https://us3.assetplanner.com/service_request?ID=088813" TargetMode="External"/><Relationship Id="rId107" Type="http://schemas.openxmlformats.org/officeDocument/2006/relationships/hyperlink" Target="https://us3.assetplanner.com/service_request?ID=111863" TargetMode="External"/><Relationship Id="rId11" Type="http://schemas.openxmlformats.org/officeDocument/2006/relationships/hyperlink" Target="https://us3.assetplanner.com/service_request?ID=093236" TargetMode="External"/><Relationship Id="rId32" Type="http://schemas.openxmlformats.org/officeDocument/2006/relationships/hyperlink" Target="https://us3.assetplanner.com/service_request?ID=105508" TargetMode="External"/><Relationship Id="rId37" Type="http://schemas.openxmlformats.org/officeDocument/2006/relationships/hyperlink" Target="https://us3.assetplanner.com/service_request?ID=106622" TargetMode="External"/><Relationship Id="rId53" Type="http://schemas.openxmlformats.org/officeDocument/2006/relationships/hyperlink" Target="https://us3.assetplanner.com/service_request?ID=113860" TargetMode="External"/><Relationship Id="rId58" Type="http://schemas.openxmlformats.org/officeDocument/2006/relationships/hyperlink" Target="https://us3.assetplanner.com/service_request?ID=111861" TargetMode="External"/><Relationship Id="rId74" Type="http://schemas.openxmlformats.org/officeDocument/2006/relationships/hyperlink" Target="https://us3.assetplanner.com/service_request?ID=112502" TargetMode="External"/><Relationship Id="rId79" Type="http://schemas.openxmlformats.org/officeDocument/2006/relationships/hyperlink" Target="https://us3.assetplanner.com/service_request?ID=106921" TargetMode="External"/><Relationship Id="rId102" Type="http://schemas.openxmlformats.org/officeDocument/2006/relationships/hyperlink" Target="https://us3.assetplanner.com/service_request?ID=112334" TargetMode="External"/><Relationship Id="rId123" Type="http://schemas.openxmlformats.org/officeDocument/2006/relationships/vmlDrawing" Target="../drawings/vmlDrawing2.vml"/><Relationship Id="rId5" Type="http://schemas.openxmlformats.org/officeDocument/2006/relationships/hyperlink" Target="https://us3.assetplanner.com/service_request?ID=095666" TargetMode="External"/><Relationship Id="rId90" Type="http://schemas.openxmlformats.org/officeDocument/2006/relationships/hyperlink" Target="https://us3.assetplanner.com/service_request?ID=112261" TargetMode="External"/><Relationship Id="rId95" Type="http://schemas.openxmlformats.org/officeDocument/2006/relationships/hyperlink" Target="https://us3.assetplanner.com/service_request?ID=112389" TargetMode="External"/><Relationship Id="rId22" Type="http://schemas.openxmlformats.org/officeDocument/2006/relationships/hyperlink" Target="https://us3.assetplanner.com/service_request?ID=098241" TargetMode="External"/><Relationship Id="rId27" Type="http://schemas.openxmlformats.org/officeDocument/2006/relationships/hyperlink" Target="https://us3.assetplanner.com/service_request?ID=113579" TargetMode="External"/><Relationship Id="rId43" Type="http://schemas.openxmlformats.org/officeDocument/2006/relationships/hyperlink" Target="https://us3.assetplanner.com/service_request?ID=108338" TargetMode="External"/><Relationship Id="rId48" Type="http://schemas.openxmlformats.org/officeDocument/2006/relationships/hyperlink" Target="https://us3.assetplanner.com/service_request?ID=111271" TargetMode="External"/><Relationship Id="rId64" Type="http://schemas.openxmlformats.org/officeDocument/2006/relationships/hyperlink" Target="https://us3.assetplanner.com/service_request?ID=112253" TargetMode="External"/><Relationship Id="rId69" Type="http://schemas.openxmlformats.org/officeDocument/2006/relationships/hyperlink" Target="https://us3.assetplanner.com/service_request?ID=112035" TargetMode="External"/><Relationship Id="rId113" Type="http://schemas.openxmlformats.org/officeDocument/2006/relationships/hyperlink" Target="https://us3.assetplanner.com/service_request?ID=110867" TargetMode="External"/><Relationship Id="rId118" Type="http://schemas.openxmlformats.org/officeDocument/2006/relationships/hyperlink" Target="https://us3.assetplanner.com/service_request?ID=113185" TargetMode="External"/><Relationship Id="rId80" Type="http://schemas.openxmlformats.org/officeDocument/2006/relationships/hyperlink" Target="https://us3.assetplanner.com/service_request?ID=110135" TargetMode="External"/><Relationship Id="rId85" Type="http://schemas.openxmlformats.org/officeDocument/2006/relationships/hyperlink" Target="https://us3.assetplanner.com/service_request?ID=113815" TargetMode="External"/><Relationship Id="rId12" Type="http://schemas.openxmlformats.org/officeDocument/2006/relationships/hyperlink" Target="https://us3.assetplanner.com/service_request?ID=102529" TargetMode="External"/><Relationship Id="rId17" Type="http://schemas.openxmlformats.org/officeDocument/2006/relationships/hyperlink" Target="https://us3.assetplanner.com/service_request?ID=093324" TargetMode="External"/><Relationship Id="rId33" Type="http://schemas.openxmlformats.org/officeDocument/2006/relationships/hyperlink" Target="https://us3.assetplanner.com/service_request?ID=112950" TargetMode="External"/><Relationship Id="rId38" Type="http://schemas.openxmlformats.org/officeDocument/2006/relationships/hyperlink" Target="https://us3.assetplanner.com/service_request?ID=114038" TargetMode="External"/><Relationship Id="rId59" Type="http://schemas.openxmlformats.org/officeDocument/2006/relationships/hyperlink" Target="https://us3.assetplanner.com/service_request?ID=113809" TargetMode="External"/><Relationship Id="rId103" Type="http://schemas.openxmlformats.org/officeDocument/2006/relationships/hyperlink" Target="https://us3.assetplanner.com/service_request?ID=098278" TargetMode="External"/><Relationship Id="rId108" Type="http://schemas.openxmlformats.org/officeDocument/2006/relationships/hyperlink" Target="https://us3.assetplanner.com/service_request?ID=113917" TargetMode="External"/><Relationship Id="rId124" Type="http://schemas.openxmlformats.org/officeDocument/2006/relationships/comments" Target="../comments2.xml"/><Relationship Id="rId54" Type="http://schemas.openxmlformats.org/officeDocument/2006/relationships/hyperlink" Target="https://us3.assetplanner.com/service_request?ID=111019" TargetMode="External"/><Relationship Id="rId70" Type="http://schemas.openxmlformats.org/officeDocument/2006/relationships/hyperlink" Target="https://us3.assetplanner.com/service_request?ID=111825" TargetMode="External"/><Relationship Id="rId75" Type="http://schemas.openxmlformats.org/officeDocument/2006/relationships/hyperlink" Target="https://us3.assetplanner.com/service_request?ID=112379" TargetMode="External"/><Relationship Id="rId91" Type="http://schemas.openxmlformats.org/officeDocument/2006/relationships/hyperlink" Target="https://us3.assetplanner.com/service_request?ID=113089" TargetMode="External"/><Relationship Id="rId96" Type="http://schemas.openxmlformats.org/officeDocument/2006/relationships/hyperlink" Target="https://us3.assetplanner.com/service_request?ID=113237" TargetMode="External"/><Relationship Id="rId1" Type="http://schemas.openxmlformats.org/officeDocument/2006/relationships/hyperlink" Target="https://us3.assetplanner.com/service_request?ID=093326"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113149" TargetMode="External"/><Relationship Id="rId28" Type="http://schemas.openxmlformats.org/officeDocument/2006/relationships/hyperlink" Target="https://us3.assetplanner.com/service_request?ID=112418" TargetMode="External"/><Relationship Id="rId49" Type="http://schemas.openxmlformats.org/officeDocument/2006/relationships/hyperlink" Target="https://us3.assetplanner.com/service_request?ID=113700" TargetMode="External"/><Relationship Id="rId114" Type="http://schemas.openxmlformats.org/officeDocument/2006/relationships/hyperlink" Target="https://us3.assetplanner.com/service_request?ID=113626" TargetMode="External"/><Relationship Id="rId119" Type="http://schemas.openxmlformats.org/officeDocument/2006/relationships/hyperlink" Target="https://us3.assetplanner.com/service_request?ID=113743" TargetMode="External"/><Relationship Id="rId44" Type="http://schemas.openxmlformats.org/officeDocument/2006/relationships/hyperlink" Target="https://us3.assetplanner.com/service_request?ID=112948" TargetMode="External"/><Relationship Id="rId60" Type="http://schemas.openxmlformats.org/officeDocument/2006/relationships/hyperlink" Target="https://us3.assetplanner.com/service_request?ID=106739" TargetMode="External"/><Relationship Id="rId65" Type="http://schemas.openxmlformats.org/officeDocument/2006/relationships/hyperlink" Target="https://us3.assetplanner.com/service_request?ID=113924" TargetMode="External"/><Relationship Id="rId81" Type="http://schemas.openxmlformats.org/officeDocument/2006/relationships/hyperlink" Target="https://us3.assetplanner.com/service_request?ID=098860" TargetMode="External"/><Relationship Id="rId86" Type="http://schemas.openxmlformats.org/officeDocument/2006/relationships/hyperlink" Target="https://us3.assetplanner.com/service_request?ID=109998" TargetMode="External"/><Relationship Id="rId13" Type="http://schemas.openxmlformats.org/officeDocument/2006/relationships/hyperlink" Target="https://us3.assetplanner.com/service_request?ID=110250" TargetMode="External"/><Relationship Id="rId18" Type="http://schemas.openxmlformats.org/officeDocument/2006/relationships/hyperlink" Target="https://us3.assetplanner.com/service_request?ID=111880" TargetMode="External"/><Relationship Id="rId39" Type="http://schemas.openxmlformats.org/officeDocument/2006/relationships/hyperlink" Target="https://us3.assetplanner.com/service_request?ID=112755" TargetMode="External"/><Relationship Id="rId109" Type="http://schemas.openxmlformats.org/officeDocument/2006/relationships/hyperlink" Target="https://us3.assetplanner.com/service_request?ID=112440" TargetMode="External"/><Relationship Id="rId34" Type="http://schemas.openxmlformats.org/officeDocument/2006/relationships/hyperlink" Target="https://us3.assetplanner.com/service_request?ID=113336" TargetMode="External"/><Relationship Id="rId50" Type="http://schemas.openxmlformats.org/officeDocument/2006/relationships/hyperlink" Target="https://us3.assetplanner.com/service_request?ID=105649" TargetMode="External"/><Relationship Id="rId55" Type="http://schemas.openxmlformats.org/officeDocument/2006/relationships/hyperlink" Target="https://us3.assetplanner.com/service_request?ID=112748" TargetMode="External"/><Relationship Id="rId76" Type="http://schemas.openxmlformats.org/officeDocument/2006/relationships/hyperlink" Target="https://us3.assetplanner.com/service_request?ID=113716" TargetMode="External"/><Relationship Id="rId97" Type="http://schemas.openxmlformats.org/officeDocument/2006/relationships/hyperlink" Target="https://us3.assetplanner.com/service_request?ID=112357" TargetMode="External"/><Relationship Id="rId104" Type="http://schemas.openxmlformats.org/officeDocument/2006/relationships/hyperlink" Target="https://us3.assetplanner.com/service_request?ID=112499" TargetMode="External"/><Relationship Id="rId120" Type="http://schemas.openxmlformats.org/officeDocument/2006/relationships/hyperlink" Target="https://us3.assetplanner.com/service_request?ID=112320" TargetMode="External"/><Relationship Id="rId125" Type="http://schemas.microsoft.com/office/2017/10/relationships/threadedComment" Target="../threadedComments/threadedComment2.xml"/><Relationship Id="rId7" Type="http://schemas.openxmlformats.org/officeDocument/2006/relationships/hyperlink" Target="https://us3.assetplanner.com/service_request?ID=113179" TargetMode="External"/><Relationship Id="rId71" Type="http://schemas.openxmlformats.org/officeDocument/2006/relationships/hyperlink" Target="https://us3.assetplanner.com/service_request?ID=112892" TargetMode="External"/><Relationship Id="rId92" Type="http://schemas.openxmlformats.org/officeDocument/2006/relationships/hyperlink" Target="https://us3.assetplanner.com/service_request?ID=111884" TargetMode="External"/><Relationship Id="rId2" Type="http://schemas.openxmlformats.org/officeDocument/2006/relationships/hyperlink" Target="https://us3.assetplanner.com/service_request?ID=107464" TargetMode="External"/><Relationship Id="rId29" Type="http://schemas.openxmlformats.org/officeDocument/2006/relationships/hyperlink" Target="https://us3.assetplanner.com/service_request?ID=113825" TargetMode="External"/><Relationship Id="rId24" Type="http://schemas.openxmlformats.org/officeDocument/2006/relationships/hyperlink" Target="https://us3.assetplanner.com/service_request?ID=113912" TargetMode="External"/><Relationship Id="rId40" Type="http://schemas.openxmlformats.org/officeDocument/2006/relationships/hyperlink" Target="https://us3.assetplanner.com/service_request?ID=112331" TargetMode="External"/><Relationship Id="rId45" Type="http://schemas.openxmlformats.org/officeDocument/2006/relationships/hyperlink" Target="https://us3.assetplanner.com/service_request?ID=101820" TargetMode="External"/><Relationship Id="rId66" Type="http://schemas.openxmlformats.org/officeDocument/2006/relationships/hyperlink" Target="https://us3.assetplanner.com/service_request?ID=111825" TargetMode="External"/><Relationship Id="rId87" Type="http://schemas.openxmlformats.org/officeDocument/2006/relationships/hyperlink" Target="https://us3.assetplanner.com/service_request?ID=109079" TargetMode="External"/><Relationship Id="rId110" Type="http://schemas.openxmlformats.org/officeDocument/2006/relationships/hyperlink" Target="https://us3.assetplanner.com/service_request?ID=109524" TargetMode="External"/><Relationship Id="rId115" Type="http://schemas.openxmlformats.org/officeDocument/2006/relationships/hyperlink" Target="https://us3.assetplanner.com/service_request?ID=113003" TargetMode="External"/><Relationship Id="rId61" Type="http://schemas.openxmlformats.org/officeDocument/2006/relationships/hyperlink" Target="https://us3.assetplanner.com/service_request?ID=109604" TargetMode="External"/><Relationship Id="rId82" Type="http://schemas.openxmlformats.org/officeDocument/2006/relationships/hyperlink" Target="https://us3.assetplanner.com/service_request?ID=113864" TargetMode="External"/><Relationship Id="rId19" Type="http://schemas.openxmlformats.org/officeDocument/2006/relationships/hyperlink" Target="https://us3.assetplanner.com/service_request?ID=093327" TargetMode="External"/><Relationship Id="rId14" Type="http://schemas.openxmlformats.org/officeDocument/2006/relationships/hyperlink" Target="https://us3.assetplanner.com/service_request?ID=113444" TargetMode="External"/><Relationship Id="rId30" Type="http://schemas.openxmlformats.org/officeDocument/2006/relationships/hyperlink" Target="https://us3.assetplanner.com/service_request?ID=105816" TargetMode="External"/><Relationship Id="rId35" Type="http://schemas.openxmlformats.org/officeDocument/2006/relationships/hyperlink" Target="https://us3.assetplanner.com/service_request?ID=113456" TargetMode="External"/><Relationship Id="rId56" Type="http://schemas.openxmlformats.org/officeDocument/2006/relationships/hyperlink" Target="https://us3.assetplanner.com/service_request?ID=112749" TargetMode="External"/><Relationship Id="rId77" Type="http://schemas.openxmlformats.org/officeDocument/2006/relationships/hyperlink" Target="https://us3.assetplanner.com/service_request?ID=108120" TargetMode="External"/><Relationship Id="rId100" Type="http://schemas.openxmlformats.org/officeDocument/2006/relationships/hyperlink" Target="https://us3.assetplanner.com/service_request?ID=113649" TargetMode="External"/><Relationship Id="rId105" Type="http://schemas.openxmlformats.org/officeDocument/2006/relationships/hyperlink" Target="https://us3.assetplanner.com/service_request?ID=112060"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12750" TargetMode="External"/><Relationship Id="rId72" Type="http://schemas.openxmlformats.org/officeDocument/2006/relationships/hyperlink" Target="https://us3.assetplanner.com/service_request?ID=113201" TargetMode="External"/><Relationship Id="rId93" Type="http://schemas.openxmlformats.org/officeDocument/2006/relationships/hyperlink" Target="https://us3.assetplanner.com/service_request?ID=112553" TargetMode="External"/><Relationship Id="rId98" Type="http://schemas.openxmlformats.org/officeDocument/2006/relationships/hyperlink" Target="https://us3.assetplanner.com/service_request?ID=109332" TargetMode="External"/><Relationship Id="rId121" Type="http://schemas.openxmlformats.org/officeDocument/2006/relationships/hyperlink" Target="https://us3.assetplanner.com/service_request?ID=113222" TargetMode="External"/><Relationship Id="rId3" Type="http://schemas.openxmlformats.org/officeDocument/2006/relationships/hyperlink" Target="https://us3.assetplanner.com/service_request?ID=111795" TargetMode="External"/><Relationship Id="rId25" Type="http://schemas.openxmlformats.org/officeDocument/2006/relationships/hyperlink" Target="https://us3.assetplanner.com/service_request?ID=104556" TargetMode="External"/><Relationship Id="rId46" Type="http://schemas.openxmlformats.org/officeDocument/2006/relationships/hyperlink" Target="https://us3.assetplanner.com/service_request?ID=112202" TargetMode="External"/><Relationship Id="rId67" Type="http://schemas.openxmlformats.org/officeDocument/2006/relationships/hyperlink" Target="https://us3.assetplanner.com/service_request?ID=113433" TargetMode="External"/><Relationship Id="rId116" Type="http://schemas.openxmlformats.org/officeDocument/2006/relationships/hyperlink" Target="https://us3.assetplanner.com/service_request?ID=111163" TargetMode="External"/><Relationship Id="rId20" Type="http://schemas.openxmlformats.org/officeDocument/2006/relationships/hyperlink" Target="https://us3.assetplanner.com/service_request?ID=112764" TargetMode="External"/><Relationship Id="rId41" Type="http://schemas.openxmlformats.org/officeDocument/2006/relationships/hyperlink" Target="https://us3.assetplanner.com/service_request?ID=111325" TargetMode="External"/><Relationship Id="rId62" Type="http://schemas.openxmlformats.org/officeDocument/2006/relationships/hyperlink" Target="https://us3.assetplanner.com/service_request?ID=111776" TargetMode="External"/><Relationship Id="rId83" Type="http://schemas.openxmlformats.org/officeDocument/2006/relationships/hyperlink" Target="https://us3.assetplanner.com/service_request?ID=112216" TargetMode="External"/><Relationship Id="rId88" Type="http://schemas.openxmlformats.org/officeDocument/2006/relationships/hyperlink" Target="https://us3.assetplanner.com/service_request?ID=113325" TargetMode="External"/><Relationship Id="rId111" Type="http://schemas.openxmlformats.org/officeDocument/2006/relationships/hyperlink" Target="https://us3.assetplanner.com/service_request?ID=110863" TargetMode="External"/><Relationship Id="rId15" Type="http://schemas.openxmlformats.org/officeDocument/2006/relationships/hyperlink" Target="https://us3.assetplanner.com/service_request?ID=112392" TargetMode="External"/><Relationship Id="rId36" Type="http://schemas.openxmlformats.org/officeDocument/2006/relationships/hyperlink" Target="https://us3.assetplanner.com/service_request?ID=113372" TargetMode="External"/><Relationship Id="rId57" Type="http://schemas.openxmlformats.org/officeDocument/2006/relationships/hyperlink" Target="https://us3.assetplanner.com/service_request?ID=107667" TargetMode="External"/><Relationship Id="rId106" Type="http://schemas.openxmlformats.org/officeDocument/2006/relationships/hyperlink" Target="https://us3.assetplanner.com/service_request?ID=113693" TargetMode="External"/><Relationship Id="rId10" Type="http://schemas.openxmlformats.org/officeDocument/2006/relationships/hyperlink" Target="https://us3.assetplanner.com/service_request?ID=112247" TargetMode="External"/><Relationship Id="rId31" Type="http://schemas.openxmlformats.org/officeDocument/2006/relationships/hyperlink" Target="https://us3.assetplanner.com/service_request?ID=112838" TargetMode="External"/><Relationship Id="rId52" Type="http://schemas.openxmlformats.org/officeDocument/2006/relationships/hyperlink" Target="https://us3.assetplanner.com/service_request?ID=112751" TargetMode="External"/><Relationship Id="rId73" Type="http://schemas.openxmlformats.org/officeDocument/2006/relationships/hyperlink" Target="https://us3.assetplanner.com/service_request?ID=112199" TargetMode="External"/><Relationship Id="rId78" Type="http://schemas.openxmlformats.org/officeDocument/2006/relationships/hyperlink" Target="https://us3.assetplanner.com/service_request?ID=112191" TargetMode="External"/><Relationship Id="rId94" Type="http://schemas.openxmlformats.org/officeDocument/2006/relationships/hyperlink" Target="https://us3.assetplanner.com/service_request?ID=113437" TargetMode="External"/><Relationship Id="rId99" Type="http://schemas.openxmlformats.org/officeDocument/2006/relationships/hyperlink" Target="https://us3.assetplanner.com/service_request?ID=112210" TargetMode="External"/><Relationship Id="rId101" Type="http://schemas.openxmlformats.org/officeDocument/2006/relationships/hyperlink" Target="https://us3.assetplanner.com/service_request?ID=113247" TargetMode="External"/><Relationship Id="rId122" Type="http://schemas.openxmlformats.org/officeDocument/2006/relationships/hyperlink" Target="https://us3.assetplanner.com/service_request?ID=112318" TargetMode="External"/><Relationship Id="rId4" Type="http://schemas.openxmlformats.org/officeDocument/2006/relationships/hyperlink" Target="https://us3.assetplanner.com/service_request?ID=110236" TargetMode="External"/><Relationship Id="rId9" Type="http://schemas.openxmlformats.org/officeDocument/2006/relationships/hyperlink" Target="https://us3.assetplanner.com/service_request?ID=112395"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73"/>
  <sheetViews>
    <sheetView zoomScale="90" zoomScaleNormal="90" workbookViewId="0">
      <pane xSplit="2" ySplit="3" topLeftCell="C164" activePane="bottomRight" state="frozen"/>
      <selection pane="bottomRight" activeCell="J169" sqref="J169:J173"/>
      <selection pane="bottomLeft"/>
      <selection pane="topRight"/>
    </sheetView>
  </sheetViews>
  <sheetFormatPr defaultRowHeight="13.15"/>
  <cols>
    <col min="1" max="1" width="35.85546875" bestFit="1" customWidth="1"/>
    <col min="2" max="2" width="8.42578125" customWidth="1"/>
    <col min="3" max="3" width="9.28515625" bestFit="1" customWidth="1"/>
    <col min="4" max="4" width="15.140625" customWidth="1"/>
    <col min="5" max="6" width="13.28515625" customWidth="1"/>
    <col min="7" max="7" width="13.28515625" style="1" customWidth="1"/>
    <col min="8" max="9" width="13.28515625" customWidth="1"/>
    <col min="10" max="10" width="13.28515625" style="1" customWidth="1"/>
  </cols>
  <sheetData>
    <row r="1" spans="1:10" ht="19.5" customHeight="1">
      <c r="A1" s="192" t="str" cm="1">
        <f t="array" ref="A1">portfolio</f>
        <v>Generate Capital</v>
      </c>
      <c r="B1" s="192"/>
      <c r="C1" s="192"/>
      <c r="D1" s="192"/>
      <c r="E1" s="193" t="s">
        <v>0</v>
      </c>
      <c r="F1" s="193"/>
      <c r="G1" s="193"/>
      <c r="H1" s="191" t="s">
        <v>1</v>
      </c>
      <c r="I1" s="191"/>
      <c r="J1" s="191"/>
    </row>
    <row r="2" spans="1:10" ht="19.5" customHeight="1">
      <c r="A2" s="194" t="s">
        <v>2</v>
      </c>
      <c r="B2" s="194"/>
      <c r="C2" s="57"/>
      <c r="D2" s="5">
        <f>SUM(D4:D260)</f>
        <v>454279847.42349511</v>
      </c>
      <c r="E2" s="5">
        <f>SUM(E4:E260)</f>
        <v>279635520.35200006</v>
      </c>
      <c r="F2" s="5">
        <f>D2-E2</f>
        <v>174644327.07149506</v>
      </c>
      <c r="G2" s="6">
        <f>IFERROR(F2/E2, 0)</f>
        <v>0.62454271492997737</v>
      </c>
      <c r="H2" s="5">
        <f>SUM(H4:H260)</f>
        <v>434730084.01479995</v>
      </c>
      <c r="I2" s="7">
        <f>D2-H2</f>
        <v>19549763.408695161</v>
      </c>
      <c r="J2" s="6">
        <f>IFERROR(I2/H2, 0)</f>
        <v>4.4969888506794967E-2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3">Sites[Site]</f>
        <v>K026</v>
      </c>
      <c r="B4" s="27" t="str" cm="1">
        <f t="array" ref="B4:B173">Sites[State]</f>
        <v>NY</v>
      </c>
      <c r="C4" s="27" t="str">
        <f>Sites[[#This Row],[SOL'#]]</f>
        <v>SOL-10356</v>
      </c>
      <c r="D4" s="9">
        <f>SUM('1st Qtr'!D4,'2nd Qtr'!D4,'3rd Qtr'!D4,'4th Qtr'!D4)</f>
        <v>225804.75</v>
      </c>
      <c r="E4" s="14">
        <f>SUM('1st Qtr'!E4, '2nd Qtr'!E4, '3rd Qtr'!E4, '4th Qtr'!E4)</f>
        <v>350601.78399999999</v>
      </c>
      <c r="F4" s="14">
        <f t="shared" ref="F4:F64" si="0">IF(AND(ISNUMBER(D4),ISNUMBER(E4)), D4-E4, "")</f>
        <v>-124797.03399999999</v>
      </c>
      <c r="G4" s="15">
        <f t="shared" ref="G4:G64" si="1">IFERROR(F4/E4, "")</f>
        <v>-0.35595093834434111</v>
      </c>
      <c r="H4" s="16">
        <f>SUM('1st Qtr'!H4,'2nd Qtr'!H4,'3rd Qtr'!H4,'4th Qtr'!H4)</f>
        <v>314456.89099999995</v>
      </c>
      <c r="I4" s="16">
        <f>SUM('1st Qtr'!I4, '2nd Qtr'!I4, '3rd Qtr'!I4, '4th Qtr'!I4)</f>
        <v>-88652.140999999989</v>
      </c>
      <c r="J4" s="15">
        <f t="shared" ref="J4:J64" si="2">IFERROR(I4/H4, "")</f>
        <v>-0.2819214446790419</v>
      </c>
    </row>
    <row r="5" spans="1:10" ht="15.6">
      <c r="A5" s="24" t="str">
        <v>K041</v>
      </c>
      <c r="B5" s="25" t="str">
        <v>NY</v>
      </c>
      <c r="C5" s="25" t="str">
        <f>Sites[[#This Row],[SOL'#]]</f>
        <v>SOL-10357</v>
      </c>
      <c r="D5" s="20">
        <f>SUM('1st Qtr'!D5,'2nd Qtr'!D5,'3rd Qtr'!D5,'4th Qtr'!D5)</f>
        <v>239804.34375</v>
      </c>
      <c r="E5" s="10">
        <f>SUM('1st Qtr'!E5, '2nd Qtr'!E5, '3rd Qtr'!E5, '4th Qtr'!E5)</f>
        <v>280822.53700000001</v>
      </c>
      <c r="F5" s="10">
        <f t="shared" si="0"/>
        <v>-41018.193250000011</v>
      </c>
      <c r="G5" s="11">
        <f t="shared" si="1"/>
        <v>-0.1460644636580575</v>
      </c>
      <c r="H5" s="12">
        <f>SUM('1st Qtr'!H5,'2nd Qtr'!H5,'3rd Qtr'!H5,'4th Qtr'!H5)</f>
        <v>257372</v>
      </c>
      <c r="I5" s="12">
        <f>SUM('1st Qtr'!I5, '2nd Qtr'!I5, '3rd Qtr'!I5, '4th Qtr'!I5)</f>
        <v>-17567.65625</v>
      </c>
      <c r="J5" s="13">
        <f t="shared" si="2"/>
        <v>-6.825783787669211E-2</v>
      </c>
    </row>
    <row r="6" spans="1:10" ht="15.6">
      <c r="A6" s="26" t="str">
        <v>K043</v>
      </c>
      <c r="B6" s="27" t="str">
        <v>NY</v>
      </c>
      <c r="C6" s="27" t="str">
        <f>Sites[[#This Row],[SOL'#]]</f>
        <v>SOL-10358</v>
      </c>
      <c r="D6" s="9">
        <f>SUM('1st Qtr'!D6,'2nd Qtr'!D6,'3rd Qtr'!D6,'4th Qtr'!D6)</f>
        <v>288563.34424999997</v>
      </c>
      <c r="E6" s="14">
        <f>SUM('1st Qtr'!E6, '2nd Qtr'!E6, '3rd Qtr'!E6, '4th Qtr'!E6)</f>
        <v>311654.06800000003</v>
      </c>
      <c r="F6" s="14">
        <f t="shared" si="0"/>
        <v>-23090.723750000063</v>
      </c>
      <c r="G6" s="15">
        <f t="shared" si="1"/>
        <v>-7.4090878704654223E-2</v>
      </c>
      <c r="H6" s="16">
        <f>SUM('1st Qtr'!H6,'2nd Qtr'!H6,'3rd Qtr'!H6,'4th Qtr'!H6)</f>
        <v>56772.277999999998</v>
      </c>
      <c r="I6" s="16">
        <f>SUM('1st Qtr'!I6, '2nd Qtr'!I6, '3rd Qtr'!I6, '4th Qtr'!I6)</f>
        <v>231791.06624999997</v>
      </c>
      <c r="J6" s="15">
        <f t="shared" si="2"/>
        <v>4.0828213067300201</v>
      </c>
    </row>
    <row r="7" spans="1:10" ht="15.6">
      <c r="A7" s="24" t="str">
        <v>K058</v>
      </c>
      <c r="B7" s="25" t="str">
        <v>NY</v>
      </c>
      <c r="C7" s="25" t="str">
        <f>Sites[[#This Row],[SOL'#]]</f>
        <v>SOL-10360</v>
      </c>
      <c r="D7" s="20">
        <f>SUM('1st Qtr'!D7,'2nd Qtr'!D7,'3rd Qtr'!D7,'4th Qtr'!D7)</f>
        <v>94898.875481878902</v>
      </c>
      <c r="E7" s="10">
        <f>SUM('1st Qtr'!E7, '2nd Qtr'!E7, '3rd Qtr'!E7, '4th Qtr'!E7)</f>
        <v>110097.181</v>
      </c>
      <c r="F7" s="10">
        <f t="shared" si="0"/>
        <v>-15198.305518121095</v>
      </c>
      <c r="G7" s="11">
        <f t="shared" si="1"/>
        <v>-0.13804445654354305</v>
      </c>
      <c r="H7" s="12">
        <f>SUM('1st Qtr'!H7,'2nd Qtr'!H7,'3rd Qtr'!H7,'4th Qtr'!H7)</f>
        <v>215922.71799999999</v>
      </c>
      <c r="I7" s="12">
        <f>SUM('1st Qtr'!I7, '2nd Qtr'!I7, '3rd Qtr'!I7, '4th Qtr'!I7)</f>
        <v>-121023.84251812109</v>
      </c>
      <c r="J7" s="13">
        <f t="shared" si="2"/>
        <v>-0.5604961054543649</v>
      </c>
    </row>
    <row r="8" spans="1:10" ht="15.6">
      <c r="A8" s="26" t="str">
        <v>K115</v>
      </c>
      <c r="B8" s="27" t="str">
        <v>NY</v>
      </c>
      <c r="C8" s="27" t="str">
        <f>Sites[[#This Row],[SOL'#]]</f>
        <v>SOL-10361</v>
      </c>
      <c r="D8" s="9">
        <f>SUM('1st Qtr'!D8,'2nd Qtr'!D8,'3rd Qtr'!D8,'4th Qtr'!D8)</f>
        <v>73114.288937500009</v>
      </c>
      <c r="E8" s="14">
        <f>SUM('1st Qtr'!E8, '2nd Qtr'!E8, '3rd Qtr'!E8, '4th Qtr'!E8)</f>
        <v>130258.30899999999</v>
      </c>
      <c r="F8" s="14">
        <f t="shared" si="0"/>
        <v>-57144.020062499985</v>
      </c>
      <c r="G8" s="15">
        <f t="shared" si="1"/>
        <v>-0.43869769614850435</v>
      </c>
      <c r="H8" s="16">
        <f>SUM('1st Qtr'!H8,'2nd Qtr'!H8,'3rd Qtr'!H8,'4th Qtr'!H8)</f>
        <v>145405.693</v>
      </c>
      <c r="I8" s="16">
        <f>SUM('1st Qtr'!I8, '2nd Qtr'!I8, '3rd Qtr'!I8, '4th Qtr'!I8)</f>
        <v>-72291.404062499991</v>
      </c>
      <c r="J8" s="15">
        <f t="shared" si="2"/>
        <v>-0.49717038288521476</v>
      </c>
    </row>
    <row r="9" spans="1:10" ht="15.6">
      <c r="A9" s="24" t="str">
        <v>K152</v>
      </c>
      <c r="B9" s="25" t="str">
        <v>NY</v>
      </c>
      <c r="C9" s="25" t="str">
        <f>Sites[[#This Row],[SOL'#]]</f>
        <v>SOL-10362</v>
      </c>
      <c r="D9" s="20">
        <f>SUM('1st Qtr'!D9,'2nd Qtr'!D9,'3rd Qtr'!D9,'4th Qtr'!D9)</f>
        <v>87875.437999999995</v>
      </c>
      <c r="E9" s="10">
        <f>SUM('1st Qtr'!E9, '2nd Qtr'!E9, '3rd Qtr'!E9, '4th Qtr'!E9)</f>
        <v>94402.486000000004</v>
      </c>
      <c r="F9" s="10">
        <f t="shared" si="0"/>
        <v>-6527.0480000000098</v>
      </c>
      <c r="G9" s="11">
        <f t="shared" si="1"/>
        <v>-6.9140636826026058E-2</v>
      </c>
      <c r="H9" s="12">
        <f>SUM('1st Qtr'!H9,'2nd Qtr'!H9,'3rd Qtr'!H9,'4th Qtr'!H9)</f>
        <v>92383</v>
      </c>
      <c r="I9" s="12">
        <f>SUM('1st Qtr'!I9, '2nd Qtr'!I9, '3rd Qtr'!I9, '4th Qtr'!I9)</f>
        <v>-4507.5619999999999</v>
      </c>
      <c r="J9" s="13">
        <f t="shared" si="2"/>
        <v>-4.879211543249299E-2</v>
      </c>
    </row>
    <row r="10" spans="1:10" ht="15.6">
      <c r="A10" s="26" t="str">
        <v>K166</v>
      </c>
      <c r="B10" s="27" t="str">
        <v>NY</v>
      </c>
      <c r="C10" s="27" t="str">
        <f>Sites[[#This Row],[SOL'#]]</f>
        <v>SOL-10363</v>
      </c>
      <c r="D10" s="9">
        <f>SUM('1st Qtr'!D10,'2nd Qtr'!D10,'3rd Qtr'!D10,'4th Qtr'!D10)</f>
        <v>310025.125</v>
      </c>
      <c r="E10" s="14">
        <f>SUM('1st Qtr'!E10, '2nd Qtr'!E10, '3rd Qtr'!E10, '4th Qtr'!E10)</f>
        <v>357544.06099999999</v>
      </c>
      <c r="F10" s="14">
        <f t="shared" si="0"/>
        <v>-47518.935999999987</v>
      </c>
      <c r="G10" s="15">
        <f t="shared" si="1"/>
        <v>-0.13290372064102049</v>
      </c>
      <c r="H10" s="16">
        <f>SUM('1st Qtr'!H10,'2nd Qtr'!H10,'3rd Qtr'!H10,'4th Qtr'!H10)</f>
        <v>334066.94700000004</v>
      </c>
      <c r="I10" s="16">
        <f>SUM('1st Qtr'!I10, '2nd Qtr'!I10, '3rd Qtr'!I10, '4th Qtr'!I10)</f>
        <v>-24041.821999999996</v>
      </c>
      <c r="J10" s="15">
        <f t="shared" si="2"/>
        <v>-7.1967077904298002E-2</v>
      </c>
    </row>
    <row r="11" spans="1:10" ht="15.6">
      <c r="A11" s="24" t="str">
        <v>K206</v>
      </c>
      <c r="B11" s="25" t="str">
        <v>NY</v>
      </c>
      <c r="C11" s="25" t="str">
        <f>Sites[[#This Row],[SOL'#]]</f>
        <v>SOL-10927</v>
      </c>
      <c r="D11" s="20">
        <f>SUM('1st Qtr'!D11,'2nd Qtr'!D11,'3rd Qtr'!D11,'4th Qtr'!D11)</f>
        <v>191433.33960937499</v>
      </c>
      <c r="E11" s="10">
        <f>SUM('1st Qtr'!E11, '2nd Qtr'!E11, '3rd Qtr'!E11, '4th Qtr'!E11)</f>
        <v>190220.25699999998</v>
      </c>
      <c r="F11" s="10">
        <f t="shared" si="0"/>
        <v>1213.0826093750075</v>
      </c>
      <c r="G11" s="11">
        <f t="shared" si="1"/>
        <v>6.3772524993224436E-3</v>
      </c>
      <c r="H11" s="12">
        <f>SUM('1st Qtr'!H11,'2nd Qtr'!H11,'3rd Qtr'!H11,'4th Qtr'!H11)</f>
        <v>187779</v>
      </c>
      <c r="I11" s="12">
        <f>SUM('1st Qtr'!I11, '2nd Qtr'!I11, '3rd Qtr'!I11, '4th Qtr'!I11)</f>
        <v>3654.3396093749989</v>
      </c>
      <c r="J11" s="13">
        <f t="shared" si="2"/>
        <v>1.9460853499992006E-2</v>
      </c>
    </row>
    <row r="12" spans="1:10" ht="15.6">
      <c r="A12" s="26" t="str">
        <v>K251</v>
      </c>
      <c r="B12" s="27" t="str">
        <v>NY</v>
      </c>
      <c r="C12" s="27" t="str">
        <f>Sites[[#This Row],[SOL'#]]</f>
        <v>SOL-10365</v>
      </c>
      <c r="D12" s="9">
        <f>SUM('1st Qtr'!D12,'2nd Qtr'!D12,'3rd Qtr'!D12,'4th Qtr'!D12)</f>
        <v>191459.37499999988</v>
      </c>
      <c r="E12" s="14">
        <f>SUM('1st Qtr'!E12, '2nd Qtr'!E12, '3rd Qtr'!E12, '4th Qtr'!E12)</f>
        <v>0</v>
      </c>
      <c r="F12" s="14">
        <f t="shared" si="0"/>
        <v>191459.37499999988</v>
      </c>
      <c r="G12" s="15" t="str">
        <f t="shared" si="1"/>
        <v/>
      </c>
      <c r="H12" s="16">
        <f>SUM('1st Qtr'!H12,'2nd Qtr'!H12,'3rd Qtr'!H12,'4th Qtr'!H12)</f>
        <v>215815.00599999999</v>
      </c>
      <c r="I12" s="16">
        <f>SUM('1st Qtr'!I12, '2nd Qtr'!I12, '3rd Qtr'!I12, '4th Qtr'!I12)</f>
        <v>-24355.631000000096</v>
      </c>
      <c r="J12" s="15">
        <f t="shared" si="2"/>
        <v>-0.11285420532805812</v>
      </c>
    </row>
    <row r="13" spans="1:10" ht="15.6">
      <c r="A13" s="24" t="str">
        <v>K269</v>
      </c>
      <c r="B13" s="25" t="str">
        <v>NY</v>
      </c>
      <c r="C13" s="25" t="str">
        <f>Sites[[#This Row],[SOL'#]]</f>
        <v>SOL-10366</v>
      </c>
      <c r="D13" s="20">
        <f>SUM('1st Qtr'!D13,'2nd Qtr'!D13,'3rd Qtr'!D13,'4th Qtr'!D13)</f>
        <v>191448.43799999999</v>
      </c>
      <c r="E13" s="10">
        <f>SUM('1st Qtr'!E13, '2nd Qtr'!E13, '3rd Qtr'!E13, '4th Qtr'!E13)</f>
        <v>233166.75399999999</v>
      </c>
      <c r="F13" s="10">
        <f t="shared" si="0"/>
        <v>-41718.315999999992</v>
      </c>
      <c r="G13" s="11">
        <f t="shared" si="1"/>
        <v>-0.17892051625850569</v>
      </c>
      <c r="H13" s="12">
        <f>SUM('1st Qtr'!H13,'2nd Qtr'!H13,'3rd Qtr'!H13,'4th Qtr'!H13)</f>
        <v>202482.72399999999</v>
      </c>
      <c r="I13" s="12">
        <f>SUM('1st Qtr'!I13, '2nd Qtr'!I13, '3rd Qtr'!I13, '4th Qtr'!I13)</f>
        <v>-11034.286</v>
      </c>
      <c r="J13" s="13">
        <f t="shared" si="2"/>
        <v>-5.4494950393891385E-2</v>
      </c>
    </row>
    <row r="14" spans="1:10" ht="15.6">
      <c r="A14" s="26" t="str">
        <v>K273</v>
      </c>
      <c r="B14" s="27" t="str">
        <v>NY</v>
      </c>
      <c r="C14" s="27" t="str">
        <f>Sites[[#This Row],[SOL'#]]</f>
        <v>SOL-10367</v>
      </c>
      <c r="D14" s="9">
        <f>SUM('1st Qtr'!D14,'2nd Qtr'!D14,'3rd Qtr'!D14,'4th Qtr'!D14)</f>
        <v>173177.0625</v>
      </c>
      <c r="E14" s="14">
        <f>SUM('1st Qtr'!E14, '2nd Qtr'!E14, '3rd Qtr'!E14, '4th Qtr'!E14)</f>
        <v>0</v>
      </c>
      <c r="F14" s="14">
        <f t="shared" si="0"/>
        <v>173177.0625</v>
      </c>
      <c r="G14" s="15" t="str">
        <f t="shared" si="1"/>
        <v/>
      </c>
      <c r="H14" s="16">
        <f>SUM('1st Qtr'!H14,'2nd Qtr'!H14,'3rd Qtr'!H14,'4th Qtr'!H14)</f>
        <v>233475</v>
      </c>
      <c r="I14" s="16">
        <f>SUM('1st Qtr'!I14, '2nd Qtr'!I14, '3rd Qtr'!I14, '4th Qtr'!I14)</f>
        <v>-72388.9375</v>
      </c>
      <c r="J14" s="15">
        <f t="shared" si="2"/>
        <v>-0.31005005889281506</v>
      </c>
    </row>
    <row r="15" spans="1:10" ht="15.6">
      <c r="A15" s="24" t="str">
        <v>K287</v>
      </c>
      <c r="B15" s="25" t="str">
        <v>NY</v>
      </c>
      <c r="C15" s="25" t="str">
        <f>Sites[[#This Row],[SOL'#]]</f>
        <v>SOL-10919</v>
      </c>
      <c r="D15" s="20">
        <f>SUM('1st Qtr'!D15,'2nd Qtr'!D15,'3rd Qtr'!D15,'4th Qtr'!D15)</f>
        <v>167902.93799999999</v>
      </c>
      <c r="E15" s="10">
        <f>SUM('1st Qtr'!E15, '2nd Qtr'!E15, '3rd Qtr'!E15, '4th Qtr'!E15)</f>
        <v>152493.25699999998</v>
      </c>
      <c r="F15" s="10">
        <f t="shared" si="0"/>
        <v>15409.681000000011</v>
      </c>
      <c r="G15" s="11">
        <f t="shared" si="1"/>
        <v>0.10105155665997752</v>
      </c>
      <c r="H15" s="12">
        <f>SUM('1st Qtr'!H15,'2nd Qtr'!H15,'3rd Qtr'!H15,'4th Qtr'!H15)</f>
        <v>177628</v>
      </c>
      <c r="I15" s="12">
        <f>SUM('1st Qtr'!I15, '2nd Qtr'!I15, '3rd Qtr'!I15, '4th Qtr'!I15)</f>
        <v>-9725.0619999999999</v>
      </c>
      <c r="J15" s="13">
        <f t="shared" si="2"/>
        <v>-5.4749600288242842E-2</v>
      </c>
    </row>
    <row r="16" spans="1:10" ht="15.6">
      <c r="A16" s="26" t="str">
        <v>K298</v>
      </c>
      <c r="B16" s="27" t="str">
        <v>NY</v>
      </c>
      <c r="C16" s="27" t="str">
        <f>Sites[[#This Row],[SOL'#]]</f>
        <v>SOL-10368</v>
      </c>
      <c r="D16" s="9">
        <f>SUM('1st Qtr'!D16,'2nd Qtr'!D16,'3rd Qtr'!D16,'4th Qtr'!D16)</f>
        <v>176177.71924999999</v>
      </c>
      <c r="E16" s="14">
        <f>SUM('1st Qtr'!E16, '2nd Qtr'!E16, '3rd Qtr'!E16, '4th Qtr'!E16)</f>
        <v>200968.62599999999</v>
      </c>
      <c r="F16" s="14">
        <f t="shared" si="0"/>
        <v>-24790.906749999995</v>
      </c>
      <c r="G16" s="15">
        <f t="shared" si="1"/>
        <v>-0.12335709928175553</v>
      </c>
      <c r="H16" s="16">
        <f>SUM('1st Qtr'!H16,'2nd Qtr'!H16,'3rd Qtr'!H16,'4th Qtr'!H16)</f>
        <v>193842</v>
      </c>
      <c r="I16" s="16">
        <f>SUM('1st Qtr'!I16, '2nd Qtr'!I16, '3rd Qtr'!I16, '4th Qtr'!I16)</f>
        <v>-17664.280750000002</v>
      </c>
      <c r="J16" s="15">
        <f t="shared" si="2"/>
        <v>-9.1127210563242231E-2</v>
      </c>
    </row>
    <row r="17" spans="1:10" ht="15.6">
      <c r="A17" s="24" t="str">
        <v>K335</v>
      </c>
      <c r="B17" s="25" t="str">
        <v>NY</v>
      </c>
      <c r="C17" s="25" t="str">
        <f>Sites[[#This Row],[SOL'#]]</f>
        <v>SOL-10370</v>
      </c>
      <c r="D17" s="20">
        <f>SUM('1st Qtr'!D17,'2nd Qtr'!D17,'3rd Qtr'!D17,'4th Qtr'!D17)</f>
        <v>187157.1875</v>
      </c>
      <c r="E17" s="10">
        <f>SUM('1st Qtr'!E17, '2nd Qtr'!E17, '3rd Qtr'!E17, '4th Qtr'!E17)</f>
        <v>219649.85200000001</v>
      </c>
      <c r="F17" s="10">
        <f t="shared" si="0"/>
        <v>-32492.664500000014</v>
      </c>
      <c r="G17" s="11">
        <f t="shared" si="1"/>
        <v>-0.14792937124310018</v>
      </c>
      <c r="H17" s="12">
        <f>SUM('1st Qtr'!H17,'2nd Qtr'!H17,'3rd Qtr'!H17,'4th Qtr'!H17)</f>
        <v>196276.09700000001</v>
      </c>
      <c r="I17" s="12">
        <f>SUM('1st Qtr'!I17, '2nd Qtr'!I17, '3rd Qtr'!I17, '4th Qtr'!I17)</f>
        <v>-9118.9095000000016</v>
      </c>
      <c r="J17" s="13">
        <f t="shared" si="2"/>
        <v>-4.6459602770682777E-2</v>
      </c>
    </row>
    <row r="18" spans="1:10" ht="15.6">
      <c r="A18" s="26" t="str">
        <v>K345</v>
      </c>
      <c r="B18" s="27" t="str">
        <v>NY</v>
      </c>
      <c r="C18" s="27" t="str">
        <f>Sites[[#This Row],[SOL'#]]</f>
        <v>SOL-10920</v>
      </c>
      <c r="D18" s="9">
        <f>SUM('1st Qtr'!D18,'2nd Qtr'!D18,'3rd Qtr'!D18,'4th Qtr'!D18)</f>
        <v>220580.03125</v>
      </c>
      <c r="E18" s="14">
        <f>SUM('1st Qtr'!E18, '2nd Qtr'!E18, '3rd Qtr'!E18, '4th Qtr'!E18)</f>
        <v>140835.016</v>
      </c>
      <c r="F18" s="14">
        <f t="shared" si="0"/>
        <v>79745.015249999997</v>
      </c>
      <c r="G18" s="15">
        <f t="shared" si="1"/>
        <v>0.56623002939837064</v>
      </c>
      <c r="H18" s="16">
        <f>SUM('1st Qtr'!H18,'2nd Qtr'!H18,'3rd Qtr'!H18,'4th Qtr'!H18)</f>
        <v>225609.5</v>
      </c>
      <c r="I18" s="16">
        <f>SUM('1st Qtr'!I18, '2nd Qtr'!I18, '3rd Qtr'!I18, '4th Qtr'!I18)</f>
        <v>-5029.4687499999891</v>
      </c>
      <c r="J18" s="15">
        <f t="shared" si="2"/>
        <v>-2.2292805710752379E-2</v>
      </c>
    </row>
    <row r="19" spans="1:10" ht="15.6">
      <c r="A19" s="24" t="str">
        <v>K445</v>
      </c>
      <c r="B19" s="25" t="str">
        <v>NY</v>
      </c>
      <c r="C19" s="25" t="str">
        <f>Sites[[#This Row],[SOL'#]]</f>
        <v>SOL-10373</v>
      </c>
      <c r="D19" s="20">
        <f>SUM('1st Qtr'!D19,'2nd Qtr'!D19,'3rd Qtr'!D19,'4th Qtr'!D19)</f>
        <v>177922.1096249999</v>
      </c>
      <c r="E19" s="10">
        <f>SUM('1st Qtr'!E19, '2nd Qtr'!E19, '3rd Qtr'!E19, '4th Qtr'!E19)</f>
        <v>211621.09899999999</v>
      </c>
      <c r="F19" s="10">
        <f t="shared" si="0"/>
        <v>-33698.989375000092</v>
      </c>
      <c r="G19" s="11">
        <f t="shared" si="1"/>
        <v>-0.15924210550952717</v>
      </c>
      <c r="H19" s="12">
        <f>SUM('1st Qtr'!H19,'2nd Qtr'!H19,'3rd Qtr'!H19,'4th Qtr'!H19)</f>
        <v>187052.98199999999</v>
      </c>
      <c r="I19" s="12">
        <f>SUM('1st Qtr'!I19, '2nd Qtr'!I19, '3rd Qtr'!I19, '4th Qtr'!I19)</f>
        <v>-9130.8723750000936</v>
      </c>
      <c r="J19" s="13">
        <f t="shared" si="2"/>
        <v>-4.8814364130266012E-2</v>
      </c>
    </row>
    <row r="20" spans="1:10" ht="15.6">
      <c r="A20" s="26" t="str">
        <v>K495</v>
      </c>
      <c r="B20" s="27" t="str">
        <v>NY</v>
      </c>
      <c r="C20" s="27" t="str">
        <f>Sites[[#This Row],[SOL'#]]</f>
        <v>SOL-10374</v>
      </c>
      <c r="D20" s="9">
        <f>SUM('1st Qtr'!D20,'2nd Qtr'!D20,'3rd Qtr'!D20,'4th Qtr'!D20)</f>
        <v>577544.37500000023</v>
      </c>
      <c r="E20" s="14">
        <f>SUM('1st Qtr'!E20, '2nd Qtr'!E20, '3rd Qtr'!E20, '4th Qtr'!E20)</f>
        <v>781001.72</v>
      </c>
      <c r="F20" s="14">
        <f t="shared" si="0"/>
        <v>-203457.34499999974</v>
      </c>
      <c r="G20" s="15">
        <f t="shared" si="1"/>
        <v>-0.26050819068618664</v>
      </c>
      <c r="H20" s="16">
        <f>SUM('1st Qtr'!H20,'2nd Qtr'!H20,'3rd Qtr'!H20,'4th Qtr'!H20)</f>
        <v>860700.84600000002</v>
      </c>
      <c r="I20" s="16">
        <f>SUM('1st Qtr'!I20, '2nd Qtr'!I20, '3rd Qtr'!I20, '4th Qtr'!I20)</f>
        <v>-283156.47099999984</v>
      </c>
      <c r="J20" s="15">
        <f t="shared" si="2"/>
        <v>-0.32898360948049987</v>
      </c>
    </row>
    <row r="21" spans="1:10" ht="15.6">
      <c r="A21" s="24" t="str">
        <v>M020</v>
      </c>
      <c r="B21" s="25" t="str">
        <v>NY</v>
      </c>
      <c r="C21" s="25" t="str">
        <f>Sites[[#This Row],[SOL'#]]</f>
        <v>SOL-10380</v>
      </c>
      <c r="D21" s="20">
        <f>SUM('1st Qtr'!D21,'2nd Qtr'!D21,'3rd Qtr'!D21,'4th Qtr'!D21)</f>
        <v>196805.24975000002</v>
      </c>
      <c r="E21" s="10">
        <f>SUM('1st Qtr'!E21, '2nd Qtr'!E21, '3rd Qtr'!E21, '4th Qtr'!E21)</f>
        <v>214636.37399999998</v>
      </c>
      <c r="F21" s="10">
        <f t="shared" si="0"/>
        <v>-17831.124249999964</v>
      </c>
      <c r="G21" s="11">
        <f t="shared" si="1"/>
        <v>-8.307596665791589E-2</v>
      </c>
      <c r="H21" s="12">
        <f>SUM('1st Qtr'!H21,'2nd Qtr'!H21,'3rd Qtr'!H21,'4th Qtr'!H21)</f>
        <v>221847.5</v>
      </c>
      <c r="I21" s="12">
        <f>SUM('1st Qtr'!I21, '2nd Qtr'!I21, '3rd Qtr'!I21, '4th Qtr'!I21)</f>
        <v>-25042.250250000001</v>
      </c>
      <c r="J21" s="13">
        <f t="shared" si="2"/>
        <v>-0.1128804708189184</v>
      </c>
    </row>
    <row r="22" spans="1:10" ht="15.6">
      <c r="A22" s="26" t="str">
        <v>M092</v>
      </c>
      <c r="B22" s="27" t="str">
        <v>NY</v>
      </c>
      <c r="C22" s="27" t="str">
        <f>Sites[[#This Row],[SOL'#]]</f>
        <v>SOL-10383</v>
      </c>
      <c r="D22" s="9">
        <f>SUM('1st Qtr'!D22,'2nd Qtr'!D22,'3rd Qtr'!D22,'4th Qtr'!D22)</f>
        <v>195386.9375</v>
      </c>
      <c r="E22" s="14">
        <f>SUM('1st Qtr'!E22, '2nd Qtr'!E22, '3rd Qtr'!E22, '4th Qtr'!E22)</f>
        <v>217420.66099999999</v>
      </c>
      <c r="F22" s="14">
        <f t="shared" si="0"/>
        <v>-22033.723499999993</v>
      </c>
      <c r="G22" s="15">
        <f t="shared" si="1"/>
        <v>-0.10134144289074713</v>
      </c>
      <c r="H22" s="16">
        <f>SUM('1st Qtr'!H22,'2nd Qtr'!H22,'3rd Qtr'!H22,'4th Qtr'!H22)</f>
        <v>208707.552</v>
      </c>
      <c r="I22" s="16">
        <f>SUM('1st Qtr'!I22, '2nd Qtr'!I22, '3rd Qtr'!I22, '4th Qtr'!I22)</f>
        <v>-13320.614500000001</v>
      </c>
      <c r="J22" s="15">
        <f t="shared" si="2"/>
        <v>-6.3824305217283189E-2</v>
      </c>
    </row>
    <row r="23" spans="1:10" ht="15.6">
      <c r="A23" s="24" t="str">
        <v>M143</v>
      </c>
      <c r="B23" s="25" t="str">
        <v>NY</v>
      </c>
      <c r="C23" s="25" t="str">
        <f>Sites[[#This Row],[SOL'#]]</f>
        <v>SOL-10384</v>
      </c>
      <c r="D23" s="20">
        <f>SUM('1st Qtr'!D23,'2nd Qtr'!D23,'3rd Qtr'!D23,'4th Qtr'!D23)</f>
        <v>216613.03174999991</v>
      </c>
      <c r="E23" s="10">
        <f>SUM('1st Qtr'!E23, '2nd Qtr'!E23, '3rd Qtr'!E23, '4th Qtr'!E23)</f>
        <v>259239.34899999999</v>
      </c>
      <c r="F23" s="10">
        <f t="shared" si="0"/>
        <v>-42626.31725000008</v>
      </c>
      <c r="G23" s="11">
        <f t="shared" si="1"/>
        <v>-0.16442842266973939</v>
      </c>
      <c r="H23" s="12">
        <f>SUM('1st Qtr'!H23,'2nd Qtr'!H23,'3rd Qtr'!H23,'4th Qtr'!H23)</f>
        <v>229535.61099999998</v>
      </c>
      <c r="I23" s="12">
        <f>SUM('1st Qtr'!I23, '2nd Qtr'!I23, '3rd Qtr'!I23, '4th Qtr'!I23)</f>
        <v>-12922.579250000101</v>
      </c>
      <c r="J23" s="13">
        <f t="shared" si="2"/>
        <v>-5.6298799100066882E-2</v>
      </c>
    </row>
    <row r="24" spans="1:10" ht="15.6">
      <c r="A24" s="26" t="str">
        <v>M144</v>
      </c>
      <c r="B24" s="27" t="str">
        <v>NY</v>
      </c>
      <c r="C24" s="27" t="str">
        <f>Sites[[#This Row],[SOL'#]]</f>
        <v>SOL-10385</v>
      </c>
      <c r="D24" s="9">
        <f>SUM('1st Qtr'!D24,'2nd Qtr'!D24,'3rd Qtr'!D24,'4th Qtr'!D24)</f>
        <v>324495.75000000012</v>
      </c>
      <c r="E24" s="14">
        <f>SUM('1st Qtr'!E24, '2nd Qtr'!E24, '3rd Qtr'!E24, '4th Qtr'!E24)</f>
        <v>260426.33500000002</v>
      </c>
      <c r="F24" s="14">
        <f t="shared" si="0"/>
        <v>64069.415000000095</v>
      </c>
      <c r="G24" s="15">
        <f t="shared" si="1"/>
        <v>0.24601741985886369</v>
      </c>
      <c r="H24" s="16">
        <f>SUM('1st Qtr'!H24,'2nd Qtr'!H24,'3rd Qtr'!H24,'4th Qtr'!H24)</f>
        <v>396165.46100000001</v>
      </c>
      <c r="I24" s="16">
        <f>SUM('1st Qtr'!I24, '2nd Qtr'!I24, '3rd Qtr'!I24, '4th Qtr'!I24)</f>
        <v>-71669.710999999908</v>
      </c>
      <c r="J24" s="15">
        <f t="shared" si="2"/>
        <v>-0.18090852952978631</v>
      </c>
    </row>
    <row r="25" spans="1:10" ht="15.6">
      <c r="A25" s="24" t="str">
        <v>M167</v>
      </c>
      <c r="B25" s="25" t="str">
        <v>NY</v>
      </c>
      <c r="C25" s="25" t="str">
        <f>Sites[[#This Row],[SOL'#]]</f>
        <v>SOL-10386</v>
      </c>
      <c r="D25" s="20">
        <f>SUM('1st Qtr'!D25,'2nd Qtr'!D25,'3rd Qtr'!D25,'4th Qtr'!D25)</f>
        <v>235739.73487499999</v>
      </c>
      <c r="E25" s="10">
        <f>SUM('1st Qtr'!E25, '2nd Qtr'!E25, '3rd Qtr'!E25, '4th Qtr'!E25)</f>
        <v>189072.86200000002</v>
      </c>
      <c r="F25" s="10">
        <f t="shared" si="0"/>
        <v>46666.872874999972</v>
      </c>
      <c r="G25" s="11">
        <f t="shared" si="1"/>
        <v>0.24681951910687197</v>
      </c>
      <c r="H25" s="12">
        <f>SUM('1st Qtr'!H25,'2nd Qtr'!H25,'3rd Qtr'!H25,'4th Qtr'!H25)</f>
        <v>271403.89299999998</v>
      </c>
      <c r="I25" s="12">
        <f>SUM('1st Qtr'!I25, '2nd Qtr'!I25, '3rd Qtr'!I25, '4th Qtr'!I25)</f>
        <v>-35664.158125000002</v>
      </c>
      <c r="J25" s="13">
        <f t="shared" si="2"/>
        <v>-0.13140621429848098</v>
      </c>
    </row>
    <row r="26" spans="1:10" ht="15.6">
      <c r="A26" s="26" t="str">
        <v>M188</v>
      </c>
      <c r="B26" s="27" t="str">
        <v>NY</v>
      </c>
      <c r="C26" s="27" t="str">
        <f>Sites[[#This Row],[SOL'#]]</f>
        <v>SOL-10387</v>
      </c>
      <c r="D26" s="9">
        <f>SUM('1st Qtr'!D26,'2nd Qtr'!D26,'3rd Qtr'!D26,'4th Qtr'!D26)</f>
        <v>166529.07609375002</v>
      </c>
      <c r="E26" s="14">
        <f>SUM('1st Qtr'!E26, '2nd Qtr'!E26, '3rd Qtr'!E26, '4th Qtr'!E26)</f>
        <v>129193.758</v>
      </c>
      <c r="F26" s="14">
        <f t="shared" si="0"/>
        <v>37335.318093750015</v>
      </c>
      <c r="G26" s="15">
        <f t="shared" si="1"/>
        <v>0.28898701200215893</v>
      </c>
      <c r="H26" s="16">
        <f>SUM('1st Qtr'!H26,'2nd Qtr'!H26,'3rd Qtr'!H26,'4th Qtr'!H26)</f>
        <v>203880.11900000001</v>
      </c>
      <c r="I26" s="16">
        <f>SUM('1st Qtr'!I26, '2nd Qtr'!I26, '3rd Qtr'!I26, '4th Qtr'!I26)</f>
        <v>-37351.042906249982</v>
      </c>
      <c r="J26" s="15">
        <f t="shared" si="2"/>
        <v>-0.18320100601005623</v>
      </c>
    </row>
    <row r="27" spans="1:10" ht="15.6">
      <c r="A27" s="24" t="str">
        <v>EMHC</v>
      </c>
      <c r="B27" s="25" t="str">
        <v>NY</v>
      </c>
      <c r="C27" s="25" t="str">
        <f>Sites[[#This Row],[SOL'#]]</f>
        <v>SOL-10351</v>
      </c>
      <c r="D27" s="20">
        <f>SUM('1st Qtr'!D27,'2nd Qtr'!D27,'3rd Qtr'!D27,'4th Qtr'!D27)</f>
        <v>68151.484250000009</v>
      </c>
      <c r="E27" s="10">
        <f>SUM('1st Qtr'!E27, '2nd Qtr'!E27, '3rd Qtr'!E27, '4th Qtr'!E27)</f>
        <v>55537.78</v>
      </c>
      <c r="F27" s="10">
        <f t="shared" si="0"/>
        <v>12613.70425000001</v>
      </c>
      <c r="G27" s="11">
        <f t="shared" si="1"/>
        <v>0.22711934560582023</v>
      </c>
      <c r="H27" s="12">
        <f>SUM('1st Qtr'!H27,'2nd Qtr'!H27,'3rd Qtr'!H27,'4th Qtr'!H27)</f>
        <v>84631.084000000003</v>
      </c>
      <c r="I27" s="12">
        <f>SUM('1st Qtr'!I27, '2nd Qtr'!I27, '3rd Qtr'!I27, '4th Qtr'!I27)</f>
        <v>-16479.599749999998</v>
      </c>
      <c r="J27" s="13">
        <f t="shared" si="2"/>
        <v>-0.19472277762624424</v>
      </c>
    </row>
    <row r="28" spans="1:10" ht="15.6">
      <c r="A28" s="26" t="str">
        <v>Q008</v>
      </c>
      <c r="B28" s="27" t="str">
        <v>NY</v>
      </c>
      <c r="C28" s="27" t="str">
        <f>Sites[[#This Row],[SOL'#]]</f>
        <v>SOL-10397</v>
      </c>
      <c r="D28" s="9">
        <f>SUM('1st Qtr'!D28,'2nd Qtr'!D28,'3rd Qtr'!D28,'4th Qtr'!D28)</f>
        <v>105904.18689033095</v>
      </c>
      <c r="E28" s="14">
        <f>SUM('1st Qtr'!E28, '2nd Qtr'!E28, '3rd Qtr'!E28, '4th Qtr'!E28)</f>
        <v>127799.30899999999</v>
      </c>
      <c r="F28" s="14">
        <f t="shared" si="0"/>
        <v>-21895.122109669042</v>
      </c>
      <c r="G28" s="15">
        <f t="shared" si="1"/>
        <v>-0.17132426052216795</v>
      </c>
      <c r="H28" s="16">
        <f>SUM('1st Qtr'!H28,'2nd Qtr'!H28,'3rd Qtr'!H28,'4th Qtr'!H28)</f>
        <v>253588</v>
      </c>
      <c r="I28" s="16">
        <f>SUM('1st Qtr'!I28, '2nd Qtr'!I28, '3rd Qtr'!I28, '4th Qtr'!I28)</f>
        <v>-147683.81310966902</v>
      </c>
      <c r="J28" s="15">
        <f t="shared" si="2"/>
        <v>-0.58237697804970667</v>
      </c>
    </row>
    <row r="29" spans="1:10" ht="15.6">
      <c r="A29" s="24" t="str">
        <v>Q018</v>
      </c>
      <c r="B29" s="25" t="str">
        <v>NY</v>
      </c>
      <c r="C29" s="25" t="str">
        <f>Sites[[#This Row],[SOL'#]]</f>
        <v>SOL-10398</v>
      </c>
      <c r="D29" s="20">
        <f>SUM('1st Qtr'!D29,'2nd Qtr'!D29,'3rd Qtr'!D29,'4th Qtr'!D29)</f>
        <v>179234.8125</v>
      </c>
      <c r="E29" s="10">
        <f>SUM('1st Qtr'!E29, '2nd Qtr'!E29, '3rd Qtr'!E29, '4th Qtr'!E29)</f>
        <v>192442.389</v>
      </c>
      <c r="F29" s="10">
        <f t="shared" si="0"/>
        <v>-13207.576499999996</v>
      </c>
      <c r="G29" s="11">
        <f t="shared" si="1"/>
        <v>-6.8631326853877267E-2</v>
      </c>
      <c r="H29" s="12">
        <f>SUM('1st Qtr'!H29,'2nd Qtr'!H29,'3rd Qtr'!H29,'4th Qtr'!H29)</f>
        <v>164710.71399999998</v>
      </c>
      <c r="I29" s="12">
        <f>SUM('1st Qtr'!I29, '2nd Qtr'!I29, '3rd Qtr'!I29, '4th Qtr'!I29)</f>
        <v>14524.0985</v>
      </c>
      <c r="J29" s="13">
        <f t="shared" si="2"/>
        <v>8.8179439863274478E-2</v>
      </c>
    </row>
    <row r="30" spans="1:10" ht="15.6">
      <c r="A30" s="26" t="str">
        <v>Q021</v>
      </c>
      <c r="B30" s="27" t="str">
        <v>NY</v>
      </c>
      <c r="C30" s="27" t="str">
        <f>Sites[[#This Row],[SOL'#]]</f>
        <v>SOL-10399</v>
      </c>
      <c r="D30" s="9">
        <f>SUM('1st Qtr'!D30,'2nd Qtr'!D30,'3rd Qtr'!D30,'4th Qtr'!D30)</f>
        <v>142556.00049999997</v>
      </c>
      <c r="E30" s="14">
        <f>SUM('1st Qtr'!E30, '2nd Qtr'!E30, '3rd Qtr'!E30, '4th Qtr'!E30)</f>
        <v>151852.37899999999</v>
      </c>
      <c r="F30" s="14">
        <f t="shared" si="0"/>
        <v>-9296.3785000000207</v>
      </c>
      <c r="G30" s="15">
        <f t="shared" si="1"/>
        <v>-6.121984101414718E-2</v>
      </c>
      <c r="H30" s="16">
        <f>SUM('1st Qtr'!H30,'2nd Qtr'!H30,'3rd Qtr'!H30,'4th Qtr'!H30)</f>
        <v>140210.386</v>
      </c>
      <c r="I30" s="16">
        <f>SUM('1st Qtr'!I30, '2nd Qtr'!I30, '3rd Qtr'!I30, '4th Qtr'!I30)</f>
        <v>2345.6144999999569</v>
      </c>
      <c r="J30" s="15">
        <f t="shared" si="2"/>
        <v>1.6729249286853522E-2</v>
      </c>
    </row>
    <row r="31" spans="1:10" ht="15.6">
      <c r="A31" s="24" t="str">
        <v>Q025</v>
      </c>
      <c r="B31" s="25" t="str">
        <v>NY</v>
      </c>
      <c r="C31" s="25" t="str">
        <f>Sites[[#This Row],[SOL'#]]</f>
        <v>SOL-10400</v>
      </c>
      <c r="D31" s="20">
        <f>SUM('1st Qtr'!D31,'2nd Qtr'!D31,'3rd Qtr'!D31,'4th Qtr'!D31)</f>
        <v>243987.3125</v>
      </c>
      <c r="E31" s="10">
        <f>SUM('1st Qtr'!E31, '2nd Qtr'!E31, '3rd Qtr'!E31, '4th Qtr'!E31)</f>
        <v>251081.356</v>
      </c>
      <c r="F31" s="10">
        <f t="shared" si="0"/>
        <v>-7094.0434999999998</v>
      </c>
      <c r="G31" s="11">
        <f t="shared" si="1"/>
        <v>-2.825396362762992E-2</v>
      </c>
      <c r="H31" s="12">
        <f>SUM('1st Qtr'!H31,'2nd Qtr'!H31,'3rd Qtr'!H31,'4th Qtr'!H31)</f>
        <v>139451.5</v>
      </c>
      <c r="I31" s="12">
        <f>SUM('1st Qtr'!I31, '2nd Qtr'!I31, '3rd Qtr'!I31, '4th Qtr'!I31)</f>
        <v>104535.8125</v>
      </c>
      <c r="J31" s="13">
        <f t="shared" si="2"/>
        <v>0.74962128410235818</v>
      </c>
    </row>
    <row r="32" spans="1:10" ht="15.6">
      <c r="A32" s="26" t="str">
        <v>Q074</v>
      </c>
      <c r="B32" s="27" t="str">
        <v>NY</v>
      </c>
      <c r="C32" s="27" t="str">
        <f>Sites[[#This Row],[SOL'#]]</f>
        <v>SOL-10402</v>
      </c>
      <c r="D32" s="9">
        <f>SUM('1st Qtr'!D32,'2nd Qtr'!D32,'3rd Qtr'!D32,'4th Qtr'!D32)</f>
        <v>131595.75</v>
      </c>
      <c r="E32" s="14">
        <f>SUM('1st Qtr'!E32, '2nd Qtr'!E32, '3rd Qtr'!E32, '4th Qtr'!E32)</f>
        <v>133044.24799999999</v>
      </c>
      <c r="F32" s="14">
        <f t="shared" si="0"/>
        <v>-1448.4979999999923</v>
      </c>
      <c r="G32" s="15">
        <f t="shared" si="1"/>
        <v>-1.0887340277950177E-2</v>
      </c>
      <c r="H32" s="16">
        <f>SUM('1st Qtr'!H32,'2nd Qtr'!H32,'3rd Qtr'!H32,'4th Qtr'!H32)</f>
        <v>147501.701</v>
      </c>
      <c r="I32" s="16">
        <f>SUM('1st Qtr'!I32, '2nd Qtr'!I32, '3rd Qtr'!I32, '4th Qtr'!I32)</f>
        <v>-15905.950999999997</v>
      </c>
      <c r="J32" s="15">
        <f t="shared" si="2"/>
        <v>-0.10783571234883588</v>
      </c>
    </row>
    <row r="33" spans="1:10" ht="15.6">
      <c r="A33" s="24" t="str">
        <v>Q115</v>
      </c>
      <c r="B33" s="25" t="str">
        <v>NY</v>
      </c>
      <c r="C33" s="25" t="str">
        <f>Sites[[#This Row],[SOL'#]]</f>
        <v>SOL-10872</v>
      </c>
      <c r="D33" s="20">
        <f>SUM('1st Qtr'!D33,'2nd Qtr'!D33,'3rd Qtr'!D33,'4th Qtr'!D33)</f>
        <v>202579.93800000011</v>
      </c>
      <c r="E33" s="10">
        <f>SUM('1st Qtr'!E33, '2nd Qtr'!E33, '3rd Qtr'!E33, '4th Qtr'!E33)</f>
        <v>228156.47199999998</v>
      </c>
      <c r="F33" s="10">
        <f t="shared" si="0"/>
        <v>-25576.533999999869</v>
      </c>
      <c r="G33" s="11">
        <f t="shared" si="1"/>
        <v>-0.11210084805308469</v>
      </c>
      <c r="H33" s="12">
        <f>SUM('1st Qtr'!H33,'2nd Qtr'!H33,'3rd Qtr'!H33,'4th Qtr'!H33)</f>
        <v>211250.94400000002</v>
      </c>
      <c r="I33" s="12">
        <f>SUM('1st Qtr'!I33, '2nd Qtr'!I33, '3rd Qtr'!I33, '4th Qtr'!I33)</f>
        <v>-8671.0059999998812</v>
      </c>
      <c r="J33" s="13">
        <f t="shared" si="2"/>
        <v>-4.1045998828766798E-2</v>
      </c>
    </row>
    <row r="34" spans="1:10" ht="15.6">
      <c r="A34" s="26" t="str">
        <v>Q139</v>
      </c>
      <c r="B34" s="27" t="str">
        <v>NY</v>
      </c>
      <c r="C34" s="27" t="str">
        <f>Sites[[#This Row],[SOL'#]]</f>
        <v>SOL-10403</v>
      </c>
      <c r="D34" s="9">
        <f>SUM('1st Qtr'!D34,'2nd Qtr'!D34,'3rd Qtr'!D34,'4th Qtr'!D34)</f>
        <v>123133.1875</v>
      </c>
      <c r="E34" s="14">
        <f>SUM('1st Qtr'!E34, '2nd Qtr'!E34, '3rd Qtr'!E34, '4th Qtr'!E34)</f>
        <v>135429.859</v>
      </c>
      <c r="F34" s="14">
        <f t="shared" si="0"/>
        <v>-12296.671499999997</v>
      </c>
      <c r="G34" s="15">
        <f t="shared" si="1"/>
        <v>-9.0797344033268154E-2</v>
      </c>
      <c r="H34" s="16">
        <f>SUM('1st Qtr'!H34,'2nd Qtr'!H34,'3rd Qtr'!H34,'4th Qtr'!H34)</f>
        <v>134214</v>
      </c>
      <c r="I34" s="16">
        <f>SUM('1st Qtr'!I34, '2nd Qtr'!I34, '3rd Qtr'!I34, '4th Qtr'!I34)</f>
        <v>-11080.8125</v>
      </c>
      <c r="J34" s="15">
        <f t="shared" si="2"/>
        <v>-8.2560779799424805E-2</v>
      </c>
    </row>
    <row r="35" spans="1:10" ht="15.6">
      <c r="A35" s="24" t="str">
        <v>Q157</v>
      </c>
      <c r="B35" s="25" t="str">
        <v>NY</v>
      </c>
      <c r="C35" s="25" t="str">
        <f>Sites[[#This Row],[SOL'#]]</f>
        <v>SOL-10404</v>
      </c>
      <c r="D35" s="20">
        <f>SUM('1st Qtr'!D35,'2nd Qtr'!D35,'3rd Qtr'!D35,'4th Qtr'!D35)</f>
        <v>211648.81299999999</v>
      </c>
      <c r="E35" s="10">
        <f>SUM('1st Qtr'!E35, '2nd Qtr'!E35, '3rd Qtr'!E35, '4th Qtr'!E35)</f>
        <v>256140.64600000001</v>
      </c>
      <c r="F35" s="10">
        <f t="shared" si="0"/>
        <v>-44491.833000000013</v>
      </c>
      <c r="G35" s="11">
        <f t="shared" si="1"/>
        <v>-0.17370079171269059</v>
      </c>
      <c r="H35" s="12">
        <f>SUM('1st Qtr'!H35,'2nd Qtr'!H35,'3rd Qtr'!H35,'4th Qtr'!H35)</f>
        <v>234164.78699999998</v>
      </c>
      <c r="I35" s="12">
        <f>SUM('1st Qtr'!I35, '2nd Qtr'!I35, '3rd Qtr'!I35, '4th Qtr'!I35)</f>
        <v>-22515.973999999998</v>
      </c>
      <c r="J35" s="13">
        <f t="shared" si="2"/>
        <v>-9.6154397458572627E-2</v>
      </c>
    </row>
    <row r="36" spans="1:10" ht="15.6">
      <c r="A36" s="26" t="str">
        <v>Q192</v>
      </c>
      <c r="B36" s="27" t="str">
        <v>NY</v>
      </c>
      <c r="C36" s="27" t="str">
        <f>Sites[[#This Row],[SOL'#]]</f>
        <v>SOL-10406</v>
      </c>
      <c r="D36" s="9">
        <f>SUM('1st Qtr'!D36,'2nd Qtr'!D36,'3rd Qtr'!D36,'4th Qtr'!D36)</f>
        <v>329764</v>
      </c>
      <c r="E36" s="14">
        <f>SUM('1st Qtr'!E36, '2nd Qtr'!E36, '3rd Qtr'!E36, '4th Qtr'!E36)</f>
        <v>384035.00199999998</v>
      </c>
      <c r="F36" s="14">
        <f t="shared" si="0"/>
        <v>-54271.001999999979</v>
      </c>
      <c r="G36" s="15">
        <f t="shared" si="1"/>
        <v>-0.14131785310548328</v>
      </c>
      <c r="H36" s="16">
        <f>SUM('1st Qtr'!H36,'2nd Qtr'!H36,'3rd Qtr'!H36,'4th Qtr'!H36)</f>
        <v>271529.21379999997</v>
      </c>
      <c r="I36" s="16">
        <f>SUM('1st Qtr'!I36, '2nd Qtr'!I36, '3rd Qtr'!I36, '4th Qtr'!I36)</f>
        <v>58234.786200000002</v>
      </c>
      <c r="J36" s="15">
        <f t="shared" si="2"/>
        <v>0.21446968959625076</v>
      </c>
    </row>
    <row r="37" spans="1:10" ht="15.6">
      <c r="A37" s="24" t="str">
        <v>Q210</v>
      </c>
      <c r="B37" s="25" t="str">
        <v>NY</v>
      </c>
      <c r="C37" s="25" t="str">
        <f>Sites[[#This Row],[SOL'#]]</f>
        <v>SOL-10407</v>
      </c>
      <c r="D37" s="20">
        <f>SUM('1st Qtr'!D37,'2nd Qtr'!D37,'3rd Qtr'!D37,'4th Qtr'!D37)</f>
        <v>273586.75</v>
      </c>
      <c r="E37" s="10">
        <f>SUM('1st Qtr'!E37, '2nd Qtr'!E37, '3rd Qtr'!E37, '4th Qtr'!E37)</f>
        <v>285640.00900000002</v>
      </c>
      <c r="F37" s="10">
        <f t="shared" si="0"/>
        <v>-12053.25900000002</v>
      </c>
      <c r="G37" s="11">
        <f t="shared" si="1"/>
        <v>-4.2197376488669759E-2</v>
      </c>
      <c r="H37" s="12">
        <f>SUM('1st Qtr'!H37,'2nd Qtr'!H37,'3rd Qtr'!H37,'4th Qtr'!H37)</f>
        <v>290968</v>
      </c>
      <c r="I37" s="12">
        <f>SUM('1st Qtr'!I37, '2nd Qtr'!I37, '3rd Qtr'!I37, '4th Qtr'!I37)</f>
        <v>-17381.25</v>
      </c>
      <c r="J37" s="13">
        <f t="shared" si="2"/>
        <v>-5.9735950345055126E-2</v>
      </c>
    </row>
    <row r="38" spans="1:10" ht="15.6">
      <c r="A38" s="26" t="str">
        <v>Q229</v>
      </c>
      <c r="B38" s="27" t="str">
        <v>NY</v>
      </c>
      <c r="C38" s="27" t="str">
        <f>Sites[[#This Row],[SOL'#]]</f>
        <v>SOL-10408</v>
      </c>
      <c r="D38" s="9">
        <f>SUM('1st Qtr'!D38,'2nd Qtr'!D38,'3rd Qtr'!D38,'4th Qtr'!D38)</f>
        <v>117685.78125</v>
      </c>
      <c r="E38" s="14">
        <f>SUM('1st Qtr'!E38, '2nd Qtr'!E38, '3rd Qtr'!E38, '4th Qtr'!E38)</f>
        <v>140954.342</v>
      </c>
      <c r="F38" s="14">
        <f t="shared" si="0"/>
        <v>-23268.560750000004</v>
      </c>
      <c r="G38" s="15">
        <f t="shared" si="1"/>
        <v>-0.16507870860764262</v>
      </c>
      <c r="H38" s="16">
        <f>SUM('1st Qtr'!H38,'2nd Qtr'!H38,'3rd Qtr'!H38,'4th Qtr'!H38)</f>
        <v>108247.44399999999</v>
      </c>
      <c r="I38" s="16">
        <f>SUM('1st Qtr'!I38, '2nd Qtr'!I38, '3rd Qtr'!I38, '4th Qtr'!I38)</f>
        <v>9438.3372500000005</v>
      </c>
      <c r="J38" s="15">
        <f t="shared" si="2"/>
        <v>8.7192241232042403E-2</v>
      </c>
    </row>
    <row r="39" spans="1:10" ht="15.6">
      <c r="A39" s="24" t="str">
        <v>Q231</v>
      </c>
      <c r="B39" s="25" t="str">
        <v>NY</v>
      </c>
      <c r="C39" s="25" t="str">
        <f>Sites[[#This Row],[SOL'#]]</f>
        <v>SOL-10870</v>
      </c>
      <c r="D39" s="20">
        <f>SUM('1st Qtr'!D39,'2nd Qtr'!D39,'3rd Qtr'!D39,'4th Qtr'!D39)</f>
        <v>444365.375</v>
      </c>
      <c r="E39" s="10">
        <f>SUM('1st Qtr'!E39, '2nd Qtr'!E39, '3rd Qtr'!E39, '4th Qtr'!E39)</f>
        <v>512458.91100000002</v>
      </c>
      <c r="F39" s="10">
        <f t="shared" si="0"/>
        <v>-68093.536000000022</v>
      </c>
      <c r="G39" s="11">
        <f t="shared" si="1"/>
        <v>-0.13287608925976901</v>
      </c>
      <c r="H39" s="12">
        <f>SUM('1st Qtr'!H39,'2nd Qtr'!H39,'3rd Qtr'!H39,'4th Qtr'!H39)</f>
        <v>466972.5</v>
      </c>
      <c r="I39" s="12">
        <f>SUM('1st Qtr'!I39, '2nd Qtr'!I39, '3rd Qtr'!I39, '4th Qtr'!I39)</f>
        <v>-22607.125</v>
      </c>
      <c r="J39" s="13">
        <f t="shared" si="2"/>
        <v>-4.8412112062273471E-2</v>
      </c>
    </row>
    <row r="40" spans="1:10" ht="15.6">
      <c r="A40" s="26" t="str">
        <v>Q405</v>
      </c>
      <c r="B40" s="27" t="str">
        <v>NY</v>
      </c>
      <c r="C40" s="27" t="str">
        <f>Sites[[#This Row],[SOL'#]]</f>
        <v>SOL-10409</v>
      </c>
      <c r="D40" s="9">
        <f>SUM('1st Qtr'!D40,'2nd Qtr'!D40,'3rd Qtr'!D40,'4th Qtr'!D40)</f>
        <v>511231.5</v>
      </c>
      <c r="E40" s="14">
        <f>SUM('1st Qtr'!E40, '2nd Qtr'!E40, '3rd Qtr'!E40, '4th Qtr'!E40)</f>
        <v>583204.29500000004</v>
      </c>
      <c r="F40" s="14">
        <f t="shared" si="0"/>
        <v>-71972.795000000042</v>
      </c>
      <c r="G40" s="15">
        <f t="shared" si="1"/>
        <v>-0.12340923346595045</v>
      </c>
      <c r="H40" s="16">
        <f>SUM('1st Qtr'!H40,'2nd Qtr'!H40,'3rd Qtr'!H40,'4th Qtr'!H40)</f>
        <v>519431.52200000006</v>
      </c>
      <c r="I40" s="16">
        <f>SUM('1st Qtr'!I40, '2nd Qtr'!I40, '3rd Qtr'!I40, '4th Qtr'!I40)</f>
        <v>-8200.0220000000045</v>
      </c>
      <c r="J40" s="15">
        <f t="shared" si="2"/>
        <v>-1.5786531338003788E-2</v>
      </c>
    </row>
    <row r="41" spans="1:10" ht="15.6">
      <c r="A41" s="24" t="str">
        <v>Q435</v>
      </c>
      <c r="B41" s="25" t="str">
        <v>NY</v>
      </c>
      <c r="C41" s="25" t="str">
        <f>Sites[[#This Row],[SOL'#]]</f>
        <v>SOL-10923</v>
      </c>
      <c r="D41" s="20">
        <f>SUM('1st Qtr'!D41,'2nd Qtr'!D41,'3rd Qtr'!D41,'4th Qtr'!D41)</f>
        <v>599487.75</v>
      </c>
      <c r="E41" s="10">
        <f>SUM('1st Qtr'!E41, '2nd Qtr'!E41, '3rd Qtr'!E41, '4th Qtr'!E41)</f>
        <v>535036.90700000001</v>
      </c>
      <c r="F41" s="10">
        <f t="shared" si="0"/>
        <v>64450.842999999993</v>
      </c>
      <c r="G41" s="11">
        <f t="shared" si="1"/>
        <v>0.12046055544351447</v>
      </c>
      <c r="H41" s="12">
        <f>SUM('1st Qtr'!H41,'2nd Qtr'!H41,'3rd Qtr'!H41,'4th Qtr'!H41)</f>
        <v>669709.5</v>
      </c>
      <c r="I41" s="12">
        <f>SUM('1st Qtr'!I41, '2nd Qtr'!I41, '3rd Qtr'!I41, '4th Qtr'!I41)</f>
        <v>-70221.75</v>
      </c>
      <c r="J41" s="13">
        <f t="shared" si="2"/>
        <v>-0.10485404492544902</v>
      </c>
    </row>
    <row r="42" spans="1:10" ht="15.6">
      <c r="A42" s="26" t="str">
        <v>Q485</v>
      </c>
      <c r="B42" s="27" t="str">
        <v>NY</v>
      </c>
      <c r="C42" s="27" t="str">
        <f>Sites[[#This Row],[SOL'#]]</f>
        <v>SOL-10869</v>
      </c>
      <c r="D42" s="9">
        <f>SUM('1st Qtr'!D42,'2nd Qtr'!D42,'3rd Qtr'!D42,'4th Qtr'!D42)</f>
        <v>595420.3125</v>
      </c>
      <c r="E42" s="14">
        <f>SUM('1st Qtr'!E42, '2nd Qtr'!E42, '3rd Qtr'!E42, '4th Qtr'!E42)</f>
        <v>506339.23599999998</v>
      </c>
      <c r="F42" s="14">
        <f t="shared" si="0"/>
        <v>89081.076500000025</v>
      </c>
      <c r="G42" s="15">
        <f t="shared" si="1"/>
        <v>0.17593160902111096</v>
      </c>
      <c r="H42" s="16">
        <f>SUM('1st Qtr'!H42,'2nd Qtr'!H42,'3rd Qtr'!H42,'4th Qtr'!H42)</f>
        <v>632488.40899999999</v>
      </c>
      <c r="I42" s="16">
        <f>SUM('1st Qtr'!I42, '2nd Qtr'!I42, '3rd Qtr'!I42, '4th Qtr'!I42)</f>
        <v>-37068.096500000021</v>
      </c>
      <c r="J42" s="15">
        <f t="shared" si="2"/>
        <v>-5.8606760175426431E-2</v>
      </c>
    </row>
    <row r="43" spans="1:10" ht="15.6">
      <c r="A43" s="24" t="str">
        <v>Q490</v>
      </c>
      <c r="B43" s="25" t="str">
        <v>NY</v>
      </c>
      <c r="C43" s="25" t="str">
        <f>Sites[[#This Row],[SOL'#]]</f>
        <v>SOL-10411</v>
      </c>
      <c r="D43" s="20">
        <f>SUM('1st Qtr'!D43,'2nd Qtr'!D43,'3rd Qtr'!D43,'4th Qtr'!D43)</f>
        <v>431056.4327889448</v>
      </c>
      <c r="E43" s="10">
        <f>SUM('1st Qtr'!E43, '2nd Qtr'!E43, '3rd Qtr'!E43, '4th Qtr'!E43)</f>
        <v>0</v>
      </c>
      <c r="F43" s="10">
        <f t="shared" si="0"/>
        <v>431056.4327889448</v>
      </c>
      <c r="G43" s="11" t="str">
        <f t="shared" si="1"/>
        <v/>
      </c>
      <c r="H43" s="12">
        <f>SUM('1st Qtr'!H43,'2nd Qtr'!H43,'3rd Qtr'!H43,'4th Qtr'!H43)</f>
        <v>446612.30500000005</v>
      </c>
      <c r="I43" s="12">
        <f>SUM('1st Qtr'!I43, '2nd Qtr'!I43, '3rd Qtr'!I43, '4th Qtr'!I43)</f>
        <v>-15555.872211055203</v>
      </c>
      <c r="J43" s="13">
        <f t="shared" si="2"/>
        <v>-3.4830818669573382E-2</v>
      </c>
    </row>
    <row r="44" spans="1:10" ht="15.6">
      <c r="A44" s="26" t="str">
        <v>Q620</v>
      </c>
      <c r="B44" s="27" t="str">
        <v>NY</v>
      </c>
      <c r="C44" s="27" t="str">
        <f>Sites[[#This Row],[SOL'#]]</f>
        <v>SOL-10867</v>
      </c>
      <c r="D44" s="9">
        <f>SUM('1st Qtr'!D44,'2nd Qtr'!D44,'3rd Qtr'!D44,'4th Qtr'!D44)</f>
        <v>661733.37480676326</v>
      </c>
      <c r="E44" s="14">
        <f>SUM('1st Qtr'!E44, '2nd Qtr'!E44, '3rd Qtr'!E44, '4th Qtr'!E44)</f>
        <v>686216.18299999996</v>
      </c>
      <c r="F44" s="14">
        <f t="shared" si="0"/>
        <v>-24482.808193236706</v>
      </c>
      <c r="G44" s="15">
        <f t="shared" si="1"/>
        <v>-3.5677981370539479E-2</v>
      </c>
      <c r="H44" s="16">
        <f>SUM('1st Qtr'!H44,'2nd Qtr'!H44,'3rd Qtr'!H44,'4th Qtr'!H44)</f>
        <v>675259.26300000004</v>
      </c>
      <c r="I44" s="16">
        <f>SUM('1st Qtr'!I44, '2nd Qtr'!I44, '3rd Qtr'!I44, '4th Qtr'!I44)</f>
        <v>-13525.888193236693</v>
      </c>
      <c r="J44" s="15">
        <f t="shared" si="2"/>
        <v>-2.0030659236194279E-2</v>
      </c>
    </row>
    <row r="45" spans="1:10" ht="15.6">
      <c r="A45" s="24" t="str">
        <v>QMOA</v>
      </c>
      <c r="B45" s="25" t="str">
        <v>NY</v>
      </c>
      <c r="C45" s="25" t="str">
        <f>Sites[[#This Row],[SOL'#]]</f>
        <v>SOL-10415</v>
      </c>
      <c r="D45" s="20">
        <f>SUM('1st Qtr'!D45,'2nd Qtr'!D45,'3rd Qtr'!D45,'4th Qtr'!D45)</f>
        <v>57462</v>
      </c>
      <c r="E45" s="10">
        <f>SUM('1st Qtr'!E45, '2nd Qtr'!E45, '3rd Qtr'!E45, '4th Qtr'!E45)</f>
        <v>0</v>
      </c>
      <c r="F45" s="10">
        <f t="shared" si="0"/>
        <v>57462</v>
      </c>
      <c r="G45" s="11" t="str">
        <f t="shared" si="1"/>
        <v/>
      </c>
      <c r="H45" s="12">
        <f>SUM('1st Qtr'!H45,'2nd Qtr'!H45,'3rd Qtr'!H45,'4th Qtr'!H45)</f>
        <v>62186.915999999997</v>
      </c>
      <c r="I45" s="12">
        <f>SUM('1st Qtr'!I45, '2nd Qtr'!I45, '3rd Qtr'!I45, '4th Qtr'!I45)</f>
        <v>-4724.9159999999993</v>
      </c>
      <c r="J45" s="13">
        <f t="shared" si="2"/>
        <v>-7.5979262261534231E-2</v>
      </c>
    </row>
    <row r="46" spans="1:10" ht="15.6">
      <c r="A46" s="26" t="str">
        <v>X024</v>
      </c>
      <c r="B46" s="27" t="str">
        <v>NY</v>
      </c>
      <c r="C46" s="27" t="str">
        <f>Sites[[#This Row],[SOL'#]]</f>
        <v>SOL-10419</v>
      </c>
      <c r="D46" s="9">
        <f>SUM('1st Qtr'!D46,'2nd Qtr'!D46,'3rd Qtr'!D46,'4th Qtr'!D46)</f>
        <v>247348.4372499999</v>
      </c>
      <c r="E46" s="14">
        <f>SUM('1st Qtr'!E46, '2nd Qtr'!E46, '3rd Qtr'!E46, '4th Qtr'!E46)</f>
        <v>267622.99400000001</v>
      </c>
      <c r="F46" s="14">
        <f t="shared" si="0"/>
        <v>-20274.556750000105</v>
      </c>
      <c r="G46" s="15">
        <f t="shared" si="1"/>
        <v>-7.5757902738357766E-2</v>
      </c>
      <c r="H46" s="16">
        <f>SUM('1st Qtr'!H46,'2nd Qtr'!H46,'3rd Qtr'!H46,'4th Qtr'!H46)</f>
        <v>237023</v>
      </c>
      <c r="I46" s="16">
        <f>SUM('1st Qtr'!I46, '2nd Qtr'!I46, '3rd Qtr'!I46, '4th Qtr'!I46)</f>
        <v>10325.437249999901</v>
      </c>
      <c r="J46" s="15">
        <f t="shared" si="2"/>
        <v>4.3563018145917912E-2</v>
      </c>
    </row>
    <row r="47" spans="1:10" ht="15.6">
      <c r="A47" s="24" t="str">
        <v>X026</v>
      </c>
      <c r="B47" s="25" t="str">
        <v>NY</v>
      </c>
      <c r="C47" s="25" t="str">
        <f>Sites[[#This Row],[SOL'#]]</f>
        <v>SOL-10420</v>
      </c>
      <c r="D47" s="20">
        <f>SUM('1st Qtr'!D47,'2nd Qtr'!D47,'3rd Qtr'!D47,'4th Qtr'!D47)</f>
        <v>215615.5</v>
      </c>
      <c r="E47" s="10">
        <f>SUM('1st Qtr'!E47, '2nd Qtr'!E47, '3rd Qtr'!E47, '4th Qtr'!E47)</f>
        <v>217740.95300000001</v>
      </c>
      <c r="F47" s="10">
        <f t="shared" si="0"/>
        <v>-2125.4530000000086</v>
      </c>
      <c r="G47" s="11">
        <f t="shared" si="1"/>
        <v>-9.761383748513347E-3</v>
      </c>
      <c r="H47" s="12">
        <f>SUM('1st Qtr'!H47,'2nd Qtr'!H47,'3rd Qtr'!H47,'4th Qtr'!H47)</f>
        <v>314658.97100000002</v>
      </c>
      <c r="I47" s="12">
        <f>SUM('1st Qtr'!I47, '2nd Qtr'!I47, '3rd Qtr'!I47, '4th Qtr'!I47)</f>
        <v>-99043.47099999999</v>
      </c>
      <c r="J47" s="13">
        <f t="shared" si="2"/>
        <v>-0.31476449149132946</v>
      </c>
    </row>
    <row r="48" spans="1:10" ht="15.6">
      <c r="A48" s="26" t="str">
        <v>X090</v>
      </c>
      <c r="B48" s="27" t="str">
        <v>NY</v>
      </c>
      <c r="C48" s="27" t="str">
        <f>Sites[[#This Row],[SOL'#]]</f>
        <v>SOL-10925</v>
      </c>
      <c r="D48" s="9">
        <f>SUM('1st Qtr'!D48,'2nd Qtr'!D48,'3rd Qtr'!D48,'4th Qtr'!D48)</f>
        <v>177279.87524999998</v>
      </c>
      <c r="E48" s="14">
        <f>SUM('1st Qtr'!E48, '2nd Qtr'!E48, '3rd Qtr'!E48, '4th Qtr'!E48)</f>
        <v>162376.86099999998</v>
      </c>
      <c r="F48" s="14">
        <f t="shared" si="0"/>
        <v>14903.014250000007</v>
      </c>
      <c r="G48" s="15">
        <f t="shared" si="1"/>
        <v>9.1780406138039644E-2</v>
      </c>
      <c r="H48" s="16">
        <f>SUM('1st Qtr'!H48,'2nd Qtr'!H48,'3rd Qtr'!H48,'4th Qtr'!H48)</f>
        <v>194263.742</v>
      </c>
      <c r="I48" s="16">
        <f>SUM('1st Qtr'!I48, '2nd Qtr'!I48, '3rd Qtr'!I48, '4th Qtr'!I48)</f>
        <v>-16983.866750000001</v>
      </c>
      <c r="J48" s="15">
        <f t="shared" si="2"/>
        <v>-8.7426848546961491E-2</v>
      </c>
    </row>
    <row r="49" spans="1:10" ht="15.6">
      <c r="A49" s="24" t="str">
        <v>X117</v>
      </c>
      <c r="B49" s="25" t="str">
        <v>NY</v>
      </c>
      <c r="C49" s="25" t="str">
        <f>Sites[[#This Row],[SOL'#]]</f>
        <v>SOL-10422</v>
      </c>
      <c r="D49" s="20">
        <f>SUM('1st Qtr'!D49,'2nd Qtr'!D49,'3rd Qtr'!D49,'4th Qtr'!D49)</f>
        <v>156132.70000000001</v>
      </c>
      <c r="E49" s="10">
        <f>SUM('1st Qtr'!E49, '2nd Qtr'!E49, '3rd Qtr'!E49, '4th Qtr'!E49)</f>
        <v>184558.13199999998</v>
      </c>
      <c r="F49" s="10">
        <f t="shared" si="0"/>
        <v>-28425.431999999972</v>
      </c>
      <c r="G49" s="11">
        <f t="shared" si="1"/>
        <v>-0.15401885407032606</v>
      </c>
      <c r="H49" s="12">
        <f>SUM('1st Qtr'!H49,'2nd Qtr'!H49,'3rd Qtr'!H49,'4th Qtr'!H49)</f>
        <v>171901.72500000001</v>
      </c>
      <c r="I49" s="12">
        <f>SUM('1st Qtr'!I49, '2nd Qtr'!I49, '3rd Qtr'!I49, '4th Qtr'!I49)</f>
        <v>-15769.024999999998</v>
      </c>
      <c r="J49" s="13">
        <f t="shared" si="2"/>
        <v>-9.1732790930399322E-2</v>
      </c>
    </row>
    <row r="50" spans="1:10" ht="15.6">
      <c r="A50" s="26" t="str">
        <v>X125</v>
      </c>
      <c r="B50" s="27" t="str">
        <v>NY</v>
      </c>
      <c r="C50" s="27" t="str">
        <f>Sites[[#This Row],[SOL'#]]</f>
        <v>SOL-10423</v>
      </c>
      <c r="D50" s="9">
        <f>SUM('1st Qtr'!D50,'2nd Qtr'!D50,'3rd Qtr'!D50,'4th Qtr'!D50)</f>
        <v>295957.75</v>
      </c>
      <c r="E50" s="14">
        <f>SUM('1st Qtr'!E50, '2nd Qtr'!E50, '3rd Qtr'!E50, '4th Qtr'!E50)</f>
        <v>318788.67199999996</v>
      </c>
      <c r="F50" s="14">
        <f t="shared" si="0"/>
        <v>-22830.921999999962</v>
      </c>
      <c r="G50" s="15">
        <f t="shared" si="1"/>
        <v>-7.1617733016560783E-2</v>
      </c>
      <c r="H50" s="16">
        <f>SUM('1st Qtr'!H50,'2nd Qtr'!H50,'3rd Qtr'!H50,'4th Qtr'!H50)</f>
        <v>300122.73300000001</v>
      </c>
      <c r="I50" s="16">
        <f>SUM('1st Qtr'!I50, '2nd Qtr'!I50, '3rd Qtr'!I50, '4th Qtr'!I50)</f>
        <v>-4164.983000000002</v>
      </c>
      <c r="J50" s="15">
        <f t="shared" si="2"/>
        <v>-1.387759920205712E-2</v>
      </c>
    </row>
    <row r="51" spans="1:10" ht="15.6">
      <c r="A51" s="24" t="str">
        <v>X134</v>
      </c>
      <c r="B51" s="25" t="str">
        <v>NY</v>
      </c>
      <c r="C51" s="25" t="str">
        <f>Sites[[#This Row],[SOL'#]]</f>
        <v>SOL-10424</v>
      </c>
      <c r="D51" s="20">
        <f>SUM('1st Qtr'!D51,'2nd Qtr'!D51,'3rd Qtr'!D51,'4th Qtr'!D51)</f>
        <v>278680.03249999997</v>
      </c>
      <c r="E51" s="10">
        <f>SUM('1st Qtr'!E51, '2nd Qtr'!E51, '3rd Qtr'!E51, '4th Qtr'!E51)</f>
        <v>148952.16999999998</v>
      </c>
      <c r="F51" s="10">
        <f t="shared" si="0"/>
        <v>129727.86249999999</v>
      </c>
      <c r="G51" s="11">
        <f t="shared" si="1"/>
        <v>0.8709363717225469</v>
      </c>
      <c r="H51" s="12">
        <f>SUM('1st Qtr'!H51,'2nd Qtr'!H51,'3rd Qtr'!H51,'4th Qtr'!H51)</f>
        <v>293977.35399999999</v>
      </c>
      <c r="I51" s="12">
        <f>SUM('1st Qtr'!I51, '2nd Qtr'!I51, '3rd Qtr'!I51, '4th Qtr'!I51)</f>
        <v>-15297.321499999998</v>
      </c>
      <c r="J51" s="13">
        <f t="shared" si="2"/>
        <v>-5.2035713948224725E-2</v>
      </c>
    </row>
    <row r="52" spans="1:10" ht="15.6">
      <c r="A52" s="26" t="str">
        <v>X135</v>
      </c>
      <c r="B52" s="27" t="str">
        <v>NY</v>
      </c>
      <c r="C52" s="27" t="str">
        <f>Sites[[#This Row],[SOL'#]]</f>
        <v>SOL-10425</v>
      </c>
      <c r="D52" s="9">
        <f>SUM('1st Qtr'!D52,'2nd Qtr'!D52,'3rd Qtr'!D52,'4th Qtr'!D52)</f>
        <v>228155.50024999998</v>
      </c>
      <c r="E52" s="14">
        <f>SUM('1st Qtr'!E52, '2nd Qtr'!E52, '3rd Qtr'!E52, '4th Qtr'!E52)</f>
        <v>273419.75</v>
      </c>
      <c r="F52" s="14">
        <f t="shared" si="0"/>
        <v>-45264.249750000017</v>
      </c>
      <c r="G52" s="15">
        <f t="shared" si="1"/>
        <v>-0.16554857412458324</v>
      </c>
      <c r="H52" s="16">
        <f>SUM('1st Qtr'!H52,'2nd Qtr'!H52,'3rd Qtr'!H52,'4th Qtr'!H52)</f>
        <v>241976.51699999999</v>
      </c>
      <c r="I52" s="16">
        <f>SUM('1st Qtr'!I52, '2nd Qtr'!I52, '3rd Qtr'!I52, '4th Qtr'!I52)</f>
        <v>-13821.016750000003</v>
      </c>
      <c r="J52" s="15">
        <f t="shared" si="2"/>
        <v>-5.7117181953652153E-2</v>
      </c>
    </row>
    <row r="53" spans="1:10" ht="15.6">
      <c r="A53" s="24" t="str">
        <v>X139 JHS 222</v>
      </c>
      <c r="B53" s="25" t="str">
        <v>NY</v>
      </c>
      <c r="C53" s="25" t="str">
        <f>Sites[[#This Row],[SOL'#]]</f>
        <v>SOL-10426</v>
      </c>
      <c r="D53" s="20">
        <f>SUM('1st Qtr'!D53,'2nd Qtr'!D53,'3rd Qtr'!D53,'4th Qtr'!D53)</f>
        <v>345729.307563635</v>
      </c>
      <c r="E53" s="10">
        <f>SUM('1st Qtr'!E53, '2nd Qtr'!E53, '3rd Qtr'!E53, '4th Qtr'!E53)</f>
        <v>384085.84699999995</v>
      </c>
      <c r="F53" s="10">
        <f t="shared" si="0"/>
        <v>-38356.539436364954</v>
      </c>
      <c r="G53" s="11">
        <f t="shared" si="1"/>
        <v>-9.9864495752599175E-2</v>
      </c>
      <c r="H53" s="12">
        <f>SUM('1st Qtr'!H53,'2nd Qtr'!H53,'3rd Qtr'!H53,'4th Qtr'!H53)</f>
        <v>363579.614</v>
      </c>
      <c r="I53" s="12">
        <f>SUM('1st Qtr'!I53, '2nd Qtr'!I53, '3rd Qtr'!I53, '4th Qtr'!I53)</f>
        <v>-17850.306436365005</v>
      </c>
      <c r="J53" s="13">
        <f t="shared" si="2"/>
        <v>-4.9096004696140651E-2</v>
      </c>
    </row>
    <row r="54" spans="1:10" ht="15.6">
      <c r="A54" s="26" t="str">
        <v>X140</v>
      </c>
      <c r="B54" s="27" t="str">
        <v>NY</v>
      </c>
      <c r="C54" s="27" t="str">
        <f>Sites[[#This Row],[SOL'#]]</f>
        <v>SOL-10926</v>
      </c>
      <c r="D54" s="9">
        <f>SUM('1st Qtr'!D54,'2nd Qtr'!D54,'3rd Qtr'!D54,'4th Qtr'!D54)</f>
        <v>202489.15674999999</v>
      </c>
      <c r="E54" s="14">
        <f>SUM('1st Qtr'!E54, '2nd Qtr'!E54, '3rd Qtr'!E54, '4th Qtr'!E54)</f>
        <v>174510.60800000001</v>
      </c>
      <c r="F54" s="14">
        <f t="shared" si="0"/>
        <v>27978.548749999987</v>
      </c>
      <c r="G54" s="15">
        <f t="shared" si="1"/>
        <v>0.16032577658545541</v>
      </c>
      <c r="H54" s="16">
        <f>SUM('1st Qtr'!H54,'2nd Qtr'!H54,'3rd Qtr'!H54,'4th Qtr'!H54)</f>
        <v>203784</v>
      </c>
      <c r="I54" s="16">
        <f>SUM('1st Qtr'!I54, '2nd Qtr'!I54, '3rd Qtr'!I54, '4th Qtr'!I54)</f>
        <v>-1294.8432500000026</v>
      </c>
      <c r="J54" s="15">
        <f t="shared" si="2"/>
        <v>-6.3539985965532257E-3</v>
      </c>
    </row>
    <row r="55" spans="1:10" ht="15.6">
      <c r="A55" s="24" t="str">
        <v>X166</v>
      </c>
      <c r="B55" s="25" t="str">
        <v>NY</v>
      </c>
      <c r="C55" s="25" t="str">
        <f>Sites[[#This Row],[SOL'#]]</f>
        <v>SOL-10427</v>
      </c>
      <c r="D55" s="20">
        <f>SUM('1st Qtr'!D55,'2nd Qtr'!D55,'3rd Qtr'!D55,'4th Qtr'!D55)</f>
        <v>209103.9</v>
      </c>
      <c r="E55" s="10">
        <f>SUM('1st Qtr'!E55, '2nd Qtr'!E55, '3rd Qtr'!E55, '4th Qtr'!E55)</f>
        <v>224692.147</v>
      </c>
      <c r="F55" s="10">
        <f t="shared" si="0"/>
        <v>-15588.247000000003</v>
      </c>
      <c r="G55" s="11">
        <f t="shared" si="1"/>
        <v>-6.9376020515750397E-2</v>
      </c>
      <c r="H55" s="12">
        <f>SUM('1st Qtr'!H55,'2nd Qtr'!H55,'3rd Qtr'!H55,'4th Qtr'!H55)</f>
        <v>218148.807</v>
      </c>
      <c r="I55" s="12">
        <f>SUM('1st Qtr'!I55, '2nd Qtr'!I55, '3rd Qtr'!I55, '4th Qtr'!I55)</f>
        <v>-9044.9069999999992</v>
      </c>
      <c r="J55" s="13">
        <f t="shared" si="2"/>
        <v>-4.1462097017106306E-2</v>
      </c>
    </row>
    <row r="56" spans="1:10" ht="15.6">
      <c r="A56" s="26" t="str">
        <v>Murphy</v>
      </c>
      <c r="B56" s="27" t="str">
        <v>MN</v>
      </c>
      <c r="C56" s="27" t="str">
        <f>Sites[[#This Row],[SOL'#]]</f>
        <v>SOL-10094</v>
      </c>
      <c r="D56" s="9">
        <f>SUM('1st Qtr'!D56,'2nd Qtr'!D56,'3rd Qtr'!D56,'4th Qtr'!D56)</f>
        <v>8270680</v>
      </c>
      <c r="E56" s="14">
        <f>SUM('1st Qtr'!E56, '2nd Qtr'!E56, '3rd Qtr'!E56, '4th Qtr'!E56)</f>
        <v>9710361.1339999996</v>
      </c>
      <c r="F56" s="14">
        <f t="shared" si="0"/>
        <v>-1439681.1339999996</v>
      </c>
      <c r="G56" s="15">
        <f t="shared" si="1"/>
        <v>-0.14826236780824548</v>
      </c>
      <c r="H56" s="16">
        <f>SUM('1st Qtr'!H56,'2nd Qtr'!H56,'3rd Qtr'!H56,'4th Qtr'!H56)</f>
        <v>9193456.3000000007</v>
      </c>
      <c r="I56" s="16">
        <f>SUM('1st Qtr'!I56, '2nd Qtr'!I56, '3rd Qtr'!I56, '4th Qtr'!I56)</f>
        <v>-922776.3</v>
      </c>
      <c r="J56" s="15">
        <f t="shared" si="2"/>
        <v>-0.1003731643342885</v>
      </c>
    </row>
    <row r="57" spans="1:10" ht="15.6">
      <c r="A57" s="24" t="str">
        <v>Terning</v>
      </c>
      <c r="B57" s="25" t="str">
        <v>MN</v>
      </c>
      <c r="C57" s="25" t="str">
        <f>Sites[[#This Row],[SOL'#]]</f>
        <v>SOL-10093</v>
      </c>
      <c r="D57" s="20">
        <f>SUM('1st Qtr'!D57,'2nd Qtr'!D57,'3rd Qtr'!D57,'4th Qtr'!D57)</f>
        <v>8670166.7299999949</v>
      </c>
      <c r="E57" s="10">
        <f>SUM('1st Qtr'!E57, '2nd Qtr'!E57, '3rd Qtr'!E57, '4th Qtr'!E57)</f>
        <v>9962186.5669999998</v>
      </c>
      <c r="F57" s="10">
        <f t="shared" si="0"/>
        <v>-1292019.8370000049</v>
      </c>
      <c r="G57" s="11">
        <f t="shared" si="1"/>
        <v>-0.12969239516953576</v>
      </c>
      <c r="H57" s="12">
        <f>SUM('1st Qtr'!H57,'2nd Qtr'!H57,'3rd Qtr'!H57,'4th Qtr'!H57)</f>
        <v>8976953.9499999993</v>
      </c>
      <c r="I57" s="12">
        <f>SUM('1st Qtr'!I57, '2nd Qtr'!I57, '3rd Qtr'!I57, '4th Qtr'!I57)</f>
        <v>-306787.22000000568</v>
      </c>
      <c r="J57" s="13">
        <f t="shared" si="2"/>
        <v>-3.4174979810384983E-2</v>
      </c>
    </row>
    <row r="58" spans="1:10" ht="15.6">
      <c r="A58" s="26" t="str">
        <v>Boas Road 04</v>
      </c>
      <c r="B58" s="27" t="str">
        <v>NY</v>
      </c>
      <c r="C58" s="27" t="str">
        <f>Sites[[#This Row],[SOL'#]]</f>
        <v>SOL-10908</v>
      </c>
      <c r="D58" s="9">
        <f>SUM('1st Qtr'!D58,'2nd Qtr'!D58,'3rd Qtr'!D58,'4th Qtr'!D58)</f>
        <v>508152</v>
      </c>
      <c r="E58" s="14">
        <f>SUM('1st Qtr'!E58, '2nd Qtr'!E58, '3rd Qtr'!E58, '4th Qtr'!E58)</f>
        <v>2284521.9029999999</v>
      </c>
      <c r="F58" s="14">
        <f t="shared" si="0"/>
        <v>-1776369.9029999999</v>
      </c>
      <c r="G58" s="15">
        <f t="shared" si="1"/>
        <v>-0.77756746418902689</v>
      </c>
      <c r="H58" s="16">
        <f>SUM('1st Qtr'!H58,'2nd Qtr'!H58,'3rd Qtr'!H58,'4th Qtr'!H58)</f>
        <v>3382162.2880000002</v>
      </c>
      <c r="I58" s="16">
        <f>SUM('1st Qtr'!I58, '2nd Qtr'!I58, '3rd Qtr'!I58, '4th Qtr'!I58)</f>
        <v>-2492688.2880000002</v>
      </c>
      <c r="J58" s="15">
        <f t="shared" si="2"/>
        <v>-0.73701025431101375</v>
      </c>
    </row>
    <row r="59" spans="1:10" ht="15.6">
      <c r="A59" s="24" t="str">
        <v>Kelly Bridge Farm</v>
      </c>
      <c r="B59" s="25" t="str">
        <v>NY</v>
      </c>
      <c r="C59" s="25" t="str">
        <f>Sites[[#This Row],[SOL'#]]</f>
        <v>SOL-10911</v>
      </c>
      <c r="D59" s="20">
        <f>SUM('1st Qtr'!D59,'2nd Qtr'!D59,'3rd Qtr'!D59,'4th Qtr'!D59)</f>
        <v>1379650</v>
      </c>
      <c r="E59" s="10">
        <f>SUM('1st Qtr'!E59, '2nd Qtr'!E59, '3rd Qtr'!E59, '4th Qtr'!E59)</f>
        <v>2407087.3280000002</v>
      </c>
      <c r="F59" s="10">
        <f t="shared" si="0"/>
        <v>-1027437.3280000002</v>
      </c>
      <c r="G59" s="11">
        <f t="shared" si="1"/>
        <v>-0.42683841007699413</v>
      </c>
      <c r="H59" s="12">
        <f>SUM('1st Qtr'!H59,'2nd Qtr'!H59,'3rd Qtr'!H59,'4th Qtr'!H59)</f>
        <v>3398741.5329999998</v>
      </c>
      <c r="I59" s="12">
        <f>SUM('1st Qtr'!I59, '2nd Qtr'!I59, '3rd Qtr'!I59, '4th Qtr'!I59)</f>
        <v>-2019091.5329999998</v>
      </c>
      <c r="J59" s="13">
        <f t="shared" si="2"/>
        <v>-0.59407033850490798</v>
      </c>
    </row>
    <row r="60" spans="1:10" ht="15.6">
      <c r="A60" s="26" t="str">
        <v>Pool Brook Road</v>
      </c>
      <c r="B60" s="27" t="str">
        <v>NY</v>
      </c>
      <c r="C60" s="27" t="str">
        <f>Sites[[#This Row],[SOL'#]]</f>
        <v>SOL-10909</v>
      </c>
      <c r="D60" s="9">
        <f>SUM('1st Qtr'!D60,'2nd Qtr'!D60,'3rd Qtr'!D60,'4th Qtr'!D60)</f>
        <v>2470717</v>
      </c>
      <c r="E60" s="14">
        <f>SUM('1st Qtr'!E60, '2nd Qtr'!E60, '3rd Qtr'!E60, '4th Qtr'!E60)</f>
        <v>2787698.8739999998</v>
      </c>
      <c r="F60" s="14">
        <f t="shared" si="0"/>
        <v>-316981.87399999984</v>
      </c>
      <c r="G60" s="15">
        <f t="shared" si="1"/>
        <v>-0.11370735804946193</v>
      </c>
      <c r="H60" s="16">
        <f>SUM('1st Qtr'!H60,'2nd Qtr'!H60,'3rd Qtr'!H60,'4th Qtr'!H60)</f>
        <v>3247874.2050000001</v>
      </c>
      <c r="I60" s="16">
        <f>SUM('1st Qtr'!I60, '2nd Qtr'!I60, '3rd Qtr'!I60, '4th Qtr'!I60)</f>
        <v>-777157.20499999996</v>
      </c>
      <c r="J60" s="15">
        <f t="shared" si="2"/>
        <v>-0.23928180586661604</v>
      </c>
    </row>
    <row r="61" spans="1:10" ht="15.6">
      <c r="A61" s="24" t="str">
        <v>Sackett Lake</v>
      </c>
      <c r="B61" s="25" t="str">
        <v>NY</v>
      </c>
      <c r="C61" s="25" t="str">
        <f>Sites[[#This Row],[SOL'#]]</f>
        <v>SOL-10910</v>
      </c>
      <c r="D61" s="20">
        <f>SUM('1st Qtr'!D61,'2nd Qtr'!D61,'3rd Qtr'!D61,'4th Qtr'!D61)</f>
        <v>2731452</v>
      </c>
      <c r="E61" s="10">
        <f>SUM('1st Qtr'!E61, '2nd Qtr'!E61, '3rd Qtr'!E61, '4th Qtr'!E61)</f>
        <v>1906520.4060000002</v>
      </c>
      <c r="F61" s="10">
        <f t="shared" si="0"/>
        <v>824931.59399999981</v>
      </c>
      <c r="G61" s="11">
        <f t="shared" si="1"/>
        <v>0.4326896221010077</v>
      </c>
      <c r="H61" s="12">
        <f>SUM('1st Qtr'!H61,'2nd Qtr'!H61,'3rd Qtr'!H61,'4th Qtr'!H61)</f>
        <v>3442913.8289999999</v>
      </c>
      <c r="I61" s="12">
        <f>SUM('1st Qtr'!I61, '2nd Qtr'!I61, '3rd Qtr'!I61, '4th Qtr'!I61)</f>
        <v>-711461.82899999991</v>
      </c>
      <c r="J61" s="13">
        <f t="shared" si="2"/>
        <v>-0.20664526164067407</v>
      </c>
    </row>
    <row r="62" spans="1:10" ht="15.6">
      <c r="A62" s="26" t="str">
        <v>Burritt Road</v>
      </c>
      <c r="B62" s="27" t="str">
        <v>NY</v>
      </c>
      <c r="C62" s="27" t="str">
        <f>Sites[[#This Row],[SOL'#]]</f>
        <v>SOL-10913</v>
      </c>
      <c r="D62" s="9">
        <f>SUM('1st Qtr'!D62,'2nd Qtr'!D62,'3rd Qtr'!D62,'4th Qtr'!D62)</f>
        <v>3043900</v>
      </c>
      <c r="E62" s="14">
        <f>SUM('1st Qtr'!E62, '2nd Qtr'!E62, '3rd Qtr'!E62, '4th Qtr'!E62)</f>
        <v>1780451.9100000001</v>
      </c>
      <c r="F62" s="14">
        <f t="shared" si="0"/>
        <v>1263448.0899999999</v>
      </c>
      <c r="G62" s="15">
        <f t="shared" si="1"/>
        <v>0.70962213744936231</v>
      </c>
      <c r="H62" s="16">
        <f>SUM('1st Qtr'!H62,'2nd Qtr'!H62,'3rd Qtr'!H62,'4th Qtr'!H62)</f>
        <v>3285596.3730000001</v>
      </c>
      <c r="I62" s="16">
        <f>SUM('1st Qtr'!I62, '2nd Qtr'!I62, '3rd Qtr'!I62, '4th Qtr'!I62)</f>
        <v>-241696.37299999999</v>
      </c>
      <c r="J62" s="15">
        <f t="shared" si="2"/>
        <v>-7.3562405591321239E-2</v>
      </c>
    </row>
    <row r="63" spans="1:10" ht="15.6">
      <c r="A63" s="24" t="str">
        <v>Villa Roma 1</v>
      </c>
      <c r="B63" s="25" t="str">
        <v>NY</v>
      </c>
      <c r="C63" s="25" t="str">
        <f>Sites[[#This Row],[SOL'#]]</f>
        <v>SOL-10914</v>
      </c>
      <c r="D63" s="20">
        <f>SUM('1st Qtr'!D63,'2nd Qtr'!D63,'3rd Qtr'!D63,'4th Qtr'!D63)</f>
        <v>2742863</v>
      </c>
      <c r="E63" s="10">
        <f>SUM('1st Qtr'!E63, '2nd Qtr'!E63, '3rd Qtr'!E63, '4th Qtr'!E63)</f>
        <v>385288.60400000005</v>
      </c>
      <c r="F63" s="10">
        <f t="shared" si="0"/>
        <v>2357574.3959999997</v>
      </c>
      <c r="G63" s="11">
        <f t="shared" si="1"/>
        <v>6.1189829429785041</v>
      </c>
      <c r="H63" s="12">
        <f>SUM('1st Qtr'!H63,'2nd Qtr'!H63,'3rd Qtr'!H63,'4th Qtr'!H63)</f>
        <v>2953328.7069999999</v>
      </c>
      <c r="I63" s="12">
        <f>SUM('1st Qtr'!I63, '2nd Qtr'!I63, '3rd Qtr'!I63, '4th Qtr'!I63)</f>
        <v>-210465.70699999999</v>
      </c>
      <c r="J63" s="13">
        <f t="shared" si="2"/>
        <v>-7.1263895041941222E-2</v>
      </c>
    </row>
    <row r="64" spans="1:10" ht="15.6">
      <c r="A64" s="26" t="str">
        <v>Villa Roma 2</v>
      </c>
      <c r="B64" s="27" t="str">
        <v>NY</v>
      </c>
      <c r="C64" s="27" t="str">
        <f>Sites[[#This Row],[SOL'#]]</f>
        <v>SOL-10915</v>
      </c>
      <c r="D64" s="9">
        <f>SUM('1st Qtr'!D64,'2nd Qtr'!D64,'3rd Qtr'!D64,'4th Qtr'!D64)</f>
        <v>2657528</v>
      </c>
      <c r="E64" s="14">
        <f>SUM('1st Qtr'!E64, '2nd Qtr'!E64, '3rd Qtr'!E64, '4th Qtr'!E64)</f>
        <v>2561573.378</v>
      </c>
      <c r="F64" s="14">
        <f t="shared" si="0"/>
        <v>95954.621999999974</v>
      </c>
      <c r="G64" s="15">
        <f t="shared" si="1"/>
        <v>3.7459251733369621E-2</v>
      </c>
      <c r="H64" s="16">
        <f>SUM('1st Qtr'!H64,'2nd Qtr'!H64,'3rd Qtr'!H64,'4th Qtr'!H64)</f>
        <v>2865654.8859999999</v>
      </c>
      <c r="I64" s="16">
        <f>SUM('1st Qtr'!I64, '2nd Qtr'!I64, '3rd Qtr'!I64, '4th Qtr'!I64)</f>
        <v>-208126.886</v>
      </c>
      <c r="J64" s="15">
        <f t="shared" si="2"/>
        <v>-7.2628035921838502E-2</v>
      </c>
    </row>
    <row r="65" spans="1:10" ht="15.6">
      <c r="A65" s="24" t="str">
        <v>Washington 1</v>
      </c>
      <c r="B65" s="25" t="str">
        <v>NY</v>
      </c>
      <c r="C65" s="25" t="str">
        <f>Sites[[#This Row],[SOL'#]]</f>
        <v>SOL-10912</v>
      </c>
      <c r="D65" s="20">
        <f>SUM('1st Qtr'!D65,'2nd Qtr'!D65,'3rd Qtr'!D65,'4th Qtr'!D65)</f>
        <v>3106500</v>
      </c>
      <c r="E65" s="10">
        <f>SUM('1st Qtr'!E65, '2nd Qtr'!E65, '3rd Qtr'!E65, '4th Qtr'!E65)</f>
        <v>2994485.2790000001</v>
      </c>
      <c r="F65" s="10">
        <f t="shared" ref="F65:F96" si="3">IF(AND(ISNUMBER(D65),ISNUMBER(E65)), D65-E65, "")</f>
        <v>112014.7209999999</v>
      </c>
      <c r="G65" s="11">
        <f t="shared" ref="G65:G96" si="4">IFERROR(F65/E65, "")</f>
        <v>3.7407003395724454E-2</v>
      </c>
      <c r="H65" s="12">
        <f>SUM('1st Qtr'!H65,'2nd Qtr'!H65,'3rd Qtr'!H65,'4th Qtr'!H65)</f>
        <v>3234673.0630000001</v>
      </c>
      <c r="I65" s="12">
        <f>SUM('1st Qtr'!I65, '2nd Qtr'!I65, '3rd Qtr'!I65, '4th Qtr'!I65)</f>
        <v>-128173.06300000004</v>
      </c>
      <c r="J65" s="13">
        <f t="shared" ref="J65:J96" si="5">IFERROR(I65/H65, "")</f>
        <v>-3.9624735020708964E-2</v>
      </c>
    </row>
    <row r="66" spans="1:10" ht="15.6">
      <c r="A66" s="26" t="str">
        <v>Washington 3</v>
      </c>
      <c r="B66" s="27" t="str">
        <v>NY</v>
      </c>
      <c r="C66" s="27" t="str">
        <f>Sites[[#This Row],[SOL'#]]</f>
        <v>SOL-10828</v>
      </c>
      <c r="D66" s="9">
        <f>SUM('1st Qtr'!D66,'2nd Qtr'!D66,'3rd Qtr'!D66,'4th Qtr'!D66)</f>
        <v>2909076</v>
      </c>
      <c r="E66" s="14">
        <f>SUM('1st Qtr'!E66, '2nd Qtr'!E66, '3rd Qtr'!E66, '4th Qtr'!E66)</f>
        <v>3942280.193</v>
      </c>
      <c r="F66" s="14">
        <f t="shared" si="3"/>
        <v>-1033204.193</v>
      </c>
      <c r="G66" s="15">
        <f t="shared" si="4"/>
        <v>-0.26208289173219607</v>
      </c>
      <c r="H66" s="16">
        <f>SUM('1st Qtr'!H66,'2nd Qtr'!H66,'3rd Qtr'!H66,'4th Qtr'!H66)</f>
        <v>3958090.835</v>
      </c>
      <c r="I66" s="16">
        <f>SUM('1st Qtr'!I66, '2nd Qtr'!I66, '3rd Qtr'!I66, '4th Qtr'!I66)</f>
        <v>-1049014.835</v>
      </c>
      <c r="J66" s="15">
        <f t="shared" si="5"/>
        <v>-0.26503051059968913</v>
      </c>
    </row>
    <row r="67" spans="1:10" ht="15.6">
      <c r="A67" s="24" t="str">
        <v>Washington 4</v>
      </c>
      <c r="B67" s="25" t="str">
        <v>NY</v>
      </c>
      <c r="C67" s="25" t="str">
        <f>Sites[[#This Row],[SOL'#]]</f>
        <v>SOL-10829</v>
      </c>
      <c r="D67" s="20">
        <f>SUM('1st Qtr'!D67,'2nd Qtr'!D67,'3rd Qtr'!D67,'4th Qtr'!D67)</f>
        <v>3522780.5</v>
      </c>
      <c r="E67" s="10">
        <f>SUM('1st Qtr'!E67, '2nd Qtr'!E67, '3rd Qtr'!E67, '4th Qtr'!E67)</f>
        <v>3328718.568</v>
      </c>
      <c r="F67" s="10">
        <f t="shared" si="3"/>
        <v>194061.93200000003</v>
      </c>
      <c r="G67" s="11">
        <f t="shared" si="4"/>
        <v>5.8299290863931048E-2</v>
      </c>
      <c r="H67" s="12">
        <f>SUM('1st Qtr'!H67,'2nd Qtr'!H67,'3rd Qtr'!H67,'4th Qtr'!H67)</f>
        <v>3964164.0179999997</v>
      </c>
      <c r="I67" s="12">
        <f>SUM('1st Qtr'!I67, '2nd Qtr'!I67, '3rd Qtr'!I67, '4th Qtr'!I67)</f>
        <v>-441383.51799999998</v>
      </c>
      <c r="J67" s="13">
        <f t="shared" si="5"/>
        <v>-0.1113434045604114</v>
      </c>
    </row>
    <row r="68" spans="1:10" ht="15.6">
      <c r="A68" s="26" t="str">
        <v>Big Tree</v>
      </c>
      <c r="B68" s="27" t="str">
        <v>NY</v>
      </c>
      <c r="C68" s="27" t="str">
        <f>Sites[[#This Row],[SOL'#]]</f>
        <v>SOL-10966</v>
      </c>
      <c r="D68" s="9">
        <f>SUM('1st Qtr'!D68,'2nd Qtr'!D68,'3rd Qtr'!D68,'4th Qtr'!D68)</f>
        <v>3102594</v>
      </c>
      <c r="E68" s="14">
        <f>SUM('1st Qtr'!E68, '2nd Qtr'!E68, '3rd Qtr'!E68, '4th Qtr'!E68)</f>
        <v>1665750</v>
      </c>
      <c r="F68" s="14">
        <f t="shared" si="3"/>
        <v>1436844</v>
      </c>
      <c r="G68" s="15">
        <f t="shared" si="4"/>
        <v>0.86258081945069787</v>
      </c>
      <c r="H68" s="16">
        <f>SUM('1st Qtr'!H68,'2nd Qtr'!H68,'3rd Qtr'!H68,'4th Qtr'!H68)</f>
        <v>3306767.25</v>
      </c>
      <c r="I68" s="16">
        <f>SUM('1st Qtr'!I68, '2nd Qtr'!I68, '3rd Qtr'!I68, '4th Qtr'!I68)</f>
        <v>-204173.24999999985</v>
      </c>
      <c r="J68" s="15">
        <f t="shared" si="5"/>
        <v>-6.1744064387960734E-2</v>
      </c>
    </row>
    <row r="69" spans="1:10" ht="15.6">
      <c r="A69" s="24" t="str">
        <v>Canoga</v>
      </c>
      <c r="B69" s="25" t="str">
        <v>NY</v>
      </c>
      <c r="C69" s="25" t="str">
        <f>Sites[[#This Row],[SOL'#]]</f>
        <v>SOL-10965</v>
      </c>
      <c r="D69" s="20">
        <f>SUM('1st Qtr'!D69,'2nd Qtr'!D69,'3rd Qtr'!D69,'4th Qtr'!D69)</f>
        <v>5089060</v>
      </c>
      <c r="E69" s="10">
        <f>SUM('1st Qtr'!E69, '2nd Qtr'!E69, '3rd Qtr'!E69, '4th Qtr'!E69)</f>
        <v>0</v>
      </c>
      <c r="F69" s="10">
        <f t="shared" si="3"/>
        <v>5089060</v>
      </c>
      <c r="G69" s="11" t="str">
        <f t="shared" si="4"/>
        <v/>
      </c>
      <c r="H69" s="12">
        <f>SUM('1st Qtr'!H69,'2nd Qtr'!H69,'3rd Qtr'!H69,'4th Qtr'!H69)</f>
        <v>1932497.02</v>
      </c>
      <c r="I69" s="12">
        <f>SUM('1st Qtr'!I69, '2nd Qtr'!I69, '3rd Qtr'!I69, '4th Qtr'!I69)</f>
        <v>2127662.98</v>
      </c>
      <c r="J69" s="13">
        <f t="shared" si="5"/>
        <v>1.1009915968719062</v>
      </c>
    </row>
    <row r="70" spans="1:10" ht="15.6">
      <c r="A70" s="26" t="str">
        <v>County Route 84</v>
      </c>
      <c r="B70" s="27" t="str">
        <v>NY</v>
      </c>
      <c r="C70" s="27" t="str">
        <f>Sites[[#This Row],[SOL'#]]</f>
        <v>SOL-10967</v>
      </c>
      <c r="D70" s="9">
        <f>SUM('1st Qtr'!D70,'2nd Qtr'!D70,'3rd Qtr'!D70,'4th Qtr'!D70)</f>
        <v>8352570</v>
      </c>
      <c r="E70" s="14">
        <f>SUM('1st Qtr'!E70, '2nd Qtr'!E70, '3rd Qtr'!E70, '4th Qtr'!E70)</f>
        <v>4040450</v>
      </c>
      <c r="F70" s="14">
        <f t="shared" si="3"/>
        <v>4312120</v>
      </c>
      <c r="G70" s="15">
        <f t="shared" si="4"/>
        <v>1.0672375601727531</v>
      </c>
      <c r="H70" s="16">
        <f>SUM('1st Qtr'!H70,'2nd Qtr'!H70,'3rd Qtr'!H70,'4th Qtr'!H70)</f>
        <v>8859524.4679999985</v>
      </c>
      <c r="I70" s="16">
        <f>SUM('1st Qtr'!I70, '2nd Qtr'!I70, '3rd Qtr'!I70, '4th Qtr'!I70)</f>
        <v>-506954.46799999994</v>
      </c>
      <c r="J70" s="15">
        <f t="shared" si="5"/>
        <v>-5.7221408421082316E-2</v>
      </c>
    </row>
    <row r="71" spans="1:10" ht="15.6">
      <c r="A71" s="24" t="str">
        <v>Donati</v>
      </c>
      <c r="B71" s="25" t="str">
        <v>NY</v>
      </c>
      <c r="C71" s="25" t="str">
        <f>Sites[[#This Row],[SOL'#]]</f>
        <v>SOL-10968</v>
      </c>
      <c r="D71" s="20">
        <f>SUM('1st Qtr'!D71,'2nd Qtr'!D71,'3rd Qtr'!D71,'4th Qtr'!D71)</f>
        <v>3407204</v>
      </c>
      <c r="E71" s="10">
        <f>SUM('1st Qtr'!E71, '2nd Qtr'!E71, '3rd Qtr'!E71, '4th Qtr'!E71)</f>
        <v>456170</v>
      </c>
      <c r="F71" s="10">
        <f t="shared" si="3"/>
        <v>2951034</v>
      </c>
      <c r="G71" s="11">
        <f t="shared" si="4"/>
        <v>6.4691540434487145</v>
      </c>
      <c r="H71" s="12">
        <f>SUM('1st Qtr'!H71,'2nd Qtr'!H71,'3rd Qtr'!H71,'4th Qtr'!H71)</f>
        <v>4138762.8149999999</v>
      </c>
      <c r="I71" s="12">
        <f>SUM('1st Qtr'!I71, '2nd Qtr'!I71, '3rd Qtr'!I71, '4th Qtr'!I71)</f>
        <v>-731558.81500000006</v>
      </c>
      <c r="J71" s="13">
        <f t="shared" si="5"/>
        <v>-0.1767578495555803</v>
      </c>
    </row>
    <row r="72" spans="1:10" ht="15.6">
      <c r="A72" s="26" t="str">
        <v>Henrietta</v>
      </c>
      <c r="B72" s="27" t="str">
        <v>NY</v>
      </c>
      <c r="C72" s="27" t="str">
        <f>Sites[[#This Row],[SOL'#]]</f>
        <v>SOL-10972</v>
      </c>
      <c r="D72" s="9">
        <f>SUM('1st Qtr'!D72,'2nd Qtr'!D72,'3rd Qtr'!D72,'4th Qtr'!D72)</f>
        <v>7268830</v>
      </c>
      <c r="E72" s="14">
        <f>SUM('1st Qtr'!E72, '2nd Qtr'!E72, '3rd Qtr'!E72, '4th Qtr'!E72)</f>
        <v>3934600</v>
      </c>
      <c r="F72" s="14">
        <f t="shared" si="3"/>
        <v>3334230</v>
      </c>
      <c r="G72" s="15">
        <f t="shared" si="4"/>
        <v>0.84741269760585569</v>
      </c>
      <c r="H72" s="16">
        <f>SUM('1st Qtr'!H72,'2nd Qtr'!H72,'3rd Qtr'!H72,'4th Qtr'!H72)</f>
        <v>8411554.1099999994</v>
      </c>
      <c r="I72" s="16">
        <f>SUM('1st Qtr'!I72, '2nd Qtr'!I72, '3rd Qtr'!I72, '4th Qtr'!I72)</f>
        <v>-1142724.1100000001</v>
      </c>
      <c r="J72" s="15">
        <f t="shared" si="5"/>
        <v>-0.13585172193584097</v>
      </c>
    </row>
    <row r="73" spans="1:10" ht="15.6">
      <c r="A73" s="24" t="str">
        <v>NY 70</v>
      </c>
      <c r="B73" s="25" t="str">
        <v>NY</v>
      </c>
      <c r="C73" s="25" t="str">
        <f>Sites[[#This Row],[SOL'#]]</f>
        <v>SOL-10970</v>
      </c>
      <c r="D73" s="20">
        <f>SUM('1st Qtr'!D73,'2nd Qtr'!D73,'3rd Qtr'!D73,'4th Qtr'!D73)</f>
        <v>8388920</v>
      </c>
      <c r="E73" s="10">
        <f>SUM('1st Qtr'!E73, '2nd Qtr'!E73, '3rd Qtr'!E73, '4th Qtr'!E73)</f>
        <v>4226750</v>
      </c>
      <c r="F73" s="10">
        <f t="shared" si="3"/>
        <v>4162170</v>
      </c>
      <c r="G73" s="11">
        <f t="shared" si="4"/>
        <v>0.98472112142899393</v>
      </c>
      <c r="H73" s="12">
        <f>SUM('1st Qtr'!H73,'2nd Qtr'!H73,'3rd Qtr'!H73,'4th Qtr'!H73)</f>
        <v>9711590.6459999997</v>
      </c>
      <c r="I73" s="12">
        <f>SUM('1st Qtr'!I73, '2nd Qtr'!I73, '3rd Qtr'!I73, '4th Qtr'!I73)</f>
        <v>-1322670.6460000002</v>
      </c>
      <c r="J73" s="13">
        <f t="shared" si="5"/>
        <v>-0.13619505745382507</v>
      </c>
    </row>
    <row r="74" spans="1:10" ht="15.6">
      <c r="A74" s="26" t="str">
        <v>Reid</v>
      </c>
      <c r="B74" s="27" t="str">
        <v>NY</v>
      </c>
      <c r="C74" s="27" t="str">
        <f>Sites[[#This Row],[SOL'#]]</f>
        <v>SOL-10991</v>
      </c>
      <c r="D74" s="9">
        <f>SUM('1st Qtr'!D74,'2nd Qtr'!D74,'3rd Qtr'!D74,'4th Qtr'!D74)</f>
        <v>6172786.0798542295</v>
      </c>
      <c r="E74" s="14">
        <f>SUM('1st Qtr'!E74, '2nd Qtr'!E74, '3rd Qtr'!E74, '4th Qtr'!E74)</f>
        <v>6526936.2240000004</v>
      </c>
      <c r="F74" s="14">
        <f t="shared" si="3"/>
        <v>-354150.14414577093</v>
      </c>
      <c r="G74" s="15">
        <f t="shared" si="4"/>
        <v>-5.4259783149640119E-2</v>
      </c>
      <c r="H74" s="16">
        <f>SUM('1st Qtr'!H74,'2nd Qtr'!H74,'3rd Qtr'!H74,'4th Qtr'!H74)</f>
        <v>6792091.5</v>
      </c>
      <c r="I74" s="16">
        <f>SUM('1st Qtr'!I74, '2nd Qtr'!I74, '3rd Qtr'!I74, '4th Qtr'!I74)</f>
        <v>-619305.42014577112</v>
      </c>
      <c r="J74" s="15">
        <f t="shared" si="5"/>
        <v>-9.1180370603925337E-2</v>
      </c>
    </row>
    <row r="75" spans="1:10" ht="15.6">
      <c r="A75" s="24" t="str">
        <v>Sangolqui</v>
      </c>
      <c r="B75" s="25" t="str">
        <v>NY</v>
      </c>
      <c r="C75" s="25" t="str">
        <f>Sites[[#This Row],[SOL'#]]</f>
        <v>SOL-10975</v>
      </c>
      <c r="D75" s="20">
        <f>SUM('1st Qtr'!D75,'2nd Qtr'!D75,'3rd Qtr'!D75,'4th Qtr'!D75)</f>
        <v>3265632</v>
      </c>
      <c r="E75" s="10">
        <f>SUM('1st Qtr'!E75, '2nd Qtr'!E75, '3rd Qtr'!E75, '4th Qtr'!E75)</f>
        <v>1337250</v>
      </c>
      <c r="F75" s="10">
        <f t="shared" si="3"/>
        <v>1928382</v>
      </c>
      <c r="G75" s="11">
        <f t="shared" si="4"/>
        <v>1.4420504767246214</v>
      </c>
      <c r="H75" s="12">
        <f>SUM('1st Qtr'!H75,'2nd Qtr'!H75,'3rd Qtr'!H75,'4th Qtr'!H75)</f>
        <v>4036659.2890000003</v>
      </c>
      <c r="I75" s="12">
        <f>SUM('1st Qtr'!I75, '2nd Qtr'!I75, '3rd Qtr'!I75, '4th Qtr'!I75)</f>
        <v>-771027.28899999999</v>
      </c>
      <c r="J75" s="13">
        <f t="shared" si="5"/>
        <v>-0.19100628361206234</v>
      </c>
    </row>
    <row r="76" spans="1:10" ht="15.6">
      <c r="A76" s="26" t="str">
        <v>State Highway 17B</v>
      </c>
      <c r="B76" s="27" t="str">
        <v>NY</v>
      </c>
      <c r="C76" s="27" t="str">
        <f>Sites[[#This Row],[SOL'#]]</f>
        <v>SOL-10988</v>
      </c>
      <c r="D76" s="9">
        <f>SUM('1st Qtr'!D76,'2nd Qtr'!D76,'3rd Qtr'!D76,'4th Qtr'!D76)</f>
        <v>7001830</v>
      </c>
      <c r="E76" s="14">
        <f>SUM('1st Qtr'!E76, '2nd Qtr'!E76, '3rd Qtr'!E76, '4th Qtr'!E76)</f>
        <v>2640170</v>
      </c>
      <c r="F76" s="14">
        <f t="shared" si="3"/>
        <v>4361660</v>
      </c>
      <c r="G76" s="15">
        <f t="shared" si="4"/>
        <v>1.6520375581875411</v>
      </c>
      <c r="H76" s="16">
        <f>SUM('1st Qtr'!H76,'2nd Qtr'!H76,'3rd Qtr'!H76,'4th Qtr'!H76)</f>
        <v>4305062.75</v>
      </c>
      <c r="I76" s="16">
        <f>SUM('1st Qtr'!I76, '2nd Qtr'!I76, '3rd Qtr'!I76, '4th Qtr'!I76)</f>
        <v>-507622.75</v>
      </c>
      <c r="J76" s="15">
        <f t="shared" si="5"/>
        <v>-0.11791297351008415</v>
      </c>
    </row>
    <row r="77" spans="1:10" ht="15.6">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8719783.1979999989</v>
      </c>
      <c r="I77" s="12">
        <f>SUM('1st Qtr'!I77, '2nd Qtr'!I77, '3rd Qtr'!I77, '4th Qtr'!I77)</f>
        <v>-6045233.1979999999</v>
      </c>
      <c r="J77" s="13">
        <f t="shared" si="5"/>
        <v>-0.69327792454594017</v>
      </c>
    </row>
    <row r="78" spans="1:10" ht="15.6">
      <c r="A78" s="26" t="str">
        <v>West Creek</v>
      </c>
      <c r="B78" s="27" t="str">
        <v>NY</v>
      </c>
      <c r="C78" s="27" t="str">
        <f>Sites[[#This Row],[SOL'#]]</f>
        <v>SOL-10995</v>
      </c>
      <c r="D78" s="9">
        <f>SUM('1st Qtr'!D78,'2nd Qtr'!D78,'3rd Qtr'!D78,'4th Qtr'!D78)</f>
        <v>8029180</v>
      </c>
      <c r="E78" s="14">
        <f>SUM('1st Qtr'!E78, '2nd Qtr'!E78, '3rd Qtr'!E78, '4th Qtr'!E78)</f>
        <v>3842750</v>
      </c>
      <c r="F78" s="14">
        <f t="shared" si="3"/>
        <v>4186430</v>
      </c>
      <c r="G78" s="15">
        <f t="shared" si="4"/>
        <v>1.0894359508164726</v>
      </c>
      <c r="H78" s="16">
        <f>SUM('1st Qtr'!H78,'2nd Qtr'!H78,'3rd Qtr'!H78,'4th Qtr'!H78)</f>
        <v>8558879.932</v>
      </c>
      <c r="I78" s="16">
        <f>SUM('1st Qtr'!I78, '2nd Qtr'!I78, '3rd Qtr'!I78, '4th Qtr'!I78)</f>
        <v>-529699.93199999991</v>
      </c>
      <c r="J78" s="15">
        <f t="shared" si="5"/>
        <v>-6.1888931286388782E-2</v>
      </c>
    </row>
    <row r="79" spans="1:10" ht="15.6">
      <c r="A79" s="24" t="str">
        <v>Wildflower</v>
      </c>
      <c r="B79" s="25" t="str">
        <v>NY</v>
      </c>
      <c r="C79" s="25" t="str">
        <f>Sites[[#This Row],[SOL'#]]</f>
        <v>SOL-10982</v>
      </c>
      <c r="D79" s="20">
        <f>SUM('1st Qtr'!D79,'2nd Qtr'!D79,'3rd Qtr'!D79,'4th Qtr'!D79)</f>
        <v>7129473.9000000004</v>
      </c>
      <c r="E79" s="10">
        <f>SUM('1st Qtr'!E79, '2nd Qtr'!E79, '3rd Qtr'!E79, '4th Qtr'!E79)</f>
        <v>3245123</v>
      </c>
      <c r="F79" s="10">
        <f t="shared" si="3"/>
        <v>3884350.9000000004</v>
      </c>
      <c r="G79" s="11">
        <f t="shared" si="4"/>
        <v>1.1969811005622901</v>
      </c>
      <c r="H79" s="12">
        <f>SUM('1st Qtr'!H79,'2nd Qtr'!H79,'3rd Qtr'!H79,'4th Qtr'!H79)</f>
        <v>8766663.6600000001</v>
      </c>
      <c r="I79" s="12">
        <f>SUM('1st Qtr'!I79, '2nd Qtr'!I79, '3rd Qtr'!I79, '4th Qtr'!I79)</f>
        <v>-1637189.7600000002</v>
      </c>
      <c r="J79" s="13">
        <f t="shared" si="5"/>
        <v>-0.18675174769964886</v>
      </c>
    </row>
    <row r="80" spans="1:10" ht="15.6">
      <c r="A80" s="26" t="str">
        <v>Glen Mary 1</v>
      </c>
      <c r="B80" s="27" t="str">
        <v>NY</v>
      </c>
      <c r="C80" s="27" t="str">
        <f>Sites[[#This Row],[SOL'#]]</f>
        <v>SOL-10993</v>
      </c>
      <c r="D80" s="9">
        <f>SUM('1st Qtr'!D80,'2nd Qtr'!D80,'3rd Qtr'!D80,'4th Qtr'!D80)</f>
        <v>7857080</v>
      </c>
      <c r="E80" s="14">
        <f>SUM('1st Qtr'!E80, '2nd Qtr'!E80, '3rd Qtr'!E80, '4th Qtr'!E80)</f>
        <v>3890180</v>
      </c>
      <c r="F80" s="14">
        <f t="shared" si="3"/>
        <v>3966900</v>
      </c>
      <c r="G80" s="15">
        <f t="shared" si="4"/>
        <v>1.0197214524777773</v>
      </c>
      <c r="H80" s="16">
        <f>SUM('1st Qtr'!H80,'2nd Qtr'!H80,'3rd Qtr'!H80,'4th Qtr'!H80)</f>
        <v>8964684.3739999998</v>
      </c>
      <c r="I80" s="16">
        <f>SUM('1st Qtr'!I80, '2nd Qtr'!I80, '3rd Qtr'!I80, '4th Qtr'!I80)</f>
        <v>-1107604.3739999998</v>
      </c>
      <c r="J80" s="15">
        <f t="shared" si="5"/>
        <v>-0.12355196544480149</v>
      </c>
    </row>
    <row r="81" spans="1:10" ht="15.6">
      <c r="A81" s="24" t="str">
        <v>Glen Mary 2</v>
      </c>
      <c r="B81" s="25" t="str">
        <v>NY</v>
      </c>
      <c r="C81" s="25" t="str">
        <f>Sites[[#This Row],[SOL'#]]</f>
        <v>SOL-10994</v>
      </c>
      <c r="D81" s="20">
        <f>SUM('1st Qtr'!D81,'2nd Qtr'!D81,'3rd Qtr'!D81,'4th Qtr'!D81)</f>
        <v>3301940</v>
      </c>
      <c r="E81" s="10">
        <f>SUM('1st Qtr'!E81, '2nd Qtr'!E81, '3rd Qtr'!E81, '4th Qtr'!E81)</f>
        <v>473050</v>
      </c>
      <c r="F81" s="10">
        <f t="shared" si="3"/>
        <v>2828890</v>
      </c>
      <c r="G81" s="11">
        <f t="shared" si="4"/>
        <v>5.9801078110136352</v>
      </c>
      <c r="H81" s="12">
        <f>SUM('1st Qtr'!H81,'2nd Qtr'!H81,'3rd Qtr'!H81,'4th Qtr'!H81)</f>
        <v>3787406.145</v>
      </c>
      <c r="I81" s="12">
        <f>SUM('1st Qtr'!I81, '2nd Qtr'!I81, '3rd Qtr'!I81, '4th Qtr'!I81)</f>
        <v>-485466.14500000002</v>
      </c>
      <c r="J81" s="13">
        <f t="shared" si="5"/>
        <v>-0.1281790561703807</v>
      </c>
    </row>
    <row r="82" spans="1:10" ht="15.6">
      <c r="A82" s="26" t="str">
        <v>Telegraph 1</v>
      </c>
      <c r="B82" s="27" t="str">
        <v>NY</v>
      </c>
      <c r="C82" s="27" t="str">
        <f>Sites[[#This Row],[SOL'#]]</f>
        <v>SOL-11003</v>
      </c>
      <c r="D82" s="9">
        <f>SUM('1st Qtr'!D82,'2nd Qtr'!D82,'3rd Qtr'!D82,'4th Qtr'!D82)</f>
        <v>5861186</v>
      </c>
      <c r="E82" s="14">
        <f>SUM('1st Qtr'!E82, '2nd Qtr'!E82, '3rd Qtr'!E82, '4th Qtr'!E82)</f>
        <v>0</v>
      </c>
      <c r="F82" s="14">
        <f t="shared" si="3"/>
        <v>5861186</v>
      </c>
      <c r="G82" s="15" t="str">
        <f t="shared" si="4"/>
        <v/>
      </c>
      <c r="H82" s="16">
        <f>SUM('1st Qtr'!H82,'2nd Qtr'!H82,'3rd Qtr'!H82,'4th Qtr'!H82)</f>
        <v>6250586.3909999998</v>
      </c>
      <c r="I82" s="16">
        <f>SUM('1st Qtr'!I82, '2nd Qtr'!I82, '3rd Qtr'!I82, '4th Qtr'!I82)</f>
        <v>-389400.39099999995</v>
      </c>
      <c r="J82" s="15">
        <f t="shared" si="5"/>
        <v>-6.2298217581743039E-2</v>
      </c>
    </row>
    <row r="83" spans="1:10" ht="15.6">
      <c r="A83" s="24" t="str">
        <v>Telegraph 2</v>
      </c>
      <c r="B83" s="25" t="str">
        <v>NY</v>
      </c>
      <c r="C83" s="25" t="str">
        <f>Sites[[#This Row],[SOL'#]]</f>
        <v>SOL-11004</v>
      </c>
      <c r="D83" s="20">
        <f>SUM('1st Qtr'!D83,'2nd Qtr'!D83,'3rd Qtr'!D83,'4th Qtr'!D83)</f>
        <v>3104707</v>
      </c>
      <c r="E83" s="10">
        <f>SUM('1st Qtr'!E83, '2nd Qtr'!E83, '3rd Qtr'!E83, '4th Qtr'!E83)</f>
        <v>0</v>
      </c>
      <c r="F83" s="10">
        <f t="shared" si="3"/>
        <v>3104707</v>
      </c>
      <c r="G83" s="11" t="str">
        <f t="shared" si="4"/>
        <v/>
      </c>
      <c r="H83" s="12">
        <f>SUM('1st Qtr'!H83,'2nd Qtr'!H83,'3rd Qtr'!H83,'4th Qtr'!H83)</f>
        <v>3247643.9369999999</v>
      </c>
      <c r="I83" s="12">
        <f>SUM('1st Qtr'!I83, '2nd Qtr'!I83, '3rd Qtr'!I83, '4th Qtr'!I83)</f>
        <v>-142936.93700000001</v>
      </c>
      <c r="J83" s="13">
        <f t="shared" si="5"/>
        <v>-4.4012502531923965E-2</v>
      </c>
    </row>
    <row r="84" spans="1:10" ht="15.6">
      <c r="A84" s="26" t="str">
        <v>Cafferty Hill</v>
      </c>
      <c r="B84" s="27" t="str">
        <v>NY</v>
      </c>
      <c r="C84" s="27" t="str">
        <f>Sites[[#This Row],[SOL'#]]</f>
        <v>SOL-10996</v>
      </c>
      <c r="D84" s="9">
        <f>SUM('1st Qtr'!D84,'2nd Qtr'!D84,'3rd Qtr'!D84,'4th Qtr'!D84)</f>
        <v>8250380</v>
      </c>
      <c r="E84" s="14">
        <f>SUM('1st Qtr'!E84, '2nd Qtr'!E84, '3rd Qtr'!E84, '4th Qtr'!E84)</f>
        <v>4460255.87</v>
      </c>
      <c r="F84" s="14">
        <f t="shared" si="3"/>
        <v>3790124.13</v>
      </c>
      <c r="G84" s="15">
        <f t="shared" si="4"/>
        <v>0.84975486619336027</v>
      </c>
      <c r="H84" s="16">
        <f>SUM('1st Qtr'!H84,'2nd Qtr'!H84,'3rd Qtr'!H84,'4th Qtr'!H84)</f>
        <v>8313988.6910000006</v>
      </c>
      <c r="I84" s="16">
        <f>SUM('1st Qtr'!I84, '2nd Qtr'!I84, '3rd Qtr'!I84, '4th Qtr'!I84)</f>
        <v>-63608.690999999933</v>
      </c>
      <c r="J84" s="15">
        <f t="shared" si="5"/>
        <v>-7.6508031660972977E-3</v>
      </c>
    </row>
    <row r="85" spans="1:10" ht="15.6">
      <c r="A85" s="24" t="str">
        <v>Dunkleman</v>
      </c>
      <c r="B85" s="25" t="str">
        <v>NY</v>
      </c>
      <c r="C85" s="25" t="str">
        <f>Sites[[#This Row],[SOL'#]]</f>
        <v>SOL-11008</v>
      </c>
      <c r="D85" s="20">
        <f>SUM('1st Qtr'!D85,'2nd Qtr'!D85,'3rd Qtr'!D85,'4th Qtr'!D85)</f>
        <v>9109800</v>
      </c>
      <c r="E85" s="10">
        <f>SUM('1st Qtr'!E85, '2nd Qtr'!E85, '3rd Qtr'!E85, '4th Qtr'!E85)</f>
        <v>4081520</v>
      </c>
      <c r="F85" s="10">
        <f t="shared" si="3"/>
        <v>5028280</v>
      </c>
      <c r="G85" s="11">
        <f t="shared" si="4"/>
        <v>1.2319626021678198</v>
      </c>
      <c r="H85" s="12">
        <f>SUM('1st Qtr'!H85,'2nd Qtr'!H85,'3rd Qtr'!H85,'4th Qtr'!H85)</f>
        <v>10090410.637</v>
      </c>
      <c r="I85" s="12">
        <f>SUM('1st Qtr'!I85, '2nd Qtr'!I85, '3rd Qtr'!I85, '4th Qtr'!I85)</f>
        <v>-980610.6370000001</v>
      </c>
      <c r="J85" s="13">
        <f t="shared" si="5"/>
        <v>-9.7182431149456905E-2</v>
      </c>
    </row>
    <row r="86" spans="1:10" ht="15.6">
      <c r="A86" s="26" t="str">
        <v>Route 19 1</v>
      </c>
      <c r="B86" s="27" t="str">
        <v>NY</v>
      </c>
      <c r="C86" s="27" t="str">
        <f>Sites[[#This Row],[SOL'#]]</f>
        <v>SOL-11001</v>
      </c>
      <c r="D86" s="9">
        <f>SUM('1st Qtr'!D86,'2nd Qtr'!D86,'3rd Qtr'!D86,'4th Qtr'!D86)</f>
        <v>3378726.7</v>
      </c>
      <c r="E86" s="14">
        <f>SUM('1st Qtr'!E86, '2nd Qtr'!E86, '3rd Qtr'!E86, '4th Qtr'!E86)</f>
        <v>1521248.77</v>
      </c>
      <c r="F86" s="14">
        <f t="shared" si="3"/>
        <v>1857477.9300000002</v>
      </c>
      <c r="G86" s="15">
        <f t="shared" si="4"/>
        <v>1.2210218122312764</v>
      </c>
      <c r="H86" s="16">
        <f>SUM('1st Qtr'!H86,'2nd Qtr'!H86,'3rd Qtr'!H86,'4th Qtr'!H86)</f>
        <v>4047212.5100000002</v>
      </c>
      <c r="I86" s="16">
        <f>SUM('1st Qtr'!I86, '2nd Qtr'!I86, '3rd Qtr'!I86, '4th Qtr'!I86)</f>
        <v>-668485.81000000006</v>
      </c>
      <c r="J86" s="15">
        <f t="shared" si="5"/>
        <v>-0.16517190741733501</v>
      </c>
    </row>
    <row r="87" spans="1:10" ht="15.6">
      <c r="A87" s="24" t="str">
        <v>Route 19 2</v>
      </c>
      <c r="B87" s="25" t="str">
        <v>NY</v>
      </c>
      <c r="C87" s="25" t="str">
        <f>Sites[[#This Row],[SOL'#]]</f>
        <v>SOL-11002</v>
      </c>
      <c r="D87" s="20">
        <f>SUM('1st Qtr'!D87,'2nd Qtr'!D87,'3rd Qtr'!D87,'4th Qtr'!D87)</f>
        <v>9296820</v>
      </c>
      <c r="E87" s="10">
        <f>SUM('1st Qtr'!E87, '2nd Qtr'!E87, '3rd Qtr'!E87, '4th Qtr'!E87)</f>
        <v>4741100</v>
      </c>
      <c r="F87" s="10">
        <f t="shared" si="3"/>
        <v>4555720</v>
      </c>
      <c r="G87" s="11">
        <f t="shared" si="4"/>
        <v>0.9608993693446668</v>
      </c>
      <c r="H87" s="12">
        <f>SUM('1st Qtr'!H87,'2nd Qtr'!H87,'3rd Qtr'!H87,'4th Qtr'!H87)</f>
        <v>10128822.991999999</v>
      </c>
      <c r="I87" s="12">
        <f>SUM('1st Qtr'!I87, '2nd Qtr'!I87, '3rd Qtr'!I87, '4th Qtr'!I87)</f>
        <v>-832002.99199999985</v>
      </c>
      <c r="J87" s="13">
        <f t="shared" si="5"/>
        <v>-8.2142119835358657E-2</v>
      </c>
    </row>
    <row r="88" spans="1:10" ht="15.6">
      <c r="A88" s="26" t="str">
        <v>Yellow Mills 1</v>
      </c>
      <c r="B88" s="27" t="str">
        <v>NY</v>
      </c>
      <c r="C88" s="27" t="str">
        <f>Sites[[#This Row],[SOL'#]]</f>
        <v>SOL-11006</v>
      </c>
      <c r="D88" s="9">
        <f>SUM('1st Qtr'!D88,'2nd Qtr'!D88,'3rd Qtr'!D88,'4th Qtr'!D88)</f>
        <v>2631963</v>
      </c>
      <c r="E88" s="14">
        <f>SUM('1st Qtr'!E88, '2nd Qtr'!E88, '3rd Qtr'!E88, '4th Qtr'!E88)</f>
        <v>1477199</v>
      </c>
      <c r="F88" s="14">
        <f t="shared" si="3"/>
        <v>1154764</v>
      </c>
      <c r="G88" s="15">
        <f t="shared" si="4"/>
        <v>0.78172541411143659</v>
      </c>
      <c r="H88" s="16">
        <f>SUM('1st Qtr'!H88,'2nd Qtr'!H88,'3rd Qtr'!H88,'4th Qtr'!H88)</f>
        <v>3417687.2980000004</v>
      </c>
      <c r="I88" s="16">
        <f>SUM('1st Qtr'!I88, '2nd Qtr'!I88, '3rd Qtr'!I88, '4th Qtr'!I88)</f>
        <v>-785724.29799999984</v>
      </c>
      <c r="J88" s="15">
        <f t="shared" si="5"/>
        <v>-0.22989941135334369</v>
      </c>
    </row>
    <row r="89" spans="1:10" ht="15.6">
      <c r="A89" s="24" t="str">
        <v>Yellow Mills 2</v>
      </c>
      <c r="B89" s="25" t="str">
        <v>NY</v>
      </c>
      <c r="C89" s="25" t="str">
        <f>Sites[[#This Row],[SOL'#]]</f>
        <v>SOL-11005</v>
      </c>
      <c r="D89" s="20">
        <f>SUM('1st Qtr'!D89,'2nd Qtr'!D89,'3rd Qtr'!D89,'4th Qtr'!D89)</f>
        <v>2954881</v>
      </c>
      <c r="E89" s="10">
        <f>SUM('1st Qtr'!E89, '2nd Qtr'!E89, '3rd Qtr'!E89, '4th Qtr'!E89)</f>
        <v>0</v>
      </c>
      <c r="F89" s="10">
        <f t="shared" si="3"/>
        <v>2954881</v>
      </c>
      <c r="G89" s="11" t="str">
        <f t="shared" si="4"/>
        <v/>
      </c>
      <c r="H89" s="12">
        <f>SUM('1st Qtr'!H89,'2nd Qtr'!H89,'3rd Qtr'!H89,'4th Qtr'!H89)</f>
        <v>3532979.389</v>
      </c>
      <c r="I89" s="12">
        <f>SUM('1st Qtr'!I89, '2nd Qtr'!I89, '3rd Qtr'!I89, '4th Qtr'!I89)</f>
        <v>-578098.38899999997</v>
      </c>
      <c r="J89" s="13">
        <f t="shared" si="5"/>
        <v>-0.16362914281354726</v>
      </c>
    </row>
    <row r="90" spans="1:10" ht="15.6">
      <c r="A90" s="26" t="str">
        <v>Yellow Mills 3</v>
      </c>
      <c r="B90" s="27" t="str">
        <v>NY</v>
      </c>
      <c r="C90" s="27" t="str">
        <f>Sites[[#This Row],[SOL'#]]</f>
        <v>SOL-11007</v>
      </c>
      <c r="D90" s="9">
        <f>SUM('1st Qtr'!D90,'2nd Qtr'!D90,'3rd Qtr'!D90,'4th Qtr'!D90)</f>
        <v>2872264</v>
      </c>
      <c r="E90" s="14">
        <f>SUM('1st Qtr'!E90, '2nd Qtr'!E90, '3rd Qtr'!E90, '4th Qtr'!E90)</f>
        <v>1375184</v>
      </c>
      <c r="F90" s="14">
        <f t="shared" si="3"/>
        <v>1497080</v>
      </c>
      <c r="G90" s="15">
        <f t="shared" si="4"/>
        <v>1.0886397747501426</v>
      </c>
      <c r="H90" s="16">
        <f>SUM('1st Qtr'!H90,'2nd Qtr'!H90,'3rd Qtr'!H90,'4th Qtr'!H90)</f>
        <v>3338708.213</v>
      </c>
      <c r="I90" s="16">
        <f>SUM('1st Qtr'!I90, '2nd Qtr'!I90, '3rd Qtr'!I90, '4th Qtr'!I90)</f>
        <v>-466444.21300000005</v>
      </c>
      <c r="J90" s="15">
        <f t="shared" si="5"/>
        <v>-0.13970798980988999</v>
      </c>
    </row>
    <row r="91" spans="1:10" ht="15.6">
      <c r="A91" s="24" t="str">
        <v>Catskill</v>
      </c>
      <c r="B91" s="25" t="str">
        <v>NY</v>
      </c>
      <c r="C91" s="25" t="str">
        <f>Sites[[#This Row],[SOL'#]]</f>
        <v>SOL-11021</v>
      </c>
      <c r="D91" s="20">
        <f>SUM('1st Qtr'!D91,'2nd Qtr'!D91,'3rd Qtr'!D91,'4th Qtr'!D91)</f>
        <v>5029643</v>
      </c>
      <c r="E91" s="10">
        <f>SUM('1st Qtr'!E91, '2nd Qtr'!E91, '3rd Qtr'!E91, '4th Qtr'!E91)</f>
        <v>358236</v>
      </c>
      <c r="F91" s="10">
        <f t="shared" si="3"/>
        <v>4671407</v>
      </c>
      <c r="G91" s="11">
        <f t="shared" si="4"/>
        <v>13.040026686318516</v>
      </c>
      <c r="H91" s="12">
        <f>SUM('1st Qtr'!H91,'2nd Qtr'!H91,'3rd Qtr'!H91,'4th Qtr'!H91)</f>
        <v>6440896.807</v>
      </c>
      <c r="I91" s="12">
        <f>SUM('1st Qtr'!I91, '2nd Qtr'!I91, '3rd Qtr'!I91, '4th Qtr'!I91)</f>
        <v>-1411253.807</v>
      </c>
      <c r="J91" s="13">
        <f t="shared" si="5"/>
        <v>-0.21910827782029391</v>
      </c>
    </row>
    <row r="92" spans="1:10" ht="15.6">
      <c r="A92" s="26" t="str">
        <v>Eddy Ridge</v>
      </c>
      <c r="B92" s="27" t="str">
        <v>NY</v>
      </c>
      <c r="C92" s="27" t="str">
        <f>Sites[[#This Row],[SOL'#]]</f>
        <v>SOL-11054</v>
      </c>
      <c r="D92" s="9">
        <f>SUM('1st Qtr'!D92,'2nd Qtr'!D92,'3rd Qtr'!D92,'4th Qtr'!D92)</f>
        <v>4302681.5</v>
      </c>
      <c r="E92" s="14">
        <f>SUM('1st Qtr'!E92, '2nd Qtr'!E92, '3rd Qtr'!E92, '4th Qtr'!E92)</f>
        <v>2092093</v>
      </c>
      <c r="F92" s="14">
        <f t="shared" si="3"/>
        <v>2210588.5</v>
      </c>
      <c r="G92" s="15">
        <f t="shared" si="4"/>
        <v>1.0566396904917708</v>
      </c>
      <c r="H92" s="16">
        <f>SUM('1st Qtr'!H92,'2nd Qtr'!H92,'3rd Qtr'!H92,'4th Qtr'!H92)</f>
        <v>4828123.0750000002</v>
      </c>
      <c r="I92" s="16">
        <f>SUM('1st Qtr'!I92, '2nd Qtr'!I92, '3rd Qtr'!I92, '4th Qtr'!I92)</f>
        <v>-525441.57499999995</v>
      </c>
      <c r="J92" s="15">
        <f t="shared" si="5"/>
        <v>-0.10882936636821337</v>
      </c>
    </row>
    <row r="93" spans="1:10" ht="15.6">
      <c r="A93" s="24" t="str">
        <v>Ridgeway #1</v>
      </c>
      <c r="B93" s="25" t="str">
        <v>NY</v>
      </c>
      <c r="C93" s="25" t="str">
        <f>Sites[[#This Row],[SOL'#]]</f>
        <v>SOL-11018</v>
      </c>
      <c r="D93" s="20">
        <f>SUM('1st Qtr'!D93,'2nd Qtr'!D93,'3rd Qtr'!D93,'4th Qtr'!D93)</f>
        <v>9977319</v>
      </c>
      <c r="E93" s="10">
        <f>SUM('1st Qtr'!E93, '2nd Qtr'!E93, '3rd Qtr'!E93, '4th Qtr'!E93)</f>
        <v>5216568</v>
      </c>
      <c r="F93" s="10">
        <f t="shared" si="3"/>
        <v>4760751</v>
      </c>
      <c r="G93" s="11">
        <f t="shared" si="4"/>
        <v>0.91262128663903164</v>
      </c>
      <c r="H93" s="12">
        <f>SUM('1st Qtr'!H93,'2nd Qtr'!H93,'3rd Qtr'!H93,'4th Qtr'!H93)</f>
        <v>10515427.619999999</v>
      </c>
      <c r="I93" s="12">
        <f>SUM('1st Qtr'!I93, '2nd Qtr'!I93, '3rd Qtr'!I93, '4th Qtr'!I93)</f>
        <v>-538108.61999999976</v>
      </c>
      <c r="J93" s="13">
        <f t="shared" si="5"/>
        <v>-5.1173251288091678E-2</v>
      </c>
    </row>
    <row r="94" spans="1:10" ht="15.6">
      <c r="A94" s="26" t="str">
        <v>Rivard 1</v>
      </c>
      <c r="B94" s="27" t="str">
        <v>NY</v>
      </c>
      <c r="C94" s="27" t="str">
        <f>Sites[[#This Row],[SOL'#]]</f>
        <v>SOL-11011</v>
      </c>
      <c r="D94" s="9">
        <f>SUM('1st Qtr'!D94,'2nd Qtr'!D94,'3rd Qtr'!D94,'4th Qtr'!D94)</f>
        <v>7610877.4273564033</v>
      </c>
      <c r="E94" s="14">
        <f>SUM('1st Qtr'!E94, '2nd Qtr'!E94, '3rd Qtr'!E94, '4th Qtr'!E94)</f>
        <v>5633677.0800000001</v>
      </c>
      <c r="F94" s="14">
        <f t="shared" si="3"/>
        <v>1977200.3473564032</v>
      </c>
      <c r="G94" s="15">
        <f t="shared" si="4"/>
        <v>0.35096089450629342</v>
      </c>
      <c r="H94" s="16">
        <f>SUM('1st Qtr'!H94,'2nd Qtr'!H94,'3rd Qtr'!H94,'4th Qtr'!H94)</f>
        <v>6954415.0599999996</v>
      </c>
      <c r="I94" s="16">
        <f>SUM('1st Qtr'!I94, '2nd Qtr'!I94, '3rd Qtr'!I94, '4th Qtr'!I94)</f>
        <v>656462.36735640303</v>
      </c>
      <c r="J94" s="15">
        <f t="shared" si="5"/>
        <v>9.4395051444686573E-2</v>
      </c>
    </row>
    <row r="95" spans="1:10" ht="15.6">
      <c r="A95" s="24" t="str">
        <v>Rivard 2</v>
      </c>
      <c r="B95" s="25" t="str">
        <v>NY</v>
      </c>
      <c r="C95" s="25" t="str">
        <f>Sites[[#This Row],[SOL'#]]</f>
        <v>SOL-11012</v>
      </c>
      <c r="D95" s="20">
        <f>SUM('1st Qtr'!D95,'2nd Qtr'!D95,'3rd Qtr'!D95,'4th Qtr'!D95)</f>
        <v>7782490.4673366845</v>
      </c>
      <c r="E95" s="10">
        <f>SUM('1st Qtr'!E95, '2nd Qtr'!E95, '3rd Qtr'!E95, '4th Qtr'!E95)</f>
        <v>7687155.0399999991</v>
      </c>
      <c r="F95" s="10">
        <f t="shared" si="3"/>
        <v>95335.427336685359</v>
      </c>
      <c r="G95" s="11">
        <f t="shared" si="4"/>
        <v>1.2401912910642346E-2</v>
      </c>
      <c r="H95" s="12">
        <f>SUM('1st Qtr'!H95,'2nd Qtr'!H95,'3rd Qtr'!H95,'4th Qtr'!H95)</f>
        <v>7776256.21</v>
      </c>
      <c r="I95" s="12">
        <f>SUM('1st Qtr'!I95, '2nd Qtr'!I95, '3rd Qtr'!I95, '4th Qtr'!I95)</f>
        <v>6234.2573366838915</v>
      </c>
      <c r="J95" s="13">
        <f t="shared" si="5"/>
        <v>8.017042093683654E-4</v>
      </c>
    </row>
    <row r="96" spans="1:10" ht="15.6">
      <c r="A96" s="26" t="str">
        <v>Ridgeway #2</v>
      </c>
      <c r="B96" s="27" t="str">
        <v>NY</v>
      </c>
      <c r="C96" s="27" t="str">
        <f>Sites[[#This Row],[SOL'#]]</f>
        <v>SOL-11027</v>
      </c>
      <c r="D96" s="9">
        <f>SUM('1st Qtr'!D96,'2nd Qtr'!D96,'3rd Qtr'!D96,'4th Qtr'!D96)</f>
        <v>4146861</v>
      </c>
      <c r="E96" s="14">
        <f>SUM('1st Qtr'!E96, '2nd Qtr'!E96, '3rd Qtr'!E96, '4th Qtr'!E96)</f>
        <v>1905333</v>
      </c>
      <c r="F96" s="14">
        <f t="shared" si="3"/>
        <v>2241528</v>
      </c>
      <c r="G96" s="15">
        <f t="shared" si="4"/>
        <v>1.1764494710373463</v>
      </c>
      <c r="H96" s="16">
        <f>SUM('1st Qtr'!H96,'2nd Qtr'!H96,'3rd Qtr'!H96,'4th Qtr'!H96)</f>
        <v>4597241.7699999996</v>
      </c>
      <c r="I96" s="16">
        <f>SUM('1st Qtr'!I96, '2nd Qtr'!I96, '3rd Qtr'!I96, '4th Qtr'!I96)</f>
        <v>-450380.77</v>
      </c>
      <c r="J96" s="15">
        <f t="shared" si="5"/>
        <v>-9.7967605910793787E-2</v>
      </c>
    </row>
    <row r="97" spans="1:10" ht="15.6">
      <c r="A97" s="24" t="str">
        <v>Spencer</v>
      </c>
      <c r="B97" s="25" t="str">
        <v>NY</v>
      </c>
      <c r="C97" s="25" t="str">
        <f>Sites[[#This Row],[SOL'#]]</f>
        <v>SOL-11017</v>
      </c>
      <c r="D97" s="20">
        <f>SUM('1st Qtr'!D97,'2nd Qtr'!D97,'3rd Qtr'!D97,'4th Qtr'!D97)</f>
        <v>9299363.379999999</v>
      </c>
      <c r="E97" s="10">
        <f>SUM('1st Qtr'!E97, '2nd Qtr'!E97, '3rd Qtr'!E97, '4th Qtr'!E97)</f>
        <v>4701797.6899999995</v>
      </c>
      <c r="F97" s="10">
        <f t="shared" ref="F97:F157" si="6">IF(AND(ISNUMBER(D97),ISNUMBER(E97)), D97-E97, "")</f>
        <v>4597565.6899999995</v>
      </c>
      <c r="G97" s="11">
        <f t="shared" ref="G97:G157" si="7">IFERROR(F97/E97, "")</f>
        <v>0.97783145790775183</v>
      </c>
      <c r="H97" s="12">
        <f>SUM('1st Qtr'!H97,'2nd Qtr'!H97,'3rd Qtr'!H97,'4th Qtr'!H97)</f>
        <v>10072930.6</v>
      </c>
      <c r="I97" s="12">
        <f>SUM('1st Qtr'!I97, '2nd Qtr'!I97, '3rd Qtr'!I97, '4th Qtr'!I97)</f>
        <v>-773567.21999999986</v>
      </c>
      <c r="J97" s="13">
        <f t="shared" ref="J97:J157" si="8">IFERROR(I97/H97, "")</f>
        <v>-7.6796639500325739E-2</v>
      </c>
    </row>
    <row r="98" spans="1:10" ht="15.6">
      <c r="A98" s="26" t="str">
        <v>Reisender</v>
      </c>
      <c r="B98" s="27" t="str">
        <v>NY</v>
      </c>
      <c r="C98" s="27" t="str">
        <f>Sites[[#This Row],[SOL'#]]</f>
        <v>SOL-10886</v>
      </c>
      <c r="D98" s="9">
        <f>SUM('1st Qtr'!D98,'2nd Qtr'!D98,'3rd Qtr'!D98,'4th Qtr'!D98)</f>
        <v>3068650</v>
      </c>
      <c r="E98" s="14">
        <f>SUM('1st Qtr'!E98, '2nd Qtr'!E98, '3rd Qtr'!E98, '4th Qtr'!E98)</f>
        <v>3228167.6609999998</v>
      </c>
      <c r="F98" s="14">
        <f t="shared" si="6"/>
        <v>-159517.66099999985</v>
      </c>
      <c r="G98" s="15">
        <f t="shared" si="7"/>
        <v>-4.9414304878633707E-2</v>
      </c>
      <c r="H98" s="16">
        <f>SUM('1st Qtr'!H98,'2nd Qtr'!H98,'3rd Qtr'!H98,'4th Qtr'!H98)</f>
        <v>3441137.5039999997</v>
      </c>
      <c r="I98" s="16">
        <f>SUM('1st Qtr'!I98, '2nd Qtr'!I98, '3rd Qtr'!I98, '4th Qtr'!I98)</f>
        <v>-372487.50400000007</v>
      </c>
      <c r="J98" s="15">
        <f t="shared" si="8"/>
        <v>-0.10824545766247884</v>
      </c>
    </row>
    <row r="99" spans="1:10" ht="15.6">
      <c r="A99" s="24" t="str">
        <v>Finney</v>
      </c>
      <c r="B99" s="25" t="str">
        <v>NY</v>
      </c>
      <c r="C99" s="25" t="str">
        <f>Sites[[#This Row],[SOL'#]]</f>
        <v>SOL-10999</v>
      </c>
      <c r="D99" s="20">
        <f>SUM('1st Qtr'!D99,'2nd Qtr'!D99,'3rd Qtr'!D99,'4th Qtr'!D99)</f>
        <v>8033150</v>
      </c>
      <c r="E99" s="10">
        <f>SUM('1st Qtr'!E99, '2nd Qtr'!E99, '3rd Qtr'!E99, '4th Qtr'!E99)</f>
        <v>3466210</v>
      </c>
      <c r="F99" s="10">
        <f t="shared" si="6"/>
        <v>4566940</v>
      </c>
      <c r="G99" s="11">
        <f t="shared" si="7"/>
        <v>1.3175601016672389</v>
      </c>
      <c r="H99" s="12">
        <f>SUM('1st Qtr'!H99,'2nd Qtr'!H99,'3rd Qtr'!H99,'4th Qtr'!H99)</f>
        <v>10227836.842999998</v>
      </c>
      <c r="I99" s="12">
        <f>SUM('1st Qtr'!I99, '2nd Qtr'!I99, '3rd Qtr'!I99, '4th Qtr'!I99)</f>
        <v>-2194686.8429999999</v>
      </c>
      <c r="J99" s="13">
        <f t="shared" si="8"/>
        <v>-0.21457976663971312</v>
      </c>
    </row>
    <row r="100" spans="1:10" ht="15.6">
      <c r="A100" s="26" t="str">
        <v>Davis Solar</v>
      </c>
      <c r="B100" s="27" t="str">
        <v>NY</v>
      </c>
      <c r="C100" s="27" t="str">
        <f>Sites[[#This Row],[SOL'#]]</f>
        <v>SOL-10958</v>
      </c>
      <c r="D100" s="9">
        <f>SUM('1st Qtr'!D100,'2nd Qtr'!D100,'3rd Qtr'!D100,'4th Qtr'!D100)</f>
        <v>3214345</v>
      </c>
      <c r="E100" s="14">
        <f>SUM('1st Qtr'!E100, '2nd Qtr'!E100, '3rd Qtr'!E100, '4th Qtr'!E100)</f>
        <v>3846494.5300000003</v>
      </c>
      <c r="F100" s="14">
        <f t="shared" si="6"/>
        <v>-632149.53000000026</v>
      </c>
      <c r="G100" s="15">
        <f t="shared" si="7"/>
        <v>-0.164344320541644</v>
      </c>
      <c r="H100" s="16">
        <f>SUM('1st Qtr'!H100,'2nd Qtr'!H100,'3rd Qtr'!H100,'4th Qtr'!H100)</f>
        <v>4030320</v>
      </c>
      <c r="I100" s="16">
        <f>SUM('1st Qtr'!I100, '2nd Qtr'!I100, '3rd Qtr'!I100, '4th Qtr'!I100)</f>
        <v>-815975</v>
      </c>
      <c r="J100" s="15">
        <f t="shared" si="8"/>
        <v>-0.20245910994660474</v>
      </c>
    </row>
    <row r="101" spans="1:10" ht="15.6">
      <c r="A101" s="24" t="str">
        <v>Genesee</v>
      </c>
      <c r="B101" s="25" t="str">
        <v>NY</v>
      </c>
      <c r="C101" s="25" t="str">
        <f>Sites[[#This Row],[SOL'#]]</f>
        <v>SOL-10951</v>
      </c>
      <c r="D101" s="20">
        <f>SUM('1st Qtr'!D101,'2nd Qtr'!D101,'3rd Qtr'!D101,'4th Qtr'!D101)</f>
        <v>5013266.3999999994</v>
      </c>
      <c r="E101" s="10">
        <f>SUM('1st Qtr'!E101, '2nd Qtr'!E101, '3rd Qtr'!E101, '4th Qtr'!E101)</f>
        <v>2773605.0199999996</v>
      </c>
      <c r="F101" s="10">
        <f t="shared" si="6"/>
        <v>2239661.38</v>
      </c>
      <c r="G101" s="11">
        <f t="shared" si="7"/>
        <v>0.80749110412267722</v>
      </c>
      <c r="H101" s="12">
        <f>SUM('1st Qtr'!H101,'2nd Qtr'!H101,'3rd Qtr'!H101,'4th Qtr'!H101)</f>
        <v>7422679.7890000008</v>
      </c>
      <c r="I101" s="12">
        <f>SUM('1st Qtr'!I101, '2nd Qtr'!I101, '3rd Qtr'!I101, '4th Qtr'!I101)</f>
        <v>-2409413.3890000004</v>
      </c>
      <c r="J101" s="13">
        <f t="shared" si="8"/>
        <v>-0.3246015532787252</v>
      </c>
    </row>
    <row r="102" spans="1:10" ht="15.6">
      <c r="A102" s="26" t="str">
        <v>Landau I</v>
      </c>
      <c r="B102" s="27" t="str">
        <v>NY</v>
      </c>
      <c r="C102" s="27" t="str">
        <f>Sites[[#This Row],[SOL'#]]</f>
        <v>SOL-10891</v>
      </c>
      <c r="D102" s="9">
        <f>SUM('1st Qtr'!D102,'2nd Qtr'!D102,'3rd Qtr'!D102,'4th Qtr'!D102)</f>
        <v>3390250</v>
      </c>
      <c r="E102" s="14">
        <f>SUM('1st Qtr'!E102, '2nd Qtr'!E102, '3rd Qtr'!E102, '4th Qtr'!E102)</f>
        <v>0</v>
      </c>
      <c r="F102" s="14">
        <f t="shared" si="6"/>
        <v>3390250</v>
      </c>
      <c r="G102" s="15" t="str">
        <f t="shared" si="7"/>
        <v/>
      </c>
      <c r="H102" s="16">
        <f>SUM('1st Qtr'!H102,'2nd Qtr'!H102,'3rd Qtr'!H102,'4th Qtr'!H102)</f>
        <v>3822895.8090000004</v>
      </c>
      <c r="I102" s="16">
        <f>SUM('1st Qtr'!I102, '2nd Qtr'!I102, '3rd Qtr'!I102, '4th Qtr'!I102)</f>
        <v>-432645.80900000007</v>
      </c>
      <c r="J102" s="15">
        <f t="shared" si="8"/>
        <v>-0.11317227322320675</v>
      </c>
    </row>
    <row r="103" spans="1:10" ht="15.6">
      <c r="A103" s="24" t="str">
        <v>Landau II</v>
      </c>
      <c r="B103" s="25" t="str">
        <v>NY</v>
      </c>
      <c r="C103" s="25" t="str">
        <f>Sites[[#This Row],[SOL'#]]</f>
        <v>SOL-10895</v>
      </c>
      <c r="D103" s="20">
        <f>SUM('1st Qtr'!D103,'2nd Qtr'!D103,'3rd Qtr'!D103,'4th Qtr'!D103)</f>
        <v>4517130</v>
      </c>
      <c r="E103" s="10">
        <f>SUM('1st Qtr'!E103, '2nd Qtr'!E103, '3rd Qtr'!E103, '4th Qtr'!E103)</f>
        <v>0</v>
      </c>
      <c r="F103" s="10">
        <f t="shared" si="6"/>
        <v>4517130</v>
      </c>
      <c r="G103" s="11" t="str">
        <f t="shared" si="7"/>
        <v/>
      </c>
      <c r="H103" s="12">
        <f>SUM('1st Qtr'!H103,'2nd Qtr'!H103,'3rd Qtr'!H103,'4th Qtr'!H103)</f>
        <v>3354739.5300000003</v>
      </c>
      <c r="I103" s="12">
        <f>SUM('1st Qtr'!I103, '2nd Qtr'!I103, '3rd Qtr'!I103, '4th Qtr'!I103)</f>
        <v>-1514349.53</v>
      </c>
      <c r="J103" s="13">
        <f t="shared" si="8"/>
        <v>-0.4514059933588942</v>
      </c>
    </row>
    <row r="104" spans="1:10" ht="15.6">
      <c r="A104" s="26" t="str">
        <v>New Beginnings</v>
      </c>
      <c r="B104" s="27" t="str">
        <v>NY</v>
      </c>
      <c r="C104" s="27" t="str">
        <f>Sites[[#This Row],[SOL'#]]</f>
        <v>SOL-10890</v>
      </c>
      <c r="D104" s="9">
        <f>SUM('1st Qtr'!D104,'2nd Qtr'!D104,'3rd Qtr'!D104,'4th Qtr'!D104)</f>
        <v>2838630</v>
      </c>
      <c r="E104" s="14">
        <f>SUM('1st Qtr'!E104, '2nd Qtr'!E104, '3rd Qtr'!E104, '4th Qtr'!E104)</f>
        <v>3441729.66</v>
      </c>
      <c r="F104" s="14">
        <f t="shared" si="6"/>
        <v>-603099.66000000015</v>
      </c>
      <c r="G104" s="15">
        <f t="shared" si="7"/>
        <v>-0.17523156074960289</v>
      </c>
      <c r="H104" s="16">
        <f>SUM('1st Qtr'!H104,'2nd Qtr'!H104,'3rd Qtr'!H104,'4th Qtr'!H104)</f>
        <v>3753940.679</v>
      </c>
      <c r="I104" s="16">
        <f>SUM('1st Qtr'!I104, '2nd Qtr'!I104, '3rd Qtr'!I104, '4th Qtr'!I104)</f>
        <v>-915310.679</v>
      </c>
      <c r="J104" s="15">
        <f t="shared" si="8"/>
        <v>-0.24382662307914429</v>
      </c>
    </row>
    <row r="105" spans="1:10" ht="15.6">
      <c r="A105" s="24" t="str">
        <v>Bullitt Farm Solar, LLC</v>
      </c>
      <c r="B105" s="25" t="str">
        <v>NY</v>
      </c>
      <c r="C105" s="25" t="str">
        <f>Sites[[#This Row],[SOL'#]]</f>
        <v>SOL-10998</v>
      </c>
      <c r="D105" s="20">
        <f>SUM('1st Qtr'!D105,'2nd Qtr'!D105,'3rd Qtr'!D105,'4th Qtr'!D105)</f>
        <v>7662663</v>
      </c>
      <c r="E105" s="10">
        <f>SUM('1st Qtr'!E105, '2nd Qtr'!E105, '3rd Qtr'!E105, '4th Qtr'!E105)</f>
        <v>8382750.7220000001</v>
      </c>
      <c r="F105" s="10">
        <f t="shared" si="6"/>
        <v>-720087.72200000007</v>
      </c>
      <c r="G105" s="11">
        <f t="shared" si="7"/>
        <v>-8.5901125523174068E-2</v>
      </c>
      <c r="H105" s="12">
        <f>SUM('1st Qtr'!H105,'2nd Qtr'!H105,'3rd Qtr'!H105,'4th Qtr'!H105)</f>
        <v>9016376.8000000007</v>
      </c>
      <c r="I105" s="12">
        <f>SUM('1st Qtr'!I105, '2nd Qtr'!I105, '3rd Qtr'!I105, '4th Qtr'!I105)</f>
        <v>-1353713.8000000003</v>
      </c>
      <c r="J105" s="13">
        <f t="shared" si="8"/>
        <v>-0.15013944403920654</v>
      </c>
    </row>
    <row r="106" spans="1:10" ht="15.6">
      <c r="A106" s="26" t="str">
        <v>Brodhead Solar, LLC</v>
      </c>
      <c r="B106" s="27" t="str">
        <v>NY</v>
      </c>
      <c r="C106" s="27" t="str">
        <f>Sites[[#This Row],[SOL'#]]</f>
        <v>SOL-10899</v>
      </c>
      <c r="D106" s="9">
        <f>SUM('1st Qtr'!D106,'2nd Qtr'!D106,'3rd Qtr'!D106,'4th Qtr'!D106)</f>
        <v>4488075</v>
      </c>
      <c r="E106" s="14">
        <f>SUM('1st Qtr'!E106, '2nd Qtr'!E106, '3rd Qtr'!E106, '4th Qtr'!E106)</f>
        <v>4828356.1880000001</v>
      </c>
      <c r="F106" s="14">
        <f t="shared" si="6"/>
        <v>-340281.18800000008</v>
      </c>
      <c r="G106" s="15">
        <f t="shared" si="7"/>
        <v>-7.0475576935626047E-2</v>
      </c>
      <c r="H106" s="16">
        <f>SUM('1st Qtr'!H106,'2nd Qtr'!H106,'3rd Qtr'!H106,'4th Qtr'!H106)</f>
        <v>4974137.5199999996</v>
      </c>
      <c r="I106" s="16">
        <f>SUM('1st Qtr'!I106, '2nd Qtr'!I106, '3rd Qtr'!I106, '4th Qtr'!I106)</f>
        <v>-486062.52000000014</v>
      </c>
      <c r="J106" s="15">
        <f t="shared" si="8"/>
        <v>-9.7717949703972032E-2</v>
      </c>
    </row>
    <row r="107" spans="1:10" ht="15.6">
      <c r="A107" s="24" t="str">
        <v>Svenski</v>
      </c>
      <c r="B107" s="25" t="str">
        <v>NY</v>
      </c>
      <c r="C107" s="25" t="str">
        <f>Sites[[#This Row],[SOL'#]]</f>
        <v>SOL-10894</v>
      </c>
      <c r="D107" s="20">
        <f>SUM('1st Qtr'!D107,'2nd Qtr'!D107,'3rd Qtr'!D107,'4th Qtr'!D107)</f>
        <v>3283688</v>
      </c>
      <c r="E107" s="10">
        <f>SUM('1st Qtr'!E107, '2nd Qtr'!E107, '3rd Qtr'!E107, '4th Qtr'!E107)</f>
        <v>0</v>
      </c>
      <c r="F107" s="10">
        <f t="shared" si="6"/>
        <v>3283688</v>
      </c>
      <c r="G107" s="11" t="str">
        <f t="shared" si="7"/>
        <v/>
      </c>
      <c r="H107" s="12">
        <f>SUM('1st Qtr'!H107,'2nd Qtr'!H107,'3rd Qtr'!H107,'4th Qtr'!H107)</f>
        <v>3811037.8119999999</v>
      </c>
      <c r="I107" s="12">
        <f>SUM('1st Qtr'!I107, '2nd Qtr'!I107, '3rd Qtr'!I107, '4th Qtr'!I107)</f>
        <v>-527349.81199999992</v>
      </c>
      <c r="J107" s="13">
        <f t="shared" si="8"/>
        <v>-0.13837433214110548</v>
      </c>
    </row>
    <row r="108" spans="1:10" ht="15.6">
      <c r="A108" s="26" t="str">
        <v>Bantam</v>
      </c>
      <c r="B108" s="27" t="str">
        <v>NY</v>
      </c>
      <c r="C108" s="27" t="str">
        <f>Sites[[#This Row],[SOL'#]]</f>
        <v>SOL-10986</v>
      </c>
      <c r="D108" s="9">
        <f>SUM('1st Qtr'!D108,'2nd Qtr'!D108,'3rd Qtr'!D108,'4th Qtr'!D108)</f>
        <v>1636370</v>
      </c>
      <c r="E108" s="14">
        <f>SUM('1st Qtr'!E108, '2nd Qtr'!E108, '3rd Qtr'!E108, '4th Qtr'!E108)</f>
        <v>2416730</v>
      </c>
      <c r="F108" s="14">
        <f t="shared" si="6"/>
        <v>-780360</v>
      </c>
      <c r="G108" s="15">
        <f t="shared" si="7"/>
        <v>-0.32289912402295662</v>
      </c>
      <c r="H108" s="16">
        <f>SUM('1st Qtr'!H108,'2nd Qtr'!H108,'3rd Qtr'!H108,'4th Qtr'!H108)</f>
        <v>9416846.8500000015</v>
      </c>
      <c r="I108" s="16">
        <f>SUM('1st Qtr'!I108, '2nd Qtr'!I108, '3rd Qtr'!I108, '4th Qtr'!I108)</f>
        <v>-7887066.8500000006</v>
      </c>
      <c r="J108" s="15">
        <f t="shared" si="8"/>
        <v>-0.83754859515422608</v>
      </c>
    </row>
    <row r="109" spans="1:10" ht="15.6">
      <c r="A109" s="24" t="str">
        <v>Bogart</v>
      </c>
      <c r="B109" s="25" t="str">
        <v>NY</v>
      </c>
      <c r="C109" s="25" t="str">
        <f>Sites[[#This Row],[SOL'#]]</f>
        <v>SOL-10887</v>
      </c>
      <c r="D109" s="20">
        <f>SUM('1st Qtr'!D109,'2nd Qtr'!D109,'3rd Qtr'!D109,'4th Qtr'!D109)</f>
        <v>2897310</v>
      </c>
      <c r="E109" s="10">
        <f>SUM('1st Qtr'!E109, '2nd Qtr'!E109, '3rd Qtr'!E109, '4th Qtr'!E109)</f>
        <v>3351969.1979999999</v>
      </c>
      <c r="F109" s="10">
        <f t="shared" si="6"/>
        <v>-454659.19799999986</v>
      </c>
      <c r="G109" s="11">
        <f t="shared" si="7"/>
        <v>-0.13563943197069911</v>
      </c>
      <c r="H109" s="12">
        <f>SUM('1st Qtr'!H109,'2nd Qtr'!H109,'3rd Qtr'!H109,'4th Qtr'!H109)</f>
        <v>3625012.2769999998</v>
      </c>
      <c r="I109" s="12">
        <f>SUM('1st Qtr'!I109, '2nd Qtr'!I109, '3rd Qtr'!I109, '4th Qtr'!I109)</f>
        <v>-727702.277</v>
      </c>
      <c r="J109" s="13">
        <f t="shared" si="8"/>
        <v>-0.20074477585003778</v>
      </c>
    </row>
    <row r="110" spans="1:10" ht="15.6">
      <c r="A110" s="26" t="str">
        <v>Dubois</v>
      </c>
      <c r="B110" s="27" t="str">
        <v>NY</v>
      </c>
      <c r="C110" s="27" t="str">
        <f>Sites[[#This Row],[SOL'#]]</f>
        <v>SOL-10892</v>
      </c>
      <c r="D110" s="9">
        <f>SUM('1st Qtr'!D110,'2nd Qtr'!D110,'3rd Qtr'!D110,'4th Qtr'!D110)</f>
        <v>1752601.7</v>
      </c>
      <c r="E110" s="14">
        <f>SUM('1st Qtr'!E110, '2nd Qtr'!E110, '3rd Qtr'!E110, '4th Qtr'!E110)</f>
        <v>516309.01</v>
      </c>
      <c r="F110" s="14">
        <f t="shared" si="6"/>
        <v>1236292.69</v>
      </c>
      <c r="G110" s="15">
        <f t="shared" si="7"/>
        <v>2.3944821144996093</v>
      </c>
      <c r="H110" s="16">
        <f>SUM('1st Qtr'!H110,'2nd Qtr'!H110,'3rd Qtr'!H110,'4th Qtr'!H110)</f>
        <v>0</v>
      </c>
      <c r="I110" s="16">
        <f>SUM('1st Qtr'!I110, '2nd Qtr'!I110, '3rd Qtr'!I110, '4th Qtr'!I110)</f>
        <v>480</v>
      </c>
      <c r="J110" s="15" t="str">
        <f t="shared" si="8"/>
        <v/>
      </c>
    </row>
    <row r="111" spans="1:10" ht="15.6">
      <c r="A111" s="24" t="str">
        <v>Salt Point</v>
      </c>
      <c r="B111" s="25" t="str">
        <v>NY</v>
      </c>
      <c r="C111" s="25" t="str">
        <f>Sites[[#This Row],[SOL'#]]</f>
        <v>SOL-10888</v>
      </c>
      <c r="D111" s="20">
        <f>SUM('1st Qtr'!D111,'2nd Qtr'!D111,'3rd Qtr'!D111,'4th Qtr'!D111)</f>
        <v>3402100</v>
      </c>
      <c r="E111" s="10">
        <f>SUM('1st Qtr'!E111, '2nd Qtr'!E111, '3rd Qtr'!E111, '4th Qtr'!E111)</f>
        <v>1634110</v>
      </c>
      <c r="F111" s="10">
        <f t="shared" si="6"/>
        <v>1767990</v>
      </c>
      <c r="G111" s="11">
        <f t="shared" si="7"/>
        <v>1.081928389153729</v>
      </c>
      <c r="H111" s="12">
        <f>SUM('1st Qtr'!H111,'2nd Qtr'!H111,'3rd Qtr'!H111,'4th Qtr'!H111)</f>
        <v>3974106.8670000001</v>
      </c>
      <c r="I111" s="12">
        <f>SUM('1st Qtr'!I111, '2nd Qtr'!I111, '3rd Qtr'!I111, '4th Qtr'!I111)</f>
        <v>-572006.86699999997</v>
      </c>
      <c r="J111" s="13">
        <f t="shared" si="8"/>
        <v>-0.14393343866764213</v>
      </c>
    </row>
    <row r="112" spans="1:10" ht="15.6">
      <c r="A112" s="26" t="str">
        <v>Wheatland 2A</v>
      </c>
      <c r="B112" s="27" t="str">
        <v>NY</v>
      </c>
      <c r="C112" s="27" t="str">
        <f>Sites[[#This Row],[SOL'#]]</f>
        <v>SOL-10971</v>
      </c>
      <c r="D112" s="9">
        <f>SUM('1st Qtr'!D112,'2nd Qtr'!D112,'3rd Qtr'!D112,'4th Qtr'!D112)</f>
        <v>7560910</v>
      </c>
      <c r="E112" s="14">
        <f>SUM('1st Qtr'!E112, '2nd Qtr'!E112, '3rd Qtr'!E112, '4th Qtr'!E112)</f>
        <v>3932820</v>
      </c>
      <c r="F112" s="14">
        <f t="shared" si="6"/>
        <v>3628090</v>
      </c>
      <c r="G112" s="15">
        <f t="shared" si="7"/>
        <v>0.92251615888853289</v>
      </c>
      <c r="H112" s="16">
        <f>SUM('1st Qtr'!H112,'2nd Qtr'!H112,'3rd Qtr'!H112,'4th Qtr'!H112)</f>
        <v>8455033.938000001</v>
      </c>
      <c r="I112" s="16">
        <f>SUM('1st Qtr'!I112, '2nd Qtr'!I112, '3rd Qtr'!I112, '4th Qtr'!I112)</f>
        <v>-894123.93800000008</v>
      </c>
      <c r="J112" s="15">
        <f t="shared" si="8"/>
        <v>-0.10575048480662881</v>
      </c>
    </row>
    <row r="113" spans="1:10" ht="15.6">
      <c r="A113" s="24" t="str">
        <v>Wheatland 2B</v>
      </c>
      <c r="B113" s="25" t="str">
        <v>NY</v>
      </c>
      <c r="C113" s="25" t="str">
        <f>Sites[[#This Row],[SOL'#]]</f>
        <v>SOL-10961</v>
      </c>
      <c r="D113" s="20">
        <f>SUM('1st Qtr'!D113,'2nd Qtr'!D113,'3rd Qtr'!D113,'4th Qtr'!D113)</f>
        <v>8020550</v>
      </c>
      <c r="E113" s="10">
        <f>SUM('1st Qtr'!E113, '2nd Qtr'!E113, '3rd Qtr'!E113, '4th Qtr'!E113)</f>
        <v>3760110</v>
      </c>
      <c r="F113" s="10">
        <f t="shared" si="6"/>
        <v>4260440</v>
      </c>
      <c r="G113" s="11">
        <f t="shared" si="7"/>
        <v>1.1330625965729726</v>
      </c>
      <c r="H113" s="12">
        <f>SUM('1st Qtr'!H113,'2nd Qtr'!H113,'3rd Qtr'!H113,'4th Qtr'!H113)</f>
        <v>8374383.0789999999</v>
      </c>
      <c r="I113" s="12">
        <f>SUM('1st Qtr'!I113, '2nd Qtr'!I113, '3rd Qtr'!I113, '4th Qtr'!I113)</f>
        <v>-353833.07900000003</v>
      </c>
      <c r="J113" s="13">
        <f t="shared" si="8"/>
        <v>-4.2251838214481571E-2</v>
      </c>
    </row>
    <row r="114" spans="1:10" ht="15.6">
      <c r="A114" s="26" t="str">
        <v>Brickchurch</v>
      </c>
      <c r="B114" s="27" t="str">
        <v>NY</v>
      </c>
      <c r="C114" s="27" t="str">
        <f>Sites[[#This Row],[SOL'#]]</f>
        <v>SOL-10889</v>
      </c>
      <c r="D114" s="9">
        <f>SUM('1st Qtr'!D114,'2nd Qtr'!D114,'3rd Qtr'!D114,'4th Qtr'!D114)</f>
        <v>1697680</v>
      </c>
      <c r="E114" s="14">
        <f>SUM('1st Qtr'!E114, '2nd Qtr'!E114, '3rd Qtr'!E114, '4th Qtr'!E114)</f>
        <v>2286691.9299999997</v>
      </c>
      <c r="F114" s="14">
        <f t="shared" si="6"/>
        <v>-589011.9299999997</v>
      </c>
      <c r="G114" s="15">
        <f t="shared" si="7"/>
        <v>-0.25758254632927302</v>
      </c>
      <c r="H114" s="16">
        <f>SUM('1st Qtr'!H114,'2nd Qtr'!H114,'3rd Qtr'!H114,'4th Qtr'!H114)</f>
        <v>3694903.8789999997</v>
      </c>
      <c r="I114" s="16">
        <f>SUM('1st Qtr'!I114, '2nd Qtr'!I114, '3rd Qtr'!I114, '4th Qtr'!I114)</f>
        <v>-1997223.879</v>
      </c>
      <c r="J114" s="15">
        <f t="shared" si="8"/>
        <v>-0.54053473227036553</v>
      </c>
    </row>
    <row r="115" spans="1:10" ht="15.6">
      <c r="A115" s="24" t="str">
        <v>McCarthy Solar</v>
      </c>
      <c r="B115" s="25" t="str">
        <v>NY</v>
      </c>
      <c r="C115" s="25" t="str">
        <f>Sites[[#This Row],[SOL'#]]</f>
        <v>SOL-10992</v>
      </c>
      <c r="D115" s="20">
        <f>SUM('1st Qtr'!D115,'2nd Qtr'!D115,'3rd Qtr'!D115,'4th Qtr'!D115)</f>
        <v>2552480</v>
      </c>
      <c r="E115" s="10">
        <f>SUM('1st Qtr'!E115, '2nd Qtr'!E115, '3rd Qtr'!E115, '4th Qtr'!E115)</f>
        <v>0</v>
      </c>
      <c r="F115" s="10">
        <f t="shared" si="6"/>
        <v>2552480</v>
      </c>
      <c r="G115" s="11" t="str">
        <f t="shared" si="7"/>
        <v/>
      </c>
      <c r="H115" s="12">
        <f>SUM('1st Qtr'!H115,'2nd Qtr'!H115,'3rd Qtr'!H115,'4th Qtr'!H115)</f>
        <v>3818774.13</v>
      </c>
      <c r="I115" s="12">
        <f>SUM('1st Qtr'!I115, '2nd Qtr'!I115, '3rd Qtr'!I115, '4th Qtr'!I115)</f>
        <v>-1266294.1299999999</v>
      </c>
      <c r="J115" s="13">
        <f t="shared" si="8"/>
        <v>-0.33159702220984721</v>
      </c>
    </row>
    <row r="116" spans="1:10" ht="15.6">
      <c r="A116" s="26" t="str">
        <v>Costanza</v>
      </c>
      <c r="B116" s="27" t="str">
        <v>NY</v>
      </c>
      <c r="C116" s="27" t="str">
        <f>Sites[[#This Row],[SOL'#]]</f>
        <v>SOL-10907</v>
      </c>
      <c r="D116" s="9">
        <f>SUM('1st Qtr'!D116,'2nd Qtr'!D116,'3rd Qtr'!D116,'4th Qtr'!D116)</f>
        <v>3333250</v>
      </c>
      <c r="E116" s="14">
        <f>SUM('1st Qtr'!E116, '2nd Qtr'!E116, '3rd Qtr'!E116, '4th Qtr'!E116)</f>
        <v>1696252.08</v>
      </c>
      <c r="F116" s="14">
        <f t="shared" si="6"/>
        <v>1636997.92</v>
      </c>
      <c r="G116" s="15">
        <f t="shared" si="7"/>
        <v>0.96506759773582695</v>
      </c>
      <c r="H116" s="16">
        <f>SUM('1st Qtr'!H116,'2nd Qtr'!H116,'3rd Qtr'!H116,'4th Qtr'!H116)</f>
        <v>3736212.0290000001</v>
      </c>
      <c r="I116" s="16">
        <f>SUM('1st Qtr'!I116, '2nd Qtr'!I116, '3rd Qtr'!I116, '4th Qtr'!I116)</f>
        <v>-402962.0290000001</v>
      </c>
      <c r="J116" s="15">
        <f t="shared" si="8"/>
        <v>-0.10785309449042516</v>
      </c>
    </row>
    <row r="117" spans="1:10" ht="15.6">
      <c r="A117" s="24" t="str">
        <v>Lockenhurst Pond</v>
      </c>
      <c r="B117" s="25" t="str">
        <v>NY</v>
      </c>
      <c r="C117" s="25" t="str">
        <f>Sites[[#This Row],[SOL'#]]</f>
        <v>SOL-11000</v>
      </c>
      <c r="D117" s="20">
        <f>SUM('1st Qtr'!D117,'2nd Qtr'!D117,'3rd Qtr'!D117,'4th Qtr'!D117)</f>
        <v>3866679</v>
      </c>
      <c r="E117" s="10">
        <f>SUM('1st Qtr'!E117, '2nd Qtr'!E117, '3rd Qtr'!E117, '4th Qtr'!E117)</f>
        <v>4214798.1780000003</v>
      </c>
      <c r="F117" s="10">
        <f t="shared" si="6"/>
        <v>-348119.17800000031</v>
      </c>
      <c r="G117" s="11">
        <f t="shared" si="7"/>
        <v>-8.2594507091010766E-2</v>
      </c>
      <c r="H117" s="12">
        <f>SUM('1st Qtr'!H117,'2nd Qtr'!H117,'3rd Qtr'!H117,'4th Qtr'!H117)</f>
        <v>4106139</v>
      </c>
      <c r="I117" s="12">
        <f>SUM('1st Qtr'!I117, '2nd Qtr'!I117, '3rd Qtr'!I117, '4th Qtr'!I117)</f>
        <v>-239460</v>
      </c>
      <c r="J117" s="13">
        <f t="shared" si="8"/>
        <v>-5.8317558173262035E-2</v>
      </c>
    </row>
    <row r="118" spans="1:10" ht="15.6">
      <c r="A118" s="26" t="str">
        <v>Drinkwater</v>
      </c>
      <c r="B118" s="27" t="str">
        <v>NY</v>
      </c>
      <c r="C118" s="27" t="str">
        <f>Sites[[#This Row],[SOL'#]]</f>
        <v>SOL-10896</v>
      </c>
      <c r="D118" s="9">
        <f>SUM('1st Qtr'!D118,'2nd Qtr'!D118,'3rd Qtr'!D118,'4th Qtr'!D118)</f>
        <v>3546530</v>
      </c>
      <c r="E118" s="14">
        <f>SUM('1st Qtr'!E118, '2nd Qtr'!E118, '3rd Qtr'!E118, '4th Qtr'!E118)</f>
        <v>1874660</v>
      </c>
      <c r="F118" s="14">
        <f t="shared" si="6"/>
        <v>1671870</v>
      </c>
      <c r="G118" s="15">
        <f t="shared" si="7"/>
        <v>0.8918257177301484</v>
      </c>
      <c r="H118" s="16">
        <f>SUM('1st Qtr'!H118,'2nd Qtr'!H118,'3rd Qtr'!H118,'4th Qtr'!H118)</f>
        <v>3742114.3169999998</v>
      </c>
      <c r="I118" s="16">
        <f>SUM('1st Qtr'!I118, '2nd Qtr'!I118, '3rd Qtr'!I118, '4th Qtr'!I118)</f>
        <v>-195584.31699999998</v>
      </c>
      <c r="J118" s="15">
        <f t="shared" si="8"/>
        <v>-5.2265724783308376E-2</v>
      </c>
    </row>
    <row r="119" spans="1:10" ht="15.6">
      <c r="A119" s="24" t="str">
        <v>Altamont</v>
      </c>
      <c r="B119" s="25" t="str">
        <v>NY</v>
      </c>
      <c r="C119" s="25" t="str">
        <f>Sites[[#This Row],[SOL'#]]</f>
        <v>SOL-11085</v>
      </c>
      <c r="D119" s="20">
        <f>SUM('1st Qtr'!D119,'2nd Qtr'!D119,'3rd Qtr'!D119,'4th Qtr'!D119)</f>
        <v>6925852</v>
      </c>
      <c r="E119" s="10">
        <f>SUM('1st Qtr'!E119, '2nd Qtr'!E119, '3rd Qtr'!E119, '4th Qtr'!E119)</f>
        <v>7588015.5730000008</v>
      </c>
      <c r="F119" s="10">
        <f t="shared" si="6"/>
        <v>-662163.57300000079</v>
      </c>
      <c r="G119" s="11">
        <f t="shared" si="7"/>
        <v>-8.7264392993095505E-2</v>
      </c>
      <c r="H119" s="12">
        <f>SUM('1st Qtr'!H119,'2nd Qtr'!H119,'3rd Qtr'!H119,'4th Qtr'!H119)</f>
        <v>6490675.7299999995</v>
      </c>
      <c r="I119" s="12">
        <f>SUM('1st Qtr'!I119, '2nd Qtr'!I119, '3rd Qtr'!I119, '4th Qtr'!I119)</f>
        <v>435176.27</v>
      </c>
      <c r="J119" s="13">
        <f t="shared" si="8"/>
        <v>6.704637361386101E-2</v>
      </c>
    </row>
    <row r="120" spans="1:10" ht="15.6">
      <c r="A120" s="26" t="str">
        <v>Krumkill North</v>
      </c>
      <c r="B120" s="27" t="str">
        <v>NY</v>
      </c>
      <c r="C120" s="27" t="str">
        <f>Sites[[#This Row],[SOL'#]]</f>
        <v>SOL-11086</v>
      </c>
      <c r="D120" s="9">
        <f>SUM('1st Qtr'!D120,'2nd Qtr'!D120,'3rd Qtr'!D120,'4th Qtr'!D120)</f>
        <v>6367819</v>
      </c>
      <c r="E120" s="14">
        <f>SUM('1st Qtr'!E120, '2nd Qtr'!E120, '3rd Qtr'!E120, '4th Qtr'!E120)</f>
        <v>7643126.2400000002</v>
      </c>
      <c r="F120" s="14">
        <f t="shared" si="6"/>
        <v>-1275307.2400000002</v>
      </c>
      <c r="G120" s="15">
        <f t="shared" si="7"/>
        <v>-0.16685675467791308</v>
      </c>
      <c r="H120" s="16">
        <f>SUM('1st Qtr'!H120,'2nd Qtr'!H120,'3rd Qtr'!H120,'4th Qtr'!H120)</f>
        <v>7698164.2400000002</v>
      </c>
      <c r="I120" s="16">
        <f>SUM('1st Qtr'!I120, '2nd Qtr'!I120, '3rd Qtr'!I120, '4th Qtr'!I120)</f>
        <v>-1330345.24</v>
      </c>
      <c r="J120" s="15">
        <f t="shared" si="8"/>
        <v>-0.17281330957937577</v>
      </c>
    </row>
    <row r="121" spans="1:10" ht="15.6">
      <c r="A121" s="24" t="str">
        <v>Krumkill South</v>
      </c>
      <c r="B121" s="25" t="str">
        <v>NY</v>
      </c>
      <c r="C121" s="25" t="str">
        <f>Sites[[#This Row],[SOL'#]]</f>
        <v>SOL-11087</v>
      </c>
      <c r="D121" s="20">
        <f>SUM('1st Qtr'!D121,'2nd Qtr'!D121,'3rd Qtr'!D121,'4th Qtr'!D121)</f>
        <v>5456982</v>
      </c>
      <c r="E121" s="10">
        <f>SUM('1st Qtr'!E121, '2nd Qtr'!E121, '3rd Qtr'!E121, '4th Qtr'!E121)</f>
        <v>6249468.3609999996</v>
      </c>
      <c r="F121" s="10">
        <f t="shared" si="6"/>
        <v>-792486.36099999957</v>
      </c>
      <c r="G121" s="11">
        <f t="shared" si="7"/>
        <v>-0.12680860438394012</v>
      </c>
      <c r="H121" s="12">
        <f>SUM('1st Qtr'!H121,'2nd Qtr'!H121,'3rd Qtr'!H121,'4th Qtr'!H121)</f>
        <v>6035118.9500000011</v>
      </c>
      <c r="I121" s="12">
        <f>SUM('1st Qtr'!I121, '2nd Qtr'!I121, '3rd Qtr'!I121, '4th Qtr'!I121)</f>
        <v>-578136.94999999995</v>
      </c>
      <c r="J121" s="13">
        <f t="shared" si="8"/>
        <v>-9.5795452382922766E-2</v>
      </c>
    </row>
    <row r="122" spans="1:10" ht="15.6">
      <c r="A122" s="26" t="str">
        <v>X092</v>
      </c>
      <c r="B122" s="27" t="str">
        <v>NY</v>
      </c>
      <c r="C122" s="27" t="str">
        <f>Sites[[#This Row],[SOL'#]]</f>
        <v>SOL-11189</v>
      </c>
      <c r="D122" s="9">
        <f>SUM('1st Qtr'!D122,'2nd Qtr'!D122,'3rd Qtr'!D122,'4th Qtr'!D122)</f>
        <v>155304.99999999997</v>
      </c>
      <c r="E122" s="14">
        <f>SUM('1st Qtr'!E122, '2nd Qtr'!E122, '3rd Qtr'!E122, '4th Qtr'!E122)</f>
        <v>158403.71299999999</v>
      </c>
      <c r="F122" s="14">
        <f t="shared" si="6"/>
        <v>-3098.7130000000179</v>
      </c>
      <c r="G122" s="15">
        <f t="shared" si="7"/>
        <v>-1.956212352168802E-2</v>
      </c>
      <c r="H122" s="16">
        <f>SUM('1st Qtr'!H122,'2nd Qtr'!H122,'3rd Qtr'!H122,'4th Qtr'!H122)</f>
        <v>168738.5</v>
      </c>
      <c r="I122" s="16">
        <f>SUM('1st Qtr'!I122, '2nd Qtr'!I122, '3rd Qtr'!I122, '4th Qtr'!I122)</f>
        <v>-13433.500000000016</v>
      </c>
      <c r="J122" s="15">
        <f t="shared" si="8"/>
        <v>-7.9611351292088156E-2</v>
      </c>
    </row>
    <row r="123" spans="1:10" ht="15.6">
      <c r="A123" s="24" t="str">
        <v>X093</v>
      </c>
      <c r="B123" s="25" t="str">
        <v>NY</v>
      </c>
      <c r="C123" s="25" t="str">
        <f>Sites[[#This Row],[SOL'#]]</f>
        <v>SOL-10932</v>
      </c>
      <c r="D123" s="20">
        <f>SUM('1st Qtr'!D123,'2nd Qtr'!D123,'3rd Qtr'!D123,'4th Qtr'!D123)</f>
        <v>88090.365124999982</v>
      </c>
      <c r="E123" s="10">
        <f>SUM('1st Qtr'!E123, '2nd Qtr'!E123, '3rd Qtr'!E123, '4th Qtr'!E123)</f>
        <v>87987.845000000001</v>
      </c>
      <c r="F123" s="10">
        <f t="shared" si="6"/>
        <v>102.52012499998091</v>
      </c>
      <c r="G123" s="11">
        <f t="shared" si="7"/>
        <v>1.1651623585050971E-3</v>
      </c>
      <c r="H123" s="12">
        <f>SUM('1st Qtr'!H123,'2nd Qtr'!H123,'3rd Qtr'!H123,'4th Qtr'!H123)</f>
        <v>117450</v>
      </c>
      <c r="I123" s="12">
        <f>SUM('1st Qtr'!I123, '2nd Qtr'!I123, '3rd Qtr'!I123, '4th Qtr'!I123)</f>
        <v>-29359.634875000018</v>
      </c>
      <c r="J123" s="13">
        <f t="shared" si="8"/>
        <v>-0.24997560557684137</v>
      </c>
    </row>
    <row r="124" spans="1:10" ht="15.6">
      <c r="A124" s="26" t="str">
        <v>X095</v>
      </c>
      <c r="B124" s="27" t="str">
        <v>NY</v>
      </c>
      <c r="C124" s="27" t="str">
        <f>Sites[[#This Row],[SOL'#]]</f>
        <v>SOL-10929</v>
      </c>
      <c r="D124" s="9">
        <f>SUM('1st Qtr'!D124,'2nd Qtr'!D124,'3rd Qtr'!D124,'4th Qtr'!D124)</f>
        <v>164589.07885213575</v>
      </c>
      <c r="E124" s="14">
        <f>SUM('1st Qtr'!E124, '2nd Qtr'!E124, '3rd Qtr'!E124, '4th Qtr'!E124)</f>
        <v>90367.926999999996</v>
      </c>
      <c r="F124" s="14">
        <f t="shared" si="6"/>
        <v>74221.15185213575</v>
      </c>
      <c r="G124" s="15">
        <f t="shared" si="7"/>
        <v>0.82132183747155951</v>
      </c>
      <c r="H124" s="16">
        <f>SUM('1st Qtr'!H124,'2nd Qtr'!H124,'3rd Qtr'!H124,'4th Qtr'!H124)</f>
        <v>160039</v>
      </c>
      <c r="I124" s="16">
        <f>SUM('1st Qtr'!I124, '2nd Qtr'!I124, '3rd Qtr'!I124, '4th Qtr'!I124)</f>
        <v>4550.0788521357572</v>
      </c>
      <c r="J124" s="15">
        <f t="shared" si="8"/>
        <v>2.8431062754302121E-2</v>
      </c>
    </row>
    <row r="125" spans="1:10" ht="15.6">
      <c r="A125" s="24" t="str">
        <v>X181</v>
      </c>
      <c r="B125" s="25" t="str">
        <v>NY</v>
      </c>
      <c r="C125" s="25" t="str">
        <f>Sites[[#This Row],[SOL'#]]</f>
        <v>SOL-10428</v>
      </c>
      <c r="D125" s="20">
        <f>SUM('1st Qtr'!D125,'2nd Qtr'!D125,'3rd Qtr'!D125,'4th Qtr'!D125)</f>
        <v>299811.46499545308</v>
      </c>
      <c r="E125" s="10">
        <f>SUM('1st Qtr'!E125, '2nd Qtr'!E125, '3rd Qtr'!E125, '4th Qtr'!E125)</f>
        <v>143469.93</v>
      </c>
      <c r="F125" s="10">
        <f t="shared" si="6"/>
        <v>156341.53499545308</v>
      </c>
      <c r="G125" s="11">
        <f t="shared" si="7"/>
        <v>1.0897163955921152</v>
      </c>
      <c r="H125" s="12">
        <f>SUM('1st Qtr'!H125,'2nd Qtr'!H125,'3rd Qtr'!H125,'4th Qtr'!H125)</f>
        <v>292186</v>
      </c>
      <c r="I125" s="12">
        <f>SUM('1st Qtr'!I125, '2nd Qtr'!I125, '3rd Qtr'!I125, '4th Qtr'!I125)</f>
        <v>7625.4649954531014</v>
      </c>
      <c r="J125" s="13">
        <f t="shared" si="8"/>
        <v>2.6097982091726167E-2</v>
      </c>
    </row>
    <row r="126" spans="1:10" ht="15.6">
      <c r="A126" s="26" t="str">
        <v>X415</v>
      </c>
      <c r="B126" s="27" t="str">
        <v>NY</v>
      </c>
      <c r="C126" s="27" t="str">
        <f>Sites[[#This Row],[SOL'#]]</f>
        <v>SOL-10429</v>
      </c>
      <c r="D126" s="9">
        <f>SUM('1st Qtr'!D126,'2nd Qtr'!D126,'3rd Qtr'!D126,'4th Qtr'!D126)</f>
        <v>193817.4554922813</v>
      </c>
      <c r="E126" s="14">
        <f>SUM('1st Qtr'!E126, '2nd Qtr'!E126, '3rd Qtr'!E126, '4th Qtr'!E126)</f>
        <v>86862.766999999993</v>
      </c>
      <c r="F126" s="14">
        <f t="shared" si="6"/>
        <v>106954.6884922813</v>
      </c>
      <c r="G126" s="15">
        <f t="shared" si="7"/>
        <v>1.2313064870738151</v>
      </c>
      <c r="H126" s="16">
        <f>SUM('1st Qtr'!H126,'2nd Qtr'!H126,'3rd Qtr'!H126,'4th Qtr'!H126)</f>
        <v>168221.5</v>
      </c>
      <c r="I126" s="16">
        <f>SUM('1st Qtr'!I126, '2nd Qtr'!I126, '3rd Qtr'!I126, '4th Qtr'!I126)</f>
        <v>25595.955492281297</v>
      </c>
      <c r="J126" s="15">
        <f t="shared" si="8"/>
        <v>0.15215626713756147</v>
      </c>
    </row>
    <row r="127" spans="1:10" ht="15.6">
      <c r="A127" s="24" t="str">
        <v>K198</v>
      </c>
      <c r="B127" s="25" t="str">
        <v>NY</v>
      </c>
      <c r="C127" s="25" t="str">
        <f>Sites[[#This Row],[SOL'#]]</f>
        <v>SOL-10930</v>
      </c>
      <c r="D127" s="20">
        <f>SUM('1st Qtr'!D127,'2nd Qtr'!D127,'3rd Qtr'!D127,'4th Qtr'!D127)</f>
        <v>147347.1972324219</v>
      </c>
      <c r="E127" s="10">
        <f>SUM('1st Qtr'!E127, '2nd Qtr'!E127, '3rd Qtr'!E127, '4th Qtr'!E127)</f>
        <v>104691.944</v>
      </c>
      <c r="F127" s="10">
        <f t="shared" si="6"/>
        <v>42655.253232421892</v>
      </c>
      <c r="G127" s="11">
        <f t="shared" si="7"/>
        <v>0.40743586949175276</v>
      </c>
      <c r="H127" s="12">
        <f>SUM('1st Qtr'!H127,'2nd Qtr'!H127,'3rd Qtr'!H127,'4th Qtr'!H127)</f>
        <v>135129.5</v>
      </c>
      <c r="I127" s="12">
        <f>SUM('1st Qtr'!I127, '2nd Qtr'!I127, '3rd Qtr'!I127, '4th Qtr'!I127)</f>
        <v>12217.69723242188</v>
      </c>
      <c r="J127" s="13">
        <f t="shared" si="8"/>
        <v>9.0414729814155159E-2</v>
      </c>
    </row>
    <row r="128" spans="1:10" ht="15.6">
      <c r="A128" s="26" t="str">
        <v>K203</v>
      </c>
      <c r="B128" s="27" t="str">
        <v>NY</v>
      </c>
      <c r="C128" s="27" t="str">
        <f>Sites[[#This Row],[SOL'#]]</f>
        <v>SOL-11190</v>
      </c>
      <c r="D128" s="9">
        <f>SUM('1st Qtr'!D128,'2nd Qtr'!D128,'3rd Qtr'!D128,'4th Qtr'!D128)</f>
        <v>166443</v>
      </c>
      <c r="E128" s="14">
        <f>SUM('1st Qtr'!E128, '2nd Qtr'!E128, '3rd Qtr'!E128, '4th Qtr'!E128)</f>
        <v>139017.02499999999</v>
      </c>
      <c r="F128" s="14">
        <f t="shared" si="6"/>
        <v>27425.975000000006</v>
      </c>
      <c r="G128" s="15">
        <f t="shared" si="7"/>
        <v>0.1972850087965845</v>
      </c>
      <c r="H128" s="16">
        <f>SUM('1st Qtr'!H128,'2nd Qtr'!H128,'3rd Qtr'!H128,'4th Qtr'!H128)</f>
        <v>166652.5</v>
      </c>
      <c r="I128" s="16">
        <f>SUM('1st Qtr'!I128, '2nd Qtr'!I128, '3rd Qtr'!I128, '4th Qtr'!I128)</f>
        <v>-209.50000000000182</v>
      </c>
      <c r="J128" s="15">
        <f t="shared" si="8"/>
        <v>-1.2571068540826078E-3</v>
      </c>
    </row>
    <row r="129" spans="1:10" ht="15.6">
      <c r="A129" s="24" t="str">
        <v>K213</v>
      </c>
      <c r="B129" s="25" t="str">
        <v>NY</v>
      </c>
      <c r="C129" s="25" t="str">
        <f>Sites[[#This Row],[SOL'#]]</f>
        <v>SOL-11191</v>
      </c>
      <c r="D129" s="20">
        <f>SUM('1st Qtr'!D129,'2nd Qtr'!D129,'3rd Qtr'!D129,'4th Qtr'!D129)</f>
        <v>185777.20000000004</v>
      </c>
      <c r="E129" s="10">
        <f>SUM('1st Qtr'!E129, '2nd Qtr'!E129, '3rd Qtr'!E129, '4th Qtr'!E129)</f>
        <v>205878.671</v>
      </c>
      <c r="F129" s="10">
        <f t="shared" si="6"/>
        <v>-20101.470999999961</v>
      </c>
      <c r="G129" s="11">
        <f t="shared" si="7"/>
        <v>-9.7637462406195349E-2</v>
      </c>
      <c r="H129" s="12">
        <f>SUM('1st Qtr'!H129,'2nd Qtr'!H129,'3rd Qtr'!H129,'4th Qtr'!H129)</f>
        <v>193576.5</v>
      </c>
      <c r="I129" s="12">
        <f>SUM('1st Qtr'!I129, '2nd Qtr'!I129, '3rd Qtr'!I129, '4th Qtr'!I129)</f>
        <v>-7799.2999999999793</v>
      </c>
      <c r="J129" s="13">
        <f t="shared" si="8"/>
        <v>-4.029053113368606E-2</v>
      </c>
    </row>
    <row r="130" spans="1:10" ht="15.6">
      <c r="A130" s="26" t="str">
        <v>K217</v>
      </c>
      <c r="B130" s="27" t="str">
        <v>NY</v>
      </c>
      <c r="C130" s="27" t="str">
        <f>Sites[[#This Row],[SOL'#]]</f>
        <v>SOL-10933</v>
      </c>
      <c r="D130" s="9">
        <f>SUM('1st Qtr'!D130,'2nd Qtr'!D130,'3rd Qtr'!D130,'4th Qtr'!D130)</f>
        <v>109202.36786330087</v>
      </c>
      <c r="E130" s="14">
        <f>SUM('1st Qtr'!E130, '2nd Qtr'!E130, '3rd Qtr'!E130, '4th Qtr'!E130)</f>
        <v>56113.778999999995</v>
      </c>
      <c r="F130" s="14">
        <f t="shared" si="6"/>
        <v>53088.588863300873</v>
      </c>
      <c r="G130" s="15">
        <f t="shared" si="7"/>
        <v>0.94608828365134479</v>
      </c>
      <c r="H130" s="16">
        <f>SUM('1st Qtr'!H130,'2nd Qtr'!H130,'3rd Qtr'!H130,'4th Qtr'!H130)</f>
        <v>101909.5</v>
      </c>
      <c r="I130" s="16">
        <f>SUM('1st Qtr'!I130, '2nd Qtr'!I130, '3rd Qtr'!I130, '4th Qtr'!I130)</f>
        <v>7292.8678633008712</v>
      </c>
      <c r="J130" s="15">
        <f t="shared" si="8"/>
        <v>7.1562198453538395E-2</v>
      </c>
    </row>
    <row r="131" spans="1:10" ht="15.6">
      <c r="A131" s="24" t="str">
        <v>K307</v>
      </c>
      <c r="B131" s="25" t="str">
        <v>NY</v>
      </c>
      <c r="C131" s="25" t="str">
        <f>Sites[[#This Row],[SOL'#]]</f>
        <v>SOL-10876</v>
      </c>
      <c r="D131" s="20">
        <f>SUM('1st Qtr'!D131,'2nd Qtr'!D131,'3rd Qtr'!D131,'4th Qtr'!D131)</f>
        <v>233291.94100245851</v>
      </c>
      <c r="E131" s="10">
        <f>SUM('1st Qtr'!E131, '2nd Qtr'!E131, '3rd Qtr'!E131, '4th Qtr'!E131)</f>
        <v>138520.94200000001</v>
      </c>
      <c r="F131" s="10">
        <f t="shared" si="6"/>
        <v>94770.999002458499</v>
      </c>
      <c r="G131" s="11">
        <f t="shared" si="7"/>
        <v>0.68416369131000054</v>
      </c>
      <c r="H131" s="12">
        <f>SUM('1st Qtr'!H131,'2nd Qtr'!H131,'3rd Qtr'!H131,'4th Qtr'!H131)</f>
        <v>211619</v>
      </c>
      <c r="I131" s="12">
        <f>SUM('1st Qtr'!I131, '2nd Qtr'!I131, '3rd Qtr'!I131, '4th Qtr'!I131)</f>
        <v>21672.941002458498</v>
      </c>
      <c r="J131" s="13">
        <f t="shared" si="8"/>
        <v>0.10241491077104843</v>
      </c>
    </row>
    <row r="132" spans="1:10" ht="15.6">
      <c r="A132" s="26" t="str">
        <v>K610</v>
      </c>
      <c r="B132" s="27" t="str">
        <v>NY</v>
      </c>
      <c r="C132" s="27" t="str">
        <f>Sites[[#This Row],[SOL'#]]</f>
        <v>SOL-11158</v>
      </c>
      <c r="D132" s="9">
        <f>SUM('1st Qtr'!D132,'2nd Qtr'!D132,'3rd Qtr'!D132,'4th Qtr'!D132)</f>
        <v>221249.40000000002</v>
      </c>
      <c r="E132" s="14">
        <f>SUM('1st Qtr'!E132, '2nd Qtr'!E132, '3rd Qtr'!E132, '4th Qtr'!E132)</f>
        <v>247972.29200000002</v>
      </c>
      <c r="F132" s="14">
        <f t="shared" si="6"/>
        <v>-26722.891999999993</v>
      </c>
      <c r="G132" s="15">
        <f t="shared" si="7"/>
        <v>-0.10776563697689252</v>
      </c>
      <c r="H132" s="16">
        <f>SUM('1st Qtr'!H132,'2nd Qtr'!H132,'3rd Qtr'!H132,'4th Qtr'!H132)</f>
        <v>256940</v>
      </c>
      <c r="I132" s="16">
        <f>SUM('1st Qtr'!I132, '2nd Qtr'!I132, '3rd Qtr'!I132, '4th Qtr'!I132)</f>
        <v>-35690.599999999977</v>
      </c>
      <c r="J132" s="15">
        <f t="shared" si="8"/>
        <v>-0.13890635946135274</v>
      </c>
    </row>
    <row r="133" spans="1:10" ht="15.6">
      <c r="A133" s="24" t="str">
        <v>M025</v>
      </c>
      <c r="B133" s="25" t="str">
        <v>NY</v>
      </c>
      <c r="C133" s="25" t="str">
        <f>Sites[[#This Row],[SOL'#]]</f>
        <v>SOL-10392</v>
      </c>
      <c r="D133" s="20">
        <f>SUM('1st Qtr'!D133,'2nd Qtr'!D133,'3rd Qtr'!D133,'4th Qtr'!D133)</f>
        <v>157588.48851612501</v>
      </c>
      <c r="E133" s="10">
        <f>SUM('1st Qtr'!E133, '2nd Qtr'!E133, '3rd Qtr'!E133, '4th Qtr'!E133)</f>
        <v>186080.15299999999</v>
      </c>
      <c r="F133" s="10">
        <f t="shared" si="6"/>
        <v>-28491.664483874978</v>
      </c>
      <c r="G133" s="11">
        <f t="shared" si="7"/>
        <v>-0.15311500998107508</v>
      </c>
      <c r="H133" s="12">
        <f>SUM('1st Qtr'!H133,'2nd Qtr'!H133,'3rd Qtr'!H133,'4th Qtr'!H133)</f>
        <v>224528.5</v>
      </c>
      <c r="I133" s="12">
        <f>SUM('1st Qtr'!I133, '2nd Qtr'!I133, '3rd Qtr'!I133, '4th Qtr'!I133)</f>
        <v>-66940.011483875001</v>
      </c>
      <c r="J133" s="13">
        <f t="shared" si="8"/>
        <v>-0.29813592253934357</v>
      </c>
    </row>
    <row r="134" spans="1:10" ht="15.6">
      <c r="A134" s="26" t="str">
        <v>M028</v>
      </c>
      <c r="B134" s="27" t="str">
        <v>NY</v>
      </c>
      <c r="C134" s="27" t="str">
        <f>Sites[[#This Row],[SOL'#]]</f>
        <v>SOL-10381</v>
      </c>
      <c r="D134" s="9">
        <f>SUM('1st Qtr'!D134,'2nd Qtr'!D134,'3rd Qtr'!D134,'4th Qtr'!D134)</f>
        <v>182956.0526507656</v>
      </c>
      <c r="E134" s="14">
        <f>SUM('1st Qtr'!E134, '2nd Qtr'!E134, '3rd Qtr'!E134, '4th Qtr'!E134)</f>
        <v>132099.13800000001</v>
      </c>
      <c r="F134" s="14">
        <f t="shared" si="6"/>
        <v>50856.914650765597</v>
      </c>
      <c r="G134" s="15">
        <f t="shared" si="7"/>
        <v>0.38499051107181026</v>
      </c>
      <c r="H134" s="16">
        <f>SUM('1st Qtr'!H134,'2nd Qtr'!H134,'3rd Qtr'!H134,'4th Qtr'!H134)</f>
        <v>169609.5</v>
      </c>
      <c r="I134" s="16">
        <f>SUM('1st Qtr'!I134, '2nd Qtr'!I134, '3rd Qtr'!I134, '4th Qtr'!I134)</f>
        <v>13346.5526507656</v>
      </c>
      <c r="J134" s="15">
        <f t="shared" si="8"/>
        <v>7.8689888542596967E-2</v>
      </c>
    </row>
    <row r="135" spans="1:10" ht="15.6">
      <c r="A135" s="24" t="str">
        <v>Q030</v>
      </c>
      <c r="B135" s="25" t="str">
        <v>NY</v>
      </c>
      <c r="C135" s="25" t="str">
        <f>Sites[[#This Row],[SOL'#]]</f>
        <v>SOL-10878</v>
      </c>
      <c r="D135" s="20">
        <f>SUM('1st Qtr'!D135,'2nd Qtr'!D135,'3rd Qtr'!D135,'4th Qtr'!D135)</f>
        <v>226124.01798375</v>
      </c>
      <c r="E135" s="10">
        <f>SUM('1st Qtr'!E135, '2nd Qtr'!E135, '3rd Qtr'!E135, '4th Qtr'!E135)</f>
        <v>111694.03300000001</v>
      </c>
      <c r="F135" s="10">
        <f t="shared" si="6"/>
        <v>114429.98498374999</v>
      </c>
      <c r="G135" s="11">
        <f t="shared" si="7"/>
        <v>1.024495059496598</v>
      </c>
      <c r="H135" s="12">
        <f>SUM('1st Qtr'!H135,'2nd Qtr'!H135,'3rd Qtr'!H135,'4th Qtr'!H135)</f>
        <v>206264</v>
      </c>
      <c r="I135" s="12">
        <f>SUM('1st Qtr'!I135, '2nd Qtr'!I135, '3rd Qtr'!I135, '4th Qtr'!I135)</f>
        <v>19860.01798375</v>
      </c>
      <c r="J135" s="13">
        <f t="shared" si="8"/>
        <v>9.6284460612370559E-2</v>
      </c>
    </row>
    <row r="136" spans="1:10" ht="15.6">
      <c r="A136" s="26" t="str">
        <v>Q130</v>
      </c>
      <c r="B136" s="27" t="str">
        <v>NY</v>
      </c>
      <c r="C136" s="27" t="str">
        <f>Sites[[#This Row],[SOL'#]]</f>
        <v>SOL-10877</v>
      </c>
      <c r="D136" s="9">
        <f>SUM('1st Qtr'!D136,'2nd Qtr'!D136,'3rd Qtr'!D136,'4th Qtr'!D136)</f>
        <v>125876.27434792969</v>
      </c>
      <c r="E136" s="14">
        <f>SUM('1st Qtr'!E136, '2nd Qtr'!E136, '3rd Qtr'!E136, '4th Qtr'!E136)</f>
        <v>63486.698000000004</v>
      </c>
      <c r="F136" s="14">
        <f t="shared" si="6"/>
        <v>62389.576347929687</v>
      </c>
      <c r="G136" s="15">
        <f t="shared" si="7"/>
        <v>0.98271887361238541</v>
      </c>
      <c r="H136" s="16">
        <f>SUM('1st Qtr'!H136,'2nd Qtr'!H136,'3rd Qtr'!H136,'4th Qtr'!H136)</f>
        <v>115738.202</v>
      </c>
      <c r="I136" s="16">
        <f>SUM('1st Qtr'!I136, '2nd Qtr'!I136, '3rd Qtr'!I136, '4th Qtr'!I136)</f>
        <v>10138.072347929699</v>
      </c>
      <c r="J136" s="15">
        <f t="shared" si="8"/>
        <v>8.7594866454981726E-2</v>
      </c>
    </row>
    <row r="137" spans="1:10" ht="15.6">
      <c r="A137" s="24" t="str">
        <v>Q196</v>
      </c>
      <c r="B137" s="25" t="str">
        <v>NY</v>
      </c>
      <c r="C137" s="25" t="str">
        <f>Sites[[#This Row],[SOL'#]]</f>
        <v>SOL-10879</v>
      </c>
      <c r="D137" s="20">
        <f>SUM('1st Qtr'!D137,'2nd Qtr'!D137,'3rd Qtr'!D137,'4th Qtr'!D137)</f>
        <v>162722.5253629348</v>
      </c>
      <c r="E137" s="10">
        <f>SUM('1st Qtr'!E137, '2nd Qtr'!E137, '3rd Qtr'!E137, '4th Qtr'!E137)</f>
        <v>87327.555999999997</v>
      </c>
      <c r="F137" s="10">
        <f t="shared" si="6"/>
        <v>75394.969362934804</v>
      </c>
      <c r="G137" s="11">
        <f t="shared" si="7"/>
        <v>0.8633582893689915</v>
      </c>
      <c r="H137" s="12">
        <f>SUM('1st Qtr'!H137,'2nd Qtr'!H137,'3rd Qtr'!H137,'4th Qtr'!H137)</f>
        <v>150638</v>
      </c>
      <c r="I137" s="12">
        <f>SUM('1st Qtr'!I137, '2nd Qtr'!I137, '3rd Qtr'!I137, '4th Qtr'!I137)</f>
        <v>8848.5653629347999</v>
      </c>
      <c r="J137" s="13">
        <f t="shared" si="8"/>
        <v>5.8740592433083286E-2</v>
      </c>
    </row>
    <row r="138" spans="1:10" ht="15.6">
      <c r="A138" s="26" t="str">
        <v>Q220</v>
      </c>
      <c r="B138" s="27" t="str">
        <v>NY</v>
      </c>
      <c r="C138" s="27" t="str">
        <f>Sites[[#This Row],[SOL'#]]</f>
        <v>SOL-10873</v>
      </c>
      <c r="D138" s="9">
        <f>SUM('1st Qtr'!D138,'2nd Qtr'!D138,'3rd Qtr'!D138,'4th Qtr'!D138)</f>
        <v>191899.8355135156</v>
      </c>
      <c r="E138" s="14">
        <f>SUM('1st Qtr'!E138, '2nd Qtr'!E138, '3rd Qtr'!E138, '4th Qtr'!E138)</f>
        <v>115977.37000000001</v>
      </c>
      <c r="F138" s="14">
        <f t="shared" si="6"/>
        <v>75922.465513515592</v>
      </c>
      <c r="G138" s="15">
        <f t="shared" si="7"/>
        <v>0.65463172266723746</v>
      </c>
      <c r="H138" s="16">
        <f>SUM('1st Qtr'!H138,'2nd Qtr'!H138,'3rd Qtr'!H138,'4th Qtr'!H138)</f>
        <v>171088</v>
      </c>
      <c r="I138" s="16">
        <f>SUM('1st Qtr'!I138, '2nd Qtr'!I138, '3rd Qtr'!I138, '4th Qtr'!I138)</f>
        <v>14342.634513515601</v>
      </c>
      <c r="J138" s="15">
        <f t="shared" si="8"/>
        <v>8.3831914064783034E-2</v>
      </c>
    </row>
    <row r="139" spans="1:10" ht="15.6">
      <c r="A139" s="24" t="str">
        <v>Q205</v>
      </c>
      <c r="B139" s="25" t="str">
        <v>NY</v>
      </c>
      <c r="C139" s="25" t="str">
        <f>Sites[[#This Row],[SOL'#]]</f>
        <v>SOL-10922</v>
      </c>
      <c r="D139" s="20">
        <f>SUM('1st Qtr'!D139,'2nd Qtr'!D139,'3rd Qtr'!D139,'4th Qtr'!D139)</f>
        <v>209544.10521875002</v>
      </c>
      <c r="E139" s="10">
        <f>SUM('1st Qtr'!E139, '2nd Qtr'!E139, '3rd Qtr'!E139, '4th Qtr'!E139)</f>
        <v>256489.71300000002</v>
      </c>
      <c r="F139" s="10">
        <f t="shared" si="6"/>
        <v>-46945.607781250001</v>
      </c>
      <c r="G139" s="11">
        <f t="shared" si="7"/>
        <v>-0.18303115252520868</v>
      </c>
      <c r="H139" s="12">
        <f>SUM('1st Qtr'!H139,'2nd Qtr'!H139,'3rd Qtr'!H139,'4th Qtr'!H139)</f>
        <v>209643</v>
      </c>
      <c r="I139" s="12">
        <f>SUM('1st Qtr'!I139, '2nd Qtr'!I139, '3rd Qtr'!I139, '4th Qtr'!I139)</f>
        <v>-98.89478125000096</v>
      </c>
      <c r="J139" s="13">
        <f t="shared" si="8"/>
        <v>-4.717294698606725E-4</v>
      </c>
    </row>
    <row r="140" spans="1:10" ht="15.6">
      <c r="A140" s="26" t="str">
        <v>Q400</v>
      </c>
      <c r="B140" s="27" t="str">
        <v>NY</v>
      </c>
      <c r="C140" s="27" t="str">
        <f>Sites[[#This Row],[SOL'#]]</f>
        <v>SOL-10871</v>
      </c>
      <c r="D140" s="9">
        <f>SUM('1st Qtr'!D140,'2nd Qtr'!D140,'3rd Qtr'!D140,'4th Qtr'!D140)</f>
        <v>249541.83309231981</v>
      </c>
      <c r="E140" s="14">
        <f>SUM('1st Qtr'!E140, '2nd Qtr'!E140, '3rd Qtr'!E140, '4th Qtr'!E140)</f>
        <v>0</v>
      </c>
      <c r="F140" s="14">
        <f t="shared" si="6"/>
        <v>249541.83309231981</v>
      </c>
      <c r="G140" s="15" t="str">
        <f t="shared" si="7"/>
        <v/>
      </c>
      <c r="H140" s="16">
        <f>SUM('1st Qtr'!H140,'2nd Qtr'!H140,'3rd Qtr'!H140,'4th Qtr'!H140)</f>
        <v>334397</v>
      </c>
      <c r="I140" s="16">
        <f>SUM('1st Qtr'!I140, '2nd Qtr'!I140, '3rd Qtr'!I140, '4th Qtr'!I140)</f>
        <v>-84855.166907680192</v>
      </c>
      <c r="J140" s="15">
        <f t="shared" si="8"/>
        <v>-0.25375576607350003</v>
      </c>
    </row>
    <row r="141" spans="1:10" ht="15.6">
      <c r="A141" s="24" t="str">
        <v>R003</v>
      </c>
      <c r="B141" s="25" t="str">
        <v>NY</v>
      </c>
      <c r="C141" s="25" t="str">
        <f>Sites[[#This Row],[SOL'#]]</f>
        <v>SOL-10416</v>
      </c>
      <c r="D141" s="20">
        <f>SUM('1st Qtr'!D141,'2nd Qtr'!D141,'3rd Qtr'!D141,'4th Qtr'!D141)</f>
        <v>319306.54690110683</v>
      </c>
      <c r="E141" s="10">
        <f>SUM('1st Qtr'!E141, '2nd Qtr'!E141, '3rd Qtr'!E141, '4th Qtr'!E141)</f>
        <v>203282.68699999998</v>
      </c>
      <c r="F141" s="10">
        <f t="shared" si="6"/>
        <v>116023.85990110686</v>
      </c>
      <c r="G141" s="11">
        <f t="shared" si="7"/>
        <v>0.57075130997804491</v>
      </c>
      <c r="H141" s="12">
        <f>SUM('1st Qtr'!H141,'2nd Qtr'!H141,'3rd Qtr'!H141,'4th Qtr'!H141)</f>
        <v>313538</v>
      </c>
      <c r="I141" s="12">
        <f>SUM('1st Qtr'!I141, '2nd Qtr'!I141, '3rd Qtr'!I141, '4th Qtr'!I141)</f>
        <v>-14888.085908893103</v>
      </c>
      <c r="J141" s="13">
        <f t="shared" si="8"/>
        <v>-4.7484151550667236E-2</v>
      </c>
    </row>
    <row r="142" spans="1:10" ht="15.6">
      <c r="A142" s="26" t="str">
        <v>R007</v>
      </c>
      <c r="B142" s="27" t="str">
        <v>NY</v>
      </c>
      <c r="C142" s="27" t="str">
        <f>Sites[[#This Row],[SOL'#]]</f>
        <v>SOL-10417</v>
      </c>
      <c r="D142" s="9">
        <f>SUM('1st Qtr'!D142,'2nd Qtr'!D142,'3rd Qtr'!D142,'4th Qtr'!D142)</f>
        <v>366942.935405</v>
      </c>
      <c r="E142" s="14">
        <f>SUM('1st Qtr'!E142, '2nd Qtr'!E142, '3rd Qtr'!E142, '4th Qtr'!E142)</f>
        <v>268008.22600000002</v>
      </c>
      <c r="F142" s="14">
        <f t="shared" si="6"/>
        <v>98934.709404999972</v>
      </c>
      <c r="G142" s="15">
        <f t="shared" si="7"/>
        <v>0.36914803281075398</v>
      </c>
      <c r="H142" s="16">
        <f>SUM('1st Qtr'!H142,'2nd Qtr'!H142,'3rd Qtr'!H142,'4th Qtr'!H142)</f>
        <v>358797.55699999997</v>
      </c>
      <c r="I142" s="16">
        <f>SUM('1st Qtr'!I142, '2nd Qtr'!I142, '3rd Qtr'!I142, '4th Qtr'!I142)</f>
        <v>8145.3784050000031</v>
      </c>
      <c r="J142" s="15">
        <f t="shared" si="8"/>
        <v>2.2701878109498957E-2</v>
      </c>
    </row>
    <row r="143" spans="1:10" ht="15.6">
      <c r="A143" s="24" t="str">
        <v>BK16</v>
      </c>
      <c r="B143" s="25" t="str">
        <v>NY</v>
      </c>
      <c r="C143" s="25" t="str">
        <f>Sites[[#This Row],[SOL'#]]</f>
        <v>SOL-11093</v>
      </c>
      <c r="D143" s="20">
        <f>SUM('1st Qtr'!D143,'2nd Qtr'!D143,'3rd Qtr'!D143,'4th Qtr'!D143)</f>
        <v>368989.20179640851</v>
      </c>
      <c r="E143" s="10">
        <f>SUM('1st Qtr'!E143, '2nd Qtr'!E143, '3rd Qtr'!E143, '4th Qtr'!E143)</f>
        <v>187303.342</v>
      </c>
      <c r="F143" s="10">
        <f t="shared" si="6"/>
        <v>181685.85979640851</v>
      </c>
      <c r="G143" s="11">
        <f t="shared" si="7"/>
        <v>0.97000863869481035</v>
      </c>
      <c r="H143" s="12">
        <f>SUM('1st Qtr'!H143,'2nd Qtr'!H143,'3rd Qtr'!H143,'4th Qtr'!H143)</f>
        <v>333838</v>
      </c>
      <c r="I143" s="12">
        <f>SUM('1st Qtr'!I143, '2nd Qtr'!I143, '3rd Qtr'!I143, '4th Qtr'!I143)</f>
        <v>35151.201796408503</v>
      </c>
      <c r="J143" s="13">
        <f t="shared" si="8"/>
        <v>0.10529418998558733</v>
      </c>
    </row>
    <row r="144" spans="1:10" ht="15.6">
      <c r="A144" s="26" t="str">
        <v>Trenton - Trenton East</v>
      </c>
      <c r="B144" s="27" t="str">
        <v>IL</v>
      </c>
      <c r="C144" s="27" t="str">
        <f>Sites[[#This Row],[SOL'#]]</f>
        <v>SOL-11060</v>
      </c>
      <c r="D144" s="9">
        <f>SUM('1st Qtr'!D144,'2nd Qtr'!D144,'3rd Qtr'!D144,'4th Qtr'!D144)</f>
        <v>3435170.4997652881</v>
      </c>
      <c r="E144" s="14">
        <f>SUM('1st Qtr'!E144, '2nd Qtr'!E144, '3rd Qtr'!E144, '4th Qtr'!E144)</f>
        <v>3596146.7919999999</v>
      </c>
      <c r="F144" s="14">
        <f t="shared" si="6"/>
        <v>-160976.29223471181</v>
      </c>
      <c r="G144" s="15">
        <f t="shared" si="7"/>
        <v>-4.4763548749684023E-2</v>
      </c>
      <c r="H144" s="16">
        <f>SUM('1st Qtr'!H144,'2nd Qtr'!H144,'3rd Qtr'!H144,'4th Qtr'!H144)</f>
        <v>4283466</v>
      </c>
      <c r="I144" s="16">
        <f>SUM('1st Qtr'!I144, '2nd Qtr'!I144, '3rd Qtr'!I144, '4th Qtr'!I144)</f>
        <v>-818810.50023471203</v>
      </c>
      <c r="J144" s="15">
        <f t="shared" si="8"/>
        <v>-0.1911560638592</v>
      </c>
    </row>
    <row r="145" spans="1:10" ht="15.6">
      <c r="A145" s="24" t="str">
        <v>Trenton - Trenton West</v>
      </c>
      <c r="B145" s="25" t="str">
        <v>IL</v>
      </c>
      <c r="C145" s="25" t="str">
        <f>Sites[[#This Row],[SOL'#]]</f>
        <v>SOL-11061</v>
      </c>
      <c r="D145" s="20">
        <f>SUM('1st Qtr'!D145,'2nd Qtr'!D145,'3rd Qtr'!D145,'4th Qtr'!D145)</f>
        <v>2345346.0524417302</v>
      </c>
      <c r="E145" s="10">
        <f>SUM('1st Qtr'!E145, '2nd Qtr'!E145, '3rd Qtr'!E145, '4th Qtr'!E145)</f>
        <v>2830165.1780000003</v>
      </c>
      <c r="F145" s="10">
        <f t="shared" si="6"/>
        <v>-484819.12555827014</v>
      </c>
      <c r="G145" s="11">
        <f t="shared" si="7"/>
        <v>-0.17130418016833859</v>
      </c>
      <c r="H145" s="12">
        <f>SUM('1st Qtr'!H145,'2nd Qtr'!H145,'3rd Qtr'!H145,'4th Qtr'!H145)</f>
        <v>4307039.5039999997</v>
      </c>
      <c r="I145" s="12">
        <f>SUM('1st Qtr'!I145, '2nd Qtr'!I145, '3rd Qtr'!I145, '4th Qtr'!I145)</f>
        <v>-1961693.45155827</v>
      </c>
      <c r="J145" s="13">
        <f t="shared" si="8"/>
        <v>-0.45546214510835614</v>
      </c>
    </row>
    <row r="146" spans="1:10" ht="15.6">
      <c r="A146" s="26" t="str">
        <v>Dakota - Dakota Solar 1</v>
      </c>
      <c r="B146" s="27" t="str">
        <v>IL</v>
      </c>
      <c r="C146" s="27" t="str">
        <f>Sites[[#This Row],[SOL'#]]</f>
        <v>SOL-11113</v>
      </c>
      <c r="D146" s="9">
        <f>SUM('1st Qtr'!D146,'2nd Qtr'!D146,'3rd Qtr'!D146,'4th Qtr'!D146)</f>
        <v>4496434</v>
      </c>
      <c r="E146" s="14">
        <f>SUM('1st Qtr'!E146, '2nd Qtr'!E146, '3rd Qtr'!E146, '4th Qtr'!E146)</f>
        <v>4773198.3279999997</v>
      </c>
      <c r="F146" s="14">
        <f t="shared" si="6"/>
        <v>-276764.32799999975</v>
      </c>
      <c r="G146" s="15">
        <f t="shared" si="7"/>
        <v>-5.7982993578221113E-2</v>
      </c>
      <c r="H146" s="16">
        <f>SUM('1st Qtr'!H146,'2nd Qtr'!H146,'3rd Qtr'!H146,'4th Qtr'!H146)</f>
        <v>1799535</v>
      </c>
      <c r="I146" s="16">
        <f>SUM('1st Qtr'!I146, '2nd Qtr'!I146, '3rd Qtr'!I146, '4th Qtr'!I146)</f>
        <v>2292440</v>
      </c>
      <c r="J146" s="15">
        <f t="shared" si="8"/>
        <v>1.2739068703859608</v>
      </c>
    </row>
    <row r="147" spans="1:10" ht="15.6">
      <c r="A147" s="24" t="str">
        <v>X018</v>
      </c>
      <c r="B147" s="25" t="str">
        <v>NY</v>
      </c>
      <c r="C147" s="25" t="str">
        <f>Sites[[#This Row],[SOL'#]]</f>
        <v>SOL-10418</v>
      </c>
      <c r="D147" s="20">
        <f>SUM('1st Qtr'!D147,'2nd Qtr'!D147,'3rd Qtr'!D147,'4th Qtr'!D147)</f>
        <v>154259.68549999999</v>
      </c>
      <c r="E147" s="10">
        <f>SUM('1st Qtr'!E147, '2nd Qtr'!E147, '3rd Qtr'!E147, '4th Qtr'!E147)</f>
        <v>142775.43099999998</v>
      </c>
      <c r="F147" s="10">
        <f t="shared" si="6"/>
        <v>11484.25450000001</v>
      </c>
      <c r="G147" s="11">
        <f t="shared" si="7"/>
        <v>8.043578940413082E-2</v>
      </c>
      <c r="H147" s="12">
        <f>SUM('1st Qtr'!H147,'2nd Qtr'!H147,'3rd Qtr'!H147,'4th Qtr'!H147)</f>
        <v>172924.5</v>
      </c>
      <c r="I147" s="12">
        <f>SUM('1st Qtr'!I147, '2nd Qtr'!I147, '3rd Qtr'!I147, '4th Qtr'!I147)</f>
        <v>-18664.8145</v>
      </c>
      <c r="J147" s="13">
        <f t="shared" si="8"/>
        <v>-0.10793620626342711</v>
      </c>
    </row>
    <row r="148" spans="1:10" ht="15.6">
      <c r="A148" s="26" t="str">
        <v>Janiak Solar</v>
      </c>
      <c r="B148" s="27" t="str">
        <v>NY</v>
      </c>
      <c r="C148" s="27" t="str">
        <f>Sites[[#This Row],[SOL'#]]</f>
        <v>SOL-10898</v>
      </c>
      <c r="D148" s="9">
        <f>SUM('1st Qtr'!D148,'2nd Qtr'!D148,'3rd Qtr'!D148,'4th Qtr'!D148)</f>
        <v>3517968.6440170314</v>
      </c>
      <c r="E148" s="14">
        <f>SUM('1st Qtr'!E148, '2nd Qtr'!E148, '3rd Qtr'!E148, '4th Qtr'!E148)</f>
        <v>3866737.2209999999</v>
      </c>
      <c r="F148" s="14">
        <f t="shared" si="6"/>
        <v>-348768.57698296849</v>
      </c>
      <c r="G148" s="15">
        <f t="shared" si="7"/>
        <v>-9.0197124099571313E-2</v>
      </c>
      <c r="H148" s="16">
        <f>SUM('1st Qtr'!H148,'2nd Qtr'!H148,'3rd Qtr'!H148,'4th Qtr'!H148)</f>
        <v>3881732.0690000001</v>
      </c>
      <c r="I148" s="16">
        <f>SUM('1st Qtr'!I148, '2nd Qtr'!I148, '3rd Qtr'!I148, '4th Qtr'!I148)</f>
        <v>-363763.42498296901</v>
      </c>
      <c r="J148" s="15">
        <f t="shared" si="8"/>
        <v>-9.3711626283542182E-2</v>
      </c>
    </row>
    <row r="149" spans="1:10" ht="15.6">
      <c r="A149" s="24" t="str">
        <v>County Route 11B</v>
      </c>
      <c r="B149" s="25" t="str">
        <v>NY</v>
      </c>
      <c r="C149" s="25" t="str">
        <f>Sites[[#This Row],[SOL'#]]</f>
        <v>SOL-10983</v>
      </c>
      <c r="D149" s="20">
        <f>SUM('1st Qtr'!D149,'2nd Qtr'!D149,'3rd Qtr'!D149,'4th Qtr'!D149)</f>
        <v>8209060.2599999998</v>
      </c>
      <c r="E149" s="10">
        <f>SUM('1st Qtr'!E149, '2nd Qtr'!E149, '3rd Qtr'!E149, '4th Qtr'!E149)</f>
        <v>5187801.2699999996</v>
      </c>
      <c r="F149" s="10">
        <f t="shared" si="6"/>
        <v>3021258.99</v>
      </c>
      <c r="G149" s="11">
        <f t="shared" si="7"/>
        <v>0.58237754932351149</v>
      </c>
      <c r="H149" s="12">
        <f>SUM('1st Qtr'!H149,'2nd Qtr'!H149,'3rd Qtr'!H149,'4th Qtr'!H149)</f>
        <v>0</v>
      </c>
      <c r="I149" s="12">
        <f>SUM('1st Qtr'!I149, '2nd Qtr'!I149, '3rd Qtr'!I149, '4th Qtr'!I149)</f>
        <v>1581049</v>
      </c>
      <c r="J149" s="13" t="str">
        <f t="shared" si="8"/>
        <v/>
      </c>
    </row>
    <row r="150" spans="1:10" ht="15.6">
      <c r="A150" s="26" t="str">
        <v>Barone</v>
      </c>
      <c r="B150" s="27" t="str">
        <v>NY</v>
      </c>
      <c r="C150" s="27" t="str">
        <f>Sites[[#This Row],[SOL'#]]</f>
        <v>SOL-11034</v>
      </c>
      <c r="D150" s="9">
        <f>SUM('1st Qtr'!D150,'2nd Qtr'!D150,'3rd Qtr'!D150,'4th Qtr'!D150)</f>
        <v>5149109</v>
      </c>
      <c r="E150" s="14">
        <f>SUM('1st Qtr'!E150, '2nd Qtr'!E150, '3rd Qtr'!E150, '4th Qtr'!E150)</f>
        <v>2808677</v>
      </c>
      <c r="F150" s="14">
        <f t="shared" si="6"/>
        <v>2340432</v>
      </c>
      <c r="G150" s="15">
        <f t="shared" si="7"/>
        <v>0.83328627677728695</v>
      </c>
      <c r="H150" s="16">
        <f>SUM('1st Qtr'!H150,'2nd Qtr'!H150,'3rd Qtr'!H150,'4th Qtr'!H150)</f>
        <v>5450743.2000000002</v>
      </c>
      <c r="I150" s="16">
        <f>SUM('1st Qtr'!I150, '2nd Qtr'!I150, '3rd Qtr'!I150, '4th Qtr'!I150)</f>
        <v>-301634.19999999995</v>
      </c>
      <c r="J150" s="15">
        <f t="shared" si="8"/>
        <v>-5.5338178470781735E-2</v>
      </c>
    </row>
    <row r="151" spans="1:10" ht="15.6">
      <c r="A151" s="24" t="str">
        <v>Cedarville</v>
      </c>
      <c r="B151" s="25" t="str">
        <v>IL</v>
      </c>
      <c r="C151" s="25" t="str">
        <f>Sites[[#This Row],[SOL'#]]</f>
        <v>SOL-11069</v>
      </c>
      <c r="D151" s="20">
        <f>SUM('1st Qtr'!D151,'2nd Qtr'!D151,'3rd Qtr'!D151,'4th Qtr'!D151)</f>
        <v>3811366</v>
      </c>
      <c r="E151" s="10">
        <f>SUM('1st Qtr'!E151, '2nd Qtr'!E151, '3rd Qtr'!E151, '4th Qtr'!E151)</f>
        <v>3863020.8389999997</v>
      </c>
      <c r="F151" s="10">
        <f t="shared" si="6"/>
        <v>-51654.838999999687</v>
      </c>
      <c r="G151" s="11">
        <f t="shared" si="7"/>
        <v>-1.3371618003844709E-2</v>
      </c>
      <c r="H151" s="12">
        <f>SUM('1st Qtr'!H151,'2nd Qtr'!H151,'3rd Qtr'!H151,'4th Qtr'!H151)</f>
        <v>4407139.6399999997</v>
      </c>
      <c r="I151" s="12">
        <f>SUM('1st Qtr'!I151, '2nd Qtr'!I151, '3rd Qtr'!I151, '4th Qtr'!I151)</f>
        <v>-595773.6399999999</v>
      </c>
      <c r="J151" s="13">
        <f t="shared" si="8"/>
        <v>-0.13518374471111605</v>
      </c>
    </row>
    <row r="152" spans="1:10" ht="15.6">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6">
      <c r="A153" s="24" t="str">
        <v xml:space="preserve"> O'Brien Hill #2</v>
      </c>
      <c r="B153" s="25" t="str">
        <v>NY</v>
      </c>
      <c r="C153" s="25" t="str">
        <f>Sites[[#This Row],[SOL'#]]</f>
        <v>SOL-11099</v>
      </c>
      <c r="D153" s="20">
        <f>SUM('1st Qtr'!D153,'2nd Qtr'!D153,'3rd Qtr'!D153,'4th Qtr'!D153)</f>
        <v>6598770.0600000005</v>
      </c>
      <c r="E153" s="10">
        <f>SUM('1st Qtr'!E153, '2nd Qtr'!E153, '3rd Qtr'!E153, '4th Qtr'!E153)</f>
        <v>4259176</v>
      </c>
      <c r="F153" s="10">
        <f t="shared" si="6"/>
        <v>2339594.0600000005</v>
      </c>
      <c r="G153" s="11">
        <f t="shared" si="7"/>
        <v>0.54930673444816569</v>
      </c>
      <c r="H153" s="12">
        <f>SUM('1st Qtr'!H153,'2nd Qtr'!H153,'3rd Qtr'!H153,'4th Qtr'!H153)</f>
        <v>288848</v>
      </c>
      <c r="I153" s="12">
        <f>SUM('1st Qtr'!I153, '2nd Qtr'!I153, '3rd Qtr'!I153, '4th Qtr'!I153)</f>
        <v>656879</v>
      </c>
      <c r="J153" s="13">
        <f t="shared" si="8"/>
        <v>2.2741338004763749</v>
      </c>
    </row>
    <row r="154" spans="1:10" ht="15.6">
      <c r="A154" s="26" t="str">
        <v>Trinity - Freeport</v>
      </c>
      <c r="B154" s="27" t="str">
        <v>IL</v>
      </c>
      <c r="C154" s="27" t="str">
        <f>Sites[[#This Row],[SOL'#]]</f>
        <v>SOL-11057</v>
      </c>
      <c r="D154" s="9">
        <f>SUM('1st Qtr'!D154,'2nd Qtr'!D154,'3rd Qtr'!D154,'4th Qtr'!D154)</f>
        <v>3749896</v>
      </c>
      <c r="E154" s="14">
        <f>SUM('1st Qtr'!E154, '2nd Qtr'!E154, '3rd Qtr'!E154, '4th Qtr'!E154)</f>
        <v>3678317.8279999997</v>
      </c>
      <c r="F154" s="14">
        <f t="shared" si="6"/>
        <v>71578.172000000253</v>
      </c>
      <c r="G154" s="15">
        <f t="shared" si="7"/>
        <v>1.9459485380826709E-2</v>
      </c>
      <c r="H154" s="16">
        <f>SUM('1st Qtr'!H154,'2nd Qtr'!H154,'3rd Qtr'!H154,'4th Qtr'!H154)</f>
        <v>3210551.5</v>
      </c>
      <c r="I154" s="16">
        <f>SUM('1st Qtr'!I154, '2nd Qtr'!I154, '3rd Qtr'!I154, '4th Qtr'!I154)</f>
        <v>147402.5</v>
      </c>
      <c r="J154" s="15">
        <f t="shared" si="8"/>
        <v>4.5911893953422024E-2</v>
      </c>
    </row>
    <row r="155" spans="1:10" ht="15.6">
      <c r="A155" s="24" t="str">
        <v>Ransom</v>
      </c>
      <c r="B155" s="25" t="str">
        <v>NY</v>
      </c>
      <c r="C155" s="25" t="str">
        <f>Sites[[#This Row],[SOL'#]]</f>
        <v>SOL-11157</v>
      </c>
      <c r="D155" s="20">
        <f>SUM('1st Qtr'!D155,'2nd Qtr'!D155,'3rd Qtr'!D155,'4th Qtr'!D155)</f>
        <v>6327600.5</v>
      </c>
      <c r="E155" s="10">
        <f>SUM('1st Qtr'!E155, '2nd Qtr'!E155, '3rd Qtr'!E155, '4th Qtr'!E155)</f>
        <v>4066944</v>
      </c>
      <c r="F155" s="10">
        <f t="shared" si="6"/>
        <v>2260656.5</v>
      </c>
      <c r="G155" s="11">
        <f t="shared" si="7"/>
        <v>0.55586123143077459</v>
      </c>
      <c r="H155" s="12">
        <f>SUM('1st Qtr'!H155,'2nd Qtr'!H155,'3rd Qtr'!H155,'4th Qtr'!H155)</f>
        <v>326042</v>
      </c>
      <c r="I155" s="12">
        <f>SUM('1st Qtr'!I155, '2nd Qtr'!I155, '3rd Qtr'!I155, '4th Qtr'!I155)</f>
        <v>404070.69999999995</v>
      </c>
      <c r="J155" s="13">
        <f t="shared" si="8"/>
        <v>1.2393210077229313</v>
      </c>
    </row>
    <row r="156" spans="1:10" ht="15.6">
      <c r="A156" s="26" t="str">
        <v>Horseheads - Wedge</v>
      </c>
      <c r="B156" s="27" t="str">
        <v>NY</v>
      </c>
      <c r="C156" s="27" t="str">
        <f>Sites[[#This Row],[SOL'#]]</f>
        <v>SOL-11160</v>
      </c>
      <c r="D156" s="9">
        <f>SUM('1st Qtr'!D156,'2nd Qtr'!D156,'3rd Qtr'!D156,'4th Qtr'!D156)</f>
        <v>4260669</v>
      </c>
      <c r="E156" s="14">
        <f>SUM('1st Qtr'!E156, '2nd Qtr'!E156, '3rd Qtr'!E156, '4th Qtr'!E156)</f>
        <v>2698731</v>
      </c>
      <c r="F156" s="14">
        <f t="shared" si="6"/>
        <v>1561938</v>
      </c>
      <c r="G156" s="15">
        <f t="shared" si="7"/>
        <v>0.57876757631642428</v>
      </c>
      <c r="H156" s="16">
        <f>SUM('1st Qtr'!H156,'2nd Qtr'!H156,'3rd Qtr'!H156,'4th Qtr'!H156)</f>
        <v>344639</v>
      </c>
      <c r="I156" s="16">
        <f>SUM('1st Qtr'!I156, '2nd Qtr'!I156, '3rd Qtr'!I156, '4th Qtr'!I156)</f>
        <v>171594</v>
      </c>
      <c r="J156" s="15">
        <f t="shared" si="8"/>
        <v>0.49789489872011</v>
      </c>
    </row>
    <row r="157" spans="1:10" ht="15.6">
      <c r="A157" s="24" t="str">
        <v>Otisville - Shoddy Hollow</v>
      </c>
      <c r="B157" s="25" t="str">
        <v>NY</v>
      </c>
      <c r="C157" s="25" t="str">
        <f>Sites[[#This Row],[SOL'#]]</f>
        <v>SOL-11185</v>
      </c>
      <c r="D157" s="20">
        <f>SUM('1st Qtr'!D157,'2nd Qtr'!D157,'3rd Qtr'!D157,'4th Qtr'!D157)</f>
        <v>7293597.7999999998</v>
      </c>
      <c r="E157" s="10">
        <f>SUM('1st Qtr'!E157, '2nd Qtr'!E157, '3rd Qtr'!E157, '4th Qtr'!E157)</f>
        <v>4645686</v>
      </c>
      <c r="F157" s="10">
        <f t="shared" si="6"/>
        <v>2647911.7999999998</v>
      </c>
      <c r="G157" s="11">
        <f t="shared" si="7"/>
        <v>0.56997218494749746</v>
      </c>
      <c r="H157" s="12">
        <f>SUM('1st Qtr'!H157,'2nd Qtr'!H157,'3rd Qtr'!H157,'4th Qtr'!H157)</f>
        <v>363236</v>
      </c>
      <c r="I157" s="12">
        <f>SUM('1st Qtr'!I157, '2nd Qtr'!I157, '3rd Qtr'!I157, '4th Qtr'!I157)</f>
        <v>580678.69999999995</v>
      </c>
      <c r="J157" s="13">
        <f t="shared" si="8"/>
        <v>1.5986265127905823</v>
      </c>
    </row>
    <row r="158" spans="1:10" ht="15.6">
      <c r="A158" s="26" t="str">
        <v>Wellsville - Chenunda Creek</v>
      </c>
      <c r="B158" s="27" t="str">
        <v>NY</v>
      </c>
      <c r="C158" s="27" t="str">
        <f>Sites[[#This Row],[SOL'#]]</f>
        <v>SOL-11187</v>
      </c>
      <c r="D158" s="9">
        <f>SUM('1st Qtr'!D158,'2nd Qtr'!D158,'3rd Qtr'!D158,'4th Qtr'!D158)</f>
        <v>3542668.7</v>
      </c>
      <c r="E158" s="14">
        <f>SUM('1st Qtr'!E158, '2nd Qtr'!E158, '3rd Qtr'!E158, '4th Qtr'!E158)</f>
        <v>2158196</v>
      </c>
      <c r="F158" s="14">
        <f t="shared" ref="F158:F172" si="9">IF(AND(ISNUMBER(D158),ISNUMBER(E158)), D158-E158, "")</f>
        <v>1384472.7000000002</v>
      </c>
      <c r="G158" s="15">
        <f t="shared" ref="G158:G172" si="10">IFERROR(F158/E158, "")</f>
        <v>0.64149535074664221</v>
      </c>
      <c r="H158" s="16">
        <f>SUM('1st Qtr'!H158,'2nd Qtr'!H158,'3rd Qtr'!H158,'4th Qtr'!H158)</f>
        <v>381833</v>
      </c>
      <c r="I158" s="16">
        <f>SUM('1st Qtr'!I158, '2nd Qtr'!I158, '3rd Qtr'!I158, '4th Qtr'!I158)</f>
        <v>167439.79999999999</v>
      </c>
      <c r="J158" s="15">
        <f t="shared" ref="J158:J164" si="11">IFERROR(I158/H158, "")</f>
        <v>0.43851579093478038</v>
      </c>
    </row>
    <row r="159" spans="1:10" ht="15.6">
      <c r="A159" s="24" t="str">
        <v>DC: Washington - Essex Condominium</v>
      </c>
      <c r="B159" s="25" t="str">
        <v>DC</v>
      </c>
      <c r="C159" s="25" t="str">
        <f>Sites[[#This Row],[SOL'#]]</f>
        <v>SOL-10036</v>
      </c>
      <c r="D159" s="54">
        <f>SUM('1st Qtr'!D159,'2nd Qtr'!D159,'3rd Qtr'!D159,'4th Qtr'!D159)</f>
        <v>36282.957999999999</v>
      </c>
      <c r="E159" s="10">
        <f>SUM('1st Qtr'!E159, '2nd Qtr'!E159, '3rd Qtr'!E159, '4th Qtr'!E159)</f>
        <v>46050.902000000002</v>
      </c>
      <c r="F159" s="10">
        <f t="shared" si="9"/>
        <v>-9767.9440000000031</v>
      </c>
      <c r="G159" s="55">
        <f t="shared" si="10"/>
        <v>-0.21211189305260519</v>
      </c>
      <c r="H159" s="67">
        <f>SUM('1st Qtr'!H159,'2nd Qtr'!H159,'3rd Qtr'!H159,'4th Qtr'!H159)</f>
        <v>46149.917000000001</v>
      </c>
      <c r="I159" s="67">
        <f>SUM('1st Qtr'!I159, '2nd Qtr'!I159, '3rd Qtr'!I159, '4th Qtr'!I159)</f>
        <v>-10275.917000000001</v>
      </c>
      <c r="J159" s="64">
        <f t="shared" si="11"/>
        <v>-0.22266382407578331</v>
      </c>
    </row>
    <row r="160" spans="1:10" ht="15.6">
      <c r="A160" s="26" t="str">
        <v>HI: Waipahu - 94-246 Leoku St - E.F.G.</v>
      </c>
      <c r="B160" s="27" t="str">
        <v>HI</v>
      </c>
      <c r="C160" s="27" t="str">
        <f>Sites[[#This Row],[SOL'#]]</f>
        <v>SOL-10071</v>
      </c>
      <c r="D160" s="66">
        <f>SUM('1st Qtr'!D160,'2nd Qtr'!D160,'3rd Qtr'!D160,'4th Qtr'!D160)</f>
        <v>100599.02900000001</v>
      </c>
      <c r="E160" s="14">
        <f>SUM('1st Qtr'!E160, '2nd Qtr'!E160, '3rd Qtr'!E160, '4th Qtr'!E160)</f>
        <v>128796.98800000001</v>
      </c>
      <c r="F160" s="14">
        <f t="shared" si="9"/>
        <v>-28197.959000000003</v>
      </c>
      <c r="G160" s="68">
        <f t="shared" si="10"/>
        <v>-0.21893337288291245</v>
      </c>
      <c r="H160" s="69">
        <f>SUM('1st Qtr'!H160,'2nd Qtr'!H160,'3rd Qtr'!H160,'4th Qtr'!H160)</f>
        <v>140960.39000000001</v>
      </c>
      <c r="I160" s="69">
        <f>SUM('1st Qtr'!I160, '2nd Qtr'!I160, '3rd Qtr'!I160, '4th Qtr'!I160)</f>
        <v>-40361.361000000004</v>
      </c>
      <c r="J160" s="68">
        <f t="shared" si="11"/>
        <v>-0.28633122397008126</v>
      </c>
    </row>
    <row r="161" spans="1:10" ht="15.6">
      <c r="A161" s="24" t="str">
        <v>HI: Waipahu - 94-099 Waipahu St - PV</v>
      </c>
      <c r="B161" s="25" t="str">
        <v>HI</v>
      </c>
      <c r="C161" s="25" t="str">
        <f>Sites[[#This Row],[SOL'#]]</f>
        <v>SOL-10068</v>
      </c>
      <c r="D161" s="54">
        <f>SUM('1st Qtr'!D161,'2nd Qtr'!D161,'3rd Qtr'!D161,'4th Qtr'!D161)</f>
        <v>147891</v>
      </c>
      <c r="E161" s="10">
        <f>SUM('1st Qtr'!E161, '2nd Qtr'!E161, '3rd Qtr'!E161, '4th Qtr'!E161)</f>
        <v>117543.45000000001</v>
      </c>
      <c r="F161" s="10">
        <f t="shared" si="9"/>
        <v>30347.549999999988</v>
      </c>
      <c r="G161" s="55">
        <f t="shared" si="10"/>
        <v>0.2581815490356969</v>
      </c>
      <c r="H161" s="67">
        <f>SUM('1st Qtr'!H161,'2nd Qtr'!H161,'3rd Qtr'!H161,'4th Qtr'!H161)</f>
        <v>140891.21</v>
      </c>
      <c r="I161" s="67">
        <f>SUM('1st Qtr'!I161, '2nd Qtr'!I161, '3rd Qtr'!I161, '4th Qtr'!I161)</f>
        <v>6999.7900000000009</v>
      </c>
      <c r="J161" s="64">
        <f t="shared" si="11"/>
        <v>4.9682233547429976E-2</v>
      </c>
    </row>
    <row r="162" spans="1:10" ht="15.6">
      <c r="A162" s="26" t="str">
        <v>IL: Prophetstown - 5170 Yager Road (PW)</v>
      </c>
      <c r="B162" s="27" t="str">
        <v>IL</v>
      </c>
      <c r="C162" s="27" t="str">
        <f>Sites[[#This Row],[SOL'#]]</f>
        <v>SOL-11149</v>
      </c>
      <c r="D162" s="66">
        <f>SUM('1st Qtr'!D162,'2nd Qtr'!D162,'3rd Qtr'!D162,'4th Qtr'!D162)</f>
        <v>1273953</v>
      </c>
      <c r="E162" s="14">
        <f>SUM('1st Qtr'!E162, '2nd Qtr'!E162, '3rd Qtr'!E162, '4th Qtr'!E162)</f>
        <v>1562552.4189999998</v>
      </c>
      <c r="F162" s="14">
        <f t="shared" si="9"/>
        <v>-288599.41899999976</v>
      </c>
      <c r="G162" s="68">
        <f t="shared" si="10"/>
        <v>-0.18469743190100288</v>
      </c>
      <c r="H162" s="69">
        <f>SUM('1st Qtr'!H162,'2nd Qtr'!H162,'3rd Qtr'!H162,'4th Qtr'!H162)</f>
        <v>1763065.26</v>
      </c>
      <c r="I162" s="69">
        <f>SUM('1st Qtr'!I162, '2nd Qtr'!I162, '3rd Qtr'!I162, '4th Qtr'!I162)</f>
        <v>-489112.25999999995</v>
      </c>
      <c r="J162" s="68">
        <f t="shared" si="11"/>
        <v>-0.2774215289115276</v>
      </c>
    </row>
    <row r="163" spans="1:10" ht="15.6">
      <c r="A163" s="24" t="str">
        <v>IL: Viola - Goldenrod - (PW)</v>
      </c>
      <c r="B163" s="25" t="str">
        <v>IL</v>
      </c>
      <c r="C163" s="25" t="str">
        <f>Sites[[#This Row],[SOL'#]]</f>
        <v>SOL-11132</v>
      </c>
      <c r="D163" s="54">
        <f>SUM('1st Qtr'!D163,'2nd Qtr'!D163,'3rd Qtr'!D163,'4th Qtr'!D163)</f>
        <v>3662492.7765000002</v>
      </c>
      <c r="E163" s="10">
        <f>SUM('1st Qtr'!E163, '2nd Qtr'!E163, '3rd Qtr'!E163, '4th Qtr'!E163)</f>
        <v>3899251.9299999997</v>
      </c>
      <c r="F163" s="10">
        <f t="shared" si="9"/>
        <v>-236759.15349999955</v>
      </c>
      <c r="G163" s="55">
        <f t="shared" si="10"/>
        <v>-6.0719121962452827E-2</v>
      </c>
      <c r="H163" s="67">
        <f>SUM('1st Qtr'!H163,'2nd Qtr'!H163,'3rd Qtr'!H163,'4th Qtr'!H163)</f>
        <v>4245917.7</v>
      </c>
      <c r="I163" s="67">
        <f>SUM('1st Qtr'!I163, '2nd Qtr'!I163, '3rd Qtr'!I163, '4th Qtr'!I163)</f>
        <v>-583424.92349999992</v>
      </c>
      <c r="J163" s="64">
        <f t="shared" si="11"/>
        <v>-0.1374084390519392</v>
      </c>
    </row>
    <row r="164" spans="1:10" ht="15.6">
      <c r="A164" s="26" t="str">
        <v>IL: Marengo - Grant - (PW)</v>
      </c>
      <c r="B164" s="27" t="str">
        <v>IL</v>
      </c>
      <c r="C164" s="27" t="str">
        <f>Sites[[#This Row],[SOL'#]]</f>
        <v>SOL-11147</v>
      </c>
      <c r="D164" s="66">
        <f>SUM('1st Qtr'!D164,'2nd Qtr'!D164,'3rd Qtr'!D164,'4th Qtr'!D164)</f>
        <v>1656496</v>
      </c>
      <c r="E164" s="14">
        <f>SUM('1st Qtr'!E164, '2nd Qtr'!E164, '3rd Qtr'!E164, '4th Qtr'!E164)</f>
        <v>846354.67299999995</v>
      </c>
      <c r="F164" s="14">
        <f t="shared" si="9"/>
        <v>810141.32700000005</v>
      </c>
      <c r="G164" s="68">
        <f t="shared" si="10"/>
        <v>0.9572125644776821</v>
      </c>
      <c r="H164" s="69">
        <f>SUM('1st Qtr'!H164,'2nd Qtr'!H164,'3rd Qtr'!H164,'4th Qtr'!H164)</f>
        <v>1738422.58</v>
      </c>
      <c r="I164" s="69">
        <f>SUM('1st Qtr'!I164, '2nd Qtr'!I164, '3rd Qtr'!I164, '4th Qtr'!I164)</f>
        <v>-81926.580000000016</v>
      </c>
      <c r="J164" s="68">
        <f t="shared" si="11"/>
        <v>-4.7126964952330527E-2</v>
      </c>
    </row>
    <row r="165" spans="1:10" ht="15.6">
      <c r="A165" s="24" t="str">
        <v>NY: Cambridge - Cambridge (PW)</v>
      </c>
      <c r="B165" s="25" t="str">
        <v>NY</v>
      </c>
      <c r="C165" s="25" t="str">
        <f>Sites[[#This Row],[SOL'#]]</f>
        <v>SOL-11126</v>
      </c>
      <c r="D165" s="54">
        <f>SUM('1st Qtr'!D165,'2nd Qtr'!D165,'3rd Qtr'!D165,'4th Qtr'!D165)</f>
        <v>1704508.8292</v>
      </c>
      <c r="E165" s="10">
        <f>SUM('1st Qtr'!E165, '2nd Qtr'!E165, '3rd Qtr'!E165, '4th Qtr'!E165)</f>
        <v>2285371.48</v>
      </c>
      <c r="F165" s="10">
        <f t="shared" ref="F165:F173" si="12">IF(AND(ISNUMBER(D165),ISNUMBER(E165)), D165-E165, "")</f>
        <v>-580862.65079999994</v>
      </c>
      <c r="G165" s="55">
        <f t="shared" ref="G165:G173" si="13">IFERROR(F165/E165, "")</f>
        <v>-0.2541655288356009</v>
      </c>
      <c r="H165" s="67">
        <f>SUM('1st Qtr'!H165,'2nd Qtr'!H165,'3rd Qtr'!H165,'4th Qtr'!H165)</f>
        <v>2326721.5</v>
      </c>
      <c r="I165" s="67">
        <f>SUM('1st Qtr'!I165, '2nd Qtr'!I165, '3rd Qtr'!I165, '4th Qtr'!I165)</f>
        <v>-643001.40079999994</v>
      </c>
      <c r="J165" s="64">
        <f t="shared" ref="J165:J166" si="14">IFERROR(I165/H165, "")</f>
        <v>-0.27635512062788775</v>
      </c>
    </row>
    <row r="166" spans="1:10" ht="15.6">
      <c r="A166" s="26" t="str">
        <v>NY: Whitesville - Independence North</v>
      </c>
      <c r="B166" s="27" t="str">
        <v>NY</v>
      </c>
      <c r="C166" s="27" t="str">
        <f>Sites[[#This Row],[SOL'#]]</f>
        <v>SOL-11186</v>
      </c>
      <c r="D166" s="66">
        <f>SUM('1st Qtr'!D166,'2nd Qtr'!D166,'3rd Qtr'!D166,'4th Qtr'!D166)</f>
        <v>1753873</v>
      </c>
      <c r="E166" s="14">
        <f>SUM('1st Qtr'!E166, '2nd Qtr'!E166, '3rd Qtr'!E166, '4th Qtr'!E166)</f>
        <v>0</v>
      </c>
      <c r="F166" s="14">
        <f t="shared" si="9"/>
        <v>1753873</v>
      </c>
      <c r="G166" s="68" t="str">
        <f t="shared" si="10"/>
        <v/>
      </c>
      <c r="H166" s="69">
        <f>SUM('1st Qtr'!H166,'2nd Qtr'!H166,'3rd Qtr'!H166,'4th Qtr'!H166)</f>
        <v>0</v>
      </c>
      <c r="I166" s="69">
        <f>SUM('1st Qtr'!I166, '2nd Qtr'!I166, '3rd Qtr'!I166, '4th Qtr'!I166)</f>
        <v>0</v>
      </c>
      <c r="J166" s="68" t="str">
        <f t="shared" si="14"/>
        <v/>
      </c>
    </row>
    <row r="167" spans="1:10" ht="15.6">
      <c r="A167" s="24" t="str">
        <v>IL: Beecher - Cottage Grove North (PW)</v>
      </c>
      <c r="B167" s="25" t="str">
        <v>IL</v>
      </c>
      <c r="C167" s="25" t="str">
        <f>Sites[[#This Row],[SOL'#]]</f>
        <v>SOL-11114</v>
      </c>
      <c r="D167" s="54">
        <f>SUM('1st Qtr'!D167,'2nd Qtr'!D167,'3rd Qtr'!D167,'4th Qtr'!D167)</f>
        <v>712474</v>
      </c>
      <c r="E167" s="10">
        <f>SUM('1st Qtr'!E167, '2nd Qtr'!E167, '3rd Qtr'!E167, '4th Qtr'!E167)</f>
        <v>757794.9</v>
      </c>
      <c r="F167" s="10">
        <f t="shared" si="12"/>
        <v>-45320.900000000023</v>
      </c>
      <c r="G167" s="55">
        <f t="shared" si="13"/>
        <v>-5.9806287954695947E-2</v>
      </c>
      <c r="H167" s="67">
        <f>SUM('1st Qtr'!H167,'2nd Qtr'!H167,'3rd Qtr'!H167,'4th Qtr'!H167)</f>
        <v>753184</v>
      </c>
      <c r="I167" s="67">
        <f>SUM('1st Qtr'!I167, '2nd Qtr'!I167, '3rd Qtr'!I167, '4th Qtr'!I167)</f>
        <v>-40710</v>
      </c>
      <c r="J167" s="64">
        <f t="shared" ref="J167:J173" si="15">IFERROR(I167/H167, "")</f>
        <v>-5.4050537451671835E-2</v>
      </c>
    </row>
    <row r="168" spans="1:10" ht="15.6">
      <c r="A168" s="26" t="str">
        <v>IL: Beecher - Cottage Grove South (PW)</v>
      </c>
      <c r="B168" s="27" t="str">
        <v>IL</v>
      </c>
      <c r="C168" s="27" t="str">
        <f>Sites[[#This Row],[SOL'#]]</f>
        <v>SOL-11115</v>
      </c>
      <c r="D168" s="66">
        <f>SUM('1st Qtr'!D168,'2nd Qtr'!D168,'3rd Qtr'!D168,'4th Qtr'!D168)</f>
        <v>734767</v>
      </c>
      <c r="E168" s="14">
        <f>SUM('1st Qtr'!E168, '2nd Qtr'!E168, '3rd Qtr'!E168, '4th Qtr'!E168)</f>
        <v>955373.90000000014</v>
      </c>
      <c r="F168" s="14">
        <f t="shared" si="9"/>
        <v>-220606.90000000014</v>
      </c>
      <c r="G168" s="68">
        <f t="shared" si="10"/>
        <v>-0.23091158341252582</v>
      </c>
      <c r="H168" s="69">
        <f>SUM('1st Qtr'!H168,'2nd Qtr'!H168,'3rd Qtr'!H168,'4th Qtr'!H168)</f>
        <v>706289</v>
      </c>
      <c r="I168" s="69">
        <f>SUM('1st Qtr'!I168, '2nd Qtr'!I168, '3rd Qtr'!I168, '4th Qtr'!I168)</f>
        <v>28478</v>
      </c>
      <c r="J168" s="68">
        <f t="shared" si="15"/>
        <v>4.0320605304627423E-2</v>
      </c>
    </row>
    <row r="169" spans="1:10" ht="15.6">
      <c r="A169" s="24" t="str">
        <v>IL: Harvard - 9618 US HWY 14 (PW)</v>
      </c>
      <c r="B169" s="25" t="str">
        <v>IL</v>
      </c>
      <c r="C169" s="25" t="str">
        <f>Sites[[#This Row],[SOL'#]]</f>
        <v>SOL-11110</v>
      </c>
      <c r="D169" s="54">
        <f>SUM('1st Qtr'!D169,'2nd Qtr'!D169,'3rd Qtr'!D169,'4th Qtr'!D169)</f>
        <v>636487</v>
      </c>
      <c r="E169" s="10">
        <f>SUM('1st Qtr'!E169, '2nd Qtr'!E169, '3rd Qtr'!E169, '4th Qtr'!E169)</f>
        <v>1171509.3</v>
      </c>
      <c r="F169" s="10">
        <f t="shared" si="12"/>
        <v>-535022.30000000005</v>
      </c>
      <c r="G169" s="55">
        <f t="shared" si="13"/>
        <v>-0.45669488069791681</v>
      </c>
      <c r="H169" s="67">
        <f>SUM('1st Qtr'!H169,'2nd Qtr'!H169,'3rd Qtr'!H169,'4th Qtr'!H169)</f>
        <v>604106</v>
      </c>
      <c r="I169" s="67">
        <f>SUM('1st Qtr'!I169, '2nd Qtr'!I169, '3rd Qtr'!I169, '4th Qtr'!I169)</f>
        <v>32381</v>
      </c>
      <c r="J169" s="64">
        <f t="shared" si="15"/>
        <v>5.3601520263000205E-2</v>
      </c>
    </row>
    <row r="170" spans="1:10" ht="15.6">
      <c r="A170" s="26" t="str">
        <v>IL: Beecher - 701 E Goodenow Rd (PW)</v>
      </c>
      <c r="B170" s="27" t="str">
        <v>IL</v>
      </c>
      <c r="C170" s="27" t="str">
        <f>Sites[[#This Row],[SOL'#]]</f>
        <v>SOL-11112</v>
      </c>
      <c r="D170" s="66">
        <f>SUM('1st Qtr'!D170,'2nd Qtr'!D170,'3rd Qtr'!D170,'4th Qtr'!D170)</f>
        <v>714603</v>
      </c>
      <c r="E170" s="14">
        <f>SUM('1st Qtr'!E170, '2nd Qtr'!E170, '3rd Qtr'!E170, '4th Qtr'!E170)</f>
        <v>824791.60000000009</v>
      </c>
      <c r="F170" s="14">
        <f t="shared" si="9"/>
        <v>-110188.60000000009</v>
      </c>
      <c r="G170" s="68">
        <f t="shared" si="10"/>
        <v>-0.13359568647401365</v>
      </c>
      <c r="H170" s="69">
        <f>SUM('1st Qtr'!H170,'2nd Qtr'!H170,'3rd Qtr'!H170,'4th Qtr'!H170)</f>
        <v>629174.5</v>
      </c>
      <c r="I170" s="69">
        <f>SUM('1st Qtr'!I170, '2nd Qtr'!I170, '3rd Qtr'!I170, '4th Qtr'!I170)</f>
        <v>85428.5</v>
      </c>
      <c r="J170" s="68">
        <f t="shared" si="15"/>
        <v>0.13577870686113311</v>
      </c>
    </row>
    <row r="171" spans="1:10" ht="15.6">
      <c r="A171" s="24" t="str">
        <v>NY: Stormville - Green Haven - (IRA)</v>
      </c>
      <c r="B171" s="25" t="str">
        <v>NY</v>
      </c>
      <c r="C171" s="25" t="str">
        <f>Sites[[#This Row],[SOL'#]]</f>
        <v>SOL-11151</v>
      </c>
      <c r="D171" s="54">
        <f>SUM('1st Qtr'!D171,'2nd Qtr'!D171,'3rd Qtr'!D171,'4th Qtr'!D171)</f>
        <v>36872512.600000001</v>
      </c>
      <c r="E171" s="10">
        <f>SUM('1st Qtr'!E171, '2nd Qtr'!E171, '3rd Qtr'!E171, '4th Qtr'!E171)</f>
        <v>0</v>
      </c>
      <c r="F171" s="10">
        <f t="shared" si="12"/>
        <v>36872512.600000001</v>
      </c>
      <c r="G171" s="55" t="str">
        <f t="shared" si="13"/>
        <v/>
      </c>
      <c r="H171" s="67">
        <f>SUM('1st Qtr'!H171,'2nd Qtr'!H171,'3rd Qtr'!H171,'4th Qtr'!H171)</f>
        <v>0</v>
      </c>
      <c r="I171" s="67">
        <f>SUM('1st Qtr'!I171, '2nd Qtr'!I171, '3rd Qtr'!I171, '4th Qtr'!I171)</f>
        <v>0</v>
      </c>
      <c r="J171" s="64" t="str">
        <f t="shared" si="15"/>
        <v/>
      </c>
    </row>
    <row r="172" spans="1:10" ht="15.6">
      <c r="A172" s="26" t="str">
        <v>IL: Hillsboro - Anacott (PW)</v>
      </c>
      <c r="B172" s="27" t="str">
        <v>IL</v>
      </c>
      <c r="C172" s="27" t="str">
        <f>Sites[[#This Row],[SOL'#]]</f>
        <v>SOL-11134</v>
      </c>
      <c r="D172" s="66">
        <f>SUM('1st Qtr'!D172,'2nd Qtr'!D172,'3rd Qtr'!D172,'4th Qtr'!D172)</f>
        <v>999568</v>
      </c>
      <c r="E172" s="14">
        <f>SUM('1st Qtr'!E172, '2nd Qtr'!E172, '3rd Qtr'!E172, '4th Qtr'!E172)</f>
        <v>0</v>
      </c>
      <c r="F172" s="14">
        <f t="shared" si="9"/>
        <v>999568</v>
      </c>
      <c r="G172" s="68" t="str">
        <f t="shared" si="10"/>
        <v/>
      </c>
      <c r="H172" s="69">
        <f>SUM('1st Qtr'!H172,'2nd Qtr'!H172,'3rd Qtr'!H172,'4th Qtr'!H172)</f>
        <v>1085696.5</v>
      </c>
      <c r="I172" s="69">
        <f>SUM('1st Qtr'!I172, '2nd Qtr'!I172, '3rd Qtr'!I172, '4th Qtr'!I172)</f>
        <v>-86128.5</v>
      </c>
      <c r="J172" s="68">
        <f t="shared" si="15"/>
        <v>-7.9330181132572494E-2</v>
      </c>
    </row>
    <row r="173" spans="1:10" ht="15.6">
      <c r="A173" s="24" t="str">
        <v>IL: Manhattan - Gougar (PW)</v>
      </c>
      <c r="B173" s="25" t="str">
        <v>IL</v>
      </c>
      <c r="C173" s="25" t="str">
        <f>Sites[[#This Row],[SOL'#]]</f>
        <v>SOL-11148</v>
      </c>
      <c r="D173" s="54">
        <f>SUM('1st Qtr'!D173,'2nd Qtr'!D173,'3rd Qtr'!D173,'4th Qtr'!D173)</f>
        <v>94776.514999999999</v>
      </c>
      <c r="E173" s="10">
        <f>SUM('1st Qtr'!E173, '2nd Qtr'!E173, '3rd Qtr'!E173, '4th Qtr'!E173)</f>
        <v>121981.2</v>
      </c>
      <c r="F173" s="10">
        <f t="shared" si="12"/>
        <v>-27204.684999999998</v>
      </c>
      <c r="G173" s="55">
        <f t="shared" si="13"/>
        <v>-0.22302358888090951</v>
      </c>
      <c r="H173" s="67">
        <f>SUM('1st Qtr'!H173,'2nd Qtr'!H173,'3rd Qtr'!H173,'4th Qtr'!H173)</f>
        <v>178632.9</v>
      </c>
      <c r="I173" s="67">
        <f>SUM('1st Qtr'!I173, '2nd Qtr'!I173, '3rd Qtr'!I173, '4th Qtr'!I173)</f>
        <v>-83856.384999999995</v>
      </c>
      <c r="J173" s="64">
        <f t="shared" si="15"/>
        <v>-0.46943415798545507</v>
      </c>
    </row>
  </sheetData>
  <mergeCells count="4">
    <mergeCell ref="H1:J1"/>
    <mergeCell ref="A1:D1"/>
    <mergeCell ref="E1:G1"/>
    <mergeCell ref="A2:B2"/>
  </mergeCells>
  <conditionalFormatting sqref="G2 J2 G4:G173 J4:J173">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73"/>
  <sheetViews>
    <sheetView zoomScale="90" zoomScaleNormal="90" workbookViewId="0">
      <pane xSplit="2" ySplit="3" topLeftCell="C160" activePane="bottomRight" state="frozen"/>
      <selection pane="bottomRight" activeCell="I170" sqref="I170:I173"/>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2" t="str" cm="1">
        <f t="array" ref="A1">portfolio</f>
        <v>Generate Capital</v>
      </c>
      <c r="B1" s="192"/>
      <c r="C1" s="192"/>
      <c r="D1" s="192"/>
      <c r="E1" s="193" t="s">
        <v>11</v>
      </c>
      <c r="F1" s="193"/>
      <c r="G1" s="193"/>
      <c r="H1" s="191" t="s">
        <v>12</v>
      </c>
      <c r="I1" s="191"/>
      <c r="J1" s="191"/>
    </row>
    <row r="2" spans="1:10" ht="19.5" customHeight="1">
      <c r="A2" s="194" t="s">
        <v>2</v>
      </c>
      <c r="B2" s="194"/>
      <c r="C2" s="57"/>
      <c r="D2" s="5">
        <f>SUM(D4:D260)</f>
        <v>73187517.369638756</v>
      </c>
      <c r="E2" s="5">
        <f>SUM(E4:E260)</f>
        <v>31614296.346000001</v>
      </c>
      <c r="F2" s="5">
        <f>D2-E2</f>
        <v>41573221.023638755</v>
      </c>
      <c r="G2" s="6">
        <f>IFERROR(F2/E2, 0)</f>
        <v>1.3150133271556685</v>
      </c>
      <c r="H2" s="5">
        <f>SUM(H4:H296)</f>
        <v>79163514.454000026</v>
      </c>
      <c r="I2" s="7">
        <f>D2-H2</f>
        <v>-5975997.0843612701</v>
      </c>
      <c r="J2" s="6">
        <f>IFERROR(I2/H2, 0)</f>
        <v>-7.5489284749147609E-2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3">Sites[Site]</f>
        <v>K026</v>
      </c>
      <c r="B4" s="25" t="str" cm="1">
        <f t="array" ref="B4:B173">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6">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6">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6">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6">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6">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6">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6">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6">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6">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6">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6">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6">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6">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6">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6">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6">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6">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6">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6">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6">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6">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6">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6">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6">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6">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6">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6">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6">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6">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6">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6">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6">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6">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6">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6">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6">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6">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6">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6">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6">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6">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6">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6">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6">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6">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6">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6">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6">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6">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6">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6">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6">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6">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6">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6">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6">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6">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6">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6">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6">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6">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6">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6">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6">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6">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6">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6">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6">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6">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6">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6">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6">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6">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6">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6">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6">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6">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6">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6">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6">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6">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6">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6">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6">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6">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6">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6">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6">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6">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6">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6">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6">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6">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6">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6">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6">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6">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6">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6">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6">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6">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6">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6">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6">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6">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6">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6">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6">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6">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6">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6">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6">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6">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6">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6">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6">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6">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6">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6">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6">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6">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6">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6">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6">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6">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6">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6">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6">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6">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6">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6">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6">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6">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6">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6">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6">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6">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6">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6">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6">
      <c r="A146" s="24" t="str">
        <v>Dakota - Dakota Solar 1</v>
      </c>
      <c r="B146" s="25" t="str">
        <v>IL</v>
      </c>
      <c r="C146" s="25" t="str">
        <f>Sites[[#This Row],[SOL'#]]</f>
        <v>SOL-11113</v>
      </c>
      <c r="D146" s="20">
        <f>SUM(Jan!D146,Feb!D146,Mar!D146)</f>
        <v>910089</v>
      </c>
      <c r="E146" s="10">
        <f>SUM(Jan!E146,Feb!E146,Mar!E146)</f>
        <v>821340.26899999997</v>
      </c>
      <c r="F146" s="10">
        <f t="shared" ref="F146:F157" si="12">IF(AND(ISNUMBER(D146),ISNUMBER(E146)), D146-E146, "")</f>
        <v>88748.731000000029</v>
      </c>
      <c r="G146" s="11">
        <f t="shared" ref="G146:G157" si="13">IFERROR(F146/E146, "")</f>
        <v>0.10805354899748625</v>
      </c>
      <c r="H146" s="12">
        <f>SUM(Jan!H146,Feb!H146,Mar!H146)</f>
        <v>0</v>
      </c>
      <c r="I146" s="12">
        <f>SUM(Jan!I146,Feb!I146,Mar!I146)</f>
        <v>910089</v>
      </c>
      <c r="J146" s="13" t="str">
        <f t="shared" ref="J146:J157" si="14">IFERROR(I146/H146, "")</f>
        <v/>
      </c>
    </row>
    <row r="147" spans="1:10" ht="15.6">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6">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6">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6">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6">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6">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6">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6">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6">
      <c r="A155" s="26" t="str">
        <v>Ransom</v>
      </c>
      <c r="B155" s="27" t="str">
        <v>NY</v>
      </c>
      <c r="C155" s="27" t="str">
        <f>Sites[[#This Row],[SOL'#]]</f>
        <v>SOL-11157</v>
      </c>
      <c r="D155" s="16">
        <f>SUM(Jan!D155,Feb!D155,Mar!D155)</f>
        <v>573181.69999999995</v>
      </c>
      <c r="E155" s="16">
        <f>SUM(Jan!E155,Feb!E155,Mar!E155)</f>
        <v>0</v>
      </c>
      <c r="F155" s="14">
        <f t="shared" si="12"/>
        <v>573181.69999999995</v>
      </c>
      <c r="G155" s="15" t="str">
        <f t="shared" si="13"/>
        <v/>
      </c>
      <c r="H155" s="16">
        <f>SUM(Jan!H155,Feb!H155,Mar!H155)</f>
        <v>0</v>
      </c>
      <c r="I155" s="16">
        <f>SUM(Jan!I155,Feb!I155,Mar!I155)</f>
        <v>573181.69999999995</v>
      </c>
      <c r="J155" s="15" t="str">
        <f t="shared" si="14"/>
        <v/>
      </c>
    </row>
    <row r="156" spans="1:10" ht="15.6">
      <c r="A156" s="24" t="str">
        <v>Horseheads - Wedge</v>
      </c>
      <c r="B156" s="25" t="str">
        <v>NY</v>
      </c>
      <c r="C156" s="25" t="str">
        <f>Sites[[#This Row],[SOL'#]]</f>
        <v>SOL-11160</v>
      </c>
      <c r="D156" s="20">
        <f>SUM(Jan!D156,Feb!D155,Mar!D156)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6">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6">
      <c r="A158" s="24" t="str">
        <v>Wellsville - Chenunda Creek</v>
      </c>
      <c r="B158" s="25" t="str">
        <v>NY</v>
      </c>
      <c r="C158" s="25" t="str">
        <f>Sites[[#This Row],[SOL'#]]</f>
        <v>SOL-11187</v>
      </c>
      <c r="D158" s="20">
        <f>SUM(Jan!D158,Feb!D158,Mar!D158)</f>
        <v>367949.8</v>
      </c>
      <c r="E158" s="10">
        <f>SUM(Jan!E158,Feb!E158,Mar!E158)</f>
        <v>0</v>
      </c>
      <c r="F158" s="10">
        <f t="shared" ref="F158:F173" si="15">IF(AND(ISNUMBER(D158),ISNUMBER(E158)), D158-E158, "")</f>
        <v>367949.8</v>
      </c>
      <c r="G158" s="11" t="str">
        <f t="shared" ref="G158:G171" si="16">IFERROR(F158/E158, "")</f>
        <v/>
      </c>
      <c r="H158" s="12">
        <f>SUM(Jan!H158,Feb!H158,Mar!H158)</f>
        <v>0</v>
      </c>
      <c r="I158" s="12">
        <f>SUM(Jan!I158,Feb!I158,Mar!I158)</f>
        <v>367949.8</v>
      </c>
      <c r="J158" s="13" t="str">
        <f t="shared" ref="J158:J171" si="17">IFERROR(I158/H158, "")</f>
        <v/>
      </c>
    </row>
    <row r="159" spans="1:10" ht="15.6">
      <c r="A159" s="26" t="str">
        <v>DC: Washington - Essex Condominium</v>
      </c>
      <c r="B159" s="27" t="str">
        <v>DC</v>
      </c>
      <c r="C159" s="27" t="str">
        <f>Sites[[#This Row],[SOL'#]]</f>
        <v>SOL-10036</v>
      </c>
      <c r="D159" s="69">
        <f>SUM(Jan!D159,Feb!E159,Mar!D159)</f>
        <v>6661.9580000000005</v>
      </c>
      <c r="E159" s="69">
        <f>SUM(Jan!E159,Feb!E159,Mar!E159)</f>
        <v>7882.5240000000003</v>
      </c>
      <c r="F159" s="14">
        <f t="shared" si="15"/>
        <v>-1220.5659999999998</v>
      </c>
      <c r="G159" s="68">
        <f t="shared" si="16"/>
        <v>-0.15484456501496219</v>
      </c>
      <c r="H159" s="69">
        <f>SUM(Jan!H159,Feb!H159,Mar!H159)</f>
        <v>8796.3189999999995</v>
      </c>
      <c r="I159" s="69">
        <f>SUM(Jan!I159,Feb!I159,Mar!I159)</f>
        <v>-2543.319</v>
      </c>
      <c r="J159" s="68">
        <f t="shared" si="17"/>
        <v>-0.28913446636030365</v>
      </c>
    </row>
    <row r="160" spans="1:10" ht="15.6">
      <c r="A160" s="24" t="str">
        <v>HI: Waipahu - 94-246 Leoku St - E.F.G.</v>
      </c>
      <c r="B160" s="25" t="str">
        <v>HI</v>
      </c>
      <c r="C160" s="25" t="str">
        <f>Sites[[#This Row],[SOL'#]]</f>
        <v>SOL-10071</v>
      </c>
      <c r="D160" s="54">
        <f>SUM(Jan!D160,Feb!D160,Mar!D160)</f>
        <v>28914</v>
      </c>
      <c r="E160" s="10">
        <f>SUM(Jan!E160,Feb!E160,Mar!E160)</f>
        <v>29374.276000000005</v>
      </c>
      <c r="F160" s="10">
        <f t="shared" si="15"/>
        <v>-460.2760000000053</v>
      </c>
      <c r="G160" s="55">
        <f t="shared" si="16"/>
        <v>-1.5669356412393115E-2</v>
      </c>
      <c r="H160" s="67">
        <f>SUM(Jan!H160,Feb!H160,Mar!H160)</f>
        <v>32426.188000000002</v>
      </c>
      <c r="I160" s="67">
        <f>SUM(Jan!I160,Feb!I160,Mar!I160)</f>
        <v>-3512.1880000000001</v>
      </c>
      <c r="J160" s="64">
        <f t="shared" si="17"/>
        <v>-0.1083133176184632</v>
      </c>
    </row>
    <row r="161" spans="1:10" ht="15.6">
      <c r="A161" s="26" t="str">
        <v>HI: Waipahu - 94-099 Waipahu St - PV</v>
      </c>
      <c r="B161" s="27" t="str">
        <v>HI</v>
      </c>
      <c r="C161" s="27" t="str">
        <f>Sites[[#This Row],[SOL'#]]</f>
        <v>SOL-10068</v>
      </c>
      <c r="D161" s="69">
        <f>SUM(Jan!D161,Feb!D161,Mar!D161)</f>
        <v>34818</v>
      </c>
      <c r="E161" s="69">
        <f>SUM(Jan!E161,Feb!E161,Mar!E161)</f>
        <v>28134.248</v>
      </c>
      <c r="F161" s="14">
        <f t="shared" si="15"/>
        <v>6683.7520000000004</v>
      </c>
      <c r="G161" s="68">
        <f t="shared" si="16"/>
        <v>0.2375663994999973</v>
      </c>
      <c r="H161" s="69">
        <f>SUM(Jan!H161,Feb!H161,Mar!H161)</f>
        <v>32408.821000000004</v>
      </c>
      <c r="I161" s="69">
        <f>SUM(Jan!I161,Feb!I161,Mar!I161)</f>
        <v>2409.1789999999983</v>
      </c>
      <c r="J161" s="68">
        <f t="shared" si="17"/>
        <v>7.4337138027946101E-2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0</v>
      </c>
      <c r="E163" s="69">
        <f>SUM(Jan!E163,Feb!E163,Mar!E163)</f>
        <v>0</v>
      </c>
      <c r="F163" s="14">
        <f t="shared" si="15"/>
        <v>0</v>
      </c>
      <c r="G163" s="68" t="str">
        <f t="shared" si="16"/>
        <v/>
      </c>
      <c r="H163" s="69">
        <f>SUM(Jan!H163,Feb!H163,Mar!H163)</f>
        <v>0</v>
      </c>
      <c r="I163" s="69">
        <f>SUM(Jan!I163,Feb!I163,Mar!I163)</f>
        <v>0</v>
      </c>
      <c r="J163" s="68" t="str">
        <f t="shared" si="17"/>
        <v/>
      </c>
    </row>
    <row r="164" spans="1:10" ht="15.6">
      <c r="A164" s="24" t="str">
        <v>IL: Marengo - Grant - (PW)</v>
      </c>
      <c r="B164" s="25" t="str">
        <v>IL</v>
      </c>
      <c r="C164" s="25" t="str">
        <f>Sites[[#This Row],[SOL'#]]</f>
        <v>SOL-11147</v>
      </c>
      <c r="D164" s="54">
        <f>SUM(Jan!D164,Feb!D164,Mar!D164)</f>
        <v>0</v>
      </c>
      <c r="E164" s="10">
        <f>SUM(Jan!E164,Feb!E164,Mar!E164)</f>
        <v>0</v>
      </c>
      <c r="F164" s="10">
        <f t="shared" si="15"/>
        <v>0</v>
      </c>
      <c r="G164" s="55" t="str">
        <f t="shared" si="16"/>
        <v/>
      </c>
      <c r="H164" s="67">
        <f>SUM(Jan!H164,Feb!H164,Mar!H164)</f>
        <v>0</v>
      </c>
      <c r="I164" s="67">
        <f>SUM(Jan!I164,Feb!I164,Mar!I164)</f>
        <v>0</v>
      </c>
      <c r="J164" s="64" t="str">
        <f t="shared" si="17"/>
        <v/>
      </c>
    </row>
    <row r="165" spans="1:10" ht="15.6">
      <c r="A165" s="26" t="str">
        <v>NY: Cambridge - Cambridge (PW)</v>
      </c>
      <c r="B165" s="27" t="str">
        <v>NY</v>
      </c>
      <c r="C165" s="27" t="str">
        <f>Sites[[#This Row],[SOL'#]]</f>
        <v>SOL-11126</v>
      </c>
      <c r="D165" s="69">
        <f>SUM(Jan!D165,Feb!D165,Mar!D165)</f>
        <v>0</v>
      </c>
      <c r="E165" s="69">
        <f>SUM(Jan!E165,Feb!E165,Mar!E165)</f>
        <v>0</v>
      </c>
      <c r="F165" s="14">
        <f t="shared" si="15"/>
        <v>0</v>
      </c>
      <c r="G165" s="68" t="str">
        <f t="shared" si="16"/>
        <v/>
      </c>
      <c r="H165" s="69">
        <f>SUM(Jan!H165,Feb!H165,Mar!H165)</f>
        <v>0</v>
      </c>
      <c r="I165" s="69">
        <f>SUM(Jan!I165,Feb!I165,Mar!I165)</f>
        <v>0</v>
      </c>
      <c r="J165" s="68" t="str">
        <f t="shared" si="17"/>
        <v/>
      </c>
    </row>
    <row r="166" spans="1:10" ht="15.6">
      <c r="A166" s="24" t="str">
        <v>NY: Whitesville - Independence North</v>
      </c>
      <c r="B166" s="25" t="str">
        <v>NY</v>
      </c>
      <c r="C166" s="25" t="str">
        <f>Sites[[#This Row],[SOL'#]]</f>
        <v>SOL-11186</v>
      </c>
      <c r="D166" s="54">
        <f>SUM(Jan!D166,Feb!D166,Mar!D166)</f>
        <v>0</v>
      </c>
      <c r="E166" s="10">
        <f>SUM(Jan!E166,Feb!E166,Mar!E166)</f>
        <v>0</v>
      </c>
      <c r="F166" s="10">
        <f t="shared" si="15"/>
        <v>0</v>
      </c>
      <c r="G166" s="55" t="str">
        <f t="shared" si="16"/>
        <v/>
      </c>
      <c r="H166" s="67">
        <f>SUM(Jan!H166,Feb!H166,Mar!H166)</f>
        <v>0</v>
      </c>
      <c r="I166" s="67">
        <f>SUM(Jan!I166,Feb!I166,Mar!I166)</f>
        <v>0</v>
      </c>
      <c r="J166" s="64" t="str">
        <f t="shared" si="17"/>
        <v/>
      </c>
    </row>
    <row r="167" spans="1:10" ht="15.6">
      <c r="A167" s="26" t="str">
        <v>IL: Beecher - Cottage Grove North (PW)</v>
      </c>
      <c r="B167" s="27" t="str">
        <v>IL</v>
      </c>
      <c r="C167" s="27" t="str">
        <f>Sites[[#This Row],[SOL'#]]</f>
        <v>SOL-11114</v>
      </c>
      <c r="D167" s="69">
        <f>SUM(Jan!D167,Feb!D167,Mar!D167)</f>
        <v>0</v>
      </c>
      <c r="E167" s="69">
        <f>SUM(Jan!E167,Feb!E167,Mar!E167)</f>
        <v>0</v>
      </c>
      <c r="F167" s="14">
        <f t="shared" si="15"/>
        <v>0</v>
      </c>
      <c r="G167" s="68" t="str">
        <f t="shared" si="16"/>
        <v/>
      </c>
      <c r="H167" s="69">
        <f>SUM(Jan!H167,Feb!H167,Mar!H167)</f>
        <v>0</v>
      </c>
      <c r="I167" s="69">
        <f>SUM(Jan!I167,Feb!I167,Mar!I167)</f>
        <v>0</v>
      </c>
      <c r="J167" s="68" t="str">
        <f t="shared" si="17"/>
        <v/>
      </c>
    </row>
    <row r="168" spans="1:10" ht="15.6">
      <c r="A168" s="24" t="str">
        <v>IL: Beecher - Cottage Grove South (PW)</v>
      </c>
      <c r="B168" s="25" t="str">
        <v>IL</v>
      </c>
      <c r="C168" s="25" t="str">
        <f>Sites[[#This Row],[SOL'#]]</f>
        <v>SOL-11115</v>
      </c>
      <c r="D168" s="54">
        <f>SUM(Jan!D168,Feb!D168,Mar!D168)</f>
        <v>0</v>
      </c>
      <c r="E168" s="10">
        <f>SUM(Jan!E168,Feb!E168,Mar!E168)</f>
        <v>0</v>
      </c>
      <c r="F168" s="10">
        <f t="shared" si="15"/>
        <v>0</v>
      </c>
      <c r="G168" s="55" t="str">
        <f t="shared" si="16"/>
        <v/>
      </c>
      <c r="H168" s="67">
        <f>SUM(Jan!H168,Feb!H168,Mar!H168)</f>
        <v>0</v>
      </c>
      <c r="I168" s="67">
        <f>SUM(Jan!I168,Feb!I168,Mar!I168)</f>
        <v>0</v>
      </c>
      <c r="J168" s="64" t="str">
        <f t="shared" si="17"/>
        <v/>
      </c>
    </row>
    <row r="169" spans="1:10" ht="15.6">
      <c r="A169" s="26" t="str">
        <v>IL: Harvard - 9618 US HWY 14 (PW)</v>
      </c>
      <c r="B169" s="27" t="str">
        <v>IL</v>
      </c>
      <c r="C169" s="27" t="str">
        <f>Sites[[#This Row],[SOL'#]]</f>
        <v>SOL-11110</v>
      </c>
      <c r="D169" s="69">
        <f>SUM(Jan!D169,Feb!D169,Mar!D169)</f>
        <v>0</v>
      </c>
      <c r="E169" s="69">
        <f>SUM(Jan!E169,Feb!E169,Mar!E169)</f>
        <v>0</v>
      </c>
      <c r="F169" s="14">
        <f t="shared" si="15"/>
        <v>0</v>
      </c>
      <c r="G169" s="68" t="str">
        <f t="shared" si="16"/>
        <v/>
      </c>
      <c r="H169" s="69">
        <f>SUM(Jan!H169,Feb!H169,Mar!H169)</f>
        <v>0</v>
      </c>
      <c r="I169" s="69">
        <f>SUM(Jan!I169,Feb!I169,Mar!I169)</f>
        <v>0</v>
      </c>
      <c r="J169" s="68" t="str">
        <f t="shared" si="17"/>
        <v/>
      </c>
    </row>
    <row r="170" spans="1:10" ht="15.6">
      <c r="A170" s="24" t="str">
        <v>IL: Beecher - 701 E Goodenow Rd (PW)</v>
      </c>
      <c r="B170" s="25" t="str">
        <v>IL</v>
      </c>
      <c r="C170" s="25" t="str">
        <f>Sites[[#This Row],[SOL'#]]</f>
        <v>SOL-11112</v>
      </c>
      <c r="D170" s="54">
        <f>SUM(Jan!D170,Feb!D170,Mar!D170)</f>
        <v>0</v>
      </c>
      <c r="E170" s="10">
        <f>SUM(Jan!E170,Feb!E170,Mar!E170)</f>
        <v>0</v>
      </c>
      <c r="F170" s="10">
        <f t="shared" si="15"/>
        <v>0</v>
      </c>
      <c r="G170" s="55" t="str">
        <f t="shared" si="16"/>
        <v/>
      </c>
      <c r="H170" s="67">
        <f>SUM(Jan!H170,Feb!H170,Mar!H170)</f>
        <v>0</v>
      </c>
      <c r="I170" s="67">
        <f>SUM(Jan!I170,Feb!I170,Mar!I170)</f>
        <v>0</v>
      </c>
      <c r="J170" s="64" t="str">
        <f t="shared" si="17"/>
        <v/>
      </c>
    </row>
    <row r="171" spans="1:10" ht="15.6">
      <c r="A171" s="26" t="str">
        <v>NY: Stormville - Green Haven - (IRA)</v>
      </c>
      <c r="B171" s="27" t="str">
        <v>NY</v>
      </c>
      <c r="C171" s="27" t="str">
        <f>Sites[[#This Row],[SOL'#]]</f>
        <v>SOL-11151</v>
      </c>
      <c r="D171" s="69">
        <f>SUM(Jan!D171,Feb!D171,Mar!D171)</f>
        <v>0</v>
      </c>
      <c r="E171" s="69">
        <f>SUM(Jan!E171,Feb!E171,Mar!E171)</f>
        <v>0</v>
      </c>
      <c r="F171" s="14">
        <f t="shared" si="15"/>
        <v>0</v>
      </c>
      <c r="G171" s="68" t="str">
        <f t="shared" si="16"/>
        <v/>
      </c>
      <c r="H171" s="69">
        <f>SUM(Jan!H171,Feb!H171,Mar!H171)</f>
        <v>0</v>
      </c>
      <c r="I171" s="69">
        <f>SUM(Jan!I171,Feb!I171,Mar!I171)</f>
        <v>0</v>
      </c>
      <c r="J171" s="68" t="str">
        <f t="shared" si="17"/>
        <v/>
      </c>
    </row>
    <row r="172" spans="1:10" ht="15.6">
      <c r="A172" s="24" t="str">
        <v>IL: Hillsboro - Anacott (PW)</v>
      </c>
      <c r="B172" s="25" t="str">
        <v>IL</v>
      </c>
      <c r="C172" s="25" t="str">
        <f>Sites[[#This Row],[SOL'#]]</f>
        <v>SOL-11134</v>
      </c>
      <c r="D172" s="54">
        <f>SUM(Jan!D172,Feb!D172,Mar!D172)</f>
        <v>0</v>
      </c>
      <c r="E172" s="10">
        <f>SUM(Jan!E172,Feb!E172,Mar!E172)</f>
        <v>0</v>
      </c>
      <c r="F172" s="10">
        <f t="shared" si="15"/>
        <v>0</v>
      </c>
      <c r="G172" s="55"/>
      <c r="H172" s="67">
        <f>SUM(Jan!H172,Feb!H172,Mar!H172)</f>
        <v>0</v>
      </c>
      <c r="I172" s="67">
        <f>SUM(Jan!I172,Feb!I172,Mar!I172)</f>
        <v>0</v>
      </c>
      <c r="J172" s="64"/>
    </row>
    <row r="173" spans="1:10" ht="15.6">
      <c r="A173" s="26" t="str">
        <v>IL: Manhattan - Gougar (PW)</v>
      </c>
      <c r="B173" s="27" t="str">
        <v>IL</v>
      </c>
      <c r="C173" s="27" t="str">
        <f>Sites[[#This Row],[SOL'#]]</f>
        <v>SOL-11148</v>
      </c>
      <c r="D173" s="69">
        <f>SUM(Jan!D173,Feb!D173,Mar!D173)</f>
        <v>0</v>
      </c>
      <c r="E173" s="69">
        <f>SUM(Jan!E173,Feb!E173,Mar!E173)</f>
        <v>0</v>
      </c>
      <c r="F173" s="14">
        <f t="shared" si="15"/>
        <v>0</v>
      </c>
      <c r="G173" s="68"/>
      <c r="H173" s="69">
        <f>SUM(Jan!H173,Feb!H173,Mar!H173)</f>
        <v>0</v>
      </c>
      <c r="I173" s="69">
        <f>SUM(Jan!I173,Feb!I173,Mar!I173)</f>
        <v>0</v>
      </c>
      <c r="J173" s="68"/>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73 J4:J173">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62" activePane="bottomRight" state="frozen"/>
      <selection pane="bottomRight" activeCell="M173" sqref="M17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2" t="str" cm="1">
        <f t="array" ref="A1">portfolio</f>
        <v>Generate Capital</v>
      </c>
      <c r="B1" s="192"/>
      <c r="C1" s="192"/>
      <c r="D1" s="192"/>
      <c r="E1" s="193" t="s">
        <v>13</v>
      </c>
      <c r="F1" s="193"/>
      <c r="G1" s="193"/>
      <c r="H1" s="191" t="s">
        <v>14</v>
      </c>
      <c r="I1" s="191"/>
      <c r="J1" s="191"/>
    </row>
    <row r="2" spans="1:10" ht="19.5" customHeight="1">
      <c r="A2" s="194" t="s">
        <v>2</v>
      </c>
      <c r="B2" s="194"/>
      <c r="C2" s="57"/>
      <c r="D2" s="5">
        <f>SUM(D4:D258)</f>
        <v>121005964.99212156</v>
      </c>
      <c r="E2" s="5">
        <f>SUM(E4:E260)</f>
        <v>46675281.72700002</v>
      </c>
      <c r="F2" s="5">
        <f>D2-E2</f>
        <v>74330683.265121549</v>
      </c>
      <c r="G2" s="6">
        <f>IFERROR(F2/E2, 0)</f>
        <v>1.5925063655721621</v>
      </c>
      <c r="H2" s="5">
        <f>SUM(H4:H258)</f>
        <v>141633279.18500006</v>
      </c>
      <c r="I2" s="7">
        <f>D2-H2</f>
        <v>-20627314.1928785</v>
      </c>
      <c r="J2" s="6">
        <f>IFERROR(I2/H2, 0)</f>
        <v>-0.14563889441502864</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3">Sites[Site]</f>
        <v>K026</v>
      </c>
      <c r="B4" s="25" t="str" cm="1">
        <f t="array" ref="B4:B173">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6">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6">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6">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6">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6">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6">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6">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6">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6">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6">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6">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6">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6">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6">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6">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6">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6">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6">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6">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6">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6">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6">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6">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6">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6">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6">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6">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6">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6">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6">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6">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6">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6">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6">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6">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6">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6">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6">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6">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6">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6">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6">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6">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6">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6">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6">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6">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6">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6">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6">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6">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6">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6">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6">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6">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6">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6">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6">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6">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6">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6">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6">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6">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6">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6">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6">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6">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6">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6">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6">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6">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6">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6">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6">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6">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6">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6">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6">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6">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6">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6">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6">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6">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6">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6">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6">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6">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6">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6">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6">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6">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6">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6">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6">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6">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6">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6">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6">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6">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6">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6">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6">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6">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6">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6">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6">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6">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6">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6">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6">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6">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6">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6">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6">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6">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6">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6">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6">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6">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6">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6">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6">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6">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6">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6">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6">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6">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6">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6">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6">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6">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6">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6">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6">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6">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6">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6">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6">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6">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6">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6">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6">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6">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6">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6">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6">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ht="15.6">
      <c r="A159" s="26" t="str">
        <v>DC: Washington - Essex Condominium</v>
      </c>
      <c r="B159" s="27" t="str">
        <v>DC</v>
      </c>
      <c r="C159" s="27" t="str">
        <f>Sites[[#This Row],[SOL'#]]</f>
        <v>SOL-10036</v>
      </c>
      <c r="D159" s="16">
        <f>SUM(Apr!D159,May!D159,Jun!D159)</f>
        <v>12238</v>
      </c>
      <c r="E159" s="16">
        <f>SUM(Apr!E159,May!E159,Jun!E159)</f>
        <v>15626.204000000002</v>
      </c>
      <c r="F159" s="14">
        <f t="shared" ref="F159:F173" si="12">IF(AND(ISNUMBER(D159),ISNUMBER(E159)), D159-E159, "")</f>
        <v>-3388.2040000000015</v>
      </c>
      <c r="G159" s="15">
        <f t="shared" ref="G159:G173" si="13">IFERROR(F159/E159, "")</f>
        <v>-0.21682834807481083</v>
      </c>
      <c r="H159" s="16">
        <f>SUM(Apr!H159,May!H159,Jun!H159)</f>
        <v>15173.213</v>
      </c>
      <c r="I159" s="16">
        <f>SUM(Apr!I159,May!I159,Jun!I159)</f>
        <v>-2935.2130000000006</v>
      </c>
      <c r="J159" s="15">
        <f t="shared" ref="J159:J173" si="14">IFERROR(I159/H159, "")</f>
        <v>-0.19344703063220695</v>
      </c>
    </row>
    <row r="160" spans="1:10" ht="15.6">
      <c r="A160" s="24" t="str">
        <v>HI: Waipahu - 94-246 Leoku St - E.F.G.</v>
      </c>
      <c r="B160" s="25" t="str">
        <v>HI</v>
      </c>
      <c r="C160" s="25" t="str">
        <f>Sites[[#This Row],[SOL'#]]</f>
        <v>SOL-10071</v>
      </c>
      <c r="D160" s="20">
        <f>SUM(Apr!D160,May!D160,Jun!D160)</f>
        <v>24365</v>
      </c>
      <c r="E160" s="10">
        <f>SUM(Apr!E160,May!E160,Jun!E160)</f>
        <v>35826.979999999996</v>
      </c>
      <c r="F160" s="10">
        <f t="shared" si="12"/>
        <v>-11461.979999999996</v>
      </c>
      <c r="G160" s="11">
        <f t="shared" si="13"/>
        <v>-0.31992593291424498</v>
      </c>
      <c r="H160" s="12">
        <f>SUM(Apr!H160,May!H160,Jun!H160)</f>
        <v>38937.006999999998</v>
      </c>
      <c r="I160" s="12">
        <f>SUM(Apr!I160,May!I160,Jun!I160)</f>
        <v>-14572.007</v>
      </c>
      <c r="J160" s="13">
        <f t="shared" si="14"/>
        <v>-0.37424568868377583</v>
      </c>
    </row>
    <row r="161" spans="1:10" ht="15.6">
      <c r="A161" s="26" t="str">
        <v>HI: Waipahu - 94-099 Waipahu St - PV</v>
      </c>
      <c r="B161" s="27" t="str">
        <v>HI</v>
      </c>
      <c r="C161" s="27" t="str">
        <f>Sites[[#This Row],[SOL'#]]</f>
        <v>SOL-10068</v>
      </c>
      <c r="D161" s="16">
        <f>SUM(Apr!D161,May!D161,Jun!D161)</f>
        <v>40492</v>
      </c>
      <c r="E161" s="16">
        <f>SUM(Apr!E161,May!E161,Jun!E161)</f>
        <v>32076.989000000001</v>
      </c>
      <c r="F161" s="14">
        <f t="shared" si="12"/>
        <v>8415.0109999999986</v>
      </c>
      <c r="G161" s="15">
        <f t="shared" si="13"/>
        <v>0.26233793327671739</v>
      </c>
      <c r="H161" s="16">
        <f>SUM(Apr!H161,May!H161,Jun!H161)</f>
        <v>38916.21</v>
      </c>
      <c r="I161" s="16">
        <f>SUM(Apr!I161,May!I161,Jun!I161)</f>
        <v>1575.7900000000009</v>
      </c>
      <c r="J161" s="15">
        <f t="shared" si="14"/>
        <v>4.0491867013771408E-2</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ht="15.6">
      <c r="A167" s="26" t="str">
        <v>IL: Beecher - Cottage Grove North (PW)</v>
      </c>
      <c r="B167" s="27" t="str">
        <v>IL</v>
      </c>
      <c r="C167" s="27" t="str">
        <f>Sites[[#This Row],[SOL'#]]</f>
        <v>SOL-11114</v>
      </c>
      <c r="D167" s="16">
        <f>SUM(Apr!D167,May!D167,Jun!D167)</f>
        <v>0</v>
      </c>
      <c r="E167" s="16">
        <f>SUM(Apr!E167,May!E167,Jun!E167)</f>
        <v>0</v>
      </c>
      <c r="F167" s="14">
        <f t="shared" si="12"/>
        <v>0</v>
      </c>
      <c r="G167" s="15" t="str">
        <f t="shared" si="13"/>
        <v/>
      </c>
      <c r="H167" s="16">
        <f>SUM(Apr!H167,May!H167,Jun!H167)</f>
        <v>0</v>
      </c>
      <c r="I167" s="16">
        <f>SUM(Apr!I167,May!I167,Jun!I167)</f>
        <v>0</v>
      </c>
      <c r="J167" s="15" t="str">
        <f t="shared" si="14"/>
        <v/>
      </c>
    </row>
    <row r="168" spans="1:10" ht="15.6">
      <c r="A168" s="24" t="str">
        <v>IL: Beecher - Cottage Grove South (PW)</v>
      </c>
      <c r="B168" s="25" t="str">
        <v>IL</v>
      </c>
      <c r="C168" s="25" t="str">
        <f>Sites[[#This Row],[SOL'#]]</f>
        <v>SOL-11115</v>
      </c>
      <c r="D168" s="20">
        <f>SUM(Apr!D168,May!D168,Jun!D168)</f>
        <v>0</v>
      </c>
      <c r="E168" s="10">
        <f>SUM(Apr!E168,May!E168,Jun!E168)</f>
        <v>0</v>
      </c>
      <c r="F168" s="10">
        <f t="shared" si="12"/>
        <v>0</v>
      </c>
      <c r="G168" s="11" t="str">
        <f t="shared" si="13"/>
        <v/>
      </c>
      <c r="H168" s="12">
        <f>SUM(Apr!H168,May!H168,Jun!H168)</f>
        <v>0</v>
      </c>
      <c r="I168" s="12">
        <f>SUM(Apr!I168,May!I168,Jun!I168)</f>
        <v>0</v>
      </c>
      <c r="J168" s="13" t="str">
        <f t="shared" si="14"/>
        <v/>
      </c>
    </row>
    <row r="169" spans="1:10" ht="15.6">
      <c r="A169" s="26" t="str">
        <v>IL: Harvard - 9618 US HWY 14 (PW)</v>
      </c>
      <c r="B169" s="27" t="str">
        <v>IL</v>
      </c>
      <c r="C169" s="27" t="str">
        <f>Sites[[#This Row],[SOL'#]]</f>
        <v>SOL-11110</v>
      </c>
      <c r="D169" s="16">
        <f>SUM(Apr!D169,May!D169,Jun!D169)</f>
        <v>0</v>
      </c>
      <c r="E169" s="16">
        <f>SUM(Apr!E169,May!E169,Jun!E169)</f>
        <v>0</v>
      </c>
      <c r="F169" s="14">
        <f t="shared" si="12"/>
        <v>0</v>
      </c>
      <c r="G169" s="15" t="str">
        <f t="shared" si="13"/>
        <v/>
      </c>
      <c r="H169" s="16">
        <f>SUM(Apr!H169,May!H169,Jun!H169)</f>
        <v>0</v>
      </c>
      <c r="I169" s="16">
        <f>SUM(Apr!I169,May!I169,Jun!I169)</f>
        <v>0</v>
      </c>
      <c r="J169" s="15" t="str">
        <f t="shared" si="14"/>
        <v/>
      </c>
    </row>
    <row r="170" spans="1:10" ht="15.6">
      <c r="A170" s="24" t="str">
        <v>IL: Beecher - 701 E Goodenow Rd (PW)</v>
      </c>
      <c r="B170" s="25" t="str">
        <v>IL</v>
      </c>
      <c r="C170" s="25" t="str">
        <f>Sites[[#This Row],[SOL'#]]</f>
        <v>SOL-11112</v>
      </c>
      <c r="D170" s="20">
        <f>SUM(Apr!D170,May!D170,Jun!D170)</f>
        <v>0</v>
      </c>
      <c r="E170" s="10">
        <f>SUM(Apr!E170,May!E170,Jun!E170)</f>
        <v>0</v>
      </c>
      <c r="F170" s="10">
        <f t="shared" si="12"/>
        <v>0</v>
      </c>
      <c r="G170" s="11" t="str">
        <f t="shared" si="13"/>
        <v/>
      </c>
      <c r="H170" s="12">
        <f>SUM(Apr!H170,May!H170,Jun!H170)</f>
        <v>0</v>
      </c>
      <c r="I170" s="12">
        <f>SUM(Apr!I170,May!I170,Jun!I170)</f>
        <v>0</v>
      </c>
      <c r="J170" s="13" t="str">
        <f t="shared" si="14"/>
        <v/>
      </c>
    </row>
    <row r="171" spans="1:10" ht="15.6">
      <c r="A171" s="26" t="str">
        <v>NY: Stormville - Green Haven - (IRA)</v>
      </c>
      <c r="B171" s="27" t="str">
        <v>NY</v>
      </c>
      <c r="C171" s="27" t="str">
        <f>Sites[[#This Row],[SOL'#]]</f>
        <v>SOL-11151</v>
      </c>
      <c r="D171" s="16">
        <f>SUM(Apr!D171,May!D171,Jun!D171)</f>
        <v>0</v>
      </c>
      <c r="E171" s="16">
        <f>SUM(Apr!E171,May!E171,Jun!E171)</f>
        <v>0</v>
      </c>
      <c r="F171" s="14">
        <f t="shared" si="12"/>
        <v>0</v>
      </c>
      <c r="G171" s="15" t="str">
        <f t="shared" si="13"/>
        <v/>
      </c>
      <c r="H171" s="16">
        <f>SUM(Apr!H171,May!H171,Jun!H171)</f>
        <v>0</v>
      </c>
      <c r="I171" s="16">
        <f>SUM(Apr!I171,May!I171,Jun!I171)</f>
        <v>0</v>
      </c>
      <c r="J171" s="15" t="str">
        <f t="shared" si="14"/>
        <v/>
      </c>
    </row>
    <row r="172" spans="1:10" ht="15.6">
      <c r="A172" s="24" t="str">
        <v>IL: Hillsboro - Anacott (PW)</v>
      </c>
      <c r="B172" s="25" t="str">
        <v>IL</v>
      </c>
      <c r="C172" s="25" t="str">
        <f>Sites[[#This Row],[SOL'#]]</f>
        <v>SOL-11134</v>
      </c>
      <c r="D172" s="20">
        <f>SUM(Apr!D172,May!D172,Jun!D172)</f>
        <v>0</v>
      </c>
      <c r="E172" s="10">
        <f>SUM(Apr!E172,May!E172,Jun!E172)</f>
        <v>0</v>
      </c>
      <c r="F172" s="10">
        <f t="shared" si="12"/>
        <v>0</v>
      </c>
      <c r="G172" s="11" t="str">
        <f t="shared" si="13"/>
        <v/>
      </c>
      <c r="H172" s="12">
        <f>SUM(Apr!H172,May!H172,Jun!H172)</f>
        <v>0</v>
      </c>
      <c r="I172" s="12">
        <f>SUM(Apr!I172,May!I172,Jun!I172)</f>
        <v>0</v>
      </c>
      <c r="J172" s="13" t="str">
        <f t="shared" si="14"/>
        <v/>
      </c>
    </row>
    <row r="173" spans="1:10" ht="15.6">
      <c r="A173" s="26" t="str">
        <v>IL: Manhattan - Gougar (PW)</v>
      </c>
      <c r="B173" s="27" t="str">
        <v>IL</v>
      </c>
      <c r="C173" s="27" t="str">
        <f>Sites[[#This Row],[SOL'#]]</f>
        <v>SOL-11148</v>
      </c>
      <c r="D173" s="16">
        <f>SUM(Apr!D173,May!D173,Jun!D173)</f>
        <v>0</v>
      </c>
      <c r="E173" s="16">
        <f>SUM(Apr!E173,May!E173,Jun!E173)</f>
        <v>0</v>
      </c>
      <c r="F173" s="14">
        <f t="shared" si="12"/>
        <v>0</v>
      </c>
      <c r="G173" s="15" t="str">
        <f t="shared" si="13"/>
        <v/>
      </c>
      <c r="H173" s="16">
        <f>SUM(Apr!H173,May!H173,Jun!H173)</f>
        <v>0</v>
      </c>
      <c r="I173" s="16">
        <f>SUM(Apr!I173,May!I173,Jun!I173)</f>
        <v>0</v>
      </c>
      <c r="J173" s="15" t="str">
        <f t="shared" si="14"/>
        <v/>
      </c>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73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66" activePane="bottomRight" state="frozen"/>
      <selection pane="bottomRight" activeCell="J170" sqref="J170:J17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3.7109375" customWidth="1"/>
    <col min="5" max="6" width="13.28515625" customWidth="1"/>
    <col min="7" max="7" width="13.28515625" style="1" customWidth="1"/>
    <col min="8" max="9" width="13.28515625" customWidth="1"/>
    <col min="10" max="10" width="13.28515625" style="1" customWidth="1"/>
  </cols>
  <sheetData>
    <row r="1" spans="1:10" ht="19.5" customHeight="1">
      <c r="A1" s="192" t="str" cm="1">
        <f t="array" ref="A1">portfolio</f>
        <v>Generate Capital</v>
      </c>
      <c r="B1" s="192"/>
      <c r="C1" s="192"/>
      <c r="D1" s="192"/>
      <c r="E1" s="193" t="s">
        <v>15</v>
      </c>
      <c r="F1" s="193"/>
      <c r="G1" s="193"/>
      <c r="H1" s="191" t="s">
        <v>16</v>
      </c>
      <c r="I1" s="191"/>
      <c r="J1" s="191"/>
    </row>
    <row r="2" spans="1:10" ht="19.5" customHeight="1">
      <c r="A2" s="194" t="s">
        <v>2</v>
      </c>
      <c r="B2" s="194"/>
      <c r="C2" s="57"/>
      <c r="D2" s="5">
        <f>SUM(D4:D200)</f>
        <v>154440947.74853009</v>
      </c>
      <c r="E2" s="5">
        <f>SUM(E4:E200)</f>
        <v>142263992.33500001</v>
      </c>
      <c r="F2" s="5">
        <f>D2-E2</f>
        <v>12176955.413530082</v>
      </c>
      <c r="G2" s="6">
        <f>IFERROR(F2/E2, 0)</f>
        <v>8.5594079103699441E-2</v>
      </c>
      <c r="H2" s="5">
        <f>SUM(H4:H200)</f>
        <v>141919842.89480004</v>
      </c>
      <c r="I2" s="7">
        <f>D2-H2</f>
        <v>12521104.853730053</v>
      </c>
      <c r="J2" s="6">
        <f>IFERROR(I2/H2, 0)</f>
        <v>8.8226597481590271E-2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3">Sites[Site]</f>
        <v>K026</v>
      </c>
      <c r="B4" s="27" t="str" cm="1">
        <f t="array" ref="B4:B173">Sites[State]</f>
        <v>NY</v>
      </c>
      <c r="C4" s="27" t="str">
        <f>Sites[[#This Row],[SOL'#]]</f>
        <v>SOL-10356</v>
      </c>
      <c r="D4" s="9">
        <f>SUM(Jul!D4, Aug!D4, Sep!D4)</f>
        <v>67502.625</v>
      </c>
      <c r="E4" s="14">
        <f>SUM(Jul!E4, Aug!E4, Sep!E4)</f>
        <v>116340.78400000001</v>
      </c>
      <c r="F4" s="14">
        <f t="shared" ref="F4:F5" si="0">IF(AND(ISNUMBER(D4),ISNUMBER(E4)), D4-E4, "")</f>
        <v>-48838.159000000014</v>
      </c>
      <c r="G4" s="15">
        <f t="shared" ref="G4:G63" si="1">IFERROR(F4/E4, "")</f>
        <v>-0.41978536950550382</v>
      </c>
      <c r="H4" s="16">
        <f>SUM(Jul!H4,Aug!H4,Sep!H4)</f>
        <v>105071.80499999999</v>
      </c>
      <c r="I4" s="16">
        <f>SUM(Jul!I4, Aug!I4, Sep!I4)</f>
        <v>-37569.179999999993</v>
      </c>
      <c r="J4" s="15">
        <f t="shared" ref="J4:J67" si="2">IFERROR(I4/H4, "")</f>
        <v>-0.35755719624308346</v>
      </c>
    </row>
    <row r="5" spans="1:10" ht="15.6">
      <c r="A5" s="24" t="str">
        <v>K041</v>
      </c>
      <c r="B5" s="25" t="str">
        <v>NY</v>
      </c>
      <c r="C5" s="25" t="str">
        <f>Sites[[#This Row],[SOL'#]]</f>
        <v>SOL-10357</v>
      </c>
      <c r="D5" s="20">
        <f>SUM(Jul!D5, Aug!D5, Sep!D5)</f>
        <v>83369.3125</v>
      </c>
      <c r="E5" s="10">
        <f>SUM(Jul!E5, Aug!E5, Sep!E5)</f>
        <v>94700.345000000001</v>
      </c>
      <c r="F5" s="10">
        <f t="shared" si="0"/>
        <v>-11331.032500000001</v>
      </c>
      <c r="G5" s="11">
        <f t="shared" si="1"/>
        <v>-0.11965143843984941</v>
      </c>
      <c r="H5" s="12">
        <f>SUM(Jul!H5,Aug!H5,Sep!H5)</f>
        <v>84647</v>
      </c>
      <c r="I5" s="12">
        <f>SUM(Jul!I5, Aug!I5, Sep!I5)</f>
        <v>-1277.6875</v>
      </c>
      <c r="J5" s="13">
        <f t="shared" si="2"/>
        <v>-1.5094303401183739E-2</v>
      </c>
    </row>
    <row r="6" spans="1:10" ht="15.6">
      <c r="A6" s="26" t="str">
        <v>K043</v>
      </c>
      <c r="B6" s="27" t="str">
        <v>NY</v>
      </c>
      <c r="C6" s="27" t="str">
        <f>Sites[[#This Row],[SOL'#]]</f>
        <v>SOL-10358</v>
      </c>
      <c r="D6" s="9">
        <f>SUM(Jul!D6, Aug!D6, Sep!D6)</f>
        <v>100275.625</v>
      </c>
      <c r="E6" s="14">
        <f>SUM(Jul!E6, Aug!E6, Sep!E6)</f>
        <v>105766.011</v>
      </c>
      <c r="F6" s="14">
        <f t="shared" ref="F6:F37" si="3">IF(AND(ISNUMBER(D6),ISNUMBER(E6)), D6-E6, "")</f>
        <v>-5490.3859999999986</v>
      </c>
      <c r="G6" s="15">
        <f t="shared" si="1"/>
        <v>-5.1910684236734603E-2</v>
      </c>
      <c r="H6" s="16">
        <f>SUM(Jul!H6,Aug!H6,Sep!H6)</f>
        <v>18422.887999999999</v>
      </c>
      <c r="I6" s="16">
        <f>SUM(Jul!I6, Aug!I6, Sep!I6)</f>
        <v>81852.736999999994</v>
      </c>
      <c r="J6" s="15">
        <f t="shared" si="2"/>
        <v>4.4429916199892219</v>
      </c>
    </row>
    <row r="7" spans="1:10" ht="15.6">
      <c r="A7" s="24" t="str">
        <v>K058</v>
      </c>
      <c r="B7" s="25" t="str">
        <v>NY</v>
      </c>
      <c r="C7" s="25" t="str">
        <f>Sites[[#This Row],[SOL'#]]</f>
        <v>SOL-10360</v>
      </c>
      <c r="D7" s="20">
        <f>SUM(Jul!D7, Aug!D7, Sep!D7)</f>
        <v>47810.750481878902</v>
      </c>
      <c r="E7" s="10">
        <f>SUM(Jul!E7, Aug!E7, Sep!E7)</f>
        <v>49255.903999999995</v>
      </c>
      <c r="F7" s="10">
        <f t="shared" si="3"/>
        <v>-1445.1535181210929</v>
      </c>
      <c r="G7" s="11">
        <f t="shared" si="1"/>
        <v>-2.9339701452258251E-2</v>
      </c>
      <c r="H7" s="12">
        <f>SUM(Jul!H7,Aug!H7,Sep!H7)</f>
        <v>79064.713000000003</v>
      </c>
      <c r="I7" s="12">
        <f>SUM(Jul!I7, Aug!I7, Sep!I7)</f>
        <v>-31253.962518121101</v>
      </c>
      <c r="J7" s="13">
        <f t="shared" si="2"/>
        <v>-0.39529597126497001</v>
      </c>
    </row>
    <row r="8" spans="1:10" ht="15.6">
      <c r="A8" s="26" t="str">
        <v>K115</v>
      </c>
      <c r="B8" s="27" t="str">
        <v>NY</v>
      </c>
      <c r="C8" s="27" t="str">
        <f>Sites[[#This Row],[SOL'#]]</f>
        <v>SOL-10361</v>
      </c>
      <c r="D8" s="9">
        <f>SUM(Jul!D8, Aug!D8, Sep!D8)</f>
        <v>23853.328000000001</v>
      </c>
      <c r="E8" s="14">
        <f>SUM(Jul!E8, Aug!E8, Sep!E8)</f>
        <v>45857.462</v>
      </c>
      <c r="F8" s="14">
        <f t="shared" si="3"/>
        <v>-22004.133999999998</v>
      </c>
      <c r="G8" s="15">
        <f t="shared" si="1"/>
        <v>-0.47983758891846212</v>
      </c>
      <c r="H8" s="16">
        <f>SUM(Jul!H8,Aug!H8,Sep!H8)</f>
        <v>48263.555</v>
      </c>
      <c r="I8" s="16">
        <f>SUM(Jul!I8, Aug!I8, Sep!I8)</f>
        <v>-24410.227000000003</v>
      </c>
      <c r="J8" s="15">
        <f t="shared" si="2"/>
        <v>-0.50576935329359807</v>
      </c>
    </row>
    <row r="9" spans="1:10" ht="15.6">
      <c r="A9" s="24" t="str">
        <v>K152</v>
      </c>
      <c r="B9" s="25" t="str">
        <v>NY</v>
      </c>
      <c r="C9" s="25" t="str">
        <f>Sites[[#This Row],[SOL'#]]</f>
        <v>SOL-10362</v>
      </c>
      <c r="D9" s="20">
        <f>SUM(Jul!D9, Aug!D9, Sep!D9)</f>
        <v>30753.563000000002</v>
      </c>
      <c r="E9" s="10">
        <f>SUM(Jul!E9, Aug!E9, Sep!E9)</f>
        <v>31815.94</v>
      </c>
      <c r="F9" s="10">
        <f t="shared" si="3"/>
        <v>-1062.3769999999968</v>
      </c>
      <c r="G9" s="11">
        <f t="shared" si="1"/>
        <v>-3.3391344087271881E-2</v>
      </c>
      <c r="H9" s="12">
        <f>SUM(Jul!H9,Aug!H9,Sep!H9)</f>
        <v>30294</v>
      </c>
      <c r="I9" s="12">
        <f>SUM(Jul!I9, Aug!I9, Sep!I9)</f>
        <v>459.5630000000001</v>
      </c>
      <c r="J9" s="13">
        <f t="shared" si="2"/>
        <v>1.5170099689707537E-2</v>
      </c>
    </row>
    <row r="10" spans="1:10" ht="15.6">
      <c r="A10" s="26" t="str">
        <v>K166</v>
      </c>
      <c r="B10" s="27" t="str">
        <v>NY</v>
      </c>
      <c r="C10" s="27" t="str">
        <f>Sites[[#This Row],[SOL'#]]</f>
        <v>SOL-10363</v>
      </c>
      <c r="D10" s="9">
        <f>SUM(Jul!D10, Aug!D10, Sep!D10)</f>
        <v>108447.875</v>
      </c>
      <c r="E10" s="14">
        <f>SUM(Jul!E10, Aug!E10, Sep!E10)</f>
        <v>121781.59100000001</v>
      </c>
      <c r="F10" s="14">
        <f t="shared" si="3"/>
        <v>-13333.716000000015</v>
      </c>
      <c r="G10" s="15">
        <f t="shared" si="1"/>
        <v>-0.10948876501375329</v>
      </c>
      <c r="H10" s="16">
        <f>SUM(Jul!H10,Aug!H10,Sep!H10)</f>
        <v>111255.98700000001</v>
      </c>
      <c r="I10" s="16">
        <f>SUM(Jul!I10, Aug!I10, Sep!I10)</f>
        <v>-2808.1119999999974</v>
      </c>
      <c r="J10" s="15">
        <f t="shared" si="2"/>
        <v>-2.5240097865474844E-2</v>
      </c>
    </row>
    <row r="11" spans="1:10" ht="15.6">
      <c r="A11" s="24" t="str">
        <v>K206</v>
      </c>
      <c r="B11" s="25" t="str">
        <v>NY</v>
      </c>
      <c r="C11" s="25" t="str">
        <f>Sites[[#This Row],[SOL'#]]</f>
        <v>SOL-10927</v>
      </c>
      <c r="D11" s="20">
        <f>SUM(Jul!D11, Aug!D11, Sep!D11)</f>
        <v>68533.984375</v>
      </c>
      <c r="E11" s="10">
        <f>SUM(Jul!E11, Aug!E11, Sep!E11)</f>
        <v>63397.64</v>
      </c>
      <c r="F11" s="10">
        <f t="shared" si="3"/>
        <v>5136.3443750000006</v>
      </c>
      <c r="G11" s="11">
        <f t="shared" si="1"/>
        <v>8.1017911313417984E-2</v>
      </c>
      <c r="H11" s="12">
        <f>SUM(Jul!H11,Aug!H11,Sep!H11)</f>
        <v>63283</v>
      </c>
      <c r="I11" s="12">
        <f>SUM(Jul!I11, Aug!I11, Sep!I11)</f>
        <v>5250.984375</v>
      </c>
      <c r="J11" s="13">
        <f t="shared" si="2"/>
        <v>8.2976223867389343E-2</v>
      </c>
    </row>
    <row r="12" spans="1:10" ht="15.6">
      <c r="A12" s="26" t="str">
        <v>K251</v>
      </c>
      <c r="B12" s="27" t="str">
        <v>NY</v>
      </c>
      <c r="C12" s="27" t="str">
        <f>Sites[[#This Row],[SOL'#]]</f>
        <v>SOL-10365</v>
      </c>
      <c r="D12" s="9">
        <f>SUM(Jul!D12, Aug!D12, Sep!D12)</f>
        <v>65859.812499999898</v>
      </c>
      <c r="E12" s="14">
        <f>SUM(Jul!E12, Aug!E12, Sep!E12)</f>
        <v>0</v>
      </c>
      <c r="F12" s="14">
        <f t="shared" si="3"/>
        <v>65859.812499999898</v>
      </c>
      <c r="G12" s="15" t="str">
        <f t="shared" si="1"/>
        <v/>
      </c>
      <c r="H12" s="16">
        <f>SUM(Jul!H12,Aug!H12,Sep!H12)</f>
        <v>70866.956999999995</v>
      </c>
      <c r="I12" s="16">
        <f>SUM(Jul!I12, Aug!I12, Sep!I12)</f>
        <v>-5007.1445000001004</v>
      </c>
      <c r="J12" s="15">
        <f t="shared" si="2"/>
        <v>-7.0655559543781471E-2</v>
      </c>
    </row>
    <row r="13" spans="1:10" ht="15.6">
      <c r="A13" s="24" t="str">
        <v>K269</v>
      </c>
      <c r="B13" s="25" t="str">
        <v>NY</v>
      </c>
      <c r="C13" s="25" t="str">
        <f>Sites[[#This Row],[SOL'#]]</f>
        <v>SOL-10366</v>
      </c>
      <c r="D13" s="20">
        <f>SUM(Jul!D13, Aug!D13, Sep!D13)</f>
        <v>67163.000499999995</v>
      </c>
      <c r="E13" s="10">
        <f>SUM(Jul!E13, Aug!E13, Sep!E13)</f>
        <v>78829.963000000003</v>
      </c>
      <c r="F13" s="10">
        <f t="shared" si="3"/>
        <v>-11666.962500000009</v>
      </c>
      <c r="G13" s="11">
        <f t="shared" si="1"/>
        <v>-0.14800162344361381</v>
      </c>
      <c r="H13" s="12">
        <f>SUM(Jul!H13,Aug!H13,Sep!H13)</f>
        <v>67148.255000000005</v>
      </c>
      <c r="I13" s="12">
        <f>SUM(Jul!I13, Aug!I13, Sep!I13)</f>
        <v>14.745499999997264</v>
      </c>
      <c r="J13" s="13">
        <f t="shared" si="2"/>
        <v>2.1959617565634823E-4</v>
      </c>
    </row>
    <row r="14" spans="1:10" ht="15.6">
      <c r="A14" s="26" t="str">
        <v>K273</v>
      </c>
      <c r="B14" s="27" t="str">
        <v>NY</v>
      </c>
      <c r="C14" s="27" t="str">
        <f>Sites[[#This Row],[SOL'#]]</f>
        <v>SOL-10367</v>
      </c>
      <c r="D14" s="9">
        <f>SUM(Jul!D14, Aug!D14, Sep!D14)</f>
        <v>47901.5625</v>
      </c>
      <c r="E14" s="14">
        <f>SUM(Jul!E14, Aug!E14, Sep!E14)</f>
        <v>0</v>
      </c>
      <c r="F14" s="14">
        <f t="shared" si="3"/>
        <v>47901.5625</v>
      </c>
      <c r="G14" s="15" t="str">
        <f t="shared" si="1"/>
        <v/>
      </c>
      <c r="H14" s="16">
        <f>SUM(Jul!H14,Aug!H14,Sep!H14)</f>
        <v>61742</v>
      </c>
      <c r="I14" s="16">
        <f>SUM(Jul!I14, Aug!I14, Sep!I14)</f>
        <v>-25931.4375</v>
      </c>
      <c r="J14" s="15">
        <f t="shared" si="2"/>
        <v>-0.41999672022286288</v>
      </c>
    </row>
    <row r="15" spans="1:10" ht="15.6">
      <c r="A15" s="24" t="str">
        <v>K287</v>
      </c>
      <c r="B15" s="25" t="str">
        <v>NY</v>
      </c>
      <c r="C15" s="25" t="str">
        <f>Sites[[#This Row],[SOL'#]]</f>
        <v>SOL-10919</v>
      </c>
      <c r="D15" s="20">
        <f>SUM(Jul!D15, Aug!D15, Sep!D15)</f>
        <v>57940.531750000002</v>
      </c>
      <c r="E15" s="10">
        <f>SUM(Jul!E15, Aug!E15, Sep!E15)</f>
        <v>50076.435999999994</v>
      </c>
      <c r="F15" s="10">
        <f t="shared" si="3"/>
        <v>7864.0957500000077</v>
      </c>
      <c r="G15" s="11">
        <f t="shared" si="1"/>
        <v>0.1570418419953051</v>
      </c>
      <c r="H15" s="12">
        <f>SUM(Jul!H15,Aug!H15,Sep!H15)</f>
        <v>57858</v>
      </c>
      <c r="I15" s="12">
        <f>SUM(Jul!I15, Aug!I15, Sep!I15)</f>
        <v>82.531750000000102</v>
      </c>
      <c r="J15" s="13">
        <f t="shared" si="2"/>
        <v>1.4264535587127122E-3</v>
      </c>
    </row>
    <row r="16" spans="1:10" ht="15.6">
      <c r="A16" s="26" t="str">
        <v>K298</v>
      </c>
      <c r="B16" s="27" t="str">
        <v>NY</v>
      </c>
      <c r="C16" s="27" t="str">
        <f>Sites[[#This Row],[SOL'#]]</f>
        <v>SOL-10368</v>
      </c>
      <c r="D16" s="9">
        <f>SUM(Jul!D16, Aug!D16, Sep!D16)</f>
        <v>63226.187999999995</v>
      </c>
      <c r="E16" s="14">
        <f>SUM(Jul!E16, Aug!E16, Sep!E16)</f>
        <v>67072.087999999989</v>
      </c>
      <c r="F16" s="14">
        <f t="shared" si="3"/>
        <v>-3845.8999999999942</v>
      </c>
      <c r="G16" s="15">
        <f t="shared" si="1"/>
        <v>-5.7339798337573668E-2</v>
      </c>
      <c r="H16" s="16">
        <f>SUM(Jul!H16,Aug!H16,Sep!H16)</f>
        <v>66523</v>
      </c>
      <c r="I16" s="16">
        <f>SUM(Jul!I16, Aug!I16, Sep!I16)</f>
        <v>-3296.8120000000017</v>
      </c>
      <c r="J16" s="15">
        <f t="shared" si="2"/>
        <v>-4.9558979601040269E-2</v>
      </c>
    </row>
    <row r="17" spans="1:10" ht="15.6">
      <c r="A17" s="24" t="str">
        <v>K335</v>
      </c>
      <c r="B17" s="25" t="str">
        <v>NY</v>
      </c>
      <c r="C17" s="25" t="str">
        <f>Sites[[#This Row],[SOL'#]]</f>
        <v>SOL-10370</v>
      </c>
      <c r="D17" s="20">
        <f>SUM(Jul!D17, Aug!D17, Sep!D17)</f>
        <v>65936.625</v>
      </c>
      <c r="E17" s="10">
        <f>SUM(Jul!E17, Aug!E17, Sep!E17)</f>
        <v>74000.683999999994</v>
      </c>
      <c r="F17" s="10">
        <f t="shared" si="3"/>
        <v>-8064.0589999999938</v>
      </c>
      <c r="G17" s="11">
        <f t="shared" si="1"/>
        <v>-0.10897276300851481</v>
      </c>
      <c r="H17" s="12">
        <f>SUM(Jul!H17,Aug!H17,Sep!H17)</f>
        <v>52227.097000000002</v>
      </c>
      <c r="I17" s="12">
        <f>SUM(Jul!I17, Aug!I17, Sep!I17)</f>
        <v>13709.527999999998</v>
      </c>
      <c r="J17" s="13">
        <f t="shared" si="2"/>
        <v>0.26249837321036623</v>
      </c>
    </row>
    <row r="18" spans="1:10" ht="15.6">
      <c r="A18" s="26" t="str">
        <v>K345</v>
      </c>
      <c r="B18" s="27" t="str">
        <v>NY</v>
      </c>
      <c r="C18" s="27" t="str">
        <f>Sites[[#This Row],[SOL'#]]</f>
        <v>SOL-10920</v>
      </c>
      <c r="D18" s="9">
        <f>SUM(Jul!D18, Aug!D18, Sep!D18)</f>
        <v>77640.75</v>
      </c>
      <c r="E18" s="14">
        <f>SUM(Jul!E18, Aug!E18, Sep!E18)</f>
        <v>45360.697</v>
      </c>
      <c r="F18" s="14">
        <f t="shared" si="3"/>
        <v>32280.053</v>
      </c>
      <c r="G18" s="15">
        <f t="shared" si="1"/>
        <v>0.71163044518473784</v>
      </c>
      <c r="H18" s="16">
        <f>SUM(Jul!H18,Aug!H18,Sep!H18)</f>
        <v>76681.5</v>
      </c>
      <c r="I18" s="16">
        <f>SUM(Jul!I18, Aug!I18, Sep!I18)</f>
        <v>959.25</v>
      </c>
      <c r="J18" s="15">
        <f t="shared" si="2"/>
        <v>1.2509536198431172E-2</v>
      </c>
    </row>
    <row r="19" spans="1:10" ht="15.6">
      <c r="A19" s="24" t="str">
        <v>K445</v>
      </c>
      <c r="B19" s="25" t="str">
        <v>NY</v>
      </c>
      <c r="C19" s="25" t="str">
        <f>Sites[[#This Row],[SOL'#]]</f>
        <v>SOL-10373</v>
      </c>
      <c r="D19" s="20">
        <f>SUM(Jul!D19, Aug!D19, Sep!D19)</f>
        <v>63606.093999999895</v>
      </c>
      <c r="E19" s="10">
        <f>SUM(Jul!E19, Aug!E19, Sep!E19)</f>
        <v>70248.956000000006</v>
      </c>
      <c r="F19" s="10">
        <f t="shared" si="3"/>
        <v>-6642.8620000001101</v>
      </c>
      <c r="G19" s="11">
        <f t="shared" si="1"/>
        <v>-9.4561718468814102E-2</v>
      </c>
      <c r="H19" s="12">
        <f>SUM(Jul!H19,Aug!H19,Sep!H19)</f>
        <v>63005.58</v>
      </c>
      <c r="I19" s="12">
        <f>SUM(Jul!I19, Aug!I19, Sep!I19)</f>
        <v>600.51399999990463</v>
      </c>
      <c r="J19" s="13">
        <f t="shared" si="2"/>
        <v>9.5311240686920835E-3</v>
      </c>
    </row>
    <row r="20" spans="1:10" ht="15.6">
      <c r="A20" s="26" t="str">
        <v>K495</v>
      </c>
      <c r="B20" s="27" t="str">
        <v>NY</v>
      </c>
      <c r="C20" s="27" t="str">
        <f>Sites[[#This Row],[SOL'#]]</f>
        <v>SOL-10374</v>
      </c>
      <c r="D20" s="9">
        <f>SUM(Jul!D20, Aug!D20, Sep!D20)</f>
        <v>265274.00000000023</v>
      </c>
      <c r="E20" s="14">
        <f>SUM(Jul!E20, Aug!E20, Sep!E20)</f>
        <v>273026.19</v>
      </c>
      <c r="F20" s="14">
        <f t="shared" si="3"/>
        <v>-7752.1899999997695</v>
      </c>
      <c r="G20" s="15">
        <f t="shared" si="1"/>
        <v>-2.8393576455063779E-2</v>
      </c>
      <c r="H20" s="16">
        <f>SUM(Jul!H20,Aug!H20,Sep!H20)</f>
        <v>276632.59600000002</v>
      </c>
      <c r="I20" s="16">
        <f>SUM(Jul!I20, Aug!I20, Sep!I20)</f>
        <v>-11358.595999999801</v>
      </c>
      <c r="J20" s="15">
        <f t="shared" si="2"/>
        <v>-4.1060222707810616E-2</v>
      </c>
    </row>
    <row r="21" spans="1:10" ht="15.6">
      <c r="A21" s="24" t="str">
        <v>M020</v>
      </c>
      <c r="B21" s="25" t="str">
        <v>NY</v>
      </c>
      <c r="C21" s="25" t="str">
        <f>Sites[[#This Row],[SOL'#]]</f>
        <v>SOL-10380</v>
      </c>
      <c r="D21" s="20">
        <f>SUM(Jul!D21, Aug!D21, Sep!D21)</f>
        <v>71058.093500000003</v>
      </c>
      <c r="E21" s="10">
        <f>SUM(Jul!E21, Aug!E21, Sep!E21)</f>
        <v>72481.082999999999</v>
      </c>
      <c r="F21" s="10">
        <f t="shared" si="3"/>
        <v>-1422.989499999996</v>
      </c>
      <c r="G21" s="11">
        <f t="shared" si="1"/>
        <v>-1.9632563989144532E-2</v>
      </c>
      <c r="H21" s="12">
        <f>SUM(Jul!H21,Aug!H21,Sep!H21)</f>
        <v>72379.5</v>
      </c>
      <c r="I21" s="12">
        <f>SUM(Jul!I21, Aug!I21, Sep!I21)</f>
        <v>-1321.406500000001</v>
      </c>
      <c r="J21" s="13">
        <f t="shared" si="2"/>
        <v>-1.8256640347059608E-2</v>
      </c>
    </row>
    <row r="22" spans="1:10" ht="15.6">
      <c r="A22" s="26" t="str">
        <v>M092</v>
      </c>
      <c r="B22" s="27" t="str">
        <v>NY</v>
      </c>
      <c r="C22" s="27" t="str">
        <f>Sites[[#This Row],[SOL'#]]</f>
        <v>SOL-10383</v>
      </c>
      <c r="D22" s="9">
        <f>SUM(Jul!D22, Aug!D22, Sep!D22)</f>
        <v>69569</v>
      </c>
      <c r="E22" s="14">
        <f>SUM(Jul!E22, Aug!E22, Sep!E22)</f>
        <v>73855.491999999998</v>
      </c>
      <c r="F22" s="14">
        <f t="shared" si="3"/>
        <v>-4286.4919999999984</v>
      </c>
      <c r="G22" s="15">
        <f t="shared" si="1"/>
        <v>-5.8038906571768537E-2</v>
      </c>
      <c r="H22" s="16">
        <f>SUM(Jul!H22,Aug!H22,Sep!H22)</f>
        <v>69176.449000000008</v>
      </c>
      <c r="I22" s="16">
        <f>SUM(Jul!I22, Aug!I22, Sep!I22)</f>
        <v>392.55099999999948</v>
      </c>
      <c r="J22" s="15">
        <f t="shared" si="2"/>
        <v>5.6746335736313873E-3</v>
      </c>
    </row>
    <row r="23" spans="1:10" ht="15.6">
      <c r="A23" s="24" t="str">
        <v>M143</v>
      </c>
      <c r="B23" s="25" t="str">
        <v>NY</v>
      </c>
      <c r="C23" s="25" t="str">
        <f>Sites[[#This Row],[SOL'#]]</f>
        <v>SOL-10384</v>
      </c>
      <c r="D23" s="20">
        <f>SUM(Jul!D23, Aug!D23, Sep!D23)</f>
        <v>74840.125499999893</v>
      </c>
      <c r="E23" s="10">
        <f>SUM(Jul!E23, Aug!E23, Sep!E23)</f>
        <v>90753.038</v>
      </c>
      <c r="F23" s="10">
        <f t="shared" si="3"/>
        <v>-15912.912500000108</v>
      </c>
      <c r="G23" s="11">
        <f t="shared" si="1"/>
        <v>-0.17534302818601077</v>
      </c>
      <c r="H23" s="12">
        <f>SUM(Jul!H23,Aug!H23,Sep!H23)</f>
        <v>75396.104999999996</v>
      </c>
      <c r="I23" s="12">
        <f>SUM(Jul!I23, Aug!I23, Sep!I23)</f>
        <v>-555.97950000009951</v>
      </c>
      <c r="J23" s="13">
        <f t="shared" si="2"/>
        <v>-7.3741143524602435E-3</v>
      </c>
    </row>
    <row r="24" spans="1:10" ht="15.6">
      <c r="A24" s="26" t="str">
        <v>M144</v>
      </c>
      <c r="B24" s="27" t="str">
        <v>NY</v>
      </c>
      <c r="C24" s="27" t="str">
        <f>Sites[[#This Row],[SOL'#]]</f>
        <v>SOL-10385</v>
      </c>
      <c r="D24" s="9">
        <f>SUM(Jul!D24, Aug!D24, Sep!D24)</f>
        <v>114122.375</v>
      </c>
      <c r="E24" s="14">
        <f>SUM(Jul!E24, Aug!E24, Sep!E24)</f>
        <v>124493.74500000001</v>
      </c>
      <c r="F24" s="14">
        <f t="shared" si="3"/>
        <v>-10371.37000000001</v>
      </c>
      <c r="G24" s="15">
        <f t="shared" si="1"/>
        <v>-8.3308362199241495E-2</v>
      </c>
      <c r="H24" s="16">
        <f>SUM(Jul!H24,Aug!H24,Sep!H24)</f>
        <v>129978.84100000001</v>
      </c>
      <c r="I24" s="16">
        <f>SUM(Jul!I24, Aug!I24, Sep!I24)</f>
        <v>-15856.466000000008</v>
      </c>
      <c r="J24" s="15">
        <f t="shared" si="2"/>
        <v>-0.1219926710994446</v>
      </c>
    </row>
    <row r="25" spans="1:10" ht="15.6">
      <c r="A25" s="24" t="str">
        <v>M167</v>
      </c>
      <c r="B25" s="25" t="str">
        <v>NY</v>
      </c>
      <c r="C25" s="25" t="str">
        <f>Sites[[#This Row],[SOL'#]]</f>
        <v>SOL-10386</v>
      </c>
      <c r="D25" s="20">
        <f>SUM(Jul!D25, Aug!D25, Sep!D25)</f>
        <v>84940.531749999995</v>
      </c>
      <c r="E25" s="10">
        <f>SUM(Jul!E25, Aug!E25, Sep!E25)</f>
        <v>64544.728000000003</v>
      </c>
      <c r="F25" s="10">
        <f t="shared" si="3"/>
        <v>20395.803749999992</v>
      </c>
      <c r="G25" s="11">
        <f t="shared" si="1"/>
        <v>0.31599488264943948</v>
      </c>
      <c r="H25" s="12">
        <f>SUM(Jul!H25,Aug!H25,Sep!H25)</f>
        <v>92900.013999999996</v>
      </c>
      <c r="I25" s="12">
        <f>SUM(Jul!I25, Aug!I25, Sep!I25)</f>
        <v>-7959.4822500000046</v>
      </c>
      <c r="J25" s="13">
        <f t="shared" si="2"/>
        <v>-8.5677944569524017E-2</v>
      </c>
    </row>
    <row r="26" spans="1:10" ht="15.6">
      <c r="A26" s="26" t="str">
        <v>M188</v>
      </c>
      <c r="B26" s="27" t="str">
        <v>NY</v>
      </c>
      <c r="C26" s="27" t="str">
        <f>Sites[[#This Row],[SOL'#]]</f>
        <v>SOL-10387</v>
      </c>
      <c r="D26" s="9">
        <f>SUM(Jul!D26, Aug!D26, Sep!D26)</f>
        <v>59380.59375</v>
      </c>
      <c r="E26" s="14">
        <f>SUM(Jul!E26, Aug!E26, Sep!E26)</f>
        <v>61299.342999999993</v>
      </c>
      <c r="F26" s="14">
        <f t="shared" si="3"/>
        <v>-1918.7492499999935</v>
      </c>
      <c r="G26" s="15">
        <f t="shared" si="1"/>
        <v>-3.1301302038424683E-2</v>
      </c>
      <c r="H26" s="16">
        <f>SUM(Jul!H26,Aug!H26,Sep!H26)</f>
        <v>66314.489000000001</v>
      </c>
      <c r="I26" s="16">
        <f>SUM(Jul!I26, Aug!I26, Sep!I26)</f>
        <v>-6933.8952499999978</v>
      </c>
      <c r="J26" s="15">
        <f t="shared" si="2"/>
        <v>-0.10456078836707915</v>
      </c>
    </row>
    <row r="27" spans="1:10" ht="15.6">
      <c r="A27" s="24" t="str">
        <v>EMHC</v>
      </c>
      <c r="B27" s="25" t="str">
        <v>NY</v>
      </c>
      <c r="C27" s="25" t="str">
        <f>Sites[[#This Row],[SOL'#]]</f>
        <v>SOL-10351</v>
      </c>
      <c r="D27" s="20">
        <f>SUM(Jul!D27, Aug!D27, Sep!D27)</f>
        <v>25153.648312500001</v>
      </c>
      <c r="E27" s="10">
        <f>SUM(Jul!E27, Aug!E27, Sep!E27)</f>
        <v>19554.665000000001</v>
      </c>
      <c r="F27" s="10">
        <f t="shared" si="3"/>
        <v>5598.9833125000005</v>
      </c>
      <c r="G27" s="11">
        <f t="shared" si="1"/>
        <v>0.28632468582305043</v>
      </c>
      <c r="H27" s="12">
        <f>SUM(Jul!H27,Aug!H27,Sep!H27)</f>
        <v>30192.233</v>
      </c>
      <c r="I27" s="12">
        <f>SUM(Jul!I27, Aug!I27, Sep!I27)</f>
        <v>-5038.5846874999988</v>
      </c>
      <c r="J27" s="13">
        <f t="shared" si="2"/>
        <v>-0.16688347256395375</v>
      </c>
    </row>
    <row r="28" spans="1:10" ht="15.6">
      <c r="A28" s="26" t="str">
        <v>Q008</v>
      </c>
      <c r="B28" s="27" t="str">
        <v>NY</v>
      </c>
      <c r="C28" s="27" t="str">
        <f>Sites[[#This Row],[SOL'#]]</f>
        <v>SOL-10397</v>
      </c>
      <c r="D28" s="9">
        <f>SUM(Jul!D28, Aug!D28, Sep!D28)</f>
        <v>26542.030640330959</v>
      </c>
      <c r="E28" s="14">
        <f>SUM(Jul!E28, Aug!E28, Sep!E28)</f>
        <v>31294.699000000001</v>
      </c>
      <c r="F28" s="14">
        <f t="shared" si="3"/>
        <v>-4752.6683596690418</v>
      </c>
      <c r="G28" s="15">
        <f t="shared" si="1"/>
        <v>-0.15186816015290774</v>
      </c>
      <c r="H28" s="16">
        <f>SUM(Jul!H28,Aug!H28,Sep!H28)</f>
        <v>92935</v>
      </c>
      <c r="I28" s="16">
        <f>SUM(Jul!I28, Aug!I28, Sep!I28)</f>
        <v>-66392.969359669034</v>
      </c>
      <c r="J28" s="15">
        <f t="shared" si="2"/>
        <v>-0.71440220971290724</v>
      </c>
    </row>
    <row r="29" spans="1:10" ht="15.6">
      <c r="A29" s="24" t="str">
        <v>Q018</v>
      </c>
      <c r="B29" s="25" t="str">
        <v>NY</v>
      </c>
      <c r="C29" s="25" t="str">
        <f>Sites[[#This Row],[SOL'#]]</f>
        <v>SOL-10398</v>
      </c>
      <c r="D29" s="20">
        <f>SUM(Jul!D29, Aug!D29, Sep!D29)</f>
        <v>61128.5625</v>
      </c>
      <c r="E29" s="10">
        <f>SUM(Jul!E29, Aug!E29, Sep!E29)</f>
        <v>66556.276000000013</v>
      </c>
      <c r="F29" s="10">
        <f t="shared" si="3"/>
        <v>-5427.7135000000126</v>
      </c>
      <c r="G29" s="11">
        <f t="shared" si="1"/>
        <v>-8.1550739106857659E-2</v>
      </c>
      <c r="H29" s="12">
        <f>SUM(Jul!H29,Aug!H29,Sep!H29)</f>
        <v>50883.92</v>
      </c>
      <c r="I29" s="12">
        <f>SUM(Jul!I29, Aug!I29, Sep!I29)</f>
        <v>10244.642499999998</v>
      </c>
      <c r="J29" s="13">
        <f t="shared" si="2"/>
        <v>0.20133359418849803</v>
      </c>
    </row>
    <row r="30" spans="1:10" ht="15.6">
      <c r="A30" s="26" t="str">
        <v>Q021</v>
      </c>
      <c r="B30" s="27" t="str">
        <v>NY</v>
      </c>
      <c r="C30" s="27" t="str">
        <f>Sites[[#This Row],[SOL'#]]</f>
        <v>SOL-10399</v>
      </c>
      <c r="D30" s="9">
        <f>SUM(Jul!D30, Aug!D30, Sep!D30)</f>
        <v>49071.563000000002</v>
      </c>
      <c r="E30" s="14">
        <f>SUM(Jul!E30, Aug!E30, Sep!E30)</f>
        <v>48793.34599999999</v>
      </c>
      <c r="F30" s="14">
        <f t="shared" si="3"/>
        <v>278.21700000001147</v>
      </c>
      <c r="G30" s="15">
        <f t="shared" si="1"/>
        <v>5.7019455070781893E-3</v>
      </c>
      <c r="H30" s="16">
        <f>SUM(Jul!H30,Aug!H30,Sep!H30)</f>
        <v>46463.823999999993</v>
      </c>
      <c r="I30" s="16">
        <f>SUM(Jul!I30, Aug!I30, Sep!I30)</f>
        <v>2607.7389999999996</v>
      </c>
      <c r="J30" s="15">
        <f t="shared" si="2"/>
        <v>5.6124071923137446E-2</v>
      </c>
    </row>
    <row r="31" spans="1:10" ht="15.6">
      <c r="A31" s="24" t="str">
        <v>Q025</v>
      </c>
      <c r="B31" s="25" t="str">
        <v>NY</v>
      </c>
      <c r="C31" s="25" t="str">
        <f>Sites[[#This Row],[SOL'#]]</f>
        <v>SOL-10400</v>
      </c>
      <c r="D31" s="20">
        <f>SUM(Jul!D31, Aug!D31, Sep!D31)</f>
        <v>83921.75</v>
      </c>
      <c r="E31" s="10">
        <f>SUM(Jul!E31, Aug!E31, Sep!E31)</f>
        <v>82790.903000000006</v>
      </c>
      <c r="F31" s="10">
        <f t="shared" si="3"/>
        <v>1130.8469999999943</v>
      </c>
      <c r="G31" s="11">
        <f t="shared" si="1"/>
        <v>1.3659073147203072E-2</v>
      </c>
      <c r="H31" s="12">
        <f>SUM(Jul!H31,Aug!H31,Sep!H31)</f>
        <v>42188.5</v>
      </c>
      <c r="I31" s="12">
        <f>SUM(Jul!I31, Aug!I31, Sep!I31)</f>
        <v>41733.25</v>
      </c>
      <c r="J31" s="13">
        <f t="shared" si="2"/>
        <v>0.98920914467212628</v>
      </c>
    </row>
    <row r="32" spans="1:10" ht="15.6">
      <c r="A32" s="26" t="str">
        <v>Q074</v>
      </c>
      <c r="B32" s="27" t="str">
        <v>NY</v>
      </c>
      <c r="C32" s="27" t="str">
        <f>Sites[[#This Row],[SOL'#]]</f>
        <v>SOL-10402</v>
      </c>
      <c r="D32" s="9">
        <f>SUM(Jul!D32, Aug!D32, Sep!D32)</f>
        <v>51157.4375</v>
      </c>
      <c r="E32" s="14">
        <f>SUM(Jul!E32, Aug!E32, Sep!E32)</f>
        <v>50633.337</v>
      </c>
      <c r="F32" s="14">
        <f t="shared" si="3"/>
        <v>524.10050000000047</v>
      </c>
      <c r="G32" s="15">
        <f t="shared" si="1"/>
        <v>1.0350897867940256E-2</v>
      </c>
      <c r="H32" s="16">
        <f>SUM(Jul!H32,Aug!H32,Sep!H32)</f>
        <v>52420.514999999999</v>
      </c>
      <c r="I32" s="16">
        <f>SUM(Jul!I32, Aug!I32, Sep!I32)</f>
        <v>-1263.0774999999976</v>
      </c>
      <c r="J32" s="15">
        <f t="shared" si="2"/>
        <v>-2.4095099027546706E-2</v>
      </c>
    </row>
    <row r="33" spans="1:10" ht="15.6">
      <c r="A33" s="24" t="str">
        <v>Q115</v>
      </c>
      <c r="B33" s="25" t="str">
        <v>NY</v>
      </c>
      <c r="C33" s="25" t="str">
        <f>Sites[[#This Row],[SOL'#]]</f>
        <v>SOL-10872</v>
      </c>
      <c r="D33" s="20">
        <f>SUM(Jul!D33, Aug!D33, Sep!D33)</f>
        <v>70737.187999999995</v>
      </c>
      <c r="E33" s="10">
        <f>SUM(Jul!E33, Aug!E33, Sep!E33)</f>
        <v>75838.467999999993</v>
      </c>
      <c r="F33" s="10">
        <f t="shared" si="3"/>
        <v>-5101.2799999999988</v>
      </c>
      <c r="G33" s="11">
        <f t="shared" si="1"/>
        <v>-6.726507186300229E-2</v>
      </c>
      <c r="H33" s="12">
        <f>SUM(Jul!H33,Aug!H33,Sep!H33)</f>
        <v>69710.339000000007</v>
      </c>
      <c r="I33" s="12">
        <f>SUM(Jul!I33, Aug!I33, Sep!I33)</f>
        <v>1026.8489999999983</v>
      </c>
      <c r="J33" s="13">
        <f t="shared" si="2"/>
        <v>1.4730225311341525E-2</v>
      </c>
    </row>
    <row r="34" spans="1:10" ht="15.6">
      <c r="A34" s="26" t="str">
        <v>Q139</v>
      </c>
      <c r="B34" s="27" t="str">
        <v>NY</v>
      </c>
      <c r="C34" s="27" t="str">
        <f>Sites[[#This Row],[SOL'#]]</f>
        <v>SOL-10403</v>
      </c>
      <c r="D34" s="9">
        <f>SUM(Jul!D34, Aug!D34, Sep!D34)</f>
        <v>42470.71875</v>
      </c>
      <c r="E34" s="14">
        <f>SUM(Jul!E34, Aug!E34, Sep!E34)</f>
        <v>45742.152000000002</v>
      </c>
      <c r="F34" s="14">
        <f t="shared" si="3"/>
        <v>-3271.4332500000019</v>
      </c>
      <c r="G34" s="15">
        <f t="shared" si="1"/>
        <v>-7.1519006145578851E-2</v>
      </c>
      <c r="H34" s="16">
        <f>SUM(Jul!H34,Aug!H34,Sep!H34)</f>
        <v>44081</v>
      </c>
      <c r="I34" s="16">
        <f>SUM(Jul!I34, Aug!I34, Sep!I34)</f>
        <v>-1610.28125</v>
      </c>
      <c r="J34" s="15">
        <f t="shared" si="2"/>
        <v>-3.6530052630384974E-2</v>
      </c>
    </row>
    <row r="35" spans="1:10" ht="15.6">
      <c r="A35" s="24" t="str">
        <v>Q157</v>
      </c>
      <c r="B35" s="25" t="str">
        <v>NY</v>
      </c>
      <c r="C35" s="25" t="str">
        <f>Sites[[#This Row],[SOL'#]]</f>
        <v>SOL-10404</v>
      </c>
      <c r="D35" s="20">
        <f>SUM(Jul!D35, Aug!D35, Sep!D35)</f>
        <v>70272.562999999995</v>
      </c>
      <c r="E35" s="10">
        <f>SUM(Jul!E35, Aug!E35, Sep!E35)</f>
        <v>86302.056000000011</v>
      </c>
      <c r="F35" s="10">
        <f t="shared" si="3"/>
        <v>-16029.493000000017</v>
      </c>
      <c r="G35" s="11">
        <f t="shared" si="1"/>
        <v>-0.1857370929842044</v>
      </c>
      <c r="H35" s="12">
        <f>SUM(Jul!H35,Aug!H35,Sep!H35)</f>
        <v>75192.887999999992</v>
      </c>
      <c r="I35" s="12">
        <f>SUM(Jul!I35, Aug!I35, Sep!I35)</f>
        <v>-4920.3250000000007</v>
      </c>
      <c r="J35" s="13">
        <f t="shared" si="2"/>
        <v>-6.5436042302298603E-2</v>
      </c>
    </row>
    <row r="36" spans="1:10" ht="15.6">
      <c r="A36" s="26" t="str">
        <v>Q192</v>
      </c>
      <c r="B36" s="27" t="str">
        <v>NY</v>
      </c>
      <c r="C36" s="27" t="str">
        <f>Sites[[#This Row],[SOL'#]]</f>
        <v>SOL-10406</v>
      </c>
      <c r="D36" s="9">
        <f>SUM(Jul!D36, Aug!D36, Sep!D36)</f>
        <v>116700.125</v>
      </c>
      <c r="E36" s="14">
        <f>SUM(Jul!E36, Aug!E36, Sep!E36)</f>
        <v>128995.25200000001</v>
      </c>
      <c r="F36" s="14">
        <f t="shared" si="3"/>
        <v>-12295.127000000008</v>
      </c>
      <c r="G36" s="15">
        <f t="shared" si="1"/>
        <v>-9.5314570182784761E-2</v>
      </c>
      <c r="H36" s="16">
        <f>SUM(Jul!H36,Aug!H36,Sep!H36)</f>
        <v>73423.073799999998</v>
      </c>
      <c r="I36" s="16">
        <f>SUM(Jul!I36, Aug!I36, Sep!I36)</f>
        <v>43277.051200000002</v>
      </c>
      <c r="J36" s="15">
        <f t="shared" si="2"/>
        <v>0.58942031380876347</v>
      </c>
    </row>
    <row r="37" spans="1:10" ht="15.6">
      <c r="A37" s="24" t="str">
        <v>Q210</v>
      </c>
      <c r="B37" s="25" t="str">
        <v>NY</v>
      </c>
      <c r="C37" s="25" t="str">
        <f>Sites[[#This Row],[SOL'#]]</f>
        <v>SOL-10407</v>
      </c>
      <c r="D37" s="20">
        <f>SUM(Jul!D37, Aug!D37, Sep!D37)</f>
        <v>91265</v>
      </c>
      <c r="E37" s="10">
        <f>SUM(Jul!E37, Aug!E37, Sep!E37)</f>
        <v>96334.688999999998</v>
      </c>
      <c r="F37" s="10">
        <f t="shared" si="3"/>
        <v>-5069.6889999999985</v>
      </c>
      <c r="G37" s="11">
        <f t="shared" si="1"/>
        <v>-5.2625788826701859E-2</v>
      </c>
      <c r="H37" s="12">
        <f>SUM(Jul!H37,Aug!H37,Sep!H37)</f>
        <v>94829</v>
      </c>
      <c r="I37" s="12">
        <f>SUM(Jul!I37, Aug!I37, Sep!I37)</f>
        <v>-3564</v>
      </c>
      <c r="J37" s="13">
        <f t="shared" si="2"/>
        <v>-3.7583439665081354E-2</v>
      </c>
    </row>
    <row r="38" spans="1:10" ht="15.6">
      <c r="A38" s="26" t="str">
        <v>Q229</v>
      </c>
      <c r="B38" s="27" t="str">
        <v>NY</v>
      </c>
      <c r="C38" s="27" t="str">
        <f>Sites[[#This Row],[SOL'#]]</f>
        <v>SOL-10408</v>
      </c>
      <c r="D38" s="9">
        <f>SUM(Jul!D38, Aug!D38, Sep!D38)</f>
        <v>41357.5625</v>
      </c>
      <c r="E38" s="14">
        <f>SUM(Jul!E38, Aug!E38, Sep!E38)</f>
        <v>47038.144</v>
      </c>
      <c r="F38" s="14">
        <f t="shared" ref="F38:F69" si="4">IF(AND(ISNUMBER(D38),ISNUMBER(E38)), D38-E38, "")</f>
        <v>-5680.5815000000002</v>
      </c>
      <c r="G38" s="15">
        <f t="shared" si="1"/>
        <v>-0.12076542603381631</v>
      </c>
      <c r="H38" s="16">
        <f>SUM(Jul!H38,Aug!H38,Sep!H38)</f>
        <v>39172.506999999998</v>
      </c>
      <c r="I38" s="16">
        <f>SUM(Jul!I38, Aug!I38, Sep!I38)</f>
        <v>2185.0555000000004</v>
      </c>
      <c r="J38" s="15">
        <f t="shared" si="2"/>
        <v>5.578033338535112E-2</v>
      </c>
    </row>
    <row r="39" spans="1:10" ht="15.6">
      <c r="A39" s="24" t="str">
        <v>Q231</v>
      </c>
      <c r="B39" s="25" t="str">
        <v>NY</v>
      </c>
      <c r="C39" s="25" t="str">
        <f>Sites[[#This Row],[SOL'#]]</f>
        <v>SOL-10870</v>
      </c>
      <c r="D39" s="20">
        <f>SUM(Jul!D39, Aug!D39, Sep!D39)</f>
        <v>149443</v>
      </c>
      <c r="E39" s="10">
        <f>SUM(Jul!E39, Aug!E39, Sep!E39)</f>
        <v>165122.90100000001</v>
      </c>
      <c r="F39" s="10">
        <f t="shared" si="4"/>
        <v>-15679.901000000013</v>
      </c>
      <c r="G39" s="11">
        <f t="shared" si="1"/>
        <v>-9.4958972408073258E-2</v>
      </c>
      <c r="H39" s="12">
        <f>SUM(Jul!H39,Aug!H39,Sep!H39)</f>
        <v>158130.5</v>
      </c>
      <c r="I39" s="12">
        <f>SUM(Jul!I39, Aug!I39, Sep!I39)</f>
        <v>-8687.5</v>
      </c>
      <c r="J39" s="13">
        <f t="shared" si="2"/>
        <v>-5.4938800547648936E-2</v>
      </c>
    </row>
    <row r="40" spans="1:10" ht="15.6">
      <c r="A40" s="26" t="str">
        <v>Q405</v>
      </c>
      <c r="B40" s="27" t="str">
        <v>NY</v>
      </c>
      <c r="C40" s="27" t="str">
        <f>Sites[[#This Row],[SOL'#]]</f>
        <v>SOL-10409</v>
      </c>
      <c r="D40" s="9">
        <f>SUM(Jul!D40, Aug!D40, Sep!D40)</f>
        <v>175885.5</v>
      </c>
      <c r="E40" s="14">
        <f>SUM(Jul!E40, Aug!E40, Sep!E40)</f>
        <v>195128.26500000001</v>
      </c>
      <c r="F40" s="14">
        <f t="shared" si="4"/>
        <v>-19242.765000000014</v>
      </c>
      <c r="G40" s="15">
        <f t="shared" si="1"/>
        <v>-9.8615979596805278E-2</v>
      </c>
      <c r="H40" s="16">
        <f>SUM(Jul!H40,Aug!H40,Sep!H40)</f>
        <v>169322.10200000001</v>
      </c>
      <c r="I40" s="16">
        <f>SUM(Jul!I40, Aug!I40, Sep!I40)</f>
        <v>6563.398000000001</v>
      </c>
      <c r="J40" s="15">
        <f t="shared" si="2"/>
        <v>3.8762795420529329E-2</v>
      </c>
    </row>
    <row r="41" spans="1:10" ht="15.6">
      <c r="A41" s="24" t="str">
        <v>Q435</v>
      </c>
      <c r="B41" s="25" t="str">
        <v>NY</v>
      </c>
      <c r="C41" s="25" t="str">
        <f>Sites[[#This Row],[SOL'#]]</f>
        <v>SOL-10923</v>
      </c>
      <c r="D41" s="20">
        <f>SUM(Jul!D41, Aug!D41, Sep!D41)</f>
        <v>174837.25</v>
      </c>
      <c r="E41" s="10">
        <f>SUM(Jul!E41, Aug!E41, Sep!E41)</f>
        <v>179471.69699999999</v>
      </c>
      <c r="F41" s="10">
        <f t="shared" si="4"/>
        <v>-4634.4469999999856</v>
      </c>
      <c r="G41" s="11">
        <f t="shared" si="1"/>
        <v>-2.5822717885149244E-2</v>
      </c>
      <c r="H41" s="12">
        <f>SUM(Jul!H41,Aug!H41,Sep!H41)</f>
        <v>220244.5</v>
      </c>
      <c r="I41" s="12">
        <f>SUM(Jul!I41, Aug!I41, Sep!I41)</f>
        <v>-45407.25</v>
      </c>
      <c r="J41" s="13">
        <f t="shared" si="2"/>
        <v>-0.20616746388672588</v>
      </c>
    </row>
    <row r="42" spans="1:10" ht="15.6">
      <c r="A42" s="26" t="str">
        <v>Q485</v>
      </c>
      <c r="B42" s="27" t="str">
        <v>NY</v>
      </c>
      <c r="C42" s="27" t="str">
        <f>Sites[[#This Row],[SOL'#]]</f>
        <v>SOL-10869</v>
      </c>
      <c r="D42" s="9">
        <f>SUM(Jul!D42, Aug!D42, Sep!D42)</f>
        <v>209581.4375</v>
      </c>
      <c r="E42" s="14">
        <f>SUM(Jul!E42, Aug!E42, Sep!E42)</f>
        <v>168001.17600000001</v>
      </c>
      <c r="F42" s="14">
        <f t="shared" si="4"/>
        <v>41580.261499999993</v>
      </c>
      <c r="G42" s="15">
        <f t="shared" si="1"/>
        <v>0.24749982404885065</v>
      </c>
      <c r="H42" s="16">
        <f>SUM(Jul!H42,Aug!H42,Sep!H42)</f>
        <v>208686.769</v>
      </c>
      <c r="I42" s="16">
        <f>SUM(Jul!I42, Aug!I42, Sep!I42)</f>
        <v>894.66849999999249</v>
      </c>
      <c r="J42" s="15">
        <f t="shared" si="2"/>
        <v>4.2871357119913652E-3</v>
      </c>
    </row>
    <row r="43" spans="1:10" ht="15.6">
      <c r="A43" s="24" t="str">
        <v>Q490</v>
      </c>
      <c r="B43" s="25" t="str">
        <v>NY</v>
      </c>
      <c r="C43" s="25" t="str">
        <f>Sites[[#This Row],[SOL'#]]</f>
        <v>SOL-10411</v>
      </c>
      <c r="D43" s="20">
        <f>SUM(Jul!D43, Aug!D43, Sep!D43)</f>
        <v>146882.1387499999</v>
      </c>
      <c r="E43" s="10">
        <f>SUM(Jul!E43, Aug!E43, Sep!E43)</f>
        <v>0</v>
      </c>
      <c r="F43" s="10">
        <f t="shared" si="4"/>
        <v>146882.1387499999</v>
      </c>
      <c r="G43" s="11" t="str">
        <f t="shared" si="1"/>
        <v/>
      </c>
      <c r="H43" s="12">
        <f>SUM(Jul!H43,Aug!H43,Sep!H43)</f>
        <v>146984.13500000001</v>
      </c>
      <c r="I43" s="12">
        <f>SUM(Jul!I43, Aug!I43, Sep!I43)</f>
        <v>-101.99625000010565</v>
      </c>
      <c r="J43" s="13">
        <f t="shared" si="2"/>
        <v>-6.9392693299930388E-4</v>
      </c>
    </row>
    <row r="44" spans="1:10" ht="15.6">
      <c r="A44" s="26" t="str">
        <v>Q620</v>
      </c>
      <c r="B44" s="27" t="str">
        <v>NY</v>
      </c>
      <c r="C44" s="27" t="str">
        <f>Sites[[#This Row],[SOL'#]]</f>
        <v>SOL-10867</v>
      </c>
      <c r="D44" s="9">
        <f>SUM(Jul!D44, Aug!D44, Sep!D44)</f>
        <v>228427.74980676328</v>
      </c>
      <c r="E44" s="14">
        <f>SUM(Jul!E44, Aug!E44, Sep!E44)</f>
        <v>232227.80300000001</v>
      </c>
      <c r="F44" s="14">
        <f t="shared" si="4"/>
        <v>-3800.0531932367303</v>
      </c>
      <c r="G44" s="15">
        <f t="shared" si="1"/>
        <v>-1.6363472177518427E-2</v>
      </c>
      <c r="H44" s="16">
        <f>SUM(Jul!H44,Aug!H44,Sep!H44)</f>
        <v>220518.30299999999</v>
      </c>
      <c r="I44" s="16">
        <f>SUM(Jul!I44, Aug!I44, Sep!I44)</f>
        <v>7909.4468067633061</v>
      </c>
      <c r="J44" s="15">
        <f t="shared" si="2"/>
        <v>3.5867529811179924E-2</v>
      </c>
    </row>
    <row r="45" spans="1:10" ht="15.6">
      <c r="A45" s="24" t="str">
        <v>QMOA</v>
      </c>
      <c r="B45" s="25" t="str">
        <v>NY</v>
      </c>
      <c r="C45" s="25" t="str">
        <f>Sites[[#This Row],[SOL'#]]</f>
        <v>SOL-10415</v>
      </c>
      <c r="D45" s="20">
        <f>SUM(Jul!D45, Aug!D45, Sep!D45)</f>
        <v>19343.5</v>
      </c>
      <c r="E45" s="10">
        <f>SUM(Jul!E45, Aug!E45, Sep!E45)</f>
        <v>0</v>
      </c>
      <c r="F45" s="10">
        <f t="shared" si="4"/>
        <v>19343.5</v>
      </c>
      <c r="G45" s="11" t="str">
        <f t="shared" si="1"/>
        <v/>
      </c>
      <c r="H45" s="12">
        <f>SUM(Jul!H45,Aug!H45,Sep!H45)</f>
        <v>19960.398000000001</v>
      </c>
      <c r="I45" s="12">
        <f>SUM(Jul!I45, Aug!I45, Sep!I45)</f>
        <v>-616.89800000000014</v>
      </c>
      <c r="J45" s="13">
        <f t="shared" si="2"/>
        <v>-3.0906097162992446E-2</v>
      </c>
    </row>
    <row r="46" spans="1:10" ht="15.6">
      <c r="A46" s="26" t="str">
        <v>X024</v>
      </c>
      <c r="B46" s="27" t="str">
        <v>NY</v>
      </c>
      <c r="C46" s="27" t="str">
        <f>Sites[[#This Row],[SOL'#]]</f>
        <v>SOL-10419</v>
      </c>
      <c r="D46" s="9">
        <f>SUM(Jul!D46, Aug!D46, Sep!D46)</f>
        <v>88103.687249999901</v>
      </c>
      <c r="E46" s="14">
        <f>SUM(Jul!E46, Aug!E46, Sep!E46)</f>
        <v>88458.057000000001</v>
      </c>
      <c r="F46" s="14">
        <f t="shared" si="4"/>
        <v>-354.36975000009988</v>
      </c>
      <c r="G46" s="15">
        <f t="shared" si="1"/>
        <v>-4.0060765748008674E-3</v>
      </c>
      <c r="H46" s="16">
        <f>SUM(Jul!H46,Aug!H46,Sep!H46)</f>
        <v>78887</v>
      </c>
      <c r="I46" s="16">
        <f>SUM(Jul!I46, Aug!I46, Sep!I46)</f>
        <v>9216.6872499999008</v>
      </c>
      <c r="J46" s="15">
        <f t="shared" si="2"/>
        <v>0.11683404426584736</v>
      </c>
    </row>
    <row r="47" spans="1:10" ht="15.6">
      <c r="A47" s="24" t="str">
        <v>X026</v>
      </c>
      <c r="B47" s="25" t="str">
        <v>NY</v>
      </c>
      <c r="C47" s="25" t="str">
        <f>Sites[[#This Row],[SOL'#]]</f>
        <v>SOL-10420</v>
      </c>
      <c r="D47" s="20">
        <f>SUM(Jul!D47, Aug!D47, Sep!D47)</f>
        <v>77426.5</v>
      </c>
      <c r="E47" s="10">
        <f>SUM(Jul!E47, Aug!E47, Sep!E47)</f>
        <v>72581.792000000001</v>
      </c>
      <c r="F47" s="10">
        <f t="shared" si="4"/>
        <v>4844.7079999999987</v>
      </c>
      <c r="G47" s="11">
        <f t="shared" si="1"/>
        <v>6.6748255540452883E-2</v>
      </c>
      <c r="H47" s="12">
        <f>SUM(Jul!H47,Aug!H47,Sep!H47)</f>
        <v>106017.776</v>
      </c>
      <c r="I47" s="12">
        <f>SUM(Jul!I47, Aug!I47, Sep!I47)</f>
        <v>-28591.276000000002</v>
      </c>
      <c r="J47" s="13">
        <f t="shared" si="2"/>
        <v>-0.26968379340460796</v>
      </c>
    </row>
    <row r="48" spans="1:10" ht="15.6">
      <c r="A48" s="26" t="str">
        <v>X090</v>
      </c>
      <c r="B48" s="27" t="str">
        <v>NY</v>
      </c>
      <c r="C48" s="27" t="str">
        <f>Sites[[#This Row],[SOL'#]]</f>
        <v>SOL-10925</v>
      </c>
      <c r="D48" s="9">
        <f>SUM(Jul!D48, Aug!D48, Sep!D48)</f>
        <v>62442.406499999997</v>
      </c>
      <c r="E48" s="14">
        <f>SUM(Jul!E48, Aug!E48, Sep!E48)</f>
        <v>57426.805</v>
      </c>
      <c r="F48" s="14">
        <f t="shared" si="4"/>
        <v>5015.601499999997</v>
      </c>
      <c r="G48" s="15">
        <f t="shared" si="1"/>
        <v>8.7339030962979694E-2</v>
      </c>
      <c r="H48" s="16">
        <f>SUM(Jul!H48,Aug!H48,Sep!H48)</f>
        <v>64862</v>
      </c>
      <c r="I48" s="16">
        <f>SUM(Jul!I48, Aug!I48, Sep!I48)</f>
        <v>-2419.5935000000027</v>
      </c>
      <c r="J48" s="15">
        <f t="shared" si="2"/>
        <v>-3.7303714039036769E-2</v>
      </c>
    </row>
    <row r="49" spans="1:10" ht="15.6">
      <c r="A49" s="24" t="str">
        <v>X117</v>
      </c>
      <c r="B49" s="25" t="str">
        <v>NY</v>
      </c>
      <c r="C49" s="25" t="str">
        <f>Sites[[#This Row],[SOL'#]]</f>
        <v>SOL-10422</v>
      </c>
      <c r="D49" s="20">
        <f>SUM(Jul!D49, Aug!D49, Sep!D49)</f>
        <v>56000.799999999996</v>
      </c>
      <c r="E49" s="10">
        <f>SUM(Jul!E49, Aug!E49, Sep!E49)</f>
        <v>61264.91</v>
      </c>
      <c r="F49" s="10">
        <f t="shared" si="4"/>
        <v>-5264.1100000000079</v>
      </c>
      <c r="G49" s="11">
        <f t="shared" si="1"/>
        <v>-8.592373676873119E-2</v>
      </c>
      <c r="H49" s="12">
        <f>SUM(Jul!H49,Aug!H49,Sep!H49)</f>
        <v>57083.040000000001</v>
      </c>
      <c r="I49" s="12">
        <f>SUM(Jul!I49, Aug!I49, Sep!I49)</f>
        <v>-1082.239999999998</v>
      </c>
      <c r="J49" s="13">
        <f t="shared" si="2"/>
        <v>-1.8959046329697891E-2</v>
      </c>
    </row>
    <row r="50" spans="1:10" ht="15.6">
      <c r="A50" s="26" t="str">
        <v>X125</v>
      </c>
      <c r="B50" s="27" t="str">
        <v>NY</v>
      </c>
      <c r="C50" s="27" t="str">
        <f>Sites[[#This Row],[SOL'#]]</f>
        <v>SOL-10423</v>
      </c>
      <c r="D50" s="9">
        <f>SUM(Jul!D50, Aug!D50, Sep!D50)</f>
        <v>103474.8125</v>
      </c>
      <c r="E50" s="14">
        <f>SUM(Jul!E50, Aug!E50, Sep!E50)</f>
        <v>106407.30799999999</v>
      </c>
      <c r="F50" s="14">
        <f t="shared" si="4"/>
        <v>-2932.49549999999</v>
      </c>
      <c r="G50" s="15">
        <f t="shared" si="1"/>
        <v>-2.7559155053523111E-2</v>
      </c>
      <c r="H50" s="16">
        <f>SUM(Jul!H50,Aug!H50,Sep!H50)</f>
        <v>98306.009000000005</v>
      </c>
      <c r="I50" s="16">
        <f>SUM(Jul!I50, Aug!I50, Sep!I50)</f>
        <v>5168.8034999999982</v>
      </c>
      <c r="J50" s="15">
        <f t="shared" si="2"/>
        <v>5.257871367761454E-2</v>
      </c>
    </row>
    <row r="51" spans="1:10" ht="15.6">
      <c r="A51" s="24" t="str">
        <v>X134</v>
      </c>
      <c r="B51" s="25" t="str">
        <v>NY</v>
      </c>
      <c r="C51" s="25" t="str">
        <f>Sites[[#This Row],[SOL'#]]</f>
        <v>SOL-10424</v>
      </c>
      <c r="D51" s="20">
        <f>SUM(Jul!D51, Aug!D51, Sep!D51)</f>
        <v>99947.750999999989</v>
      </c>
      <c r="E51" s="10">
        <f>SUM(Jul!E51, Aug!E51, Sep!E51)</f>
        <v>41349.813999999998</v>
      </c>
      <c r="F51" s="10">
        <f t="shared" si="4"/>
        <v>58597.936999999991</v>
      </c>
      <c r="G51" s="11">
        <f t="shared" si="1"/>
        <v>1.4171269790959637</v>
      </c>
      <c r="H51" s="12">
        <f>SUM(Jul!H51,Aug!H51,Sep!H51)</f>
        <v>98297</v>
      </c>
      <c r="I51" s="12">
        <f>SUM(Jul!I51, Aug!I51, Sep!I51)</f>
        <v>1650.7510000000002</v>
      </c>
      <c r="J51" s="13">
        <f t="shared" si="2"/>
        <v>1.6793503362259276E-2</v>
      </c>
    </row>
    <row r="52" spans="1:10" ht="15.6">
      <c r="A52" s="26" t="str">
        <v>X135</v>
      </c>
      <c r="B52" s="27" t="str">
        <v>NY</v>
      </c>
      <c r="C52" s="27" t="str">
        <f>Sites[[#This Row],[SOL'#]]</f>
        <v>SOL-10425</v>
      </c>
      <c r="D52" s="9">
        <f>SUM(Jul!D52, Aug!D52, Sep!D52)</f>
        <v>77905.250499999995</v>
      </c>
      <c r="E52" s="14">
        <f>SUM(Jul!E52, Aug!E52, Sep!E52)</f>
        <v>95760.584000000003</v>
      </c>
      <c r="F52" s="14">
        <f t="shared" si="4"/>
        <v>-17855.333500000008</v>
      </c>
      <c r="G52" s="15">
        <f t="shared" si="1"/>
        <v>-0.18645806817552416</v>
      </c>
      <c r="H52" s="16">
        <f>SUM(Jul!H52,Aug!H52,Sep!H52)</f>
        <v>78460</v>
      </c>
      <c r="I52" s="16">
        <f>SUM(Jul!I52, Aug!I52, Sep!I52)</f>
        <v>-554.74950000000172</v>
      </c>
      <c r="J52" s="15">
        <f t="shared" si="2"/>
        <v>-7.0704754014784821E-3</v>
      </c>
    </row>
    <row r="53" spans="1:10" ht="15.6">
      <c r="A53" s="24" t="str">
        <v>X139 JHS 222</v>
      </c>
      <c r="B53" s="25" t="str">
        <v>NY</v>
      </c>
      <c r="C53" s="25" t="str">
        <f>Sites[[#This Row],[SOL'#]]</f>
        <v>SOL-10426</v>
      </c>
      <c r="D53" s="20">
        <f>SUM(Jul!D53, Aug!D53, Sep!D53)</f>
        <v>116507.12145999999</v>
      </c>
      <c r="E53" s="10">
        <f>SUM(Jul!E53, Aug!E53, Sep!E53)</f>
        <v>133106.13099999999</v>
      </c>
      <c r="F53" s="10">
        <f t="shared" si="4"/>
        <v>-16599.009539999999</v>
      </c>
      <c r="G53" s="11">
        <f t="shared" si="1"/>
        <v>-0.12470507117361859</v>
      </c>
      <c r="H53" s="12">
        <f>SUM(Jul!H53,Aug!H53,Sep!H53)</f>
        <v>124378.5</v>
      </c>
      <c r="I53" s="12">
        <f>SUM(Jul!I53, Aug!I53, Sep!I53)</f>
        <v>-7871.3785399999979</v>
      </c>
      <c r="J53" s="13">
        <f t="shared" si="2"/>
        <v>-6.3285684744549889E-2</v>
      </c>
    </row>
    <row r="54" spans="1:10" ht="15.6">
      <c r="A54" s="26" t="str">
        <v>X140</v>
      </c>
      <c r="B54" s="27" t="str">
        <v>NY</v>
      </c>
      <c r="C54" s="27" t="str">
        <f>Sites[[#This Row],[SOL'#]]</f>
        <v>SOL-10926</v>
      </c>
      <c r="D54" s="9">
        <f>SUM(Jul!D54, Aug!D54, Sep!D54)</f>
        <v>69917.031749999995</v>
      </c>
      <c r="E54" s="14">
        <f>SUM(Jul!E54, Aug!E54, Sep!E54)</f>
        <v>58796.187999999995</v>
      </c>
      <c r="F54" s="14">
        <f t="shared" si="4"/>
        <v>11120.84375</v>
      </c>
      <c r="G54" s="15">
        <f t="shared" si="1"/>
        <v>0.1891422578280075</v>
      </c>
      <c r="H54" s="16">
        <f>SUM(Jul!H54,Aug!H54,Sep!H54)</f>
        <v>66691</v>
      </c>
      <c r="I54" s="16">
        <f>SUM(Jul!I54, Aug!I54, Sep!I54)</f>
        <v>3226.0317499999983</v>
      </c>
      <c r="J54" s="15">
        <f t="shared" si="2"/>
        <v>4.8372820170637688E-2</v>
      </c>
    </row>
    <row r="55" spans="1:10" ht="15.6">
      <c r="A55" s="24" t="str">
        <v>X166</v>
      </c>
      <c r="B55" s="25" t="str">
        <v>NY</v>
      </c>
      <c r="C55" s="25" t="str">
        <f>Sites[[#This Row],[SOL'#]]</f>
        <v>SOL-10427</v>
      </c>
      <c r="D55" s="20">
        <f>SUM(Jul!D55, Aug!D55, Sep!D55)</f>
        <v>72747.5</v>
      </c>
      <c r="E55" s="10">
        <f>SUM(Jul!E55, Aug!E55, Sep!E55)</f>
        <v>72761.210999999996</v>
      </c>
      <c r="F55" s="10">
        <f t="shared" si="4"/>
        <v>-13.710999999995693</v>
      </c>
      <c r="G55" s="11">
        <f t="shared" si="1"/>
        <v>-1.8843831502468662E-4</v>
      </c>
      <c r="H55" s="12">
        <f>SUM(Jul!H55,Aug!H55,Sep!H55)</f>
        <v>73891</v>
      </c>
      <c r="I55" s="12">
        <f>SUM(Jul!I55, Aug!I55, Sep!I55)</f>
        <v>-1143.5</v>
      </c>
      <c r="J55" s="13">
        <f t="shared" si="2"/>
        <v>-1.547549769254713E-2</v>
      </c>
    </row>
    <row r="56" spans="1:10" ht="15.6">
      <c r="A56" s="26" t="str">
        <v>Murphy</v>
      </c>
      <c r="B56" s="27" t="str">
        <v>MN</v>
      </c>
      <c r="C56" s="27" t="str">
        <f>Sites[[#This Row],[SOL'#]]</f>
        <v>SOL-10094</v>
      </c>
      <c r="D56" s="9">
        <f>SUM(Jul!D56, Aug!D56, Sep!D56)</f>
        <v>2759660</v>
      </c>
      <c r="E56" s="14">
        <f>SUM(Jul!E56, Aug!E56, Sep!E56)</f>
        <v>3005254.034</v>
      </c>
      <c r="F56" s="14">
        <f t="shared" si="4"/>
        <v>-245594.03399999999</v>
      </c>
      <c r="G56" s="15">
        <f t="shared" si="1"/>
        <v>-8.1721555389816333E-2</v>
      </c>
      <c r="H56" s="16">
        <f>SUM(Jul!H56,Aug!H56,Sep!H56)</f>
        <v>2882979.8</v>
      </c>
      <c r="I56" s="16">
        <f>SUM(Jul!I56, Aug!I56, Sep!I56)</f>
        <v>-123319.79999999993</v>
      </c>
      <c r="J56" s="15">
        <f t="shared" si="2"/>
        <v>-4.2775117605749417E-2</v>
      </c>
    </row>
    <row r="57" spans="1:10" ht="15.6">
      <c r="A57" s="24" t="str">
        <v>Terning</v>
      </c>
      <c r="B57" s="25" t="str">
        <v>MN</v>
      </c>
      <c r="C57" s="25" t="str">
        <f>Sites[[#This Row],[SOL'#]]</f>
        <v>SOL-10093</v>
      </c>
      <c r="D57" s="20">
        <f>SUM(Jul!D57, Aug!D57, Sep!D57)</f>
        <v>2923783.9999999972</v>
      </c>
      <c r="E57" s="10">
        <f>SUM(Jul!E57, Aug!E57, Sep!E57)</f>
        <v>3119352.6669999999</v>
      </c>
      <c r="F57" s="10">
        <f t="shared" si="4"/>
        <v>-195568.66700000269</v>
      </c>
      <c r="G57" s="11">
        <f t="shared" si="1"/>
        <v>-6.2695272986907413E-2</v>
      </c>
      <c r="H57" s="12">
        <f>SUM(Jul!H57,Aug!H57,Sep!H57)</f>
        <v>2845764.85</v>
      </c>
      <c r="I57" s="12">
        <f>SUM(Jul!I57, Aug!I57, Sep!I57)</f>
        <v>78019.149999996996</v>
      </c>
      <c r="J57" s="13">
        <f t="shared" si="2"/>
        <v>2.7415880830771028E-2</v>
      </c>
    </row>
    <row r="58" spans="1:10" ht="15.6">
      <c r="A58" s="26" t="str">
        <v>Boas Road 04</v>
      </c>
      <c r="B58" s="27" t="str">
        <v>NY</v>
      </c>
      <c r="C58" s="27" t="str">
        <f>Sites[[#This Row],[SOL'#]]</f>
        <v>SOL-10908</v>
      </c>
      <c r="D58" s="9">
        <f>SUM(Jul!D58, Aug!D58, Sep!D58)</f>
        <v>0</v>
      </c>
      <c r="E58" s="14">
        <f>SUM(Jul!E58, Aug!E58, Sep!E58)</f>
        <v>418860.46</v>
      </c>
      <c r="F58" s="14">
        <f t="shared" si="4"/>
        <v>-418860.46</v>
      </c>
      <c r="G58" s="15">
        <f t="shared" si="1"/>
        <v>-1</v>
      </c>
      <c r="H58" s="16">
        <f>SUM(Jul!H58,Aug!H58,Sep!H58)</f>
        <v>1106907.3330000001</v>
      </c>
      <c r="I58" s="16">
        <f>SUM(Jul!I58, Aug!I58, Sep!I58)</f>
        <v>-1106907.3330000001</v>
      </c>
      <c r="J58" s="15">
        <f t="shared" si="2"/>
        <v>-1</v>
      </c>
    </row>
    <row r="59" spans="1:10" ht="15.6">
      <c r="A59" s="24" t="str">
        <v>Kelly Bridge Farm</v>
      </c>
      <c r="B59" s="25" t="str">
        <v>NY</v>
      </c>
      <c r="C59" s="25" t="str">
        <f>Sites[[#This Row],[SOL'#]]</f>
        <v>SOL-10911</v>
      </c>
      <c r="D59" s="20">
        <f>SUM(Jul!D59, Aug!D59, Sep!D59)</f>
        <v>636925</v>
      </c>
      <c r="E59" s="10">
        <f>SUM(Jul!E59, Aug!E59, Sep!E59)</f>
        <v>687272.60000000009</v>
      </c>
      <c r="F59" s="10">
        <f t="shared" si="4"/>
        <v>-50347.600000000093</v>
      </c>
      <c r="G59" s="11">
        <f t="shared" si="1"/>
        <v>-7.3257103513220359E-2</v>
      </c>
      <c r="H59" s="12">
        <f>SUM(Jul!H59,Aug!H59,Sep!H59)</f>
        <v>1099105.3489999999</v>
      </c>
      <c r="I59" s="12">
        <f>SUM(Jul!I59, Aug!I59, Sep!I59)</f>
        <v>-462180.34899999999</v>
      </c>
      <c r="J59" s="13">
        <f t="shared" si="2"/>
        <v>-0.42050595916079014</v>
      </c>
    </row>
    <row r="60" spans="1:10" ht="15.6">
      <c r="A60" s="26" t="str">
        <v>Pool Brook Road</v>
      </c>
      <c r="B60" s="27" t="str">
        <v>NY</v>
      </c>
      <c r="C60" s="27" t="str">
        <f>Sites[[#This Row],[SOL'#]]</f>
        <v>SOL-10909</v>
      </c>
      <c r="D60" s="9">
        <f>SUM(Jul!D60, Aug!D60, Sep!D60)</f>
        <v>888544</v>
      </c>
      <c r="E60" s="14">
        <f>SUM(Jul!E60, Aug!E60, Sep!E60)</f>
        <v>975500.40999999992</v>
      </c>
      <c r="F60" s="14">
        <f t="shared" si="4"/>
        <v>-86956.409999999916</v>
      </c>
      <c r="G60" s="15">
        <f t="shared" si="1"/>
        <v>-8.9140311073779996E-2</v>
      </c>
      <c r="H60" s="16">
        <f>SUM(Jul!H60,Aug!H60,Sep!H60)</f>
        <v>1061937.5290000001</v>
      </c>
      <c r="I60" s="16">
        <f>SUM(Jul!I60, Aug!I60, Sep!I60)</f>
        <v>-173393.52899999998</v>
      </c>
      <c r="J60" s="15">
        <f t="shared" si="2"/>
        <v>-0.16328034772749797</v>
      </c>
    </row>
    <row r="61" spans="1:10" ht="15.6">
      <c r="A61" s="24" t="str">
        <v>Sackett Lake</v>
      </c>
      <c r="B61" s="25" t="str">
        <v>NY</v>
      </c>
      <c r="C61" s="25" t="str">
        <f>Sites[[#This Row],[SOL'#]]</f>
        <v>SOL-10910</v>
      </c>
      <c r="D61" s="20">
        <f>SUM(Jul!D61, Aug!D61, Sep!D61)</f>
        <v>1087983</v>
      </c>
      <c r="E61" s="10">
        <f>SUM(Jul!E61, Aug!E61, Sep!E61)</f>
        <v>182350.26</v>
      </c>
      <c r="F61" s="10">
        <f t="shared" si="4"/>
        <v>905632.74</v>
      </c>
      <c r="G61" s="11">
        <f t="shared" si="1"/>
        <v>4.9664461131012372</v>
      </c>
      <c r="H61" s="12">
        <f>SUM(Jul!H61,Aug!H61,Sep!H61)</f>
        <v>1088535.226</v>
      </c>
      <c r="I61" s="12">
        <f>SUM(Jul!I61, Aug!I61, Sep!I61)</f>
        <v>-552.22599999996601</v>
      </c>
      <c r="J61" s="13">
        <f t="shared" si="2"/>
        <v>-5.0731109734428203E-4</v>
      </c>
    </row>
    <row r="62" spans="1:10" ht="15.6">
      <c r="A62" s="26" t="str">
        <v>Burritt Road</v>
      </c>
      <c r="B62" s="27" t="str">
        <v>NY</v>
      </c>
      <c r="C62" s="27" t="str">
        <f>Sites[[#This Row],[SOL'#]]</f>
        <v>SOL-10913</v>
      </c>
      <c r="D62" s="9">
        <f>SUM(Jul!D62, Aug!D62, Sep!D62)</f>
        <v>1198010</v>
      </c>
      <c r="E62" s="14">
        <f>SUM(Jul!E62, Aug!E62, Sep!E62)</f>
        <v>890877.67</v>
      </c>
      <c r="F62" s="14">
        <f t="shared" si="4"/>
        <v>307132.32999999996</v>
      </c>
      <c r="G62" s="15">
        <f t="shared" si="1"/>
        <v>0.34475252926700917</v>
      </c>
      <c r="H62" s="16">
        <f>SUM(Jul!H62,Aug!H62,Sep!H62)</f>
        <v>1121561.463</v>
      </c>
      <c r="I62" s="16">
        <f>SUM(Jul!I62, Aug!I62, Sep!I62)</f>
        <v>76448.537000000011</v>
      </c>
      <c r="J62" s="15">
        <f t="shared" si="2"/>
        <v>6.8162592530160798E-2</v>
      </c>
    </row>
    <row r="63" spans="1:10" ht="15.6">
      <c r="A63" s="24" t="str">
        <v>Villa Roma 1</v>
      </c>
      <c r="B63" s="25" t="str">
        <v>NY</v>
      </c>
      <c r="C63" s="25" t="str">
        <f>Sites[[#This Row],[SOL'#]]</f>
        <v>SOL-10914</v>
      </c>
      <c r="D63" s="20">
        <f>SUM(Jul!D63, Aug!D63, Sep!D63)</f>
        <v>979565</v>
      </c>
      <c r="E63" s="10">
        <f>SUM(Jul!E63, Aug!E63, Sep!E63)</f>
        <v>4117.1499999999996</v>
      </c>
      <c r="F63" s="10">
        <f t="shared" si="4"/>
        <v>975447.85</v>
      </c>
      <c r="G63" s="11">
        <f t="shared" si="1"/>
        <v>236.92307785725563</v>
      </c>
      <c r="H63" s="12">
        <f>SUM(Jul!H63,Aug!H63,Sep!H63)</f>
        <v>972293.45500000007</v>
      </c>
      <c r="I63" s="12">
        <f>SUM(Jul!I63, Aug!I63, Sep!I63)</f>
        <v>7271.5449999999837</v>
      </c>
      <c r="J63" s="13">
        <f t="shared" si="2"/>
        <v>7.4787554751152606E-3</v>
      </c>
    </row>
    <row r="64" spans="1:10" ht="15.6">
      <c r="A64" s="26" t="str">
        <v>Villa Roma 2</v>
      </c>
      <c r="B64" s="27" t="str">
        <v>NY</v>
      </c>
      <c r="C64" s="27" t="str">
        <f>Sites[[#This Row],[SOL'#]]</f>
        <v>SOL-10915</v>
      </c>
      <c r="D64" s="9">
        <f>SUM(Jul!D64, Aug!D64, Sep!D64)</f>
        <v>931050</v>
      </c>
      <c r="E64" s="14">
        <f>SUM(Jul!E64, Aug!E64, Sep!E64)</f>
        <v>1031329.21</v>
      </c>
      <c r="F64" s="14">
        <f t="shared" si="4"/>
        <v>-100279.20999999996</v>
      </c>
      <c r="G64" s="15">
        <f t="shared" ref="G64:G95" si="5">IFERROR(F64/E64, "")</f>
        <v>-9.7232977625059183E-2</v>
      </c>
      <c r="H64" s="16">
        <f>SUM(Jul!H64,Aug!H64,Sep!H64)</f>
        <v>942740.46</v>
      </c>
      <c r="I64" s="16">
        <f>SUM(Jul!I64, Aug!I64, Sep!I64)</f>
        <v>-11690.459999999963</v>
      </c>
      <c r="J64" s="15">
        <f t="shared" si="2"/>
        <v>-1.240050734642275E-2</v>
      </c>
    </row>
    <row r="65" spans="1:10" ht="15.6">
      <c r="A65" s="24" t="str">
        <v>Washington 1</v>
      </c>
      <c r="B65" s="25" t="str">
        <v>NY</v>
      </c>
      <c r="C65" s="25" t="str">
        <f>Sites[[#This Row],[SOL'#]]</f>
        <v>SOL-10912</v>
      </c>
      <c r="D65" s="20">
        <f>SUM(Jul!D65, Aug!D65, Sep!D65)</f>
        <v>1113540</v>
      </c>
      <c r="E65" s="10">
        <f>SUM(Jul!E65, Aug!E65, Sep!E65)</f>
        <v>1257149.1599999999</v>
      </c>
      <c r="F65" s="10">
        <f t="shared" si="4"/>
        <v>-143609.15999999992</v>
      </c>
      <c r="G65" s="11">
        <f t="shared" si="5"/>
        <v>-0.11423398636324104</v>
      </c>
      <c r="H65" s="12">
        <f>SUM(Jul!H65,Aug!H65,Sep!H65)</f>
        <v>1107252.122</v>
      </c>
      <c r="I65" s="12">
        <f>SUM(Jul!I65, Aug!I65, Sep!I65)</f>
        <v>6287.8779999999679</v>
      </c>
      <c r="J65" s="13">
        <f t="shared" si="2"/>
        <v>5.678813230578725E-3</v>
      </c>
    </row>
    <row r="66" spans="1:10" ht="15.6">
      <c r="A66" s="26" t="str">
        <v>Washington 3</v>
      </c>
      <c r="B66" s="27" t="str">
        <v>NY</v>
      </c>
      <c r="C66" s="27" t="str">
        <f>Sites[[#This Row],[SOL'#]]</f>
        <v>SOL-10828</v>
      </c>
      <c r="D66" s="9">
        <f>SUM(Jul!D66, Aug!D66, Sep!D66)</f>
        <v>1133007</v>
      </c>
      <c r="E66" s="14">
        <f>SUM(Jul!E66, Aug!E66, Sep!E66)</f>
        <v>3115074.42</v>
      </c>
      <c r="F66" s="14">
        <f t="shared" si="4"/>
        <v>-1982067.42</v>
      </c>
      <c r="G66" s="15">
        <f t="shared" si="5"/>
        <v>-0.63628252579596478</v>
      </c>
      <c r="H66" s="16">
        <f>SUM(Jul!H66,Aug!H66,Sep!H66)</f>
        <v>1352995.1089999999</v>
      </c>
      <c r="I66" s="16">
        <f>SUM(Jul!I66, Aug!I66, Sep!I66)</f>
        <v>-219988.10900000005</v>
      </c>
      <c r="J66" s="15">
        <f t="shared" si="2"/>
        <v>-0.16259342516218961</v>
      </c>
    </row>
    <row r="67" spans="1:10" ht="15.6">
      <c r="A67" s="24" t="str">
        <v>Washington 4</v>
      </c>
      <c r="B67" s="25" t="str">
        <v>NY</v>
      </c>
      <c r="C67" s="25" t="str">
        <f>Sites[[#This Row],[SOL'#]]</f>
        <v>SOL-10829</v>
      </c>
      <c r="D67" s="20">
        <f>SUM(Jul!D67, Aug!D67, Sep!D67)</f>
        <v>1339173</v>
      </c>
      <c r="E67" s="10">
        <f>SUM(Jul!E67, Aug!E67, Sep!E67)</f>
        <v>1444615.63</v>
      </c>
      <c r="F67" s="10">
        <f t="shared" si="4"/>
        <v>-105442.62999999989</v>
      </c>
      <c r="G67" s="11">
        <f t="shared" si="5"/>
        <v>-7.2990093565580408E-2</v>
      </c>
      <c r="H67" s="12">
        <f>SUM(Jul!H67,Aug!H67,Sep!H67)</f>
        <v>1356039.0649999999</v>
      </c>
      <c r="I67" s="12">
        <f>SUM(Jul!I67, Aug!I67, Sep!I67)</f>
        <v>-16866.065000000002</v>
      </c>
      <c r="J67" s="13">
        <f t="shared" si="2"/>
        <v>-1.2437742713555234E-2</v>
      </c>
    </row>
    <row r="68" spans="1:10" ht="15.6">
      <c r="A68" s="26" t="str">
        <v>Big Tree</v>
      </c>
      <c r="B68" s="27" t="str">
        <v>NY</v>
      </c>
      <c r="C68" s="27" t="str">
        <f>Sites[[#This Row],[SOL'#]]</f>
        <v>SOL-10966</v>
      </c>
      <c r="D68" s="9">
        <f>SUM(Jul!D68, Aug!D68, Sep!D68)</f>
        <v>1209050</v>
      </c>
      <c r="E68" s="14">
        <f>SUM(Jul!E68, Aug!E68, Sep!E68)</f>
        <v>1206230</v>
      </c>
      <c r="F68" s="14">
        <f t="shared" si="4"/>
        <v>2820</v>
      </c>
      <c r="G68" s="15">
        <f t="shared" si="5"/>
        <v>2.3378625966855408E-3</v>
      </c>
      <c r="H68" s="16">
        <f>SUM(Jul!H68,Aug!H68,Sep!H68)</f>
        <v>1103905.75</v>
      </c>
      <c r="I68" s="16">
        <f>SUM(Jul!I68, Aug!I68, Sep!I68)</f>
        <v>105144.25000000006</v>
      </c>
      <c r="J68" s="15">
        <f t="shared" ref="J68:J95" si="6">IFERROR(I68/H68, "")</f>
        <v>9.5247488293271468E-2</v>
      </c>
    </row>
    <row r="69" spans="1:10" ht="15.6">
      <c r="A69" s="24" t="str">
        <v>Canoga</v>
      </c>
      <c r="B69" s="25" t="str">
        <v>NY</v>
      </c>
      <c r="C69" s="25" t="str">
        <f>Sites[[#This Row],[SOL'#]]</f>
        <v>SOL-10965</v>
      </c>
      <c r="D69" s="20">
        <f>SUM(Jul!D69, Aug!D69, Sep!D69)</f>
        <v>2558980</v>
      </c>
      <c r="E69" s="10">
        <f>SUM(Jul!E69, Aug!E69, Sep!E69)</f>
        <v>0</v>
      </c>
      <c r="F69" s="10">
        <f t="shared" si="4"/>
        <v>2558980</v>
      </c>
      <c r="G69" s="11" t="str">
        <f t="shared" si="5"/>
        <v/>
      </c>
      <c r="H69" s="12">
        <f>SUM(Jul!H69,Aug!H69,Sep!H69)</f>
        <v>0</v>
      </c>
      <c r="I69" s="12">
        <f>SUM(Jul!I69, Aug!I69, Sep!I69)</f>
        <v>2558980</v>
      </c>
      <c r="J69" s="13" t="str">
        <f t="shared" si="6"/>
        <v/>
      </c>
    </row>
    <row r="70" spans="1:10" ht="15.6">
      <c r="A70" s="26" t="str">
        <v>County Route 84</v>
      </c>
      <c r="B70" s="27" t="str">
        <v>NY</v>
      </c>
      <c r="C70" s="27" t="str">
        <f>Sites[[#This Row],[SOL'#]]</f>
        <v>SOL-10967</v>
      </c>
      <c r="D70" s="9">
        <f>SUM(Jul!D70, Aug!D70, Sep!D70)</f>
        <v>2886740</v>
      </c>
      <c r="E70" s="14">
        <f>SUM(Jul!E70, Aug!E70, Sep!E70)</f>
        <v>2782690</v>
      </c>
      <c r="F70" s="14">
        <f t="shared" ref="F70:F97" si="7">IF(AND(ISNUMBER(D70),ISNUMBER(E70)), D70-E70, "")</f>
        <v>104050</v>
      </c>
      <c r="G70" s="15">
        <f t="shared" si="5"/>
        <v>3.73918762061171E-2</v>
      </c>
      <c r="H70" s="16">
        <f>SUM(Jul!H70,Aug!H70,Sep!H70)</f>
        <v>2824365.9979999997</v>
      </c>
      <c r="I70" s="16">
        <f>SUM(Jul!I70, Aug!I70, Sep!I70)</f>
        <v>62374.002000000095</v>
      </c>
      <c r="J70" s="15">
        <f t="shared" si="6"/>
        <v>2.208424901169629E-2</v>
      </c>
    </row>
    <row r="71" spans="1:10" ht="15.6">
      <c r="A71" s="24" t="str">
        <v>Donati</v>
      </c>
      <c r="B71" s="25" t="str">
        <v>NY</v>
      </c>
      <c r="C71" s="25" t="str">
        <f>Sites[[#This Row],[SOL'#]]</f>
        <v>SOL-10968</v>
      </c>
      <c r="D71" s="20">
        <f>SUM(Jul!D71, Aug!D71, Sep!D71)</f>
        <v>1356620</v>
      </c>
      <c r="E71" s="10">
        <f>SUM(Jul!E71, Aug!E71, Sep!E71)</f>
        <v>0</v>
      </c>
      <c r="F71" s="10">
        <f t="shared" si="7"/>
        <v>1356620</v>
      </c>
      <c r="G71" s="11" t="str">
        <f t="shared" si="5"/>
        <v/>
      </c>
      <c r="H71" s="12">
        <f>SUM(Jul!H71,Aug!H71,Sep!H71)</f>
        <v>1425547.787</v>
      </c>
      <c r="I71" s="12">
        <f>SUM(Jul!I71, Aug!I71, Sep!I71)</f>
        <v>-68927.787000000011</v>
      </c>
      <c r="J71" s="13">
        <f t="shared" si="6"/>
        <v>-4.8351789837263459E-2</v>
      </c>
    </row>
    <row r="72" spans="1:10" ht="15.6">
      <c r="A72" s="26" t="str">
        <v>Henrietta</v>
      </c>
      <c r="B72" s="27" t="str">
        <v>NY</v>
      </c>
      <c r="C72" s="27" t="str">
        <f>Sites[[#This Row],[SOL'#]]</f>
        <v>SOL-10972</v>
      </c>
      <c r="D72" s="9">
        <f>SUM(Jul!D72, Aug!D72, Sep!D72)</f>
        <v>3055530</v>
      </c>
      <c r="E72" s="14">
        <f>SUM(Jul!E72, Aug!E72, Sep!E72)</f>
        <v>3010270</v>
      </c>
      <c r="F72" s="14">
        <f t="shared" si="7"/>
        <v>45260</v>
      </c>
      <c r="G72" s="15">
        <f t="shared" si="5"/>
        <v>1.503519617841589E-2</v>
      </c>
      <c r="H72" s="16">
        <f>SUM(Jul!H72,Aug!H72,Sep!H72)</f>
        <v>2951284.3220000002</v>
      </c>
      <c r="I72" s="16">
        <f>SUM(Jul!I72, Aug!I72, Sep!I72)</f>
        <v>104245.67799999984</v>
      </c>
      <c r="J72" s="15">
        <f t="shared" si="6"/>
        <v>3.5322139999495392E-2</v>
      </c>
    </row>
    <row r="73" spans="1:10" ht="15.6">
      <c r="A73" s="24" t="str">
        <v>NY 70</v>
      </c>
      <c r="B73" s="25" t="str">
        <v>NY</v>
      </c>
      <c r="C73" s="25" t="str">
        <f>Sites[[#This Row],[SOL'#]]</f>
        <v>SOL-10970</v>
      </c>
      <c r="D73" s="20">
        <f>SUM(Jul!D73, Aug!D73, Sep!D73)</f>
        <v>3307430</v>
      </c>
      <c r="E73" s="10">
        <f>SUM(Jul!E73, Aug!E73, Sep!E73)</f>
        <v>3299630</v>
      </c>
      <c r="F73" s="10">
        <f t="shared" si="7"/>
        <v>7800</v>
      </c>
      <c r="G73" s="11">
        <f t="shared" si="5"/>
        <v>2.3639014071274657E-3</v>
      </c>
      <c r="H73" s="12">
        <f>SUM(Jul!H73,Aug!H73,Sep!H73)</f>
        <v>3181543.8760000002</v>
      </c>
      <c r="I73" s="12">
        <f>SUM(Jul!I73, Aug!I73, Sep!I73)</f>
        <v>125886.12399999995</v>
      </c>
      <c r="J73" s="13">
        <f t="shared" si="6"/>
        <v>3.9567621540480033E-2</v>
      </c>
    </row>
    <row r="74" spans="1:10" ht="15.6">
      <c r="A74" s="26" t="str">
        <v>Reid</v>
      </c>
      <c r="B74" s="27" t="str">
        <v>NY</v>
      </c>
      <c r="C74" s="27" t="str">
        <f>Sites[[#This Row],[SOL'#]]</f>
        <v>SOL-10991</v>
      </c>
      <c r="D74" s="9">
        <f>SUM(Jul!D74, Aug!D74, Sep!D74)</f>
        <v>2475451.845227642</v>
      </c>
      <c r="E74" s="14">
        <f>SUM(Jul!E74, Aug!E74, Sep!E74)</f>
        <v>2211093.4240000001</v>
      </c>
      <c r="F74" s="14">
        <f t="shared" si="7"/>
        <v>264358.42122764187</v>
      </c>
      <c r="G74" s="15">
        <f t="shared" si="5"/>
        <v>0.11956004136152767</v>
      </c>
      <c r="H74" s="16">
        <f>SUM(Jul!H74,Aug!H74,Sep!H74)</f>
        <v>1675506.5</v>
      </c>
      <c r="I74" s="16">
        <f>SUM(Jul!I74, Aug!I74, Sep!I74)</f>
        <v>799945.34522764198</v>
      </c>
      <c r="J74" s="15">
        <f t="shared" si="6"/>
        <v>0.47743493995853908</v>
      </c>
    </row>
    <row r="75" spans="1:10" ht="15.6">
      <c r="A75" s="24" t="str">
        <v>Sangolqui</v>
      </c>
      <c r="B75" s="25" t="str">
        <v>NY</v>
      </c>
      <c r="C75" s="25" t="str">
        <f>Sites[[#This Row],[SOL'#]]</f>
        <v>SOL-10975</v>
      </c>
      <c r="D75" s="20">
        <f>SUM(Jul!D75, Aug!D75, Sep!D75)</f>
        <v>1139710</v>
      </c>
      <c r="E75" s="10">
        <f>SUM(Jul!E75, Aug!E75, Sep!E75)</f>
        <v>1068400</v>
      </c>
      <c r="F75" s="10">
        <f t="shared" si="7"/>
        <v>71310</v>
      </c>
      <c r="G75" s="11">
        <f t="shared" si="5"/>
        <v>6.67446649195058E-2</v>
      </c>
      <c r="H75" s="12">
        <f>SUM(Jul!H75,Aug!H75,Sep!H75)</f>
        <v>1392778.811</v>
      </c>
      <c r="I75" s="12">
        <f>SUM(Jul!I75, Aug!I75, Sep!I75)</f>
        <v>-253068.81099999999</v>
      </c>
      <c r="J75" s="13">
        <f t="shared" si="6"/>
        <v>-0.18170064693782881</v>
      </c>
    </row>
    <row r="76" spans="1:10" ht="15.6">
      <c r="A76" s="26" t="str">
        <v>State Highway 17B</v>
      </c>
      <c r="B76" s="27" t="str">
        <v>NY</v>
      </c>
      <c r="C76" s="27" t="str">
        <f>Sites[[#This Row],[SOL'#]]</f>
        <v>SOL-10988</v>
      </c>
      <c r="D76" s="9">
        <f>SUM(Jul!D76, Aug!D76, Sep!D76)</f>
        <v>2485060</v>
      </c>
      <c r="E76" s="14">
        <f>SUM(Jul!E76, Aug!E76, Sep!E76)</f>
        <v>1556820</v>
      </c>
      <c r="F76" s="14">
        <f t="shared" si="7"/>
        <v>928240</v>
      </c>
      <c r="G76" s="15">
        <f t="shared" si="5"/>
        <v>0.5962410554848987</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2839019.4210000001</v>
      </c>
      <c r="I77" s="12">
        <f>SUM(Jul!I77, Aug!I77, Sep!I77)</f>
        <v>-2839019.4210000001</v>
      </c>
      <c r="J77" s="13">
        <f t="shared" si="6"/>
        <v>-1</v>
      </c>
    </row>
    <row r="78" spans="1:10" ht="15.6">
      <c r="A78" s="26" t="str">
        <v>West Creek</v>
      </c>
      <c r="B78" s="27" t="str">
        <v>NY</v>
      </c>
      <c r="C78" s="27" t="str">
        <f>Sites[[#This Row],[SOL'#]]</f>
        <v>SOL-10995</v>
      </c>
      <c r="D78" s="9">
        <f>SUM(Jul!D78, Aug!D78, Sep!D78)</f>
        <v>2901170</v>
      </c>
      <c r="E78" s="14">
        <f>SUM(Jul!E78, Aug!E78, Sep!E78)</f>
        <v>2543560</v>
      </c>
      <c r="F78" s="14">
        <f t="shared" si="7"/>
        <v>357610</v>
      </c>
      <c r="G78" s="15">
        <f t="shared" si="5"/>
        <v>0.14059428517510891</v>
      </c>
      <c r="H78" s="16">
        <f>SUM(Jul!H78,Aug!H78,Sep!H78)</f>
        <v>2835607.7949999999</v>
      </c>
      <c r="I78" s="16">
        <f>SUM(Jul!I78, Aug!I78, Sep!I78)</f>
        <v>65562.205000000075</v>
      </c>
      <c r="J78" s="15">
        <f t="shared" si="6"/>
        <v>2.3121041321583782E-2</v>
      </c>
    </row>
    <row r="79" spans="1:10" ht="15.6">
      <c r="A79" s="24" t="str">
        <v>Wildflower</v>
      </c>
      <c r="B79" s="25" t="str">
        <v>NY</v>
      </c>
      <c r="C79" s="25" t="str">
        <f>Sites[[#This Row],[SOL'#]]</f>
        <v>SOL-10982</v>
      </c>
      <c r="D79" s="20">
        <f>SUM(Jul!D79, Aug!D79, Sep!D79)</f>
        <v>2517103</v>
      </c>
      <c r="E79" s="10">
        <f>SUM(Jul!E79, Aug!E79, Sep!E79)</f>
        <v>2510655</v>
      </c>
      <c r="F79" s="10">
        <f t="shared" si="7"/>
        <v>6448</v>
      </c>
      <c r="G79" s="11">
        <f t="shared" si="5"/>
        <v>2.5682541010214467E-3</v>
      </c>
      <c r="H79" s="12">
        <f>SUM(Jul!H79,Aug!H79,Sep!H79)</f>
        <v>2711596.06</v>
      </c>
      <c r="I79" s="12">
        <f>SUM(Jul!I79, Aug!I79, Sep!I79)</f>
        <v>-194493.06000000006</v>
      </c>
      <c r="J79" s="13">
        <f t="shared" si="6"/>
        <v>-7.1726413409820361E-2</v>
      </c>
    </row>
    <row r="80" spans="1:10" ht="15.6">
      <c r="A80" s="26" t="str">
        <v>Glen Mary 1</v>
      </c>
      <c r="B80" s="27" t="str">
        <v>NY</v>
      </c>
      <c r="C80" s="27" t="str">
        <f>Sites[[#This Row],[SOL'#]]</f>
        <v>SOL-10993</v>
      </c>
      <c r="D80" s="9">
        <f>SUM(Jul!D80, Aug!D80, Sep!D80)</f>
        <v>2885780</v>
      </c>
      <c r="E80" s="14">
        <f>SUM(Jul!E80, Aug!E80, Sep!E80)</f>
        <v>2874200</v>
      </c>
      <c r="F80" s="14">
        <f t="shared" si="7"/>
        <v>11580</v>
      </c>
      <c r="G80" s="15">
        <f t="shared" si="5"/>
        <v>4.0289471853037365E-3</v>
      </c>
      <c r="H80" s="16">
        <f>SUM(Jul!H80,Aug!H80,Sep!H80)</f>
        <v>2793945.6060000001</v>
      </c>
      <c r="I80" s="16">
        <f>SUM(Jul!I80, Aug!I80, Sep!I80)</f>
        <v>91834.394000000088</v>
      </c>
      <c r="J80" s="15">
        <f t="shared" si="6"/>
        <v>3.2869070107444345E-2</v>
      </c>
    </row>
    <row r="81" spans="1:10" ht="15.6">
      <c r="A81" s="24" t="str">
        <v>Glen Mary 2</v>
      </c>
      <c r="B81" s="25" t="str">
        <v>NY</v>
      </c>
      <c r="C81" s="25" t="str">
        <f>Sites[[#This Row],[SOL'#]]</f>
        <v>SOL-10994</v>
      </c>
      <c r="D81" s="20">
        <f>SUM(Jul!D81, Aug!D81, Sep!D81)</f>
        <v>1264540</v>
      </c>
      <c r="E81" s="10">
        <f>SUM(Jul!E81, Aug!E81, Sep!E81)</f>
        <v>473050</v>
      </c>
      <c r="F81" s="10">
        <f t="shared" si="7"/>
        <v>791490</v>
      </c>
      <c r="G81" s="11">
        <f t="shared" si="5"/>
        <v>1.6731635133706797</v>
      </c>
      <c r="H81" s="12">
        <f>SUM(Jul!H81,Aug!H81,Sep!H81)</f>
        <v>1188326.8059999999</v>
      </c>
      <c r="I81" s="12">
        <f>SUM(Jul!I81, Aug!I81, Sep!I81)</f>
        <v>76213.193999999959</v>
      </c>
      <c r="J81" s="13">
        <f t="shared" si="6"/>
        <v>6.4134877388266176E-2</v>
      </c>
    </row>
    <row r="82" spans="1:10" ht="15.6">
      <c r="A82" s="26" t="str">
        <v>Telegraph 1</v>
      </c>
      <c r="B82" s="27" t="str">
        <v>NY</v>
      </c>
      <c r="C82" s="27" t="str">
        <f>Sites[[#This Row],[SOL'#]]</f>
        <v>SOL-11003</v>
      </c>
      <c r="D82" s="9">
        <f>SUM(Jul!D82, Aug!D82, Sep!D82)</f>
        <v>2147619</v>
      </c>
      <c r="E82" s="14">
        <f>SUM(Jul!E82, Aug!E82, Sep!E82)</f>
        <v>0</v>
      </c>
      <c r="F82" s="14">
        <f t="shared" si="7"/>
        <v>2147619</v>
      </c>
      <c r="G82" s="15" t="str">
        <f t="shared" si="5"/>
        <v/>
      </c>
      <c r="H82" s="16">
        <f>SUM(Jul!H82,Aug!H82,Sep!H82)</f>
        <v>1995786.2740000002</v>
      </c>
      <c r="I82" s="16">
        <f>SUM(Jul!I82, Aug!I82, Sep!I82)</f>
        <v>151832.72600000002</v>
      </c>
      <c r="J82" s="15">
        <f t="shared" si="6"/>
        <v>7.6076646070770609E-2</v>
      </c>
    </row>
    <row r="83" spans="1:10" ht="15.6">
      <c r="A83" s="24" t="str">
        <v>Telegraph 2</v>
      </c>
      <c r="B83" s="25" t="str">
        <v>NY</v>
      </c>
      <c r="C83" s="25" t="str">
        <f>Sites[[#This Row],[SOL'#]]</f>
        <v>SOL-11004</v>
      </c>
      <c r="D83" s="20">
        <f>SUM(Jul!D83, Aug!D83, Sep!D83)</f>
        <v>1111130</v>
      </c>
      <c r="E83" s="10">
        <f>SUM(Jul!E83, Aug!E83, Sep!E83)</f>
        <v>0</v>
      </c>
      <c r="F83" s="10">
        <f t="shared" si="7"/>
        <v>1111130</v>
      </c>
      <c r="G83" s="11" t="str">
        <f t="shared" si="5"/>
        <v/>
      </c>
      <c r="H83" s="12">
        <f>SUM(Jul!H83,Aug!H83,Sep!H83)</f>
        <v>1039062.1229999999</v>
      </c>
      <c r="I83" s="12">
        <f>SUM(Jul!I83, Aug!I83, Sep!I83)</f>
        <v>72067.876999999979</v>
      </c>
      <c r="J83" s="13">
        <f t="shared" si="6"/>
        <v>6.9358583480960925E-2</v>
      </c>
    </row>
    <row r="84" spans="1:10" ht="15.6">
      <c r="A84" s="26" t="str">
        <v>Cafferty Hill</v>
      </c>
      <c r="B84" s="27" t="str">
        <v>NY</v>
      </c>
      <c r="C84" s="27" t="str">
        <f>Sites[[#This Row],[SOL'#]]</f>
        <v>SOL-10996</v>
      </c>
      <c r="D84" s="9">
        <f>SUM(Jul!D84, Aug!D84, Sep!D84)</f>
        <v>2982310</v>
      </c>
      <c r="E84" s="14">
        <f>SUM(Jul!E84, Aug!E84, Sep!E84)</f>
        <v>3076673.9499999997</v>
      </c>
      <c r="F84" s="14">
        <f t="shared" si="7"/>
        <v>-94363.949999999721</v>
      </c>
      <c r="G84" s="15">
        <f t="shared" si="5"/>
        <v>-3.0670767046992332E-2</v>
      </c>
      <c r="H84" s="16">
        <f>SUM(Jul!H84,Aug!H84,Sep!H84)</f>
        <v>2742218.6030000001</v>
      </c>
      <c r="I84" s="16">
        <f>SUM(Jul!I84, Aug!I84, Sep!I84)</f>
        <v>240091.39700000011</v>
      </c>
      <c r="J84" s="15">
        <f t="shared" si="6"/>
        <v>8.7553704411945488E-2</v>
      </c>
    </row>
    <row r="85" spans="1:10" ht="15.6">
      <c r="A85" s="24" t="str">
        <v>Dunkleman</v>
      </c>
      <c r="B85" s="25" t="str">
        <v>NY</v>
      </c>
      <c r="C85" s="25" t="str">
        <f>Sites[[#This Row],[SOL'#]]</f>
        <v>SOL-11008</v>
      </c>
      <c r="D85" s="20">
        <f>SUM(Jul!D85, Aug!D85, Sep!D85)</f>
        <v>3618040</v>
      </c>
      <c r="E85" s="10">
        <f>SUM(Jul!E85, Aug!E85, Sep!E85)</f>
        <v>3609080</v>
      </c>
      <c r="F85" s="10">
        <f t="shared" si="7"/>
        <v>8960</v>
      </c>
      <c r="G85" s="11">
        <f t="shared" si="5"/>
        <v>2.4826271515178385E-3</v>
      </c>
      <c r="H85" s="12">
        <f>SUM(Jul!H85,Aug!H85,Sep!H85)</f>
        <v>3338553.3029999998</v>
      </c>
      <c r="I85" s="12">
        <f>SUM(Jul!I85, Aug!I85, Sep!I85)</f>
        <v>279486.69700000004</v>
      </c>
      <c r="J85" s="13">
        <f t="shared" si="6"/>
        <v>8.3714912309129627E-2</v>
      </c>
    </row>
    <row r="86" spans="1:10" ht="15.6">
      <c r="A86" s="26" t="str">
        <v>Route 19 1</v>
      </c>
      <c r="B86" s="27" t="str">
        <v>NY</v>
      </c>
      <c r="C86" s="27" t="str">
        <f>Sites[[#This Row],[SOL'#]]</f>
        <v>SOL-11001</v>
      </c>
      <c r="D86" s="9">
        <f>SUM(Jul!D86, Aug!D86, Sep!D86)</f>
        <v>1230240</v>
      </c>
      <c r="E86" s="14">
        <f>SUM(Jul!E86, Aug!E86, Sep!E86)</f>
        <v>1225300</v>
      </c>
      <c r="F86" s="14">
        <f t="shared" si="7"/>
        <v>4940</v>
      </c>
      <c r="G86" s="15">
        <f t="shared" si="5"/>
        <v>4.0316657145188931E-3</v>
      </c>
      <c r="H86" s="16">
        <f>SUM(Jul!H86,Aug!H86,Sep!H86)</f>
        <v>1356278.6440000001</v>
      </c>
      <c r="I86" s="16">
        <f>SUM(Jul!I86, Aug!I86, Sep!I86)</f>
        <v>-126038.64400000003</v>
      </c>
      <c r="J86" s="15">
        <f t="shared" si="6"/>
        <v>-9.2929756401885819E-2</v>
      </c>
    </row>
    <row r="87" spans="1:10" ht="15.6">
      <c r="A87" s="24" t="str">
        <v>Route 19 2</v>
      </c>
      <c r="B87" s="25" t="str">
        <v>NY</v>
      </c>
      <c r="C87" s="25" t="str">
        <f>Sites[[#This Row],[SOL'#]]</f>
        <v>SOL-11002</v>
      </c>
      <c r="D87" s="20">
        <f>SUM(Jul!D87, Aug!D87, Sep!D87)</f>
        <v>3520420</v>
      </c>
      <c r="E87" s="10">
        <f>SUM(Jul!E87, Aug!E87, Sep!E87)</f>
        <v>3509420</v>
      </c>
      <c r="F87" s="10">
        <f t="shared" si="7"/>
        <v>11000</v>
      </c>
      <c r="G87" s="11">
        <f t="shared" si="5"/>
        <v>3.1344210724279227E-3</v>
      </c>
      <c r="H87" s="12">
        <f>SUM(Jul!H87,Aug!H87,Sep!H87)</f>
        <v>3352274.0379999997</v>
      </c>
      <c r="I87" s="12">
        <f>SUM(Jul!I87, Aug!I87, Sep!I87)</f>
        <v>168145.96200000006</v>
      </c>
      <c r="J87" s="13">
        <f t="shared" si="6"/>
        <v>5.0158775832156499E-2</v>
      </c>
    </row>
    <row r="88" spans="1:10" ht="15.6">
      <c r="A88" s="26" t="str">
        <v>Yellow Mills 1</v>
      </c>
      <c r="B88" s="27" t="str">
        <v>NY</v>
      </c>
      <c r="C88" s="27" t="str">
        <f>Sites[[#This Row],[SOL'#]]</f>
        <v>SOL-11006</v>
      </c>
      <c r="D88" s="9">
        <f>SUM(Jul!D88, Aug!D88, Sep!D88)</f>
        <v>1010411</v>
      </c>
      <c r="E88" s="14">
        <f>SUM(Jul!E88, Aug!E88, Sep!E88)</f>
        <v>1005252</v>
      </c>
      <c r="F88" s="14">
        <f t="shared" si="7"/>
        <v>5159</v>
      </c>
      <c r="G88" s="15">
        <f t="shared" si="5"/>
        <v>5.1320464918249353E-3</v>
      </c>
      <c r="H88" s="16">
        <f>SUM(Jul!H88,Aug!H88,Sep!H88)</f>
        <v>1162592.176</v>
      </c>
      <c r="I88" s="16">
        <f>SUM(Jul!I88, Aug!I88, Sep!I88)</f>
        <v>-152181.17599999998</v>
      </c>
      <c r="J88" s="15">
        <f t="shared" si="6"/>
        <v>-0.13089815942473707</v>
      </c>
    </row>
    <row r="89" spans="1:10" ht="15.6">
      <c r="A89" s="24" t="str">
        <v>Yellow Mills 2</v>
      </c>
      <c r="B89" s="25" t="str">
        <v>NY</v>
      </c>
      <c r="C89" s="25" t="str">
        <f>Sites[[#This Row],[SOL'#]]</f>
        <v>SOL-11005</v>
      </c>
      <c r="D89" s="20">
        <f>SUM(Jul!D89, Aug!D89, Sep!D89)</f>
        <v>998560</v>
      </c>
      <c r="E89" s="10">
        <f>SUM(Jul!E89, Aug!E89, Sep!E89)</f>
        <v>0</v>
      </c>
      <c r="F89" s="10">
        <f t="shared" si="7"/>
        <v>998560</v>
      </c>
      <c r="G89" s="11" t="str">
        <f t="shared" si="5"/>
        <v/>
      </c>
      <c r="H89" s="12">
        <f>SUM(Jul!H89,Aug!H89,Sep!H89)</f>
        <v>1206340.466</v>
      </c>
      <c r="I89" s="12">
        <f>SUM(Jul!I89, Aug!I89, Sep!I89)</f>
        <v>-207780.46600000001</v>
      </c>
      <c r="J89" s="13">
        <f t="shared" si="6"/>
        <v>-0.17224031843096607</v>
      </c>
    </row>
    <row r="90" spans="1:10" ht="15.6">
      <c r="A90" s="26" t="str">
        <v>Yellow Mills 3</v>
      </c>
      <c r="B90" s="27" t="str">
        <v>NY</v>
      </c>
      <c r="C90" s="27" t="str">
        <f>Sites[[#This Row],[SOL'#]]</f>
        <v>SOL-11007</v>
      </c>
      <c r="D90" s="9">
        <f>SUM(Jul!D90, Aug!D90, Sep!D90)</f>
        <v>950025</v>
      </c>
      <c r="E90" s="14">
        <f>SUM(Jul!E90, Aug!E90, Sep!E90)</f>
        <v>930142</v>
      </c>
      <c r="F90" s="14">
        <f t="shared" si="7"/>
        <v>19883</v>
      </c>
      <c r="G90" s="15">
        <f t="shared" si="5"/>
        <v>2.1376305983387484E-2</v>
      </c>
      <c r="H90" s="16">
        <f>SUM(Jul!H90,Aug!H90,Sep!H90)</f>
        <v>1148258.9909999999</v>
      </c>
      <c r="I90" s="16">
        <f>SUM(Jul!I90, Aug!I90, Sep!I90)</f>
        <v>-198233.99100000004</v>
      </c>
      <c r="J90" s="15">
        <f t="shared" si="6"/>
        <v>-0.1726387448770258</v>
      </c>
    </row>
    <row r="91" spans="1:10" ht="15.6">
      <c r="A91" s="24" t="str">
        <v>Catskill</v>
      </c>
      <c r="B91" s="25" t="str">
        <v>NY</v>
      </c>
      <c r="C91" s="25" t="str">
        <f>Sites[[#This Row],[SOL'#]]</f>
        <v>SOL-11021</v>
      </c>
      <c r="D91" s="20">
        <f>SUM(Jul!D91, Aug!D91, Sep!D91)</f>
        <v>1275409</v>
      </c>
      <c r="E91" s="10">
        <f>SUM(Jul!E91, Aug!E91, Sep!E91)</f>
        <v>358236</v>
      </c>
      <c r="F91" s="10">
        <f t="shared" si="7"/>
        <v>917173</v>
      </c>
      <c r="G91" s="11">
        <f t="shared" si="5"/>
        <v>2.5602479929431996</v>
      </c>
      <c r="H91" s="12">
        <f>SUM(Jul!H91,Aug!H91,Sep!H91)</f>
        <v>2134906.8119999999</v>
      </c>
      <c r="I91" s="12">
        <f>SUM(Jul!I91, Aug!I91, Sep!I91)</f>
        <v>-859497.81199999992</v>
      </c>
      <c r="J91" s="13">
        <f t="shared" si="6"/>
        <v>-0.40259265986172699</v>
      </c>
    </row>
    <row r="92" spans="1:10" ht="15.6">
      <c r="A92" s="26" t="str">
        <v>Eddy Ridge</v>
      </c>
      <c r="B92" s="27" t="str">
        <v>NY</v>
      </c>
      <c r="C92" s="27" t="str">
        <f>Sites[[#This Row],[SOL'#]]</f>
        <v>SOL-11054</v>
      </c>
      <c r="D92" s="9">
        <f>SUM(Jul!D92, Aug!D92, Sep!D92)</f>
        <v>1621025</v>
      </c>
      <c r="E92" s="14">
        <f>SUM(Jul!E92, Aug!E92, Sep!E92)</f>
        <v>1615367</v>
      </c>
      <c r="F92" s="14">
        <f t="shared" si="7"/>
        <v>5658</v>
      </c>
      <c r="G92" s="15">
        <f t="shared" si="5"/>
        <v>3.5026096236954202E-3</v>
      </c>
      <c r="H92" s="16">
        <f>SUM(Jul!H92,Aug!H92,Sep!H92)</f>
        <v>1665630</v>
      </c>
      <c r="I92" s="16">
        <f>SUM(Jul!I92, Aug!I92, Sep!I92)</f>
        <v>-44605</v>
      </c>
      <c r="J92" s="15">
        <f t="shared" si="6"/>
        <v>-2.6779656946620798E-2</v>
      </c>
    </row>
    <row r="93" spans="1:10" ht="15.6">
      <c r="A93" s="24" t="str">
        <v>Ridgeway #1</v>
      </c>
      <c r="B93" s="25" t="str">
        <v>NY</v>
      </c>
      <c r="C93" s="25" t="str">
        <f>Sites[[#This Row],[SOL'#]]</f>
        <v>SOL-11018</v>
      </c>
      <c r="D93" s="20">
        <f>SUM(Jul!D93, Aug!D93, Sep!D93)</f>
        <v>3897796</v>
      </c>
      <c r="E93" s="10">
        <f>SUM(Jul!E93, Aug!E93, Sep!E93)</f>
        <v>3884735</v>
      </c>
      <c r="F93" s="10">
        <f t="shared" si="7"/>
        <v>13061</v>
      </c>
      <c r="G93" s="11">
        <f t="shared" si="5"/>
        <v>3.3621340966629642E-3</v>
      </c>
      <c r="H93" s="12">
        <f>SUM(Jul!H93,Aug!H93,Sep!H93)</f>
        <v>3692237.6399999997</v>
      </c>
      <c r="I93" s="12">
        <f>SUM(Jul!I93, Aug!I93, Sep!I93)</f>
        <v>205558.3600000001</v>
      </c>
      <c r="J93" s="13">
        <f t="shared" si="6"/>
        <v>5.5673112091452523E-2</v>
      </c>
    </row>
    <row r="94" spans="1:10" ht="15.6">
      <c r="A94" s="26" t="str">
        <v>Rivard 1</v>
      </c>
      <c r="B94" s="27" t="str">
        <v>NY</v>
      </c>
      <c r="C94" s="27" t="str">
        <f>Sites[[#This Row],[SOL'#]]</f>
        <v>SOL-11011</v>
      </c>
      <c r="D94" s="9">
        <f>SUM(Jul!D94, Aug!D94, Sep!D94)</f>
        <v>2948952.1042654002</v>
      </c>
      <c r="E94" s="14">
        <f>SUM(Jul!E94, Aug!E94, Sep!E94)</f>
        <v>3133096.68</v>
      </c>
      <c r="F94" s="14">
        <f t="shared" si="7"/>
        <v>-184144.57573459996</v>
      </c>
      <c r="G94" s="15">
        <f t="shared" si="5"/>
        <v>-5.8773984508706557E-2</v>
      </c>
      <c r="H94" s="16">
        <f>SUM(Jul!H94,Aug!H94,Sep!H94)</f>
        <v>2775918.31</v>
      </c>
      <c r="I94" s="16">
        <f>SUM(Jul!I94, Aug!I94, Sep!I94)</f>
        <v>173033.79426539992</v>
      </c>
      <c r="J94" s="15">
        <f t="shared" si="6"/>
        <v>6.2333892766966874E-2</v>
      </c>
    </row>
    <row r="95" spans="1:10" ht="15.6">
      <c r="A95" s="24" t="str">
        <v>Rivard 2</v>
      </c>
      <c r="B95" s="25" t="str">
        <v>NY</v>
      </c>
      <c r="C95" s="25" t="str">
        <f>Sites[[#This Row],[SOL'#]]</f>
        <v>SOL-11012</v>
      </c>
      <c r="D95" s="20">
        <f>SUM(Jul!D95, Aug!D95, Sep!D95)</f>
        <v>3083382</v>
      </c>
      <c r="E95" s="10">
        <f>SUM(Jul!E95, Aug!E95, Sep!E95)</f>
        <v>3020007.84</v>
      </c>
      <c r="F95" s="10">
        <f t="shared" si="7"/>
        <v>63374.160000000149</v>
      </c>
      <c r="G95" s="11">
        <f t="shared" si="5"/>
        <v>2.0984766715042749E-2</v>
      </c>
      <c r="H95" s="12">
        <f>SUM(Jul!H95,Aug!H95,Sep!H95)</f>
        <v>2669049.41</v>
      </c>
      <c r="I95" s="12">
        <f>SUM(Jul!I95, Aug!I95, Sep!I95)</f>
        <v>414332.58999999997</v>
      </c>
      <c r="J95" s="13">
        <f t="shared" si="6"/>
        <v>0.15523601340898366</v>
      </c>
    </row>
    <row r="96" spans="1:10" ht="15.6">
      <c r="A96" s="26" t="str">
        <v>Ridgeway #2</v>
      </c>
      <c r="B96" s="27" t="str">
        <v>NY</v>
      </c>
      <c r="C96" s="27" t="str">
        <f>Sites[[#This Row],[SOL'#]]</f>
        <v>SOL-11027</v>
      </c>
      <c r="D96" s="9">
        <f>SUM(Jul!D96, Aug!D96, Sep!D96)</f>
        <v>1241274</v>
      </c>
      <c r="E96" s="14">
        <f>SUM(Jul!E96, Aug!E96, Sep!E96)</f>
        <v>1237054</v>
      </c>
      <c r="F96" s="14">
        <f t="shared" si="7"/>
        <v>4220</v>
      </c>
      <c r="G96" s="15">
        <f t="shared" ref="G96:G97" si="8">IFERROR(F96/E96, "")</f>
        <v>3.4113304673846091E-3</v>
      </c>
      <c r="H96" s="16">
        <f>SUM(Jul!H96,Aug!H96,Sep!H96)</f>
        <v>1107137.51</v>
      </c>
      <c r="I96" s="16">
        <f>SUM(Jul!I96, Aug!I96, Sep!I96)</f>
        <v>134136.49000000005</v>
      </c>
      <c r="J96" s="15">
        <f t="shared" ref="J96:J97" si="9">IFERROR(I96/H96, "")</f>
        <v>0.12115612449983747</v>
      </c>
    </row>
    <row r="97" spans="1:10" ht="15.6">
      <c r="A97" s="24" t="str">
        <v>Spencer</v>
      </c>
      <c r="B97" s="25" t="str">
        <v>NY</v>
      </c>
      <c r="C97" s="25" t="str">
        <f>Sites[[#This Row],[SOL'#]]</f>
        <v>SOL-11017</v>
      </c>
      <c r="D97" s="20">
        <f>SUM(Jul!D97, Aug!D97, Sep!D97)</f>
        <v>3371243.05</v>
      </c>
      <c r="E97" s="10">
        <f>SUM(Jul!E97, Aug!E97, Sep!E97)</f>
        <v>3361661.15</v>
      </c>
      <c r="F97" s="10">
        <f t="shared" si="7"/>
        <v>9581.8999999999069</v>
      </c>
      <c r="G97" s="11">
        <f t="shared" si="8"/>
        <v>2.8503467697807397E-3</v>
      </c>
      <c r="H97" s="12">
        <f>SUM(Jul!H97,Aug!H97,Sep!H97)</f>
        <v>3433745</v>
      </c>
      <c r="I97" s="12">
        <f>SUM(Jul!I97, Aug!I97, Sep!I97)</f>
        <v>-62501.949999999953</v>
      </c>
      <c r="J97" s="13">
        <f t="shared" si="9"/>
        <v>-1.8202268951247096E-2</v>
      </c>
    </row>
    <row r="98" spans="1:10" ht="15.6">
      <c r="A98" s="26" t="str">
        <v>Reisender</v>
      </c>
      <c r="B98" s="27" t="str">
        <v>NY</v>
      </c>
      <c r="C98" s="27" t="str">
        <f>Sites[[#This Row],[SOL'#]]</f>
        <v>SOL-10886</v>
      </c>
      <c r="D98" s="9">
        <f>SUM(Jul!D98, Aug!D98, Sep!D98)</f>
        <v>1122430</v>
      </c>
      <c r="E98" s="14">
        <f>SUM(Jul!E98, Aug!E98, Sep!E98)</f>
        <v>1130183</v>
      </c>
      <c r="F98" s="14">
        <f t="shared" ref="F98:F158" si="10">IF(AND(ISNUMBER(D98),ISNUMBER(E98)), D98-E98, "")</f>
        <v>-7753</v>
      </c>
      <c r="G98" s="15">
        <f t="shared" ref="G98:G158" si="11">IFERROR(F98/E98, "")</f>
        <v>-6.8599509990859885E-3</v>
      </c>
      <c r="H98" s="16">
        <f>SUM(Jul!H98,Aug!H98,Sep!H98)</f>
        <v>1116783.077</v>
      </c>
      <c r="I98" s="16">
        <f>SUM(Jul!I98, Aug!I98, Sep!I98)</f>
        <v>5646.9229999999516</v>
      </c>
      <c r="J98" s="15">
        <f t="shared" ref="J98:J154" si="12">IFERROR(I98/H98, "")</f>
        <v>5.056418848295237E-3</v>
      </c>
    </row>
    <row r="99" spans="1:10" ht="15.6">
      <c r="A99" s="24" t="str">
        <v>Finney</v>
      </c>
      <c r="B99" s="25" t="str">
        <v>NY</v>
      </c>
      <c r="C99" s="25" t="str">
        <f>Sites[[#This Row],[SOL'#]]</f>
        <v>SOL-10999</v>
      </c>
      <c r="D99" s="20">
        <f>SUM(Jul!D99, Aug!D99, Sep!D99)</f>
        <v>2276510</v>
      </c>
      <c r="E99" s="10">
        <f>SUM(Jul!E99, Aug!E99, Sep!E99)</f>
        <v>2261080</v>
      </c>
      <c r="F99" s="10">
        <f t="shared" si="10"/>
        <v>15430</v>
      </c>
      <c r="G99" s="11">
        <f t="shared" si="11"/>
        <v>6.8241725193270474E-3</v>
      </c>
      <c r="H99" s="12">
        <f>SUM(Jul!H99,Aug!H99,Sep!H99)</f>
        <v>3489900.2309999997</v>
      </c>
      <c r="I99" s="12">
        <f>SUM(Jul!I99, Aug!I99, Sep!I99)</f>
        <v>-1213390.2309999999</v>
      </c>
      <c r="J99" s="13">
        <f t="shared" si="12"/>
        <v>-0.34768622329708082</v>
      </c>
    </row>
    <row r="100" spans="1:10" ht="15.6">
      <c r="A100" s="26" t="str">
        <v>Davis Solar</v>
      </c>
      <c r="B100" s="27" t="str">
        <v>NY</v>
      </c>
      <c r="C100" s="27" t="str">
        <f>Sites[[#This Row],[SOL'#]]</f>
        <v>SOL-10958</v>
      </c>
      <c r="D100" s="9">
        <f>SUM(Jul!D100, Aug!D100, Sep!D100)</f>
        <v>1158562</v>
      </c>
      <c r="E100" s="14">
        <f>SUM(Jul!E100, Aug!E100, Sep!E100)</f>
        <v>1260227.83</v>
      </c>
      <c r="F100" s="14">
        <f t="shared" si="10"/>
        <v>-101665.83000000007</v>
      </c>
      <c r="G100" s="15">
        <f t="shared" si="11"/>
        <v>-8.0672579655696117E-2</v>
      </c>
      <c r="H100" s="16">
        <f>SUM(Jul!H100,Aug!H100,Sep!H100)</f>
        <v>1282123</v>
      </c>
      <c r="I100" s="16">
        <f>SUM(Jul!I100, Aug!I100, Sep!I100)</f>
        <v>-123561</v>
      </c>
      <c r="J100" s="15">
        <f t="shared" si="12"/>
        <v>-9.6372188939750705E-2</v>
      </c>
    </row>
    <row r="101" spans="1:10" ht="15.6">
      <c r="A101" s="24" t="str">
        <v>Genesee</v>
      </c>
      <c r="B101" s="25" t="str">
        <v>NY</v>
      </c>
      <c r="C101" s="25" t="str">
        <f>Sites[[#This Row],[SOL'#]]</f>
        <v>SOL-10951</v>
      </c>
      <c r="D101" s="20">
        <f>SUM(Jul!D101, Aug!D101, Sep!D101)</f>
        <v>2560299.2999999998</v>
      </c>
      <c r="E101" s="10">
        <f>SUM(Jul!E101, Aug!E101, Sep!E101)</f>
        <v>2224787.8899999997</v>
      </c>
      <c r="F101" s="10">
        <f t="shared" si="10"/>
        <v>335511.41000000015</v>
      </c>
      <c r="G101" s="11">
        <f t="shared" si="11"/>
        <v>0.15080602133266746</v>
      </c>
      <c r="H101" s="12">
        <f>SUM(Jul!H101,Aug!H101,Sep!H101)</f>
        <v>2663980.3480000002</v>
      </c>
      <c r="I101" s="12">
        <f>SUM(Jul!I101, Aug!I101, Sep!I101)</f>
        <v>-103681.04799999995</v>
      </c>
      <c r="J101" s="13">
        <f t="shared" si="12"/>
        <v>-3.891959941740529E-2</v>
      </c>
    </row>
    <row r="102" spans="1:10" ht="15.6">
      <c r="A102" s="26" t="str">
        <v>Landau I</v>
      </c>
      <c r="B102" s="27" t="str">
        <v>NY</v>
      </c>
      <c r="C102" s="27" t="str">
        <f>Sites[[#This Row],[SOL'#]]</f>
        <v>SOL-10891</v>
      </c>
      <c r="D102" s="9">
        <f>SUM(Jul!D102, Aug!D102, Sep!D102)</f>
        <v>1207510</v>
      </c>
      <c r="E102" s="14">
        <f>SUM(Jul!E102, Aug!E102, Sep!E102)</f>
        <v>0</v>
      </c>
      <c r="F102" s="14">
        <f t="shared" si="10"/>
        <v>1207510</v>
      </c>
      <c r="G102" s="15" t="str">
        <f t="shared" si="11"/>
        <v/>
      </c>
      <c r="H102" s="16">
        <f>SUM(Jul!H102,Aug!H102,Sep!H102)</f>
        <v>1208529.0900000001</v>
      </c>
      <c r="I102" s="16">
        <f>SUM(Jul!I102, Aug!I102, Sep!I102)</f>
        <v>-1019.0900000000256</v>
      </c>
      <c r="J102" s="15">
        <f t="shared" si="12"/>
        <v>-8.4324821672271497E-4</v>
      </c>
    </row>
    <row r="103" spans="1:10" ht="15.6">
      <c r="A103" s="24" t="str">
        <v>Landau II</v>
      </c>
      <c r="B103" s="25" t="str">
        <v>NY</v>
      </c>
      <c r="C103" s="25" t="str">
        <f>Sites[[#This Row],[SOL'#]]</f>
        <v>SOL-10895</v>
      </c>
      <c r="D103" s="20">
        <f>SUM(Jul!D103, Aug!D103, Sep!D103)</f>
        <v>1645320</v>
      </c>
      <c r="E103" s="10">
        <f>SUM(Jul!E103, Aug!E103, Sep!E103)</f>
        <v>0</v>
      </c>
      <c r="F103" s="10">
        <f t="shared" si="10"/>
        <v>1645320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1193220</v>
      </c>
      <c r="E104" s="14">
        <f>SUM(Jul!E104, Aug!E104, Sep!E104)</f>
        <v>1208310.8900000001</v>
      </c>
      <c r="F104" s="14">
        <f t="shared" si="10"/>
        <v>-15090.89000000013</v>
      </c>
      <c r="G104" s="15">
        <f t="shared" si="11"/>
        <v>-1.2489244386434463E-2</v>
      </c>
      <c r="H104" s="16">
        <f>SUM(Jul!H104,Aug!H104,Sep!H104)</f>
        <v>1169690.2150000001</v>
      </c>
      <c r="I104" s="16">
        <f>SUM(Jul!I104, Aug!I104, Sep!I104)</f>
        <v>23529.785000000033</v>
      </c>
      <c r="J104" s="15">
        <f t="shared" si="12"/>
        <v>2.0116253601386271E-2</v>
      </c>
    </row>
    <row r="105" spans="1:10" ht="15.6">
      <c r="A105" s="24" t="str">
        <v>Bullitt Farm Solar, LLC</v>
      </c>
      <c r="B105" s="25" t="str">
        <v>NY</v>
      </c>
      <c r="C105" s="25" t="str">
        <f>Sites[[#This Row],[SOL'#]]</f>
        <v>SOL-10998</v>
      </c>
      <c r="D105" s="20">
        <f>SUM(Jul!D105, Aug!D105, Sep!D105)</f>
        <v>2698101</v>
      </c>
      <c r="E105" s="10">
        <f>SUM(Jul!E105, Aug!E105, Sep!E105)</f>
        <v>2805159.111</v>
      </c>
      <c r="F105" s="10">
        <f t="shared" si="10"/>
        <v>-107058.11100000003</v>
      </c>
      <c r="G105" s="11">
        <f t="shared" si="11"/>
        <v>-3.8164719633973034E-2</v>
      </c>
      <c r="H105" s="12">
        <f>SUM(Jul!H105,Aug!H105,Sep!H105)</f>
        <v>2782056.12</v>
      </c>
      <c r="I105" s="12">
        <f>SUM(Jul!I105, Aug!I105, Sep!I105)</f>
        <v>-83955.120000000112</v>
      </c>
      <c r="J105" s="13">
        <f t="shared" si="12"/>
        <v>-3.017736392751132E-2</v>
      </c>
    </row>
    <row r="106" spans="1:10" ht="15.6">
      <c r="A106" s="26" t="str">
        <v>Brodhead Solar, LLC</v>
      </c>
      <c r="B106" s="27" t="str">
        <v>NY</v>
      </c>
      <c r="C106" s="27" t="str">
        <f>Sites[[#This Row],[SOL'#]]</f>
        <v>SOL-10899</v>
      </c>
      <c r="D106" s="9">
        <f>SUM(Jul!D106, Aug!D106, Sep!D106)</f>
        <v>1878949</v>
      </c>
      <c r="E106" s="14">
        <f>SUM(Jul!E106, Aug!E106, Sep!E106)</f>
        <v>1958582.325</v>
      </c>
      <c r="F106" s="14">
        <f t="shared" si="10"/>
        <v>-79633.324999999953</v>
      </c>
      <c r="G106" s="15">
        <f t="shared" si="11"/>
        <v>-4.0658656000073908E-2</v>
      </c>
      <c r="H106" s="16">
        <f>SUM(Jul!H106,Aug!H106,Sep!H106)</f>
        <v>1905468.15</v>
      </c>
      <c r="I106" s="16">
        <f>SUM(Jul!I106, Aug!I106, Sep!I106)</f>
        <v>-26519.150000000023</v>
      </c>
      <c r="J106" s="15">
        <f t="shared" si="12"/>
        <v>-1.3917393476243633E-2</v>
      </c>
    </row>
    <row r="107" spans="1:10" ht="15.6">
      <c r="A107" s="24" t="str">
        <v>Svenski</v>
      </c>
      <c r="B107" s="25" t="str">
        <v>NY</v>
      </c>
      <c r="C107" s="25" t="str">
        <f>Sites[[#This Row],[SOL'#]]</f>
        <v>SOL-10894</v>
      </c>
      <c r="D107" s="20">
        <f>SUM(Jul!D107, Aug!D107, Sep!D107)</f>
        <v>1194178</v>
      </c>
      <c r="E107" s="10">
        <f>SUM(Jul!E107, Aug!E107, Sep!E107)</f>
        <v>0</v>
      </c>
      <c r="F107" s="10">
        <f t="shared" si="10"/>
        <v>1194178</v>
      </c>
      <c r="G107" s="11" t="str">
        <f t="shared" si="11"/>
        <v/>
      </c>
      <c r="H107" s="12">
        <f>SUM(Jul!H107,Aug!H107,Sep!H107)</f>
        <v>1219673.6059999999</v>
      </c>
      <c r="I107" s="12">
        <f>SUM(Jul!I107, Aug!I107, Sep!I107)</f>
        <v>-25495.605999999971</v>
      </c>
      <c r="J107" s="13">
        <f t="shared" si="12"/>
        <v>-2.0903630179892548E-2</v>
      </c>
    </row>
    <row r="108" spans="1:10" ht="15.6">
      <c r="A108" s="26" t="str">
        <v>Bantam</v>
      </c>
      <c r="B108" s="27" t="str">
        <v>NY</v>
      </c>
      <c r="C108" s="27" t="str">
        <f>Sites[[#This Row],[SOL'#]]</f>
        <v>SOL-10986</v>
      </c>
      <c r="D108" s="9">
        <f>SUM(Jul!D108, Aug!D108, Sep!D108)</f>
        <v>200870</v>
      </c>
      <c r="E108" s="14">
        <f>SUM(Jul!E108, Aug!E108, Sep!E108)</f>
        <v>1574600</v>
      </c>
      <c r="F108" s="14">
        <f t="shared" si="10"/>
        <v>-1373730</v>
      </c>
      <c r="G108" s="15">
        <f t="shared" si="11"/>
        <v>-0.87243109361107585</v>
      </c>
      <c r="H108" s="16">
        <f>SUM(Jul!H108,Aug!H108,Sep!H108)</f>
        <v>3392222.8830000004</v>
      </c>
      <c r="I108" s="16">
        <f>SUM(Jul!I108, Aug!I108, Sep!I108)</f>
        <v>-3191352.8830000004</v>
      </c>
      <c r="J108" s="15">
        <f t="shared" si="12"/>
        <v>-0.94078514091551813</v>
      </c>
    </row>
    <row r="109" spans="1:10" ht="15.6">
      <c r="A109" s="24" t="str">
        <v>Bogart</v>
      </c>
      <c r="B109" s="25" t="str">
        <v>NY</v>
      </c>
      <c r="C109" s="25" t="str">
        <f>Sites[[#This Row],[SOL'#]]</f>
        <v>SOL-10887</v>
      </c>
      <c r="D109" s="20">
        <f>SUM(Jul!D109, Aug!D109, Sep!D109)</f>
        <v>678890</v>
      </c>
      <c r="E109" s="10">
        <f>SUM(Jul!E109, Aug!E109, Sep!E109)</f>
        <v>1074976.1599999999</v>
      </c>
      <c r="F109" s="10">
        <f t="shared" si="10"/>
        <v>-396086.15999999992</v>
      </c>
      <c r="G109" s="11">
        <f t="shared" si="11"/>
        <v>-0.36846041311278938</v>
      </c>
      <c r="H109" s="12">
        <f>SUM(Jul!H109,Aug!H109,Sep!H109)</f>
        <v>1149750.3489999999</v>
      </c>
      <c r="I109" s="12">
        <f>SUM(Jul!I109, Aug!I109, Sep!I109)</f>
        <v>-470860.34899999999</v>
      </c>
      <c r="J109" s="13">
        <f t="shared" si="12"/>
        <v>-0.40953268629971079</v>
      </c>
    </row>
    <row r="110" spans="1:10" ht="15.6">
      <c r="A110" s="26" t="str">
        <v>Dubois</v>
      </c>
      <c r="B110" s="27" t="str">
        <v>NY</v>
      </c>
      <c r="C110" s="27" t="str">
        <f>Sites[[#This Row],[SOL'#]]</f>
        <v>SOL-10892</v>
      </c>
      <c r="D110" s="9">
        <f>SUM(Jul!D110, Aug!D110, Sep!D110)</f>
        <v>515980</v>
      </c>
      <c r="E110" s="14">
        <f>SUM(Jul!E110, Aug!E110, Sep!E110)</f>
        <v>515924.51</v>
      </c>
      <c r="F110" s="14">
        <f t="shared" si="10"/>
        <v>55.489999999990687</v>
      </c>
      <c r="G110" s="15">
        <f t="shared" si="11"/>
        <v>1.0755449474573458E-4</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1113070</v>
      </c>
      <c r="E111" s="10">
        <f>SUM(Jul!E111, Aug!E111, Sep!E111)</f>
        <v>1113070</v>
      </c>
      <c r="F111" s="10">
        <f t="shared" si="10"/>
        <v>0</v>
      </c>
      <c r="G111" s="11">
        <f t="shared" si="11"/>
        <v>0</v>
      </c>
      <c r="H111" s="12">
        <f>SUM(Jul!H111,Aug!H111,Sep!H111)</f>
        <v>1341684.9509999999</v>
      </c>
      <c r="I111" s="12">
        <f>SUM(Jul!I111, Aug!I111, Sep!I111)</f>
        <v>-228614.951</v>
      </c>
      <c r="J111" s="13">
        <f t="shared" si="12"/>
        <v>-0.17039391462921763</v>
      </c>
    </row>
    <row r="112" spans="1:10" ht="15.6">
      <c r="A112" s="26" t="str">
        <v>Wheatland 2A</v>
      </c>
      <c r="B112" s="27" t="str">
        <v>NY</v>
      </c>
      <c r="C112" s="27" t="str">
        <f>Sites[[#This Row],[SOL'#]]</f>
        <v>SOL-10971</v>
      </c>
      <c r="D112" s="9">
        <f>SUM(Jul!D112, Aug!D112, Sep!D112)</f>
        <v>2920400</v>
      </c>
      <c r="E112" s="14">
        <f>SUM(Jul!E112, Aug!E112, Sep!E112)</f>
        <v>2914370</v>
      </c>
      <c r="F112" s="14">
        <f t="shared" si="10"/>
        <v>6030</v>
      </c>
      <c r="G112" s="15">
        <f t="shared" si="11"/>
        <v>2.0690578066614742E-3</v>
      </c>
      <c r="H112" s="16">
        <f>SUM(Jul!H112,Aug!H112,Sep!H112)</f>
        <v>3022697.8420000002</v>
      </c>
      <c r="I112" s="16">
        <f>SUM(Jul!I112, Aug!I112, Sep!I112)</f>
        <v>-102297.84200000006</v>
      </c>
      <c r="J112" s="15">
        <f t="shared" si="12"/>
        <v>-3.3843224611664662E-2</v>
      </c>
    </row>
    <row r="113" spans="1:10" ht="15.6">
      <c r="A113" s="24" t="str">
        <v>Wheatland 2B</v>
      </c>
      <c r="B113" s="25" t="str">
        <v>NY</v>
      </c>
      <c r="C113" s="25" t="str">
        <f>Sites[[#This Row],[SOL'#]]</f>
        <v>SOL-10961</v>
      </c>
      <c r="D113" s="20">
        <f>SUM(Jul!D113, Aug!D113, Sep!D113)</f>
        <v>3079390</v>
      </c>
      <c r="E113" s="10">
        <f>SUM(Jul!E113, Aug!E113, Sep!E113)</f>
        <v>3073160</v>
      </c>
      <c r="F113" s="10">
        <f t="shared" si="10"/>
        <v>6230</v>
      </c>
      <c r="G113" s="11">
        <f t="shared" si="11"/>
        <v>2.0272293014356557E-3</v>
      </c>
      <c r="H113" s="12">
        <f>SUM(Jul!H113,Aug!H113,Sep!H113)</f>
        <v>2991938.2689999999</v>
      </c>
      <c r="I113" s="12">
        <f>SUM(Jul!I113, Aug!I113, Sep!I113)</f>
        <v>87451.731000000029</v>
      </c>
      <c r="J113" s="13">
        <f t="shared" si="12"/>
        <v>2.9229122775059513E-2</v>
      </c>
    </row>
    <row r="114" spans="1:10" ht="15.6">
      <c r="A114" s="26" t="str">
        <v>Brickchurch</v>
      </c>
      <c r="B114" s="27" t="str">
        <v>NY</v>
      </c>
      <c r="C114" s="27" t="str">
        <f>Sites[[#This Row],[SOL'#]]</f>
        <v>SOL-10889</v>
      </c>
      <c r="D114" s="9">
        <f>SUM(Jul!D114, Aug!D114, Sep!D114)</f>
        <v>0</v>
      </c>
      <c r="E114" s="14">
        <f>SUM(Jul!E114, Aug!E114, Sep!E114)</f>
        <v>519962.55</v>
      </c>
      <c r="F114" s="14">
        <f t="shared" si="10"/>
        <v>-519962.55</v>
      </c>
      <c r="G114" s="15">
        <f t="shared" si="11"/>
        <v>-1</v>
      </c>
      <c r="H114" s="16">
        <f>SUM(Jul!H114,Aug!H114,Sep!H114)</f>
        <v>1381198.446</v>
      </c>
      <c r="I114" s="16">
        <f>SUM(Jul!I114, Aug!I114, Sep!I114)</f>
        <v>-1381198.446</v>
      </c>
      <c r="J114" s="15">
        <f t="shared" si="12"/>
        <v>-1</v>
      </c>
    </row>
    <row r="115" spans="1:10" ht="15.6">
      <c r="A115" s="24" t="str">
        <v>McCarthy Solar</v>
      </c>
      <c r="B115" s="25" t="str">
        <v>NY</v>
      </c>
      <c r="C115" s="25" t="str">
        <f>Sites[[#This Row],[SOL'#]]</f>
        <v>SOL-10992</v>
      </c>
      <c r="D115" s="20">
        <f>SUM(Jul!D115, Aug!D115, Sep!D115)</f>
        <v>628760</v>
      </c>
      <c r="E115" s="10">
        <f>SUM(Jul!E115, Aug!E115, Sep!E115)</f>
        <v>0</v>
      </c>
      <c r="F115" s="10">
        <f t="shared" si="10"/>
        <v>628760</v>
      </c>
      <c r="G115" s="11" t="str">
        <f t="shared" si="11"/>
        <v/>
      </c>
      <c r="H115" s="12">
        <f>SUM(Jul!H115,Aug!H115,Sep!H115)</f>
        <v>1210292.02</v>
      </c>
      <c r="I115" s="12">
        <f>SUM(Jul!I115, Aug!I115, Sep!I115)</f>
        <v>-581532.0199999999</v>
      </c>
      <c r="J115" s="13">
        <f t="shared" si="12"/>
        <v>-0.48048901454377918</v>
      </c>
    </row>
    <row r="116" spans="1:10" ht="15.6">
      <c r="A116" s="26" t="str">
        <v>Costanza</v>
      </c>
      <c r="B116" s="27" t="str">
        <v>NY</v>
      </c>
      <c r="C116" s="27" t="str">
        <f>Sites[[#This Row],[SOL'#]]</f>
        <v>SOL-10907</v>
      </c>
      <c r="D116" s="9">
        <f>SUM(Jul!D116, Aug!D116, Sep!D116)</f>
        <v>1184650</v>
      </c>
      <c r="E116" s="14">
        <f>SUM(Jul!E116, Aug!E116, Sep!E116)</f>
        <v>1169904.6300000001</v>
      </c>
      <c r="F116" s="14">
        <f t="shared" si="10"/>
        <v>14745.369999999879</v>
      </c>
      <c r="G116" s="15">
        <f t="shared" si="11"/>
        <v>1.2603907721948136E-2</v>
      </c>
      <c r="H116" s="16">
        <f>SUM(Jul!H116,Aug!H116,Sep!H116)</f>
        <v>1203943.061</v>
      </c>
      <c r="I116" s="16">
        <f>SUM(Jul!I116, Aug!I116, Sep!I116)</f>
        <v>-19293.061000000045</v>
      </c>
      <c r="J116" s="15">
        <f t="shared" si="12"/>
        <v>-1.6024894884958389E-2</v>
      </c>
    </row>
    <row r="117" spans="1:10" ht="15.6">
      <c r="A117" s="24" t="str">
        <v>Lockenhurst Pond</v>
      </c>
      <c r="B117" s="25" t="str">
        <v>NY</v>
      </c>
      <c r="C117" s="25" t="str">
        <f>Sites[[#This Row],[SOL'#]]</f>
        <v>SOL-11000</v>
      </c>
      <c r="D117" s="20">
        <f>SUM(Jul!D117, Aug!D117, Sep!D117)</f>
        <v>1340895</v>
      </c>
      <c r="E117" s="10">
        <f>SUM(Jul!E117, Aug!E117, Sep!E117)</f>
        <v>1463999.6780000001</v>
      </c>
      <c r="F117" s="10">
        <f t="shared" si="10"/>
        <v>-123104.67800000007</v>
      </c>
      <c r="G117" s="11">
        <f t="shared" si="11"/>
        <v>-8.4087913303489178E-2</v>
      </c>
      <c r="H117" s="12">
        <f>SUM(Jul!H117,Aug!H117,Sep!H117)</f>
        <v>1405318</v>
      </c>
      <c r="I117" s="12">
        <f>SUM(Jul!I117, Aug!I117, Sep!I117)</f>
        <v>-64423</v>
      </c>
      <c r="J117" s="13">
        <f t="shared" si="12"/>
        <v>-4.5842293345705387E-2</v>
      </c>
    </row>
    <row r="118" spans="1:10" ht="15.6">
      <c r="A118" s="26" t="str">
        <v>Drinkwater</v>
      </c>
      <c r="B118" s="27" t="str">
        <v>NY</v>
      </c>
      <c r="C118" s="27" t="str">
        <f>Sites[[#This Row],[SOL'#]]</f>
        <v>SOL-10896</v>
      </c>
      <c r="D118" s="9">
        <f>SUM(Jul!D118, Aug!D118, Sep!D118)</f>
        <v>1340940</v>
      </c>
      <c r="E118" s="14">
        <f>SUM(Jul!E118, Aug!E118, Sep!E118)</f>
        <v>1326560</v>
      </c>
      <c r="F118" s="14">
        <f t="shared" si="10"/>
        <v>14380</v>
      </c>
      <c r="G118" s="15">
        <f t="shared" si="11"/>
        <v>1.0840067543119045E-2</v>
      </c>
      <c r="H118" s="16">
        <f>SUM(Jul!H118,Aug!H118,Sep!H118)</f>
        <v>1238976.3370000001</v>
      </c>
      <c r="I118" s="16">
        <f>SUM(Jul!I118, Aug!I118, Sep!I118)</f>
        <v>101963.66300000006</v>
      </c>
      <c r="J118" s="15">
        <f t="shared" si="12"/>
        <v>8.2296699262949732E-2</v>
      </c>
    </row>
    <row r="119" spans="1:10" ht="15.6">
      <c r="A119" s="24" t="str">
        <v>Altamont</v>
      </c>
      <c r="B119" s="25" t="str">
        <v>NY</v>
      </c>
      <c r="C119" s="25" t="str">
        <f>Sites[[#This Row],[SOL'#]]</f>
        <v>SOL-11085</v>
      </c>
      <c r="D119" s="20">
        <f>SUM(Jul!D119, Aug!D119, Sep!D119)</f>
        <v>2551005</v>
      </c>
      <c r="E119" s="10">
        <f>SUM(Jul!E119, Aug!E119, Sep!E119)</f>
        <v>2642654.4730000002</v>
      </c>
      <c r="F119" s="10">
        <f t="shared" si="10"/>
        <v>-91649.473000000231</v>
      </c>
      <c r="G119" s="11">
        <f t="shared" si="11"/>
        <v>-3.4680838504005294E-2</v>
      </c>
      <c r="H119" s="12">
        <f>SUM(Jul!H119,Aug!H119,Sep!H119)</f>
        <v>1995490.53</v>
      </c>
      <c r="I119" s="12">
        <f>SUM(Jul!I119, Aug!I119, Sep!I119)</f>
        <v>555514.47</v>
      </c>
      <c r="J119" s="13">
        <f t="shared" si="12"/>
        <v>0.27838491922083936</v>
      </c>
    </row>
    <row r="120" spans="1:10" ht="15.6">
      <c r="A120" s="26" t="str">
        <v>Krumkill North</v>
      </c>
      <c r="B120" s="27" t="str">
        <v>NY</v>
      </c>
      <c r="C120" s="27" t="str">
        <f>Sites[[#This Row],[SOL'#]]</f>
        <v>SOL-11086</v>
      </c>
      <c r="D120" s="9">
        <f>SUM(Jul!D120, Aug!D120, Sep!D120)</f>
        <v>2295506</v>
      </c>
      <c r="E120" s="14">
        <f>SUM(Jul!E120, Aug!E120, Sep!E120)</f>
        <v>2676349.7400000002</v>
      </c>
      <c r="F120" s="14">
        <f t="shared" si="10"/>
        <v>-380843.74000000022</v>
      </c>
      <c r="G120" s="15">
        <f t="shared" si="11"/>
        <v>-0.14229969062264641</v>
      </c>
      <c r="H120" s="16">
        <f>SUM(Jul!H120,Aug!H120,Sep!H120)</f>
        <v>2293853.94</v>
      </c>
      <c r="I120" s="16">
        <f>SUM(Jul!I120, Aug!I120, Sep!I120)</f>
        <v>1652.0599999999395</v>
      </c>
      <c r="J120" s="15">
        <f t="shared" si="12"/>
        <v>7.2021150570726383E-4</v>
      </c>
    </row>
    <row r="121" spans="1:10" ht="15.6">
      <c r="A121" s="24" t="str">
        <v>Krumkill South</v>
      </c>
      <c r="B121" s="25" t="str">
        <v>NY</v>
      </c>
      <c r="C121" s="25" t="str">
        <f>Sites[[#This Row],[SOL'#]]</f>
        <v>SOL-11087</v>
      </c>
      <c r="D121" s="20">
        <f>SUM(Jul!D121, Aug!D121, Sep!D121)</f>
        <v>1945802</v>
      </c>
      <c r="E121" s="10">
        <f>SUM(Jul!E121, Aug!E121, Sep!E121)</f>
        <v>2121566.9610000001</v>
      </c>
      <c r="F121" s="10">
        <f t="shared" si="10"/>
        <v>-175764.96100000013</v>
      </c>
      <c r="G121" s="11">
        <f t="shared" si="11"/>
        <v>-8.2846765730718835E-2</v>
      </c>
      <c r="H121" s="12">
        <f>SUM(Jul!H121,Aug!H121,Sep!H121)</f>
        <v>1798301.75</v>
      </c>
      <c r="I121" s="12">
        <f>SUM(Jul!I121, Aug!I121, Sep!I121)</f>
        <v>147500.25</v>
      </c>
      <c r="J121" s="13">
        <f t="shared" si="12"/>
        <v>8.2021968782491586E-2</v>
      </c>
    </row>
    <row r="122" spans="1:10" ht="15.6">
      <c r="A122" s="26" t="str">
        <v>X092</v>
      </c>
      <c r="B122" s="27" t="str">
        <v>NY</v>
      </c>
      <c r="C122" s="27" t="str">
        <f>Sites[[#This Row],[SOL'#]]</f>
        <v>SOL-11189</v>
      </c>
      <c r="D122" s="9">
        <f>SUM(Jul!D122, Aug!D122, Sep!D122)</f>
        <v>60146.2</v>
      </c>
      <c r="E122" s="14">
        <f>SUM(Jul!E122, Aug!E122, Sep!E122)</f>
        <v>60576.127999999997</v>
      </c>
      <c r="F122" s="14">
        <f t="shared" si="10"/>
        <v>-429.92799999999988</v>
      </c>
      <c r="G122" s="15">
        <f t="shared" si="11"/>
        <v>-7.0973172798367021E-3</v>
      </c>
      <c r="H122" s="16">
        <f>SUM(Jul!H122,Aug!H122,Sep!H122)</f>
        <v>60080.5</v>
      </c>
      <c r="I122" s="16">
        <f>SUM(Jul!I122, Aug!I122, Sep!I122)</f>
        <v>65.700000000000728</v>
      </c>
      <c r="J122" s="15">
        <f t="shared" si="12"/>
        <v>1.09353284343507E-3</v>
      </c>
    </row>
    <row r="123" spans="1:10" ht="15.6">
      <c r="A123" s="24" t="str">
        <v>X093</v>
      </c>
      <c r="B123" s="25" t="str">
        <v>NY</v>
      </c>
      <c r="C123" s="25" t="str">
        <f>Sites[[#This Row],[SOL'#]]</f>
        <v>SOL-10932</v>
      </c>
      <c r="D123" s="20">
        <f>SUM(Jul!D123, Aug!D123, Sep!D123)</f>
        <v>40591.697625000001</v>
      </c>
      <c r="E123" s="10">
        <f>SUM(Jul!E123, Aug!E123, Sep!E123)</f>
        <v>42694.315000000002</v>
      </c>
      <c r="F123" s="10">
        <f t="shared" si="10"/>
        <v>-2102.6173750000016</v>
      </c>
      <c r="G123" s="11">
        <f t="shared" si="11"/>
        <v>-4.9248181520186035E-2</v>
      </c>
      <c r="H123" s="12">
        <f>SUM(Jul!H123,Aug!H123,Sep!H123)</f>
        <v>42464</v>
      </c>
      <c r="I123" s="12">
        <f>SUM(Jul!I123, Aug!I123, Sep!I123)</f>
        <v>-1872.3023749999993</v>
      </c>
      <c r="J123" s="13">
        <f t="shared" si="12"/>
        <v>-4.4091521641861323E-2</v>
      </c>
    </row>
    <row r="124" spans="1:10" ht="15.6">
      <c r="A124" s="26" t="str">
        <v>X095</v>
      </c>
      <c r="B124" s="27" t="str">
        <v>NY</v>
      </c>
      <c r="C124" s="27" t="str">
        <f>Sites[[#This Row],[SOL'#]]</f>
        <v>SOL-10929</v>
      </c>
      <c r="D124" s="9">
        <f>SUM(Jul!D124, Aug!D124, Sep!D124)</f>
        <v>59575.875499999995</v>
      </c>
      <c r="E124" s="14">
        <f>SUM(Jul!E124, Aug!E124, Sep!E124)</f>
        <v>57040.892999999996</v>
      </c>
      <c r="F124" s="14">
        <f t="shared" si="10"/>
        <v>2534.9824999999983</v>
      </c>
      <c r="G124" s="15">
        <f t="shared" si="11"/>
        <v>4.4441493929626916E-2</v>
      </c>
      <c r="H124" s="16">
        <f>SUM(Jul!H124,Aug!H124,Sep!H124)</f>
        <v>57702</v>
      </c>
      <c r="I124" s="16">
        <f>SUM(Jul!I124, Aug!I124, Sep!I124)</f>
        <v>1873.8754999999983</v>
      </c>
      <c r="J124" s="15">
        <f t="shared" si="12"/>
        <v>3.2475052857786527E-2</v>
      </c>
    </row>
    <row r="125" spans="1:10" ht="15.6">
      <c r="A125" s="24" t="str">
        <v>X181</v>
      </c>
      <c r="B125" s="25" t="str">
        <v>NY</v>
      </c>
      <c r="C125" s="25" t="str">
        <f>Sites[[#This Row],[SOL'#]]</f>
        <v>SOL-10428</v>
      </c>
      <c r="D125" s="20">
        <f>SUM(Jul!D125, Aug!D125, Sep!D125)</f>
        <v>111198.18775</v>
      </c>
      <c r="E125" s="10">
        <f>SUM(Jul!E125, Aug!E125, Sep!E125)</f>
        <v>95831.209999999992</v>
      </c>
      <c r="F125" s="10">
        <f t="shared" si="10"/>
        <v>15366.977750000005</v>
      </c>
      <c r="G125" s="11">
        <f t="shared" si="11"/>
        <v>0.16035462507464954</v>
      </c>
      <c r="H125" s="12">
        <f>SUM(Jul!H125,Aug!H125,Sep!H125)</f>
        <v>106859</v>
      </c>
      <c r="I125" s="12">
        <f>SUM(Jul!I125, Aug!I125, Sep!I125)</f>
        <v>4339.187750000001</v>
      </c>
      <c r="J125" s="13">
        <f t="shared" si="12"/>
        <v>4.0606666261147874E-2</v>
      </c>
    </row>
    <row r="126" spans="1:10" ht="15.6">
      <c r="A126" s="26" t="str">
        <v>X415</v>
      </c>
      <c r="B126" s="27" t="str">
        <v>NY</v>
      </c>
      <c r="C126" s="27" t="str">
        <f>Sites[[#This Row],[SOL'#]]</f>
        <v>SOL-10429</v>
      </c>
      <c r="D126" s="9">
        <f>SUM(Jul!D126, Aug!D126, Sep!D126)</f>
        <v>70480.593874999991</v>
      </c>
      <c r="E126" s="14">
        <f>SUM(Jul!E126, Aug!E126, Sep!E126)</f>
        <v>60472.819000000003</v>
      </c>
      <c r="F126" s="14">
        <f t="shared" si="10"/>
        <v>10007.774874999988</v>
      </c>
      <c r="G126" s="15">
        <f t="shared" si="11"/>
        <v>0.16549211762395247</v>
      </c>
      <c r="H126" s="16">
        <f>SUM(Jul!H126,Aug!H126,Sep!H126)</f>
        <v>62182.5</v>
      </c>
      <c r="I126" s="16">
        <f>SUM(Jul!I126, Aug!I126, Sep!I126)</f>
        <v>8298.0938749999987</v>
      </c>
      <c r="J126" s="15">
        <f t="shared" si="12"/>
        <v>0.13344741486752701</v>
      </c>
    </row>
    <row r="127" spans="1:10" ht="15.6">
      <c r="A127" s="24" t="str">
        <v>K198</v>
      </c>
      <c r="B127" s="25" t="str">
        <v>NY</v>
      </c>
      <c r="C127" s="25" t="str">
        <f>Sites[[#This Row],[SOL'#]]</f>
        <v>SOL-10930</v>
      </c>
      <c r="D127" s="20">
        <f>SUM(Jul!D127, Aug!D127, Sep!D127)</f>
        <v>50674.757750000004</v>
      </c>
      <c r="E127" s="10">
        <f>SUM(Jul!E127, Aug!E127, Sep!E127)</f>
        <v>49440.792000000001</v>
      </c>
      <c r="F127" s="10">
        <f t="shared" si="10"/>
        <v>1233.965750000003</v>
      </c>
      <c r="G127" s="11">
        <f t="shared" si="11"/>
        <v>2.4958454346766999E-2</v>
      </c>
      <c r="H127" s="12">
        <f>SUM(Jul!H127,Aug!H127,Sep!H127)</f>
        <v>49230.5</v>
      </c>
      <c r="I127" s="12">
        <f>SUM(Jul!I127, Aug!I127, Sep!I127)</f>
        <v>1444.2577500000007</v>
      </c>
      <c r="J127" s="13">
        <f t="shared" si="12"/>
        <v>2.9336645981657725E-2</v>
      </c>
    </row>
    <row r="128" spans="1:10" ht="15.6">
      <c r="A128" s="26" t="str">
        <v>K203</v>
      </c>
      <c r="B128" s="27" t="str">
        <v>NY</v>
      </c>
      <c r="C128" s="27" t="str">
        <f>Sites[[#This Row],[SOL'#]]</f>
        <v>SOL-11190</v>
      </c>
      <c r="D128" s="9">
        <f>SUM(Jul!D128, Aug!D128, Sep!D128)</f>
        <v>66025.5</v>
      </c>
      <c r="E128" s="14">
        <f>SUM(Jul!E128, Aug!E128, Sep!E128)</f>
        <v>59001.54</v>
      </c>
      <c r="F128" s="14">
        <f t="shared" si="10"/>
        <v>7023.9599999999991</v>
      </c>
      <c r="G128" s="15">
        <f t="shared" si="11"/>
        <v>0.11904706216142831</v>
      </c>
      <c r="H128" s="16">
        <f>SUM(Jul!H128,Aug!H128,Sep!H128)</f>
        <v>66093.5</v>
      </c>
      <c r="I128" s="16">
        <f>SUM(Jul!I128, Aug!I128, Sep!I128)</f>
        <v>-68</v>
      </c>
      <c r="J128" s="15">
        <f t="shared" si="12"/>
        <v>-1.028845499179193E-3</v>
      </c>
    </row>
    <row r="129" spans="1:10" ht="15.6">
      <c r="A129" s="24" t="str">
        <v>K213</v>
      </c>
      <c r="B129" s="25" t="str">
        <v>NY</v>
      </c>
      <c r="C129" s="25" t="str">
        <f>Sites[[#This Row],[SOL'#]]</f>
        <v>SOL-11191</v>
      </c>
      <c r="D129" s="20">
        <f>SUM(Jul!D129, Aug!D129, Sep!D129)</f>
        <v>74538</v>
      </c>
      <c r="E129" s="10">
        <f>SUM(Jul!E129, Aug!E129, Sep!E129)</f>
        <v>79135.171999999991</v>
      </c>
      <c r="F129" s="10">
        <f t="shared" si="10"/>
        <v>-4597.1719999999914</v>
      </c>
      <c r="G129" s="11">
        <f t="shared" si="11"/>
        <v>-5.8092651899461237E-2</v>
      </c>
      <c r="H129" s="12">
        <f>SUM(Jul!H129,Aug!H129,Sep!H129)</f>
        <v>69685.5</v>
      </c>
      <c r="I129" s="12">
        <f>SUM(Jul!I129, Aug!I129, Sep!I129)</f>
        <v>4852.5</v>
      </c>
      <c r="J129" s="13">
        <f t="shared" si="12"/>
        <v>6.96342854682825E-2</v>
      </c>
    </row>
    <row r="130" spans="1:10" ht="15.6">
      <c r="A130" s="26" t="str">
        <v>K217</v>
      </c>
      <c r="B130" s="27" t="str">
        <v>NY</v>
      </c>
      <c r="C130" s="27" t="str">
        <f>Sites[[#This Row],[SOL'#]]</f>
        <v>SOL-10933</v>
      </c>
      <c r="D130" s="9">
        <f>SUM(Jul!D130, Aug!D130, Sep!D130)</f>
        <v>39628.414499999999</v>
      </c>
      <c r="E130" s="14">
        <f>SUM(Jul!E130, Aug!E130, Sep!E130)</f>
        <v>37568.987999999998</v>
      </c>
      <c r="F130" s="14">
        <f t="shared" si="10"/>
        <v>2059.4265000000014</v>
      </c>
      <c r="G130" s="15">
        <f t="shared" si="11"/>
        <v>5.4817193904717412E-2</v>
      </c>
      <c r="H130" s="16">
        <f>SUM(Jul!H130,Aug!H130,Sep!H130)</f>
        <v>37715.5</v>
      </c>
      <c r="I130" s="16">
        <f>SUM(Jul!I130, Aug!I130, Sep!I130)</f>
        <v>1912.9145000000008</v>
      </c>
      <c r="J130" s="15">
        <f t="shared" si="12"/>
        <v>5.0719584786095923E-2</v>
      </c>
    </row>
    <row r="131" spans="1:10" ht="15.6">
      <c r="A131" s="24" t="str">
        <v>K307</v>
      </c>
      <c r="B131" s="25" t="str">
        <v>NY</v>
      </c>
      <c r="C131" s="25" t="str">
        <f>Sites[[#This Row],[SOL'#]]</f>
        <v>SOL-10876</v>
      </c>
      <c r="D131" s="20">
        <f>SUM(Jul!D131, Aug!D131, Sep!D131)</f>
        <v>81938.422250000003</v>
      </c>
      <c r="E131" s="10">
        <f>SUM(Jul!E131, Aug!E131, Sep!E131)</f>
        <v>84461.912000000011</v>
      </c>
      <c r="F131" s="10">
        <f t="shared" si="10"/>
        <v>-2523.4897500000079</v>
      </c>
      <c r="G131" s="11">
        <f t="shared" si="11"/>
        <v>-2.9877251061993571E-2</v>
      </c>
      <c r="H131" s="12">
        <f>SUM(Jul!H131,Aug!H131,Sep!H131)</f>
        <v>78543</v>
      </c>
      <c r="I131" s="12">
        <f>SUM(Jul!I131, Aug!I131, Sep!I131)</f>
        <v>3395.4222499999996</v>
      </c>
      <c r="J131" s="13">
        <f t="shared" si="12"/>
        <v>4.3230106438511384E-2</v>
      </c>
    </row>
    <row r="132" spans="1:10" ht="15.6">
      <c r="A132" s="26" t="str">
        <v>K610</v>
      </c>
      <c r="B132" s="27" t="str">
        <v>NY</v>
      </c>
      <c r="C132" s="27" t="str">
        <f>Sites[[#This Row],[SOL'#]]</f>
        <v>SOL-11158</v>
      </c>
      <c r="D132" s="9">
        <f>SUM(Jul!D132, Aug!D132, Sep!D132)</f>
        <v>70866.100000000006</v>
      </c>
      <c r="E132" s="14">
        <f>SUM(Jul!E132, Aug!E132, Sep!E132)</f>
        <v>94164.542000000001</v>
      </c>
      <c r="F132" s="14">
        <f t="shared" si="10"/>
        <v>-23298.441999999995</v>
      </c>
      <c r="G132" s="15">
        <f t="shared" si="11"/>
        <v>-0.24742266574184574</v>
      </c>
      <c r="H132" s="16">
        <f>SUM(Jul!H132,Aug!H132,Sep!H132)</f>
        <v>92738</v>
      </c>
      <c r="I132" s="16">
        <f>SUM(Jul!I132, Aug!I132, Sep!I132)</f>
        <v>-21871.9</v>
      </c>
      <c r="J132" s="15">
        <f t="shared" si="12"/>
        <v>-0.23584614721042077</v>
      </c>
    </row>
    <row r="133" spans="1:10" ht="15.6">
      <c r="A133" s="24" t="str">
        <v>M025</v>
      </c>
      <c r="B133" s="25" t="str">
        <v>NY</v>
      </c>
      <c r="C133" s="25" t="str">
        <f>Sites[[#This Row],[SOL'#]]</f>
        <v>SOL-10392</v>
      </c>
      <c r="D133" s="20">
        <f>SUM(Jul!D133, Aug!D133, Sep!D133)</f>
        <v>63842.023062499997</v>
      </c>
      <c r="E133" s="10">
        <f>SUM(Jul!E133, Aug!E133, Sep!E133)</f>
        <v>87869.323000000004</v>
      </c>
      <c r="F133" s="10">
        <f t="shared" si="10"/>
        <v>-24027.299937500007</v>
      </c>
      <c r="G133" s="11">
        <f t="shared" si="11"/>
        <v>-0.27344355364499628</v>
      </c>
      <c r="H133" s="12">
        <f>SUM(Jul!H133,Aug!H133,Sep!H133)</f>
        <v>81637.5</v>
      </c>
      <c r="I133" s="12">
        <f>SUM(Jul!I133, Aug!I133, Sep!I133)</f>
        <v>-17795.4769375</v>
      </c>
      <c r="J133" s="13">
        <f t="shared" si="12"/>
        <v>-0.21798164982391671</v>
      </c>
    </row>
    <row r="134" spans="1:10" ht="15.6">
      <c r="A134" s="26" t="str">
        <v>M028</v>
      </c>
      <c r="B134" s="27" t="str">
        <v>NY</v>
      </c>
      <c r="C134" s="27" t="str">
        <f>Sites[[#This Row],[SOL'#]]</f>
        <v>SOL-10381</v>
      </c>
      <c r="D134" s="9">
        <f>SUM(Jul!D134, Aug!D134, Sep!D134)</f>
        <v>67025.021359375009</v>
      </c>
      <c r="E134" s="14">
        <f>SUM(Jul!E134, Aug!E134, Sep!E134)</f>
        <v>64202.36</v>
      </c>
      <c r="F134" s="14">
        <f t="shared" si="10"/>
        <v>2822.661359375008</v>
      </c>
      <c r="G134" s="15">
        <f t="shared" si="11"/>
        <v>4.3965071679218773E-2</v>
      </c>
      <c r="H134" s="16">
        <f>SUM(Jul!H134,Aug!H134,Sep!H134)</f>
        <v>62213.5</v>
      </c>
      <c r="I134" s="16">
        <f>SUM(Jul!I134, Aug!I134, Sep!I134)</f>
        <v>4811.5213593750013</v>
      </c>
      <c r="J134" s="15">
        <f t="shared" si="12"/>
        <v>7.7338863098443289E-2</v>
      </c>
    </row>
    <row r="135" spans="1:10" ht="15.6">
      <c r="A135" s="24" t="str">
        <v>Q030</v>
      </c>
      <c r="B135" s="25" t="str">
        <v>NY</v>
      </c>
      <c r="C135" s="25" t="str">
        <f>Sites[[#This Row],[SOL'#]]</f>
        <v>SOL-10878</v>
      </c>
      <c r="D135" s="20">
        <f>SUM(Jul!D135, Aug!D135, Sep!D135)</f>
        <v>78967.195062500003</v>
      </c>
      <c r="E135" s="10">
        <f>SUM(Jul!E135, Aug!E135, Sep!E135)</f>
        <v>78003.445000000007</v>
      </c>
      <c r="F135" s="10">
        <f t="shared" si="10"/>
        <v>963.75006249999569</v>
      </c>
      <c r="G135" s="11">
        <f t="shared" si="11"/>
        <v>1.2355224342976078E-2</v>
      </c>
      <c r="H135" s="12">
        <f>SUM(Jul!H135,Aug!H135,Sep!H135)</f>
        <v>74861</v>
      </c>
      <c r="I135" s="12">
        <f>SUM(Jul!I135, Aug!I135, Sep!I135)</f>
        <v>4106.195062499999</v>
      </c>
      <c r="J135" s="13">
        <f t="shared" si="12"/>
        <v>5.4850924546826774E-2</v>
      </c>
    </row>
    <row r="136" spans="1:10" ht="15.6">
      <c r="A136" s="26" t="str">
        <v>Q130</v>
      </c>
      <c r="B136" s="27" t="str">
        <v>NY</v>
      </c>
      <c r="C136" s="27" t="str">
        <f>Sites[[#This Row],[SOL'#]]</f>
        <v>SOL-10877</v>
      </c>
      <c r="D136" s="9">
        <f>SUM(Jul!D136, Aug!D136, Sep!D136)</f>
        <v>44386.8825</v>
      </c>
      <c r="E136" s="14">
        <f>SUM(Jul!E136, Aug!E136, Sep!E136)</f>
        <v>41472.133000000002</v>
      </c>
      <c r="F136" s="14">
        <f t="shared" si="10"/>
        <v>2914.7494999999981</v>
      </c>
      <c r="G136" s="15">
        <f t="shared" si="11"/>
        <v>7.028212173220022E-2</v>
      </c>
      <c r="H136" s="16">
        <f>SUM(Jul!H136,Aug!H136,Sep!H136)</f>
        <v>42914.892</v>
      </c>
      <c r="I136" s="16">
        <f>SUM(Jul!I136, Aug!I136, Sep!I136)</f>
        <v>1471.9904999999981</v>
      </c>
      <c r="J136" s="15">
        <f t="shared" si="12"/>
        <v>3.4300226131292563E-2</v>
      </c>
    </row>
    <row r="137" spans="1:10" ht="15.6">
      <c r="A137" s="24" t="str">
        <v>Q196</v>
      </c>
      <c r="B137" s="25" t="str">
        <v>NY</v>
      </c>
      <c r="C137" s="25" t="str">
        <f>Sites[[#This Row],[SOL'#]]</f>
        <v>SOL-10879</v>
      </c>
      <c r="D137" s="20">
        <f>SUM(Jul!D137, Aug!D137, Sep!D137)</f>
        <v>58232.200624653597</v>
      </c>
      <c r="E137" s="10">
        <f>SUM(Jul!E137, Aug!E137, Sep!E137)</f>
        <v>59693.25</v>
      </c>
      <c r="F137" s="10">
        <f t="shared" si="10"/>
        <v>-1461.0493753464034</v>
      </c>
      <c r="G137" s="11">
        <f t="shared" si="11"/>
        <v>-2.4475956248761851E-2</v>
      </c>
      <c r="H137" s="12">
        <f>SUM(Jul!H137,Aug!H137,Sep!H137)</f>
        <v>55529</v>
      </c>
      <c r="I137" s="12">
        <f>SUM(Jul!I137, Aug!I137, Sep!I137)</f>
        <v>2703.2006246536021</v>
      </c>
      <c r="J137" s="13">
        <f t="shared" si="12"/>
        <v>4.8680880704741705E-2</v>
      </c>
    </row>
    <row r="138" spans="1:10" ht="15.6">
      <c r="A138" s="26" t="str">
        <v>Q220</v>
      </c>
      <c r="B138" s="27" t="str">
        <v>NY</v>
      </c>
      <c r="C138" s="27" t="str">
        <f>Sites[[#This Row],[SOL'#]]</f>
        <v>SOL-10873</v>
      </c>
      <c r="D138" s="9">
        <f>SUM(Jul!D138, Aug!D138, Sep!D138)</f>
        <v>69023.296625000003</v>
      </c>
      <c r="E138" s="14">
        <f>SUM(Jul!E138, Aug!E138, Sep!E138)</f>
        <v>79109.393000000011</v>
      </c>
      <c r="F138" s="14">
        <f t="shared" si="10"/>
        <v>-10086.096375000008</v>
      </c>
      <c r="G138" s="15">
        <f t="shared" si="11"/>
        <v>-0.12749556016691985</v>
      </c>
      <c r="H138" s="16">
        <f>SUM(Jul!H138,Aug!H138,Sep!H138)</f>
        <v>63784</v>
      </c>
      <c r="I138" s="16">
        <f>SUM(Jul!I138, Aug!I138, Sep!I138)</f>
        <v>5239.296624999999</v>
      </c>
      <c r="J138" s="15">
        <f t="shared" si="12"/>
        <v>8.2141236438605283E-2</v>
      </c>
    </row>
    <row r="139" spans="1:10" ht="15.6">
      <c r="A139" s="24" t="str">
        <v>Q205</v>
      </c>
      <c r="B139" s="25" t="str">
        <v>NY</v>
      </c>
      <c r="C139" s="25" t="str">
        <f>Sites[[#This Row],[SOL'#]]</f>
        <v>SOL-10922</v>
      </c>
      <c r="D139" s="20">
        <f>SUM(Jul!D139, Aug!D139, Sep!D139)</f>
        <v>75602.718500000003</v>
      </c>
      <c r="E139" s="10">
        <f>SUM(Jul!E139, Aug!E139, Sep!E139)</f>
        <v>97699.793000000005</v>
      </c>
      <c r="F139" s="10">
        <f t="shared" si="10"/>
        <v>-22097.074500000002</v>
      </c>
      <c r="G139" s="11">
        <f t="shared" si="11"/>
        <v>-0.2261731967026788</v>
      </c>
      <c r="H139" s="12">
        <f>SUM(Jul!H139,Aug!H139,Sep!H139)</f>
        <v>76269</v>
      </c>
      <c r="I139" s="12">
        <f>SUM(Jul!I139, Aug!I139, Sep!I139)</f>
        <v>-666.28150000000096</v>
      </c>
      <c r="J139" s="13">
        <f t="shared" si="12"/>
        <v>-8.7359412080924223E-3</v>
      </c>
    </row>
    <row r="140" spans="1:10" ht="15.6">
      <c r="A140" s="26" t="str">
        <v>Q400</v>
      </c>
      <c r="B140" s="27" t="str">
        <v>NY</v>
      </c>
      <c r="C140" s="27" t="str">
        <f>Sites[[#This Row],[SOL'#]]</f>
        <v>SOL-10871</v>
      </c>
      <c r="D140" s="9">
        <f>SUM(Jul!D140, Aug!D140, Sep!D140)</f>
        <v>81220.765249999997</v>
      </c>
      <c r="E140" s="14">
        <f>SUM(Jul!E140, Aug!E140, Sep!E140)</f>
        <v>0</v>
      </c>
      <c r="F140" s="14">
        <f t="shared" si="10"/>
        <v>81220.765249999997</v>
      </c>
      <c r="G140" s="15" t="str">
        <f t="shared" si="11"/>
        <v/>
      </c>
      <c r="H140" s="16">
        <f>SUM(Jul!H140,Aug!H140,Sep!H140)</f>
        <v>123657</v>
      </c>
      <c r="I140" s="16">
        <f>SUM(Jul!I140, Aug!I140, Sep!I140)</f>
        <v>-42436.234750000003</v>
      </c>
      <c r="J140" s="15">
        <f t="shared" si="12"/>
        <v>-0.34317697138051223</v>
      </c>
    </row>
    <row r="141" spans="1:10" ht="15.6">
      <c r="A141" s="24" t="str">
        <v>R003</v>
      </c>
      <c r="B141" s="25" t="str">
        <v>NY</v>
      </c>
      <c r="C141" s="25" t="str">
        <f>Sites[[#This Row],[SOL'#]]</f>
        <v>SOL-10416</v>
      </c>
      <c r="D141" s="20">
        <f>SUM(Jul!D141, Aug!D141, Sep!D141)</f>
        <v>105505.965125</v>
      </c>
      <c r="E141" s="10">
        <f>SUM(Jul!E141, Aug!E141, Sep!E141)</f>
        <v>117887.20699999999</v>
      </c>
      <c r="F141" s="10">
        <f t="shared" si="10"/>
        <v>-12381.241874999992</v>
      </c>
      <c r="G141" s="11">
        <f t="shared" si="11"/>
        <v>-0.10502617026968832</v>
      </c>
      <c r="H141" s="12">
        <f>SUM(Jul!H141,Aug!H141,Sep!H141)</f>
        <v>114638</v>
      </c>
      <c r="I141" s="12">
        <f>SUM(Jul!I141, Aug!I141, Sep!I141)</f>
        <v>-9132.0348750000012</v>
      </c>
      <c r="J141" s="13">
        <f t="shared" si="12"/>
        <v>-7.9659753964653968E-2</v>
      </c>
    </row>
    <row r="142" spans="1:10" ht="15.6">
      <c r="A142" s="26" t="str">
        <v>R007</v>
      </c>
      <c r="B142" s="27" t="str">
        <v>NY</v>
      </c>
      <c r="C142" s="27" t="str">
        <f>Sites[[#This Row],[SOL'#]]</f>
        <v>SOL-10417</v>
      </c>
      <c r="D142" s="9">
        <f>SUM(Jul!D142, Aug!D142, Sep!D142)</f>
        <v>126316.844</v>
      </c>
      <c r="E142" s="14">
        <f>SUM(Jul!E142, Aug!E142, Sep!E142)</f>
        <v>127802.52600000001</v>
      </c>
      <c r="F142" s="14">
        <f t="shared" si="10"/>
        <v>-1485.6820000000153</v>
      </c>
      <c r="G142" s="15">
        <f t="shared" si="11"/>
        <v>-1.1624825005415113E-2</v>
      </c>
      <c r="H142" s="16">
        <f>SUM(Jul!H142,Aug!H142,Sep!H142)</f>
        <v>128528.88699999999</v>
      </c>
      <c r="I142" s="16">
        <f>SUM(Jul!I142, Aug!I142, Sep!I142)</f>
        <v>-2212.0429999999978</v>
      </c>
      <c r="J142" s="15">
        <f t="shared" si="12"/>
        <v>-1.7210473471228286E-2</v>
      </c>
    </row>
    <row r="143" spans="1:10" ht="15.6">
      <c r="A143" s="24" t="str">
        <v>BK16</v>
      </c>
      <c r="B143" s="25" t="str">
        <v>NY</v>
      </c>
      <c r="C143" s="25" t="str">
        <f>Sites[[#This Row],[SOL'#]]</f>
        <v>SOL-11093</v>
      </c>
      <c r="D143" s="20">
        <f>SUM(Jul!D143, Aug!D143, Sep!D143)</f>
        <v>128771.31225</v>
      </c>
      <c r="E143" s="10">
        <f>SUM(Jul!E143, Aug!E143, Sep!E143)</f>
        <v>127834.13200000001</v>
      </c>
      <c r="F143" s="10">
        <f t="shared" si="10"/>
        <v>937.18024999999034</v>
      </c>
      <c r="G143" s="11">
        <f t="shared" si="11"/>
        <v>7.3312208198041372E-3</v>
      </c>
      <c r="H143" s="12">
        <f>SUM(Jul!H143,Aug!H143,Sep!H143)</f>
        <v>122483</v>
      </c>
      <c r="I143" s="12">
        <f>SUM(Jul!I143, Aug!I143, Sep!I143)</f>
        <v>6288.3122500000027</v>
      </c>
      <c r="J143" s="13">
        <f t="shared" si="12"/>
        <v>5.1340285998873338E-2</v>
      </c>
    </row>
    <row r="144" spans="1:10" ht="15.6">
      <c r="A144" s="26" t="str">
        <v>Trenton - Trenton East</v>
      </c>
      <c r="B144" s="27" t="str">
        <v>IL</v>
      </c>
      <c r="C144" s="27" t="str">
        <f>Sites[[#This Row],[SOL'#]]</f>
        <v>SOL-11060</v>
      </c>
      <c r="D144" s="9">
        <f>SUM(Jul!D144, Aug!D144, Sep!D144)</f>
        <v>1231604</v>
      </c>
      <c r="E144" s="14">
        <f>SUM(Jul!E144, Aug!E144, Sep!E144)</f>
        <v>1309024.2919999999</v>
      </c>
      <c r="F144" s="14">
        <f t="shared" si="10"/>
        <v>-77420.291999999899</v>
      </c>
      <c r="G144" s="15">
        <f t="shared" si="11"/>
        <v>-5.9143510531582941E-2</v>
      </c>
      <c r="H144" s="16">
        <f>SUM(Jul!H144,Aug!H144,Sep!H144)</f>
        <v>1476898</v>
      </c>
      <c r="I144" s="16">
        <f>SUM(Jul!I144, Aug!I144, Sep!I144)</f>
        <v>-215809</v>
      </c>
      <c r="J144" s="15">
        <f t="shared" si="12"/>
        <v>-0.14612315813278912</v>
      </c>
    </row>
    <row r="145" spans="1:10" ht="15.6">
      <c r="A145" s="24" t="str">
        <v>Trenton - Trenton West</v>
      </c>
      <c r="B145" s="25" t="str">
        <v>IL</v>
      </c>
      <c r="C145" s="25" t="str">
        <f>Sites[[#This Row],[SOL'#]]</f>
        <v>SOL-11061</v>
      </c>
      <c r="D145" s="20">
        <f>SUM(Jul!D145, Aug!D145, Sep!D145)</f>
        <v>757332</v>
      </c>
      <c r="E145" s="10">
        <f>SUM(Jul!E145, Aug!E145, Sep!E145)</f>
        <v>1112799.898</v>
      </c>
      <c r="F145" s="10">
        <f t="shared" si="10"/>
        <v>-355467.89800000004</v>
      </c>
      <c r="G145" s="11">
        <f t="shared" si="11"/>
        <v>-0.31943559541915056</v>
      </c>
      <c r="H145" s="12">
        <f>SUM(Jul!H145,Aug!H145,Sep!H145)</f>
        <v>1483031.5</v>
      </c>
      <c r="I145" s="12">
        <f>SUM(Jul!I145, Aug!I145, Sep!I145)</f>
        <v>-725699.5</v>
      </c>
      <c r="J145" s="13">
        <f t="shared" si="12"/>
        <v>-0.48933518944135712</v>
      </c>
    </row>
    <row r="146" spans="1:10" ht="15.6">
      <c r="A146" s="26" t="str">
        <v>Dakota - Dakota Solar 1</v>
      </c>
      <c r="B146" s="27" t="str">
        <v>IL</v>
      </c>
      <c r="C146" s="27" t="str">
        <f>Sites[[#This Row],[SOL'#]]</f>
        <v>SOL-11113</v>
      </c>
      <c r="D146" s="9">
        <f>SUM(Jul!D146, Aug!D146, Sep!D146)</f>
        <v>1450176</v>
      </c>
      <c r="E146" s="14">
        <f>SUM(Jul!E146, Aug!E146, Sep!E146)</f>
        <v>1521136.7590000001</v>
      </c>
      <c r="F146" s="14">
        <f t="shared" si="10"/>
        <v>-70960.759000000078</v>
      </c>
      <c r="G146" s="15">
        <f t="shared" si="11"/>
        <v>-4.6649821970412376E-2</v>
      </c>
      <c r="H146" s="16">
        <f>SUM(Jul!H146,Aug!H146,Sep!H146)</f>
        <v>1122135</v>
      </c>
      <c r="I146" s="16">
        <f>SUM(Jul!I146, Aug!I146, Sep!I146)</f>
        <v>328041</v>
      </c>
      <c r="J146" s="15">
        <f t="shared" si="12"/>
        <v>0.2923364835781791</v>
      </c>
    </row>
    <row r="147" spans="1:10" ht="15.6">
      <c r="A147" s="24" t="str">
        <v>X018</v>
      </c>
      <c r="B147" s="25" t="str">
        <v>NY</v>
      </c>
      <c r="C147" s="25" t="str">
        <f>Sites[[#This Row],[SOL'#]]</f>
        <v>SOL-10418</v>
      </c>
      <c r="D147" s="20">
        <f>SUM(Jul!D147, Aug!D147, Sep!D147)</f>
        <v>61231.302101562498</v>
      </c>
      <c r="E147" s="10">
        <f>SUM(Jul!E147, Aug!E147, Sep!E147)</f>
        <v>43932.800000000003</v>
      </c>
      <c r="F147" s="10">
        <f t="shared" si="10"/>
        <v>17298.502101562495</v>
      </c>
      <c r="G147" s="11">
        <f t="shared" si="11"/>
        <v>0.39374913735437972</v>
      </c>
      <c r="H147" s="12">
        <f>SUM(Jul!H147,Aug!H147,Sep!H147)</f>
        <v>63163.5</v>
      </c>
      <c r="I147" s="12">
        <f>SUM(Jul!I147, Aug!I147, Sep!I147)</f>
        <v>-1932.1978984375019</v>
      </c>
      <c r="J147" s="13">
        <f t="shared" si="12"/>
        <v>-3.0590418492285922E-2</v>
      </c>
    </row>
    <row r="148" spans="1:10" ht="15.6">
      <c r="A148" s="26" t="str">
        <v>Janiak Solar</v>
      </c>
      <c r="B148" s="27" t="str">
        <v>NY</v>
      </c>
      <c r="C148" s="27" t="str">
        <f>Sites[[#This Row],[SOL'#]]</f>
        <v>SOL-10898</v>
      </c>
      <c r="D148" s="9">
        <f>SUM(Jul!D148, Aug!D148, Sep!D148)</f>
        <v>1173266</v>
      </c>
      <c r="E148" s="14">
        <f>SUM(Jul!E148, Aug!E148, Sep!E148)</f>
        <v>1246179.6229999999</v>
      </c>
      <c r="F148" s="14">
        <f t="shared" si="10"/>
        <v>-72913.622999999905</v>
      </c>
      <c r="G148" s="15">
        <f t="shared" si="11"/>
        <v>-5.8509721756219019E-2</v>
      </c>
      <c r="H148" s="16">
        <f>SUM(Jul!H148,Aug!H148,Sep!H148)</f>
        <v>1219570</v>
      </c>
      <c r="I148" s="16">
        <f>SUM(Jul!I148, Aug!I148, Sep!I148)</f>
        <v>-46304</v>
      </c>
      <c r="J148" s="15">
        <f t="shared" si="12"/>
        <v>-3.7967480341431818E-2</v>
      </c>
    </row>
    <row r="149" spans="1:10" ht="15.6">
      <c r="A149" s="24" t="str">
        <v>County Route 11B</v>
      </c>
      <c r="B149" s="25" t="str">
        <v>NY</v>
      </c>
      <c r="C149" s="25" t="str">
        <f>Sites[[#This Row],[SOL'#]]</f>
        <v>SOL-10983</v>
      </c>
      <c r="D149" s="20">
        <f>SUM(Jul!D149, Aug!D149, Sep!D149)</f>
        <v>3974507.01</v>
      </c>
      <c r="E149" s="10">
        <f>SUM(Jul!E149, Aug!E149, Sep!E149)</f>
        <v>3962885.09</v>
      </c>
      <c r="F149" s="10">
        <f t="shared" si="10"/>
        <v>11621.919999999925</v>
      </c>
      <c r="G149" s="11">
        <f t="shared" si="11"/>
        <v>2.9326916466305931E-3</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1923823</v>
      </c>
      <c r="E150" s="14">
        <f>SUM(Jul!E150, Aug!E150, Sep!E150)</f>
        <v>1915815</v>
      </c>
      <c r="F150" s="14">
        <f t="shared" si="10"/>
        <v>8008</v>
      </c>
      <c r="G150" s="15">
        <f t="shared" si="11"/>
        <v>4.1799443056871359E-3</v>
      </c>
      <c r="H150" s="16">
        <f>SUM(Jul!H150,Aug!H150,Sep!H150)</f>
        <v>1986020</v>
      </c>
      <c r="I150" s="16">
        <f>SUM(Jul!I150, Aug!I150, Sep!I150)</f>
        <v>-62197</v>
      </c>
      <c r="J150" s="15">
        <f t="shared" si="12"/>
        <v>-3.1317408686720172E-2</v>
      </c>
    </row>
    <row r="151" spans="1:10" ht="15.6">
      <c r="A151" s="24" t="str">
        <v>Cedarville</v>
      </c>
      <c r="B151" s="25" t="str">
        <v>IL</v>
      </c>
      <c r="C151" s="25" t="str">
        <f>Sites[[#This Row],[SOL'#]]</f>
        <v>SOL-11069</v>
      </c>
      <c r="D151" s="20">
        <f>SUM(Jul!D151, Aug!D151, Sep!D151)</f>
        <v>1231957</v>
      </c>
      <c r="E151" s="10">
        <f>SUM(Jul!E151, Aug!E151, Sep!E151)</f>
        <v>1207022.139</v>
      </c>
      <c r="F151" s="10">
        <f t="shared" si="10"/>
        <v>24934.861000000034</v>
      </c>
      <c r="G151" s="11">
        <f t="shared" si="11"/>
        <v>2.0658163752206068E-2</v>
      </c>
      <c r="H151" s="12">
        <f>SUM(Jul!H151,Aug!H151,Sep!H151)</f>
        <v>1468286.94</v>
      </c>
      <c r="I151" s="12">
        <f>SUM(Jul!I151, Aug!I151, Sep!I151)</f>
        <v>-236329.94</v>
      </c>
      <c r="J151" s="13">
        <f t="shared" si="12"/>
        <v>-0.16095623652417695</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3136487</v>
      </c>
      <c r="E153" s="10">
        <f>SUM(Jul!E153, Aug!E153, Sep!E153)</f>
        <v>3136145</v>
      </c>
      <c r="F153" s="10">
        <f t="shared" si="10"/>
        <v>342</v>
      </c>
      <c r="G153" s="11">
        <f t="shared" si="11"/>
        <v>1.0905108022747673E-4</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1359928</v>
      </c>
      <c r="E154" s="14">
        <f>SUM(Jul!E154, Aug!E154, Sep!E154)</f>
        <v>1546158.5279999999</v>
      </c>
      <c r="F154" s="14">
        <f t="shared" si="10"/>
        <v>-186230.52799999993</v>
      </c>
      <c r="G154" s="15">
        <f t="shared" si="11"/>
        <v>-0.12044724045269434</v>
      </c>
      <c r="H154" s="16">
        <f>SUM(Jul!H154,Aug!H154,Sep!H154)</f>
        <v>1497943.5</v>
      </c>
      <c r="I154" s="16">
        <f>SUM(Jul!I154, Aug!I154, Sep!I154)</f>
        <v>-138015.5</v>
      </c>
      <c r="J154" s="15">
        <f t="shared" si="12"/>
        <v>-9.2136652684163323E-2</v>
      </c>
    </row>
    <row r="155" spans="1:10" ht="15.6">
      <c r="A155" s="24" t="str">
        <v>Ransom</v>
      </c>
      <c r="B155" s="25" t="str">
        <v>NY</v>
      </c>
      <c r="C155" s="25" t="str">
        <f>Sites[[#This Row],[SOL'#]]</f>
        <v>SOL-11157</v>
      </c>
      <c r="D155" s="20">
        <f>SUM(Jul!D155, Aug!D155, Sep!D155)</f>
        <v>2884283</v>
      </c>
      <c r="E155" s="10">
        <f>SUM(Jul!E155, Aug!E155, Sep!E155)</f>
        <v>2873176</v>
      </c>
      <c r="F155" s="10">
        <f t="shared" si="10"/>
        <v>11107</v>
      </c>
      <c r="G155" s="11">
        <f t="shared" si="11"/>
        <v>3.8657569184762787E-3</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1975316</v>
      </c>
      <c r="E156" s="14">
        <f>SUM(Jul!E156, Aug!E156, Sep!E156)</f>
        <v>1969790</v>
      </c>
      <c r="F156" s="14">
        <f t="shared" si="10"/>
        <v>5526</v>
      </c>
      <c r="G156" s="15">
        <f t="shared" si="11"/>
        <v>2.8053751922793801E-3</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3246989</v>
      </c>
      <c r="E157" s="10">
        <f>SUM(Jul!E157, Aug!E157, Sep!E157)</f>
        <v>3233839</v>
      </c>
      <c r="F157" s="10">
        <f t="shared" si="10"/>
        <v>13150</v>
      </c>
      <c r="G157" s="11">
        <f t="shared" si="11"/>
        <v>4.0663743618652628E-3</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1557617</v>
      </c>
      <c r="E158" s="14">
        <f>SUM(Jul!E158, Aug!E158, Sep!E158)</f>
        <v>1553497</v>
      </c>
      <c r="F158" s="14">
        <f t="shared" si="10"/>
        <v>4120</v>
      </c>
      <c r="G158" s="15">
        <f t="shared" si="11"/>
        <v>2.6520810790107738E-3</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11672</v>
      </c>
      <c r="E159" s="10">
        <f>SUM(Jul!E159, Aug!E159, Sep!E159)</f>
        <v>14990.373</v>
      </c>
      <c r="F159" s="10">
        <f t="shared" ref="F159:F164" si="14">IF(AND(ISNUMBER(D159),ISNUMBER(E159)), D159-E159, "")</f>
        <v>-3318.3729999999996</v>
      </c>
      <c r="G159" s="55">
        <f t="shared" ref="G159:G164" si="15">IFERROR(F159/E159, "")</f>
        <v>-0.22136693996873857</v>
      </c>
      <c r="H159" s="67">
        <f>SUM(Jul!H159,Aug!H159,Sep!H159)</f>
        <v>14303.385</v>
      </c>
      <c r="I159" s="67">
        <f>SUM(Jul!I159, Aug!I159, Sep!I159)</f>
        <v>-2631.3849999999998</v>
      </c>
      <c r="J159" s="64">
        <f t="shared" si="13"/>
        <v>-0.18396938906419702</v>
      </c>
    </row>
    <row r="160" spans="1:10" ht="15.6">
      <c r="A160" s="26" t="str">
        <v>HI: Waipahu - 94-246 Leoku St - E.F.G.</v>
      </c>
      <c r="B160" s="27" t="str">
        <v>HI</v>
      </c>
      <c r="C160" s="27" t="str">
        <f>Sites[[#This Row],[SOL'#]]</f>
        <v>SOL-10071</v>
      </c>
      <c r="D160" s="66">
        <f>SUM(Jul!D160, Aug!D160, Sep!D160)</f>
        <v>30106</v>
      </c>
      <c r="E160" s="14">
        <f>SUM(Jul!E160, Aug!E160, Sep!E160)</f>
        <v>36357.664000000004</v>
      </c>
      <c r="F160" s="14">
        <f t="shared" si="14"/>
        <v>-6251.6640000000043</v>
      </c>
      <c r="G160" s="68">
        <f t="shared" si="15"/>
        <v>-0.17194900090390855</v>
      </c>
      <c r="H160" s="69">
        <f>SUM(Jul!H160,Aug!H160,Sep!H160)</f>
        <v>38737.241000000002</v>
      </c>
      <c r="I160" s="69">
        <f>SUM(Jul!I160, Aug!I160, Sep!I160)</f>
        <v>-8631.241</v>
      </c>
      <c r="J160" s="68">
        <f t="shared" si="13"/>
        <v>-0.22281506832146356</v>
      </c>
    </row>
    <row r="161" spans="1:10" ht="15.6">
      <c r="A161" s="24" t="str">
        <v>HI: Waipahu - 94-099 Waipahu St - PV</v>
      </c>
      <c r="B161" s="25" t="str">
        <v>HI</v>
      </c>
      <c r="C161" s="25" t="str">
        <f>Sites[[#This Row],[SOL'#]]</f>
        <v>SOL-10068</v>
      </c>
      <c r="D161" s="54">
        <f>SUM(Jul!D161, Aug!D161, Sep!D161)</f>
        <v>41700</v>
      </c>
      <c r="E161" s="10">
        <f>SUM(Jul!E161, Aug!E161, Sep!E161)</f>
        <v>32614.072</v>
      </c>
      <c r="F161" s="10">
        <f t="shared" si="14"/>
        <v>9085.9279999999999</v>
      </c>
      <c r="G161" s="55">
        <f t="shared" si="15"/>
        <v>0.27858919303299506</v>
      </c>
      <c r="H161" s="67">
        <f>SUM(Jul!H161,Aug!H161,Sep!H161)</f>
        <v>38722.739000000001</v>
      </c>
      <c r="I161" s="67">
        <f>SUM(Jul!I161, Aug!I161, Sep!I161)</f>
        <v>2977.2610000000004</v>
      </c>
      <c r="J161" s="64">
        <f t="shared" si="13"/>
        <v>7.6886632425459372E-2</v>
      </c>
    </row>
    <row r="162" spans="1:10" ht="15.6">
      <c r="A162" s="26" t="str">
        <v>IL: Prophetstown - 5170 Yager Road (PW)</v>
      </c>
      <c r="B162" s="27" t="str">
        <v>IL</v>
      </c>
      <c r="C162" s="27" t="str">
        <f>Sites[[#This Row],[SOL'#]]</f>
        <v>SOL-11149</v>
      </c>
      <c r="D162" s="66">
        <f>SUM(Jul!D162, Aug!D162, Sep!D162)</f>
        <v>884463</v>
      </c>
      <c r="E162" s="14">
        <f>SUM(Jul!E162, Aug!E162, Sep!E162)</f>
        <v>994557.32899999991</v>
      </c>
      <c r="F162" s="14">
        <f t="shared" si="14"/>
        <v>-110094.32899999991</v>
      </c>
      <c r="G162" s="68">
        <f t="shared" si="15"/>
        <v>-0.11069681534667965</v>
      </c>
      <c r="H162" s="69">
        <f>SUM(Jul!H162,Aug!H162,Sep!H162)</f>
        <v>1028639.56</v>
      </c>
      <c r="I162" s="69">
        <f>SUM(Jul!I162, Aug!I162, Sep!I162)</f>
        <v>-144176.56</v>
      </c>
      <c r="J162" s="68">
        <f t="shared" si="13"/>
        <v>-0.14016237135581291</v>
      </c>
    </row>
    <row r="163" spans="1:10" ht="15.6">
      <c r="A163" s="24" t="str">
        <v>IL: Viola - Goldenrod - (PW)</v>
      </c>
      <c r="B163" s="25" t="str">
        <v>IL</v>
      </c>
      <c r="C163" s="25" t="str">
        <f>Sites[[#This Row],[SOL'#]]</f>
        <v>SOL-11132</v>
      </c>
      <c r="D163" s="54">
        <f>SUM(Jul!D163, Aug!D163, Sep!D163)</f>
        <v>2107273</v>
      </c>
      <c r="E163" s="10">
        <f>SUM(Jul!E163, Aug!E163, Sep!E163)</f>
        <v>2269947.4299999997</v>
      </c>
      <c r="F163" s="10">
        <f t="shared" si="14"/>
        <v>-162674.4299999997</v>
      </c>
      <c r="G163" s="55">
        <f t="shared" si="15"/>
        <v>-7.1664404139967122E-2</v>
      </c>
      <c r="H163" s="67">
        <f>SUM(Jul!H163,Aug!H163,Sep!H163)</f>
        <v>2460717.7000000002</v>
      </c>
      <c r="I163" s="67">
        <f>SUM(Jul!I163, Aug!I163, Sep!I163)</f>
        <v>-353444.69999999995</v>
      </c>
      <c r="J163" s="64">
        <f t="shared" si="13"/>
        <v>-0.14363480215548494</v>
      </c>
    </row>
    <row r="164" spans="1:10" ht="15.6">
      <c r="A164" s="26" t="str">
        <v>IL: Marengo - Grant - (PW)</v>
      </c>
      <c r="B164" s="27" t="str">
        <v>IL</v>
      </c>
      <c r="C164" s="27" t="str">
        <f>Sites[[#This Row],[SOL'#]]</f>
        <v>SOL-11147</v>
      </c>
      <c r="D164" s="66">
        <f>SUM(Jul!D164, Aug!D164, Sep!D164)</f>
        <v>940486</v>
      </c>
      <c r="E164" s="14">
        <f>SUM(Jul!E164, Aug!E164, Sep!E164)</f>
        <v>846354.67299999995</v>
      </c>
      <c r="F164" s="14">
        <f t="shared" si="14"/>
        <v>94131.327000000048</v>
      </c>
      <c r="G164" s="68">
        <f t="shared" si="15"/>
        <v>0.11121971674870171</v>
      </c>
      <c r="H164" s="69">
        <f>SUM(Jul!H164,Aug!H164,Sep!H164)</f>
        <v>1026101.38</v>
      </c>
      <c r="I164" s="69">
        <f>SUM(Jul!I164, Aug!I164, Sep!I164)</f>
        <v>-85615.38</v>
      </c>
      <c r="J164" s="68">
        <f t="shared" si="13"/>
        <v>-8.3437544933425589E-2</v>
      </c>
    </row>
    <row r="165" spans="1:10" ht="15.6">
      <c r="A165" s="24" t="str">
        <v>NY: Cambridge - Cambridge (PW)</v>
      </c>
      <c r="B165" s="25" t="str">
        <v>NY</v>
      </c>
      <c r="C165" s="25" t="str">
        <f>Sites[[#This Row],[SOL'#]]</f>
        <v>SOL-11126</v>
      </c>
      <c r="D165" s="54">
        <f>SUM(Jul!D165, Aug!D165, Sep!D165)</f>
        <v>859803.23</v>
      </c>
      <c r="E165" s="10">
        <f>SUM(Jul!E165, Aug!E165, Sep!E165)</f>
        <v>883303.58</v>
      </c>
      <c r="F165" s="10">
        <f t="shared" ref="F165:F166" si="16">IF(AND(ISNUMBER(D165),ISNUMBER(E165)), D165-E165, "")</f>
        <v>-23500.349999999977</v>
      </c>
      <c r="G165" s="55">
        <f t="shared" ref="G165:G166" si="17">IFERROR(F165/E165, "")</f>
        <v>-2.6605065950259115E-2</v>
      </c>
      <c r="H165" s="67">
        <f>SUM(Jul!H165,Aug!H165,Sep!H165)</f>
        <v>839014.5</v>
      </c>
      <c r="I165" s="67">
        <f>SUM(Jul!I165, Aug!I165, Sep!I165)</f>
        <v>0</v>
      </c>
      <c r="J165" s="64">
        <f t="shared" ref="J165" si="18">IFERROR(I165/H165, "")</f>
        <v>0</v>
      </c>
    </row>
    <row r="166" spans="1:10" ht="15.6">
      <c r="A166" s="26" t="str">
        <v>NY: Whitesville - Independence North</v>
      </c>
      <c r="B166" s="27" t="str">
        <v>NY</v>
      </c>
      <c r="C166" s="27" t="str">
        <f>Sites[[#This Row],[SOL'#]]</f>
        <v>SOL-11186</v>
      </c>
      <c r="D166" s="66">
        <f>SUM(Jul!D166, Aug!D166, Sep!D166)</f>
        <v>765233</v>
      </c>
      <c r="E166" s="14">
        <f>SUM(Jul!E166, Aug!E166, Sep!E166)</f>
        <v>0</v>
      </c>
      <c r="F166" s="14">
        <f t="shared" si="16"/>
        <v>765233</v>
      </c>
      <c r="G166" s="68" t="str">
        <f t="shared" si="17"/>
        <v/>
      </c>
      <c r="H166" s="69">
        <f>SUM(Jul!H166,Aug!H166,Sep!H166)</f>
        <v>0</v>
      </c>
      <c r="I166" s="69">
        <f>SUM(Jul!I166, Aug!I166, Sep!I166)</f>
        <v>0</v>
      </c>
      <c r="J166" s="68" t="str">
        <f t="shared" ref="J166:J173" si="19">IFERROR(I166/H166, "")</f>
        <v/>
      </c>
    </row>
    <row r="167" spans="1:10" ht="15.6">
      <c r="A167" s="24" t="str">
        <v>IL: Beecher - Cottage Grove North (PW)</v>
      </c>
      <c r="B167" s="25" t="str">
        <v>IL</v>
      </c>
      <c r="C167" s="25" t="str">
        <f>Sites[[#This Row],[SOL'#]]</f>
        <v>SOL-11114</v>
      </c>
      <c r="D167" s="54">
        <f>SUM(Jul!D167, Aug!D167, Sep!D167)</f>
        <v>0</v>
      </c>
      <c r="E167" s="10">
        <f>SUM(Jul!E167, Aug!E167, Sep!E167)</f>
        <v>0</v>
      </c>
      <c r="F167" s="10">
        <f t="shared" ref="F167:F173" si="20">IF(AND(ISNUMBER(D167),ISNUMBER(E167)), D167-E167, "")</f>
        <v>0</v>
      </c>
      <c r="G167" s="55" t="str">
        <f t="shared" ref="G167:G173" si="21">IFERROR(F167/E167, "")</f>
        <v/>
      </c>
      <c r="H167" s="67">
        <f>SUM(Jul!H167,Aug!H167,Sep!H167)</f>
        <v>0</v>
      </c>
      <c r="I167" s="67">
        <f>SUM(Jul!I167, Aug!I167, Sep!I167)</f>
        <v>0</v>
      </c>
      <c r="J167" s="64" t="str">
        <f t="shared" si="19"/>
        <v/>
      </c>
    </row>
    <row r="168" spans="1:10" ht="15.6">
      <c r="A168" s="26" t="str">
        <v>IL: Beecher - Cottage Grove South (PW)</v>
      </c>
      <c r="B168" s="27" t="str">
        <v>IL</v>
      </c>
      <c r="C168" s="27" t="str">
        <f>Sites[[#This Row],[SOL'#]]</f>
        <v>SOL-11115</v>
      </c>
      <c r="D168" s="66">
        <f>SUM(Jul!D168, Aug!D168, Sep!D168)</f>
        <v>0</v>
      </c>
      <c r="E168" s="14">
        <f>SUM(Jul!E168, Aug!E168, Sep!E168)</f>
        <v>0</v>
      </c>
      <c r="F168" s="14">
        <f t="shared" si="20"/>
        <v>0</v>
      </c>
      <c r="G168" s="68" t="str">
        <f t="shared" si="21"/>
        <v/>
      </c>
      <c r="H168" s="69">
        <f>SUM(Jul!H168,Aug!H168,Sep!H168)</f>
        <v>0</v>
      </c>
      <c r="I168" s="69">
        <f>SUM(Jul!I168, Aug!I168, Sep!I168)</f>
        <v>0</v>
      </c>
      <c r="J168" s="68" t="str">
        <f t="shared" si="19"/>
        <v/>
      </c>
    </row>
    <row r="169" spans="1:10" ht="15.6">
      <c r="A169" s="24" t="str">
        <v>IL: Harvard - 9618 US HWY 14 (PW)</v>
      </c>
      <c r="B169" s="25" t="str">
        <v>IL</v>
      </c>
      <c r="C169" s="25" t="str">
        <f>Sites[[#This Row],[SOL'#]]</f>
        <v>SOL-11110</v>
      </c>
      <c r="D169" s="54">
        <f>SUM(Jul!D169, Aug!D169, Sep!D169)</f>
        <v>0</v>
      </c>
      <c r="E169" s="10">
        <f>SUM(Jul!E169, Aug!E169, Sep!E169)</f>
        <v>0</v>
      </c>
      <c r="F169" s="10">
        <f t="shared" si="20"/>
        <v>0</v>
      </c>
      <c r="G169" s="55" t="str">
        <f t="shared" si="21"/>
        <v/>
      </c>
      <c r="H169" s="67">
        <f>SUM(Jul!H169,Aug!H169,Sep!H169)</f>
        <v>0</v>
      </c>
      <c r="I169" s="67">
        <f>SUM(Jul!I169, Aug!I169, Sep!I169)</f>
        <v>0</v>
      </c>
      <c r="J169" s="64" t="str">
        <f t="shared" si="19"/>
        <v/>
      </c>
    </row>
    <row r="170" spans="1:10" ht="15.6">
      <c r="A170" s="26" t="str">
        <v>IL: Beecher - 701 E Goodenow Rd (PW)</v>
      </c>
      <c r="B170" s="27" t="str">
        <v>IL</v>
      </c>
      <c r="C170" s="27" t="str">
        <f>Sites[[#This Row],[SOL'#]]</f>
        <v>SOL-11112</v>
      </c>
      <c r="D170" s="66">
        <f>SUM(Jul!D170, Aug!D170, Sep!D170)</f>
        <v>0</v>
      </c>
      <c r="E170" s="14">
        <f>SUM(Jul!E170, Aug!E170, Sep!E170)</f>
        <v>0</v>
      </c>
      <c r="F170" s="14">
        <f t="shared" si="20"/>
        <v>0</v>
      </c>
      <c r="G170" s="68" t="str">
        <f t="shared" si="21"/>
        <v/>
      </c>
      <c r="H170" s="69">
        <f>SUM(Jul!H170,Aug!H170,Sep!H170)</f>
        <v>0</v>
      </c>
      <c r="I170" s="69">
        <f>SUM(Jul!I170, Aug!I170, Sep!I170)</f>
        <v>0</v>
      </c>
      <c r="J170" s="68" t="str">
        <f t="shared" si="19"/>
        <v/>
      </c>
    </row>
    <row r="171" spans="1:10" ht="15.6">
      <c r="A171" s="24" t="str">
        <v>NY: Stormville - Green Haven - (IRA)</v>
      </c>
      <c r="B171" s="25" t="str">
        <v>NY</v>
      </c>
      <c r="C171" s="25" t="str">
        <f>Sites[[#This Row],[SOL'#]]</f>
        <v>SOL-11151</v>
      </c>
      <c r="D171" s="54">
        <f>SUM(Jul!D171, Aug!D171, Sep!D171)</f>
        <v>0</v>
      </c>
      <c r="E171" s="10">
        <f>SUM(Jul!E171, Aug!E171, Sep!E171)</f>
        <v>0</v>
      </c>
      <c r="F171" s="10">
        <f t="shared" si="20"/>
        <v>0</v>
      </c>
      <c r="G171" s="55" t="str">
        <f t="shared" si="21"/>
        <v/>
      </c>
      <c r="H171" s="67">
        <f>SUM(Jul!H171,Aug!H171,Sep!H171)</f>
        <v>0</v>
      </c>
      <c r="I171" s="67">
        <f>SUM(Jul!I171, Aug!I171, Sep!I171)</f>
        <v>0</v>
      </c>
      <c r="J171" s="64" t="str">
        <f t="shared" si="19"/>
        <v/>
      </c>
    </row>
    <row r="172" spans="1:10" ht="15.6">
      <c r="A172" s="26" t="str">
        <v>IL: Hillsboro - Anacott (PW)</v>
      </c>
      <c r="B172" s="27" t="str">
        <v>IL</v>
      </c>
      <c r="C172" s="27" t="str">
        <f>Sites[[#This Row],[SOL'#]]</f>
        <v>SOL-11134</v>
      </c>
      <c r="D172" s="66">
        <f>SUM(Jul!D172, Aug!D172, Sep!D172)</f>
        <v>0</v>
      </c>
      <c r="E172" s="14">
        <f>SUM(Jul!E172, Aug!E172, Sep!E172)</f>
        <v>0</v>
      </c>
      <c r="F172" s="14">
        <f t="shared" si="20"/>
        <v>0</v>
      </c>
      <c r="G172" s="68" t="str">
        <f t="shared" si="21"/>
        <v/>
      </c>
      <c r="H172" s="69">
        <f>SUM(Jul!H172,Aug!H172,Sep!H172)</f>
        <v>0</v>
      </c>
      <c r="I172" s="69">
        <f>SUM(Jul!I172, Aug!I172, Sep!I172)</f>
        <v>0</v>
      </c>
      <c r="J172" s="68" t="str">
        <f t="shared" si="19"/>
        <v/>
      </c>
    </row>
    <row r="173" spans="1:10" ht="15.6">
      <c r="A173" s="24" t="str">
        <v>IL: Manhattan - Gougar (PW)</v>
      </c>
      <c r="B173" s="25" t="str">
        <v>IL</v>
      </c>
      <c r="C173" s="25" t="str">
        <f>Sites[[#This Row],[SOL'#]]</f>
        <v>SOL-11148</v>
      </c>
      <c r="D173" s="54">
        <f>SUM(Jul!D173, Aug!D173, Sep!D173)</f>
        <v>0</v>
      </c>
      <c r="E173" s="10">
        <f>SUM(Jul!E173, Aug!E173, Sep!E173)</f>
        <v>0</v>
      </c>
      <c r="F173" s="10">
        <f t="shared" si="20"/>
        <v>0</v>
      </c>
      <c r="G173" s="55" t="str">
        <f t="shared" si="21"/>
        <v/>
      </c>
      <c r="H173" s="67">
        <f>SUM(Jul!H173,Aug!H173,Sep!H173)</f>
        <v>0</v>
      </c>
      <c r="I173" s="67">
        <f>SUM(Jul!I173, Aug!I173, Sep!I173)</f>
        <v>0</v>
      </c>
      <c r="J173" s="64" t="str">
        <f t="shared" si="19"/>
        <v/>
      </c>
    </row>
    <row r="174" spans="1:10" ht="14.45">
      <c r="E174" s="14"/>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73 J4:J173">
    <cfRule type="cellIs" dxfId="46" priority="23" stopIfTrue="1" operator="lessThanOrEqual">
      <formula>-0.1</formula>
    </cfRule>
    <cfRule type="expression" dxfId="45" priority="24">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73"/>
  <sheetViews>
    <sheetView workbookViewId="0">
      <pane xSplit="2" ySplit="3" topLeftCell="C157" activePane="bottomRight" state="frozen"/>
      <selection pane="bottomRight" activeCell="J180" sqref="J18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92" t="str" cm="1">
        <f t="array" ref="A1">portfolio</f>
        <v>Generate Capital</v>
      </c>
      <c r="B1" s="192"/>
      <c r="C1" s="192"/>
      <c r="D1" s="192"/>
      <c r="E1" s="193" t="s">
        <v>17</v>
      </c>
      <c r="F1" s="193"/>
      <c r="G1" s="193"/>
      <c r="H1" s="191" t="s">
        <v>18</v>
      </c>
      <c r="I1" s="191"/>
      <c r="J1" s="191"/>
    </row>
    <row r="2" spans="1:10" ht="19.5" customHeight="1">
      <c r="A2" s="194" t="s">
        <v>2</v>
      </c>
      <c r="B2" s="194"/>
      <c r="C2" s="57"/>
      <c r="D2" s="5">
        <f>SUM(D4:D258)</f>
        <v>105645417.31320481</v>
      </c>
      <c r="E2" s="5">
        <f>SUM(E4:E283)</f>
        <v>59081949.943999991</v>
      </c>
      <c r="F2" s="5">
        <f>D2-E2</f>
        <v>46563467.369204819</v>
      </c>
      <c r="G2" s="6">
        <f>IFERROR(F2/E2, 0)</f>
        <v>0.78811663144732624</v>
      </c>
      <c r="H2" s="5">
        <f>SUM(H4:H258)</f>
        <v>72013447.481000006</v>
      </c>
      <c r="I2" s="7">
        <f>D2-H2</f>
        <v>33631969.832204804</v>
      </c>
      <c r="J2" s="6">
        <f>IFERROR(I2/H2, 0)</f>
        <v>0.46702346587529014</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3">Sites[Site]</f>
        <v>K026</v>
      </c>
      <c r="B4" s="27" t="str" cm="1">
        <f t="array" ref="B4:B173">Sites[State]</f>
        <v>NY</v>
      </c>
      <c r="C4" s="27" t="str">
        <f>Sites[[#This Row],[SOL'#]]</f>
        <v>SOL-10356</v>
      </c>
      <c r="D4" s="9">
        <f>SUM(Oct!D4, Nov!D4, Dec!D4)</f>
        <v>30454.125</v>
      </c>
      <c r="E4" s="14">
        <f>SUM(Oct!E4, Nov!E4, Dec!E4)</f>
        <v>55569.979999999996</v>
      </c>
      <c r="F4" s="14">
        <f t="shared" ref="F4:F62" si="0">IF(AND(ISNUMBER(D4),ISNUMBER(E4)), D4-E4, "")</f>
        <v>-25115.854999999996</v>
      </c>
      <c r="G4" s="15">
        <f t="shared" ref="G4:G62" si="1">IFERROR(F4/E4, "")</f>
        <v>-0.45196804101783011</v>
      </c>
      <c r="H4" s="16">
        <f>SUM(Oct!H4,Nov!H4,Dec!H4)</f>
        <v>46832.975999999995</v>
      </c>
      <c r="I4" s="16">
        <f>SUM(Oct!I4, Nov!I4, Dec!I4)</f>
        <v>-16378.851000000001</v>
      </c>
      <c r="J4" s="15">
        <f t="shared" ref="J4:J67" si="2">IFERROR(I4/H4, "")</f>
        <v>-0.3497290242670037</v>
      </c>
    </row>
    <row r="5" spans="1:10" ht="15.6">
      <c r="A5" s="24" t="str">
        <v>K041</v>
      </c>
      <c r="B5" s="25" t="str">
        <v>NY</v>
      </c>
      <c r="C5" s="25" t="str">
        <f>Sites[[#This Row],[SOL'#]]</f>
        <v>SOL-10357</v>
      </c>
      <c r="D5" s="20">
        <f>SUM(Oct!D5, Nov!D5, Dec!D5)</f>
        <v>35445.65625</v>
      </c>
      <c r="E5" s="10">
        <f>SUM(Oct!E5, Nov!E5, Dec!E5)</f>
        <v>43136.521999999997</v>
      </c>
      <c r="F5" s="10">
        <f t="shared" si="0"/>
        <v>-7690.8657499999972</v>
      </c>
      <c r="G5" s="11">
        <f t="shared" si="1"/>
        <v>-0.17829128064613084</v>
      </c>
      <c r="H5" s="12">
        <f>SUM(Oct!H5,Nov!H5,Dec!H5)</f>
        <v>37872</v>
      </c>
      <c r="I5" s="12">
        <f>SUM(Oct!I5, Nov!I5, Dec!I5)</f>
        <v>-2426.34375</v>
      </c>
      <c r="J5" s="13">
        <f t="shared" si="2"/>
        <v>-6.4066955798479083E-2</v>
      </c>
    </row>
    <row r="6" spans="1:10" ht="15.6">
      <c r="A6" s="26" t="str">
        <v>K043</v>
      </c>
      <c r="B6" s="27" t="str">
        <v>NY</v>
      </c>
      <c r="C6" s="27" t="str">
        <f>Sites[[#This Row],[SOL'#]]</f>
        <v>SOL-10358</v>
      </c>
      <c r="D6" s="9">
        <f>SUM(Oct!D6, Nov!D6, Dec!D6)</f>
        <v>42458.375</v>
      </c>
      <c r="E6" s="14">
        <f>SUM(Oct!E6, Nov!E6, Dec!E6)</f>
        <v>48189.829999999994</v>
      </c>
      <c r="F6" s="14">
        <f t="shared" si="0"/>
        <v>-5731.4549999999945</v>
      </c>
      <c r="G6" s="15">
        <f t="shared" si="1"/>
        <v>-0.11893494955263373</v>
      </c>
      <c r="H6" s="16">
        <f>SUM(Oct!H6,Nov!H6,Dec!H6)</f>
        <v>8527</v>
      </c>
      <c r="I6" s="16">
        <f>SUM(Oct!I6, Nov!I6, Dec!I6)</f>
        <v>33931.375</v>
      </c>
      <c r="J6" s="15">
        <f t="shared" si="2"/>
        <v>3.979286384425941</v>
      </c>
    </row>
    <row r="7" spans="1:10" ht="15.6">
      <c r="A7" s="24" t="str">
        <v>K058</v>
      </c>
      <c r="B7" s="25" t="str">
        <v>NY</v>
      </c>
      <c r="C7" s="25" t="str">
        <f>Sites[[#This Row],[SOL'#]]</f>
        <v>SOL-10360</v>
      </c>
      <c r="D7" s="20">
        <f>SUM(Oct!D7, Nov!D7, Dec!D7)</f>
        <v>34453.375</v>
      </c>
      <c r="E7" s="10">
        <f>SUM(Oct!E7, Nov!E7, Dec!E7)</f>
        <v>38663.584000000003</v>
      </c>
      <c r="F7" s="10">
        <f t="shared" si="0"/>
        <v>-4210.2090000000026</v>
      </c>
      <c r="G7" s="11">
        <f t="shared" si="1"/>
        <v>-0.10889339694943961</v>
      </c>
      <c r="H7" s="12">
        <f>SUM(Oct!H7,Nov!H7,Dec!H7)</f>
        <v>37338.755999999994</v>
      </c>
      <c r="I7" s="12">
        <f>SUM(Oct!I7, Nov!I7, Dec!I7)</f>
        <v>-2885.3809999999994</v>
      </c>
      <c r="J7" s="13">
        <f t="shared" si="2"/>
        <v>-7.7275766766305765E-2</v>
      </c>
    </row>
    <row r="8" spans="1:10" ht="15.6">
      <c r="A8" s="26" t="str">
        <v>K115</v>
      </c>
      <c r="B8" s="27" t="str">
        <v>NY</v>
      </c>
      <c r="C8" s="27" t="str">
        <f>Sites[[#This Row],[SOL'#]]</f>
        <v>SOL-10361</v>
      </c>
      <c r="D8" s="9">
        <f>SUM(Oct!D8, Nov!D8, Dec!D8)</f>
        <v>19912.640625</v>
      </c>
      <c r="E8" s="14">
        <f>SUM(Oct!E8, Nov!E8, Dec!E8)</f>
        <v>24460.821</v>
      </c>
      <c r="F8" s="14">
        <f t="shared" si="0"/>
        <v>-4548.1803749999999</v>
      </c>
      <c r="G8" s="15">
        <f t="shared" si="1"/>
        <v>-0.18593735570036671</v>
      </c>
      <c r="H8" s="16">
        <f>SUM(Oct!H8,Nov!H8,Dec!H8)</f>
        <v>20929.894</v>
      </c>
      <c r="I8" s="16">
        <f>SUM(Oct!I8, Nov!I8, Dec!I8)</f>
        <v>-1017.2533749999993</v>
      </c>
      <c r="J8" s="15">
        <f t="shared" si="2"/>
        <v>-4.8602891873222066E-2</v>
      </c>
    </row>
    <row r="9" spans="1:10" ht="15.6">
      <c r="A9" s="24" t="str">
        <v>K152</v>
      </c>
      <c r="B9" s="25" t="str">
        <v>NY</v>
      </c>
      <c r="C9" s="25" t="str">
        <f>Sites[[#This Row],[SOL'#]]</f>
        <v>SOL-10362</v>
      </c>
      <c r="D9" s="20">
        <f>SUM(Oct!D9, Nov!D9, Dec!D9)</f>
        <v>12791.4375</v>
      </c>
      <c r="E9" s="10">
        <f>SUM(Oct!E9, Nov!E9, Dec!E9)</f>
        <v>14552.785</v>
      </c>
      <c r="F9" s="10">
        <f t="shared" si="0"/>
        <v>-1761.3474999999999</v>
      </c>
      <c r="G9" s="11">
        <f t="shared" si="1"/>
        <v>-0.12103164445843183</v>
      </c>
      <c r="H9" s="12">
        <f>SUM(Oct!H9,Nov!H9,Dec!H9)</f>
        <v>14607</v>
      </c>
      <c r="I9" s="12">
        <f>SUM(Oct!I9, Nov!I9, Dec!I9)</f>
        <v>-1815.5625</v>
      </c>
      <c r="J9" s="13">
        <f t="shared" si="2"/>
        <v>-0.12429400287533375</v>
      </c>
    </row>
    <row r="10" spans="1:10" ht="15.6">
      <c r="A10" s="26" t="str">
        <v>K166</v>
      </c>
      <c r="B10" s="27" t="str">
        <v>NY</v>
      </c>
      <c r="C10" s="27" t="str">
        <f>Sites[[#This Row],[SOL'#]]</f>
        <v>SOL-10363</v>
      </c>
      <c r="D10" s="9">
        <f>SUM(Oct!D10, Nov!D10, Dec!D10)</f>
        <v>39885.125</v>
      </c>
      <c r="E10" s="14">
        <f>SUM(Oct!E10, Nov!E10, Dec!E10)</f>
        <v>53853.75</v>
      </c>
      <c r="F10" s="14">
        <f t="shared" si="0"/>
        <v>-13968.625</v>
      </c>
      <c r="G10" s="15">
        <f t="shared" si="1"/>
        <v>-0.25938073021841562</v>
      </c>
      <c r="H10" s="16">
        <f>SUM(Oct!H10,Nov!H10,Dec!H10)</f>
        <v>50763.78</v>
      </c>
      <c r="I10" s="16">
        <f>SUM(Oct!I10, Nov!I10, Dec!I10)</f>
        <v>-10878.654999999999</v>
      </c>
      <c r="J10" s="15">
        <f t="shared" si="2"/>
        <v>-0.21429954585730218</v>
      </c>
    </row>
    <row r="11" spans="1:10" ht="15.6">
      <c r="A11" s="24" t="str">
        <v>K206</v>
      </c>
      <c r="B11" s="25" t="str">
        <v>NY</v>
      </c>
      <c r="C11" s="25" t="str">
        <f>Sites[[#This Row],[SOL'#]]</f>
        <v>SOL-10927</v>
      </c>
      <c r="D11" s="20">
        <f>SUM(Oct!D11, Nov!D11, Dec!D11)</f>
        <v>26981.75</v>
      </c>
      <c r="E11" s="10">
        <f>SUM(Oct!E11, Nov!E11, Dec!E11)</f>
        <v>25433.707000000002</v>
      </c>
      <c r="F11" s="10">
        <f t="shared" si="0"/>
        <v>1548.0429999999978</v>
      </c>
      <c r="G11" s="11">
        <f t="shared" si="1"/>
        <v>6.0865803007009465E-2</v>
      </c>
      <c r="H11" s="12">
        <f>SUM(Oct!H11,Nov!H11,Dec!H11)</f>
        <v>26524</v>
      </c>
      <c r="I11" s="12">
        <f>SUM(Oct!I11, Nov!I11, Dec!I11)</f>
        <v>457.75</v>
      </c>
      <c r="J11" s="13">
        <f t="shared" si="2"/>
        <v>1.7257955059568692E-2</v>
      </c>
    </row>
    <row r="12" spans="1:10" ht="15.6">
      <c r="A12" s="26" t="str">
        <v>K251</v>
      </c>
      <c r="B12" s="27" t="str">
        <v>NY</v>
      </c>
      <c r="C12" s="27" t="str">
        <f>Sites[[#This Row],[SOL'#]]</f>
        <v>SOL-10365</v>
      </c>
      <c r="D12" s="9">
        <f>SUM(Oct!D12, Nov!D12, Dec!D12)</f>
        <v>30978.1875</v>
      </c>
      <c r="E12" s="14">
        <f>SUM(Oct!E12, Nov!E12, Dec!E12)</f>
        <v>0</v>
      </c>
      <c r="F12" s="14">
        <f t="shared" si="0"/>
        <v>30978.1875</v>
      </c>
      <c r="G12" s="15" t="str">
        <f t="shared" si="1"/>
        <v/>
      </c>
      <c r="H12" s="16">
        <f>SUM(Oct!H12,Nov!H12,Dec!H12)</f>
        <v>34465.476999999999</v>
      </c>
      <c r="I12" s="16">
        <f>SUM(Oct!I12, Nov!I12, Dec!I12)</f>
        <v>-3487.289499999998</v>
      </c>
      <c r="J12" s="15">
        <f t="shared" si="2"/>
        <v>-0.10118210463183197</v>
      </c>
    </row>
    <row r="13" spans="1:10" ht="15.6">
      <c r="A13" s="24" t="str">
        <v>K269</v>
      </c>
      <c r="B13" s="25" t="str">
        <v>NY</v>
      </c>
      <c r="C13" s="25" t="str">
        <f>Sites[[#This Row],[SOL'#]]</f>
        <v>SOL-10366</v>
      </c>
      <c r="D13" s="20">
        <f>SUM(Oct!D13, Nov!D13, Dec!D13)</f>
        <v>28142.312500000004</v>
      </c>
      <c r="E13" s="10">
        <f>SUM(Oct!E13, Nov!E13, Dec!E13)</f>
        <v>36505.860999999997</v>
      </c>
      <c r="F13" s="10">
        <f t="shared" si="0"/>
        <v>-8363.5484999999935</v>
      </c>
      <c r="G13" s="11">
        <f t="shared" si="1"/>
        <v>-0.22910152701233355</v>
      </c>
      <c r="H13" s="12">
        <f>SUM(Oct!H13,Nov!H13,Dec!H13)</f>
        <v>29588.357</v>
      </c>
      <c r="I13" s="12">
        <f>SUM(Oct!I13, Nov!I13, Dec!I13)</f>
        <v>-1446.0445</v>
      </c>
      <c r="J13" s="13">
        <f t="shared" si="2"/>
        <v>-4.8872078297554675E-2</v>
      </c>
    </row>
    <row r="14" spans="1:10" ht="15.6">
      <c r="A14" s="26" t="str">
        <v>K273</v>
      </c>
      <c r="B14" s="27" t="str">
        <v>NY</v>
      </c>
      <c r="C14" s="27" t="str">
        <f>Sites[[#This Row],[SOL'#]]</f>
        <v>SOL-10367</v>
      </c>
      <c r="D14" s="9">
        <f>SUM(Oct!D14, Nov!D14, Dec!D14)</f>
        <v>25103.625</v>
      </c>
      <c r="E14" s="14">
        <f>SUM(Oct!E14, Nov!E14, Dec!E14)</f>
        <v>0</v>
      </c>
      <c r="F14" s="14">
        <f t="shared" si="0"/>
        <v>25103.625</v>
      </c>
      <c r="G14" s="15" t="str">
        <f t="shared" si="1"/>
        <v/>
      </c>
      <c r="H14" s="16">
        <f>SUM(Oct!H14,Nov!H14,Dec!H14)</f>
        <v>39711</v>
      </c>
      <c r="I14" s="16">
        <f>SUM(Oct!I14, Nov!I14, Dec!I14)</f>
        <v>-14607.375</v>
      </c>
      <c r="J14" s="15">
        <f t="shared" si="2"/>
        <v>-0.36784203369343504</v>
      </c>
    </row>
    <row r="15" spans="1:10" ht="15.6">
      <c r="A15" s="24" t="str">
        <v>K287</v>
      </c>
      <c r="B15" s="25" t="str">
        <v>NY</v>
      </c>
      <c r="C15" s="25" t="str">
        <f>Sites[[#This Row],[SOL'#]]</f>
        <v>SOL-10919</v>
      </c>
      <c r="D15" s="20">
        <f>SUM(Oct!D15, Nov!D15, Dec!D15)</f>
        <v>25205.5</v>
      </c>
      <c r="E15" s="10">
        <f>SUM(Oct!E15, Nov!E15, Dec!E15)</f>
        <v>24496.686000000002</v>
      </c>
      <c r="F15" s="10">
        <f t="shared" si="0"/>
        <v>708.81399999999849</v>
      </c>
      <c r="G15" s="11">
        <f t="shared" si="1"/>
        <v>2.8935097588302289E-2</v>
      </c>
      <c r="H15" s="12">
        <f>SUM(Oct!H15,Nov!H15,Dec!H15)</f>
        <v>26487</v>
      </c>
      <c r="I15" s="12">
        <f>SUM(Oct!I15, Nov!I15, Dec!I15)</f>
        <v>-1281.5</v>
      </c>
      <c r="J15" s="13">
        <f t="shared" si="2"/>
        <v>-4.8382225242571825E-2</v>
      </c>
    </row>
    <row r="16" spans="1:10" ht="15.6">
      <c r="A16" s="26" t="str">
        <v>K298</v>
      </c>
      <c r="B16" s="27" t="str">
        <v>NY</v>
      </c>
      <c r="C16" s="27" t="str">
        <f>Sites[[#This Row],[SOL'#]]</f>
        <v>SOL-10368</v>
      </c>
      <c r="D16" s="9">
        <f>SUM(Oct!D16, Nov!D16, Dec!D16)</f>
        <v>24099.3125</v>
      </c>
      <c r="E16" s="14">
        <f>SUM(Oct!E16, Nov!E16, Dec!E16)</f>
        <v>31905.347999999998</v>
      </c>
      <c r="F16" s="14">
        <f t="shared" si="0"/>
        <v>-7806.0354999999981</v>
      </c>
      <c r="G16" s="15">
        <f t="shared" si="1"/>
        <v>-0.24466228984557695</v>
      </c>
      <c r="H16" s="16">
        <f>SUM(Oct!H16,Nov!H16,Dec!H16)</f>
        <v>24653</v>
      </c>
      <c r="I16" s="16">
        <f>SUM(Oct!I16, Nov!I16, Dec!I16)</f>
        <v>-553.6875</v>
      </c>
      <c r="J16" s="15">
        <f t="shared" si="2"/>
        <v>-2.2459234170283535E-2</v>
      </c>
    </row>
    <row r="17" spans="1:10" ht="15.6">
      <c r="A17" s="24" t="str">
        <v>K335</v>
      </c>
      <c r="B17" s="25" t="str">
        <v>NY</v>
      </c>
      <c r="C17" s="25" t="str">
        <f>Sites[[#This Row],[SOL'#]]</f>
        <v>SOL-10370</v>
      </c>
      <c r="D17" s="20">
        <f>SUM(Oct!D17, Nov!D17, Dec!D17)</f>
        <v>26581</v>
      </c>
      <c r="E17" s="10">
        <f>SUM(Oct!E17, Nov!E17, Dec!E17)</f>
        <v>33904.707999999999</v>
      </c>
      <c r="F17" s="10">
        <f t="shared" si="0"/>
        <v>-7323.7079999999987</v>
      </c>
      <c r="G17" s="11">
        <f t="shared" si="1"/>
        <v>-0.21600858500241321</v>
      </c>
      <c r="H17" s="12">
        <f>SUM(Oct!H17,Nov!H17,Dec!H17)</f>
        <v>33788</v>
      </c>
      <c r="I17" s="12">
        <f>SUM(Oct!I17, Nov!I17, Dec!I17)</f>
        <v>-7207</v>
      </c>
      <c r="J17" s="13">
        <f t="shared" si="2"/>
        <v>-0.21330058008760508</v>
      </c>
    </row>
    <row r="18" spans="1:10" ht="15.6">
      <c r="A18" s="26" t="str">
        <v>K345</v>
      </c>
      <c r="B18" s="27" t="str">
        <v>NY</v>
      </c>
      <c r="C18" s="27" t="str">
        <f>Sites[[#This Row],[SOL'#]]</f>
        <v>SOL-10920</v>
      </c>
      <c r="D18" s="9">
        <f>SUM(Oct!D18, Nov!D18, Dec!D18)</f>
        <v>31830.03125</v>
      </c>
      <c r="E18" s="14">
        <f>SUM(Oct!E18, Nov!E18, Dec!E18)</f>
        <v>23574.692999999999</v>
      </c>
      <c r="F18" s="14">
        <f t="shared" si="0"/>
        <v>8255.3382500000007</v>
      </c>
      <c r="G18" s="15">
        <f t="shared" si="1"/>
        <v>0.35017797474605505</v>
      </c>
      <c r="H18" s="16">
        <f>SUM(Oct!H18,Nov!H18,Dec!H18)</f>
        <v>28737</v>
      </c>
      <c r="I18" s="16">
        <f>SUM(Oct!I18, Nov!I18, Dec!I18)</f>
        <v>3093.03125</v>
      </c>
      <c r="J18" s="15">
        <f t="shared" si="2"/>
        <v>0.10763236419946411</v>
      </c>
    </row>
    <row r="19" spans="1:10" ht="15.6">
      <c r="A19" s="24" t="str">
        <v>K445</v>
      </c>
      <c r="B19" s="25" t="str">
        <v>NY</v>
      </c>
      <c r="C19" s="25" t="str">
        <f>Sites[[#This Row],[SOL'#]]</f>
        <v>SOL-10373</v>
      </c>
      <c r="D19" s="20">
        <f>SUM(Oct!D19, Nov!D19, Dec!D19)</f>
        <v>21926.0625</v>
      </c>
      <c r="E19" s="10">
        <f>SUM(Oct!E19, Nov!E19, Dec!E19)</f>
        <v>34224.683000000005</v>
      </c>
      <c r="F19" s="10">
        <f t="shared" si="0"/>
        <v>-12298.620500000005</v>
      </c>
      <c r="G19" s="11">
        <f t="shared" si="1"/>
        <v>-0.35934943502617694</v>
      </c>
      <c r="H19" s="12">
        <f>SUM(Oct!H19,Nov!H19,Dec!H19)</f>
        <v>26183.094999999998</v>
      </c>
      <c r="I19" s="12">
        <f>SUM(Oct!I19, Nov!I19, Dec!I19)</f>
        <v>-4257.0324999999975</v>
      </c>
      <c r="J19" s="13">
        <f t="shared" si="2"/>
        <v>-0.1625870623774614</v>
      </c>
    </row>
    <row r="20" spans="1:10" ht="15.6">
      <c r="A20" s="26" t="str">
        <v>K495</v>
      </c>
      <c r="B20" s="27" t="str">
        <v>NY</v>
      </c>
      <c r="C20" s="27" t="str">
        <f>Sites[[#This Row],[SOL'#]]</f>
        <v>SOL-10374</v>
      </c>
      <c r="D20" s="9">
        <f>SUM(Oct!D20, Nov!D20, Dec!D20)</f>
        <v>111985</v>
      </c>
      <c r="E20" s="14">
        <f>SUM(Oct!E20, Nov!E20, Dec!E20)</f>
        <v>132073.68</v>
      </c>
      <c r="F20" s="14">
        <f t="shared" si="0"/>
        <v>-20088.679999999993</v>
      </c>
      <c r="G20" s="15">
        <f t="shared" si="1"/>
        <v>-0.15210206908749718</v>
      </c>
      <c r="H20" s="16">
        <f>SUM(Oct!H20,Nov!H20,Dec!H20)</f>
        <v>154630.52000000002</v>
      </c>
      <c r="I20" s="16">
        <f>SUM(Oct!I20, Nov!I20, Dec!I20)</f>
        <v>-42645.52</v>
      </c>
      <c r="J20" s="15">
        <f t="shared" si="2"/>
        <v>-0.27578979880556564</v>
      </c>
    </row>
    <row r="21" spans="1:10" ht="15.6">
      <c r="A21" s="24" t="str">
        <v>M020</v>
      </c>
      <c r="B21" s="25" t="str">
        <v>NY</v>
      </c>
      <c r="C21" s="25" t="str">
        <f>Sites[[#This Row],[SOL'#]]</f>
        <v>SOL-10380</v>
      </c>
      <c r="D21" s="20">
        <f>SUM(Oct!D21, Nov!D21, Dec!D21)</f>
        <v>29837.40625</v>
      </c>
      <c r="E21" s="10">
        <f>SUM(Oct!E21, Nov!E21, Dec!E21)</f>
        <v>32481.911</v>
      </c>
      <c r="F21" s="10">
        <f t="shared" si="0"/>
        <v>-2644.5047500000001</v>
      </c>
      <c r="G21" s="11">
        <f t="shared" si="1"/>
        <v>-8.1414691087602575E-2</v>
      </c>
      <c r="H21" s="12">
        <f>SUM(Oct!H21,Nov!H21,Dec!H21)</f>
        <v>33064</v>
      </c>
      <c r="I21" s="12">
        <f>SUM(Oct!I21, Nov!I21, Dec!I21)</f>
        <v>-3226.59375</v>
      </c>
      <c r="J21" s="13">
        <f t="shared" si="2"/>
        <v>-9.7586309883861605E-2</v>
      </c>
    </row>
    <row r="22" spans="1:10" ht="15.6">
      <c r="A22" s="26" t="str">
        <v>M092</v>
      </c>
      <c r="B22" s="27" t="str">
        <v>NY</v>
      </c>
      <c r="C22" s="27" t="str">
        <f>Sites[[#This Row],[SOL'#]]</f>
        <v>SOL-10383</v>
      </c>
      <c r="D22" s="9">
        <f>SUM(Oct!D22, Nov!D22, Dec!D22)</f>
        <v>28107.687499999978</v>
      </c>
      <c r="E22" s="14">
        <f>SUM(Oct!E22, Nov!E22, Dec!E22)</f>
        <v>33699.728999999999</v>
      </c>
      <c r="F22" s="14">
        <f t="shared" si="0"/>
        <v>-5592.0415000000212</v>
      </c>
      <c r="G22" s="15">
        <f t="shared" si="1"/>
        <v>-0.16593728394670537</v>
      </c>
      <c r="H22" s="16">
        <f>SUM(Oct!H22,Nov!H22,Dec!H22)</f>
        <v>29641.843000000001</v>
      </c>
      <c r="I22" s="16">
        <f>SUM(Oct!I22, Nov!I22, Dec!I22)</f>
        <v>-1534.1555000000208</v>
      </c>
      <c r="J22" s="15">
        <f t="shared" si="2"/>
        <v>-5.1756414066427003E-2</v>
      </c>
    </row>
    <row r="23" spans="1:10" ht="15.6">
      <c r="A23" s="24" t="str">
        <v>M143</v>
      </c>
      <c r="B23" s="25" t="str">
        <v>NY</v>
      </c>
      <c r="C23" s="25" t="str">
        <f>Sites[[#This Row],[SOL'#]]</f>
        <v>SOL-10384</v>
      </c>
      <c r="D23" s="20">
        <f>SUM(Oct!D23, Nov!D23, Dec!D23)</f>
        <v>31464.75</v>
      </c>
      <c r="E23" s="10">
        <f>SUM(Oct!E23, Nov!E23, Dec!E23)</f>
        <v>36652.031000000003</v>
      </c>
      <c r="F23" s="10">
        <f t="shared" si="0"/>
        <v>-5187.2810000000027</v>
      </c>
      <c r="G23" s="11">
        <f t="shared" si="1"/>
        <v>-0.14152779146126998</v>
      </c>
      <c r="H23" s="12">
        <f>SUM(Oct!H23,Nov!H23,Dec!H23)</f>
        <v>32386.761999999999</v>
      </c>
      <c r="I23" s="12">
        <f>SUM(Oct!I23, Nov!I23, Dec!I23)</f>
        <v>-922.01199999999972</v>
      </c>
      <c r="J23" s="13">
        <f t="shared" si="2"/>
        <v>-2.8468792280006251E-2</v>
      </c>
    </row>
    <row r="24" spans="1:10" ht="15.6">
      <c r="A24" s="26" t="str">
        <v>M144</v>
      </c>
      <c r="B24" s="27" t="str">
        <v>NY</v>
      </c>
      <c r="C24" s="27" t="str">
        <f>Sites[[#This Row],[SOL'#]]</f>
        <v>SOL-10385</v>
      </c>
      <c r="D24" s="9">
        <f>SUM(Oct!D24, Nov!D24, Dec!D24)</f>
        <v>47023.562500000102</v>
      </c>
      <c r="E24" s="14">
        <f>SUM(Oct!E24, Nov!E24, Dec!E24)</f>
        <v>59811.880000000005</v>
      </c>
      <c r="F24" s="14">
        <f t="shared" si="0"/>
        <v>-12788.317499999903</v>
      </c>
      <c r="G24" s="15">
        <f t="shared" si="1"/>
        <v>-0.21380898744530186</v>
      </c>
      <c r="H24" s="16">
        <f>SUM(Oct!H24,Nov!H24,Dec!H24)</f>
        <v>74195.34</v>
      </c>
      <c r="I24" s="16">
        <f>SUM(Oct!I24, Nov!I24, Dec!I24)</f>
        <v>-27171.777499999906</v>
      </c>
      <c r="J24" s="15">
        <f t="shared" si="2"/>
        <v>-0.36621946203090255</v>
      </c>
    </row>
    <row r="25" spans="1:10" ht="15.6">
      <c r="A25" s="24" t="str">
        <v>M167</v>
      </c>
      <c r="B25" s="25" t="str">
        <v>NY</v>
      </c>
      <c r="C25" s="25" t="str">
        <f>Sites[[#This Row],[SOL'#]]</f>
        <v>SOL-10386</v>
      </c>
      <c r="D25" s="20">
        <f>SUM(Oct!D25, Nov!D25, Dec!D25)</f>
        <v>30347.28125</v>
      </c>
      <c r="E25" s="10">
        <f>SUM(Oct!E25, Nov!E25, Dec!E25)</f>
        <v>28580.417999999998</v>
      </c>
      <c r="F25" s="10">
        <f t="shared" si="0"/>
        <v>1766.8632500000022</v>
      </c>
      <c r="G25" s="11">
        <f t="shared" si="1"/>
        <v>6.1820763083311178E-2</v>
      </c>
      <c r="H25" s="12">
        <f>SUM(Oct!H25,Nov!H25,Dec!H25)</f>
        <v>34506.587999999996</v>
      </c>
      <c r="I25" s="12">
        <f>SUM(Oct!I25, Nov!I25, Dec!I25)</f>
        <v>-4159.3067499999997</v>
      </c>
      <c r="J25" s="13">
        <f t="shared" si="2"/>
        <v>-0.12053659869240042</v>
      </c>
    </row>
    <row r="26" spans="1:10" ht="15.6">
      <c r="A26" s="26" t="str">
        <v>M188</v>
      </c>
      <c r="B26" s="27" t="str">
        <v>NY</v>
      </c>
      <c r="C26" s="27" t="str">
        <f>Sites[[#This Row],[SOL'#]]</f>
        <v>SOL-10387</v>
      </c>
      <c r="D26" s="9">
        <f>SUM(Oct!D26, Nov!D26, Dec!D26)</f>
        <v>24815.45109375002</v>
      </c>
      <c r="E26" s="14">
        <f>SUM(Oct!E26, Nov!E26, Dec!E26)</f>
        <v>29560.055</v>
      </c>
      <c r="F26" s="14">
        <f t="shared" si="0"/>
        <v>-4744.6039062499804</v>
      </c>
      <c r="G26" s="15">
        <f t="shared" si="1"/>
        <v>-0.16050727599288905</v>
      </c>
      <c r="H26" s="16">
        <f>SUM(Oct!H26,Nov!H26,Dec!H26)</f>
        <v>38791.340000000004</v>
      </c>
      <c r="I26" s="16">
        <f>SUM(Oct!I26, Nov!I26, Dec!I26)</f>
        <v>-13975.888906249982</v>
      </c>
      <c r="J26" s="15">
        <f t="shared" si="2"/>
        <v>-0.36028373617023751</v>
      </c>
    </row>
    <row r="27" spans="1:10" ht="15.6">
      <c r="A27" s="24" t="str">
        <v>EMHC</v>
      </c>
      <c r="B27" s="25" t="str">
        <v>NY</v>
      </c>
      <c r="C27" s="25" t="str">
        <f>Sites[[#This Row],[SOL'#]]</f>
        <v>SOL-10351</v>
      </c>
      <c r="D27" s="20">
        <f>SUM(Oct!D27, Nov!D27, Dec!D27)</f>
        <v>9275.28125</v>
      </c>
      <c r="E27" s="10">
        <f>SUM(Oct!E27, Nov!E27, Dec!E27)</f>
        <v>7334.4009999999998</v>
      </c>
      <c r="F27" s="10">
        <f t="shared" si="0"/>
        <v>1940.8802500000002</v>
      </c>
      <c r="G27" s="11">
        <f t="shared" si="1"/>
        <v>0.26462696135648983</v>
      </c>
      <c r="H27" s="12">
        <f>SUM(Oct!H27,Nov!H27,Dec!H27)</f>
        <v>9696.8389999999999</v>
      </c>
      <c r="I27" s="12">
        <f>SUM(Oct!I27, Nov!I27, Dec!I27)</f>
        <v>-421.55774999999949</v>
      </c>
      <c r="J27" s="13">
        <f t="shared" si="2"/>
        <v>-4.3473728913102451E-2</v>
      </c>
    </row>
    <row r="28" spans="1:10" ht="15.6">
      <c r="A28" s="26" t="str">
        <v>Q008</v>
      </c>
      <c r="B28" s="27" t="str">
        <v>NY</v>
      </c>
      <c r="C28" s="27" t="str">
        <f>Sites[[#This Row],[SOL'#]]</f>
        <v>SOL-10397</v>
      </c>
      <c r="D28" s="9">
        <f>SUM(Oct!D28, Nov!D28, Dec!D28)</f>
        <v>39383.46875</v>
      </c>
      <c r="E28" s="14">
        <f>SUM(Oct!E28, Nov!E28, Dec!E28)</f>
        <v>46973.009999999995</v>
      </c>
      <c r="F28" s="14">
        <f t="shared" si="0"/>
        <v>-7589.5412499999948</v>
      </c>
      <c r="G28" s="15">
        <f t="shared" si="1"/>
        <v>-0.16157238486526615</v>
      </c>
      <c r="H28" s="16">
        <f>SUM(Oct!H28,Nov!H28,Dec!H28)</f>
        <v>40984</v>
      </c>
      <c r="I28" s="16">
        <f>SUM(Oct!I28, Nov!I28, Dec!I28)</f>
        <v>-1600.53125</v>
      </c>
      <c r="J28" s="15">
        <f t="shared" si="2"/>
        <v>-3.9052587595159088E-2</v>
      </c>
    </row>
    <row r="29" spans="1:10" ht="15.6">
      <c r="A29" s="24" t="str">
        <v>Q018</v>
      </c>
      <c r="B29" s="25" t="str">
        <v>NY</v>
      </c>
      <c r="C29" s="25" t="str">
        <f>Sites[[#This Row],[SOL'#]]</f>
        <v>SOL-10398</v>
      </c>
      <c r="D29" s="20">
        <f>SUM(Oct!D29, Nov!D29, Dec!D29)</f>
        <v>27255.8125</v>
      </c>
      <c r="E29" s="10">
        <f>SUM(Oct!E29, Nov!E29, Dec!E29)</f>
        <v>31143.251</v>
      </c>
      <c r="F29" s="10">
        <f t="shared" si="0"/>
        <v>-3887.4385000000002</v>
      </c>
      <c r="G29" s="11">
        <f t="shared" si="1"/>
        <v>-0.12482442825252894</v>
      </c>
      <c r="H29" s="12">
        <f>SUM(Oct!H29,Nov!H29,Dec!H29)</f>
        <v>26907.157999999999</v>
      </c>
      <c r="I29" s="12">
        <f>SUM(Oct!I29, Nov!I29, Dec!I29)</f>
        <v>348.65449999999964</v>
      </c>
      <c r="J29" s="13">
        <f t="shared" si="2"/>
        <v>1.2957685832149186E-2</v>
      </c>
    </row>
    <row r="30" spans="1:10" ht="15.6">
      <c r="A30" s="26" t="str">
        <v>Q021</v>
      </c>
      <c r="B30" s="27" t="str">
        <v>NY</v>
      </c>
      <c r="C30" s="27" t="str">
        <f>Sites[[#This Row],[SOL'#]]</f>
        <v>SOL-10399</v>
      </c>
      <c r="D30" s="9">
        <f>SUM(Oct!D30, Nov!D30, Dec!D30)</f>
        <v>20806.5625</v>
      </c>
      <c r="E30" s="14">
        <f>SUM(Oct!E30, Nov!E30, Dec!E30)</f>
        <v>25981.378999999997</v>
      </c>
      <c r="F30" s="14">
        <f t="shared" si="0"/>
        <v>-5174.8164999999972</v>
      </c>
      <c r="G30" s="15">
        <f t="shared" si="1"/>
        <v>-0.19917405076920658</v>
      </c>
      <c r="H30" s="16">
        <f>SUM(Oct!H30,Nov!H30,Dec!H30)</f>
        <v>21756.965</v>
      </c>
      <c r="I30" s="16">
        <f>SUM(Oct!I30, Nov!I30, Dec!I30)</f>
        <v>-950.40250000000015</v>
      </c>
      <c r="J30" s="15">
        <f t="shared" si="2"/>
        <v>-4.3682678167658043E-2</v>
      </c>
    </row>
    <row r="31" spans="1:10" ht="15.6">
      <c r="A31" s="24" t="str">
        <v>Q025</v>
      </c>
      <c r="B31" s="25" t="str">
        <v>NY</v>
      </c>
      <c r="C31" s="25" t="str">
        <f>Sites[[#This Row],[SOL'#]]</f>
        <v>SOL-10400</v>
      </c>
      <c r="D31" s="20">
        <f>SUM(Oct!D31, Nov!D31, Dec!D31)</f>
        <v>36301.375</v>
      </c>
      <c r="E31" s="10">
        <f>SUM(Oct!E31, Nov!E31, Dec!E31)</f>
        <v>39417.942999999999</v>
      </c>
      <c r="F31" s="10">
        <f t="shared" si="0"/>
        <v>-3116.5679999999993</v>
      </c>
      <c r="G31" s="11">
        <f t="shared" si="1"/>
        <v>-7.9064704112033424E-2</v>
      </c>
      <c r="H31" s="12">
        <f>SUM(Oct!H31,Nov!H31,Dec!H31)</f>
        <v>23730</v>
      </c>
      <c r="I31" s="12">
        <f>SUM(Oct!I31, Nov!I31, Dec!I31)</f>
        <v>12571.375</v>
      </c>
      <c r="J31" s="13">
        <f t="shared" si="2"/>
        <v>0.52976717235566795</v>
      </c>
    </row>
    <row r="32" spans="1:10" ht="15.6">
      <c r="A32" s="26" t="str">
        <v>Q074</v>
      </c>
      <c r="B32" s="27" t="str">
        <v>NY</v>
      </c>
      <c r="C32" s="27" t="str">
        <f>Sites[[#This Row],[SOL'#]]</f>
        <v>SOL-10402</v>
      </c>
      <c r="D32" s="9">
        <f>SUM(Oct!D32, Nov!D32, Dec!D32)</f>
        <v>0</v>
      </c>
      <c r="E32" s="14">
        <f>SUM(Oct!E32, Nov!E32, Dec!E32)</f>
        <v>0</v>
      </c>
      <c r="F32" s="14">
        <f t="shared" si="0"/>
        <v>0</v>
      </c>
      <c r="G32" s="15" t="str">
        <f t="shared" si="1"/>
        <v/>
      </c>
      <c r="H32" s="16">
        <f>SUM(Oct!H32,Nov!H32,Dec!H32)</f>
        <v>13063</v>
      </c>
      <c r="I32" s="16">
        <f>SUM(Oct!I32, Nov!I32, Dec!I32)</f>
        <v>-13063</v>
      </c>
      <c r="J32" s="15">
        <f t="shared" si="2"/>
        <v>-1</v>
      </c>
    </row>
    <row r="33" spans="1:10" ht="15.6">
      <c r="A33" s="24" t="str">
        <v>Q115</v>
      </c>
      <c r="B33" s="25" t="str">
        <v>NY</v>
      </c>
      <c r="C33" s="25" t="str">
        <f>Sites[[#This Row],[SOL'#]]</f>
        <v>SOL-10872</v>
      </c>
      <c r="D33" s="20">
        <f>SUM(Oct!D33, Nov!D33, Dec!D33)</f>
        <v>28124.68750000012</v>
      </c>
      <c r="E33" s="10">
        <f>SUM(Oct!E33, Nov!E33, Dec!E33)</f>
        <v>36399.023999999998</v>
      </c>
      <c r="F33" s="10">
        <f t="shared" si="0"/>
        <v>-8274.3364999998776</v>
      </c>
      <c r="G33" s="11">
        <f t="shared" si="1"/>
        <v>-0.22732303206810925</v>
      </c>
      <c r="H33" s="12">
        <f>SUM(Oct!H33,Nov!H33,Dec!H33)</f>
        <v>33465.078000000001</v>
      </c>
      <c r="I33" s="12">
        <f>SUM(Oct!I33, Nov!I33, Dec!I33)</f>
        <v>-5340.3904999998795</v>
      </c>
      <c r="J33" s="13">
        <f t="shared" si="2"/>
        <v>-0.15958099664372152</v>
      </c>
    </row>
    <row r="34" spans="1:10" ht="15.6">
      <c r="A34" s="26" t="str">
        <v>Q139</v>
      </c>
      <c r="B34" s="27" t="str">
        <v>NY</v>
      </c>
      <c r="C34" s="27" t="str">
        <f>Sites[[#This Row],[SOL'#]]</f>
        <v>SOL-10403</v>
      </c>
      <c r="D34" s="9">
        <f>SUM(Oct!D34, Nov!D34, Dec!D34)</f>
        <v>17939.125</v>
      </c>
      <c r="E34" s="14">
        <f>SUM(Oct!E34, Nov!E34, Dec!E34)</f>
        <v>20062.777000000002</v>
      </c>
      <c r="F34" s="14">
        <f t="shared" si="0"/>
        <v>-2123.6520000000019</v>
      </c>
      <c r="G34" s="15">
        <f t="shared" si="1"/>
        <v>-0.1058503516238057</v>
      </c>
      <c r="H34" s="16">
        <f>SUM(Oct!H34,Nov!H34,Dec!H34)</f>
        <v>20982</v>
      </c>
      <c r="I34" s="16">
        <f>SUM(Oct!I34, Nov!I34, Dec!I34)</f>
        <v>-3042.875</v>
      </c>
      <c r="J34" s="15">
        <f t="shared" si="2"/>
        <v>-0.1450231150509961</v>
      </c>
    </row>
    <row r="35" spans="1:10" ht="15.6">
      <c r="A35" s="24" t="str">
        <v>Q157</v>
      </c>
      <c r="B35" s="25" t="str">
        <v>NY</v>
      </c>
      <c r="C35" s="25" t="str">
        <f>Sites[[#This Row],[SOL'#]]</f>
        <v>SOL-10404</v>
      </c>
      <c r="D35" s="20">
        <f>SUM(Oct!D35, Nov!D35, Dec!D35)</f>
        <v>32149.4375</v>
      </c>
      <c r="E35" s="10">
        <f>SUM(Oct!E35, Nov!E35, Dec!E35)</f>
        <v>44417.850000000006</v>
      </c>
      <c r="F35" s="10">
        <f t="shared" si="0"/>
        <v>-12268.412500000006</v>
      </c>
      <c r="G35" s="11">
        <f t="shared" si="1"/>
        <v>-0.27620455515068837</v>
      </c>
      <c r="H35" s="12">
        <f>SUM(Oct!H35,Nov!H35,Dec!H35)</f>
        <v>37168.198000000004</v>
      </c>
      <c r="I35" s="12">
        <f>SUM(Oct!I35, Nov!I35, Dec!I35)</f>
        <v>-5018.7605000000003</v>
      </c>
      <c r="J35" s="13">
        <f t="shared" si="2"/>
        <v>-0.13502835138792577</v>
      </c>
    </row>
    <row r="36" spans="1:10" ht="15.6">
      <c r="A36" s="26" t="str">
        <v>Q192</v>
      </c>
      <c r="B36" s="27" t="str">
        <v>NY</v>
      </c>
      <c r="C36" s="27" t="str">
        <f>Sites[[#This Row],[SOL'#]]</f>
        <v>SOL-10406</v>
      </c>
      <c r="D36" s="9">
        <f>SUM(Oct!D36, Nov!D36, Dec!D36)</f>
        <v>40987.75</v>
      </c>
      <c r="E36" s="14">
        <f>SUM(Oct!E36, Nov!E36, Dec!E36)</f>
        <v>60382.54</v>
      </c>
      <c r="F36" s="14">
        <f t="shared" si="0"/>
        <v>-19394.79</v>
      </c>
      <c r="G36" s="15">
        <f t="shared" si="1"/>
        <v>-0.32119864450882657</v>
      </c>
      <c r="H36" s="16">
        <f>SUM(Oct!H36,Nov!H36,Dec!H36)</f>
        <v>55753.729999999996</v>
      </c>
      <c r="I36" s="16">
        <f>SUM(Oct!I36, Nov!I36, Dec!I36)</f>
        <v>-14765.979999999998</v>
      </c>
      <c r="J36" s="15">
        <f t="shared" si="2"/>
        <v>-0.26484290826820017</v>
      </c>
    </row>
    <row r="37" spans="1:10" ht="15.6">
      <c r="A37" s="24" t="str">
        <v>Q210</v>
      </c>
      <c r="B37" s="25" t="str">
        <v>NY</v>
      </c>
      <c r="C37" s="25" t="str">
        <f>Sites[[#This Row],[SOL'#]]</f>
        <v>SOL-10407</v>
      </c>
      <c r="D37" s="20">
        <f>SUM(Oct!D37, Nov!D37, Dec!D37)</f>
        <v>42234.25</v>
      </c>
      <c r="E37" s="10">
        <f>SUM(Oct!E37, Nov!E37, Dec!E37)</f>
        <v>43528.02</v>
      </c>
      <c r="F37" s="10">
        <f t="shared" si="0"/>
        <v>-1293.7699999999968</v>
      </c>
      <c r="G37" s="11">
        <f t="shared" si="1"/>
        <v>-2.9722693566121245E-2</v>
      </c>
      <c r="H37" s="12">
        <f>SUM(Oct!H37,Nov!H37,Dec!H37)</f>
        <v>46628</v>
      </c>
      <c r="I37" s="12">
        <f>SUM(Oct!I37, Nov!I37, Dec!I37)</f>
        <v>-4393.75</v>
      </c>
      <c r="J37" s="13">
        <f t="shared" si="2"/>
        <v>-9.422986188556233E-2</v>
      </c>
    </row>
    <row r="38" spans="1:10" ht="15.6">
      <c r="A38" s="26" t="str">
        <v>Q229</v>
      </c>
      <c r="B38" s="27" t="str">
        <v>NY</v>
      </c>
      <c r="C38" s="27" t="str">
        <f>Sites[[#This Row],[SOL'#]]</f>
        <v>SOL-10408</v>
      </c>
      <c r="D38" s="9">
        <f>SUM(Oct!D38, Nov!D38, Dec!D38)</f>
        <v>16208.1875</v>
      </c>
      <c r="E38" s="14">
        <f>SUM(Oct!E38, Nov!E38, Dec!E38)</f>
        <v>21926.599000000002</v>
      </c>
      <c r="F38" s="14">
        <f t="shared" si="0"/>
        <v>-5718.411500000002</v>
      </c>
      <c r="G38" s="15">
        <f t="shared" si="1"/>
        <v>-0.26079792401913315</v>
      </c>
      <c r="H38" s="16">
        <f>SUM(Oct!H38,Nov!H38,Dec!H38)</f>
        <v>16049.907999999999</v>
      </c>
      <c r="I38" s="16">
        <f>SUM(Oct!I38, Nov!I38, Dec!I38)</f>
        <v>158.2795000000001</v>
      </c>
      <c r="J38" s="15">
        <f t="shared" si="2"/>
        <v>9.8617076185109655E-3</v>
      </c>
    </row>
    <row r="39" spans="1:10" ht="15.6">
      <c r="A39" s="24" t="str">
        <v>Q231</v>
      </c>
      <c r="B39" s="25" t="str">
        <v>NY</v>
      </c>
      <c r="C39" s="25" t="str">
        <f>Sites[[#This Row],[SOL'#]]</f>
        <v>SOL-10870</v>
      </c>
      <c r="D39" s="20">
        <f>SUM(Oct!D39, Nov!D39, Dec!D39)</f>
        <v>67142</v>
      </c>
      <c r="E39" s="10">
        <f>SUM(Oct!E39, Nov!E39, Dec!E39)</f>
        <v>89231.489999999991</v>
      </c>
      <c r="F39" s="10">
        <f t="shared" si="0"/>
        <v>-22089.489999999991</v>
      </c>
      <c r="G39" s="11">
        <f t="shared" si="1"/>
        <v>-0.24755262968263775</v>
      </c>
      <c r="H39" s="12">
        <f>SUM(Oct!H39,Nov!H39,Dec!H39)</f>
        <v>63830</v>
      </c>
      <c r="I39" s="12">
        <f>SUM(Oct!I39, Nov!I39, Dec!I39)</f>
        <v>3312</v>
      </c>
      <c r="J39" s="13">
        <f t="shared" si="2"/>
        <v>5.1887827040576533E-2</v>
      </c>
    </row>
    <row r="40" spans="1:10" ht="15.6">
      <c r="A40" s="26" t="str">
        <v>Q405</v>
      </c>
      <c r="B40" s="27" t="str">
        <v>NY</v>
      </c>
      <c r="C40" s="27" t="str">
        <f>Sites[[#This Row],[SOL'#]]</f>
        <v>SOL-10409</v>
      </c>
      <c r="D40" s="9">
        <f>SUM(Oct!D40, Nov!D40, Dec!D40)</f>
        <v>78740.25</v>
      </c>
      <c r="E40" s="14">
        <f>SUM(Oct!E40, Nov!E40, Dec!E40)</f>
        <v>93519.09</v>
      </c>
      <c r="F40" s="14">
        <f t="shared" si="0"/>
        <v>-14778.839999999997</v>
      </c>
      <c r="G40" s="15">
        <f t="shared" si="1"/>
        <v>-0.15803019469073104</v>
      </c>
      <c r="H40" s="16">
        <f>SUM(Oct!H40,Nov!H40,Dec!H40)</f>
        <v>83205.450000000012</v>
      </c>
      <c r="I40" s="16">
        <f>SUM(Oct!I40, Nov!I40, Dec!I40)</f>
        <v>-4465.2000000000007</v>
      </c>
      <c r="J40" s="15">
        <f t="shared" si="2"/>
        <v>-5.3664753931383105E-2</v>
      </c>
    </row>
    <row r="41" spans="1:10" ht="15.6">
      <c r="A41" s="24" t="str">
        <v>Q435</v>
      </c>
      <c r="B41" s="25" t="str">
        <v>NY</v>
      </c>
      <c r="C41" s="25" t="str">
        <f>Sites[[#This Row],[SOL'#]]</f>
        <v>SOL-10923</v>
      </c>
      <c r="D41" s="20">
        <f>SUM(Oct!D41, Nov!D41, Dec!D41)</f>
        <v>102886.375</v>
      </c>
      <c r="E41" s="10">
        <f>SUM(Oct!E41, Nov!E41, Dec!E41)</f>
        <v>76409.290000000008</v>
      </c>
      <c r="F41" s="10">
        <f t="shared" si="0"/>
        <v>26477.084999999992</v>
      </c>
      <c r="G41" s="11">
        <f t="shared" si="1"/>
        <v>0.34651656886224158</v>
      </c>
      <c r="H41" s="12">
        <f>SUM(Oct!H41,Nov!H41,Dec!H41)</f>
        <v>97164</v>
      </c>
      <c r="I41" s="12">
        <f>SUM(Oct!I41, Nov!I41, Dec!I41)</f>
        <v>5722.375</v>
      </c>
      <c r="J41" s="13">
        <f t="shared" si="2"/>
        <v>5.8893983368325714E-2</v>
      </c>
    </row>
    <row r="42" spans="1:10" ht="15.6">
      <c r="A42" s="26" t="str">
        <v>Q485</v>
      </c>
      <c r="B42" s="27" t="str">
        <v>NY</v>
      </c>
      <c r="C42" s="27" t="str">
        <f>Sites[[#This Row],[SOL'#]]</f>
        <v>SOL-10869</v>
      </c>
      <c r="D42" s="9">
        <f>SUM(Oct!D42, Nov!D42, Dec!D42)</f>
        <v>85016</v>
      </c>
      <c r="E42" s="14">
        <f>SUM(Oct!E42, Nov!E42, Dec!E42)</f>
        <v>81573.55</v>
      </c>
      <c r="F42" s="14">
        <f t="shared" si="0"/>
        <v>3442.4499999999971</v>
      </c>
      <c r="G42" s="15">
        <f t="shared" si="1"/>
        <v>4.2200566237462961E-2</v>
      </c>
      <c r="H42" s="16">
        <f>SUM(Oct!H42,Nov!H42,Dec!H42)</f>
        <v>91876.69</v>
      </c>
      <c r="I42" s="16">
        <f>SUM(Oct!I42, Nov!I42, Dec!I42)</f>
        <v>-6860.6900000000023</v>
      </c>
      <c r="J42" s="15">
        <f t="shared" si="2"/>
        <v>-7.4672803297550244E-2</v>
      </c>
    </row>
    <row r="43" spans="1:10" ht="15.6">
      <c r="A43" s="24" t="str">
        <v>Q490</v>
      </c>
      <c r="B43" s="25" t="str">
        <v>NY</v>
      </c>
      <c r="C43" s="25" t="str">
        <f>Sites[[#This Row],[SOL'#]]</f>
        <v>SOL-10411</v>
      </c>
      <c r="D43" s="20">
        <f>SUM(Oct!D43, Nov!D43, Dec!D43)</f>
        <v>62420.5</v>
      </c>
      <c r="E43" s="10">
        <f>SUM(Oct!E43, Nov!E43, Dec!E43)</f>
        <v>0</v>
      </c>
      <c r="F43" s="10">
        <f t="shared" si="0"/>
        <v>62420.5</v>
      </c>
      <c r="G43" s="11" t="str">
        <f t="shared" si="1"/>
        <v/>
      </c>
      <c r="H43" s="12">
        <f>SUM(Oct!H43,Nov!H43,Dec!H43)</f>
        <v>69637.509999999995</v>
      </c>
      <c r="I43" s="12">
        <f>SUM(Oct!I43, Nov!I43, Dec!I43)</f>
        <v>-7217.0099999999966</v>
      </c>
      <c r="J43" s="13">
        <f t="shared" si="2"/>
        <v>-0.10363681872025575</v>
      </c>
    </row>
    <row r="44" spans="1:10" ht="15.6">
      <c r="A44" s="26" t="str">
        <v>Q620</v>
      </c>
      <c r="B44" s="27" t="str">
        <v>NY</v>
      </c>
      <c r="C44" s="27" t="str">
        <f>Sites[[#This Row],[SOL'#]]</f>
        <v>SOL-10867</v>
      </c>
      <c r="D44" s="9">
        <f>SUM(Oct!D44, Nov!D44, Dec!D44)</f>
        <v>98566.75</v>
      </c>
      <c r="E44" s="14">
        <f>SUM(Oct!E44, Nov!E44, Dec!E44)</f>
        <v>104767.25</v>
      </c>
      <c r="F44" s="14">
        <f t="shared" si="0"/>
        <v>-6200.5</v>
      </c>
      <c r="G44" s="15">
        <f t="shared" si="1"/>
        <v>-5.9183571201878449E-2</v>
      </c>
      <c r="H44" s="16">
        <f>SUM(Oct!H44,Nov!H44,Dec!H44)</f>
        <v>101490.79000000001</v>
      </c>
      <c r="I44" s="16">
        <f>SUM(Oct!I44, Nov!I44, Dec!I44)</f>
        <v>-2924.0400000000009</v>
      </c>
      <c r="J44" s="15">
        <f t="shared" si="2"/>
        <v>-2.8810890131015836E-2</v>
      </c>
    </row>
    <row r="45" spans="1:10" ht="15.6">
      <c r="A45" s="24" t="str">
        <v>QMOA</v>
      </c>
      <c r="B45" s="25" t="str">
        <v>NY</v>
      </c>
      <c r="C45" s="25" t="str">
        <f>Sites[[#This Row],[SOL'#]]</f>
        <v>SOL-10415</v>
      </c>
      <c r="D45" s="20">
        <f>SUM(Oct!D45, Nov!D45, Dec!D45)</f>
        <v>9015.3999999999905</v>
      </c>
      <c r="E45" s="10">
        <f>SUM(Oct!E45, Nov!E45, Dec!E45)</f>
        <v>0</v>
      </c>
      <c r="F45" s="10">
        <f t="shared" si="0"/>
        <v>9015.3999999999905</v>
      </c>
      <c r="G45" s="11" t="str">
        <f t="shared" si="1"/>
        <v/>
      </c>
      <c r="H45" s="12">
        <f>SUM(Oct!H45,Nov!H45,Dec!H45)</f>
        <v>9713.1739999999991</v>
      </c>
      <c r="I45" s="12">
        <f>SUM(Oct!I45, Nov!I45, Dec!I45)</f>
        <v>-697.77400000001035</v>
      </c>
      <c r="J45" s="13">
        <f t="shared" si="2"/>
        <v>-7.1837897684115457E-2</v>
      </c>
    </row>
    <row r="46" spans="1:10" ht="15.6">
      <c r="A46" s="26" t="str">
        <v>X024</v>
      </c>
      <c r="B46" s="27" t="str">
        <v>NY</v>
      </c>
      <c r="C46" s="27" t="str">
        <f>Sites[[#This Row],[SOL'#]]</f>
        <v>SOL-10419</v>
      </c>
      <c r="D46" s="9">
        <f>SUM(Oct!D46, Nov!D46, Dec!D46)</f>
        <v>35761.375</v>
      </c>
      <c r="E46" s="14">
        <f>SUM(Oct!E46, Nov!E46, Dec!E46)</f>
        <v>40389.756999999998</v>
      </c>
      <c r="F46" s="14">
        <f t="shared" si="0"/>
        <v>-4628.3819999999978</v>
      </c>
      <c r="G46" s="15">
        <f t="shared" si="1"/>
        <v>-0.1145929647459874</v>
      </c>
      <c r="H46" s="16">
        <f>SUM(Oct!H46,Nov!H46,Dec!H46)</f>
        <v>36009</v>
      </c>
      <c r="I46" s="16">
        <f>SUM(Oct!I46, Nov!I46, Dec!I46)</f>
        <v>-247.625</v>
      </c>
      <c r="J46" s="15">
        <f t="shared" si="2"/>
        <v>-6.8767530339637313E-3</v>
      </c>
    </row>
    <row r="47" spans="1:10" ht="15.6">
      <c r="A47" s="24" t="str">
        <v>X026</v>
      </c>
      <c r="B47" s="25" t="str">
        <v>NY</v>
      </c>
      <c r="C47" s="25" t="str">
        <f>Sites[[#This Row],[SOL'#]]</f>
        <v>SOL-10420</v>
      </c>
      <c r="D47" s="20">
        <f>SUM(Oct!D47, Nov!D47, Dec!D47)</f>
        <v>29509.700000000004</v>
      </c>
      <c r="E47" s="10">
        <f>SUM(Oct!E47, Nov!E47, Dec!E47)</f>
        <v>34596.741000000002</v>
      </c>
      <c r="F47" s="10">
        <f t="shared" si="0"/>
        <v>-5087.0409999999974</v>
      </c>
      <c r="G47" s="11">
        <f t="shared" si="1"/>
        <v>-0.14703815599278547</v>
      </c>
      <c r="H47" s="12">
        <f>SUM(Oct!H47,Nov!H47,Dec!H47)</f>
        <v>46900.508000000002</v>
      </c>
      <c r="I47" s="12">
        <f>SUM(Oct!I47, Nov!I47, Dec!I47)</f>
        <v>-17390.807999999997</v>
      </c>
      <c r="J47" s="13">
        <f t="shared" si="2"/>
        <v>-0.37080212436078508</v>
      </c>
    </row>
    <row r="48" spans="1:10" ht="15.6">
      <c r="A48" s="26" t="str">
        <v>X090</v>
      </c>
      <c r="B48" s="27" t="str">
        <v>NY</v>
      </c>
      <c r="C48" s="27" t="str">
        <f>Sites[[#This Row],[SOL'#]]</f>
        <v>SOL-10925</v>
      </c>
      <c r="D48" s="9">
        <f>SUM(Oct!D48, Nov!D48, Dec!D48)</f>
        <v>19662.3125</v>
      </c>
      <c r="E48" s="14">
        <f>SUM(Oct!E48, Nov!E48, Dec!E48)</f>
        <v>21788.076999999997</v>
      </c>
      <c r="F48" s="14">
        <f t="shared" si="0"/>
        <v>-2125.7644999999975</v>
      </c>
      <c r="G48" s="15">
        <f t="shared" si="1"/>
        <v>-9.7565494192075677E-2</v>
      </c>
      <c r="H48" s="16">
        <f>SUM(Oct!H48,Nov!H48,Dec!H48)</f>
        <v>27326</v>
      </c>
      <c r="I48" s="16">
        <f>SUM(Oct!I48, Nov!I48, Dec!I48)</f>
        <v>-7663.6875</v>
      </c>
      <c r="J48" s="15">
        <f t="shared" si="2"/>
        <v>-0.2804540547463954</v>
      </c>
    </row>
    <row r="49" spans="1:10" ht="15.6">
      <c r="A49" s="24" t="str">
        <v>X117</v>
      </c>
      <c r="B49" s="25" t="str">
        <v>NY</v>
      </c>
      <c r="C49" s="25" t="str">
        <f>Sites[[#This Row],[SOL'#]]</f>
        <v>SOL-10422</v>
      </c>
      <c r="D49" s="20">
        <f>SUM(Oct!D49, Nov!D49, Dec!D49)</f>
        <v>21574.600000000002</v>
      </c>
      <c r="E49" s="10">
        <f>SUM(Oct!E49, Nov!E49, Dec!E49)</f>
        <v>29352.572</v>
      </c>
      <c r="F49" s="10">
        <f t="shared" si="0"/>
        <v>-7777.9719999999979</v>
      </c>
      <c r="G49" s="11">
        <f t="shared" si="1"/>
        <v>-0.2649843427690084</v>
      </c>
      <c r="H49" s="12">
        <f>SUM(Oct!H49,Nov!H49,Dec!H49)</f>
        <v>26823.282999999996</v>
      </c>
      <c r="I49" s="12">
        <f>SUM(Oct!I49, Nov!I49, Dec!I49)</f>
        <v>-5248.6829999999982</v>
      </c>
      <c r="J49" s="13">
        <f t="shared" si="2"/>
        <v>-0.19567638308852794</v>
      </c>
    </row>
    <row r="50" spans="1:10" ht="15.6">
      <c r="A50" s="26" t="str">
        <v>X125</v>
      </c>
      <c r="B50" s="27" t="str">
        <v>NY</v>
      </c>
      <c r="C50" s="27" t="str">
        <f>Sites[[#This Row],[SOL'#]]</f>
        <v>SOL-10423</v>
      </c>
      <c r="D50" s="9">
        <f>SUM(Oct!D50, Nov!D50, Dec!D50)</f>
        <v>43521.375</v>
      </c>
      <c r="E50" s="14">
        <f>SUM(Oct!E50, Nov!E50, Dec!E50)</f>
        <v>50815.85</v>
      </c>
      <c r="F50" s="14">
        <f t="shared" si="0"/>
        <v>-7294.4749999999985</v>
      </c>
      <c r="G50" s="15">
        <f t="shared" si="1"/>
        <v>-0.1435472396899786</v>
      </c>
      <c r="H50" s="16">
        <f>SUM(Oct!H50,Nov!H50,Dec!H50)</f>
        <v>44429.95</v>
      </c>
      <c r="I50" s="16">
        <f>SUM(Oct!I50, Nov!I50, Dec!I50)</f>
        <v>-908.57500000000073</v>
      </c>
      <c r="J50" s="15">
        <f t="shared" si="2"/>
        <v>-2.0449606627961563E-2</v>
      </c>
    </row>
    <row r="51" spans="1:10" ht="15.6">
      <c r="A51" s="24" t="str">
        <v>X134</v>
      </c>
      <c r="B51" s="25" t="str">
        <v>NY</v>
      </c>
      <c r="C51" s="25" t="str">
        <f>Sites[[#This Row],[SOL'#]]</f>
        <v>SOL-10424</v>
      </c>
      <c r="D51" s="20">
        <f>SUM(Oct!D51, Nov!D51, Dec!D51)</f>
        <v>36288.4375</v>
      </c>
      <c r="E51" s="10">
        <f>SUM(Oct!E51, Nov!E51, Dec!E51)</f>
        <v>44077.56</v>
      </c>
      <c r="F51" s="10">
        <f t="shared" si="0"/>
        <v>-7789.1224999999977</v>
      </c>
      <c r="G51" s="11">
        <f t="shared" si="1"/>
        <v>-0.17671401275388199</v>
      </c>
      <c r="H51" s="12">
        <f>SUM(Oct!H51,Nov!H51,Dec!H51)</f>
        <v>39593</v>
      </c>
      <c r="I51" s="12">
        <f>SUM(Oct!I51, Nov!I51, Dec!I51)</f>
        <v>-3304.5625</v>
      </c>
      <c r="J51" s="13">
        <f t="shared" si="2"/>
        <v>-8.3463301593716066E-2</v>
      </c>
    </row>
    <row r="52" spans="1:10" ht="15.6">
      <c r="A52" s="26" t="str">
        <v>X135</v>
      </c>
      <c r="B52" s="27" t="str">
        <v>NY</v>
      </c>
      <c r="C52" s="27" t="str">
        <f>Sites[[#This Row],[SOL'#]]</f>
        <v>SOL-10425</v>
      </c>
      <c r="D52" s="9">
        <f>SUM(Oct!D52, Nov!D52, Dec!D52)</f>
        <v>34891</v>
      </c>
      <c r="E52" s="14">
        <f>SUM(Oct!E52, Nov!E52, Dec!E52)</f>
        <v>48163.35</v>
      </c>
      <c r="F52" s="14">
        <f t="shared" si="0"/>
        <v>-13272.349999999999</v>
      </c>
      <c r="G52" s="15">
        <f t="shared" si="1"/>
        <v>-0.2755694942316097</v>
      </c>
      <c r="H52" s="16">
        <f>SUM(Oct!H52,Nov!H52,Dec!H52)</f>
        <v>36156</v>
      </c>
      <c r="I52" s="16">
        <f>SUM(Oct!I52, Nov!I52, Dec!I52)</f>
        <v>-1265</v>
      </c>
      <c r="J52" s="15">
        <f t="shared" si="2"/>
        <v>-3.4987277353689568E-2</v>
      </c>
    </row>
    <row r="53" spans="1:10" ht="15.6">
      <c r="A53" s="24" t="str">
        <v>X139 JHS 222</v>
      </c>
      <c r="B53" s="25" t="str">
        <v>NY</v>
      </c>
      <c r="C53" s="25" t="str">
        <f>Sites[[#This Row],[SOL'#]]</f>
        <v>SOL-10426</v>
      </c>
      <c r="D53" s="20">
        <f>SUM(Oct!D53, Nov!D53, Dec!D53)</f>
        <v>51318.813869999998</v>
      </c>
      <c r="E53" s="10">
        <f>SUM(Oct!E53, Nov!E53, Dec!E53)</f>
        <v>55153.909999999996</v>
      </c>
      <c r="F53" s="10">
        <f t="shared" si="0"/>
        <v>-3835.0961299999981</v>
      </c>
      <c r="G53" s="11">
        <f t="shared" si="1"/>
        <v>-6.9534437902951912E-2</v>
      </c>
      <c r="H53" s="12">
        <f>SUM(Oct!H53,Nov!H53,Dec!H53)</f>
        <v>48497</v>
      </c>
      <c r="I53" s="12">
        <f>SUM(Oct!I53, Nov!I53, Dec!I53)</f>
        <v>2821.81387</v>
      </c>
      <c r="J53" s="13">
        <f t="shared" si="2"/>
        <v>5.8185328370827058E-2</v>
      </c>
    </row>
    <row r="54" spans="1:10" ht="15.6">
      <c r="A54" s="26" t="str">
        <v>X140</v>
      </c>
      <c r="B54" s="27" t="str">
        <v>NY</v>
      </c>
      <c r="C54" s="27" t="str">
        <f>Sites[[#This Row],[SOL'#]]</f>
        <v>SOL-10926</v>
      </c>
      <c r="D54" s="9">
        <f>SUM(Oct!D54, Nov!D54, Dec!D54)</f>
        <v>31111.375</v>
      </c>
      <c r="E54" s="14">
        <f>SUM(Oct!E54, Nov!E54, Dec!E54)</f>
        <v>27048.615999999998</v>
      </c>
      <c r="F54" s="14">
        <f t="shared" si="0"/>
        <v>4062.7590000000018</v>
      </c>
      <c r="G54" s="15">
        <f t="shared" si="1"/>
        <v>0.15020210276193066</v>
      </c>
      <c r="H54" s="16">
        <f>SUM(Oct!H54,Nov!H54,Dec!H54)</f>
        <v>30154</v>
      </c>
      <c r="I54" s="16">
        <f>SUM(Oct!I54, Nov!I54, Dec!I54)</f>
        <v>957.37499999999909</v>
      </c>
      <c r="J54" s="15">
        <f t="shared" si="2"/>
        <v>3.1749519135106423E-2</v>
      </c>
    </row>
    <row r="55" spans="1:10" ht="15.6">
      <c r="A55" s="24" t="str">
        <v>X166</v>
      </c>
      <c r="B55" s="25" t="str">
        <v>NY</v>
      </c>
      <c r="C55" s="25" t="str">
        <f>Sites[[#This Row],[SOL'#]]</f>
        <v>SOL-10427</v>
      </c>
      <c r="D55" s="20">
        <f>SUM(Oct!D55, Nov!D55, Dec!D55)</f>
        <v>30361.5</v>
      </c>
      <c r="E55" s="10">
        <f>SUM(Oct!E55, Nov!E55, Dec!E55)</f>
        <v>38953.449999999997</v>
      </c>
      <c r="F55" s="10">
        <f t="shared" si="0"/>
        <v>-8591.9499999999971</v>
      </c>
      <c r="G55" s="11">
        <f t="shared" si="1"/>
        <v>-0.2205696799641623</v>
      </c>
      <c r="H55" s="12">
        <f>SUM(Oct!H55,Nov!H55,Dec!H55)</f>
        <v>29110</v>
      </c>
      <c r="I55" s="12">
        <f>SUM(Oct!I55, Nov!I55, Dec!I55)</f>
        <v>1251.5</v>
      </c>
      <c r="J55" s="13">
        <f t="shared" si="2"/>
        <v>4.2992098935073858E-2</v>
      </c>
    </row>
    <row r="56" spans="1:10" ht="15.6">
      <c r="A56" s="26" t="str">
        <v>Murphy</v>
      </c>
      <c r="B56" s="27" t="str">
        <v>MN</v>
      </c>
      <c r="C56" s="27" t="str">
        <f>Sites[[#This Row],[SOL'#]]</f>
        <v>SOL-10094</v>
      </c>
      <c r="D56" s="9">
        <f>SUM(Oct!D56, Nov!D56, Dec!D56)</f>
        <v>1081600</v>
      </c>
      <c r="E56" s="14">
        <f>SUM(Oct!E56, Nov!E56, Dec!E56)</f>
        <v>1583869</v>
      </c>
      <c r="F56" s="14">
        <f t="shared" si="0"/>
        <v>-502269</v>
      </c>
      <c r="G56" s="15">
        <f t="shared" si="1"/>
        <v>-0.3171152412226011</v>
      </c>
      <c r="H56" s="16">
        <f>SUM(Oct!H56,Nov!H56,Dec!H56)</f>
        <v>1551645.1</v>
      </c>
      <c r="I56" s="16">
        <f>SUM(Oct!I56, Nov!I56, Dec!I56)</f>
        <v>-470045.10000000003</v>
      </c>
      <c r="J56" s="15">
        <f t="shared" si="2"/>
        <v>-0.30293338341351383</v>
      </c>
    </row>
    <row r="57" spans="1:10" ht="15.6">
      <c r="A57" s="24" t="str">
        <v>Terning</v>
      </c>
      <c r="B57" s="25" t="str">
        <v>MN</v>
      </c>
      <c r="C57" s="25" t="str">
        <f>Sites[[#This Row],[SOL'#]]</f>
        <v>SOL-10093</v>
      </c>
      <c r="D57" s="20">
        <f>SUM(Oct!D57, Nov!D57, Dec!D57)</f>
        <v>1228156.9349999991</v>
      </c>
      <c r="E57" s="10">
        <f>SUM(Oct!E57, Nov!E57, Dec!E57)</f>
        <v>1612408.0999999999</v>
      </c>
      <c r="F57" s="10">
        <f t="shared" si="0"/>
        <v>-384251.16500000074</v>
      </c>
      <c r="G57" s="11">
        <f t="shared" si="1"/>
        <v>-0.23830887788271515</v>
      </c>
      <c r="H57" s="12">
        <f>SUM(Oct!H57,Nov!H57,Dec!H57)</f>
        <v>1451939.2</v>
      </c>
      <c r="I57" s="12">
        <f>SUM(Oct!I57, Nov!I57, Dec!I57)</f>
        <v>-223782.26500000095</v>
      </c>
      <c r="J57" s="13">
        <f t="shared" si="2"/>
        <v>-0.15412647099823529</v>
      </c>
    </row>
    <row r="58" spans="1:10" ht="15.6">
      <c r="A58" s="26" t="str">
        <v>Boas Road 04</v>
      </c>
      <c r="B58" s="27" t="str">
        <v>NY</v>
      </c>
      <c r="C58" s="27" t="str">
        <f>Sites[[#This Row],[SOL'#]]</f>
        <v>SOL-10908</v>
      </c>
      <c r="D58" s="9">
        <f>SUM(Oct!D58, Nov!D58, Dec!D58)</f>
        <v>98956</v>
      </c>
      <c r="E58" s="14">
        <f>SUM(Oct!E58, Nov!E58, Dec!E58)</f>
        <v>98956</v>
      </c>
      <c r="F58" s="14">
        <f t="shared" si="0"/>
        <v>0</v>
      </c>
      <c r="G58" s="15">
        <f t="shared" si="1"/>
        <v>0</v>
      </c>
      <c r="H58" s="16">
        <f>SUM(Oct!H58,Nov!H58,Dec!H58)</f>
        <v>504203.60499999998</v>
      </c>
      <c r="I58" s="16">
        <f>SUM(Oct!I58, Nov!I58, Dec!I58)</f>
        <v>-405247.60499999998</v>
      </c>
      <c r="J58" s="15">
        <f t="shared" si="2"/>
        <v>-0.80373801571688486</v>
      </c>
    </row>
    <row r="59" spans="1:10" ht="15.6">
      <c r="A59" s="24" t="str">
        <v>Kelly Bridge Farm</v>
      </c>
      <c r="B59" s="25" t="str">
        <v>NY</v>
      </c>
      <c r="C59" s="25" t="str">
        <f>Sites[[#This Row],[SOL'#]]</f>
        <v>SOL-10911</v>
      </c>
      <c r="D59" s="20">
        <f>SUM(Oct!D59, Nov!D59, Dec!D59)</f>
        <v>283226</v>
      </c>
      <c r="E59" s="10">
        <f>SUM(Oct!E59, Nov!E59, Dec!E59)</f>
        <v>0</v>
      </c>
      <c r="F59" s="10">
        <f t="shared" si="0"/>
        <v>283226</v>
      </c>
      <c r="G59" s="11" t="str">
        <f t="shared" si="1"/>
        <v/>
      </c>
      <c r="H59" s="12">
        <f>SUM(Oct!H59,Nov!H59,Dec!H59)</f>
        <v>545164.054</v>
      </c>
      <c r="I59" s="12">
        <f>SUM(Oct!I59, Nov!I59, Dec!I59)</f>
        <v>-261938.054</v>
      </c>
      <c r="J59" s="13">
        <f t="shared" si="2"/>
        <v>-0.4804756514632566</v>
      </c>
    </row>
    <row r="60" spans="1:10" ht="15.6">
      <c r="A60" s="26" t="str">
        <v>Pool Brook Road</v>
      </c>
      <c r="B60" s="27" t="str">
        <v>NY</v>
      </c>
      <c r="C60" s="27" t="str">
        <f>Sites[[#This Row],[SOL'#]]</f>
        <v>SOL-10909</v>
      </c>
      <c r="D60" s="9">
        <f>SUM(Oct!D60, Nov!D60, Dec!D60)</f>
        <v>370214</v>
      </c>
      <c r="E60" s="14">
        <f>SUM(Oct!E60, Nov!E60, Dec!E60)</f>
        <v>370217</v>
      </c>
      <c r="F60" s="14">
        <f t="shared" si="0"/>
        <v>-3</v>
      </c>
      <c r="G60" s="15">
        <f t="shared" si="1"/>
        <v>-8.1033555995537755E-6</v>
      </c>
      <c r="H60" s="16">
        <f>SUM(Oct!H60,Nov!H60,Dec!H60)</f>
        <v>532938.96600000001</v>
      </c>
      <c r="I60" s="16">
        <f>SUM(Oct!I60, Nov!I60, Dec!I60)</f>
        <v>-162724.96600000001</v>
      </c>
      <c r="J60" s="15">
        <f t="shared" si="2"/>
        <v>-0.3053350878456878</v>
      </c>
    </row>
    <row r="61" spans="1:10" ht="15.6">
      <c r="A61" s="24" t="str">
        <v>Sackett Lake</v>
      </c>
      <c r="B61" s="25" t="str">
        <v>NY</v>
      </c>
      <c r="C61" s="25" t="str">
        <f>Sites[[#This Row],[SOL'#]]</f>
        <v>SOL-10910</v>
      </c>
      <c r="D61" s="20">
        <f>SUM(Oct!D61, Nov!D61, Dec!D61)</f>
        <v>478398</v>
      </c>
      <c r="E61" s="10">
        <f>SUM(Oct!E61, Nov!E61, Dec!E61)</f>
        <v>0</v>
      </c>
      <c r="F61" s="10">
        <f t="shared" si="0"/>
        <v>478398</v>
      </c>
      <c r="G61" s="11" t="str">
        <f t="shared" si="1"/>
        <v/>
      </c>
      <c r="H61" s="12">
        <f>SUM(Oct!H61,Nov!H61,Dec!H61)</f>
        <v>579238.65299999993</v>
      </c>
      <c r="I61" s="12">
        <f>SUM(Oct!I61, Nov!I61, Dec!I61)</f>
        <v>-100840.65299999999</v>
      </c>
      <c r="J61" s="13">
        <f t="shared" si="2"/>
        <v>-0.17409171932453893</v>
      </c>
    </row>
    <row r="62" spans="1:10" ht="15.6">
      <c r="A62" s="26" t="str">
        <v>Burritt Road</v>
      </c>
      <c r="B62" s="27" t="str">
        <v>NY</v>
      </c>
      <c r="C62" s="27" t="str">
        <f>Sites[[#This Row],[SOL'#]]</f>
        <v>SOL-10913</v>
      </c>
      <c r="D62" s="9">
        <f>SUM(Oct!D62, Nov!D62, Dec!D62)</f>
        <v>459020</v>
      </c>
      <c r="E62" s="14">
        <f>SUM(Oct!E62, Nov!E62, Dec!E62)</f>
        <v>0</v>
      </c>
      <c r="F62" s="14">
        <f t="shared" si="0"/>
        <v>459020</v>
      </c>
      <c r="G62" s="15" t="str">
        <f t="shared" si="1"/>
        <v/>
      </c>
      <c r="H62" s="16">
        <f>SUM(Oct!H62,Nov!H62,Dec!H62)</f>
        <v>483306.39999999997</v>
      </c>
      <c r="I62" s="16">
        <f>SUM(Oct!I62, Nov!I62, Dec!I62)</f>
        <v>-24286.399999999994</v>
      </c>
      <c r="J62" s="15">
        <f t="shared" si="2"/>
        <v>-5.0250524305078509E-2</v>
      </c>
    </row>
    <row r="63" spans="1:10" ht="15.6">
      <c r="A63" s="24" t="str">
        <v>Villa Roma 1</v>
      </c>
      <c r="B63" s="25" t="str">
        <v>NY</v>
      </c>
      <c r="C63" s="25" t="str">
        <f>Sites[[#This Row],[SOL'#]]</f>
        <v>SOL-10914</v>
      </c>
      <c r="D63" s="20">
        <f>SUM(Oct!D63, Nov!D63, Dec!D63)</f>
        <v>426899</v>
      </c>
      <c r="E63" s="10">
        <f>SUM(Oct!E63, Nov!E63, Dec!E63)</f>
        <v>0</v>
      </c>
      <c r="F63" s="10">
        <f t="shared" ref="F63:F101" si="3">IF(AND(ISNUMBER(D63),ISNUMBER(E63)), D63-E63, "")</f>
        <v>426899</v>
      </c>
      <c r="G63" s="11" t="str">
        <f t="shared" ref="G63:G101" si="4">IFERROR(F63/E63, "")</f>
        <v/>
      </c>
      <c r="H63" s="12">
        <f>SUM(Oct!H63,Nov!H63,Dec!H63)</f>
        <v>468907.48200000002</v>
      </c>
      <c r="I63" s="12">
        <f>SUM(Oct!I63, Nov!I63, Dec!I63)</f>
        <v>-42008.482000000004</v>
      </c>
      <c r="J63" s="13">
        <f t="shared" si="2"/>
        <v>-8.9587996806585399E-2</v>
      </c>
    </row>
    <row r="64" spans="1:10" ht="15.6">
      <c r="A64" s="26" t="str">
        <v>Villa Roma 2</v>
      </c>
      <c r="B64" s="27" t="str">
        <v>NY</v>
      </c>
      <c r="C64" s="27" t="str">
        <f>Sites[[#This Row],[SOL'#]]</f>
        <v>SOL-10915</v>
      </c>
      <c r="D64" s="9">
        <f>SUM(Oct!D64, Nov!D64, Dec!D64)</f>
        <v>385632</v>
      </c>
      <c r="E64" s="14">
        <f>SUM(Oct!E64, Nov!E64, Dec!E64)</f>
        <v>0</v>
      </c>
      <c r="F64" s="14">
        <f t="shared" si="3"/>
        <v>385632</v>
      </c>
      <c r="G64" s="15" t="str">
        <f t="shared" si="4"/>
        <v/>
      </c>
      <c r="H64" s="16">
        <f>SUM(Oct!H64,Nov!H64,Dec!H64)</f>
        <v>455116.08600000001</v>
      </c>
      <c r="I64" s="16">
        <f>SUM(Oct!I64, Nov!I64, Dec!I64)</f>
        <v>-69484.08600000001</v>
      </c>
      <c r="J64" s="15">
        <f t="shared" si="2"/>
        <v>-0.15267332475697201</v>
      </c>
    </row>
    <row r="65" spans="1:10" ht="15.6">
      <c r="A65" s="24" t="str">
        <v>Washington 1</v>
      </c>
      <c r="B65" s="25" t="str">
        <v>NY</v>
      </c>
      <c r="C65" s="25" t="str">
        <f>Sites[[#This Row],[SOL'#]]</f>
        <v>SOL-10912</v>
      </c>
      <c r="D65" s="20">
        <f>SUM(Oct!D65, Nov!D65, Dec!D65)</f>
        <v>454660</v>
      </c>
      <c r="E65" s="10">
        <f>SUM(Oct!E65, Nov!E65, Dec!E65)</f>
        <v>0</v>
      </c>
      <c r="F65" s="10">
        <f t="shared" si="3"/>
        <v>454660</v>
      </c>
      <c r="G65" s="11" t="str">
        <f t="shared" si="4"/>
        <v/>
      </c>
      <c r="H65" s="12">
        <f>SUM(Oct!H65,Nov!H65,Dec!H65)</f>
        <v>469498.54099999997</v>
      </c>
      <c r="I65" s="12">
        <f>SUM(Oct!I65, Nov!I65, Dec!I65)</f>
        <v>-14838.540999999997</v>
      </c>
      <c r="J65" s="13">
        <f t="shared" si="2"/>
        <v>-3.1605084370219583E-2</v>
      </c>
    </row>
    <row r="66" spans="1:10" ht="15.6">
      <c r="A66" s="26" t="str">
        <v>Washington 3</v>
      </c>
      <c r="B66" s="27" t="str">
        <v>NY</v>
      </c>
      <c r="C66" s="27" t="str">
        <f>Sites[[#This Row],[SOL'#]]</f>
        <v>SOL-10828</v>
      </c>
      <c r="D66" s="9">
        <f>SUM(Oct!D66, Nov!D66, Dec!D66)</f>
        <v>2434</v>
      </c>
      <c r="E66" s="14">
        <f>SUM(Oct!E66, Nov!E66, Dec!E66)</f>
        <v>0</v>
      </c>
      <c r="F66" s="14">
        <f t="shared" si="3"/>
        <v>2434</v>
      </c>
      <c r="G66" s="15" t="str">
        <f t="shared" si="4"/>
        <v/>
      </c>
      <c r="H66" s="16">
        <f>SUM(Oct!H66,Nov!H66,Dec!H66)</f>
        <v>574073.77600000007</v>
      </c>
      <c r="I66" s="16">
        <f>SUM(Oct!I66, Nov!I66, Dec!I66)</f>
        <v>-571639.77600000007</v>
      </c>
      <c r="J66" s="15">
        <f t="shared" si="2"/>
        <v>-0.9957601268308065</v>
      </c>
    </row>
    <row r="67" spans="1:10" ht="15.6">
      <c r="A67" s="24" t="str">
        <v>Washington 4</v>
      </c>
      <c r="B67" s="25" t="str">
        <v>NY</v>
      </c>
      <c r="C67" s="25" t="str">
        <f>Sites[[#This Row],[SOL'#]]</f>
        <v>SOL-10829</v>
      </c>
      <c r="D67" s="20">
        <f>SUM(Oct!D67, Nov!D67, Dec!D67)</f>
        <v>554940</v>
      </c>
      <c r="E67" s="10">
        <f>SUM(Oct!E67, Nov!E67, Dec!E67)</f>
        <v>0</v>
      </c>
      <c r="F67" s="10">
        <f t="shared" si="3"/>
        <v>554940</v>
      </c>
      <c r="G67" s="11" t="str">
        <f t="shared" si="4"/>
        <v/>
      </c>
      <c r="H67" s="12">
        <f>SUM(Oct!H67,Nov!H67,Dec!H67)</f>
        <v>575388.88299999991</v>
      </c>
      <c r="I67" s="12">
        <f>SUM(Oct!I67, Nov!I67, Dec!I67)</f>
        <v>-20448.882999999973</v>
      </c>
      <c r="J67" s="13">
        <f t="shared" si="2"/>
        <v>-3.553923894633184E-2</v>
      </c>
    </row>
    <row r="68" spans="1:10" ht="15.6">
      <c r="A68" s="26" t="str">
        <v>Big Tree</v>
      </c>
      <c r="B68" s="27" t="str">
        <v>NY</v>
      </c>
      <c r="C68" s="27" t="str">
        <f>Sites[[#This Row],[SOL'#]]</f>
        <v>SOL-10966</v>
      </c>
      <c r="D68" s="9">
        <f>SUM(Oct!D68, Nov!D68, Dec!D68)</f>
        <v>462460</v>
      </c>
      <c r="E68" s="14">
        <f>SUM(Oct!E68, Nov!E68, Dec!E68)</f>
        <v>459520</v>
      </c>
      <c r="F68" s="14">
        <f t="shared" si="3"/>
        <v>2940</v>
      </c>
      <c r="G68" s="15">
        <f t="shared" si="4"/>
        <v>6.3979805013927573E-3</v>
      </c>
      <c r="H68" s="16">
        <f>SUM(Oct!H68,Nov!H68,Dec!H68)</f>
        <v>474233.94999999995</v>
      </c>
      <c r="I68" s="16">
        <f>SUM(Oct!I68, Nov!I68, Dec!I68)</f>
        <v>-11773.949999999983</v>
      </c>
      <c r="J68" s="15">
        <f t="shared" ref="J68:J131" si="5">IFERROR(I68/H68, "")</f>
        <v>-2.482730306423651E-2</v>
      </c>
    </row>
    <row r="69" spans="1:10" ht="15.6">
      <c r="A69" s="24" t="str">
        <v>Canoga</v>
      </c>
      <c r="B69" s="25" t="str">
        <v>NY</v>
      </c>
      <c r="C69" s="25" t="str">
        <f>Sites[[#This Row],[SOL'#]]</f>
        <v>SOL-10965</v>
      </c>
      <c r="D69" s="20">
        <f>SUM(Oct!D69, Nov!D69, Dec!D69)</f>
        <v>1247750</v>
      </c>
      <c r="E69" s="10">
        <f>SUM(Oct!E69, Nov!E69, Dec!E69)</f>
        <v>0</v>
      </c>
      <c r="F69" s="10">
        <f t="shared" si="3"/>
        <v>1247750</v>
      </c>
      <c r="G69" s="11" t="str">
        <f t="shared" si="4"/>
        <v/>
      </c>
      <c r="H69" s="12">
        <f>SUM(Oct!H69,Nov!H69,Dec!H69)</f>
        <v>668275.9</v>
      </c>
      <c r="I69" s="12">
        <f>SUM(Oct!I69, Nov!I69, Dec!I69)</f>
        <v>-134435.90000000002</v>
      </c>
      <c r="J69" s="13">
        <f t="shared" si="5"/>
        <v>-0.20116825999560964</v>
      </c>
    </row>
    <row r="70" spans="1:10" ht="15.6">
      <c r="A70" s="26" t="str">
        <v>County Route 84</v>
      </c>
      <c r="B70" s="27" t="str">
        <v>NY</v>
      </c>
      <c r="C70" s="27" t="str">
        <f>Sites[[#This Row],[SOL'#]]</f>
        <v>SOL-10967</v>
      </c>
      <c r="D70" s="9">
        <f>SUM(Oct!D70, Nov!D70, Dec!D70)</f>
        <v>1277190</v>
      </c>
      <c r="E70" s="14">
        <f>SUM(Oct!E70, Nov!E70, Dec!E70)</f>
        <v>1257760</v>
      </c>
      <c r="F70" s="14">
        <f t="shared" si="3"/>
        <v>19430</v>
      </c>
      <c r="G70" s="15">
        <f t="shared" si="4"/>
        <v>1.5448098206335073E-2</v>
      </c>
      <c r="H70" s="16">
        <f>SUM(Oct!H70,Nov!H70,Dec!H70)</f>
        <v>1412112.67</v>
      </c>
      <c r="I70" s="16">
        <f>SUM(Oct!I70, Nov!I70, Dec!I70)</f>
        <v>-134922.67000000004</v>
      </c>
      <c r="J70" s="15">
        <f t="shared" si="5"/>
        <v>-9.5546674756483874E-2</v>
      </c>
    </row>
    <row r="71" spans="1:10" ht="15.6">
      <c r="A71" s="24" t="str">
        <v>Donati</v>
      </c>
      <c r="B71" s="25" t="str">
        <v>NY</v>
      </c>
      <c r="C71" s="25" t="str">
        <f>Sites[[#This Row],[SOL'#]]</f>
        <v>SOL-10968</v>
      </c>
      <c r="D71" s="20">
        <f>SUM(Oct!D71, Nov!D71, Dec!D71)</f>
        <v>480270</v>
      </c>
      <c r="E71" s="10">
        <f>SUM(Oct!E71, Nov!E71, Dec!E71)</f>
        <v>456170</v>
      </c>
      <c r="F71" s="10">
        <f t="shared" si="3"/>
        <v>24100</v>
      </c>
      <c r="G71" s="11">
        <f t="shared" si="4"/>
        <v>5.2831181357827127E-2</v>
      </c>
      <c r="H71" s="12">
        <f>SUM(Oct!H71,Nov!H71,Dec!H71)</f>
        <v>517239.99800000002</v>
      </c>
      <c r="I71" s="12">
        <f>SUM(Oct!I71, Nov!I71, Dec!I71)</f>
        <v>-36969.997999999992</v>
      </c>
      <c r="J71" s="13">
        <f t="shared" si="5"/>
        <v>-7.1475520344426252E-2</v>
      </c>
    </row>
    <row r="72" spans="1:10" ht="15.6">
      <c r="A72" s="26" t="str">
        <v>Henrietta</v>
      </c>
      <c r="B72" s="27" t="str">
        <v>NY</v>
      </c>
      <c r="C72" s="27" t="str">
        <f>Sites[[#This Row],[SOL'#]]</f>
        <v>SOL-10972</v>
      </c>
      <c r="D72" s="9">
        <f>SUM(Oct!D72, Nov!D72, Dec!D72)</f>
        <v>941410</v>
      </c>
      <c r="E72" s="14">
        <f>SUM(Oct!E72, Nov!E72, Dec!E72)</f>
        <v>924330</v>
      </c>
      <c r="F72" s="14">
        <f t="shared" si="3"/>
        <v>17080</v>
      </c>
      <c r="G72" s="15">
        <f t="shared" si="4"/>
        <v>1.8478249110166281E-2</v>
      </c>
      <c r="H72" s="16">
        <f>SUM(Oct!H72,Nov!H72,Dec!H72)</f>
        <v>999850.99799999991</v>
      </c>
      <c r="I72" s="16">
        <f>SUM(Oct!I72, Nov!I72, Dec!I72)</f>
        <v>-58440.997999999992</v>
      </c>
      <c r="J72" s="15">
        <f t="shared" si="5"/>
        <v>-5.844970712326078E-2</v>
      </c>
    </row>
    <row r="73" spans="1:10" ht="15.6">
      <c r="A73" s="24" t="str">
        <v>NY 70</v>
      </c>
      <c r="B73" s="25" t="str">
        <v>NY</v>
      </c>
      <c r="C73" s="25" t="str">
        <f>Sites[[#This Row],[SOL'#]]</f>
        <v>SOL-10970</v>
      </c>
      <c r="D73" s="20">
        <f>SUM(Oct!D73, Nov!D73, Dec!D73)</f>
        <v>936670</v>
      </c>
      <c r="E73" s="10">
        <f>SUM(Oct!E73, Nov!E73, Dec!E73)</f>
        <v>927120</v>
      </c>
      <c r="F73" s="10">
        <f t="shared" si="3"/>
        <v>9550</v>
      </c>
      <c r="G73" s="11">
        <f t="shared" si="4"/>
        <v>1.0300716196393131E-2</v>
      </c>
      <c r="H73" s="12">
        <f>SUM(Oct!H73,Nov!H73,Dec!H73)</f>
        <v>1329578.42</v>
      </c>
      <c r="I73" s="12">
        <f>SUM(Oct!I73, Nov!I73, Dec!I73)</f>
        <v>-392908.42000000004</v>
      </c>
      <c r="J73" s="13">
        <f t="shared" si="5"/>
        <v>-0.29551353578677975</v>
      </c>
    </row>
    <row r="74" spans="1:10" ht="15.6">
      <c r="A74" s="26" t="str">
        <v>Reid</v>
      </c>
      <c r="B74" s="27" t="str">
        <v>NY</v>
      </c>
      <c r="C74" s="27" t="str">
        <f>Sites[[#This Row],[SOL'#]]</f>
        <v>SOL-10991</v>
      </c>
      <c r="D74" s="9">
        <f>SUM(Oct!D74, Nov!D74, Dec!D74)</f>
        <v>953443.08422008483</v>
      </c>
      <c r="E74" s="14">
        <f>SUM(Oct!E74, Nov!E74, Dec!E74)</f>
        <v>1131792.7</v>
      </c>
      <c r="F74" s="14">
        <f t="shared" si="3"/>
        <v>-178349.61577991513</v>
      </c>
      <c r="G74" s="15">
        <f t="shared" si="4"/>
        <v>-0.157581521580688</v>
      </c>
      <c r="H74" s="16">
        <f>SUM(Oct!H74,Nov!H74,Dec!H74)</f>
        <v>1108328</v>
      </c>
      <c r="I74" s="16">
        <f>SUM(Oct!I74, Nov!I74, Dec!I74)</f>
        <v>-154884.91577991506</v>
      </c>
      <c r="J74" s="15">
        <f t="shared" si="5"/>
        <v>-0.13974646113778147</v>
      </c>
    </row>
    <row r="75" spans="1:10" ht="15.6">
      <c r="A75" s="24" t="str">
        <v>Sangolqui</v>
      </c>
      <c r="B75" s="25" t="str">
        <v>NY</v>
      </c>
      <c r="C75" s="25" t="str">
        <f>Sites[[#This Row],[SOL'#]]</f>
        <v>SOL-10975</v>
      </c>
      <c r="D75" s="20">
        <f>SUM(Oct!D75, Nov!D75, Dec!D75)</f>
        <v>399530</v>
      </c>
      <c r="E75" s="10">
        <f>SUM(Oct!E75, Nov!E75, Dec!E75)</f>
        <v>268850</v>
      </c>
      <c r="F75" s="10">
        <f t="shared" si="3"/>
        <v>130680</v>
      </c>
      <c r="G75" s="11">
        <f t="shared" si="4"/>
        <v>0.48607029942347035</v>
      </c>
      <c r="H75" s="12">
        <f>SUM(Oct!H75,Nov!H75,Dec!H75)</f>
        <v>499990.95799999998</v>
      </c>
      <c r="I75" s="12">
        <f>SUM(Oct!I75, Nov!I75, Dec!I75)</f>
        <v>-100460.95800000001</v>
      </c>
      <c r="J75" s="13">
        <f t="shared" si="5"/>
        <v>-0.20092554953763786</v>
      </c>
    </row>
    <row r="76" spans="1:10" ht="15.6">
      <c r="A76" s="26" t="str">
        <v>State Highway 17B</v>
      </c>
      <c r="B76" s="27" t="str">
        <v>NY</v>
      </c>
      <c r="C76" s="27" t="str">
        <f>Sites[[#This Row],[SOL'#]]</f>
        <v>SOL-10988</v>
      </c>
      <c r="D76" s="9">
        <f>SUM(Oct!D76, Nov!D76, Dec!D76)</f>
        <v>1100370</v>
      </c>
      <c r="E76" s="14">
        <f>SUM(Oct!E76, Nov!E76, Dec!E76)</f>
        <v>1083350</v>
      </c>
      <c r="F76" s="14">
        <f t="shared" si="3"/>
        <v>17020</v>
      </c>
      <c r="G76" s="15">
        <f t="shared" si="4"/>
        <v>1.5710527530345686E-2</v>
      </c>
      <c r="H76" s="16">
        <f>SUM(Oct!H76,Nov!H76,Dec!H76)</f>
        <v>1303357.07</v>
      </c>
      <c r="I76" s="16">
        <f>SUM(Oct!I76, Nov!I76, Dec!I76)</f>
        <v>-202987.07</v>
      </c>
      <c r="J76" s="15">
        <f t="shared" si="5"/>
        <v>-0.1557417185760154</v>
      </c>
    </row>
    <row r="77" spans="1:10" ht="15.6">
      <c r="A77" s="24" t="str">
        <v>State Route 14A</v>
      </c>
      <c r="B77" s="25" t="str">
        <v>NY</v>
      </c>
      <c r="C77" s="25" t="str">
        <f>Sites[[#This Row],[SOL'#]]</f>
        <v>SOL-10997</v>
      </c>
      <c r="D77" s="20">
        <f>SUM(Oct!D77, Nov!D77, Dec!D77)</f>
        <v>0</v>
      </c>
      <c r="E77" s="10">
        <f>SUM(Oct!E77, Nov!E77, Dec!E77)</f>
        <v>0</v>
      </c>
      <c r="F77" s="10">
        <f t="shared" si="3"/>
        <v>0</v>
      </c>
      <c r="G77" s="11" t="str">
        <f t="shared" si="4"/>
        <v/>
      </c>
      <c r="H77" s="12">
        <f>SUM(Oct!H77,Nov!H77,Dec!H77)</f>
        <v>1407225.9269999999</v>
      </c>
      <c r="I77" s="12">
        <f>SUM(Oct!I77, Nov!I77, Dec!I77)</f>
        <v>-1407225.9269999999</v>
      </c>
      <c r="J77" s="13">
        <f t="shared" si="5"/>
        <v>-1</v>
      </c>
    </row>
    <row r="78" spans="1:10" ht="15.6">
      <c r="A78" s="26" t="str">
        <v>West Creek</v>
      </c>
      <c r="B78" s="27" t="str">
        <v>NY</v>
      </c>
      <c r="C78" s="27" t="str">
        <f>Sites[[#This Row],[SOL'#]]</f>
        <v>SOL-10995</v>
      </c>
      <c r="D78" s="9">
        <f>SUM(Oct!D78, Nov!D78, Dec!D78)</f>
        <v>1340990</v>
      </c>
      <c r="E78" s="14">
        <f>SUM(Oct!E78, Nov!E78, Dec!E78)</f>
        <v>1299190</v>
      </c>
      <c r="F78" s="14">
        <f t="shared" si="3"/>
        <v>41800</v>
      </c>
      <c r="G78" s="15">
        <f t="shared" si="4"/>
        <v>3.2173892964077619E-2</v>
      </c>
      <c r="H78" s="16">
        <f>SUM(Oct!H78,Nov!H78,Dec!H78)</f>
        <v>1301047.8269999998</v>
      </c>
      <c r="I78" s="16">
        <f>SUM(Oct!I78, Nov!I78, Dec!I78)</f>
        <v>39942.173000000068</v>
      </c>
      <c r="J78" s="15">
        <f t="shared" si="5"/>
        <v>3.0700003621004529E-2</v>
      </c>
    </row>
    <row r="79" spans="1:10" ht="15.6">
      <c r="A79" s="24" t="str">
        <v>Wildflower</v>
      </c>
      <c r="B79" s="25" t="str">
        <v>NY</v>
      </c>
      <c r="C79" s="25" t="str">
        <f>Sites[[#This Row],[SOL'#]]</f>
        <v>SOL-10982</v>
      </c>
      <c r="D79" s="20">
        <f>SUM(Oct!D79, Nov!D79, Dec!D79)</f>
        <v>1126776</v>
      </c>
      <c r="E79" s="10">
        <f>SUM(Oct!E79, Nov!E79, Dec!E79)</f>
        <v>734468</v>
      </c>
      <c r="F79" s="10">
        <f t="shared" si="3"/>
        <v>392308</v>
      </c>
      <c r="G79" s="11">
        <f t="shared" si="4"/>
        <v>0.53413899584461133</v>
      </c>
      <c r="H79" s="12">
        <f>SUM(Oct!H79,Nov!H79,Dec!H79)</f>
        <v>1463041.03</v>
      </c>
      <c r="I79" s="12">
        <f>SUM(Oct!I79, Nov!I79, Dec!I79)</f>
        <v>-336265.03</v>
      </c>
      <c r="J79" s="13">
        <f t="shared" si="5"/>
        <v>-0.22983978104838251</v>
      </c>
    </row>
    <row r="80" spans="1:10" ht="15.6">
      <c r="A80" s="26" t="str">
        <v>Glen Mary 1</v>
      </c>
      <c r="B80" s="27" t="str">
        <v>NY</v>
      </c>
      <c r="C80" s="27" t="str">
        <f>Sites[[#This Row],[SOL'#]]</f>
        <v>SOL-10993</v>
      </c>
      <c r="D80" s="9">
        <f>SUM(Oct!D80, Nov!D80, Dec!D80)</f>
        <v>1058590</v>
      </c>
      <c r="E80" s="14">
        <f>SUM(Oct!E80, Nov!E80, Dec!E80)</f>
        <v>1015980</v>
      </c>
      <c r="F80" s="14">
        <f t="shared" si="3"/>
        <v>42610</v>
      </c>
      <c r="G80" s="15">
        <f t="shared" si="4"/>
        <v>4.1939801964605603E-2</v>
      </c>
      <c r="H80" s="16">
        <f>SUM(Oct!H80,Nov!H80,Dec!H80)</f>
        <v>1520207.398</v>
      </c>
      <c r="I80" s="16">
        <f>SUM(Oct!I80, Nov!I80, Dec!I80)</f>
        <v>-461617.39799999993</v>
      </c>
      <c r="J80" s="15">
        <f t="shared" si="5"/>
        <v>-0.30365422415869597</v>
      </c>
    </row>
    <row r="81" spans="1:10" ht="15.6">
      <c r="A81" s="24" t="str">
        <v>Glen Mary 2</v>
      </c>
      <c r="B81" s="25" t="str">
        <v>NY</v>
      </c>
      <c r="C81" s="25" t="str">
        <f>Sites[[#This Row],[SOL'#]]</f>
        <v>SOL-10994</v>
      </c>
      <c r="D81" s="20">
        <f>SUM(Oct!D81, Nov!D81, Dec!D81)</f>
        <v>612750</v>
      </c>
      <c r="E81" s="10">
        <f>SUM(Oct!E81, Nov!E81, Dec!E81)</f>
        <v>0</v>
      </c>
      <c r="F81" s="10">
        <f t="shared" si="3"/>
        <v>612750</v>
      </c>
      <c r="G81" s="11" t="str">
        <f t="shared" si="4"/>
        <v/>
      </c>
      <c r="H81" s="12">
        <f>SUM(Oct!H81,Nov!H81,Dec!H81)</f>
        <v>632509.00900000008</v>
      </c>
      <c r="I81" s="12">
        <f>SUM(Oct!I81, Nov!I81, Dec!I81)</f>
        <v>-19759.00900000002</v>
      </c>
      <c r="J81" s="13">
        <f t="shared" si="5"/>
        <v>-3.1239094967578585E-2</v>
      </c>
    </row>
    <row r="82" spans="1:10" ht="15.6">
      <c r="A82" s="26" t="str">
        <v>Telegraph 1</v>
      </c>
      <c r="B82" s="27" t="str">
        <v>NY</v>
      </c>
      <c r="C82" s="27" t="str">
        <f>Sites[[#This Row],[SOL'#]]</f>
        <v>SOL-11003</v>
      </c>
      <c r="D82" s="9">
        <f>SUM(Oct!D82, Nov!D82, Dec!D82)</f>
        <v>861880</v>
      </c>
      <c r="E82" s="14">
        <f>SUM(Oct!E82, Nov!E82, Dec!E82)</f>
        <v>0</v>
      </c>
      <c r="F82" s="14">
        <f t="shared" si="3"/>
        <v>861880</v>
      </c>
      <c r="G82" s="15" t="str">
        <f t="shared" si="4"/>
        <v/>
      </c>
      <c r="H82" s="16">
        <f>SUM(Oct!H82,Nov!H82,Dec!H82)</f>
        <v>973707.10700000008</v>
      </c>
      <c r="I82" s="16">
        <f>SUM(Oct!I82, Nov!I82, Dec!I82)</f>
        <v>-111827.10699999999</v>
      </c>
      <c r="J82" s="15">
        <f t="shared" si="5"/>
        <v>-0.11484676058752438</v>
      </c>
    </row>
    <row r="83" spans="1:10" ht="15.6">
      <c r="A83" s="24" t="str">
        <v>Telegraph 2</v>
      </c>
      <c r="B83" s="25" t="str">
        <v>NY</v>
      </c>
      <c r="C83" s="25" t="str">
        <f>Sites[[#This Row],[SOL'#]]</f>
        <v>SOL-11004</v>
      </c>
      <c r="D83" s="20">
        <f>SUM(Oct!D83, Nov!D83, Dec!D83)</f>
        <v>461210</v>
      </c>
      <c r="E83" s="10">
        <f>SUM(Oct!E83, Nov!E83, Dec!E83)</f>
        <v>0</v>
      </c>
      <c r="F83" s="10">
        <f t="shared" si="3"/>
        <v>461210</v>
      </c>
      <c r="G83" s="11" t="str">
        <f t="shared" si="4"/>
        <v/>
      </c>
      <c r="H83" s="12">
        <f>SUM(Oct!H83,Nov!H83,Dec!H83)</f>
        <v>504067.20400000003</v>
      </c>
      <c r="I83" s="12">
        <f>SUM(Oct!I83, Nov!I83, Dec!I83)</f>
        <v>-42857.204000000027</v>
      </c>
      <c r="J83" s="13">
        <f t="shared" si="5"/>
        <v>-8.5022797872801148E-2</v>
      </c>
    </row>
    <row r="84" spans="1:10" ht="15.6">
      <c r="A84" s="26" t="str">
        <v>Cafferty Hill</v>
      </c>
      <c r="B84" s="27" t="str">
        <v>NY</v>
      </c>
      <c r="C84" s="27" t="str">
        <f>Sites[[#This Row],[SOL'#]]</f>
        <v>SOL-10996</v>
      </c>
      <c r="D84" s="9">
        <f>SUM(Oct!D84, Nov!D84, Dec!D84)</f>
        <v>1368240</v>
      </c>
      <c r="E84" s="14">
        <f>SUM(Oct!E84, Nov!E84, Dec!E84)</f>
        <v>1383581.9200000002</v>
      </c>
      <c r="F84" s="14">
        <f t="shared" si="3"/>
        <v>-15341.920000000158</v>
      </c>
      <c r="G84" s="15">
        <f t="shared" si="4"/>
        <v>-1.108855195216786E-2</v>
      </c>
      <c r="H84" s="16">
        <f>SUM(Oct!H84,Nov!H84,Dec!H84)</f>
        <v>1345180.4380000001</v>
      </c>
      <c r="I84" s="16">
        <f>SUM(Oct!I84, Nov!I84, Dec!I84)</f>
        <v>23059.562000000034</v>
      </c>
      <c r="J84" s="15">
        <f t="shared" si="5"/>
        <v>1.7142356035361878E-2</v>
      </c>
    </row>
    <row r="85" spans="1:10" ht="15.6">
      <c r="A85" s="24" t="str">
        <v>Dunkleman</v>
      </c>
      <c r="B85" s="25" t="str">
        <v>NY</v>
      </c>
      <c r="C85" s="25" t="str">
        <f>Sites[[#This Row],[SOL'#]]</f>
        <v>SOL-11008</v>
      </c>
      <c r="D85" s="20">
        <f>SUM(Oct!D85, Nov!D85, Dec!D85)</f>
        <v>1264220</v>
      </c>
      <c r="E85" s="10">
        <f>SUM(Oct!E85, Nov!E85, Dec!E85)</f>
        <v>472440</v>
      </c>
      <c r="F85" s="10">
        <f t="shared" si="3"/>
        <v>791780</v>
      </c>
      <c r="G85" s="11">
        <f t="shared" si="4"/>
        <v>1.6759376852087038</v>
      </c>
      <c r="H85" s="12">
        <f>SUM(Oct!H85,Nov!H85,Dec!H85)</f>
        <v>1389969.544</v>
      </c>
      <c r="I85" s="12">
        <f>SUM(Oct!I85, Nov!I85, Dec!I85)</f>
        <v>-125749.54400000005</v>
      </c>
      <c r="J85" s="13">
        <f t="shared" si="5"/>
        <v>-9.0469280095247934E-2</v>
      </c>
    </row>
    <row r="86" spans="1:10" ht="15.6">
      <c r="A86" s="26" t="str">
        <v>Route 19 1</v>
      </c>
      <c r="B86" s="27" t="str">
        <v>NY</v>
      </c>
      <c r="C86" s="27" t="str">
        <f>Sites[[#This Row],[SOL'#]]</f>
        <v>SOL-11001</v>
      </c>
      <c r="D86" s="9">
        <f>SUM(Oct!D86, Nov!D86, Dec!D86)</f>
        <v>301906.69999999995</v>
      </c>
      <c r="E86" s="14">
        <f>SUM(Oct!E86, Nov!E86, Dec!E86)</f>
        <v>295948.77</v>
      </c>
      <c r="F86" s="14">
        <f t="shared" si="3"/>
        <v>5957.9299999999348</v>
      </c>
      <c r="G86" s="15">
        <f t="shared" si="4"/>
        <v>2.0131626159486774E-2</v>
      </c>
      <c r="H86" s="16">
        <f>SUM(Oct!H86,Nov!H86,Dec!H86)</f>
        <v>517579.86599999998</v>
      </c>
      <c r="I86" s="16">
        <f>SUM(Oct!I86, Nov!I86, Dec!I86)</f>
        <v>-215673.166</v>
      </c>
      <c r="J86" s="15">
        <f t="shared" si="5"/>
        <v>-0.41669543227556693</v>
      </c>
    </row>
    <row r="87" spans="1:10" ht="15.6">
      <c r="A87" s="24" t="str">
        <v>Route 19 2</v>
      </c>
      <c r="B87" s="25" t="str">
        <v>NY</v>
      </c>
      <c r="C87" s="25" t="str">
        <f>Sites[[#This Row],[SOL'#]]</f>
        <v>SOL-11002</v>
      </c>
      <c r="D87" s="20">
        <f>SUM(Oct!D87, Nov!D87, Dec!D87)</f>
        <v>1245620</v>
      </c>
      <c r="E87" s="10">
        <f>SUM(Oct!E87, Nov!E87, Dec!E87)</f>
        <v>1231680</v>
      </c>
      <c r="F87" s="10">
        <f t="shared" si="3"/>
        <v>13940</v>
      </c>
      <c r="G87" s="11">
        <f t="shared" si="4"/>
        <v>1.1317874772668225E-2</v>
      </c>
      <c r="H87" s="12">
        <f>SUM(Oct!H87,Nov!H87,Dec!H87)</f>
        <v>1343997.344</v>
      </c>
      <c r="I87" s="12">
        <f>SUM(Oct!I87, Nov!I87, Dec!I87)</f>
        <v>-98377.343999999983</v>
      </c>
      <c r="J87" s="13">
        <f t="shared" si="5"/>
        <v>-7.3197573223775639E-2</v>
      </c>
    </row>
    <row r="88" spans="1:10" ht="15.6">
      <c r="A88" s="26" t="str">
        <v>Yellow Mills 1</v>
      </c>
      <c r="B88" s="27" t="str">
        <v>NY</v>
      </c>
      <c r="C88" s="27" t="str">
        <f>Sites[[#This Row],[SOL'#]]</f>
        <v>SOL-11006</v>
      </c>
      <c r="D88" s="9">
        <f>SUM(Oct!D88, Nov!D88, Dec!D88)</f>
        <v>479160</v>
      </c>
      <c r="E88" s="14">
        <f>SUM(Oct!E88, Nov!E88, Dec!E88)</f>
        <v>471947</v>
      </c>
      <c r="F88" s="14">
        <f t="shared" si="3"/>
        <v>7213</v>
      </c>
      <c r="G88" s="15">
        <f t="shared" si="4"/>
        <v>1.5283495816267504E-2</v>
      </c>
      <c r="H88" s="16">
        <f>SUM(Oct!H88,Nov!H88,Dec!H88)</f>
        <v>490877.72199999995</v>
      </c>
      <c r="I88" s="16">
        <f>SUM(Oct!I88, Nov!I88, Dec!I88)</f>
        <v>-11717.72199999998</v>
      </c>
      <c r="J88" s="15">
        <f t="shared" si="5"/>
        <v>-2.387095904914581E-2</v>
      </c>
    </row>
    <row r="89" spans="1:10" ht="15.6">
      <c r="A89" s="24" t="str">
        <v>Yellow Mills 2</v>
      </c>
      <c r="B89" s="25" t="str">
        <v>NY</v>
      </c>
      <c r="C89" s="25" t="str">
        <f>Sites[[#This Row],[SOL'#]]</f>
        <v>SOL-11005</v>
      </c>
      <c r="D89" s="20">
        <f>SUM(Oct!D89, Nov!D89, Dec!D89)</f>
        <v>386302</v>
      </c>
      <c r="E89" s="10">
        <f>SUM(Oct!E89, Nov!E89, Dec!E89)</f>
        <v>0</v>
      </c>
      <c r="F89" s="10">
        <f t="shared" si="3"/>
        <v>386302</v>
      </c>
      <c r="G89" s="11" t="str">
        <f t="shared" si="4"/>
        <v/>
      </c>
      <c r="H89" s="12">
        <f>SUM(Oct!H89,Nov!H89,Dec!H89)</f>
        <v>506644.79299999995</v>
      </c>
      <c r="I89" s="12">
        <f>SUM(Oct!I89, Nov!I89, Dec!I89)</f>
        <v>-120342.79299999999</v>
      </c>
      <c r="J89" s="13">
        <f t="shared" si="5"/>
        <v>-0.23752892492472533</v>
      </c>
    </row>
    <row r="90" spans="1:10" ht="15.6">
      <c r="A90" s="26" t="str">
        <v>Yellow Mills 3</v>
      </c>
      <c r="B90" s="27" t="str">
        <v>NY</v>
      </c>
      <c r="C90" s="27" t="str">
        <f>Sites[[#This Row],[SOL'#]]</f>
        <v>SOL-11007</v>
      </c>
      <c r="D90" s="9">
        <f>SUM(Oct!D90, Nov!D90, Dec!D90)</f>
        <v>451932</v>
      </c>
      <c r="E90" s="14">
        <f>SUM(Oct!E90, Nov!E90, Dec!E90)</f>
        <v>445042</v>
      </c>
      <c r="F90" s="14">
        <f t="shared" si="3"/>
        <v>6890</v>
      </c>
      <c r="G90" s="15">
        <f t="shared" si="4"/>
        <v>1.5481684874685984E-2</v>
      </c>
      <c r="H90" s="16">
        <f>SUM(Oct!H90,Nov!H90,Dec!H90)</f>
        <v>473304.95199999999</v>
      </c>
      <c r="I90" s="16">
        <f>SUM(Oct!I90, Nov!I90, Dec!I90)</f>
        <v>-21372.95199999999</v>
      </c>
      <c r="J90" s="15">
        <f t="shared" si="5"/>
        <v>-4.5156831572723523E-2</v>
      </c>
    </row>
    <row r="91" spans="1:10" ht="15.6">
      <c r="A91" s="24" t="str">
        <v>Catskill</v>
      </c>
      <c r="B91" s="25" t="str">
        <v>NY</v>
      </c>
      <c r="C91" s="25" t="str">
        <f>Sites[[#This Row],[SOL'#]]</f>
        <v>SOL-11021</v>
      </c>
      <c r="D91" s="20">
        <f>SUM(Oct!D91, Nov!D91, Dec!D91)</f>
        <v>855467</v>
      </c>
      <c r="E91" s="10">
        <f>SUM(Oct!E91, Nov!E91, Dec!E91)</f>
        <v>0</v>
      </c>
      <c r="F91" s="10">
        <f t="shared" si="3"/>
        <v>855467</v>
      </c>
      <c r="G91" s="11" t="str">
        <f t="shared" si="4"/>
        <v/>
      </c>
      <c r="H91" s="12">
        <f>SUM(Oct!H91,Nov!H91,Dec!H91)</f>
        <v>1031835.2049999998</v>
      </c>
      <c r="I91" s="12">
        <f>SUM(Oct!I91, Nov!I91, Dec!I91)</f>
        <v>-176368.20499999996</v>
      </c>
      <c r="J91" s="13">
        <f t="shared" si="5"/>
        <v>-0.17092671789580971</v>
      </c>
    </row>
    <row r="92" spans="1:10" ht="15.6">
      <c r="A92" s="26" t="str">
        <v>Eddy Ridge</v>
      </c>
      <c r="B92" s="27" t="str">
        <v>NY</v>
      </c>
      <c r="C92" s="27" t="str">
        <f>Sites[[#This Row],[SOL'#]]</f>
        <v>SOL-11054</v>
      </c>
      <c r="D92" s="9">
        <f>SUM(Oct!D92, Nov!D92, Dec!D92)</f>
        <v>483703</v>
      </c>
      <c r="E92" s="14">
        <f>SUM(Oct!E92, Nov!E92, Dec!E92)</f>
        <v>476726</v>
      </c>
      <c r="F92" s="14">
        <f t="shared" si="3"/>
        <v>6977</v>
      </c>
      <c r="G92" s="15">
        <f t="shared" si="4"/>
        <v>1.4635241207737779E-2</v>
      </c>
      <c r="H92" s="16">
        <f>SUM(Oct!H92,Nov!H92,Dec!H92)</f>
        <v>623253.07499999995</v>
      </c>
      <c r="I92" s="16">
        <f>SUM(Oct!I92, Nov!I92, Dec!I92)</f>
        <v>-139550.07499999998</v>
      </c>
      <c r="J92" s="15">
        <f t="shared" si="5"/>
        <v>-0.22390595505686031</v>
      </c>
    </row>
    <row r="93" spans="1:10" ht="15.6">
      <c r="A93" s="24" t="str">
        <v>Ridgeway #1</v>
      </c>
      <c r="B93" s="25" t="str">
        <v>NY</v>
      </c>
      <c r="C93" s="25" t="str">
        <f>Sites[[#This Row],[SOL'#]]</f>
        <v>SOL-11018</v>
      </c>
      <c r="D93" s="20">
        <f>SUM(Oct!D93, Nov!D93, Dec!D93)</f>
        <v>1357079</v>
      </c>
      <c r="E93" s="10">
        <f>SUM(Oct!E93, Nov!E93, Dec!E93)</f>
        <v>1331833</v>
      </c>
      <c r="F93" s="10">
        <f t="shared" si="3"/>
        <v>25246</v>
      </c>
      <c r="G93" s="11">
        <f t="shared" si="4"/>
        <v>1.8955830047761243E-2</v>
      </c>
      <c r="H93" s="12">
        <f>SUM(Oct!H93,Nov!H93,Dec!H93)</f>
        <v>1385831.83</v>
      </c>
      <c r="I93" s="12">
        <f>SUM(Oct!I93, Nov!I93, Dec!I93)</f>
        <v>-28752.830000000075</v>
      </c>
      <c r="J93" s="13">
        <f t="shared" si="5"/>
        <v>-2.074770500833429E-2</v>
      </c>
    </row>
    <row r="94" spans="1:10" ht="15.6">
      <c r="A94" s="26" t="str">
        <v>Rivard 1</v>
      </c>
      <c r="B94" s="27" t="str">
        <v>NY</v>
      </c>
      <c r="C94" s="27" t="str">
        <f>Sites[[#This Row],[SOL'#]]</f>
        <v>SOL-11011</v>
      </c>
      <c r="D94" s="9">
        <f>SUM(Oct!D94, Nov!D94, Dec!D94)</f>
        <v>988227.02487562399</v>
      </c>
      <c r="E94" s="14">
        <f>SUM(Oct!E94, Nov!E94, Dec!E94)</f>
        <v>1064018</v>
      </c>
      <c r="F94" s="14">
        <f t="shared" si="3"/>
        <v>-75790.975124376011</v>
      </c>
      <c r="G94" s="15">
        <f t="shared" si="4"/>
        <v>-7.1230914443530108E-2</v>
      </c>
      <c r="H94" s="16">
        <f>SUM(Oct!H94,Nov!H94,Dec!H94)</f>
        <v>996721.7</v>
      </c>
      <c r="I94" s="16">
        <f>SUM(Oct!I94, Nov!I94, Dec!I94)</f>
        <v>-8494.6751243759936</v>
      </c>
      <c r="J94" s="15">
        <f t="shared" si="5"/>
        <v>-8.5226148125158649E-3</v>
      </c>
    </row>
    <row r="95" spans="1:10" ht="15.6">
      <c r="A95" s="24" t="str">
        <v>Rivard 2</v>
      </c>
      <c r="B95" s="25" t="str">
        <v>NY</v>
      </c>
      <c r="C95" s="25" t="str">
        <f>Sites[[#This Row],[SOL'#]]</f>
        <v>SOL-11012</v>
      </c>
      <c r="D95" s="20">
        <f>SUM(Oct!D95, Nov!D95, Dec!D95)</f>
        <v>951402</v>
      </c>
      <c r="E95" s="10">
        <f>SUM(Oct!E95, Nov!E95, Dec!E95)</f>
        <v>941387.39999999991</v>
      </c>
      <c r="F95" s="10">
        <f t="shared" si="3"/>
        <v>10014.600000000093</v>
      </c>
      <c r="G95" s="11">
        <f t="shared" si="4"/>
        <v>1.0638128362457469E-2</v>
      </c>
      <c r="H95" s="12">
        <f>SUM(Oct!H95,Nov!H95,Dec!H95)</f>
        <v>948414.5</v>
      </c>
      <c r="I95" s="12">
        <f>SUM(Oct!I95, Nov!I95, Dec!I95)</f>
        <v>2987.5000000000291</v>
      </c>
      <c r="J95" s="13">
        <f t="shared" si="5"/>
        <v>3.1499940163293889E-3</v>
      </c>
    </row>
    <row r="96" spans="1:10" ht="15.6">
      <c r="A96" s="24" t="str">
        <v>Ridgeway #2</v>
      </c>
      <c r="B96" s="25" t="str">
        <v>NY</v>
      </c>
      <c r="C96" s="25" t="str">
        <f>Sites[[#This Row],[SOL'#]]</f>
        <v>SOL-11027</v>
      </c>
      <c r="D96" s="20">
        <f>SUM(Oct!D96, Nov!D96, Dec!D96)</f>
        <v>677972</v>
      </c>
      <c r="E96" s="10">
        <f>SUM(Oct!E96, Nov!E96, Dec!E96)</f>
        <v>668279</v>
      </c>
      <c r="F96" s="10">
        <f t="shared" si="3"/>
        <v>9693</v>
      </c>
      <c r="G96" s="11">
        <f t="shared" si="4"/>
        <v>1.450442105767202E-2</v>
      </c>
      <c r="H96" s="12">
        <f>SUM(Oct!H96,Nov!H96,Dec!H96)</f>
        <v>715752.69</v>
      </c>
      <c r="I96" s="12">
        <f>SUM(Oct!I96, Nov!I96, Dec!I96)</f>
        <v>-37780.690000000031</v>
      </c>
      <c r="J96" s="13">
        <f t="shared" si="5"/>
        <v>-5.2784558867672624E-2</v>
      </c>
    </row>
    <row r="97" spans="1:10" ht="15.6">
      <c r="A97" s="26" t="str">
        <v>Spencer</v>
      </c>
      <c r="B97" s="27" t="str">
        <v>NY</v>
      </c>
      <c r="C97" s="27" t="str">
        <f>Sites[[#This Row],[SOL'#]]</f>
        <v>SOL-11017</v>
      </c>
      <c r="D97" s="9">
        <f>SUM(Oct!D97, Nov!D97, Dec!D97)</f>
        <v>1374662.33</v>
      </c>
      <c r="E97" s="14">
        <f>SUM(Oct!E97, Nov!E97, Dec!E97)</f>
        <v>1340136.54</v>
      </c>
      <c r="F97" s="14">
        <f t="shared" si="3"/>
        <v>34525.790000000037</v>
      </c>
      <c r="G97" s="15">
        <f t="shared" si="4"/>
        <v>2.5762889802258535E-2</v>
      </c>
      <c r="H97" s="16">
        <f>SUM(Oct!H97,Nov!H97,Dec!H97)</f>
        <v>1418870</v>
      </c>
      <c r="I97" s="16">
        <f>SUM(Oct!I97, Nov!I97, Dec!I97)</f>
        <v>-44207.669999999955</v>
      </c>
      <c r="J97" s="15">
        <f t="shared" si="5"/>
        <v>-3.1156955887431517E-2</v>
      </c>
    </row>
    <row r="98" spans="1:10" ht="15.6">
      <c r="A98" s="24" t="str">
        <v>Reisender</v>
      </c>
      <c r="B98" s="25" t="str">
        <v>NY</v>
      </c>
      <c r="C98" s="25" t="str">
        <f>Sites[[#This Row],[SOL'#]]</f>
        <v>SOL-10886</v>
      </c>
      <c r="D98" s="20">
        <f>SUM(Oct!D98, Nov!D98, Dec!D98)</f>
        <v>425380</v>
      </c>
      <c r="E98" s="10">
        <f>SUM(Oct!E98, Nov!E98, Dec!E98)</f>
        <v>424830</v>
      </c>
      <c r="F98" s="10">
        <f t="shared" si="3"/>
        <v>550</v>
      </c>
      <c r="G98" s="11">
        <f t="shared" si="4"/>
        <v>1.2946355012593272E-3</v>
      </c>
      <c r="H98" s="12">
        <f>SUM(Oct!H98,Nov!H98,Dec!H98)</f>
        <v>548928.01699999999</v>
      </c>
      <c r="I98" s="12">
        <f>SUM(Oct!I98, Nov!I98, Dec!I98)</f>
        <v>-123548.01700000002</v>
      </c>
      <c r="J98" s="13">
        <f t="shared" si="5"/>
        <v>-0.22507143591470213</v>
      </c>
    </row>
    <row r="99" spans="1:10" ht="15.6">
      <c r="A99" s="26" t="str">
        <v>Finney</v>
      </c>
      <c r="B99" s="27" t="str">
        <v>NY</v>
      </c>
      <c r="C99" s="27" t="str">
        <f>Sites[[#This Row],[SOL'#]]</f>
        <v>SOL-10999</v>
      </c>
      <c r="D99" s="9">
        <f>SUM(Oct!D99, Nov!D99, Dec!D99)</f>
        <v>1211940</v>
      </c>
      <c r="E99" s="14">
        <f>SUM(Oct!E99, Nov!E99, Dec!E99)</f>
        <v>1205130</v>
      </c>
      <c r="F99" s="14">
        <f t="shared" si="3"/>
        <v>6810</v>
      </c>
      <c r="G99" s="15">
        <f t="shared" si="4"/>
        <v>5.6508426476811627E-3</v>
      </c>
      <c r="H99" s="16">
        <f>SUM(Oct!H99,Nov!H99,Dec!H99)</f>
        <v>1363859.8419999999</v>
      </c>
      <c r="I99" s="16">
        <f>SUM(Oct!I99, Nov!I99, Dec!I99)</f>
        <v>-151919.842</v>
      </c>
      <c r="J99" s="15">
        <f t="shared" si="5"/>
        <v>-0.11138962914049932</v>
      </c>
    </row>
    <row r="100" spans="1:10" ht="15.6">
      <c r="A100" s="24" t="str">
        <v>Davis Solar</v>
      </c>
      <c r="B100" s="25" t="str">
        <v>NY</v>
      </c>
      <c r="C100" s="25" t="str">
        <f>Sites[[#This Row],[SOL'#]]</f>
        <v>SOL-10958</v>
      </c>
      <c r="D100" s="20">
        <f>SUM(Oct!D100, Nov!D100, Dec!D100)</f>
        <v>553268</v>
      </c>
      <c r="E100" s="10">
        <f>SUM(Oct!E100, Nov!E100, Dec!E100)</f>
        <v>706339.2</v>
      </c>
      <c r="F100" s="10">
        <f t="shared" si="3"/>
        <v>-153071.19999999995</v>
      </c>
      <c r="G100" s="11">
        <f t="shared" si="4"/>
        <v>-0.21671061155886573</v>
      </c>
      <c r="H100" s="12">
        <f>SUM(Oct!H100,Nov!H100,Dec!H100)</f>
        <v>641872</v>
      </c>
      <c r="I100" s="12">
        <f>SUM(Oct!I100, Nov!I100, Dec!I100)</f>
        <v>-88604</v>
      </c>
      <c r="J100" s="13">
        <f t="shared" si="5"/>
        <v>-0.13803998304957998</v>
      </c>
    </row>
    <row r="101" spans="1:10" ht="15.6">
      <c r="A101" s="26" t="str">
        <v>Genesee</v>
      </c>
      <c r="B101" s="27" t="str">
        <v>NY</v>
      </c>
      <c r="C101" s="27" t="str">
        <f>Sites[[#This Row],[SOL'#]]</f>
        <v>SOL-10951</v>
      </c>
      <c r="D101" s="9">
        <f>SUM(Oct!D101, Nov!D101, Dec!D101)</f>
        <v>564337.6</v>
      </c>
      <c r="E101" s="14">
        <f>SUM(Oct!E101, Nov!E101, Dec!E101)</f>
        <v>548817.13</v>
      </c>
      <c r="F101" s="14">
        <f t="shared" si="3"/>
        <v>15520.469999999972</v>
      </c>
      <c r="G101" s="15">
        <f t="shared" si="4"/>
        <v>2.8279857080991573E-2</v>
      </c>
      <c r="H101" s="16">
        <f>SUM(Oct!H101,Nov!H101,Dec!H101)</f>
        <v>866677.18099999998</v>
      </c>
      <c r="I101" s="16">
        <f>SUM(Oct!I101, Nov!I101, Dec!I101)</f>
        <v>-302339.58100000001</v>
      </c>
      <c r="J101" s="15">
        <f t="shared" si="5"/>
        <v>-0.34884913048149124</v>
      </c>
    </row>
    <row r="102" spans="1:10" ht="15.6">
      <c r="A102" s="24" t="str">
        <v>Landau I</v>
      </c>
      <c r="B102" s="25" t="str">
        <v>NY</v>
      </c>
      <c r="C102" s="25" t="str">
        <f>Sites[[#This Row],[SOL'#]]</f>
        <v>SOL-10891</v>
      </c>
      <c r="D102" s="20">
        <f>SUM(Oct!D102, Nov!D102, Dec!D102)</f>
        <v>479840</v>
      </c>
      <c r="E102" s="10">
        <f>SUM(Oct!E102, Nov!E102, Dec!E102)</f>
        <v>0</v>
      </c>
      <c r="F102" s="10">
        <f t="shared" ref="F102:F119" si="6">IF(AND(ISNUMBER(D102),ISNUMBER(E102)), D102-E102, "")</f>
        <v>479840</v>
      </c>
      <c r="G102" s="11" t="str">
        <f t="shared" ref="G102:G119" si="7">IFERROR(F102/E102, "")</f>
        <v/>
      </c>
      <c r="H102" s="12">
        <f>SUM(Oct!H102,Nov!H102,Dec!H102)</f>
        <v>634618.93900000001</v>
      </c>
      <c r="I102" s="12">
        <f>SUM(Oct!I102, Nov!I102, Dec!I102)</f>
        <v>-154778.93900000001</v>
      </c>
      <c r="J102" s="13">
        <f t="shared" si="5"/>
        <v>-0.24389271969080017</v>
      </c>
    </row>
    <row r="103" spans="1:10" ht="15.6">
      <c r="A103" s="26" t="str">
        <v>Landau II</v>
      </c>
      <c r="B103" s="27" t="str">
        <v>NY</v>
      </c>
      <c r="C103" s="27" t="str">
        <f>Sites[[#This Row],[SOL'#]]</f>
        <v>SOL-10895</v>
      </c>
      <c r="D103" s="9">
        <f>SUM(Oct!D103, Nov!D103, Dec!D103)</f>
        <v>1008960</v>
      </c>
      <c r="E103" s="14">
        <f>SUM(Oct!E103, Nov!E103, Dec!E103)</f>
        <v>0</v>
      </c>
      <c r="F103" s="14">
        <f t="shared" si="6"/>
        <v>1008960</v>
      </c>
      <c r="G103" s="15" t="str">
        <f t="shared" si="7"/>
        <v/>
      </c>
      <c r="H103" s="16">
        <f>SUM(Oct!H103,Nov!H103,Dec!H103)</f>
        <v>0</v>
      </c>
      <c r="I103" s="16">
        <f>SUM(Oct!I103, Nov!I103, Dec!I103)</f>
        <v>0</v>
      </c>
      <c r="J103" s="15" t="str">
        <f t="shared" si="5"/>
        <v/>
      </c>
    </row>
    <row r="104" spans="1:10" ht="15.6">
      <c r="A104" s="24" t="str">
        <v>New Beginnings</v>
      </c>
      <c r="B104" s="25" t="str">
        <v>NY</v>
      </c>
      <c r="C104" s="25" t="str">
        <f>Sites[[#This Row],[SOL'#]]</f>
        <v>SOL-10890</v>
      </c>
      <c r="D104" s="20">
        <f>SUM(Oct!D104, Nov!D104, Dec!D104)</f>
        <v>340190</v>
      </c>
      <c r="E104" s="10">
        <f>SUM(Oct!E104, Nov!E104, Dec!E104)</f>
        <v>340150</v>
      </c>
      <c r="F104" s="10">
        <f t="shared" si="6"/>
        <v>40</v>
      </c>
      <c r="G104" s="11">
        <f t="shared" si="7"/>
        <v>1.175951785976775E-4</v>
      </c>
      <c r="H104" s="12">
        <f>SUM(Oct!H104,Nov!H104,Dec!H104)</f>
        <v>655880.49399999995</v>
      </c>
      <c r="I104" s="12">
        <f>SUM(Oct!I104, Nov!I104, Dec!I104)</f>
        <v>-315690.49400000001</v>
      </c>
      <c r="J104" s="13">
        <f t="shared" si="5"/>
        <v>-0.48132319361215831</v>
      </c>
    </row>
    <row r="105" spans="1:10" ht="15.6">
      <c r="A105" s="26" t="str">
        <v>Bullitt Farm Solar, LLC</v>
      </c>
      <c r="B105" s="27" t="str">
        <v>NY</v>
      </c>
      <c r="C105" s="27" t="str">
        <f>Sites[[#This Row],[SOL'#]]</f>
        <v>SOL-10998</v>
      </c>
      <c r="D105" s="9">
        <f>SUM(Oct!D105, Nov!D105, Dec!D105)</f>
        <v>1081646</v>
      </c>
      <c r="E105" s="14">
        <f>SUM(Oct!E105, Nov!E105, Dec!E105)</f>
        <v>1299932.3</v>
      </c>
      <c r="F105" s="14">
        <f t="shared" si="6"/>
        <v>-218286.30000000005</v>
      </c>
      <c r="G105" s="15">
        <f t="shared" si="7"/>
        <v>-0.16792128328529113</v>
      </c>
      <c r="H105" s="16">
        <f>SUM(Oct!H105,Nov!H105,Dec!H105)</f>
        <v>1174757</v>
      </c>
      <c r="I105" s="16">
        <f>SUM(Oct!I105, Nov!I105, Dec!I105)</f>
        <v>-93111.000000000058</v>
      </c>
      <c r="J105" s="15">
        <f t="shared" si="5"/>
        <v>-7.9259795855653598E-2</v>
      </c>
    </row>
    <row r="106" spans="1:10" ht="15.6">
      <c r="A106" s="24" t="str">
        <v>Brodhead Solar, LLC</v>
      </c>
      <c r="B106" s="25" t="str">
        <v>NY</v>
      </c>
      <c r="C106" s="25" t="str">
        <f>Sites[[#This Row],[SOL'#]]</f>
        <v>SOL-10899</v>
      </c>
      <c r="D106" s="20">
        <f>SUM(Oct!D106, Nov!D106, Dec!D106)</f>
        <v>644960</v>
      </c>
      <c r="E106" s="10">
        <f>SUM(Oct!E106, Nov!E106, Dec!E106)</f>
        <v>725678.20000000007</v>
      </c>
      <c r="F106" s="10">
        <f t="shared" si="6"/>
        <v>-80718.20000000007</v>
      </c>
      <c r="G106" s="11">
        <f t="shared" si="7"/>
        <v>-0.1112313970572632</v>
      </c>
      <c r="H106" s="12">
        <f>SUM(Oct!H106,Nov!H106,Dec!H106)</f>
        <v>699224</v>
      </c>
      <c r="I106" s="12">
        <f>SUM(Oct!I106, Nov!I106, Dec!I106)</f>
        <v>-54264.000000000029</v>
      </c>
      <c r="J106" s="13">
        <f t="shared" si="5"/>
        <v>-7.7606031829571112E-2</v>
      </c>
    </row>
    <row r="107" spans="1:10" ht="15.6">
      <c r="A107" s="26" t="str">
        <v>Svenski</v>
      </c>
      <c r="B107" s="27" t="str">
        <v>NY</v>
      </c>
      <c r="C107" s="27" t="str">
        <f>Sites[[#This Row],[SOL'#]]</f>
        <v>SOL-10894</v>
      </c>
      <c r="D107" s="9">
        <f>SUM(Oct!D107, Nov!D107, Dec!D107)</f>
        <v>505176</v>
      </c>
      <c r="E107" s="14">
        <f>SUM(Oct!E107, Nov!E107, Dec!E107)</f>
        <v>0</v>
      </c>
      <c r="F107" s="14">
        <f t="shared" si="6"/>
        <v>505176</v>
      </c>
      <c r="G107" s="15" t="str">
        <f t="shared" si="7"/>
        <v/>
      </c>
      <c r="H107" s="16">
        <f>SUM(Oct!H107,Nov!H107,Dec!H107)</f>
        <v>586060.62599999993</v>
      </c>
      <c r="I107" s="16">
        <f>SUM(Oct!I107, Nov!I107, Dec!I107)</f>
        <v>-80884.625999999989</v>
      </c>
      <c r="J107" s="15">
        <f t="shared" si="5"/>
        <v>-0.13801409344295379</v>
      </c>
    </row>
    <row r="108" spans="1:10" ht="15.6">
      <c r="A108" s="24" t="str">
        <v>Bantam</v>
      </c>
      <c r="B108" s="25" t="str">
        <v>NY</v>
      </c>
      <c r="C108" s="25" t="str">
        <f>Sites[[#This Row],[SOL'#]]</f>
        <v>SOL-10986</v>
      </c>
      <c r="D108" s="20">
        <f>SUM(Oct!D108, Nov!D108, Dec!D108)</f>
        <v>295990</v>
      </c>
      <c r="E108" s="10">
        <f>SUM(Oct!E108, Nov!E108, Dec!E108)</f>
        <v>842130</v>
      </c>
      <c r="F108" s="10">
        <f t="shared" si="6"/>
        <v>-546140</v>
      </c>
      <c r="G108" s="11">
        <f t="shared" si="7"/>
        <v>-0.64852219966038493</v>
      </c>
      <c r="H108" s="12">
        <f>SUM(Oct!H108,Nov!H108,Dec!H108)</f>
        <v>1247685.567</v>
      </c>
      <c r="I108" s="12">
        <f>SUM(Oct!I108, Nov!I108, Dec!I108)</f>
        <v>-951695.56700000004</v>
      </c>
      <c r="J108" s="13">
        <f t="shared" si="5"/>
        <v>-0.76276875534298783</v>
      </c>
    </row>
    <row r="109" spans="1:10" ht="15.6">
      <c r="A109" s="26" t="str">
        <v>Bogart</v>
      </c>
      <c r="B109" s="27" t="str">
        <v>NY</v>
      </c>
      <c r="C109" s="27" t="str">
        <f>Sites[[#This Row],[SOL'#]]</f>
        <v>SOL-10887</v>
      </c>
      <c r="D109" s="9">
        <f>SUM(Oct!D109, Nov!D109, Dec!D109)</f>
        <v>542690</v>
      </c>
      <c r="E109" s="14">
        <f>SUM(Oct!E109, Nov!E109, Dec!E109)</f>
        <v>467220</v>
      </c>
      <c r="F109" s="14">
        <f t="shared" si="6"/>
        <v>75470</v>
      </c>
      <c r="G109" s="15">
        <f t="shared" si="7"/>
        <v>0.16152990026111896</v>
      </c>
      <c r="H109" s="16">
        <f>SUM(Oct!H109,Nov!H109,Dec!H109)</f>
        <v>599793.25800000003</v>
      </c>
      <c r="I109" s="16">
        <f>SUM(Oct!I109, Nov!I109, Dec!I109)</f>
        <v>-57103.258000000002</v>
      </c>
      <c r="J109" s="15">
        <f t="shared" si="5"/>
        <v>-9.5204901419548793E-2</v>
      </c>
    </row>
    <row r="110" spans="1:10" ht="15.6">
      <c r="A110" s="24" t="str">
        <v>Dubois</v>
      </c>
      <c r="B110" s="25" t="str">
        <v>NY</v>
      </c>
      <c r="C110" s="25" t="str">
        <f>Sites[[#This Row],[SOL'#]]</f>
        <v>SOL-10892</v>
      </c>
      <c r="D110" s="20">
        <f>SUM(Oct!D110, Nov!D110, Dec!D110)</f>
        <v>480</v>
      </c>
      <c r="E110" s="10">
        <f>SUM(Oct!E110, Nov!E110, Dec!E110)</f>
        <v>384.5</v>
      </c>
      <c r="F110" s="10">
        <f t="shared" si="6"/>
        <v>95.5</v>
      </c>
      <c r="G110" s="11">
        <f t="shared" si="7"/>
        <v>0.24837451235370611</v>
      </c>
      <c r="H110" s="12">
        <f>SUM(Oct!H110,Nov!H110,Dec!H110)</f>
        <v>0</v>
      </c>
      <c r="I110" s="12">
        <f>SUM(Oct!I110, Nov!I110, Dec!I110)</f>
        <v>480</v>
      </c>
      <c r="J110" s="13" t="str">
        <f t="shared" si="5"/>
        <v/>
      </c>
    </row>
    <row r="111" spans="1:10" ht="15.6">
      <c r="A111" s="26" t="str">
        <v>Salt Point</v>
      </c>
      <c r="B111" s="27" t="str">
        <v>NY</v>
      </c>
      <c r="C111" s="27" t="str">
        <f>Sites[[#This Row],[SOL'#]]</f>
        <v>SOL-10888</v>
      </c>
      <c r="D111" s="9">
        <f>SUM(Oct!D111, Nov!D111, Dec!D111)</f>
        <v>529000</v>
      </c>
      <c r="E111" s="14">
        <f>SUM(Oct!E111, Nov!E111, Dec!E111)</f>
        <v>521040</v>
      </c>
      <c r="F111" s="14">
        <f t="shared" si="6"/>
        <v>7960</v>
      </c>
      <c r="G111" s="15">
        <f t="shared" si="7"/>
        <v>1.5277138031629049E-2</v>
      </c>
      <c r="H111" s="16">
        <f>SUM(Oct!H111,Nov!H111,Dec!H111)</f>
        <v>551403.40599999996</v>
      </c>
      <c r="I111" s="16">
        <f>SUM(Oct!I111, Nov!I111, Dec!I111)</f>
        <v>-22403.405999999988</v>
      </c>
      <c r="J111" s="15">
        <f t="shared" si="5"/>
        <v>-4.0629792555180531E-2</v>
      </c>
    </row>
    <row r="112" spans="1:10" ht="15.6">
      <c r="A112" s="24" t="str">
        <v>Wheatland 2A</v>
      </c>
      <c r="B112" s="25" t="str">
        <v>NY</v>
      </c>
      <c r="C112" s="25" t="str">
        <f>Sites[[#This Row],[SOL'#]]</f>
        <v>SOL-10971</v>
      </c>
      <c r="D112" s="20">
        <f>SUM(Oct!D112, Nov!D112, Dec!D112)</f>
        <v>1024170</v>
      </c>
      <c r="E112" s="10">
        <f>SUM(Oct!E112, Nov!E112, Dec!E112)</f>
        <v>1018450</v>
      </c>
      <c r="F112" s="10">
        <f t="shared" si="6"/>
        <v>5720</v>
      </c>
      <c r="G112" s="11">
        <f t="shared" si="7"/>
        <v>5.6163778290539545E-3</v>
      </c>
      <c r="H112" s="12">
        <f>SUM(Oct!H112,Nov!H112,Dec!H112)</f>
        <v>1034946.5360000001</v>
      </c>
      <c r="I112" s="12">
        <f>SUM(Oct!I112, Nov!I112, Dec!I112)</f>
        <v>-10776.536000000022</v>
      </c>
      <c r="J112" s="13">
        <f t="shared" si="5"/>
        <v>-1.0412649953543128E-2</v>
      </c>
    </row>
    <row r="113" spans="1:10" ht="15.6">
      <c r="A113" s="26" t="str">
        <v>Wheatland 2B</v>
      </c>
      <c r="B113" s="27" t="str">
        <v>NY</v>
      </c>
      <c r="C113" s="27" t="str">
        <f>Sites[[#This Row],[SOL'#]]</f>
        <v>SOL-10961</v>
      </c>
      <c r="D113" s="9">
        <f>SUM(Oct!D113, Nov!D113, Dec!D113)</f>
        <v>1066340</v>
      </c>
      <c r="E113" s="14">
        <f>SUM(Oct!E113, Nov!E113, Dec!E113)</f>
        <v>686950</v>
      </c>
      <c r="F113" s="14">
        <f t="shared" si="6"/>
        <v>379390</v>
      </c>
      <c r="G113" s="15">
        <f t="shared" si="7"/>
        <v>0.5522818254603683</v>
      </c>
      <c r="H113" s="16">
        <f>SUM(Oct!H113,Nov!H113,Dec!H113)</f>
        <v>1021100.6599999999</v>
      </c>
      <c r="I113" s="16">
        <f>SUM(Oct!I113, Nov!I113, Dec!I113)</f>
        <v>45239.339999999967</v>
      </c>
      <c r="J113" s="15">
        <f t="shared" si="5"/>
        <v>4.4304486102281014E-2</v>
      </c>
    </row>
    <row r="114" spans="1:10" ht="15.6">
      <c r="A114" s="24" t="str">
        <v>Brickchurch</v>
      </c>
      <c r="B114" s="25" t="str">
        <v>NY</v>
      </c>
      <c r="C114" s="25" t="str">
        <f>Sites[[#This Row],[SOL'#]]</f>
        <v>SOL-10889</v>
      </c>
      <c r="D114" s="20">
        <f>SUM(Oct!D114, Nov!D114, Dec!D114)</f>
        <v>163740</v>
      </c>
      <c r="E114" s="10">
        <f>SUM(Oct!E114, Nov!E114, Dec!E114)</f>
        <v>166080</v>
      </c>
      <c r="F114" s="10">
        <f t="shared" si="6"/>
        <v>-2340</v>
      </c>
      <c r="G114" s="11">
        <f t="shared" si="7"/>
        <v>-1.4089595375722543E-2</v>
      </c>
      <c r="H114" s="12">
        <f>SUM(Oct!H114,Nov!H114,Dec!H114)</f>
        <v>416394.61300000001</v>
      </c>
      <c r="I114" s="12">
        <f>SUM(Oct!I114, Nov!I114, Dec!I114)</f>
        <v>-252654.61299999998</v>
      </c>
      <c r="J114" s="13">
        <f t="shared" si="5"/>
        <v>-0.6067672470104698</v>
      </c>
    </row>
    <row r="115" spans="1:10" ht="15.6">
      <c r="A115" s="26" t="str">
        <v>McCarthy Solar</v>
      </c>
      <c r="B115" s="27" t="str">
        <v>NY</v>
      </c>
      <c r="C115" s="27" t="str">
        <f>Sites[[#This Row],[SOL'#]]</f>
        <v>SOL-10992</v>
      </c>
      <c r="D115" s="9">
        <f>SUM(Oct!D115, Nov!D115, Dec!D115)</f>
        <v>265270</v>
      </c>
      <c r="E115" s="14">
        <f>SUM(Oct!E115, Nov!E115, Dec!E115)</f>
        <v>0</v>
      </c>
      <c r="F115" s="14">
        <f t="shared" si="6"/>
        <v>265270</v>
      </c>
      <c r="G115" s="15" t="str">
        <f t="shared" si="7"/>
        <v/>
      </c>
      <c r="H115" s="16">
        <f>SUM(Oct!H115,Nov!H115,Dec!H115)</f>
        <v>650763.23</v>
      </c>
      <c r="I115" s="16">
        <f>SUM(Oct!I115, Nov!I115, Dec!I115)</f>
        <v>-385493.23</v>
      </c>
      <c r="J115" s="15">
        <f t="shared" si="5"/>
        <v>-0.59237094572783411</v>
      </c>
    </row>
    <row r="116" spans="1:10" ht="15.6">
      <c r="A116" s="24" t="str">
        <v>Costanza</v>
      </c>
      <c r="B116" s="25" t="str">
        <v>NY</v>
      </c>
      <c r="C116" s="25" t="str">
        <f>Sites[[#This Row],[SOL'#]]</f>
        <v>SOL-10907</v>
      </c>
      <c r="D116" s="20">
        <f>SUM(Oct!D116, Nov!D116, Dec!D116)</f>
        <v>526200</v>
      </c>
      <c r="E116" s="10">
        <f>SUM(Oct!E116, Nov!E116, Dec!E116)</f>
        <v>526347.44999999995</v>
      </c>
      <c r="F116" s="10">
        <f t="shared" si="6"/>
        <v>-147.44999999995343</v>
      </c>
      <c r="G116" s="11">
        <f t="shared" si="7"/>
        <v>-2.8013814828960117E-4</v>
      </c>
      <c r="H116" s="12">
        <f>SUM(Oct!H116,Nov!H116,Dec!H116)</f>
        <v>577147.24800000002</v>
      </c>
      <c r="I116" s="12">
        <f>SUM(Oct!I116, Nov!I116, Dec!I116)</f>
        <v>-50947.248000000007</v>
      </c>
      <c r="J116" s="13">
        <f t="shared" si="5"/>
        <v>-8.827426306986394E-2</v>
      </c>
    </row>
    <row r="117" spans="1:10" ht="15.6">
      <c r="A117" s="26" t="str">
        <v>Lockenhurst Pond</v>
      </c>
      <c r="B117" s="27" t="str">
        <v>NY</v>
      </c>
      <c r="C117" s="27" t="str">
        <f>Sites[[#This Row],[SOL'#]]</f>
        <v>SOL-11000</v>
      </c>
      <c r="D117" s="9">
        <f>SUM(Oct!D117, Nov!D117, Dec!D117)</f>
        <v>622811</v>
      </c>
      <c r="E117" s="14">
        <f>SUM(Oct!E117, Nov!E117, Dec!E117)</f>
        <v>692439.3</v>
      </c>
      <c r="F117" s="14">
        <f t="shared" si="6"/>
        <v>-69628.300000000047</v>
      </c>
      <c r="G117" s="15">
        <f t="shared" si="7"/>
        <v>-0.10055509558744</v>
      </c>
      <c r="H117" s="16">
        <f>SUM(Oct!H117,Nov!H117,Dec!H117)</f>
        <v>602904</v>
      </c>
      <c r="I117" s="16">
        <f>SUM(Oct!I117, Nov!I117, Dec!I117)</f>
        <v>19907</v>
      </c>
      <c r="J117" s="15">
        <f t="shared" si="5"/>
        <v>3.301852367872829E-2</v>
      </c>
    </row>
    <row r="118" spans="1:10" ht="15.6">
      <c r="A118" s="24" t="str">
        <v>Drinkwater</v>
      </c>
      <c r="B118" s="25" t="str">
        <v>NY</v>
      </c>
      <c r="C118" s="25" t="str">
        <f>Sites[[#This Row],[SOL'#]]</f>
        <v>SOL-10896</v>
      </c>
      <c r="D118" s="20">
        <f>SUM(Oct!D118, Nov!D118, Dec!D118)</f>
        <v>553350</v>
      </c>
      <c r="E118" s="10">
        <f>SUM(Oct!E118, Nov!E118, Dec!E118)</f>
        <v>548100</v>
      </c>
      <c r="F118" s="10">
        <f t="shared" si="6"/>
        <v>5250</v>
      </c>
      <c r="G118" s="11">
        <f t="shared" si="7"/>
        <v>9.5785440613026813E-3</v>
      </c>
      <c r="H118" s="12">
        <f>SUM(Oct!H118,Nov!H118,Dec!H118)</f>
        <v>565021.44999999995</v>
      </c>
      <c r="I118" s="12">
        <f>SUM(Oct!I118, Nov!I118, Dec!I118)</f>
        <v>-11671.449999999997</v>
      </c>
      <c r="J118" s="13">
        <f t="shared" si="5"/>
        <v>-2.0656649406849949E-2</v>
      </c>
    </row>
    <row r="119" spans="1:10" ht="15.6">
      <c r="A119" s="26" t="str">
        <v>Altamont</v>
      </c>
      <c r="B119" s="27" t="str">
        <v>NY</v>
      </c>
      <c r="C119" s="27" t="str">
        <f>Sites[[#This Row],[SOL'#]]</f>
        <v>SOL-11085</v>
      </c>
      <c r="D119" s="9">
        <f>SUM(Oct!D119, Nov!D119, Dec!D119)</f>
        <v>963889</v>
      </c>
      <c r="E119" s="14">
        <f>SUM(Oct!E119, Nov!E119, Dec!E119)</f>
        <v>1114409.6000000001</v>
      </c>
      <c r="F119" s="14">
        <f t="shared" si="6"/>
        <v>-150520.60000000009</v>
      </c>
      <c r="G119" s="15">
        <f t="shared" si="7"/>
        <v>-0.13506757300008909</v>
      </c>
      <c r="H119" s="16">
        <f>SUM(Oct!H119,Nov!H119,Dec!H119)</f>
        <v>1029478.6</v>
      </c>
      <c r="I119" s="16">
        <f>SUM(Oct!I119, Nov!I119, Dec!I119)</f>
        <v>-65589.599999999977</v>
      </c>
      <c r="J119" s="15">
        <f t="shared" si="5"/>
        <v>-6.3711474915554317E-2</v>
      </c>
    </row>
    <row r="120" spans="1:10" ht="15.6">
      <c r="A120" s="24" t="str">
        <v>Krumkill North</v>
      </c>
      <c r="B120" s="25" t="str">
        <v>NY</v>
      </c>
      <c r="C120" s="25" t="str">
        <f>Sites[[#This Row],[SOL'#]]</f>
        <v>SOL-11086</v>
      </c>
      <c r="D120" s="20">
        <f>SUM(Oct!D120, Nov!D120, Dec!D120)</f>
        <v>911007</v>
      </c>
      <c r="E120" s="10">
        <f>SUM(Oct!E120, Nov!E120, Dec!E120)</f>
        <v>1191666.8999999999</v>
      </c>
      <c r="F120" s="10">
        <f t="shared" ref="F120:F143" si="8">IF(AND(ISNUMBER(D120),ISNUMBER(E120)), D120-E120, "")</f>
        <v>-280659.89999999991</v>
      </c>
      <c r="G120" s="11">
        <f t="shared" ref="G120:G173" si="9">IFERROR(F120/E120, "")</f>
        <v>-0.23551875108723749</v>
      </c>
      <c r="H120" s="12">
        <f>SUM(Oct!H120,Nov!H120,Dec!H120)</f>
        <v>1334110.4000000001</v>
      </c>
      <c r="I120" s="12">
        <f>SUM(Oct!I120, Nov!I120, Dec!I120)</f>
        <v>-423103.4</v>
      </c>
      <c r="J120" s="13">
        <f t="shared" si="5"/>
        <v>-0.31714271922323667</v>
      </c>
    </row>
    <row r="121" spans="1:10" ht="15.6">
      <c r="A121" s="26" t="str">
        <v>Krumkill South</v>
      </c>
      <c r="B121" s="27" t="str">
        <v>NY</v>
      </c>
      <c r="C121" s="27" t="str">
        <f>Sites[[#This Row],[SOL'#]]</f>
        <v>SOL-11087</v>
      </c>
      <c r="D121" s="9">
        <f>SUM(Oct!D121, Nov!D121, Dec!D121)</f>
        <v>792690</v>
      </c>
      <c r="E121" s="14">
        <f>SUM(Oct!E121, Nov!E121, Dec!E121)</f>
        <v>1049689.3999999999</v>
      </c>
      <c r="F121" s="14">
        <f t="shared" si="8"/>
        <v>-256999.39999999991</v>
      </c>
      <c r="G121" s="15">
        <f t="shared" si="9"/>
        <v>-0.24483375749054903</v>
      </c>
      <c r="H121" s="16">
        <f>SUM(Oct!H121,Nov!H121,Dec!H121)</f>
        <v>1045901.9</v>
      </c>
      <c r="I121" s="16">
        <f>SUM(Oct!I121, Nov!I121, Dec!I121)</f>
        <v>-253211.90000000002</v>
      </c>
      <c r="J121" s="15">
        <f t="shared" si="5"/>
        <v>-0.24209909170257748</v>
      </c>
    </row>
    <row r="122" spans="1:10" ht="15.6">
      <c r="A122" s="24" t="str">
        <v>X092</v>
      </c>
      <c r="B122" s="25" t="str">
        <v>NY</v>
      </c>
      <c r="C122" s="25" t="str">
        <f>Sites[[#This Row],[SOL'#]]</f>
        <v>SOL-11189</v>
      </c>
      <c r="D122" s="20">
        <f>SUM(Oct!D122, Nov!D122, Dec!D122)</f>
        <v>24619.39999999998</v>
      </c>
      <c r="E122" s="10">
        <f>SUM(Oct!E122, Nov!E122, Dec!E122)</f>
        <v>26693.594999999998</v>
      </c>
      <c r="F122" s="10">
        <f t="shared" si="8"/>
        <v>-2074.1950000000179</v>
      </c>
      <c r="G122" s="11">
        <f t="shared" si="9"/>
        <v>-7.7703846184825162E-2</v>
      </c>
      <c r="H122" s="12">
        <f>SUM(Oct!H122,Nov!H122,Dec!H122)</f>
        <v>27617</v>
      </c>
      <c r="I122" s="12">
        <f>SUM(Oct!I122, Nov!I122, Dec!I122)</f>
        <v>-2997.6000000000204</v>
      </c>
      <c r="J122" s="13">
        <f t="shared" si="5"/>
        <v>-0.10854184017090995</v>
      </c>
    </row>
    <row r="123" spans="1:10" ht="15.6">
      <c r="A123" s="26" t="str">
        <v>X093</v>
      </c>
      <c r="B123" s="27" t="str">
        <v>NY</v>
      </c>
      <c r="C123" s="27" t="str">
        <f>Sites[[#This Row],[SOL'#]]</f>
        <v>SOL-10932</v>
      </c>
      <c r="D123" s="9">
        <f>SUM(Oct!D123, Nov!D123, Dec!D123)</f>
        <v>18447.859375</v>
      </c>
      <c r="E123" s="14">
        <f>SUM(Oct!E123, Nov!E123, Dec!E123)</f>
        <v>19515.559999999998</v>
      </c>
      <c r="F123" s="14">
        <f t="shared" si="8"/>
        <v>-1067.7006249999977</v>
      </c>
      <c r="G123" s="15">
        <f t="shared" si="9"/>
        <v>-5.4710222253422286E-2</v>
      </c>
      <c r="H123" s="16">
        <f>SUM(Oct!H123,Nov!H123,Dec!H123)</f>
        <v>18561</v>
      </c>
      <c r="I123" s="16">
        <f>SUM(Oct!I123, Nov!I123, Dec!I123)</f>
        <v>-113.140625</v>
      </c>
      <c r="J123" s="15">
        <f t="shared" si="5"/>
        <v>-6.0956104196972149E-3</v>
      </c>
    </row>
    <row r="124" spans="1:10" ht="15.6">
      <c r="A124" s="24" t="str">
        <v>X095</v>
      </c>
      <c r="B124" s="25" t="str">
        <v>NY</v>
      </c>
      <c r="C124" s="25" t="str">
        <f>Sites[[#This Row],[SOL'#]]</f>
        <v>SOL-10929</v>
      </c>
      <c r="D124" s="20">
        <f>SUM(Oct!D124, Nov!D124, Dec!D124)</f>
        <v>24292.875</v>
      </c>
      <c r="E124" s="10">
        <f>SUM(Oct!E124, Nov!E124, Dec!E124)</f>
        <v>33327.034</v>
      </c>
      <c r="F124" s="10">
        <f t="shared" si="8"/>
        <v>-9034.1589999999997</v>
      </c>
      <c r="G124" s="11">
        <f t="shared" si="9"/>
        <v>-0.27107599794209108</v>
      </c>
      <c r="H124" s="12">
        <f>SUM(Oct!H124,Nov!H124,Dec!H124)</f>
        <v>25863</v>
      </c>
      <c r="I124" s="12">
        <f>SUM(Oct!I124, Nov!I124, Dec!I124)</f>
        <v>-1570.125</v>
      </c>
      <c r="J124" s="13">
        <f t="shared" si="5"/>
        <v>-6.0709314464679275E-2</v>
      </c>
    </row>
    <row r="125" spans="1:10" ht="15.6">
      <c r="A125" s="26" t="str">
        <v>X181</v>
      </c>
      <c r="B125" s="27" t="str">
        <v>NY</v>
      </c>
      <c r="C125" s="27" t="str">
        <f>Sites[[#This Row],[SOL'#]]</f>
        <v>SOL-10428</v>
      </c>
      <c r="D125" s="9">
        <f>SUM(Oct!D125, Nov!D125, Dec!D125)</f>
        <v>46280.578125</v>
      </c>
      <c r="E125" s="14">
        <f>SUM(Oct!E125, Nov!E125, Dec!E125)</f>
        <v>47638.719999999994</v>
      </c>
      <c r="F125" s="14">
        <f t="shared" si="8"/>
        <v>-1358.1418749999939</v>
      </c>
      <c r="G125" s="15">
        <f t="shared" si="9"/>
        <v>-2.8509201653612735E-2</v>
      </c>
      <c r="H125" s="16">
        <f>SUM(Oct!H125,Nov!H125,Dec!H125)</f>
        <v>44674</v>
      </c>
      <c r="I125" s="16">
        <f>SUM(Oct!I125, Nov!I125, Dec!I125)</f>
        <v>1606.578125</v>
      </c>
      <c r="J125" s="15">
        <f t="shared" si="5"/>
        <v>3.5962262725522678E-2</v>
      </c>
    </row>
    <row r="126" spans="1:10" ht="15.6">
      <c r="A126" s="24" t="str">
        <v>X415</v>
      </c>
      <c r="B126" s="25" t="str">
        <v>NY</v>
      </c>
      <c r="C126" s="25" t="str">
        <f>Sites[[#This Row],[SOL'#]]</f>
        <v>SOL-10429</v>
      </c>
      <c r="D126" s="20">
        <f>SUM(Oct!D126, Nov!D126, Dec!D126)</f>
        <v>28462.71875</v>
      </c>
      <c r="E126" s="10">
        <f>SUM(Oct!E126, Nov!E126, Dec!E126)</f>
        <v>26389.947999999997</v>
      </c>
      <c r="F126" s="10">
        <f t="shared" si="8"/>
        <v>2072.7707500000033</v>
      </c>
      <c r="G126" s="11">
        <f t="shared" si="9"/>
        <v>7.8543949764508958E-2</v>
      </c>
      <c r="H126" s="12">
        <f>SUM(Oct!H126,Nov!H126,Dec!H126)</f>
        <v>24406</v>
      </c>
      <c r="I126" s="12">
        <f>SUM(Oct!I126, Nov!I126, Dec!I126)</f>
        <v>4056.71875</v>
      </c>
      <c r="J126" s="13">
        <f t="shared" si="5"/>
        <v>0.16621809186265674</v>
      </c>
    </row>
    <row r="127" spans="1:10" ht="15.6">
      <c r="A127" s="26" t="str">
        <v>K198</v>
      </c>
      <c r="B127" s="27" t="str">
        <v>NY</v>
      </c>
      <c r="C127" s="27" t="str">
        <f>Sites[[#This Row],[SOL'#]]</f>
        <v>SOL-10930</v>
      </c>
      <c r="D127" s="9">
        <f>SUM(Oct!D127, Nov!D127, Dec!D127)</f>
        <v>21777.015625</v>
      </c>
      <c r="E127" s="14">
        <f>SUM(Oct!E127, Nov!E127, Dec!E127)</f>
        <v>24288.602000000003</v>
      </c>
      <c r="F127" s="14">
        <f t="shared" si="8"/>
        <v>-2511.5863750000026</v>
      </c>
      <c r="G127" s="15">
        <f t="shared" si="9"/>
        <v>-0.10340596692226264</v>
      </c>
      <c r="H127" s="16">
        <f>SUM(Oct!H127,Nov!H127,Dec!H127)</f>
        <v>22559</v>
      </c>
      <c r="I127" s="16">
        <f>SUM(Oct!I127, Nov!I127, Dec!I127)</f>
        <v>-781.984375</v>
      </c>
      <c r="J127" s="15">
        <f t="shared" si="5"/>
        <v>-3.4663964493106963E-2</v>
      </c>
    </row>
    <row r="128" spans="1:10" ht="15.6">
      <c r="A128" s="24" t="str">
        <v>K203</v>
      </c>
      <c r="B128" s="25" t="str">
        <v>NY</v>
      </c>
      <c r="C128" s="25" t="str">
        <f>Sites[[#This Row],[SOL'#]]</f>
        <v>SOL-11190</v>
      </c>
      <c r="D128" s="20">
        <f>SUM(Oct!D128, Nov!D128, Dec!D128)</f>
        <v>27781.599999999999</v>
      </c>
      <c r="E128" s="10">
        <f>SUM(Oct!E128, Nov!E128, Dec!E128)</f>
        <v>26590.464999999997</v>
      </c>
      <c r="F128" s="10">
        <f t="shared" si="8"/>
        <v>1191.135000000002</v>
      </c>
      <c r="G128" s="11">
        <f t="shared" si="9"/>
        <v>4.4795568637103649E-2</v>
      </c>
      <c r="H128" s="12">
        <f>SUM(Oct!H128,Nov!H128,Dec!H128)</f>
        <v>31668</v>
      </c>
      <c r="I128" s="12">
        <f>SUM(Oct!I128, Nov!I128, Dec!I128)</f>
        <v>-3886.3999999999996</v>
      </c>
      <c r="J128" s="13">
        <f t="shared" si="5"/>
        <v>-0.1227232537577365</v>
      </c>
    </row>
    <row r="129" spans="1:10" ht="15.6">
      <c r="A129" s="26" t="str">
        <v>K213</v>
      </c>
      <c r="B129" s="27" t="str">
        <v>NY</v>
      </c>
      <c r="C129" s="27" t="str">
        <f>Sites[[#This Row],[SOL'#]]</f>
        <v>SOL-11191</v>
      </c>
      <c r="D129" s="9">
        <f>SUM(Oct!D129, Nov!D129, Dec!D129)</f>
        <v>30273.500000000022</v>
      </c>
      <c r="E129" s="14">
        <f>SUM(Oct!E129, Nov!E129, Dec!E129)</f>
        <v>36779.389000000003</v>
      </c>
      <c r="F129" s="14">
        <f t="shared" si="8"/>
        <v>-6505.888999999981</v>
      </c>
      <c r="G129" s="15">
        <f t="shared" si="9"/>
        <v>-0.17688953451619277</v>
      </c>
      <c r="H129" s="16">
        <f>SUM(Oct!H129,Nov!H129,Dec!H129)</f>
        <v>32790</v>
      </c>
      <c r="I129" s="16">
        <f>SUM(Oct!I129, Nov!I129, Dec!I129)</f>
        <v>-2516.49999999998</v>
      </c>
      <c r="J129" s="15">
        <f t="shared" si="5"/>
        <v>-7.6745959133881672E-2</v>
      </c>
    </row>
    <row r="130" spans="1:10" ht="15.6">
      <c r="A130" s="24" t="str">
        <v>K217</v>
      </c>
      <c r="B130" s="25" t="str">
        <v>NY</v>
      </c>
      <c r="C130" s="25" t="str">
        <f>Sites[[#This Row],[SOL'#]]</f>
        <v>SOL-10933</v>
      </c>
      <c r="D130" s="20">
        <f>SUM(Oct!D130, Nov!D130, Dec!D130)</f>
        <v>14479.046875</v>
      </c>
      <c r="E130" s="10">
        <f>SUM(Oct!E130, Nov!E130, Dec!E130)</f>
        <v>18544.790999999997</v>
      </c>
      <c r="F130" s="10">
        <f t="shared" si="8"/>
        <v>-4065.7441249999974</v>
      </c>
      <c r="G130" s="11">
        <f t="shared" si="9"/>
        <v>-0.2192391451054907</v>
      </c>
      <c r="H130" s="12">
        <f>SUM(Oct!H130,Nov!H130,Dec!H130)</f>
        <v>15057</v>
      </c>
      <c r="I130" s="12">
        <f>SUM(Oct!I130, Nov!I130, Dec!I130)</f>
        <v>-577.953125</v>
      </c>
      <c r="J130" s="13">
        <f t="shared" si="5"/>
        <v>-3.8384347811649067E-2</v>
      </c>
    </row>
    <row r="131" spans="1:10" ht="15.6">
      <c r="A131" s="26" t="str">
        <v>K307</v>
      </c>
      <c r="B131" s="27" t="str">
        <v>NY</v>
      </c>
      <c r="C131" s="27" t="str">
        <f>Sites[[#This Row],[SOL'#]]</f>
        <v>SOL-10876</v>
      </c>
      <c r="D131" s="9">
        <f>SUM(Oct!D131, Nov!D131, Dec!D131)</f>
        <v>34789.46875</v>
      </c>
      <c r="E131" s="14">
        <f>SUM(Oct!E131, Nov!E131, Dec!E131)</f>
        <v>54059.03</v>
      </c>
      <c r="F131" s="14">
        <f t="shared" si="8"/>
        <v>-19269.561249999999</v>
      </c>
      <c r="G131" s="15">
        <f t="shared" si="9"/>
        <v>-0.35645406974560956</v>
      </c>
      <c r="H131" s="16">
        <f>SUM(Oct!H131,Nov!H131,Dec!H131)</f>
        <v>30011</v>
      </c>
      <c r="I131" s="16">
        <f>SUM(Oct!I131, Nov!I131, Dec!I131)</f>
        <v>4778.46875</v>
      </c>
      <c r="J131" s="15">
        <f t="shared" si="5"/>
        <v>0.15922390956649229</v>
      </c>
    </row>
    <row r="132" spans="1:10" ht="15.6">
      <c r="A132" s="24" t="str">
        <v>K610</v>
      </c>
      <c r="B132" s="25" t="str">
        <v>NY</v>
      </c>
      <c r="C132" s="25" t="str">
        <f>Sites[[#This Row],[SOL'#]]</f>
        <v>SOL-11158</v>
      </c>
      <c r="D132" s="20">
        <f>SUM(Oct!D132, Nov!D132, Dec!D132)</f>
        <v>40734.900000000023</v>
      </c>
      <c r="E132" s="10">
        <f>SUM(Oct!E132, Nov!E132, Dec!E132)</f>
        <v>43876.22</v>
      </c>
      <c r="F132" s="10">
        <f t="shared" si="8"/>
        <v>-3141.3199999999779</v>
      </c>
      <c r="G132" s="11">
        <f t="shared" si="9"/>
        <v>-7.1595046246007016E-2</v>
      </c>
      <c r="H132" s="12">
        <f>SUM(Oct!H132,Nov!H132,Dec!H132)</f>
        <v>42680</v>
      </c>
      <c r="I132" s="12">
        <f>SUM(Oct!I132, Nov!I132, Dec!I132)</f>
        <v>-1945.0999999999731</v>
      </c>
      <c r="J132" s="13">
        <f t="shared" ref="J132:J173" si="10">IFERROR(I132/H132, "")</f>
        <v>-4.5574039362698528E-2</v>
      </c>
    </row>
    <row r="133" spans="1:10" ht="15.6">
      <c r="A133" s="26" t="str">
        <v>M025</v>
      </c>
      <c r="B133" s="27" t="str">
        <v>NY</v>
      </c>
      <c r="C133" s="27" t="str">
        <f>Sites[[#This Row],[SOL'#]]</f>
        <v>SOL-10392</v>
      </c>
      <c r="D133" s="9">
        <f>SUM(Oct!D133, Nov!D133, Dec!D133)</f>
        <v>30365.3359375</v>
      </c>
      <c r="E133" s="14">
        <f>SUM(Oct!E133, Nov!E133, Dec!E133)</f>
        <v>45234.99</v>
      </c>
      <c r="F133" s="14">
        <f t="shared" si="8"/>
        <v>-14869.654062499998</v>
      </c>
      <c r="G133" s="15">
        <f t="shared" si="9"/>
        <v>-0.32872018016362992</v>
      </c>
      <c r="H133" s="16">
        <f>SUM(Oct!H133,Nov!H133,Dec!H133)</f>
        <v>37937</v>
      </c>
      <c r="I133" s="16">
        <f>SUM(Oct!I133, Nov!I133, Dec!I133)</f>
        <v>-7571.6640625</v>
      </c>
      <c r="J133" s="15">
        <f t="shared" si="10"/>
        <v>-0.19958520870126789</v>
      </c>
    </row>
    <row r="134" spans="1:10" ht="15.6">
      <c r="A134" s="24" t="str">
        <v>M028</v>
      </c>
      <c r="B134" s="25" t="str">
        <v>NY</v>
      </c>
      <c r="C134" s="25" t="str">
        <f>Sites[[#This Row],[SOL'#]]</f>
        <v>SOL-10381</v>
      </c>
      <c r="D134" s="20">
        <f>SUM(Oct!D134, Nov!D134, Dec!D134)</f>
        <v>27850.984375</v>
      </c>
      <c r="E134" s="10">
        <f>SUM(Oct!E134, Nov!E134, Dec!E134)</f>
        <v>29028.198000000004</v>
      </c>
      <c r="F134" s="10">
        <f t="shared" si="8"/>
        <v>-1177.213625000004</v>
      </c>
      <c r="G134" s="11">
        <f t="shared" si="9"/>
        <v>-4.0554140666947493E-2</v>
      </c>
      <c r="H134" s="12">
        <f>SUM(Oct!H134,Nov!H134,Dec!H134)</f>
        <v>26016</v>
      </c>
      <c r="I134" s="12">
        <f>SUM(Oct!I134, Nov!I134, Dec!I134)</f>
        <v>1834.984375</v>
      </c>
      <c r="J134" s="13">
        <f t="shared" si="10"/>
        <v>7.0532917243234933E-2</v>
      </c>
    </row>
    <row r="135" spans="1:10" ht="15.6">
      <c r="A135" s="26" t="str">
        <v>Q030</v>
      </c>
      <c r="B135" s="27" t="str">
        <v>NY</v>
      </c>
      <c r="C135" s="27" t="str">
        <f>Sites[[#This Row],[SOL'#]]</f>
        <v>SOL-10878</v>
      </c>
      <c r="D135" s="9">
        <f>SUM(Oct!D135, Nov!D135, Dec!D135)</f>
        <v>30954.578125</v>
      </c>
      <c r="E135" s="14">
        <f>SUM(Oct!E135, Nov!E135, Dec!E135)</f>
        <v>33690.588000000003</v>
      </c>
      <c r="F135" s="14">
        <f t="shared" si="8"/>
        <v>-2736.0098750000034</v>
      </c>
      <c r="G135" s="15">
        <f t="shared" si="9"/>
        <v>-8.1209917588853098E-2</v>
      </c>
      <c r="H135" s="16">
        <f>SUM(Oct!H135,Nov!H135,Dec!H135)</f>
        <v>33004</v>
      </c>
      <c r="I135" s="16">
        <f>SUM(Oct!I135, Nov!I135, Dec!I135)</f>
        <v>-2049.421875</v>
      </c>
      <c r="J135" s="15">
        <f t="shared" si="10"/>
        <v>-6.2096166373772875E-2</v>
      </c>
    </row>
    <row r="136" spans="1:10" ht="15.6">
      <c r="A136" s="24" t="str">
        <v>Q130</v>
      </c>
      <c r="B136" s="25" t="str">
        <v>NY</v>
      </c>
      <c r="C136" s="25" t="str">
        <f>Sites[[#This Row],[SOL'#]]</f>
        <v>SOL-10877</v>
      </c>
      <c r="D136" s="20">
        <f>SUM(Oct!D136, Nov!D136, Dec!D136)</f>
        <v>17369.3046875</v>
      </c>
      <c r="E136" s="10">
        <f>SUM(Oct!E136, Nov!E136, Dec!E136)</f>
        <v>22014.564999999999</v>
      </c>
      <c r="F136" s="10">
        <f t="shared" si="8"/>
        <v>-4645.2603124999987</v>
      </c>
      <c r="G136" s="11">
        <f t="shared" si="9"/>
        <v>-0.21100849880522277</v>
      </c>
      <c r="H136" s="12">
        <f>SUM(Oct!H136,Nov!H136,Dec!H136)</f>
        <v>17250.41</v>
      </c>
      <c r="I136" s="12">
        <f>SUM(Oct!I136, Nov!I136, Dec!I136)</f>
        <v>118.89468750000015</v>
      </c>
      <c r="J136" s="13">
        <f t="shared" si="10"/>
        <v>6.892281835620147E-3</v>
      </c>
    </row>
    <row r="137" spans="1:10" ht="15.6">
      <c r="A137" s="26" t="str">
        <v>Q196</v>
      </c>
      <c r="B137" s="27" t="str">
        <v>NY</v>
      </c>
      <c r="C137" s="27" t="str">
        <f>Sites[[#This Row],[SOL'#]]</f>
        <v>SOL-10879</v>
      </c>
      <c r="D137" s="9">
        <f>SUM(Oct!D137, Nov!D137, Dec!D137)</f>
        <v>23024.984375</v>
      </c>
      <c r="E137" s="14">
        <f>SUM(Oct!E137, Nov!E137, Dec!E137)</f>
        <v>27634.306</v>
      </c>
      <c r="F137" s="14">
        <f t="shared" si="8"/>
        <v>-4609.3216250000005</v>
      </c>
      <c r="G137" s="15">
        <f t="shared" si="9"/>
        <v>-0.16679708276372132</v>
      </c>
      <c r="H137" s="16">
        <f>SUM(Oct!H137,Nov!H137,Dec!H137)</f>
        <v>22889</v>
      </c>
      <c r="I137" s="16">
        <f>SUM(Oct!I137, Nov!I137, Dec!I137)</f>
        <v>135.984375</v>
      </c>
      <c r="J137" s="15">
        <f t="shared" si="10"/>
        <v>5.94103608720346E-3</v>
      </c>
    </row>
    <row r="138" spans="1:10" ht="15.6">
      <c r="A138" s="24" t="str">
        <v>Q220</v>
      </c>
      <c r="B138" s="25" t="str">
        <v>NY</v>
      </c>
      <c r="C138" s="25" t="str">
        <f>Sites[[#This Row],[SOL'#]]</f>
        <v>SOL-10873</v>
      </c>
      <c r="D138" s="20">
        <f>SUM(Oct!D138, Nov!D138, Dec!D138)</f>
        <v>23834.1875</v>
      </c>
      <c r="E138" s="10">
        <f>SUM(Oct!E138, Nov!E138, Dec!E138)</f>
        <v>36867.976999999999</v>
      </c>
      <c r="F138" s="10">
        <f t="shared" si="8"/>
        <v>-13033.789499999999</v>
      </c>
      <c r="G138" s="11">
        <f t="shared" si="9"/>
        <v>-0.35352602883526807</v>
      </c>
      <c r="H138" s="12">
        <f>SUM(Oct!H138,Nov!H138,Dec!H138)</f>
        <v>24075</v>
      </c>
      <c r="I138" s="12">
        <f>SUM(Oct!I138, Nov!I138, Dec!I138)</f>
        <v>-240.8125</v>
      </c>
      <c r="J138" s="13">
        <f t="shared" si="10"/>
        <v>-1.0002596053997923E-2</v>
      </c>
    </row>
    <row r="139" spans="1:10" ht="15.6">
      <c r="A139" s="26" t="str">
        <v>Q205</v>
      </c>
      <c r="B139" s="27" t="str">
        <v>NY</v>
      </c>
      <c r="C139" s="27" t="str">
        <f>Sites[[#This Row],[SOL'#]]</f>
        <v>SOL-10922</v>
      </c>
      <c r="D139" s="9">
        <f>SUM(Oct!D139, Nov!D139, Dec!D139)</f>
        <v>35893.484375</v>
      </c>
      <c r="E139" s="14">
        <f>SUM(Oct!E139, Nov!E139, Dec!E139)</f>
        <v>47360.850000000006</v>
      </c>
      <c r="F139" s="14">
        <f t="shared" si="8"/>
        <v>-11467.365625000006</v>
      </c>
      <c r="G139" s="15">
        <f t="shared" si="9"/>
        <v>-0.2421275299113087</v>
      </c>
      <c r="H139" s="16">
        <f>SUM(Oct!H139,Nov!H139,Dec!H139)</f>
        <v>33411</v>
      </c>
      <c r="I139" s="16">
        <f>SUM(Oct!I139, Nov!I139, Dec!I139)</f>
        <v>2482.484375</v>
      </c>
      <c r="J139" s="15">
        <f t="shared" si="10"/>
        <v>7.4301408967106644E-2</v>
      </c>
    </row>
    <row r="140" spans="1:10" ht="15.6">
      <c r="A140" s="24" t="str">
        <v>Q400</v>
      </c>
      <c r="B140" s="25" t="str">
        <v>NY</v>
      </c>
      <c r="C140" s="25" t="str">
        <f>Sites[[#This Row],[SOL'#]]</f>
        <v>SOL-10871</v>
      </c>
      <c r="D140" s="20">
        <f>SUM(Oct!D140, Nov!D140, Dec!D140)</f>
        <v>38812.716279069798</v>
      </c>
      <c r="E140" s="10">
        <f>SUM(Oct!E140, Nov!E140, Dec!E140)</f>
        <v>0</v>
      </c>
      <c r="F140" s="10">
        <f t="shared" si="8"/>
        <v>38812.716279069798</v>
      </c>
      <c r="G140" s="11" t="str">
        <f t="shared" si="9"/>
        <v/>
      </c>
      <c r="H140" s="12">
        <f>SUM(Oct!H140,Nov!H140,Dec!H140)</f>
        <v>49713</v>
      </c>
      <c r="I140" s="12">
        <f>SUM(Oct!I140, Nov!I140, Dec!I140)</f>
        <v>-10900.2837209302</v>
      </c>
      <c r="J140" s="13">
        <f t="shared" si="10"/>
        <v>-0.2192642512206103</v>
      </c>
    </row>
    <row r="141" spans="1:10" ht="15.6">
      <c r="A141" s="26" t="str">
        <v>R003</v>
      </c>
      <c r="B141" s="27" t="str">
        <v>NY</v>
      </c>
      <c r="C141" s="27" t="str">
        <f>Sites[[#This Row],[SOL'#]]</f>
        <v>SOL-10416</v>
      </c>
      <c r="D141" s="9">
        <f>SUM(Oct!D141, Nov!D141, Dec!D141)</f>
        <v>53767.425528606895</v>
      </c>
      <c r="E141" s="14">
        <f>SUM(Oct!E141, Nov!E141, Dec!E141)</f>
        <v>54107.479999999996</v>
      </c>
      <c r="F141" s="14">
        <f t="shared" si="8"/>
        <v>-340.05447139310127</v>
      </c>
      <c r="G141" s="15">
        <f t="shared" si="9"/>
        <v>-6.2847959541472136E-3</v>
      </c>
      <c r="H141" s="16">
        <f>SUM(Oct!H141,Nov!H141,Dec!H141)</f>
        <v>50589</v>
      </c>
      <c r="I141" s="16">
        <f>SUM(Oct!I141, Nov!I141, Dec!I141)</f>
        <v>3178.4255286068983</v>
      </c>
      <c r="J141" s="15">
        <f t="shared" si="10"/>
        <v>6.2828392113046277E-2</v>
      </c>
    </row>
    <row r="142" spans="1:10" ht="15.6">
      <c r="A142" s="24" t="str">
        <v>R007</v>
      </c>
      <c r="B142" s="25" t="str">
        <v>NY</v>
      </c>
      <c r="C142" s="25" t="str">
        <f>Sites[[#This Row],[SOL'#]]</f>
        <v>SOL-10417</v>
      </c>
      <c r="D142" s="20">
        <f>SUM(Oct!D142, Nov!D142, Dec!D142)</f>
        <v>56652.4375</v>
      </c>
      <c r="E142" s="10">
        <f>SUM(Oct!E142, Nov!E142, Dec!E142)</f>
        <v>63064.46</v>
      </c>
      <c r="F142" s="10">
        <f t="shared" si="8"/>
        <v>-6412.0224999999991</v>
      </c>
      <c r="G142" s="11">
        <f t="shared" si="9"/>
        <v>-0.10167410455904957</v>
      </c>
      <c r="H142" s="12">
        <f>SUM(Oct!H142,Nov!H142,Dec!H142)</f>
        <v>73163.08</v>
      </c>
      <c r="I142" s="12">
        <f>SUM(Oct!I142, Nov!I142, Dec!I142)</f>
        <v>-16510.642500000002</v>
      </c>
      <c r="J142" s="13">
        <f t="shared" si="10"/>
        <v>-0.22566904646441896</v>
      </c>
    </row>
    <row r="143" spans="1:10" ht="15.6">
      <c r="A143" s="26" t="str">
        <v>BK16</v>
      </c>
      <c r="B143" s="27" t="str">
        <v>NY</v>
      </c>
      <c r="C143" s="27" t="str">
        <f>Sites[[#This Row],[SOL'#]]</f>
        <v>SOL-11093</v>
      </c>
      <c r="D143" s="9">
        <f>SUM(Oct!D143, Nov!D143, Dec!D143)</f>
        <v>54566.656249999898</v>
      </c>
      <c r="E143" s="14">
        <f>SUM(Oct!E143, Nov!E143, Dec!E143)</f>
        <v>59469.210000000006</v>
      </c>
      <c r="F143" s="14">
        <f t="shared" si="8"/>
        <v>-4902.5537500001083</v>
      </c>
      <c r="G143" s="15">
        <f t="shared" si="9"/>
        <v>-8.2438521547538765E-2</v>
      </c>
      <c r="H143" s="16">
        <f>SUM(Oct!H143,Nov!H143,Dec!H143)</f>
        <v>53468</v>
      </c>
      <c r="I143" s="16">
        <f>SUM(Oct!I143, Nov!I143, Dec!I143)</f>
        <v>1098.6562499999</v>
      </c>
      <c r="J143" s="15">
        <f t="shared" si="10"/>
        <v>2.0547921186502206E-2</v>
      </c>
    </row>
    <row r="144" spans="1:10" ht="15.6">
      <c r="A144" s="24" t="str">
        <v>Trenton - Trenton East</v>
      </c>
      <c r="B144" s="25" t="str">
        <v>IL</v>
      </c>
      <c r="C144" s="25" t="str">
        <f>Sites[[#This Row],[SOL'#]]</f>
        <v>SOL-11060</v>
      </c>
      <c r="D144" s="20">
        <f>SUM(Oct!D144, Nov!D144, Dec!D144)</f>
        <v>807644</v>
      </c>
      <c r="E144" s="10">
        <f>SUM(Oct!E144, Nov!E144, Dec!E144)</f>
        <v>796972.89999999991</v>
      </c>
      <c r="F144" s="10">
        <f>IF(AND(ISNUMBER(D144),ISNUMBER(E144)), D144-E144, "")</f>
        <v>10671.100000000093</v>
      </c>
      <c r="G144" s="11">
        <f t="shared" si="9"/>
        <v>1.3389539343182303E-2</v>
      </c>
      <c r="H144" s="12">
        <f>SUM(Oct!H144,Nov!H144,Dec!H144)</f>
        <v>730871</v>
      </c>
      <c r="I144" s="12">
        <f>SUM(Oct!I144, Nov!I144, Dec!I144)</f>
        <v>76773</v>
      </c>
      <c r="J144" s="13">
        <f t="shared" si="10"/>
        <v>0.10504316083139159</v>
      </c>
    </row>
    <row r="145" spans="1:10" ht="15.6">
      <c r="A145" s="26" t="str">
        <v>Trenton - Trenton West</v>
      </c>
      <c r="B145" s="27" t="str">
        <v>IL</v>
      </c>
      <c r="C145" s="27" t="str">
        <f>Sites[[#This Row],[SOL'#]]</f>
        <v>SOL-11061</v>
      </c>
      <c r="D145" s="9">
        <f>SUM(Oct!D145, Nov!D145, Dec!D145)</f>
        <v>716449</v>
      </c>
      <c r="E145" s="14">
        <f>SUM(Oct!E145, Nov!E145, Dec!E145)</f>
        <v>650634.30000000005</v>
      </c>
      <c r="F145" s="14">
        <f>IF(AND(ISNUMBER(D145),ISNUMBER(E145)), D145-E145, "")</f>
        <v>65814.699999999953</v>
      </c>
      <c r="G145" s="15">
        <f t="shared" si="9"/>
        <v>0.10115467321658257</v>
      </c>
      <c r="H145" s="16">
        <f>SUM(Oct!H145,Nov!H145,Dec!H145)</f>
        <v>746633</v>
      </c>
      <c r="I145" s="16">
        <f>SUM(Oct!I145, Nov!I145, Dec!I145)</f>
        <v>-30184</v>
      </c>
      <c r="J145" s="15">
        <f t="shared" si="10"/>
        <v>-4.0426822816564498E-2</v>
      </c>
    </row>
    <row r="146" spans="1:10" ht="15.6">
      <c r="A146" s="24" t="str">
        <v>Dakota - Dakota Solar 1</v>
      </c>
      <c r="B146" s="25" t="str">
        <v>IL</v>
      </c>
      <c r="C146" s="25" t="str">
        <f>Sites[[#This Row],[SOL'#]]</f>
        <v>SOL-11113</v>
      </c>
      <c r="D146" s="20">
        <f>SUM(Oct!D146, Nov!D146, Dec!D146)</f>
        <v>694110</v>
      </c>
      <c r="E146" s="10">
        <f>SUM(Oct!E146, Nov!E146, Dec!E146)</f>
        <v>699975.39999999991</v>
      </c>
      <c r="F146" s="10">
        <f>IF(AND(ISNUMBER(D146),ISNUMBER(E146)), D146-E146, "")</f>
        <v>-5865.3999999999069</v>
      </c>
      <c r="G146" s="11">
        <f t="shared" si="9"/>
        <v>-8.3794373345119095E-3</v>
      </c>
      <c r="H146" s="12">
        <f>SUM(Oct!H146,Nov!H146,Dec!H146)</f>
        <v>677400</v>
      </c>
      <c r="I146" s="12">
        <f>SUM(Oct!I146, Nov!I146, Dec!I146)</f>
        <v>16710</v>
      </c>
      <c r="J146" s="13">
        <f t="shared" si="10"/>
        <v>2.4667847652790079E-2</v>
      </c>
    </row>
    <row r="147" spans="1:10" ht="15.6">
      <c r="A147" s="26" t="str">
        <v>X018</v>
      </c>
      <c r="B147" s="27" t="str">
        <v>NY</v>
      </c>
      <c r="C147" s="27" t="str">
        <f>Sites[[#This Row],[SOL'#]]</f>
        <v>SOL-10418</v>
      </c>
      <c r="D147" s="9">
        <f>SUM(Oct!D147, Nov!D147, Dec!D147)</f>
        <v>26419.8125</v>
      </c>
      <c r="E147" s="14">
        <f>SUM(Oct!E147, Nov!E147, Dec!E147)</f>
        <v>28002.666999999998</v>
      </c>
      <c r="F147" s="14">
        <f>IF(AND(ISNUMBER(D147),ISNUMBER(E147)), D147-E147, "")</f>
        <v>-1582.8544999999976</v>
      </c>
      <c r="G147" s="15">
        <f t="shared" si="9"/>
        <v>-5.6525133838144698E-2</v>
      </c>
      <c r="H147" s="16">
        <f>SUM(Oct!H147,Nov!H147,Dec!H147)</f>
        <v>29610</v>
      </c>
      <c r="I147" s="16">
        <f>SUM(Oct!I147, Nov!I147, Dec!I147)</f>
        <v>-3190.1875</v>
      </c>
      <c r="J147" s="15">
        <f t="shared" si="10"/>
        <v>-0.10774020601148261</v>
      </c>
    </row>
    <row r="148" spans="1:10" ht="15.6">
      <c r="A148" s="24" t="str">
        <v>Janiak Solar</v>
      </c>
      <c r="B148" s="25" t="str">
        <v>NY</v>
      </c>
      <c r="C148" s="25" t="str">
        <f>Sites[[#This Row],[SOL'#]]</f>
        <v>SOL-10898</v>
      </c>
      <c r="D148" s="20">
        <f>SUM(Oct!D148, Nov!D148, Dec!D148)</f>
        <v>620339.643887677</v>
      </c>
      <c r="E148" s="10">
        <f>SUM(Oct!E148, Nov!E148, Dec!E148)</f>
        <v>686437</v>
      </c>
      <c r="F148" s="10">
        <f t="shared" ref="F148:F173" si="11">IF(AND(ISNUMBER(D148),ISNUMBER(E148)), D148-E148, "")</f>
        <v>-66097.356112323003</v>
      </c>
      <c r="G148" s="11">
        <f t="shared" si="9"/>
        <v>-9.6290491497869432E-2</v>
      </c>
      <c r="H148" s="12">
        <f>SUM(Oct!H148,Nov!H148,Dec!H148)</f>
        <v>647730</v>
      </c>
      <c r="I148" s="12">
        <f>SUM(Oct!I148, Nov!I148, Dec!I148)</f>
        <v>-27390.356112323003</v>
      </c>
      <c r="J148" s="13">
        <f t="shared" si="10"/>
        <v>-4.2286687527709081E-2</v>
      </c>
    </row>
    <row r="149" spans="1:10" ht="15.6">
      <c r="A149" s="26" t="str">
        <v>County Route 11B</v>
      </c>
      <c r="B149" s="27" t="str">
        <v>NY</v>
      </c>
      <c r="C149" s="27" t="str">
        <f>Sites[[#This Row],[SOL'#]]</f>
        <v>SOL-10983</v>
      </c>
      <c r="D149" s="9">
        <f>SUM(Oct!D149, Nov!D149, Dec!D149)</f>
        <v>1242192.25</v>
      </c>
      <c r="E149" s="14">
        <f>SUM(Oct!E149, Nov!E149, Dec!E149)</f>
        <v>1224916.18</v>
      </c>
      <c r="F149" s="14">
        <f t="shared" si="11"/>
        <v>17276.070000000065</v>
      </c>
      <c r="G149" s="15">
        <f t="shared" si="9"/>
        <v>1.410387933646208E-2</v>
      </c>
      <c r="H149" s="16">
        <f>SUM(Oct!H149,Nov!H149,Dec!H149)</f>
        <v>0</v>
      </c>
      <c r="I149" s="16">
        <f>SUM(Oct!I149, Nov!I149, Dec!I149)</f>
        <v>0</v>
      </c>
      <c r="J149" s="15" t="str">
        <f t="shared" si="10"/>
        <v/>
      </c>
    </row>
    <row r="150" spans="1:10" ht="15.6">
      <c r="A150" s="24" t="str">
        <v>Barone</v>
      </c>
      <c r="B150" s="25" t="str">
        <v>NY</v>
      </c>
      <c r="C150" s="25" t="str">
        <f>Sites[[#This Row],[SOL'#]]</f>
        <v>SOL-11034</v>
      </c>
      <c r="D150" s="20">
        <f>SUM(Oct!D150, Nov!D150, Dec!D150)</f>
        <v>903777</v>
      </c>
      <c r="E150" s="10">
        <f>SUM(Oct!E150, Nov!E150, Dec!E150)</f>
        <v>892862</v>
      </c>
      <c r="F150" s="10">
        <f t="shared" si="11"/>
        <v>10915</v>
      </c>
      <c r="G150" s="11">
        <f t="shared" si="9"/>
        <v>1.2224733497449774E-2</v>
      </c>
      <c r="H150" s="12">
        <f>SUM(Oct!H150,Nov!H150,Dec!H150)</f>
        <v>952215</v>
      </c>
      <c r="I150" s="12">
        <f>SUM(Oct!I150, Nov!I150, Dec!I150)</f>
        <v>-48438</v>
      </c>
      <c r="J150" s="13">
        <f t="shared" si="10"/>
        <v>-5.0868763882106455E-2</v>
      </c>
    </row>
    <row r="151" spans="1:10" ht="15.6">
      <c r="A151" s="26" t="str">
        <v>Cedarville</v>
      </c>
      <c r="B151" s="27" t="str">
        <v>IL</v>
      </c>
      <c r="C151" s="27" t="str">
        <f>Sites[[#This Row],[SOL'#]]</f>
        <v>SOL-11069</v>
      </c>
      <c r="D151" s="9">
        <f>SUM(Oct!D151, Nov!D151, Dec!D151)</f>
        <v>558109</v>
      </c>
      <c r="E151" s="14">
        <f>SUM(Oct!E151, Nov!E151, Dec!E151)</f>
        <v>589449.80000000005</v>
      </c>
      <c r="F151" s="14">
        <f t="shared" si="11"/>
        <v>-31340.800000000047</v>
      </c>
      <c r="G151" s="15">
        <f t="shared" si="9"/>
        <v>-5.3169582888992491E-2</v>
      </c>
      <c r="H151" s="16">
        <f>SUM(Oct!H151,Nov!H151,Dec!H151)</f>
        <v>643715</v>
      </c>
      <c r="I151" s="16">
        <f>SUM(Oct!I151, Nov!I151, Dec!I151)</f>
        <v>-85606</v>
      </c>
      <c r="J151" s="15">
        <f t="shared" si="10"/>
        <v>-0.13298742455900514</v>
      </c>
    </row>
    <row r="152" spans="1:10" ht="15.6">
      <c r="A152" s="24" t="str">
        <v xml:space="preserve"> O'Brien Hill #1</v>
      </c>
      <c r="B152" s="25" t="str">
        <v>NY</v>
      </c>
      <c r="C152" s="25" t="str">
        <f>Sites[[#This Row],[SOL'#]]</f>
        <v>SOL-11098</v>
      </c>
      <c r="D152" s="20">
        <f>SUM(Oct!D152, Nov!D152, Dec!D152)</f>
        <v>0</v>
      </c>
      <c r="E152" s="10">
        <f>SUM(Oct!E152, Nov!E152, Dec!E152)</f>
        <v>0</v>
      </c>
      <c r="F152" s="10">
        <f t="shared" si="11"/>
        <v>0</v>
      </c>
      <c r="G152" s="11" t="str">
        <f t="shared" si="9"/>
        <v/>
      </c>
      <c r="H152" s="12">
        <f>SUM(Oct!H152,Nov!H152,Dec!H152)</f>
        <v>0</v>
      </c>
      <c r="I152" s="12">
        <f>SUM(Oct!I152, Nov!I152, Dec!I152)</f>
        <v>0</v>
      </c>
      <c r="J152" s="13" t="str">
        <f t="shared" si="10"/>
        <v/>
      </c>
    </row>
    <row r="153" spans="1:10" ht="15.6">
      <c r="A153" s="26" t="str">
        <v xml:space="preserve"> O'Brien Hill #2</v>
      </c>
      <c r="B153" s="27" t="str">
        <v>NY</v>
      </c>
      <c r="C153" s="27" t="str">
        <f>Sites[[#This Row],[SOL'#]]</f>
        <v>SOL-11099</v>
      </c>
      <c r="D153" s="9">
        <f>SUM(Oct!D153, Nov!D153, Dec!D153)</f>
        <v>1123349</v>
      </c>
      <c r="E153" s="14">
        <f>SUM(Oct!E153, Nov!E153, Dec!E153)</f>
        <v>1123031</v>
      </c>
      <c r="F153" s="14">
        <f t="shared" si="11"/>
        <v>318</v>
      </c>
      <c r="G153" s="15">
        <f t="shared" si="9"/>
        <v>2.8316226355283157E-4</v>
      </c>
      <c r="H153" s="16">
        <f>SUM(Oct!H153,Nov!H153,Dec!H153)</f>
        <v>0</v>
      </c>
      <c r="I153" s="16">
        <f>SUM(Oct!I153, Nov!I153, Dec!I153)</f>
        <v>0</v>
      </c>
      <c r="J153" s="15" t="str">
        <f t="shared" si="10"/>
        <v/>
      </c>
    </row>
    <row r="154" spans="1:10" ht="15.6">
      <c r="A154" s="24" t="str">
        <v>Trinity - Freeport</v>
      </c>
      <c r="B154" s="25" t="str">
        <v>IL</v>
      </c>
      <c r="C154" s="25" t="str">
        <f>Sites[[#This Row],[SOL'#]]</f>
        <v>SOL-11057</v>
      </c>
      <c r="D154" s="20">
        <f>SUM(Oct!D154, Nov!D154, Dec!D154)</f>
        <v>656376</v>
      </c>
      <c r="E154" s="10">
        <f>SUM(Oct!E154, Nov!E154, Dec!E154)</f>
        <v>706386.9</v>
      </c>
      <c r="F154" s="10">
        <f t="shared" si="11"/>
        <v>-50010.900000000023</v>
      </c>
      <c r="G154" s="11">
        <f t="shared" si="9"/>
        <v>-7.079817023786826E-2</v>
      </c>
      <c r="H154" s="12">
        <f>SUM(Oct!H154,Nov!H154,Dec!H154)</f>
        <v>646272</v>
      </c>
      <c r="I154" s="12">
        <f>SUM(Oct!I154, Nov!I154, Dec!I154)</f>
        <v>10104</v>
      </c>
      <c r="J154" s="13">
        <f t="shared" si="10"/>
        <v>1.5634284016636957E-2</v>
      </c>
    </row>
    <row r="155" spans="1:10" ht="15.6">
      <c r="A155" s="26" t="str">
        <v>Ransom</v>
      </c>
      <c r="B155" s="27" t="str">
        <v>NY</v>
      </c>
      <c r="C155" s="27" t="str">
        <f>Sites[[#This Row],[SOL'#]]</f>
        <v>SOL-11157</v>
      </c>
      <c r="D155" s="9">
        <f>SUM(Oct!D155, Nov!D155, Dec!D155)</f>
        <v>1207756</v>
      </c>
      <c r="E155" s="14">
        <f>SUM(Oct!E155, Nov!E155, Dec!E155)</f>
        <v>1193768</v>
      </c>
      <c r="F155" s="14">
        <f t="shared" si="11"/>
        <v>13988</v>
      </c>
      <c r="G155" s="15">
        <f t="shared" si="9"/>
        <v>1.1717519652059697E-2</v>
      </c>
      <c r="H155" s="16">
        <f>SUM(Oct!H155,Nov!H155,Dec!H155)</f>
        <v>0</v>
      </c>
      <c r="I155" s="16">
        <f>SUM(Oct!I155, Nov!I155, Dec!I155)</f>
        <v>0</v>
      </c>
      <c r="J155" s="15" t="str">
        <f t="shared" si="10"/>
        <v/>
      </c>
    </row>
    <row r="156" spans="1:10" ht="15.6">
      <c r="A156" s="24" t="str">
        <v>Horseheads - Wedge</v>
      </c>
      <c r="B156" s="25" t="str">
        <v>NY</v>
      </c>
      <c r="C156" s="25" t="str">
        <f>Sites[[#This Row],[SOL'#]]</f>
        <v>SOL-11160</v>
      </c>
      <c r="D156" s="20">
        <f>SUM(Oct!D156, Nov!D156, Dec!D156)</f>
        <v>740804</v>
      </c>
      <c r="E156" s="10">
        <f>SUM(Oct!E156, Nov!E156, Dec!E156)</f>
        <v>728941</v>
      </c>
      <c r="F156" s="10">
        <f t="shared" si="11"/>
        <v>11863</v>
      </c>
      <c r="G156" s="11">
        <f t="shared" si="9"/>
        <v>1.6274293804299664E-2</v>
      </c>
      <c r="H156" s="12">
        <f>SUM(Oct!H156,Nov!H156,Dec!H156)</f>
        <v>0</v>
      </c>
      <c r="I156" s="12">
        <f>SUM(Oct!I156, Nov!I156, Dec!I156)</f>
        <v>0</v>
      </c>
      <c r="J156" s="13" t="str">
        <f t="shared" si="10"/>
        <v/>
      </c>
    </row>
    <row r="157" spans="1:10" ht="15.6">
      <c r="A157" s="26" t="str">
        <v>Otisville - Shoddy Hollow</v>
      </c>
      <c r="B157" s="27" t="str">
        <v>NY</v>
      </c>
      <c r="C157" s="27" t="str">
        <f>Sites[[#This Row],[SOL'#]]</f>
        <v>SOL-11185</v>
      </c>
      <c r="D157" s="9">
        <f>SUM(Oct!D157, Nov!D157, Dec!D157)</f>
        <v>1461198</v>
      </c>
      <c r="E157" s="14">
        <f>SUM(Oct!E157, Nov!E157, Dec!E157)</f>
        <v>1411847</v>
      </c>
      <c r="F157" s="14">
        <f t="shared" si="11"/>
        <v>49351</v>
      </c>
      <c r="G157" s="15">
        <f t="shared" si="9"/>
        <v>3.4954920752744457E-2</v>
      </c>
      <c r="H157" s="16">
        <f>SUM(Oct!H157,Nov!H157,Dec!H157)</f>
        <v>0</v>
      </c>
      <c r="I157" s="16">
        <f>SUM(Oct!I157, Nov!I157, Dec!I157)</f>
        <v>0</v>
      </c>
      <c r="J157" s="15" t="str">
        <f t="shared" si="10"/>
        <v/>
      </c>
    </row>
    <row r="158" spans="1:10" ht="15.6">
      <c r="A158" s="24" t="str">
        <v>Wellsville - Chenunda Creek</v>
      </c>
      <c r="B158" s="25" t="str">
        <v>NY</v>
      </c>
      <c r="C158" s="25" t="str">
        <f>Sites[[#This Row],[SOL'#]]</f>
        <v>SOL-11187</v>
      </c>
      <c r="D158" s="20">
        <f>SUM(Oct!D158, Nov!D158, Dec!D158)</f>
        <v>615877</v>
      </c>
      <c r="E158" s="10">
        <f>SUM(Oct!E158, Nov!E158, Dec!E158)</f>
        <v>604699</v>
      </c>
      <c r="F158" s="10">
        <f t="shared" si="11"/>
        <v>11178</v>
      </c>
      <c r="G158" s="11">
        <f t="shared" si="9"/>
        <v>1.8485229841623683E-2</v>
      </c>
      <c r="H158" s="12">
        <f>SUM(Oct!H158,Nov!H158,Dec!H158)</f>
        <v>0</v>
      </c>
      <c r="I158" s="12">
        <f>SUM(Oct!I158, Nov!I158, Dec!I158)</f>
        <v>0</v>
      </c>
      <c r="J158" s="13" t="str">
        <f t="shared" si="10"/>
        <v/>
      </c>
    </row>
    <row r="159" spans="1:10" ht="15.6">
      <c r="A159" s="26" t="str">
        <v>DC: Washington - Essex Condominium</v>
      </c>
      <c r="B159" s="27" t="str">
        <v>DC</v>
      </c>
      <c r="C159" s="27" t="str">
        <f>Sites[[#This Row],[SOL'#]]</f>
        <v>SOL-10036</v>
      </c>
      <c r="D159" s="9">
        <f>SUM(Oct!D159, Nov!D159, Dec!D159)</f>
        <v>5711</v>
      </c>
      <c r="E159" s="14">
        <f>SUM(Oct!E159, Nov!E159, Dec!E159)</f>
        <v>7551.8009999999995</v>
      </c>
      <c r="F159" s="14">
        <f t="shared" si="11"/>
        <v>-1840.8009999999995</v>
      </c>
      <c r="G159" s="15">
        <f t="shared" si="9"/>
        <v>-0.24375655555542308</v>
      </c>
      <c r="H159" s="16">
        <f>SUM(Oct!H159,Nov!H159,Dec!H159)</f>
        <v>7877</v>
      </c>
      <c r="I159" s="16">
        <f>SUM(Oct!I159, Nov!I159, Dec!I159)</f>
        <v>-2166</v>
      </c>
      <c r="J159" s="15">
        <f t="shared" si="10"/>
        <v>-0.27497778342008378</v>
      </c>
    </row>
    <row r="160" spans="1:10" ht="15.6">
      <c r="A160" s="24" t="str">
        <v>HI: Waipahu - 94-246 Leoku St - E.F.G.</v>
      </c>
      <c r="B160" s="25" t="str">
        <v>HI</v>
      </c>
      <c r="C160" s="25" t="str">
        <f>Sites[[#This Row],[SOL'#]]</f>
        <v>SOL-10071</v>
      </c>
      <c r="D160" s="20">
        <f>SUM(Oct!D160, Nov!D160, Dec!D160)</f>
        <v>17214.029000000002</v>
      </c>
      <c r="E160" s="10">
        <f>SUM(Oct!E160, Nov!E160, Dec!E160)</f>
        <v>27238.067999999999</v>
      </c>
      <c r="F160" s="10">
        <f t="shared" si="11"/>
        <v>-10024.038999999997</v>
      </c>
      <c r="G160" s="11">
        <f t="shared" si="9"/>
        <v>-0.36801578584795358</v>
      </c>
      <c r="H160" s="12">
        <f>SUM(Oct!H160,Nov!H160,Dec!H160)</f>
        <v>30859.953999999998</v>
      </c>
      <c r="I160" s="12">
        <f>SUM(Oct!I160, Nov!I160, Dec!I160)</f>
        <v>-13645.924999999999</v>
      </c>
      <c r="J160" s="13">
        <f t="shared" si="10"/>
        <v>-0.44218876671041052</v>
      </c>
    </row>
    <row r="161" spans="1:10" ht="15.6">
      <c r="A161" s="26" t="str">
        <v>HI: Waipahu - 94-099 Waipahu St - PV</v>
      </c>
      <c r="B161" s="27" t="str">
        <v>HI</v>
      </c>
      <c r="C161" s="27" t="str">
        <f>Sites[[#This Row],[SOL'#]]</f>
        <v>SOL-10068</v>
      </c>
      <c r="D161" s="9">
        <f>SUM(Oct!D161, Nov!D161, Dec!D161)</f>
        <v>30881</v>
      </c>
      <c r="E161" s="14">
        <f>SUM(Oct!E161, Nov!E161, Dec!E161)</f>
        <v>24718.141</v>
      </c>
      <c r="F161" s="14">
        <f t="shared" si="11"/>
        <v>6162.8590000000004</v>
      </c>
      <c r="G161" s="15">
        <f t="shared" si="9"/>
        <v>0.24932534368179227</v>
      </c>
      <c r="H161" s="16">
        <f>SUM(Oct!H161,Nov!H161,Dec!H161)</f>
        <v>30843.439999999995</v>
      </c>
      <c r="I161" s="16">
        <f>SUM(Oct!I161, Nov!I161, Dec!I161)</f>
        <v>37.56000000000131</v>
      </c>
      <c r="J161" s="15">
        <f t="shared" si="10"/>
        <v>1.2177629991985757E-3</v>
      </c>
    </row>
    <row r="162" spans="1:10" ht="15.6">
      <c r="A162" s="24" t="str">
        <v>IL: Prophetstown - 5170 Yager Road (PW)</v>
      </c>
      <c r="B162" s="25" t="str">
        <v>IL</v>
      </c>
      <c r="C162" s="25" t="str">
        <f>Sites[[#This Row],[SOL'#]]</f>
        <v>SOL-11149</v>
      </c>
      <c r="D162" s="20">
        <f>SUM(Oct!D162, Nov!D162, Dec!D162)</f>
        <v>389490</v>
      </c>
      <c r="E162" s="10">
        <f>SUM(Oct!E162, Nov!E162, Dec!E162)</f>
        <v>567995.09</v>
      </c>
      <c r="F162" s="10">
        <f t="shared" si="11"/>
        <v>-178505.08999999997</v>
      </c>
      <c r="G162" s="11">
        <f t="shared" si="9"/>
        <v>-0.31427224133222698</v>
      </c>
      <c r="H162" s="12">
        <f>SUM(Oct!H162,Nov!H162,Dec!H162)</f>
        <v>734425.7</v>
      </c>
      <c r="I162" s="12">
        <f>SUM(Oct!I162, Nov!I162, Dec!I162)</f>
        <v>-344935.69999999995</v>
      </c>
      <c r="J162" s="13">
        <f t="shared" si="10"/>
        <v>-0.46966725156813</v>
      </c>
    </row>
    <row r="163" spans="1:10" ht="15.6">
      <c r="A163" s="26" t="str">
        <v>IL: Viola - Goldenrod - (PW)</v>
      </c>
      <c r="B163" s="27" t="str">
        <v>IL</v>
      </c>
      <c r="C163" s="27" t="str">
        <f>Sites[[#This Row],[SOL'#]]</f>
        <v>SOL-11132</v>
      </c>
      <c r="D163" s="9">
        <f>SUM(Oct!D163, Nov!D163, Dec!D163)</f>
        <v>1555219.7765000002</v>
      </c>
      <c r="E163" s="14">
        <f>SUM(Oct!E163, Nov!E163, Dec!E163)</f>
        <v>1629304.5</v>
      </c>
      <c r="F163" s="14">
        <f t="shared" si="11"/>
        <v>-74084.723499999847</v>
      </c>
      <c r="G163" s="15">
        <f t="shared" si="9"/>
        <v>-4.5470152141603888E-2</v>
      </c>
      <c r="H163" s="16">
        <f>SUM(Oct!H163,Nov!H163,Dec!H163)</f>
        <v>1785200</v>
      </c>
      <c r="I163" s="16">
        <f>SUM(Oct!I163, Nov!I163, Dec!I163)</f>
        <v>-229980.22349999996</v>
      </c>
      <c r="J163" s="15">
        <f t="shared" si="10"/>
        <v>-0.12882602705579205</v>
      </c>
    </row>
    <row r="164" spans="1:10" ht="15.6">
      <c r="A164" s="24" t="str">
        <v>IL: Marengo - Grant - (PW)</v>
      </c>
      <c r="B164" s="25" t="str">
        <v>IL</v>
      </c>
      <c r="C164" s="25" t="str">
        <f>Sites[[#This Row],[SOL'#]]</f>
        <v>SOL-11147</v>
      </c>
      <c r="D164" s="20">
        <f>SUM(Oct!D164, Nov!D164, Dec!D164)</f>
        <v>716010</v>
      </c>
      <c r="E164" s="10">
        <f>SUM(Oct!E164, Nov!E164, Dec!E164)</f>
        <v>0</v>
      </c>
      <c r="F164" s="10">
        <f t="shared" si="11"/>
        <v>716010</v>
      </c>
      <c r="G164" s="11" t="str">
        <f t="shared" si="9"/>
        <v/>
      </c>
      <c r="H164" s="12">
        <f>SUM(Oct!H164,Nov!H164,Dec!H164)</f>
        <v>712321.2</v>
      </c>
      <c r="I164" s="12">
        <f>SUM(Oct!I164, Nov!I164, Dec!I164)</f>
        <v>3688.7999999999884</v>
      </c>
      <c r="J164" s="13">
        <f t="shared" si="10"/>
        <v>5.1785627045776378E-3</v>
      </c>
    </row>
    <row r="165" spans="1:10" ht="15.6">
      <c r="A165" s="26" t="str">
        <v>NY: Cambridge - Cambridge (PW)</v>
      </c>
      <c r="B165" s="27" t="str">
        <v>NY</v>
      </c>
      <c r="C165" s="27" t="str">
        <f>Sites[[#This Row],[SOL'#]]</f>
        <v>SOL-11126</v>
      </c>
      <c r="D165" s="9">
        <f>SUM(Oct!D165, Nov!D165, Dec!D165)</f>
        <v>844705.59920000006</v>
      </c>
      <c r="E165" s="14">
        <f>SUM(Oct!E165, Nov!E165, Dec!E165)</f>
        <v>1402067.9</v>
      </c>
      <c r="F165" s="14">
        <f t="shared" si="11"/>
        <v>-557362.30079999985</v>
      </c>
      <c r="G165" s="15">
        <f t="shared" si="9"/>
        <v>-0.39752875078303973</v>
      </c>
      <c r="H165" s="16">
        <f>SUM(Oct!H165,Nov!H165,Dec!H165)</f>
        <v>1487707</v>
      </c>
      <c r="I165" s="16">
        <f>SUM(Oct!I165, Nov!I165, Dec!I165)</f>
        <v>-643001.40079999994</v>
      </c>
      <c r="J165" s="15">
        <f t="shared" si="10"/>
        <v>-0.43220970312030521</v>
      </c>
    </row>
    <row r="166" spans="1:10" ht="15.6">
      <c r="A166" s="24" t="str">
        <v>NY: Whitesville - Independence North</v>
      </c>
      <c r="B166" s="25" t="str">
        <v>NY</v>
      </c>
      <c r="C166" s="25" t="str">
        <f>Sites[[#This Row],[SOL'#]]</f>
        <v>SOL-11186</v>
      </c>
      <c r="D166" s="20">
        <f>SUM(Oct!D166, Nov!D166, Dec!D166)</f>
        <v>988640</v>
      </c>
      <c r="E166" s="10">
        <f>SUM(Oct!E166, Nov!E166, Dec!E166)</f>
        <v>0</v>
      </c>
      <c r="F166" s="10">
        <f t="shared" si="11"/>
        <v>988640</v>
      </c>
      <c r="G166" s="11" t="str">
        <f t="shared" si="9"/>
        <v/>
      </c>
      <c r="H166" s="12">
        <f>SUM(Oct!H166,Nov!H166,Dec!H166)</f>
        <v>0</v>
      </c>
      <c r="I166" s="12">
        <f>SUM(Oct!I166, Nov!I166, Dec!I166)</f>
        <v>0</v>
      </c>
      <c r="J166" s="13" t="str">
        <f t="shared" si="10"/>
        <v/>
      </c>
    </row>
    <row r="167" spans="1:10" ht="15.6">
      <c r="A167" s="26" t="str">
        <v>IL: Beecher - Cottage Grove North (PW)</v>
      </c>
      <c r="B167" s="27" t="str">
        <v>IL</v>
      </c>
      <c r="C167" s="27" t="str">
        <f>Sites[[#This Row],[SOL'#]]</f>
        <v>SOL-11114</v>
      </c>
      <c r="D167" s="9">
        <f>SUM(Oct!D167, Nov!D167, Dec!D167)</f>
        <v>712474</v>
      </c>
      <c r="E167" s="14">
        <f>SUM(Oct!E167, Nov!E167, Dec!E167)</f>
        <v>757794.9</v>
      </c>
      <c r="F167" s="14">
        <f t="shared" si="11"/>
        <v>-45320.900000000023</v>
      </c>
      <c r="G167" s="15">
        <f t="shared" si="9"/>
        <v>-5.9806287954695947E-2</v>
      </c>
      <c r="H167" s="16">
        <f>SUM(Oct!H167,Nov!H167,Dec!H167)</f>
        <v>753184</v>
      </c>
      <c r="I167" s="16">
        <f>SUM(Oct!I167, Nov!I167, Dec!I167)</f>
        <v>-40710</v>
      </c>
      <c r="J167" s="15">
        <f t="shared" si="10"/>
        <v>-5.4050537451671835E-2</v>
      </c>
    </row>
    <row r="168" spans="1:10" ht="15.6">
      <c r="A168" s="24" t="str">
        <v>IL: Beecher - Cottage Grove South (PW)</v>
      </c>
      <c r="B168" s="25" t="str">
        <v>IL</v>
      </c>
      <c r="C168" s="25" t="str">
        <f>Sites[[#This Row],[SOL'#]]</f>
        <v>SOL-11115</v>
      </c>
      <c r="D168" s="20">
        <f>SUM(Oct!D168, Nov!D168, Dec!D168)</f>
        <v>734767</v>
      </c>
      <c r="E168" s="10">
        <f>SUM(Oct!E168, Nov!E168, Dec!E168)</f>
        <v>955373.90000000014</v>
      </c>
      <c r="F168" s="10">
        <f t="shared" si="11"/>
        <v>-220606.90000000014</v>
      </c>
      <c r="G168" s="11">
        <f t="shared" si="9"/>
        <v>-0.23091158341252582</v>
      </c>
      <c r="H168" s="12">
        <f>SUM(Oct!H168,Nov!H168,Dec!H168)</f>
        <v>706289</v>
      </c>
      <c r="I168" s="12">
        <f>SUM(Oct!I168, Nov!I168, Dec!I168)</f>
        <v>28478</v>
      </c>
      <c r="J168" s="13">
        <f t="shared" si="10"/>
        <v>4.0320605304627423E-2</v>
      </c>
    </row>
    <row r="169" spans="1:10" ht="15.6">
      <c r="A169" s="26" t="str">
        <v>IL: Harvard - 9618 US HWY 14 (PW)</v>
      </c>
      <c r="B169" s="27" t="str">
        <v>IL</v>
      </c>
      <c r="C169" s="27" t="str">
        <f>Sites[[#This Row],[SOL'#]]</f>
        <v>SOL-11110</v>
      </c>
      <c r="D169" s="9">
        <f>SUM(Oct!D169, Nov!D169, Dec!D169)</f>
        <v>636487</v>
      </c>
      <c r="E169" s="14">
        <f>SUM(Oct!E169, Nov!E169, Dec!E169)</f>
        <v>1171509.3</v>
      </c>
      <c r="F169" s="14">
        <f t="shared" si="11"/>
        <v>-535022.30000000005</v>
      </c>
      <c r="G169" s="15">
        <f t="shared" si="9"/>
        <v>-0.45669488069791681</v>
      </c>
      <c r="H169" s="16">
        <f>SUM(Oct!H169,Nov!H169,Dec!H169)</f>
        <v>604106</v>
      </c>
      <c r="I169" s="16">
        <f>SUM(Oct!I169, Nov!I169, Dec!I169)</f>
        <v>32381</v>
      </c>
      <c r="J169" s="15">
        <f t="shared" si="10"/>
        <v>5.3601520263000205E-2</v>
      </c>
    </row>
    <row r="170" spans="1:10" ht="15.6">
      <c r="A170" s="24" t="str">
        <v>IL: Beecher - 701 E Goodenow Rd (PW)</v>
      </c>
      <c r="B170" s="25" t="str">
        <v>IL</v>
      </c>
      <c r="C170" s="25" t="str">
        <f>Sites[[#This Row],[SOL'#]]</f>
        <v>SOL-11112</v>
      </c>
      <c r="D170" s="20">
        <f>SUM(Oct!D170, Nov!D170, Dec!D170)</f>
        <v>714603</v>
      </c>
      <c r="E170" s="10">
        <f>SUM(Oct!E170, Nov!E170, Dec!E170)</f>
        <v>824791.60000000009</v>
      </c>
      <c r="F170" s="10">
        <f t="shared" si="11"/>
        <v>-110188.60000000009</v>
      </c>
      <c r="G170" s="11">
        <f t="shared" si="9"/>
        <v>-0.13359568647401365</v>
      </c>
      <c r="H170" s="12">
        <f>SUM(Oct!H170,Nov!H170,Dec!H170)</f>
        <v>629174.5</v>
      </c>
      <c r="I170" s="12">
        <f>SUM(Oct!I170, Nov!I170, Dec!I170)</f>
        <v>85428.5</v>
      </c>
      <c r="J170" s="13">
        <f t="shared" si="10"/>
        <v>0.13577870686113311</v>
      </c>
    </row>
    <row r="171" spans="1:10" ht="15.6">
      <c r="A171" s="26" t="str">
        <v>NY: Stormville - Green Haven - (IRA)</v>
      </c>
      <c r="B171" s="27" t="str">
        <v>NY</v>
      </c>
      <c r="C171" s="27" t="str">
        <f>Sites[[#This Row],[SOL'#]]</f>
        <v>SOL-11151</v>
      </c>
      <c r="D171" s="9">
        <f>SUM(Oct!D171, Nov!D171, Dec!D171)</f>
        <v>36872512.600000001</v>
      </c>
      <c r="E171" s="14">
        <f>SUM(Oct!E171, Nov!E171, Dec!E171)</f>
        <v>0</v>
      </c>
      <c r="F171" s="14">
        <f t="shared" si="11"/>
        <v>36872512.600000001</v>
      </c>
      <c r="G171" s="15" t="str">
        <f t="shared" si="9"/>
        <v/>
      </c>
      <c r="H171" s="16">
        <f>SUM(Oct!H171,Nov!H171,Dec!H171)</f>
        <v>0</v>
      </c>
      <c r="I171" s="16">
        <f>SUM(Oct!I171, Nov!I171, Dec!I171)</f>
        <v>0</v>
      </c>
      <c r="J171" s="15" t="str">
        <f t="shared" si="10"/>
        <v/>
      </c>
    </row>
    <row r="172" spans="1:10" ht="15.6">
      <c r="A172" s="24" t="str">
        <v>IL: Hillsboro - Anacott (PW)</v>
      </c>
      <c r="B172" s="25" t="str">
        <v>IL</v>
      </c>
      <c r="C172" s="25" t="str">
        <f>Sites[[#This Row],[SOL'#]]</f>
        <v>SOL-11134</v>
      </c>
      <c r="D172" s="20">
        <f>SUM(Oct!D172, Nov!D172, Dec!D172)</f>
        <v>999568</v>
      </c>
      <c r="E172" s="10">
        <f>SUM(Oct!E172, Nov!E172, Dec!E172)</f>
        <v>0</v>
      </c>
      <c r="F172" s="10">
        <f t="shared" si="11"/>
        <v>999568</v>
      </c>
      <c r="G172" s="11" t="str">
        <f t="shared" si="9"/>
        <v/>
      </c>
      <c r="H172" s="12">
        <f>SUM(Oct!H172,Nov!H172,Dec!H172)</f>
        <v>1085696.5</v>
      </c>
      <c r="I172" s="12">
        <f>SUM(Oct!I172, Nov!I172, Dec!I172)</f>
        <v>-86128.5</v>
      </c>
      <c r="J172" s="13">
        <f t="shared" si="10"/>
        <v>-7.9330181132572494E-2</v>
      </c>
    </row>
    <row r="173" spans="1:10" ht="15.6">
      <c r="A173" s="26" t="str">
        <v>IL: Manhattan - Gougar (PW)</v>
      </c>
      <c r="B173" s="27" t="str">
        <v>IL</v>
      </c>
      <c r="C173" s="27" t="str">
        <f>Sites[[#This Row],[SOL'#]]</f>
        <v>SOL-11148</v>
      </c>
      <c r="D173" s="9">
        <f>SUM(Oct!D173, Nov!D173, Dec!D173)</f>
        <v>94776.514999999999</v>
      </c>
      <c r="E173" s="14">
        <f>SUM(Oct!E173, Nov!E173, Dec!E173)</f>
        <v>121981.2</v>
      </c>
      <c r="F173" s="14">
        <f t="shared" si="11"/>
        <v>-27204.684999999998</v>
      </c>
      <c r="G173" s="15">
        <f t="shared" si="9"/>
        <v>-0.22302358888090951</v>
      </c>
      <c r="H173" s="16">
        <f>SUM(Oct!H173,Nov!H173,Dec!H173)</f>
        <v>178632.9</v>
      </c>
      <c r="I173" s="16">
        <f>SUM(Oct!I173, Nov!I173, Dec!I173)</f>
        <v>-83856.384999999995</v>
      </c>
      <c r="J173" s="15">
        <f t="shared" si="10"/>
        <v>-0.46943415798545507</v>
      </c>
    </row>
  </sheetData>
  <mergeCells count="4">
    <mergeCell ref="H1:J1"/>
    <mergeCell ref="A1:D1"/>
    <mergeCell ref="E1:G1"/>
    <mergeCell ref="A2:B2"/>
  </mergeCells>
  <conditionalFormatting sqref="G2 J2 G4:G173 J4:J173">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73"/>
  <sheetViews>
    <sheetView zoomScale="60" zoomScaleNormal="60" workbookViewId="0">
      <pane xSplit="2" ySplit="3" topLeftCell="C49" activePane="bottomRight" state="frozen"/>
      <selection pane="bottomRight" activeCell="E59" sqref="E59"/>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92" t="str" cm="1">
        <f t="array" ref="A1">portfolio</f>
        <v>Generate Capital</v>
      </c>
      <c r="B1" s="192"/>
      <c r="C1" s="192"/>
      <c r="D1" s="192"/>
      <c r="E1" s="193" t="s">
        <v>19</v>
      </c>
      <c r="F1" s="193"/>
      <c r="G1" s="193"/>
      <c r="H1" s="191" t="s">
        <v>20</v>
      </c>
      <c r="I1" s="191"/>
      <c r="J1" s="191"/>
      <c r="K1" s="4"/>
      <c r="L1" s="4"/>
    </row>
    <row r="2" spans="1:20" ht="19.5" customHeight="1">
      <c r="A2" s="194" t="s">
        <v>2</v>
      </c>
      <c r="B2" s="194"/>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6" t="str" cm="1">
        <f t="array" ref="A4:A173">Sites[Site]</f>
        <v>K026</v>
      </c>
      <c r="B4" s="27" t="str" cm="1">
        <f t="array" ref="B4:B173">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3"/>
      <c r="N4" s="103"/>
      <c r="O4" s="103"/>
      <c r="P4" s="103"/>
      <c r="Q4" s="103"/>
      <c r="R4" s="103"/>
      <c r="S4" s="103"/>
      <c r="T4" s="103"/>
    </row>
    <row r="5" spans="1:20" ht="15.6">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3"/>
      <c r="N5" s="103"/>
      <c r="O5" s="103"/>
      <c r="P5" s="103"/>
      <c r="Q5" s="103"/>
      <c r="R5" s="103"/>
      <c r="S5" s="103"/>
      <c r="T5" s="103"/>
    </row>
    <row r="6" spans="1:20" ht="15.6">
      <c r="A6" s="26" t="str">
        <v>K043</v>
      </c>
      <c r="B6" s="27" t="str">
        <v>NY</v>
      </c>
      <c r="C6" s="27" t="str">
        <f>Sites[[#This Row],[SOL'#]]</f>
        <v>SOL-10358</v>
      </c>
      <c r="D6" s="9">
        <v>10563.6875</v>
      </c>
      <c r="E6" s="14">
        <v>15508.68</v>
      </c>
      <c r="F6" s="14">
        <f t="shared" si="0"/>
        <v>-4944.9925000000003</v>
      </c>
      <c r="G6" s="15">
        <f t="shared" si="1"/>
        <v>-0.31885321639236869</v>
      </c>
      <c r="H6" s="16">
        <v>2303</v>
      </c>
      <c r="I6" s="16">
        <f t="shared" ref="I6:I64" si="3">IF(AND(ISNUMBER(D6),ISNUMBER(H6)), D6-H6, "")</f>
        <v>8260.6875</v>
      </c>
      <c r="J6" s="15">
        <f t="shared" si="2"/>
        <v>3.5869246634824141</v>
      </c>
      <c r="K6" s="50" t="s">
        <v>23</v>
      </c>
      <c r="L6" s="52"/>
      <c r="M6" s="103"/>
      <c r="N6" s="103"/>
      <c r="O6" s="103"/>
      <c r="P6" s="103"/>
      <c r="Q6" s="103"/>
      <c r="R6" s="103"/>
      <c r="S6" s="103"/>
      <c r="T6" s="103"/>
    </row>
    <row r="7" spans="1:20" ht="15.6">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3"/>
      <c r="N7" s="103"/>
      <c r="O7" s="103"/>
      <c r="P7" s="103"/>
      <c r="Q7" s="103"/>
      <c r="R7" s="103"/>
      <c r="S7" s="103"/>
      <c r="T7" s="103"/>
    </row>
    <row r="8" spans="1:20" ht="15.6">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85" t="s">
        <v>24</v>
      </c>
      <c r="L8" s="99" t="s">
        <v>25</v>
      </c>
      <c r="M8" s="103"/>
      <c r="N8" s="103"/>
      <c r="O8" s="103"/>
      <c r="P8" s="103"/>
      <c r="Q8" s="103"/>
      <c r="R8" s="103"/>
      <c r="S8" s="103"/>
      <c r="T8" s="103"/>
    </row>
    <row r="9" spans="1:20" ht="15.6">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3"/>
      <c r="N9" s="103"/>
      <c r="O9" s="103"/>
      <c r="P9" s="103"/>
      <c r="Q9" s="103"/>
      <c r="R9" s="103"/>
      <c r="S9" s="103"/>
      <c r="T9" s="103"/>
    </row>
    <row r="10" spans="1:20" ht="15.6">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3"/>
      <c r="N10" s="103"/>
      <c r="O10" s="103"/>
      <c r="P10" s="103"/>
      <c r="Q10" s="103"/>
      <c r="R10" s="103"/>
      <c r="S10" s="103"/>
      <c r="T10" s="103"/>
    </row>
    <row r="11" spans="1:20" ht="15.6">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3"/>
      <c r="N11" s="103"/>
      <c r="O11" s="103"/>
      <c r="P11" s="103"/>
      <c r="Q11" s="103"/>
      <c r="R11" s="103"/>
      <c r="S11" s="103"/>
      <c r="T11" s="103"/>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97" t="s">
        <v>27</v>
      </c>
      <c r="L12" s="99" t="s">
        <v>28</v>
      </c>
      <c r="M12" s="103"/>
      <c r="N12" s="103"/>
      <c r="O12" s="103"/>
      <c r="P12" s="103"/>
      <c r="Q12" s="103"/>
      <c r="R12" s="103"/>
      <c r="S12" s="103"/>
      <c r="T12" s="103"/>
    </row>
    <row r="13" spans="1:20" ht="15.6">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3"/>
      <c r="N13" s="103"/>
      <c r="O13" s="103"/>
      <c r="P13" s="103"/>
      <c r="Q13" s="103"/>
      <c r="R13" s="103"/>
      <c r="S13" s="103"/>
      <c r="T13" s="103"/>
    </row>
    <row r="14" spans="1:20" ht="28.9">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99" t="s">
        <v>30</v>
      </c>
      <c r="M14" s="102" t="s">
        <v>31</v>
      </c>
      <c r="N14" s="103"/>
      <c r="O14" s="103"/>
      <c r="P14" s="103"/>
      <c r="Q14" s="103"/>
      <c r="R14" s="103"/>
      <c r="S14" s="103"/>
      <c r="T14" s="103"/>
    </row>
    <row r="15" spans="1:20" ht="15.6">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3"/>
      <c r="N15" s="103"/>
      <c r="O15" s="103"/>
      <c r="P15" s="103"/>
      <c r="Q15" s="103"/>
      <c r="R15" s="103"/>
      <c r="S15" s="103"/>
      <c r="T15" s="103"/>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29" t="s">
        <v>26</v>
      </c>
      <c r="L16" s="52"/>
      <c r="M16" s="103"/>
      <c r="N16" s="103"/>
      <c r="O16" s="103"/>
      <c r="P16" s="103"/>
      <c r="Q16" s="103"/>
      <c r="R16" s="103"/>
      <c r="S16" s="103"/>
      <c r="T16" s="103"/>
    </row>
    <row r="17" spans="1:20" ht="15.6">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3"/>
      <c r="N17" s="103"/>
      <c r="O17" s="103"/>
      <c r="P17" s="103"/>
      <c r="Q17" s="103"/>
      <c r="R17" s="103"/>
      <c r="S17" s="103"/>
      <c r="T17" s="103"/>
    </row>
    <row r="18" spans="1:20" ht="15.6">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3"/>
      <c r="N18" s="103"/>
      <c r="O18" s="103"/>
      <c r="P18" s="103"/>
      <c r="Q18" s="103"/>
      <c r="R18" s="103"/>
      <c r="S18" s="103"/>
      <c r="T18" s="103"/>
    </row>
    <row r="19" spans="1:20" ht="15.6">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3"/>
      <c r="N19" s="103"/>
      <c r="O19" s="103"/>
      <c r="P19" s="103"/>
      <c r="Q19" s="103"/>
      <c r="R19" s="103"/>
      <c r="S19" s="103"/>
      <c r="T19" s="103"/>
    </row>
    <row r="20" spans="1:20" ht="15.6">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99" t="s">
        <v>33</v>
      </c>
      <c r="M20" s="103"/>
      <c r="N20" s="103"/>
      <c r="O20" s="103"/>
      <c r="P20" s="103"/>
      <c r="Q20" s="103"/>
      <c r="R20" s="103"/>
      <c r="S20" s="103"/>
      <c r="T20" s="103"/>
    </row>
    <row r="21" spans="1:20" ht="15.6">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3"/>
      <c r="N21" s="103"/>
      <c r="O21" s="103"/>
      <c r="P21" s="103"/>
      <c r="Q21" s="103"/>
      <c r="R21" s="103"/>
      <c r="S21" s="103"/>
      <c r="T21" s="103"/>
    </row>
    <row r="22" spans="1:20" ht="15.6">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3"/>
      <c r="N22" s="103"/>
      <c r="O22" s="103"/>
      <c r="P22" s="103"/>
      <c r="Q22" s="103"/>
      <c r="R22" s="103"/>
      <c r="S22" s="103"/>
      <c r="T22" s="103"/>
    </row>
    <row r="23" spans="1:20" ht="15.6">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3"/>
      <c r="N23" s="103"/>
      <c r="O23" s="103"/>
      <c r="P23" s="103"/>
      <c r="Q23" s="103"/>
      <c r="R23" s="103"/>
      <c r="S23" s="103"/>
      <c r="T23" s="103"/>
    </row>
    <row r="24" spans="1:20" ht="15.6">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3"/>
      <c r="N24" s="103"/>
      <c r="O24" s="103"/>
      <c r="P24" s="103"/>
      <c r="Q24" s="103"/>
      <c r="R24" s="103"/>
      <c r="S24" s="103"/>
      <c r="T24" s="103"/>
    </row>
    <row r="25" spans="1:20" ht="15.6">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3"/>
      <c r="N25" s="103"/>
      <c r="O25" s="103"/>
      <c r="P25" s="103"/>
      <c r="Q25" s="103"/>
      <c r="R25" s="103"/>
      <c r="S25" s="103"/>
      <c r="T25" s="103"/>
    </row>
    <row r="26" spans="1:20" ht="15.6">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3"/>
      <c r="N26" s="103"/>
      <c r="O26" s="103"/>
      <c r="P26" s="103"/>
      <c r="Q26" s="103"/>
      <c r="R26" s="103"/>
      <c r="S26" s="103"/>
      <c r="T26" s="103"/>
    </row>
    <row r="27" spans="1:20" ht="15.6">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3"/>
      <c r="N27" s="103"/>
      <c r="O27" s="103"/>
      <c r="P27" s="103"/>
      <c r="Q27" s="103"/>
      <c r="R27" s="103"/>
      <c r="S27" s="103"/>
      <c r="T27" s="103"/>
    </row>
    <row r="28" spans="1:20" ht="15.6">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3"/>
      <c r="N28" s="103"/>
      <c r="O28" s="103"/>
      <c r="P28" s="103"/>
      <c r="Q28" s="103"/>
      <c r="R28" s="103"/>
      <c r="S28" s="103"/>
      <c r="T28" s="103"/>
    </row>
    <row r="29" spans="1:20" ht="15.6">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3"/>
      <c r="N29" s="103"/>
      <c r="O29" s="103"/>
      <c r="P29" s="103"/>
      <c r="Q29" s="103"/>
      <c r="R29" s="103"/>
      <c r="S29" s="103"/>
      <c r="T29" s="103"/>
    </row>
    <row r="30" spans="1:20" ht="15.6">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3"/>
      <c r="N30" s="103"/>
      <c r="O30" s="103"/>
      <c r="P30" s="103"/>
      <c r="Q30" s="103"/>
      <c r="R30" s="103"/>
      <c r="S30" s="103"/>
      <c r="T30" s="103"/>
    </row>
    <row r="31" spans="1:20" ht="15.6">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3"/>
      <c r="N31" s="103"/>
      <c r="O31" s="103"/>
      <c r="P31" s="103"/>
      <c r="Q31" s="103"/>
      <c r="R31" s="103"/>
      <c r="S31" s="103"/>
      <c r="T31" s="103"/>
    </row>
    <row r="32" spans="1:20" ht="15.6">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99" t="s">
        <v>35</v>
      </c>
      <c r="M32" s="103"/>
      <c r="N32" s="103"/>
      <c r="O32" s="103"/>
      <c r="P32" s="103"/>
      <c r="Q32" s="103"/>
      <c r="R32" s="103"/>
      <c r="S32" s="103"/>
      <c r="T32" s="103"/>
    </row>
    <row r="33" spans="1:20" ht="15.6">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3"/>
      <c r="N33" s="103"/>
      <c r="O33" s="103"/>
      <c r="P33" s="103"/>
      <c r="Q33" s="103"/>
      <c r="R33" s="103"/>
      <c r="S33" s="103"/>
      <c r="T33" s="103"/>
    </row>
    <row r="34" spans="1:20" ht="15.6">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3"/>
      <c r="N34" s="103"/>
      <c r="O34" s="103"/>
      <c r="P34" s="103"/>
      <c r="Q34" s="103"/>
      <c r="R34" s="103"/>
      <c r="S34" s="103"/>
      <c r="T34" s="103"/>
    </row>
    <row r="35" spans="1:20" ht="39.6">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98" t="s">
        <v>37</v>
      </c>
      <c r="M35" s="102" t="s">
        <v>38</v>
      </c>
      <c r="N35" s="103"/>
      <c r="O35" s="103"/>
      <c r="P35" s="103"/>
      <c r="Q35" s="103"/>
      <c r="R35" s="103"/>
      <c r="S35" s="103"/>
      <c r="T35" s="103"/>
    </row>
    <row r="36" spans="1:20" ht="15.6">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3"/>
      <c r="N36" s="103"/>
      <c r="O36" s="103"/>
      <c r="P36" s="103"/>
      <c r="Q36" s="103"/>
      <c r="R36" s="103"/>
      <c r="S36" s="103"/>
      <c r="T36" s="103"/>
    </row>
    <row r="37" spans="1:20" ht="15.6">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3"/>
      <c r="N37" s="103"/>
      <c r="O37" s="103"/>
      <c r="P37" s="103"/>
      <c r="Q37" s="103"/>
      <c r="R37" s="103"/>
      <c r="S37" s="103"/>
      <c r="T37" s="103"/>
    </row>
    <row r="38" spans="1:20" ht="15.6">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3"/>
      <c r="N38" s="103"/>
      <c r="O38" s="103"/>
      <c r="P38" s="103"/>
      <c r="Q38" s="103"/>
      <c r="R38" s="103"/>
      <c r="S38" s="103"/>
      <c r="T38" s="103"/>
    </row>
    <row r="39" spans="1:20" ht="15.6">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3"/>
      <c r="N39" s="103"/>
      <c r="O39" s="103"/>
      <c r="P39" s="103"/>
      <c r="Q39" s="103"/>
      <c r="R39" s="103"/>
      <c r="S39" s="103"/>
      <c r="T39" s="103"/>
    </row>
    <row r="40" spans="1:20" ht="15.6">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3"/>
      <c r="N40" s="103"/>
      <c r="O40" s="103"/>
      <c r="P40" s="103"/>
      <c r="Q40" s="103"/>
      <c r="R40" s="103"/>
      <c r="S40" s="103"/>
      <c r="T40" s="103"/>
    </row>
    <row r="41" spans="1:20" ht="15.6">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3"/>
      <c r="N41" s="103"/>
      <c r="O41" s="103"/>
      <c r="P41" s="103"/>
      <c r="Q41" s="103"/>
      <c r="R41" s="103"/>
      <c r="S41" s="103"/>
      <c r="T41" s="103"/>
    </row>
    <row r="42" spans="1:20" ht="28.9">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99" t="s">
        <v>40</v>
      </c>
      <c r="M42" s="103"/>
      <c r="N42" s="103"/>
      <c r="O42" s="103"/>
      <c r="P42" s="103"/>
      <c r="Q42" s="103"/>
      <c r="R42" s="103"/>
      <c r="S42" s="103"/>
      <c r="T42" s="103"/>
    </row>
    <row r="43" spans="1:20" ht="57.6">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98" t="s">
        <v>42</v>
      </c>
      <c r="M43" s="103"/>
      <c r="N43" s="103"/>
      <c r="O43" s="103"/>
      <c r="P43" s="103"/>
      <c r="Q43" s="103"/>
      <c r="R43" s="103"/>
      <c r="S43" s="103"/>
      <c r="T43" s="103"/>
    </row>
    <row r="44" spans="1:20" ht="15.6">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3"/>
      <c r="N44" s="103"/>
      <c r="O44" s="103"/>
      <c r="P44" s="103"/>
      <c r="Q44" s="103"/>
      <c r="R44" s="103"/>
      <c r="S44" s="103"/>
      <c r="T44" s="103"/>
    </row>
    <row r="45" spans="1:20" ht="15.6">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3"/>
      <c r="N45" s="103"/>
      <c r="O45" s="103"/>
      <c r="P45" s="103"/>
      <c r="Q45" s="103"/>
      <c r="R45" s="103"/>
      <c r="S45" s="103"/>
      <c r="T45" s="103"/>
    </row>
    <row r="46" spans="1:20" ht="15.6">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3"/>
      <c r="N46" s="103"/>
      <c r="O46" s="103"/>
      <c r="P46" s="103"/>
      <c r="Q46" s="103"/>
      <c r="R46" s="103"/>
      <c r="S46" s="103"/>
      <c r="T46" s="103"/>
    </row>
    <row r="47" spans="1:20" ht="15.6">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98" t="s">
        <v>44</v>
      </c>
      <c r="M47" s="103"/>
      <c r="N47" s="103"/>
      <c r="O47" s="103"/>
      <c r="P47" s="103"/>
      <c r="Q47" s="103"/>
      <c r="R47" s="103"/>
      <c r="S47" s="103"/>
      <c r="T47" s="103"/>
    </row>
    <row r="48" spans="1:20" ht="15.6">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3"/>
      <c r="N48" s="103"/>
      <c r="O48" s="103"/>
      <c r="P48" s="103"/>
      <c r="Q48" s="103"/>
      <c r="R48" s="103"/>
      <c r="S48" s="103"/>
      <c r="T48" s="103"/>
    </row>
    <row r="49" spans="1:20" ht="15.6">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3"/>
      <c r="N49" s="103"/>
      <c r="O49" s="103"/>
      <c r="P49" s="103"/>
      <c r="Q49" s="103"/>
      <c r="R49" s="103"/>
      <c r="S49" s="103"/>
      <c r="T49" s="103"/>
    </row>
    <row r="50" spans="1:20" ht="15.6">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3"/>
      <c r="N50" s="103"/>
      <c r="O50" s="103"/>
      <c r="P50" s="103"/>
      <c r="Q50" s="103"/>
      <c r="R50" s="103"/>
      <c r="S50" s="103"/>
      <c r="T50" s="103"/>
    </row>
    <row r="51" spans="1:20" ht="15.6">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3"/>
      <c r="N51" s="103"/>
      <c r="O51" s="103"/>
      <c r="P51" s="103"/>
      <c r="Q51" s="103"/>
      <c r="R51" s="103"/>
      <c r="S51" s="103"/>
      <c r="T51" s="103"/>
    </row>
    <row r="52" spans="1:20" ht="15.6">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3"/>
      <c r="N52" s="103"/>
      <c r="O52" s="103"/>
      <c r="P52" s="103"/>
      <c r="Q52" s="103"/>
      <c r="R52" s="103"/>
      <c r="S52" s="103"/>
      <c r="T52" s="103"/>
    </row>
    <row r="53" spans="1:20" ht="15.6">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3"/>
      <c r="N53" s="103"/>
      <c r="O53" s="103"/>
      <c r="P53" s="103"/>
      <c r="Q53" s="103"/>
      <c r="R53" s="103"/>
      <c r="S53" s="103"/>
      <c r="T53" s="103"/>
    </row>
    <row r="54" spans="1:20" ht="15.6">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3"/>
      <c r="N54" s="103"/>
      <c r="O54" s="103"/>
      <c r="P54" s="103"/>
      <c r="Q54" s="103"/>
      <c r="R54" s="103"/>
      <c r="S54" s="103"/>
      <c r="T54" s="103"/>
    </row>
    <row r="55" spans="1:20" ht="15.6">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3"/>
      <c r="N55" s="103"/>
      <c r="O55" s="103"/>
      <c r="P55" s="103"/>
      <c r="Q55" s="103"/>
      <c r="R55" s="103"/>
      <c r="S55" s="103"/>
      <c r="T55" s="103"/>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99" t="s">
        <v>46</v>
      </c>
      <c r="M56" s="102" t="s">
        <v>47</v>
      </c>
      <c r="N56" s="102" t="s">
        <v>48</v>
      </c>
      <c r="O56" s="102" t="s">
        <v>49</v>
      </c>
      <c r="P56" s="102" t="s">
        <v>50</v>
      </c>
      <c r="Q56" s="102" t="s">
        <v>49</v>
      </c>
      <c r="R56" s="103"/>
      <c r="S56" s="103"/>
      <c r="T56" s="103"/>
    </row>
    <row r="57" spans="1:20" ht="15.6">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3"/>
      <c r="N57" s="103"/>
      <c r="O57" s="103"/>
      <c r="P57" s="103"/>
      <c r="Q57" s="103"/>
      <c r="R57" s="103"/>
      <c r="S57" s="103"/>
      <c r="T57" s="103"/>
    </row>
    <row r="58" spans="1:20" ht="15.6">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3"/>
      <c r="N58" s="103"/>
      <c r="O58" s="103"/>
      <c r="P58" s="103"/>
      <c r="Q58" s="103"/>
      <c r="R58" s="103"/>
      <c r="S58" s="103"/>
      <c r="T58" s="103"/>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98" t="s">
        <v>52</v>
      </c>
      <c r="M59" s="102" t="s">
        <v>53</v>
      </c>
      <c r="N59" s="102" t="s">
        <v>54</v>
      </c>
      <c r="O59" s="102" t="s">
        <v>55</v>
      </c>
      <c r="P59" s="102" t="s">
        <v>56</v>
      </c>
      <c r="Q59" s="103"/>
      <c r="R59" s="103"/>
      <c r="S59" s="103"/>
      <c r="T59" s="103"/>
    </row>
    <row r="60" spans="1:20" ht="15.6">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06" t="s">
        <v>26</v>
      </c>
      <c r="L60" s="51"/>
      <c r="M60" s="103"/>
      <c r="N60" s="103"/>
      <c r="O60" s="103"/>
      <c r="P60" s="103"/>
      <c r="Q60" s="103"/>
      <c r="R60" s="103"/>
      <c r="S60" s="103"/>
      <c r="T60" s="103"/>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98" t="s">
        <v>58</v>
      </c>
      <c r="M61" s="103"/>
      <c r="N61" s="103"/>
      <c r="O61" s="103"/>
      <c r="P61" s="103"/>
      <c r="Q61" s="103"/>
      <c r="R61" s="103"/>
      <c r="S61" s="103"/>
      <c r="T61" s="103"/>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99" t="s">
        <v>60</v>
      </c>
      <c r="M62" s="103"/>
      <c r="N62" s="103"/>
      <c r="O62" s="103"/>
      <c r="P62" s="103"/>
      <c r="Q62" s="103"/>
      <c r="R62" s="103"/>
      <c r="S62" s="103"/>
      <c r="T62" s="103"/>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98" t="s">
        <v>62</v>
      </c>
      <c r="M63" s="102" t="s">
        <v>63</v>
      </c>
      <c r="N63" s="102" t="s">
        <v>64</v>
      </c>
      <c r="O63" s="102" t="s">
        <v>65</v>
      </c>
      <c r="P63" s="102" t="s">
        <v>66</v>
      </c>
      <c r="Q63" s="103"/>
      <c r="R63" s="103"/>
      <c r="S63" s="103"/>
      <c r="T63" s="103"/>
    </row>
    <row r="64" spans="1:20" ht="15.6">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99" t="s">
        <v>68</v>
      </c>
      <c r="M64" s="103"/>
      <c r="N64" s="103"/>
      <c r="O64" s="103"/>
      <c r="P64" s="103"/>
      <c r="Q64" s="103"/>
      <c r="R64" s="103"/>
      <c r="S64" s="103"/>
      <c r="T64" s="103"/>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98" t="s">
        <v>70</v>
      </c>
      <c r="M65" s="103"/>
      <c r="N65" s="103"/>
      <c r="O65" s="103"/>
      <c r="P65" s="103"/>
      <c r="Q65" s="103"/>
      <c r="R65" s="103"/>
      <c r="S65" s="103"/>
      <c r="T65" s="103"/>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99" t="s">
        <v>72</v>
      </c>
      <c r="M66" s="102" t="s">
        <v>73</v>
      </c>
      <c r="N66" s="103"/>
      <c r="O66" s="103"/>
      <c r="P66" s="103"/>
      <c r="Q66" s="103"/>
      <c r="R66" s="103"/>
      <c r="S66" s="103"/>
      <c r="T66" s="103"/>
    </row>
    <row r="67" spans="1:20" ht="15.6">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3"/>
      <c r="N67" s="103"/>
      <c r="O67" s="103"/>
      <c r="P67" s="103"/>
      <c r="Q67" s="103"/>
      <c r="R67" s="103"/>
      <c r="S67" s="103"/>
      <c r="T67" s="103"/>
    </row>
    <row r="68" spans="1:20" ht="15.6">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06" t="s">
        <v>26</v>
      </c>
      <c r="L68" s="52"/>
      <c r="M68" s="103"/>
      <c r="N68" s="103"/>
      <c r="O68" s="103"/>
      <c r="P68" s="103"/>
      <c r="Q68" s="103"/>
      <c r="R68" s="103"/>
      <c r="S68" s="103"/>
      <c r="T68" s="103"/>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98" t="s">
        <v>75</v>
      </c>
      <c r="M69" s="102" t="s">
        <v>76</v>
      </c>
      <c r="N69" s="102" t="s">
        <v>77</v>
      </c>
      <c r="O69" s="102" t="s">
        <v>78</v>
      </c>
      <c r="P69" s="102" t="s">
        <v>77</v>
      </c>
      <c r="Q69" s="103"/>
      <c r="R69" s="103"/>
      <c r="S69" s="103"/>
      <c r="T69" s="103"/>
    </row>
    <row r="70" spans="1:20" ht="15.6">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99" t="s">
        <v>80</v>
      </c>
      <c r="M70" s="103"/>
      <c r="N70" s="103"/>
      <c r="O70" s="103"/>
      <c r="P70" s="103"/>
      <c r="Q70" s="103"/>
      <c r="R70" s="103"/>
      <c r="S70" s="103"/>
      <c r="T70" s="103"/>
    </row>
    <row r="71" spans="1:20" ht="43.1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98" t="s">
        <v>82</v>
      </c>
      <c r="M71" s="102" t="s">
        <v>83</v>
      </c>
      <c r="N71" s="103"/>
      <c r="O71" s="103"/>
      <c r="P71" s="103"/>
      <c r="Q71" s="103"/>
      <c r="R71" s="103"/>
      <c r="S71" s="103"/>
      <c r="T71" s="103"/>
    </row>
    <row r="72" spans="1:20" ht="15.6">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3"/>
      <c r="N72" s="103"/>
      <c r="O72" s="103"/>
      <c r="P72" s="103"/>
      <c r="Q72" s="103"/>
      <c r="R72" s="103"/>
      <c r="S72" s="103"/>
      <c r="T72" s="103"/>
    </row>
    <row r="73" spans="1:20" ht="28.9">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98" t="s">
        <v>86</v>
      </c>
      <c r="M73" s="103"/>
      <c r="N73" s="103"/>
      <c r="O73" s="103"/>
      <c r="P73" s="103"/>
      <c r="Q73" s="103"/>
      <c r="R73" s="103"/>
      <c r="S73" s="103"/>
      <c r="T73" s="103"/>
    </row>
    <row r="74" spans="1:20" ht="15.6">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99" t="s">
        <v>88</v>
      </c>
      <c r="M74" s="103"/>
      <c r="N74" s="103"/>
      <c r="O74" s="103"/>
      <c r="P74" s="103"/>
      <c r="Q74" s="103"/>
      <c r="R74" s="103"/>
      <c r="S74" s="103"/>
      <c r="T74" s="103"/>
    </row>
    <row r="75" spans="1:20" ht="15.6">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98" t="s">
        <v>90</v>
      </c>
      <c r="M75" s="103"/>
      <c r="N75" s="103"/>
      <c r="O75" s="103"/>
      <c r="P75" s="103"/>
      <c r="Q75" s="103"/>
      <c r="R75" s="103"/>
      <c r="S75" s="103"/>
      <c r="T75" s="103"/>
    </row>
    <row r="76" spans="1:20" ht="57.6">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99" t="s">
        <v>92</v>
      </c>
      <c r="M76" s="102" t="s">
        <v>93</v>
      </c>
      <c r="N76" s="103"/>
      <c r="O76" s="103"/>
      <c r="P76" s="103"/>
      <c r="Q76" s="103"/>
      <c r="R76" s="103"/>
      <c r="S76" s="103"/>
      <c r="T76" s="103"/>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98" t="s">
        <v>95</v>
      </c>
      <c r="M77" s="103"/>
      <c r="N77" s="103"/>
      <c r="O77" s="103"/>
      <c r="P77" s="103"/>
      <c r="Q77" s="103"/>
      <c r="R77" s="103"/>
      <c r="S77" s="103"/>
      <c r="T77" s="103"/>
    </row>
    <row r="78" spans="1:20" ht="15.6">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3"/>
      <c r="N78" s="103"/>
      <c r="O78" s="103"/>
      <c r="P78" s="103"/>
      <c r="Q78" s="103"/>
      <c r="R78" s="103"/>
      <c r="S78" s="103"/>
      <c r="T78" s="103"/>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0" t="s">
        <v>97</v>
      </c>
      <c r="M79" s="102" t="s">
        <v>98</v>
      </c>
      <c r="N79" s="102" t="s">
        <v>99</v>
      </c>
      <c r="O79" s="103"/>
      <c r="P79" s="103"/>
      <c r="Q79" s="103"/>
      <c r="R79" s="103"/>
      <c r="S79" s="103"/>
      <c r="T79" s="103"/>
    </row>
    <row r="80" spans="1:20" ht="15.6">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3"/>
      <c r="N80" s="103"/>
      <c r="O80" s="103"/>
      <c r="P80" s="103"/>
      <c r="Q80" s="103"/>
      <c r="R80" s="103"/>
      <c r="S80" s="103"/>
      <c r="T80" s="103"/>
    </row>
    <row r="81" spans="1:20" ht="57.6">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98" t="s">
        <v>101</v>
      </c>
      <c r="M81" s="103"/>
      <c r="N81" s="103"/>
      <c r="O81" s="103"/>
      <c r="P81" s="103"/>
      <c r="Q81" s="103"/>
      <c r="R81" s="103"/>
      <c r="S81" s="103"/>
      <c r="T81" s="103"/>
    </row>
    <row r="82" spans="1:20" ht="43.1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99" t="s">
        <v>103</v>
      </c>
      <c r="M82" s="102" t="s">
        <v>104</v>
      </c>
      <c r="N82" s="102" t="s">
        <v>105</v>
      </c>
      <c r="O82" s="103"/>
      <c r="P82" s="103"/>
      <c r="Q82" s="103"/>
      <c r="R82" s="103"/>
      <c r="S82" s="103"/>
      <c r="T82" s="103"/>
    </row>
    <row r="83" spans="1:20" ht="57.6">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98" t="s">
        <v>107</v>
      </c>
      <c r="M83" s="102" t="s">
        <v>108</v>
      </c>
      <c r="N83" s="102" t="s">
        <v>109</v>
      </c>
      <c r="O83" s="103"/>
      <c r="P83" s="103"/>
      <c r="Q83" s="103"/>
      <c r="R83" s="103"/>
      <c r="S83" s="103"/>
      <c r="T83" s="103"/>
    </row>
    <row r="84" spans="1:20" ht="43.1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99" t="s">
        <v>111</v>
      </c>
      <c r="M84" s="102" t="s">
        <v>112</v>
      </c>
      <c r="N84" s="103"/>
      <c r="O84" s="103"/>
      <c r="P84" s="103"/>
      <c r="Q84" s="103"/>
      <c r="R84" s="103"/>
      <c r="S84" s="103"/>
      <c r="T84" s="103"/>
    </row>
    <row r="85" spans="1:20" ht="129.6">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98" t="s">
        <v>114</v>
      </c>
      <c r="M85" s="102" t="s">
        <v>115</v>
      </c>
      <c r="N85" s="103"/>
      <c r="O85" s="103"/>
      <c r="P85" s="103"/>
      <c r="Q85" s="103"/>
      <c r="R85" s="103"/>
      <c r="S85" s="103"/>
      <c r="T85" s="103"/>
    </row>
    <row r="86" spans="1:20" ht="28.9">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99" t="s">
        <v>117</v>
      </c>
      <c r="M86" s="103"/>
      <c r="N86" s="103"/>
      <c r="O86" s="103"/>
      <c r="P86" s="103"/>
      <c r="Q86" s="103"/>
      <c r="R86" s="103"/>
      <c r="S86" s="103"/>
      <c r="T86" s="103"/>
    </row>
    <row r="87" spans="1:20" ht="72">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98" t="s">
        <v>119</v>
      </c>
      <c r="M87" s="102" t="s">
        <v>120</v>
      </c>
      <c r="N87" s="103"/>
      <c r="O87" s="103"/>
      <c r="P87" s="103"/>
      <c r="Q87" s="103"/>
      <c r="R87" s="103"/>
      <c r="S87" s="103"/>
      <c r="T87" s="103"/>
    </row>
    <row r="88" spans="1:20" ht="28.9">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99" t="s">
        <v>122</v>
      </c>
      <c r="M88" s="102" t="s">
        <v>123</v>
      </c>
      <c r="N88" s="102" t="s">
        <v>124</v>
      </c>
      <c r="O88" s="103"/>
      <c r="P88" s="103"/>
      <c r="Q88" s="103"/>
      <c r="R88" s="103"/>
      <c r="S88" s="103"/>
      <c r="T88" s="103"/>
    </row>
    <row r="89" spans="1:20" ht="15.6">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98" t="s">
        <v>126</v>
      </c>
      <c r="M89" s="103"/>
      <c r="N89" s="103"/>
      <c r="O89" s="103"/>
      <c r="P89" s="103"/>
      <c r="Q89" s="103"/>
      <c r="R89" s="103"/>
      <c r="S89" s="103"/>
      <c r="T89" s="103"/>
    </row>
    <row r="90" spans="1:20" ht="15.6">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99" t="s">
        <v>128</v>
      </c>
      <c r="M90" s="103"/>
      <c r="N90" s="103"/>
      <c r="O90" s="103"/>
      <c r="P90" s="103"/>
      <c r="Q90" s="103"/>
      <c r="R90" s="103"/>
      <c r="S90" s="103"/>
      <c r="T90" s="103"/>
    </row>
    <row r="91" spans="1:20" ht="28.9">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98" t="s">
        <v>130</v>
      </c>
      <c r="M91" s="102" t="s">
        <v>131</v>
      </c>
      <c r="N91" s="103"/>
      <c r="O91" s="103"/>
      <c r="P91" s="103"/>
      <c r="Q91" s="103"/>
      <c r="R91" s="103"/>
      <c r="S91" s="103"/>
      <c r="T91" s="103"/>
    </row>
    <row r="92" spans="1:20" ht="15.6">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99" t="s">
        <v>133</v>
      </c>
      <c r="M92" s="103"/>
      <c r="N92" s="103"/>
      <c r="O92" s="103"/>
      <c r="P92" s="103"/>
      <c r="Q92" s="103"/>
      <c r="R92" s="103"/>
      <c r="S92" s="103"/>
      <c r="T92" s="103"/>
    </row>
    <row r="93" spans="1:20" ht="15.6">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3"/>
      <c r="N93" s="103"/>
      <c r="O93" s="103"/>
      <c r="P93" s="103"/>
      <c r="Q93" s="103"/>
      <c r="R93" s="103"/>
      <c r="S93" s="103"/>
      <c r="T93" s="103"/>
    </row>
    <row r="94" spans="1:20" ht="15.6">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06" t="s">
        <v>26</v>
      </c>
      <c r="L94" s="52"/>
      <c r="M94" s="103"/>
      <c r="N94" s="103"/>
      <c r="O94" s="103"/>
      <c r="P94" s="103"/>
      <c r="Q94" s="103"/>
      <c r="R94" s="103"/>
      <c r="S94" s="103"/>
      <c r="T94" s="103"/>
    </row>
    <row r="95" spans="1:20" ht="28.9">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98" t="s">
        <v>135</v>
      </c>
      <c r="M95" s="103"/>
      <c r="N95" s="103"/>
      <c r="O95" s="103"/>
      <c r="P95" s="103"/>
      <c r="Q95" s="103"/>
      <c r="R95" s="103"/>
      <c r="S95" s="103"/>
      <c r="T95" s="103"/>
    </row>
    <row r="96" spans="1:20" ht="28.9">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98" t="s">
        <v>137</v>
      </c>
      <c r="M96" s="102" t="s">
        <v>138</v>
      </c>
      <c r="N96" s="103"/>
      <c r="O96" s="103"/>
      <c r="P96" s="103"/>
      <c r="Q96" s="103"/>
      <c r="R96" s="103"/>
      <c r="S96" s="103"/>
      <c r="T96" s="103"/>
    </row>
    <row r="97" spans="1:20" ht="15.6">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99" t="s">
        <v>140</v>
      </c>
      <c r="M97" s="103"/>
      <c r="N97" s="103"/>
      <c r="O97" s="103"/>
      <c r="P97" s="103"/>
      <c r="Q97" s="103"/>
      <c r="R97" s="103"/>
      <c r="S97" s="103"/>
      <c r="T97" s="103"/>
    </row>
    <row r="98" spans="1:20" ht="15.6">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06" t="s">
        <v>26</v>
      </c>
      <c r="L98" s="53"/>
      <c r="M98" s="103"/>
      <c r="N98" s="103"/>
      <c r="O98" s="103"/>
      <c r="P98" s="103"/>
      <c r="Q98" s="103"/>
      <c r="R98" s="103"/>
      <c r="S98" s="103"/>
      <c r="T98" s="103"/>
    </row>
    <row r="99" spans="1:20" ht="15.6">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3"/>
      <c r="N99" s="103"/>
      <c r="O99" s="103"/>
      <c r="P99" s="103"/>
      <c r="Q99" s="103"/>
      <c r="R99" s="103"/>
      <c r="S99" s="103"/>
      <c r="T99" s="103"/>
    </row>
    <row r="100" spans="1:20" ht="28.9">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98" t="s">
        <v>142</v>
      </c>
      <c r="M100" s="103"/>
      <c r="N100" s="103"/>
      <c r="O100" s="103"/>
      <c r="P100" s="103"/>
      <c r="Q100" s="103"/>
      <c r="R100" s="103"/>
      <c r="S100" s="103"/>
      <c r="T100" s="103"/>
    </row>
    <row r="101" spans="1:20" ht="57.6">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1" t="s">
        <v>144</v>
      </c>
      <c r="M101" s="102" t="s">
        <v>145</v>
      </c>
      <c r="N101" s="103"/>
      <c r="O101" s="103"/>
      <c r="P101" s="103"/>
      <c r="Q101" s="103"/>
      <c r="R101" s="103"/>
      <c r="S101" s="103"/>
      <c r="T101" s="103"/>
    </row>
    <row r="102" spans="1:20" ht="15.6">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3"/>
      <c r="N102" s="103"/>
      <c r="O102" s="103"/>
      <c r="P102" s="103"/>
      <c r="Q102" s="103"/>
      <c r="R102" s="103"/>
      <c r="S102" s="103"/>
      <c r="T102" s="103"/>
    </row>
    <row r="103" spans="1:20" ht="28.9">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1" t="s">
        <v>147</v>
      </c>
      <c r="M103" s="102" t="s">
        <v>148</v>
      </c>
      <c r="N103" s="103"/>
      <c r="O103" s="103"/>
      <c r="P103" s="103"/>
      <c r="Q103" s="103"/>
      <c r="R103" s="103"/>
      <c r="S103" s="103"/>
      <c r="T103" s="103"/>
    </row>
    <row r="104" spans="1:20" ht="28.9">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98" t="s">
        <v>150</v>
      </c>
      <c r="M104" s="103"/>
      <c r="N104" s="103"/>
      <c r="O104" s="103"/>
      <c r="P104" s="103"/>
      <c r="Q104" s="103"/>
      <c r="R104" s="103"/>
      <c r="S104" s="103"/>
      <c r="T104" s="103"/>
    </row>
    <row r="105" spans="1:20" ht="15.6">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2" t="s">
        <v>152</v>
      </c>
      <c r="M105" s="103"/>
      <c r="N105" s="103"/>
      <c r="O105" s="103"/>
      <c r="P105" s="103"/>
      <c r="Q105" s="103"/>
      <c r="R105" s="103"/>
      <c r="S105" s="103"/>
      <c r="T105" s="103"/>
    </row>
    <row r="106" spans="1:20" ht="28.9">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98" t="s">
        <v>154</v>
      </c>
      <c r="M106" s="102" t="s">
        <v>155</v>
      </c>
      <c r="N106" s="103"/>
      <c r="O106" s="103"/>
      <c r="P106" s="103"/>
      <c r="Q106" s="103"/>
      <c r="R106" s="103"/>
      <c r="S106" s="103"/>
      <c r="T106" s="103"/>
    </row>
    <row r="107" spans="1:20" ht="15.6">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06" t="s">
        <v>26</v>
      </c>
      <c r="L107" s="74"/>
      <c r="M107" s="103"/>
      <c r="N107" s="103"/>
      <c r="O107" s="103"/>
      <c r="P107" s="103"/>
      <c r="Q107" s="103"/>
      <c r="R107" s="103"/>
      <c r="S107" s="103"/>
      <c r="T107" s="103"/>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98" t="s">
        <v>157</v>
      </c>
      <c r="M108" s="103"/>
      <c r="N108" s="103"/>
      <c r="O108" s="103"/>
      <c r="P108" s="103"/>
      <c r="Q108" s="103"/>
      <c r="R108" s="103"/>
      <c r="S108" s="103"/>
      <c r="T108" s="103"/>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2" t="s">
        <v>159</v>
      </c>
      <c r="M109" s="103"/>
      <c r="N109" s="103"/>
      <c r="O109" s="103"/>
      <c r="P109" s="103"/>
      <c r="Q109" s="103"/>
      <c r="R109" s="103"/>
      <c r="S109" s="103"/>
      <c r="T109" s="103"/>
    </row>
    <row r="110" spans="1:20" ht="15.6">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98" t="s">
        <v>161</v>
      </c>
      <c r="M110" s="103"/>
      <c r="N110" s="103"/>
      <c r="O110" s="103"/>
      <c r="P110" s="103"/>
      <c r="Q110" s="103"/>
      <c r="R110" s="103"/>
      <c r="S110" s="103"/>
      <c r="T110" s="103"/>
    </row>
    <row r="111" spans="1:20" ht="15.6">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85" t="s">
        <v>162</v>
      </c>
      <c r="L111" s="102" t="s">
        <v>163</v>
      </c>
      <c r="M111" s="103"/>
      <c r="N111" s="103"/>
      <c r="O111" s="103"/>
      <c r="P111" s="103"/>
      <c r="Q111" s="103"/>
      <c r="R111" s="103"/>
      <c r="S111" s="103"/>
      <c r="T111" s="103"/>
    </row>
    <row r="112" spans="1:20" ht="28.9">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98" t="s">
        <v>165</v>
      </c>
      <c r="M112" s="103"/>
      <c r="N112" s="103"/>
      <c r="O112" s="103"/>
      <c r="P112" s="103"/>
      <c r="Q112" s="103"/>
      <c r="R112" s="103"/>
      <c r="S112" s="103"/>
      <c r="T112" s="103"/>
    </row>
    <row r="113" spans="1:20" ht="28.9">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2" t="s">
        <v>167</v>
      </c>
      <c r="M113" s="103"/>
      <c r="N113" s="103"/>
      <c r="O113" s="103"/>
      <c r="P113" s="103"/>
      <c r="Q113" s="103"/>
      <c r="R113" s="103"/>
      <c r="S113" s="103"/>
      <c r="T113" s="103"/>
    </row>
    <row r="114" spans="1:20" ht="15.6">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98" t="s">
        <v>169</v>
      </c>
      <c r="M114" s="103"/>
      <c r="N114" s="103"/>
      <c r="O114" s="103"/>
      <c r="P114" s="103"/>
      <c r="Q114" s="103"/>
      <c r="R114" s="103"/>
      <c r="S114" s="103"/>
      <c r="T114" s="103"/>
    </row>
    <row r="115" spans="1:20" ht="15.6">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2" t="s">
        <v>171</v>
      </c>
      <c r="M115" s="103"/>
      <c r="N115" s="103"/>
      <c r="O115" s="103"/>
      <c r="P115" s="103"/>
      <c r="Q115" s="103"/>
      <c r="R115" s="103"/>
      <c r="S115" s="103"/>
      <c r="T115" s="103"/>
    </row>
    <row r="116" spans="1:20" ht="43.1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98" t="s">
        <v>173</v>
      </c>
      <c r="M116" s="102" t="s">
        <v>174</v>
      </c>
      <c r="N116" s="102" t="s">
        <v>175</v>
      </c>
      <c r="O116" s="103"/>
      <c r="P116" s="103"/>
      <c r="Q116" s="103"/>
      <c r="R116" s="103"/>
      <c r="S116" s="103"/>
      <c r="T116" s="103"/>
    </row>
    <row r="117" spans="1:20" ht="15.6">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3"/>
      <c r="N117" s="103"/>
      <c r="O117" s="103"/>
      <c r="P117" s="103"/>
      <c r="Q117" s="103"/>
      <c r="R117" s="103"/>
      <c r="S117" s="103"/>
      <c r="T117" s="103"/>
    </row>
    <row r="118" spans="1:20" ht="15.6">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3"/>
      <c r="N118" s="103"/>
      <c r="O118" s="103"/>
      <c r="P118" s="103"/>
      <c r="Q118" s="103"/>
      <c r="R118" s="103"/>
      <c r="S118" s="103"/>
      <c r="T118" s="103"/>
    </row>
    <row r="119" spans="1:20" ht="15.6">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06" t="s">
        <v>26</v>
      </c>
      <c r="L119" s="74"/>
      <c r="M119" s="103"/>
      <c r="N119" s="103"/>
      <c r="O119" s="103"/>
      <c r="P119" s="103"/>
      <c r="Q119" s="103"/>
      <c r="R119" s="103"/>
      <c r="S119" s="103"/>
      <c r="T119" s="103"/>
    </row>
    <row r="120" spans="1:20" ht="15.6">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3"/>
      <c r="N120" s="103"/>
      <c r="O120" s="103"/>
      <c r="P120" s="103"/>
      <c r="Q120" s="103"/>
      <c r="R120" s="103"/>
      <c r="S120" s="103"/>
      <c r="T120" s="103"/>
    </row>
    <row r="121" spans="1:20" ht="15.6">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06" t="s">
        <v>26</v>
      </c>
      <c r="L121" s="74"/>
      <c r="M121" s="103"/>
      <c r="N121" s="103"/>
      <c r="O121" s="103"/>
      <c r="P121" s="103"/>
      <c r="Q121" s="103"/>
      <c r="R121" s="103"/>
      <c r="S121" s="103"/>
      <c r="T121" s="103"/>
    </row>
    <row r="122" spans="1:20" ht="15.6">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2" si="15">IFERROR(I122/H122, "")</f>
        <v/>
      </c>
      <c r="K122" s="56"/>
      <c r="L122" s="53"/>
      <c r="M122" s="103"/>
      <c r="N122" s="103"/>
      <c r="O122" s="103"/>
      <c r="P122" s="103"/>
      <c r="Q122" s="103"/>
      <c r="R122" s="103"/>
      <c r="S122" s="103"/>
      <c r="T122" s="103"/>
    </row>
    <row r="123" spans="1:20" ht="15.6">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2" t="s">
        <v>178</v>
      </c>
      <c r="M123" s="103"/>
      <c r="N123" s="103"/>
      <c r="O123" s="103"/>
      <c r="P123" s="103"/>
      <c r="Q123" s="103"/>
      <c r="R123" s="103"/>
      <c r="S123" s="103"/>
      <c r="T123" s="103"/>
    </row>
    <row r="124" spans="1:20" ht="15.6">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98" t="s">
        <v>180</v>
      </c>
      <c r="M124" s="103"/>
      <c r="N124" s="103"/>
      <c r="O124" s="103"/>
      <c r="P124" s="103"/>
      <c r="Q124" s="103"/>
      <c r="R124" s="103"/>
      <c r="S124" s="103"/>
      <c r="T124" s="103"/>
    </row>
    <row r="125" spans="1:20" ht="15.6">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2" t="s">
        <v>182</v>
      </c>
      <c r="M125" s="103"/>
      <c r="N125" s="103"/>
      <c r="O125" s="103"/>
      <c r="P125" s="103"/>
      <c r="Q125" s="103"/>
      <c r="R125" s="103"/>
      <c r="S125" s="103"/>
      <c r="T125" s="103"/>
    </row>
    <row r="126" spans="1:20" ht="15.6">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98" t="s">
        <v>184</v>
      </c>
      <c r="M126" s="103"/>
      <c r="N126" s="103"/>
      <c r="O126" s="103"/>
      <c r="P126" s="103"/>
      <c r="Q126" s="103"/>
      <c r="R126" s="103"/>
      <c r="S126" s="103"/>
      <c r="T126" s="103"/>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2" t="s">
        <v>186</v>
      </c>
      <c r="M127" s="103"/>
      <c r="N127" s="103"/>
      <c r="O127" s="103"/>
      <c r="P127" s="103"/>
      <c r="Q127" s="103"/>
      <c r="R127" s="103"/>
      <c r="S127" s="103"/>
      <c r="T127" s="103"/>
    </row>
    <row r="128" spans="1:20" ht="15.6">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3"/>
      <c r="N128" s="103"/>
      <c r="O128" s="103"/>
      <c r="P128" s="103"/>
      <c r="Q128" s="103"/>
      <c r="R128" s="103"/>
      <c r="S128" s="103"/>
      <c r="T128" s="103"/>
    </row>
    <row r="129" spans="1:20" ht="15.6">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3"/>
      <c r="N129" s="103"/>
      <c r="O129" s="103"/>
      <c r="P129" s="103"/>
      <c r="Q129" s="103"/>
      <c r="R129" s="103"/>
      <c r="S129" s="103"/>
      <c r="T129" s="103"/>
    </row>
    <row r="130" spans="1:20" ht="15.6">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98" t="s">
        <v>187</v>
      </c>
      <c r="M130" s="103"/>
      <c r="N130" s="103"/>
      <c r="O130" s="103"/>
      <c r="P130" s="103"/>
      <c r="Q130" s="103"/>
      <c r="R130" s="103"/>
      <c r="S130" s="103"/>
      <c r="T130" s="103"/>
    </row>
    <row r="131" spans="1:20" ht="15.6">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3"/>
      <c r="N131" s="103"/>
      <c r="O131" s="103"/>
      <c r="P131" s="103"/>
      <c r="Q131" s="103"/>
      <c r="R131" s="103"/>
      <c r="S131" s="103"/>
      <c r="T131" s="103"/>
    </row>
    <row r="132" spans="1:20" ht="15.6">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3"/>
      <c r="N132" s="103"/>
      <c r="O132" s="103"/>
      <c r="P132" s="103"/>
      <c r="Q132" s="103"/>
      <c r="R132" s="103"/>
      <c r="S132" s="103"/>
      <c r="T132" s="103"/>
    </row>
    <row r="133" spans="1:20" ht="15.6">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2" t="s">
        <v>188</v>
      </c>
      <c r="M133" s="103"/>
      <c r="N133" s="103"/>
      <c r="O133" s="103"/>
      <c r="P133" s="103"/>
      <c r="Q133" s="103"/>
      <c r="R133" s="103"/>
      <c r="S133" s="103"/>
      <c r="T133" s="103"/>
    </row>
    <row r="134" spans="1:20" ht="15.6">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98" t="s">
        <v>190</v>
      </c>
      <c r="M134" s="103"/>
      <c r="N134" s="103"/>
      <c r="O134" s="103"/>
      <c r="P134" s="103"/>
      <c r="Q134" s="103"/>
      <c r="R134" s="103"/>
      <c r="S134" s="103"/>
      <c r="T134" s="103"/>
    </row>
    <row r="135" spans="1:20" ht="15.6">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3"/>
      <c r="N135" s="103"/>
      <c r="O135" s="103"/>
      <c r="P135" s="103"/>
      <c r="Q135" s="103"/>
      <c r="R135" s="103"/>
      <c r="S135" s="103"/>
      <c r="T135" s="103"/>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98" t="s">
        <v>192</v>
      </c>
      <c r="M136" s="103"/>
      <c r="N136" s="103"/>
      <c r="O136" s="103"/>
      <c r="P136" s="103"/>
      <c r="Q136" s="103"/>
      <c r="R136" s="103"/>
      <c r="S136" s="103"/>
      <c r="T136" s="103"/>
    </row>
    <row r="137" spans="1:20" ht="15.6">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2" t="s">
        <v>193</v>
      </c>
      <c r="M137" s="103"/>
      <c r="N137" s="103"/>
      <c r="O137" s="103"/>
      <c r="P137" s="103"/>
      <c r="Q137" s="103"/>
      <c r="R137" s="103"/>
      <c r="S137" s="103"/>
      <c r="T137" s="103"/>
    </row>
    <row r="138" spans="1:20" ht="15.6">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98" t="s">
        <v>194</v>
      </c>
      <c r="M138" s="103"/>
      <c r="N138" s="103"/>
      <c r="O138" s="103"/>
      <c r="P138" s="103"/>
      <c r="Q138" s="103"/>
      <c r="R138" s="103"/>
      <c r="S138" s="103"/>
      <c r="T138" s="103"/>
    </row>
    <row r="139" spans="1:20" ht="15.6">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3"/>
      <c r="N139" s="103"/>
      <c r="O139" s="103"/>
      <c r="P139" s="103"/>
      <c r="Q139" s="103"/>
      <c r="R139" s="103"/>
      <c r="S139" s="103"/>
      <c r="T139" s="103"/>
    </row>
    <row r="140" spans="1:20" ht="28.9">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98" t="s">
        <v>196</v>
      </c>
      <c r="M140" s="102" t="s">
        <v>197</v>
      </c>
      <c r="N140" s="103"/>
      <c r="O140" s="103"/>
      <c r="P140" s="103"/>
      <c r="Q140" s="103"/>
      <c r="R140" s="103"/>
      <c r="S140" s="103"/>
      <c r="T140" s="103"/>
    </row>
    <row r="141" spans="1:20" ht="15.6">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2" t="s">
        <v>199</v>
      </c>
      <c r="M141" s="103"/>
      <c r="N141" s="103"/>
      <c r="O141" s="103"/>
      <c r="P141" s="103"/>
      <c r="Q141" s="103"/>
      <c r="R141" s="103"/>
      <c r="S141" s="103"/>
      <c r="T141" s="103"/>
    </row>
    <row r="142" spans="1:20" ht="15.6">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3"/>
      <c r="N142" s="103"/>
      <c r="O142" s="103"/>
      <c r="P142" s="103"/>
      <c r="Q142" s="103"/>
      <c r="R142" s="103"/>
      <c r="S142" s="103"/>
      <c r="T142" s="103"/>
    </row>
    <row r="143" spans="1:20" ht="15.6">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2" t="s">
        <v>200</v>
      </c>
      <c r="M143" s="103"/>
      <c r="N143" s="103"/>
      <c r="O143" s="103"/>
      <c r="P143" s="103"/>
      <c r="Q143" s="103"/>
      <c r="R143" s="103"/>
      <c r="S143" s="103"/>
      <c r="T143" s="103"/>
    </row>
    <row r="144" spans="1:20" ht="15.6">
      <c r="A144" s="24" t="str">
        <v>Trenton - Trenton East</v>
      </c>
      <c r="B144" s="25" t="str">
        <v>IL</v>
      </c>
      <c r="C144" s="25" t="str">
        <f>Sites[[#This Row],[SOL'#]]</f>
        <v>SOL-11060</v>
      </c>
      <c r="D144" s="54"/>
      <c r="E144" s="10"/>
      <c r="F144" s="10" t="str">
        <f t="shared" ref="F144:F153" si="16">IF(AND(ISNUMBER(D144),ISNUMBER(E144)), D144-E144, "")</f>
        <v/>
      </c>
      <c r="G144" s="11" t="str">
        <f t="shared" ref="G144:G152" si="17">IFERROR(F144/E144, "")</f>
        <v/>
      </c>
      <c r="H144" s="67"/>
      <c r="I144" s="12" t="str">
        <f t="shared" si="14"/>
        <v/>
      </c>
      <c r="J144" s="13" t="str">
        <f t="shared" si="15"/>
        <v/>
      </c>
      <c r="K144" s="56"/>
      <c r="L144" s="53"/>
      <c r="M144" s="103"/>
      <c r="N144" s="103"/>
      <c r="O144" s="103"/>
      <c r="P144" s="103"/>
      <c r="Q144" s="103"/>
      <c r="R144" s="103"/>
      <c r="S144" s="103"/>
      <c r="T144" s="103"/>
    </row>
    <row r="145" spans="1:20" ht="15.6">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2"/>
      <c r="M145" s="103"/>
      <c r="N145" s="103"/>
      <c r="O145" s="103"/>
      <c r="P145" s="103"/>
      <c r="Q145" s="103"/>
      <c r="R145" s="103"/>
      <c r="S145" s="103"/>
      <c r="T145" s="103"/>
    </row>
    <row r="146" spans="1:20" ht="15.6">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3"/>
      <c r="N146" s="103"/>
      <c r="O146" s="103"/>
      <c r="P146" s="103"/>
      <c r="Q146" s="103"/>
      <c r="R146" s="103"/>
      <c r="S146" s="103"/>
      <c r="T146" s="103"/>
    </row>
    <row r="147" spans="1:20" ht="15.6">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2"/>
      <c r="M147" s="103"/>
      <c r="N147" s="103"/>
      <c r="O147" s="103"/>
      <c r="P147" s="103"/>
      <c r="Q147" s="103"/>
      <c r="R147" s="103"/>
      <c r="S147" s="103"/>
      <c r="T147" s="103"/>
    </row>
    <row r="148" spans="1:20" ht="15.6">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9">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1" t="s">
        <v>201</v>
      </c>
      <c r="L149" s="101" t="s">
        <v>202</v>
      </c>
    </row>
    <row r="150" spans="1:20" ht="28.9">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98" t="s">
        <v>204</v>
      </c>
      <c r="M150" s="111" t="s">
        <v>205</v>
      </c>
    </row>
    <row r="151" spans="1:20" ht="43.1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1" t="s">
        <v>207</v>
      </c>
      <c r="M151" s="111" t="s">
        <v>208</v>
      </c>
    </row>
    <row r="152" spans="1:20" ht="28.9">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98" t="s">
        <v>210</v>
      </c>
      <c r="M152" s="111" t="s">
        <v>211</v>
      </c>
    </row>
    <row r="153" spans="1:20" ht="86.45">
      <c r="A153" s="26" t="str">
        <v xml:space="preserve"> O'Brien Hill #2</v>
      </c>
      <c r="B153" s="27" t="str">
        <v>NY</v>
      </c>
      <c r="C153" s="27" t="str">
        <f>Sites[[#This Row],[SOL'#]]</f>
        <v>SOL-11099</v>
      </c>
      <c r="D153" s="66">
        <v>286189</v>
      </c>
      <c r="E153" s="14">
        <v>0</v>
      </c>
      <c r="F153" s="14">
        <f t="shared" si="16"/>
        <v>286189</v>
      </c>
      <c r="G153" s="15" t="str">
        <f t="shared" ref="G153:G164" si="18">IFERROR(F153/E153, "")</f>
        <v/>
      </c>
      <c r="H153" s="69">
        <v>0</v>
      </c>
      <c r="I153" s="16">
        <f t="shared" si="14"/>
        <v>286189</v>
      </c>
      <c r="J153" s="15" t="str">
        <f t="shared" ref="J153:J164" si="19">IFERROR(I153/H153, "")</f>
        <v/>
      </c>
      <c r="K153" s="50" t="s">
        <v>212</v>
      </c>
      <c r="L153" s="101" t="s">
        <v>213</v>
      </c>
      <c r="M153" s="111" t="s">
        <v>214</v>
      </c>
      <c r="N153" s="111" t="s">
        <v>215</v>
      </c>
      <c r="O153" s="111" t="s">
        <v>211</v>
      </c>
    </row>
    <row r="154" spans="1:20"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12" t="str">
        <f t="shared" ref="I154:I164" si="21">IF(AND(ISNUMBER(D154),ISNUMBER(H154)), D154-H154, "")</f>
        <v/>
      </c>
      <c r="J154" s="13" t="str">
        <f t="shared" si="19"/>
        <v/>
      </c>
      <c r="K154" s="56"/>
      <c r="L154" s="53"/>
    </row>
    <row r="155" spans="1:20" ht="15.6">
      <c r="A155" s="26" t="str">
        <v>Ransom</v>
      </c>
      <c r="B155" s="27" t="str">
        <v>NY</v>
      </c>
      <c r="C155" s="27" t="str">
        <f>Sites[[#This Row],[SOL'#]]</f>
        <v>SOL-11157</v>
      </c>
      <c r="D155" s="66"/>
      <c r="E155" s="14"/>
      <c r="F155" s="14" t="str">
        <f t="shared" si="20"/>
        <v/>
      </c>
      <c r="G155" s="15" t="str">
        <f t="shared" si="18"/>
        <v/>
      </c>
      <c r="H155" s="69"/>
      <c r="I155" s="16" t="str">
        <f t="shared" si="21"/>
        <v/>
      </c>
      <c r="J155" s="15" t="str">
        <f t="shared" si="19"/>
        <v/>
      </c>
      <c r="K155" s="50"/>
      <c r="L155" s="101"/>
    </row>
    <row r="156" spans="1:20" ht="15.6">
      <c r="A156" s="24" t="str">
        <v>Horseheads - Wedge</v>
      </c>
      <c r="B156" s="25" t="str">
        <v>NY</v>
      </c>
      <c r="C156" s="25" t="str">
        <f>Sites[[#This Row],[SOL'#]]</f>
        <v>SOL-11160</v>
      </c>
      <c r="D156" s="54"/>
      <c r="E156" s="10"/>
      <c r="F156" s="10" t="str">
        <f t="shared" si="20"/>
        <v/>
      </c>
      <c r="G156" s="11" t="str">
        <f t="shared" si="18"/>
        <v/>
      </c>
      <c r="H156" s="67"/>
      <c r="I156" s="12" t="str">
        <f t="shared" si="21"/>
        <v/>
      </c>
      <c r="J156" s="13" t="str">
        <f t="shared" si="19"/>
        <v/>
      </c>
      <c r="K156" s="56"/>
      <c r="L156" s="53"/>
    </row>
    <row r="157" spans="1:20" ht="15.6">
      <c r="A157" s="26" t="str">
        <v>Otisville - Shoddy Hollow</v>
      </c>
      <c r="B157" s="27" t="str">
        <v>NY</v>
      </c>
      <c r="C157" s="27" t="str">
        <f>Sites[[#This Row],[SOL'#]]</f>
        <v>SOL-11185</v>
      </c>
      <c r="D157" s="66"/>
      <c r="E157" s="14"/>
      <c r="F157" s="14" t="str">
        <f t="shared" si="20"/>
        <v/>
      </c>
      <c r="G157" s="15" t="str">
        <f t="shared" si="18"/>
        <v/>
      </c>
      <c r="H157" s="69"/>
      <c r="I157" s="16" t="str">
        <f t="shared" si="21"/>
        <v/>
      </c>
      <c r="J157" s="15" t="str">
        <f t="shared" si="19"/>
        <v/>
      </c>
      <c r="K157" s="50"/>
      <c r="L157" s="101"/>
    </row>
    <row r="158" spans="1:20" ht="15.6">
      <c r="A158" s="24" t="str">
        <v>Wellsville - Chenunda Creek</v>
      </c>
      <c r="B158" s="25" t="str">
        <v>NY</v>
      </c>
      <c r="C158" s="25" t="str">
        <f>Sites[[#This Row],[SOL'#]]</f>
        <v>SOL-11187</v>
      </c>
      <c r="D158" s="54"/>
      <c r="E158" s="10"/>
      <c r="F158" s="10" t="str">
        <f t="shared" si="20"/>
        <v/>
      </c>
      <c r="G158" s="11" t="str">
        <f t="shared" si="18"/>
        <v/>
      </c>
      <c r="H158" s="67"/>
      <c r="I158" s="12" t="str">
        <f t="shared" si="21"/>
        <v/>
      </c>
      <c r="J158" s="13" t="str">
        <f t="shared" si="19"/>
        <v/>
      </c>
      <c r="K158" s="56"/>
      <c r="L158" s="53"/>
    </row>
    <row r="159" spans="1:20" ht="15.6">
      <c r="A159" s="26" t="str">
        <v>DC: Washington - Essex Condominium</v>
      </c>
      <c r="B159" s="27" t="str">
        <v>DC</v>
      </c>
      <c r="C159" s="27" t="str">
        <f>Sites[[#This Row],[SOL'#]]</f>
        <v>SOL-10036</v>
      </c>
      <c r="D159" s="66">
        <v>1103</v>
      </c>
      <c r="E159" s="14">
        <v>1699.8030000000001</v>
      </c>
      <c r="F159" s="14">
        <f t="shared" si="20"/>
        <v>-596.80300000000011</v>
      </c>
      <c r="G159" s="68">
        <f t="shared" si="18"/>
        <v>-0.35110127467712438</v>
      </c>
      <c r="H159" s="69">
        <v>2153.1579999999999</v>
      </c>
      <c r="I159" s="69">
        <f t="shared" si="21"/>
        <v>-1050.1579999999999</v>
      </c>
      <c r="J159" s="68">
        <f t="shared" si="19"/>
        <v>-0.48772918661798159</v>
      </c>
      <c r="K159" s="50" t="s">
        <v>26</v>
      </c>
      <c r="L159" s="101"/>
    </row>
    <row r="160" spans="1:20" ht="15.6">
      <c r="A160" s="24" t="str">
        <v>HI: Waipahu - 94-246 Leoku St - E.F.G.</v>
      </c>
      <c r="B160" s="25" t="str">
        <v>HI</v>
      </c>
      <c r="C160" s="25" t="str">
        <f>Sites[[#This Row],[SOL'#]]</f>
        <v>SOL-10071</v>
      </c>
      <c r="D160" s="54">
        <v>7974</v>
      </c>
      <c r="E160" s="10">
        <v>8441.8950000000004</v>
      </c>
      <c r="F160" s="10">
        <f t="shared" si="20"/>
        <v>-467.89500000000044</v>
      </c>
      <c r="G160" s="55">
        <f t="shared" si="18"/>
        <v>-5.5425351772321309E-2</v>
      </c>
      <c r="H160" s="67">
        <v>9806.3279999999995</v>
      </c>
      <c r="I160" s="67">
        <f t="shared" si="21"/>
        <v>-1832.3279999999995</v>
      </c>
      <c r="J160" s="64">
        <f t="shared" si="19"/>
        <v>-0.18685159215559582</v>
      </c>
      <c r="K160" s="56" t="s">
        <v>216</v>
      </c>
      <c r="L160" s="73" t="s">
        <v>217</v>
      </c>
    </row>
    <row r="161" spans="1:12" ht="15.6">
      <c r="A161" s="26" t="str">
        <v>HI: Waipahu - 94-099 Waipahu St - PV</v>
      </c>
      <c r="B161" s="27" t="str">
        <v>HI</v>
      </c>
      <c r="C161" s="27" t="str">
        <f>Sites[[#This Row],[SOL'#]]</f>
        <v>SOL-10068</v>
      </c>
      <c r="D161" s="66">
        <v>10130</v>
      </c>
      <c r="E161" s="14">
        <v>8193.3529999999992</v>
      </c>
      <c r="F161" s="14">
        <f t="shared" si="20"/>
        <v>1936.6470000000008</v>
      </c>
      <c r="G161" s="68">
        <f t="shared" si="18"/>
        <v>0.23636806567470009</v>
      </c>
      <c r="H161" s="69">
        <v>9801.0810000000001</v>
      </c>
      <c r="I161" s="69">
        <f t="shared" si="21"/>
        <v>328.91899999999987</v>
      </c>
      <c r="J161" s="68">
        <f t="shared" si="19"/>
        <v>3.3559461451241945E-2</v>
      </c>
      <c r="K161" s="50"/>
      <c r="L161" s="101"/>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73"/>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50"/>
      <c r="L163" s="101"/>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73"/>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mergeCells count="4">
    <mergeCell ref="E1:G1"/>
    <mergeCell ref="A1:D1"/>
    <mergeCell ref="H1:J1"/>
    <mergeCell ref="A2:B2"/>
  </mergeCells>
  <phoneticPr fontId="40" type="noConversion"/>
  <conditionalFormatting sqref="G2 J2 G4:G164 J4:J164">
    <cfRule type="cellIs" dxfId="42" priority="18" stopIfTrue="1" operator="lessThanOrEqual">
      <formula>-0.1</formula>
    </cfRule>
    <cfRule type="expression" dxfId="41" priority="19">
      <formula>AND(ISNUMBER(G2), G2&gt;=0.1)</formula>
    </cfRule>
  </conditionalFormatting>
  <conditionalFormatting sqref="V156:V158 AE156:AE158 AH156:AH158">
    <cfRule type="cellIs" dxfId="40" priority="1" stopIfTrue="1" operator="lessThanOrEqual">
      <formula>-0.1</formula>
    </cfRule>
    <cfRule type="expression" dxfId="39" priority="2">
      <formula>AND(ISNUMBER(V156), V156&gt;=0.1)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73"/>
  <sheetViews>
    <sheetView zoomScale="60" zoomScaleNormal="60" workbookViewId="0">
      <pane xSplit="2" ySplit="3" topLeftCell="C45" activePane="bottomRight" state="frozen"/>
      <selection pane="bottomRight" activeCell="G170" sqref="G17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3" customWidth="1"/>
    <col min="16" max="22" width="22.85546875" customWidth="1"/>
  </cols>
  <sheetData>
    <row r="1" spans="1:13" ht="15.6">
      <c r="A1" s="192" t="str" cm="1">
        <f t="array" ref="A1">portfolio</f>
        <v>Generate Capital</v>
      </c>
      <c r="B1" s="192"/>
      <c r="C1" s="192"/>
      <c r="D1" s="192"/>
      <c r="E1" s="193" t="s">
        <v>218</v>
      </c>
      <c r="F1" s="193"/>
      <c r="G1" s="193"/>
      <c r="H1" s="191" t="s">
        <v>219</v>
      </c>
      <c r="I1" s="191"/>
      <c r="J1" s="191"/>
      <c r="K1" s="44"/>
      <c r="L1" s="4"/>
    </row>
    <row r="2" spans="1:13" ht="15.6">
      <c r="A2" s="194" t="s">
        <v>2</v>
      </c>
      <c r="B2" s="194"/>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21</v>
      </c>
      <c r="L3" s="21" t="s">
        <v>22</v>
      </c>
    </row>
    <row r="4" spans="1:13" ht="15.6">
      <c r="A4" s="26" t="str" cm="1">
        <f t="array" ref="A4:A173">Sites[Site]</f>
        <v>K026</v>
      </c>
      <c r="B4" s="27" t="str" cm="1">
        <f t="array" ref="B4:B173">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87"/>
    </row>
    <row r="5" spans="1:13" ht="15.6">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6">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87"/>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220</v>
      </c>
      <c r="L7" s="109" t="s">
        <v>221</v>
      </c>
    </row>
    <row r="8" spans="1:13" ht="28.9">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86" t="s">
        <v>222</v>
      </c>
      <c r="L8" s="112" t="s">
        <v>25</v>
      </c>
    </row>
    <row r="9" spans="1:13" ht="15.6">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6">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86" t="s">
        <v>26</v>
      </c>
      <c r="L10" s="187"/>
    </row>
    <row r="11" spans="1:13" ht="15.6">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6">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97" t="s">
        <v>27</v>
      </c>
      <c r="L12" s="113" t="s">
        <v>223</v>
      </c>
    </row>
    <row r="13" spans="1:13" ht="15.6">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0" t="s">
        <v>30</v>
      </c>
      <c r="M14" s="102" t="s">
        <v>31</v>
      </c>
    </row>
    <row r="15" spans="1:13" ht="15.6">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6">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06" t="s">
        <v>84</v>
      </c>
      <c r="L16" s="187"/>
    </row>
    <row r="17" spans="1:19" ht="15.6">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6">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86"/>
      <c r="L18" s="187"/>
    </row>
    <row r="19" spans="1:19" ht="15.6">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3" t="s">
        <v>224</v>
      </c>
      <c r="L20" s="110" t="s">
        <v>33</v>
      </c>
    </row>
    <row r="21" spans="1:19" ht="15.6">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6">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87"/>
    </row>
    <row r="23" spans="1:19" ht="15.6">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6">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86"/>
      <c r="L24" s="187"/>
    </row>
    <row r="25" spans="1:19" ht="15.6">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6">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86"/>
      <c r="L26" s="187"/>
    </row>
    <row r="27" spans="1:19" ht="15.6">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5" t="s">
        <v>225</v>
      </c>
      <c r="L28" s="110" t="s">
        <v>226</v>
      </c>
      <c r="M28" s="102" t="s">
        <v>227</v>
      </c>
    </row>
    <row r="29" spans="1:19" ht="15.6">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6">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86" t="s">
        <v>26</v>
      </c>
      <c r="L30" s="187"/>
    </row>
    <row r="31" spans="1:19" ht="15.6">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6">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86"/>
      <c r="L32" s="186"/>
    </row>
    <row r="33" spans="1:12" ht="15.6">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6">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86" t="s">
        <v>26</v>
      </c>
      <c r="L34" s="187"/>
    </row>
    <row r="35" spans="1:12" ht="15.6">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6">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86" t="s">
        <v>26</v>
      </c>
      <c r="L36" s="187"/>
    </row>
    <row r="37" spans="1:12" ht="15.6">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6">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87"/>
    </row>
    <row r="39" spans="1:12" ht="15.6">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6">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86" t="s">
        <v>26</v>
      </c>
      <c r="L40" s="187"/>
    </row>
    <row r="41" spans="1:12" ht="15.6">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9">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86" t="s">
        <v>228</v>
      </c>
      <c r="L42" s="99" t="s">
        <v>229</v>
      </c>
    </row>
    <row r="43" spans="1:12" ht="43.1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230</v>
      </c>
      <c r="L43" s="109" t="s">
        <v>231</v>
      </c>
    </row>
    <row r="44" spans="1:12" ht="15.6">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86"/>
      <c r="L44" s="187"/>
    </row>
    <row r="45" spans="1:12" ht="15.6">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6">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86" t="s">
        <v>232</v>
      </c>
      <c r="L46" s="112" t="s">
        <v>233</v>
      </c>
    </row>
    <row r="47" spans="1:12" ht="15.6">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234</v>
      </c>
      <c r="L47" s="109" t="s">
        <v>235</v>
      </c>
    </row>
    <row r="48" spans="1:12" ht="15.6">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86"/>
      <c r="L48" s="187"/>
    </row>
    <row r="49" spans="1:16" ht="15.6">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09"/>
    </row>
    <row r="50" spans="1:16" ht="15.6">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86" t="s">
        <v>26</v>
      </c>
      <c r="L50" s="187"/>
    </row>
    <row r="51" spans="1:16" ht="15.6">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6">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86"/>
      <c r="L52" s="187"/>
    </row>
    <row r="53" spans="1:16" ht="15.6">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6">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86"/>
      <c r="L54" s="186"/>
    </row>
    <row r="55" spans="1:16" ht="15.6">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6">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86"/>
    </row>
    <row r="57" spans="1:16" ht="15.6">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86" t="s">
        <v>236</v>
      </c>
      <c r="L58" s="99" t="s">
        <v>237</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238</v>
      </c>
      <c r="L59" s="109" t="s">
        <v>239</v>
      </c>
      <c r="M59" s="102" t="s">
        <v>56</v>
      </c>
    </row>
    <row r="60" spans="1:16" ht="15.6">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86" t="s">
        <v>240</v>
      </c>
      <c r="L60" s="112" t="s">
        <v>241</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242</v>
      </c>
      <c r="L61" s="109" t="s">
        <v>243</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244</v>
      </c>
      <c r="L62" s="99"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245</v>
      </c>
      <c r="L63" s="109" t="s">
        <v>246</v>
      </c>
      <c r="M63" s="102" t="s">
        <v>247</v>
      </c>
      <c r="N63" s="102" t="s">
        <v>248</v>
      </c>
      <c r="O63" s="102" t="s">
        <v>249</v>
      </c>
      <c r="P63" s="111" t="s">
        <v>250</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86" t="s">
        <v>84</v>
      </c>
      <c r="L64" s="187"/>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251</v>
      </c>
      <c r="L65" s="109" t="s">
        <v>252</v>
      </c>
      <c r="M65" s="102" t="s">
        <v>253</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86" t="s">
        <v>254</v>
      </c>
      <c r="L66" s="99" t="s">
        <v>255</v>
      </c>
      <c r="M66" s="102" t="s">
        <v>73</v>
      </c>
      <c r="N66" s="102" t="s">
        <v>256</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257</v>
      </c>
      <c r="L67" s="109" t="s">
        <v>258</v>
      </c>
      <c r="M67" s="102" t="s">
        <v>259</v>
      </c>
      <c r="N67" s="102" t="s">
        <v>260</v>
      </c>
      <c r="O67" s="102" t="s">
        <v>261</v>
      </c>
      <c r="P67" s="114" t="s">
        <v>262</v>
      </c>
      <c r="Q67" s="111" t="s">
        <v>263</v>
      </c>
    </row>
    <row r="68" spans="1:17" ht="15.6">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86" t="s">
        <v>84</v>
      </c>
      <c r="L68" s="186"/>
    </row>
    <row r="69" spans="1:17" ht="115.1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264</v>
      </c>
      <c r="L69" s="98" t="s">
        <v>265</v>
      </c>
      <c r="M69" s="102" t="s">
        <v>77</v>
      </c>
      <c r="N69" s="102" t="s">
        <v>266</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86" t="s">
        <v>267</v>
      </c>
      <c r="L70" s="99" t="s">
        <v>268</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269</v>
      </c>
      <c r="L71" s="98" t="s">
        <v>270</v>
      </c>
      <c r="M71" s="102" t="s">
        <v>271</v>
      </c>
      <c r="N71" s="102"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86" t="s">
        <v>272</v>
      </c>
      <c r="L72" s="99" t="s">
        <v>273</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274</v>
      </c>
      <c r="L73" s="98" t="s">
        <v>275</v>
      </c>
      <c r="M73" s="102" t="s">
        <v>276</v>
      </c>
      <c r="N73" s="102" t="s">
        <v>277</v>
      </c>
      <c r="O73" s="102" t="s">
        <v>278</v>
      </c>
      <c r="P73" s="111" t="s">
        <v>279</v>
      </c>
    </row>
    <row r="74" spans="1:17" ht="43.1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86" t="s">
        <v>280</v>
      </c>
      <c r="L74" s="99" t="s">
        <v>281</v>
      </c>
      <c r="M74" s="102" t="s">
        <v>282</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283</v>
      </c>
      <c r="L75" s="109" t="s">
        <v>284</v>
      </c>
      <c r="M75" s="102" t="s">
        <v>285</v>
      </c>
      <c r="N75" s="102" t="s">
        <v>286</v>
      </c>
    </row>
    <row r="76" spans="1:17" ht="43.1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86" t="s">
        <v>287</v>
      </c>
      <c r="L76" s="99" t="s">
        <v>288</v>
      </c>
    </row>
    <row r="77" spans="1:17" ht="28.9">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289</v>
      </c>
      <c r="L77" s="109" t="s">
        <v>290</v>
      </c>
    </row>
    <row r="78" spans="1:17" ht="15.6">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86" t="s">
        <v>84</v>
      </c>
      <c r="L78" s="186"/>
    </row>
    <row r="79" spans="1:17" ht="187.1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291</v>
      </c>
      <c r="L79" s="109" t="s">
        <v>292</v>
      </c>
      <c r="M79" s="102" t="s">
        <v>98</v>
      </c>
      <c r="N79" s="102" t="s">
        <v>293</v>
      </c>
    </row>
    <row r="80" spans="1:17" ht="15.6">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5" t="s">
        <v>84</v>
      </c>
      <c r="L80" s="187"/>
    </row>
    <row r="81" spans="1:14" ht="43.1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294</v>
      </c>
      <c r="L81" s="109" t="s">
        <v>101</v>
      </c>
    </row>
    <row r="82" spans="1:14" ht="28.9">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86" t="s">
        <v>295</v>
      </c>
      <c r="L82" s="112" t="s">
        <v>296</v>
      </c>
    </row>
    <row r="83" spans="1:14" ht="28.9">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297</v>
      </c>
      <c r="L83" s="109" t="s">
        <v>298</v>
      </c>
      <c r="M83" s="118"/>
    </row>
    <row r="84" spans="1:14" ht="15.6">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86" t="s">
        <v>299</v>
      </c>
      <c r="L84" s="187"/>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300</v>
      </c>
      <c r="L85" s="109" t="s">
        <v>301</v>
      </c>
    </row>
    <row r="86" spans="1:14" ht="15.6">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86" t="s">
        <v>302</v>
      </c>
      <c r="L86" s="99" t="s">
        <v>303</v>
      </c>
    </row>
    <row r="87" spans="1:14" ht="43.1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304</v>
      </c>
      <c r="L87" s="109" t="s">
        <v>305</v>
      </c>
      <c r="M87" s="102"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86" t="s">
        <v>306</v>
      </c>
      <c r="L88" s="99" t="s">
        <v>307</v>
      </c>
      <c r="M88" s="102"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86" t="s">
        <v>308</v>
      </c>
      <c r="L90" s="99" t="s">
        <v>309</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310</v>
      </c>
      <c r="L91" s="109" t="s">
        <v>311</v>
      </c>
      <c r="M91" s="102" t="s">
        <v>312</v>
      </c>
    </row>
    <row r="92" spans="1:14" ht="15.6">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86" t="s">
        <v>84</v>
      </c>
      <c r="L92" s="187"/>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313</v>
      </c>
      <c r="L93" s="109" t="s">
        <v>314</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86" t="s">
        <v>84</v>
      </c>
      <c r="L94" s="186"/>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315</v>
      </c>
      <c r="L95" s="109" t="s">
        <v>316</v>
      </c>
    </row>
    <row r="96" spans="1:14" ht="57.6">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317</v>
      </c>
      <c r="L96" s="109" t="s">
        <v>318</v>
      </c>
      <c r="M96" s="102" t="s">
        <v>319</v>
      </c>
      <c r="N96" s="102" t="s">
        <v>320</v>
      </c>
    </row>
    <row r="97" spans="1:14" ht="43.1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86" t="s">
        <v>321</v>
      </c>
      <c r="L97" s="112" t="s">
        <v>322</v>
      </c>
      <c r="M97" s="102" t="s">
        <v>323</v>
      </c>
      <c r="N97" s="102" t="s">
        <v>324</v>
      </c>
    </row>
    <row r="98" spans="1:14" ht="15.6">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6">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6">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09"/>
      <c r="M100" s="102"/>
      <c r="N100" s="102"/>
    </row>
    <row r="101" spans="1:14" ht="15.6">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325</v>
      </c>
      <c r="L101" s="114" t="s">
        <v>326</v>
      </c>
    </row>
    <row r="102" spans="1:14" ht="15.6">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6">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6">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1" si="12">IFERROR(I104/H104, "")</f>
        <v>-0.22841054433040942</v>
      </c>
      <c r="K104" s="56" t="s">
        <v>84</v>
      </c>
      <c r="L104" s="37"/>
    </row>
    <row r="105" spans="1:14" ht="15.6">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9">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327</v>
      </c>
      <c r="L106" s="109" t="s">
        <v>328</v>
      </c>
      <c r="M106" s="102" t="s">
        <v>329</v>
      </c>
    </row>
    <row r="107" spans="1:14" ht="15.6">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3.1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330</v>
      </c>
      <c r="L108" s="109" t="s">
        <v>331</v>
      </c>
      <c r="M108" s="102" t="s">
        <v>332</v>
      </c>
    </row>
    <row r="109" spans="1:14" ht="15.6">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333</v>
      </c>
      <c r="L109" s="114" t="s">
        <v>159</v>
      </c>
    </row>
    <row r="110" spans="1:14" ht="28.9">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334</v>
      </c>
      <c r="L110" s="109" t="s">
        <v>335</v>
      </c>
    </row>
    <row r="111" spans="1:14" ht="15.6">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86" t="s">
        <v>336</v>
      </c>
      <c r="L111" s="111" t="s">
        <v>337</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338</v>
      </c>
      <c r="L112" s="109"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339</v>
      </c>
      <c r="L113" s="114" t="s">
        <v>340</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341</v>
      </c>
      <c r="L114" s="109" t="s">
        <v>342</v>
      </c>
      <c r="M114" s="102" t="s">
        <v>343</v>
      </c>
    </row>
    <row r="115" spans="1:14" ht="28.9">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344</v>
      </c>
      <c r="L115" s="114" t="s">
        <v>345</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346</v>
      </c>
      <c r="L116" s="109" t="s">
        <v>347</v>
      </c>
      <c r="M116" s="102" t="s">
        <v>348</v>
      </c>
      <c r="N116" s="102" t="s">
        <v>349</v>
      </c>
    </row>
    <row r="117" spans="1:14" ht="15.6">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6">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43.1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350</v>
      </c>
      <c r="L119" s="115" t="s">
        <v>351</v>
      </c>
      <c r="M119" s="102" t="s">
        <v>352</v>
      </c>
    </row>
    <row r="120" spans="1:14" ht="15.6">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6">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9">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353</v>
      </c>
      <c r="L123" s="115" t="s">
        <v>354</v>
      </c>
      <c r="M123" s="102" t="s">
        <v>355</v>
      </c>
    </row>
    <row r="124" spans="1:14" ht="15.6">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09" t="s">
        <v>180</v>
      </c>
    </row>
    <row r="125" spans="1:14" ht="15.6">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1" t="s">
        <v>182</v>
      </c>
    </row>
    <row r="126" spans="1:14" ht="15.6">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09" t="s">
        <v>184</v>
      </c>
    </row>
    <row r="127" spans="1:14" ht="15.6">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1" t="s">
        <v>186</v>
      </c>
    </row>
    <row r="128" spans="1:14" ht="15.6">
      <c r="A128" s="24" t="str">
        <v>K203</v>
      </c>
      <c r="B128" s="25" t="str">
        <v>NY</v>
      </c>
      <c r="C128" s="25" t="str">
        <f>Sites[[#This Row],[SOL'#]]</f>
        <v>SOL-11190</v>
      </c>
      <c r="D128" s="119"/>
      <c r="E128" s="10"/>
      <c r="F128" s="10" t="str">
        <f t="shared" si="10"/>
        <v/>
      </c>
      <c r="G128" s="11" t="str">
        <f t="shared" si="13"/>
        <v/>
      </c>
      <c r="H128" s="67"/>
      <c r="I128" s="67" t="str">
        <f t="shared" ref="I128:I146" si="14">IF(AND(ISNUMBER(D128),ISNUMBER(H128)), D128-H128, "")</f>
        <v/>
      </c>
      <c r="J128" s="13" t="str">
        <f t="shared" si="12"/>
        <v/>
      </c>
      <c r="K128" s="56" t="s">
        <v>185</v>
      </c>
      <c r="L128" s="109" t="s">
        <v>356</v>
      </c>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09" t="s">
        <v>187</v>
      </c>
    </row>
    <row r="131" spans="1:14" ht="15.6">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9">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357</v>
      </c>
      <c r="L133" s="115" t="s">
        <v>358</v>
      </c>
      <c r="M133" s="102" t="s">
        <v>359</v>
      </c>
    </row>
    <row r="134" spans="1:14" ht="15.6">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09" t="s">
        <v>190</v>
      </c>
    </row>
    <row r="135" spans="1:14" ht="15.6">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6">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09" t="s">
        <v>192</v>
      </c>
    </row>
    <row r="137" spans="1:14" ht="15.6">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1" t="s">
        <v>193</v>
      </c>
    </row>
    <row r="138" spans="1:14" ht="28.9">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360</v>
      </c>
      <c r="L138" s="109" t="s">
        <v>194</v>
      </c>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3.1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361</v>
      </c>
      <c r="L140" s="109" t="s">
        <v>362</v>
      </c>
      <c r="M140" s="102" t="s">
        <v>197</v>
      </c>
      <c r="N140" s="102" t="s">
        <v>197</v>
      </c>
    </row>
    <row r="141" spans="1:14" ht="15.6">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1" t="s">
        <v>199</v>
      </c>
    </row>
    <row r="142" spans="1:14" ht="15.6">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9">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363</v>
      </c>
      <c r="L143" s="115" t="s">
        <v>364</v>
      </c>
      <c r="M143" s="102" t="s">
        <v>365</v>
      </c>
    </row>
    <row r="144" spans="1:14" ht="15.6">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366</v>
      </c>
      <c r="L144" s="116" t="s">
        <v>367</v>
      </c>
    </row>
    <row r="145" spans="1:13" ht="15.6">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4"/>
    </row>
    <row r="146" spans="1:13" ht="57.6">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368</v>
      </c>
      <c r="L146" s="116" t="s">
        <v>369</v>
      </c>
      <c r="M146" s="102" t="s">
        <v>370</v>
      </c>
    </row>
    <row r="147" spans="1:13" ht="43.1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2" t="s">
        <v>371</v>
      </c>
      <c r="L147" s="115" t="s">
        <v>372</v>
      </c>
    </row>
    <row r="148" spans="1:13" ht="15.6">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1" si="17">IFERROR(F148/E148, "")</f>
        <v>-0.23470510320565718</v>
      </c>
      <c r="H148" s="67">
        <v>256159.24600000001</v>
      </c>
      <c r="I148" s="67">
        <f t="shared" si="15"/>
        <v>-50122.194000000018</v>
      </c>
      <c r="J148" s="13">
        <f t="shared" si="12"/>
        <v>-0.19566810405118079</v>
      </c>
      <c r="K148" s="56" t="s">
        <v>84</v>
      </c>
      <c r="L148" s="116"/>
    </row>
    <row r="149" spans="1:13" ht="15.6">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373</v>
      </c>
      <c r="L149" s="111" t="s">
        <v>374</v>
      </c>
    </row>
    <row r="150" spans="1:13" ht="43.1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375</v>
      </c>
      <c r="L150" s="116" t="s">
        <v>376</v>
      </c>
      <c r="M150" s="102" t="s">
        <v>377</v>
      </c>
    </row>
    <row r="151" spans="1:13" ht="28.9">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1" t="s">
        <v>378</v>
      </c>
      <c r="L151" s="115" t="s">
        <v>379</v>
      </c>
    </row>
    <row r="152" spans="1:13" ht="15.6">
      <c r="A152" s="24" t="str">
        <v xml:space="preserve"> O'Brien Hill #1</v>
      </c>
      <c r="B152" s="25" t="str">
        <v>NY</v>
      </c>
      <c r="C152" s="25" t="str">
        <f>Sites[[#This Row],[SOL'#]]</f>
        <v>SOL-11098</v>
      </c>
      <c r="D152" s="54">
        <v>416554</v>
      </c>
      <c r="E152" s="10">
        <v>0</v>
      </c>
      <c r="F152" s="10">
        <f t="shared" si="16"/>
        <v>416554</v>
      </c>
      <c r="G152" s="11" t="str">
        <f t="shared" ref="G152:G164" si="18">IFERROR(F152/E152, "")</f>
        <v/>
      </c>
      <c r="H152" s="67">
        <v>0</v>
      </c>
      <c r="I152" s="67">
        <f t="shared" si="15"/>
        <v>416554</v>
      </c>
      <c r="J152" s="13" t="str">
        <f t="shared" ref="J152:J164" si="19">IFERROR(I152/H152, "")</f>
        <v/>
      </c>
      <c r="K152" s="56"/>
      <c r="L152" s="116"/>
    </row>
    <row r="153" spans="1:13" ht="28.9">
      <c r="A153" s="26" t="str">
        <v xml:space="preserve"> O'Brien Hill #2</v>
      </c>
      <c r="B153" s="27" t="str">
        <v>NY</v>
      </c>
      <c r="C153" s="27" t="str">
        <f>Sites[[#This Row],[SOL'#]]</f>
        <v>SOL-11099</v>
      </c>
      <c r="D153" s="66">
        <v>392818</v>
      </c>
      <c r="E153" s="14">
        <v>0</v>
      </c>
      <c r="F153" s="14">
        <f t="shared" si="16"/>
        <v>392818</v>
      </c>
      <c r="G153" s="68" t="str">
        <f t="shared" si="18"/>
        <v/>
      </c>
      <c r="H153" s="69">
        <v>0</v>
      </c>
      <c r="I153" s="69">
        <f t="shared" si="15"/>
        <v>392818</v>
      </c>
      <c r="J153" s="15" t="str">
        <f t="shared" si="19"/>
        <v/>
      </c>
      <c r="K153" s="81" t="s">
        <v>380</v>
      </c>
      <c r="L153" s="115" t="s">
        <v>381</v>
      </c>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16"/>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5"/>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16"/>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5"/>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16"/>
    </row>
    <row r="159" spans="1:13" ht="15.6">
      <c r="A159" s="26" t="str">
        <v>DC: Washington - Essex Condominium</v>
      </c>
      <c r="B159" s="27" t="str">
        <v>DC</v>
      </c>
      <c r="C159" s="27" t="str">
        <f>Sites[[#This Row],[SOL'#]]</f>
        <v>SOL-10036</v>
      </c>
      <c r="D159" s="66">
        <v>2025</v>
      </c>
      <c r="E159" s="14">
        <v>2433.9580000000001</v>
      </c>
      <c r="F159" s="14">
        <f t="shared" si="20"/>
        <v>-408.95800000000008</v>
      </c>
      <c r="G159" s="68">
        <f t="shared" si="18"/>
        <v>-0.16802179823973959</v>
      </c>
      <c r="H159" s="69">
        <v>2639.58</v>
      </c>
      <c r="I159" s="69">
        <f t="shared" si="21"/>
        <v>-614.57999999999993</v>
      </c>
      <c r="J159" s="68">
        <f t="shared" si="19"/>
        <v>-0.23283249607892162</v>
      </c>
      <c r="K159" s="81" t="s">
        <v>84</v>
      </c>
      <c r="L159" s="115"/>
    </row>
    <row r="160" spans="1:13" ht="15.6">
      <c r="A160" s="24" t="str">
        <v>HI: Waipahu - 94-246 Leoku St - E.F.G.</v>
      </c>
      <c r="B160" s="25" t="str">
        <v>HI</v>
      </c>
      <c r="C160" s="25" t="str">
        <f>Sites[[#This Row],[SOL'#]]</f>
        <v>SOL-10071</v>
      </c>
      <c r="D160" s="54">
        <v>8933</v>
      </c>
      <c r="E160" s="10">
        <v>9233.7610000000004</v>
      </c>
      <c r="F160" s="10">
        <f t="shared" si="20"/>
        <v>-300.76100000000042</v>
      </c>
      <c r="G160" s="55">
        <f t="shared" si="18"/>
        <v>-3.2571884847355306E-2</v>
      </c>
      <c r="H160" s="67">
        <v>10227.1</v>
      </c>
      <c r="I160" s="67">
        <f t="shared" si="21"/>
        <v>-1294.1000000000004</v>
      </c>
      <c r="J160" s="64">
        <f t="shared" si="19"/>
        <v>-0.12653635928073456</v>
      </c>
      <c r="K160" s="56"/>
      <c r="L160" s="116"/>
    </row>
    <row r="161" spans="1:12" ht="15.6">
      <c r="A161" s="26" t="str">
        <v>HI: Waipahu - 94-099 Waipahu St - PV</v>
      </c>
      <c r="B161" s="27" t="str">
        <v>HI</v>
      </c>
      <c r="C161" s="27" t="str">
        <f>Sites[[#This Row],[SOL'#]]</f>
        <v>SOL-10068</v>
      </c>
      <c r="D161" s="66">
        <v>10740</v>
      </c>
      <c r="E161" s="14">
        <v>8722.2450000000008</v>
      </c>
      <c r="F161" s="14">
        <f t="shared" si="20"/>
        <v>2017.7549999999992</v>
      </c>
      <c r="G161" s="68">
        <f t="shared" si="18"/>
        <v>0.23133436403127852</v>
      </c>
      <c r="H161" s="69">
        <v>10221.620000000001</v>
      </c>
      <c r="I161" s="69">
        <f t="shared" si="21"/>
        <v>518.3799999999992</v>
      </c>
      <c r="J161" s="68">
        <f t="shared" si="19"/>
        <v>5.0714074677008066E-2</v>
      </c>
      <c r="K161" s="81"/>
      <c r="L161" s="115"/>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16"/>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5"/>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16"/>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mergeCells count="4">
    <mergeCell ref="H1:J1"/>
    <mergeCell ref="A1:D1"/>
    <mergeCell ref="E1:G1"/>
    <mergeCell ref="A2:B2"/>
  </mergeCells>
  <phoneticPr fontId="40" type="noConversion"/>
  <conditionalFormatting sqref="G2 J2 G4:G164 J4:J164">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73"/>
  <sheetViews>
    <sheetView zoomScale="70" zoomScaleNormal="70" workbookViewId="0">
      <pane xSplit="2" ySplit="3" topLeftCell="C52" activePane="bottomRight" state="frozen"/>
      <selection pane="bottomRight" activeCell="F167" sqref="F16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92" t="str" cm="1">
        <f t="array" ref="A1">portfolio</f>
        <v>Generate Capital</v>
      </c>
      <c r="B1" s="192"/>
      <c r="C1" s="192"/>
      <c r="D1" s="192"/>
      <c r="E1" s="193" t="s">
        <v>382</v>
      </c>
      <c r="F1" s="193"/>
      <c r="G1" s="193"/>
      <c r="H1" s="191" t="s">
        <v>383</v>
      </c>
      <c r="I1" s="191"/>
      <c r="J1" s="191"/>
      <c r="K1" s="4"/>
      <c r="L1" s="4"/>
    </row>
    <row r="2" spans="1:17" ht="19.5" customHeight="1">
      <c r="A2" s="194" t="s">
        <v>2</v>
      </c>
      <c r="B2" s="194"/>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6" t="str" cm="1">
        <f t="array" ref="A4:A173">Sites[Site]</f>
        <v>K026</v>
      </c>
      <c r="B4" s="27" t="str" cm="1">
        <f t="array" ref="B4:B173">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3"/>
      <c r="N4" s="103"/>
      <c r="O4" s="103"/>
      <c r="P4" s="103"/>
      <c r="Q4" s="103"/>
    </row>
    <row r="5" spans="1:17" ht="15.6">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384</v>
      </c>
      <c r="L5" s="37"/>
      <c r="M5" s="103"/>
      <c r="N5" s="103"/>
      <c r="O5" s="103"/>
      <c r="P5" s="103"/>
      <c r="Q5" s="103"/>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385</v>
      </c>
      <c r="L6" s="112" t="s">
        <v>386</v>
      </c>
      <c r="M6" s="103"/>
      <c r="N6" s="103"/>
      <c r="O6" s="103"/>
      <c r="P6" s="103"/>
      <c r="Q6" s="103"/>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387</v>
      </c>
      <c r="L7" s="109" t="s">
        <v>221</v>
      </c>
      <c r="M7" s="103"/>
      <c r="N7" s="103"/>
      <c r="O7" s="103"/>
      <c r="P7" s="103"/>
      <c r="Q7" s="103"/>
    </row>
    <row r="8" spans="1:17" ht="15.6">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388</v>
      </c>
      <c r="L8" s="112" t="s">
        <v>25</v>
      </c>
      <c r="M8" s="103"/>
      <c r="N8" s="103"/>
      <c r="O8" s="103"/>
      <c r="P8" s="103"/>
      <c r="Q8" s="103"/>
    </row>
    <row r="9" spans="1:17" ht="15.6">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3"/>
      <c r="N9" s="103"/>
      <c r="O9" s="103"/>
      <c r="P9" s="103"/>
      <c r="Q9" s="103"/>
    </row>
    <row r="10" spans="1:17" ht="15.6">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3"/>
      <c r="N10" s="103"/>
      <c r="O10" s="103"/>
      <c r="P10" s="103"/>
      <c r="Q10" s="103"/>
    </row>
    <row r="11" spans="1:17" ht="15.6">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3"/>
      <c r="N11" s="103"/>
      <c r="O11" s="103"/>
      <c r="P11" s="103"/>
      <c r="Q11" s="103"/>
    </row>
    <row r="12" spans="1:17" ht="15.6">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389</v>
      </c>
      <c r="L12" s="112" t="s">
        <v>223</v>
      </c>
      <c r="M12" s="103"/>
      <c r="N12" s="103"/>
      <c r="O12" s="103"/>
      <c r="P12" s="103"/>
      <c r="Q12" s="103"/>
    </row>
    <row r="13" spans="1:17" ht="15.6">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390</v>
      </c>
      <c r="L13" s="37"/>
      <c r="M13" s="103"/>
      <c r="N13" s="103"/>
      <c r="O13" s="103"/>
      <c r="P13" s="103"/>
      <c r="Q13" s="103"/>
    </row>
    <row r="14" spans="1:17" ht="57.6">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391</v>
      </c>
      <c r="L14" s="112" t="s">
        <v>392</v>
      </c>
      <c r="M14" s="102" t="s">
        <v>31</v>
      </c>
      <c r="N14" s="102" t="s">
        <v>393</v>
      </c>
      <c r="O14" s="103"/>
      <c r="P14" s="103"/>
      <c r="Q14" s="103"/>
    </row>
    <row r="15" spans="1:17" ht="15.6">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3"/>
      <c r="N15" s="103"/>
      <c r="O15" s="103"/>
      <c r="P15" s="103"/>
      <c r="Q15" s="103"/>
    </row>
    <row r="16" spans="1:17" ht="43.1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394</v>
      </c>
      <c r="L16" s="112" t="s">
        <v>395</v>
      </c>
      <c r="M16" s="102" t="s">
        <v>396</v>
      </c>
      <c r="N16" s="103"/>
      <c r="O16" s="103"/>
      <c r="P16" s="103"/>
      <c r="Q16" s="103"/>
    </row>
    <row r="17" spans="1:17" ht="15.6">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3"/>
      <c r="N17" s="103"/>
      <c r="O17" s="103"/>
      <c r="P17" s="103"/>
      <c r="Q17" s="103"/>
    </row>
    <row r="18" spans="1:17" ht="15.6">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3"/>
      <c r="N18" s="103"/>
      <c r="O18" s="103"/>
      <c r="P18" s="103"/>
      <c r="Q18" s="103"/>
    </row>
    <row r="19" spans="1:17" ht="15.6">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397</v>
      </c>
      <c r="L19" s="37"/>
      <c r="M19" s="103"/>
      <c r="N19" s="103"/>
      <c r="O19" s="103"/>
      <c r="P19" s="103"/>
      <c r="Q19" s="103"/>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224</v>
      </c>
      <c r="L20" s="99" t="s">
        <v>33</v>
      </c>
      <c r="M20" s="103"/>
      <c r="N20" s="103"/>
      <c r="O20" s="103"/>
      <c r="P20" s="103"/>
      <c r="Q20" s="103"/>
    </row>
    <row r="21" spans="1:17" ht="15.6">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3"/>
      <c r="N21" s="103"/>
      <c r="O21" s="103"/>
      <c r="P21" s="103"/>
      <c r="Q21" s="103"/>
    </row>
    <row r="22" spans="1:17" ht="15.6">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3"/>
      <c r="N22" s="103"/>
      <c r="O22" s="103"/>
      <c r="P22" s="103"/>
      <c r="Q22" s="103"/>
    </row>
    <row r="23" spans="1:17" ht="15.6">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3"/>
      <c r="N23" s="103"/>
      <c r="O23" s="103"/>
      <c r="P23" s="103"/>
      <c r="Q23" s="103"/>
    </row>
    <row r="24" spans="1:17" ht="15.6">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3"/>
      <c r="N24" s="103"/>
      <c r="O24" s="103"/>
      <c r="P24" s="103"/>
      <c r="Q24" s="103"/>
    </row>
    <row r="25" spans="1:17" ht="15.6">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3"/>
      <c r="N25" s="103"/>
      <c r="O25" s="103"/>
      <c r="P25" s="103"/>
      <c r="Q25" s="103"/>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398</v>
      </c>
      <c r="L26" s="110" t="s">
        <v>399</v>
      </c>
      <c r="M26" s="102" t="s">
        <v>400</v>
      </c>
      <c r="N26" s="103"/>
      <c r="O26" s="103"/>
      <c r="P26" s="103"/>
      <c r="Q26" s="103"/>
    </row>
    <row r="27" spans="1:17" ht="15.6">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3"/>
      <c r="N27" s="103"/>
      <c r="O27" s="103"/>
      <c r="P27" s="103"/>
      <c r="Q27" s="103"/>
    </row>
    <row r="28" spans="1:17" ht="72">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401</v>
      </c>
      <c r="L28" s="110" t="s">
        <v>402</v>
      </c>
      <c r="M28" s="102" t="s">
        <v>403</v>
      </c>
      <c r="N28" s="103"/>
      <c r="O28" s="103"/>
      <c r="P28" s="103"/>
      <c r="Q28" s="103"/>
    </row>
    <row r="29" spans="1:17" ht="15.6">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3"/>
      <c r="N29" s="103"/>
      <c r="O29" s="103"/>
      <c r="P29" s="103"/>
      <c r="Q29" s="103"/>
    </row>
    <row r="30" spans="1:17" ht="15.6">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3"/>
      <c r="N30" s="103"/>
      <c r="O30" s="103"/>
      <c r="P30" s="103"/>
      <c r="Q30" s="103"/>
    </row>
    <row r="31" spans="1:17" ht="15.6">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3"/>
      <c r="N31" s="103"/>
      <c r="O31" s="103"/>
      <c r="P31" s="103"/>
      <c r="Q31" s="103"/>
    </row>
    <row r="32" spans="1:17" ht="15.6">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3"/>
      <c r="N32" s="103"/>
      <c r="O32" s="103"/>
      <c r="P32" s="103"/>
      <c r="Q32" s="103"/>
    </row>
    <row r="33" spans="1:17" ht="15.6">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3"/>
      <c r="N33" s="103"/>
      <c r="O33" s="103"/>
      <c r="P33" s="103"/>
      <c r="Q33" s="103"/>
    </row>
    <row r="34" spans="1:17" ht="15.6">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3"/>
      <c r="N34" s="103"/>
      <c r="O34" s="103"/>
      <c r="P34" s="103"/>
      <c r="Q34" s="103"/>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404</v>
      </c>
      <c r="L35" s="109" t="s">
        <v>405</v>
      </c>
      <c r="M35" s="102" t="s">
        <v>406</v>
      </c>
      <c r="N35" s="103"/>
      <c r="O35" s="103"/>
      <c r="P35" s="103"/>
      <c r="Q35" s="103"/>
    </row>
    <row r="36" spans="1:17" ht="15.6">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3"/>
      <c r="N36" s="103"/>
      <c r="O36" s="103"/>
      <c r="P36" s="103"/>
      <c r="Q36" s="103"/>
    </row>
    <row r="37" spans="1:17" ht="15.6">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3"/>
      <c r="N37" s="103"/>
      <c r="O37" s="103"/>
      <c r="P37" s="103"/>
      <c r="Q37" s="103"/>
    </row>
    <row r="38" spans="1:17" ht="15.6">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384</v>
      </c>
      <c r="L38" s="39"/>
      <c r="M38" s="103"/>
      <c r="N38" s="103"/>
      <c r="O38" s="103"/>
      <c r="P38" s="103"/>
      <c r="Q38" s="103"/>
    </row>
    <row r="39" spans="1:17" ht="15.6">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3"/>
      <c r="N39" s="103"/>
      <c r="O39" s="103"/>
      <c r="P39" s="103"/>
      <c r="Q39" s="103"/>
    </row>
    <row r="40" spans="1:17" ht="15.6">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3"/>
      <c r="N40" s="103"/>
      <c r="O40" s="103"/>
      <c r="P40" s="103"/>
      <c r="Q40" s="103"/>
    </row>
    <row r="41" spans="1:17" ht="100.9">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407</v>
      </c>
      <c r="L41" s="98" t="s">
        <v>408</v>
      </c>
      <c r="M41" s="102" t="s">
        <v>409</v>
      </c>
      <c r="N41" s="102" t="s">
        <v>410</v>
      </c>
      <c r="O41" s="103"/>
      <c r="P41" s="103"/>
      <c r="Q41" s="103"/>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411</v>
      </c>
      <c r="L42" s="110" t="s">
        <v>412</v>
      </c>
      <c r="M42" s="102" t="s">
        <v>413</v>
      </c>
      <c r="N42" s="103"/>
      <c r="O42" s="103"/>
      <c r="P42" s="103"/>
      <c r="Q42" s="103"/>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414</v>
      </c>
      <c r="L43" s="109" t="s">
        <v>415</v>
      </c>
      <c r="M43" s="103"/>
      <c r="N43" s="103"/>
      <c r="O43" s="103"/>
      <c r="P43" s="103"/>
      <c r="Q43" s="103"/>
    </row>
    <row r="44" spans="1:17" ht="15.6">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3"/>
      <c r="N44" s="103"/>
      <c r="O44" s="103"/>
      <c r="P44" s="103"/>
      <c r="Q44" s="103"/>
    </row>
    <row r="45" spans="1:17" ht="15.6">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3"/>
      <c r="N45" s="103"/>
      <c r="O45" s="103"/>
      <c r="P45" s="103"/>
      <c r="Q45" s="103"/>
    </row>
    <row r="46" spans="1:17" ht="15.6">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3"/>
      <c r="N46" s="103"/>
      <c r="O46" s="103"/>
      <c r="P46" s="103"/>
      <c r="Q46" s="103"/>
    </row>
    <row r="47" spans="1:17" ht="15.6">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397</v>
      </c>
      <c r="L47" s="53"/>
      <c r="M47" s="103"/>
      <c r="N47" s="103"/>
      <c r="O47" s="103"/>
      <c r="P47" s="103"/>
      <c r="Q47" s="103"/>
    </row>
    <row r="48" spans="1:17" ht="15.6">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3"/>
      <c r="N48" s="103"/>
      <c r="O48" s="103"/>
      <c r="P48" s="103"/>
      <c r="Q48" s="103"/>
    </row>
    <row r="49" spans="1:17" ht="15.6">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397</v>
      </c>
      <c r="L49" s="37"/>
      <c r="M49" s="103"/>
      <c r="N49" s="103"/>
      <c r="O49" s="103"/>
      <c r="P49" s="103"/>
      <c r="Q49" s="103"/>
    </row>
    <row r="50" spans="1:17" ht="15.6">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3"/>
      <c r="N50" s="103"/>
      <c r="O50" s="103"/>
      <c r="P50" s="103"/>
      <c r="Q50" s="103"/>
    </row>
    <row r="51" spans="1:17" ht="15.6">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3"/>
      <c r="N51" s="103"/>
      <c r="O51" s="103"/>
      <c r="P51" s="103"/>
      <c r="Q51" s="103"/>
    </row>
    <row r="52" spans="1:17" ht="28.9">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416</v>
      </c>
      <c r="L52" s="112" t="s">
        <v>417</v>
      </c>
      <c r="M52" s="103"/>
      <c r="N52" s="103"/>
      <c r="O52" s="103"/>
      <c r="P52" s="103"/>
      <c r="Q52" s="103"/>
    </row>
    <row r="53" spans="1:17" ht="15.6">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3"/>
      <c r="N53" s="103"/>
      <c r="O53" s="103"/>
      <c r="P53" s="103"/>
      <c r="Q53" s="103"/>
    </row>
    <row r="54" spans="1:17" ht="28.9">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418</v>
      </c>
      <c r="L54" s="112" t="s">
        <v>419</v>
      </c>
      <c r="M54" s="103"/>
      <c r="N54" s="103"/>
      <c r="O54" s="103"/>
      <c r="P54" s="103"/>
      <c r="Q54" s="103"/>
    </row>
    <row r="55" spans="1:17" ht="15.6">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3"/>
      <c r="N55" s="103"/>
      <c r="O55" s="103"/>
      <c r="P55" s="103"/>
      <c r="Q55" s="103"/>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420</v>
      </c>
      <c r="L56" s="99" t="s">
        <v>421</v>
      </c>
      <c r="M56" s="103"/>
      <c r="N56" s="103"/>
      <c r="O56" s="103"/>
      <c r="P56" s="103"/>
      <c r="Q56" s="103"/>
    </row>
    <row r="57" spans="1:17" ht="72">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422</v>
      </c>
      <c r="L57" s="109" t="s">
        <v>423</v>
      </c>
      <c r="M57" s="102" t="s">
        <v>424</v>
      </c>
      <c r="N57" s="103"/>
      <c r="O57" s="103"/>
      <c r="P57" s="103"/>
      <c r="Q57" s="103"/>
    </row>
    <row r="58" spans="1:17" ht="28.9">
      <c r="A58" s="26" t="str">
        <v>Boas Road 04</v>
      </c>
      <c r="B58" s="27" t="str">
        <v>NY</v>
      </c>
      <c r="C58" s="27" t="str">
        <f>Sites[[#This Row],[SOL'#]]</f>
        <v>SOL-10908</v>
      </c>
      <c r="D58" s="59">
        <v>142690</v>
      </c>
      <c r="E58" s="120">
        <v>300105.54100000003</v>
      </c>
      <c r="F58" s="14">
        <f t="shared" si="0"/>
        <v>-157415.54100000003</v>
      </c>
      <c r="G58" s="15">
        <f t="shared" si="1"/>
        <v>-0.52453393721244224</v>
      </c>
      <c r="H58" s="69">
        <v>301351.8</v>
      </c>
      <c r="I58" s="16">
        <f t="shared" si="2"/>
        <v>-158661.79999999999</v>
      </c>
      <c r="J58" s="15">
        <f t="shared" si="3"/>
        <v>-0.52650025651082888</v>
      </c>
      <c r="K58" s="38" t="s">
        <v>425</v>
      </c>
      <c r="L58" s="99" t="s">
        <v>426</v>
      </c>
      <c r="M58" s="102" t="s">
        <v>427</v>
      </c>
      <c r="N58" s="103"/>
      <c r="O58" s="103"/>
      <c r="P58" s="103"/>
      <c r="Q58" s="103"/>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428</v>
      </c>
      <c r="L59" s="109" t="s">
        <v>429</v>
      </c>
      <c r="M59" s="102" t="s">
        <v>430</v>
      </c>
      <c r="N59" s="102" t="s">
        <v>431</v>
      </c>
      <c r="O59" s="102" t="s">
        <v>432</v>
      </c>
      <c r="P59" s="103"/>
      <c r="Q59" s="103"/>
    </row>
    <row r="60" spans="1:17" ht="15.6">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3"/>
      <c r="N60" s="103"/>
      <c r="O60" s="103"/>
      <c r="P60" s="103"/>
      <c r="Q60" s="103"/>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433</v>
      </c>
      <c r="L61" s="109" t="s">
        <v>434</v>
      </c>
      <c r="M61" s="103"/>
      <c r="N61" s="103"/>
      <c r="O61" s="103"/>
      <c r="P61" s="103"/>
      <c r="Q61" s="103"/>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435</v>
      </c>
      <c r="L62" s="99" t="s">
        <v>436</v>
      </c>
      <c r="M62" s="102" t="s">
        <v>437</v>
      </c>
      <c r="N62" s="102" t="s">
        <v>437</v>
      </c>
      <c r="O62" s="103"/>
      <c r="P62" s="103"/>
      <c r="Q62" s="103"/>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438</v>
      </c>
      <c r="L63" s="109" t="s">
        <v>439</v>
      </c>
      <c r="M63" s="102" t="s">
        <v>440</v>
      </c>
      <c r="N63" s="103"/>
      <c r="O63" s="103"/>
      <c r="P63" s="103"/>
      <c r="Q63" s="103"/>
    </row>
    <row r="64" spans="1:17" ht="28.9">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441</v>
      </c>
      <c r="L64" s="52" t="s">
        <v>442</v>
      </c>
      <c r="M64" s="103"/>
      <c r="N64" s="103"/>
      <c r="O64" s="103"/>
      <c r="P64" s="103"/>
      <c r="Q64" s="103"/>
    </row>
    <row r="65" spans="1:21" ht="15.6">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3"/>
      <c r="N65" s="103"/>
      <c r="O65" s="103"/>
      <c r="P65" s="103"/>
      <c r="Q65" s="103"/>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443</v>
      </c>
      <c r="L66" s="110" t="s">
        <v>444</v>
      </c>
      <c r="M66" s="102" t="s">
        <v>445</v>
      </c>
      <c r="N66" s="103"/>
      <c r="O66" s="103"/>
      <c r="P66" s="103"/>
      <c r="Q66" s="103"/>
    </row>
    <row r="67" spans="1:21" ht="15.6">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3"/>
      <c r="N67" s="103"/>
      <c r="O67" s="103"/>
      <c r="P67" s="103"/>
      <c r="Q67" s="103"/>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446</v>
      </c>
      <c r="L68" s="50" t="s">
        <v>447</v>
      </c>
      <c r="M68" s="103"/>
      <c r="N68" s="103"/>
      <c r="O68" s="103"/>
      <c r="P68" s="103"/>
      <c r="Q68" s="103"/>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448</v>
      </c>
      <c r="L69" s="109" t="s">
        <v>449</v>
      </c>
      <c r="M69" s="102" t="s">
        <v>450</v>
      </c>
      <c r="N69" s="102" t="s">
        <v>451</v>
      </c>
      <c r="O69" s="102" t="s">
        <v>452</v>
      </c>
      <c r="P69" s="102" t="s">
        <v>452</v>
      </c>
      <c r="Q69" s="102" t="s">
        <v>453</v>
      </c>
    </row>
    <row r="70" spans="1:21" ht="28.9">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454</v>
      </c>
      <c r="L70" s="110" t="s">
        <v>455</v>
      </c>
      <c r="M70" s="103"/>
      <c r="N70" s="103"/>
      <c r="O70" s="103"/>
      <c r="P70" s="103"/>
      <c r="Q70" s="103"/>
    </row>
    <row r="71" spans="1:21" ht="100.9">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456</v>
      </c>
      <c r="L71" s="109" t="s">
        <v>457</v>
      </c>
      <c r="M71" s="102" t="s">
        <v>458</v>
      </c>
      <c r="N71" s="102" t="s">
        <v>83</v>
      </c>
      <c r="O71" s="102" t="s">
        <v>459</v>
      </c>
      <c r="P71" s="102" t="s">
        <v>460</v>
      </c>
      <c r="Q71" s="102" t="s">
        <v>461</v>
      </c>
    </row>
    <row r="72" spans="1:21" ht="15.6">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3"/>
      <c r="N72" s="103"/>
      <c r="O72" s="103"/>
      <c r="P72" s="103"/>
      <c r="Q72" s="103"/>
    </row>
    <row r="73" spans="1:21" ht="100.9">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462</v>
      </c>
      <c r="L73" s="109" t="s">
        <v>463</v>
      </c>
      <c r="M73" s="102" t="s">
        <v>464</v>
      </c>
      <c r="N73" s="102" t="s">
        <v>465</v>
      </c>
      <c r="O73" s="103"/>
      <c r="P73" s="103"/>
      <c r="Q73" s="103"/>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466</v>
      </c>
      <c r="L74" s="99" t="s">
        <v>467</v>
      </c>
      <c r="M74" s="102" t="s">
        <v>468</v>
      </c>
      <c r="N74" s="102" t="s">
        <v>282</v>
      </c>
      <c r="O74" s="102" t="s">
        <v>469</v>
      </c>
      <c r="P74" s="102" t="s">
        <v>470</v>
      </c>
      <c r="Q74" s="102" t="s">
        <v>471</v>
      </c>
      <c r="R74" s="111" t="s">
        <v>472</v>
      </c>
      <c r="S74" s="111" t="s">
        <v>473</v>
      </c>
      <c r="T74" s="111" t="s">
        <v>474</v>
      </c>
      <c r="U74" s="111" t="s">
        <v>475</v>
      </c>
    </row>
    <row r="75" spans="1:21" ht="144">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476</v>
      </c>
      <c r="L75" s="109" t="s">
        <v>477</v>
      </c>
      <c r="M75" s="102" t="s">
        <v>478</v>
      </c>
      <c r="N75" s="102" t="s">
        <v>479</v>
      </c>
      <c r="O75" s="102" t="s">
        <v>480</v>
      </c>
      <c r="P75" s="102" t="s">
        <v>481</v>
      </c>
      <c r="Q75" s="103"/>
    </row>
    <row r="76" spans="1:21" ht="15.6">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482</v>
      </c>
      <c r="L76" s="99" t="s">
        <v>483</v>
      </c>
      <c r="M76" s="103"/>
      <c r="N76" s="103"/>
      <c r="O76" s="103"/>
      <c r="P76" s="103"/>
      <c r="Q76" s="103"/>
    </row>
    <row r="77" spans="1:21" ht="15.6">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3"/>
      <c r="N77" s="103"/>
      <c r="O77" s="103"/>
      <c r="P77" s="103"/>
      <c r="Q77" s="103"/>
    </row>
    <row r="78" spans="1:21" ht="15.6">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3"/>
      <c r="N78" s="103"/>
      <c r="O78" s="103"/>
      <c r="P78" s="103"/>
      <c r="Q78" s="103"/>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484</v>
      </c>
      <c r="L79" s="116" t="s">
        <v>485</v>
      </c>
      <c r="M79" s="102" t="s">
        <v>486</v>
      </c>
      <c r="N79" s="103"/>
      <c r="O79" s="103"/>
      <c r="P79" s="103"/>
      <c r="Q79" s="103"/>
    </row>
    <row r="80" spans="1:21" ht="15.6">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3"/>
      <c r="N80" s="103"/>
      <c r="O80" s="103"/>
      <c r="P80" s="103"/>
      <c r="Q80" s="103"/>
    </row>
    <row r="81" spans="1:17" ht="15.6">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3"/>
      <c r="N81" s="103"/>
      <c r="O81" s="103"/>
      <c r="P81" s="103"/>
      <c r="Q81" s="103"/>
    </row>
    <row r="82" spans="1:17" ht="57.6">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487</v>
      </c>
      <c r="L82" s="99" t="s">
        <v>488</v>
      </c>
      <c r="M82" s="102" t="s">
        <v>489</v>
      </c>
      <c r="N82" s="103"/>
      <c r="O82" s="103"/>
      <c r="P82" s="103"/>
      <c r="Q82" s="103"/>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490</v>
      </c>
      <c r="L83" s="109" t="s">
        <v>491</v>
      </c>
      <c r="M83" s="102" t="s">
        <v>492</v>
      </c>
      <c r="N83" s="102" t="s">
        <v>493</v>
      </c>
      <c r="O83" s="103"/>
      <c r="P83" s="103"/>
      <c r="Q83" s="103"/>
    </row>
    <row r="84" spans="1:17" ht="43.1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494</v>
      </c>
      <c r="L84" s="99" t="s">
        <v>495</v>
      </c>
      <c r="M84" s="103"/>
      <c r="N84" s="103"/>
      <c r="O84" s="103"/>
      <c r="P84" s="103"/>
      <c r="Q84" s="103"/>
    </row>
    <row r="85" spans="1:17" ht="86.4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496</v>
      </c>
      <c r="L85" s="116" t="s">
        <v>497</v>
      </c>
      <c r="M85" s="102" t="s">
        <v>498</v>
      </c>
      <c r="N85" s="103"/>
      <c r="O85" s="103"/>
      <c r="P85" s="103"/>
      <c r="Q85" s="103"/>
    </row>
    <row r="86" spans="1:17" ht="57.6">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499</v>
      </c>
      <c r="L86" s="99" t="s">
        <v>500</v>
      </c>
      <c r="M86" s="102" t="s">
        <v>501</v>
      </c>
      <c r="N86" s="103"/>
      <c r="O86" s="103"/>
      <c r="P86" s="103"/>
      <c r="Q86" s="103"/>
    </row>
    <row r="87" spans="1:17" ht="43.1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502</v>
      </c>
      <c r="L87" s="109" t="s">
        <v>503</v>
      </c>
      <c r="M87" s="102" t="s">
        <v>504</v>
      </c>
      <c r="N87" s="103"/>
      <c r="O87" s="103"/>
      <c r="P87" s="103"/>
      <c r="Q87" s="103"/>
    </row>
    <row r="88" spans="1:17" ht="100.9">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505</v>
      </c>
      <c r="L88" s="110" t="s">
        <v>506</v>
      </c>
      <c r="M88" s="102" t="s">
        <v>507</v>
      </c>
      <c r="N88" s="102" t="s">
        <v>508</v>
      </c>
      <c r="O88" s="103"/>
      <c r="P88" s="103"/>
      <c r="Q88" s="103"/>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509</v>
      </c>
      <c r="L89" s="109" t="s">
        <v>510</v>
      </c>
      <c r="M89" s="103"/>
      <c r="N89" s="103"/>
      <c r="O89" s="103"/>
      <c r="P89" s="103"/>
      <c r="Q89" s="103"/>
    </row>
    <row r="90" spans="1:17" ht="72">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511</v>
      </c>
      <c r="L90" s="110" t="s">
        <v>512</v>
      </c>
      <c r="M90" s="102" t="s">
        <v>513</v>
      </c>
      <c r="N90" s="103"/>
      <c r="O90" s="103"/>
      <c r="P90" s="103"/>
      <c r="Q90" s="103"/>
    </row>
    <row r="91" spans="1:17" ht="86.4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514</v>
      </c>
      <c r="L91" s="116" t="s">
        <v>515</v>
      </c>
      <c r="M91" s="102" t="s">
        <v>516</v>
      </c>
      <c r="N91" s="103"/>
      <c r="O91" s="103"/>
      <c r="P91" s="103"/>
      <c r="Q91" s="103"/>
    </row>
    <row r="92" spans="1:17" ht="15.6">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3"/>
      <c r="N92" s="103"/>
      <c r="O92" s="103"/>
      <c r="P92" s="103"/>
      <c r="Q92" s="103"/>
    </row>
    <row r="93" spans="1:17" ht="15.6">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3"/>
      <c r="N93" s="103"/>
      <c r="O93" s="103"/>
      <c r="P93" s="103"/>
      <c r="Q93" s="103"/>
    </row>
    <row r="94" spans="1:17" ht="43.1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517</v>
      </c>
      <c r="L94" s="110" t="s">
        <v>518</v>
      </c>
      <c r="M94" s="103"/>
      <c r="N94" s="103"/>
      <c r="O94" s="103"/>
      <c r="P94" s="103"/>
      <c r="Q94" s="103"/>
    </row>
    <row r="95" spans="1:17" ht="28.9">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07" t="s">
        <v>315</v>
      </c>
      <c r="L95" s="109" t="s">
        <v>316</v>
      </c>
      <c r="M95" s="103"/>
      <c r="N95" s="103"/>
      <c r="O95" s="103"/>
      <c r="P95" s="103"/>
      <c r="Q95" s="103"/>
    </row>
    <row r="96" spans="1:17" ht="28.9">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519</v>
      </c>
      <c r="L96" s="98" t="s">
        <v>520</v>
      </c>
      <c r="M96" s="102" t="s">
        <v>320</v>
      </c>
      <c r="N96" s="103"/>
      <c r="O96" s="103"/>
      <c r="P96" s="103"/>
      <c r="Q96" s="103"/>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521</v>
      </c>
      <c r="L97" s="110" t="s">
        <v>522</v>
      </c>
      <c r="M97" s="102" t="s">
        <v>523</v>
      </c>
      <c r="N97" s="103"/>
      <c r="O97" s="103"/>
      <c r="P97" s="103"/>
      <c r="Q97" s="103"/>
    </row>
    <row r="98" spans="1:17" ht="15.6">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3"/>
      <c r="N98" s="103"/>
      <c r="O98" s="103"/>
      <c r="P98" s="103"/>
      <c r="Q98" s="103"/>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524</v>
      </c>
      <c r="L99" s="121" t="s">
        <v>525</v>
      </c>
      <c r="M99" s="102" t="s">
        <v>526</v>
      </c>
      <c r="N99" s="103"/>
      <c r="O99" s="103"/>
      <c r="P99" s="103"/>
      <c r="Q99" s="103"/>
    </row>
    <row r="100" spans="1:17" ht="230.4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4" si="9">IFERROR(F100/E100, "")</f>
        <v>-0.10074785326739497</v>
      </c>
      <c r="H100" s="67">
        <v>368855</v>
      </c>
      <c r="I100" s="12">
        <f t="shared" si="6"/>
        <v>-55041</v>
      </c>
      <c r="J100" s="13">
        <f t="shared" si="7"/>
        <v>-0.14922123869813342</v>
      </c>
      <c r="K100" s="56" t="s">
        <v>527</v>
      </c>
      <c r="L100" s="109" t="s">
        <v>528</v>
      </c>
      <c r="M100" s="103"/>
      <c r="N100" s="103"/>
      <c r="O100" s="103"/>
      <c r="P100" s="103"/>
      <c r="Q100" s="103"/>
    </row>
    <row r="101" spans="1:17" ht="129.6">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529</v>
      </c>
      <c r="L101" s="121" t="s">
        <v>530</v>
      </c>
      <c r="M101" s="102" t="s">
        <v>531</v>
      </c>
      <c r="N101" s="102" t="s">
        <v>532</v>
      </c>
      <c r="O101" s="102" t="s">
        <v>533</v>
      </c>
      <c r="P101" s="103"/>
      <c r="Q101" s="103"/>
    </row>
    <row r="102" spans="1:17" ht="15.6">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3"/>
      <c r="N102" s="103"/>
      <c r="O102" s="103"/>
      <c r="P102" s="103"/>
      <c r="Q102" s="103"/>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534</v>
      </c>
      <c r="L103" s="121" t="s">
        <v>535</v>
      </c>
      <c r="M103" s="102" t="s">
        <v>536</v>
      </c>
      <c r="N103" s="102" t="s">
        <v>537</v>
      </c>
      <c r="O103" s="102" t="s">
        <v>538</v>
      </c>
      <c r="P103" s="103"/>
      <c r="Q103" s="103"/>
    </row>
    <row r="104" spans="1:17" ht="15.6">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7" si="10">IF(AND(ISNUMBER(D104),ISNUMBER(H104)), D104-H104, "")</f>
        <v>-11189.710000000021</v>
      </c>
      <c r="J104" s="13">
        <f t="shared" ref="J104:J151" si="11">IFERROR(I104/H104, "")</f>
        <v>-3.3472090059545732E-2</v>
      </c>
      <c r="K104" s="56"/>
      <c r="L104" s="37"/>
      <c r="M104" s="103"/>
      <c r="N104" s="103"/>
      <c r="O104" s="103"/>
      <c r="P104" s="103"/>
      <c r="Q104" s="103"/>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539</v>
      </c>
      <c r="L105" s="17"/>
      <c r="M105" s="103"/>
      <c r="N105" s="103"/>
      <c r="O105" s="103"/>
      <c r="P105" s="103"/>
      <c r="Q105" s="103"/>
    </row>
    <row r="106" spans="1:17" ht="28.9">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540</v>
      </c>
      <c r="L106" s="109" t="s">
        <v>541</v>
      </c>
      <c r="M106" s="102" t="s">
        <v>542</v>
      </c>
      <c r="N106" s="103"/>
      <c r="O106" s="103"/>
      <c r="P106" s="103"/>
      <c r="Q106" s="103"/>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543</v>
      </c>
      <c r="L107" s="17"/>
      <c r="M107" s="103"/>
      <c r="N107" s="103"/>
      <c r="O107" s="103"/>
      <c r="P107" s="103"/>
      <c r="Q107" s="103"/>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544</v>
      </c>
      <c r="L108" s="109" t="s">
        <v>545</v>
      </c>
      <c r="M108" s="102" t="s">
        <v>546</v>
      </c>
      <c r="N108" s="102" t="s">
        <v>547</v>
      </c>
      <c r="O108" s="102" t="s">
        <v>332</v>
      </c>
      <c r="P108" s="103"/>
      <c r="Q108" s="103"/>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548</v>
      </c>
      <c r="L109" s="111" t="s">
        <v>549</v>
      </c>
      <c r="M109" s="103"/>
      <c r="N109" s="103"/>
      <c r="O109" s="103"/>
      <c r="P109" s="103"/>
      <c r="Q109" s="103"/>
    </row>
    <row r="110" spans="1:17" ht="15.6">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3"/>
      <c r="N110" s="103"/>
      <c r="O110" s="103"/>
      <c r="P110" s="103"/>
      <c r="Q110" s="103"/>
    </row>
    <row r="111" spans="1:17" ht="43.1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86" t="s">
        <v>550</v>
      </c>
      <c r="L111" s="114" t="s">
        <v>551</v>
      </c>
      <c r="M111" s="103"/>
      <c r="N111" s="103"/>
      <c r="O111" s="103"/>
      <c r="P111" s="103"/>
      <c r="Q111" s="103"/>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552</v>
      </c>
      <c r="L112" s="109" t="s">
        <v>553</v>
      </c>
      <c r="M112" s="102" t="s">
        <v>554</v>
      </c>
      <c r="N112" s="103"/>
      <c r="O112" s="103"/>
      <c r="P112" s="103"/>
      <c r="Q112" s="103"/>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555</v>
      </c>
      <c r="L113" s="121" t="s">
        <v>556</v>
      </c>
      <c r="M113" s="102" t="s">
        <v>557</v>
      </c>
      <c r="N113" s="102" t="s">
        <v>558</v>
      </c>
      <c r="O113" s="102" t="s">
        <v>559</v>
      </c>
      <c r="P113" s="102" t="s">
        <v>560</v>
      </c>
      <c r="Q113" s="103"/>
    </row>
    <row r="114" spans="1:17" ht="28.9">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561</v>
      </c>
      <c r="L114" s="109" t="s">
        <v>562</v>
      </c>
      <c r="M114" s="102" t="s">
        <v>563</v>
      </c>
      <c r="N114" s="103"/>
      <c r="O114" s="103"/>
      <c r="P114" s="103"/>
      <c r="Q114" s="103"/>
    </row>
    <row r="115" spans="1:17" ht="15.6">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3"/>
      <c r="N115" s="103"/>
      <c r="O115" s="103"/>
      <c r="P115" s="103"/>
      <c r="Q115" s="103"/>
    </row>
    <row r="116" spans="1:17" ht="28.9">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564</v>
      </c>
      <c r="L116" s="109" t="s">
        <v>565</v>
      </c>
      <c r="M116" s="103"/>
      <c r="N116" s="103"/>
      <c r="O116" s="103"/>
      <c r="P116" s="103"/>
      <c r="Q116" s="103"/>
    </row>
    <row r="117" spans="1:17" ht="15.6">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3"/>
      <c r="N117" s="103"/>
      <c r="O117" s="103"/>
      <c r="P117" s="103"/>
      <c r="Q117" s="103"/>
    </row>
    <row r="118" spans="1:17" ht="15.6">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3"/>
      <c r="N118" s="103"/>
      <c r="O118" s="103"/>
      <c r="P118" s="103"/>
      <c r="Q118" s="103"/>
    </row>
    <row r="119" spans="1:17" ht="28.9">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566</v>
      </c>
      <c r="L119" s="114" t="s">
        <v>567</v>
      </c>
      <c r="M119" s="103"/>
      <c r="N119" s="103"/>
      <c r="O119" s="103"/>
      <c r="P119" s="103"/>
      <c r="Q119" s="103"/>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568</v>
      </c>
      <c r="L120" s="37"/>
      <c r="M120" s="103"/>
      <c r="N120" s="103"/>
      <c r="O120" s="103"/>
      <c r="P120" s="103"/>
      <c r="Q120" s="103"/>
    </row>
    <row r="121" spans="1:17" ht="15.6">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3"/>
      <c r="N121" s="103"/>
      <c r="O121" s="103"/>
      <c r="P121" s="103"/>
      <c r="Q121" s="103"/>
    </row>
    <row r="122" spans="1:17" ht="15.6">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3"/>
      <c r="N122" s="103"/>
      <c r="O122" s="103"/>
      <c r="P122" s="103"/>
      <c r="Q122" s="103"/>
    </row>
    <row r="123" spans="1:17" ht="72">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569</v>
      </c>
      <c r="L123" s="121" t="s">
        <v>570</v>
      </c>
      <c r="M123" s="102" t="s">
        <v>355</v>
      </c>
      <c r="N123" s="102" t="s">
        <v>571</v>
      </c>
      <c r="O123" s="103"/>
      <c r="P123" s="103"/>
      <c r="Q123" s="103"/>
    </row>
    <row r="124" spans="1:17" ht="28.9">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572</v>
      </c>
      <c r="L124" s="109" t="s">
        <v>573</v>
      </c>
      <c r="M124" s="102" t="s">
        <v>574</v>
      </c>
      <c r="N124" s="103"/>
      <c r="O124" s="103"/>
      <c r="P124" s="103"/>
      <c r="Q124" s="103"/>
    </row>
    <row r="125" spans="1:17" ht="26.4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15" t="s">
        <v>575</v>
      </c>
      <c r="M125" s="103"/>
      <c r="N125" s="103"/>
      <c r="O125" s="103"/>
      <c r="P125" s="103"/>
      <c r="Q125" s="103"/>
    </row>
    <row r="126" spans="1:17" ht="15.6">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09" t="s">
        <v>576</v>
      </c>
      <c r="M126" s="103"/>
      <c r="N126" s="103"/>
      <c r="O126" s="103"/>
      <c r="P126" s="103"/>
      <c r="Q126" s="103"/>
    </row>
    <row r="127" spans="1:17" ht="15.6">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1" t="s">
        <v>577</v>
      </c>
      <c r="M127" s="103"/>
      <c r="N127" s="103"/>
      <c r="O127" s="103"/>
      <c r="P127" s="103"/>
      <c r="Q127" s="103"/>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578</v>
      </c>
      <c r="L128" s="109" t="s">
        <v>579</v>
      </c>
      <c r="M128" s="103"/>
      <c r="N128" s="103"/>
      <c r="O128" s="103"/>
      <c r="P128" s="103"/>
      <c r="Q128" s="103"/>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580</v>
      </c>
      <c r="L129" s="101" t="s">
        <v>581</v>
      </c>
      <c r="M129" s="103"/>
      <c r="N129" s="103"/>
      <c r="O129" s="103"/>
      <c r="P129" s="103"/>
      <c r="Q129" s="103"/>
    </row>
    <row r="130" spans="1:17" ht="15.6">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09" t="s">
        <v>582</v>
      </c>
      <c r="M130" s="103"/>
      <c r="N130" s="103"/>
      <c r="O130" s="103"/>
      <c r="P130" s="103"/>
      <c r="Q130" s="103"/>
    </row>
    <row r="131" spans="1:17" ht="15.6">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3"/>
      <c r="N131" s="103"/>
      <c r="O131" s="103"/>
      <c r="P131" s="103"/>
      <c r="Q131" s="103"/>
    </row>
    <row r="132" spans="1:17" ht="15.6">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3"/>
      <c r="N132" s="103"/>
      <c r="O132" s="103"/>
      <c r="P132" s="103"/>
      <c r="Q132" s="103"/>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583</v>
      </c>
      <c r="L133" s="121" t="s">
        <v>584</v>
      </c>
      <c r="M133" s="102" t="s">
        <v>585</v>
      </c>
      <c r="N133" s="102" t="s">
        <v>586</v>
      </c>
      <c r="O133" s="103"/>
      <c r="P133" s="103"/>
      <c r="Q133" s="103"/>
    </row>
    <row r="134" spans="1:17" ht="15.6">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09" t="s">
        <v>587</v>
      </c>
      <c r="M134" s="103"/>
      <c r="N134" s="103"/>
      <c r="O134" s="103"/>
      <c r="P134" s="103"/>
      <c r="Q134" s="103"/>
    </row>
    <row r="135" spans="1:17" ht="15.6">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3"/>
      <c r="N135" s="103"/>
      <c r="O135" s="103"/>
      <c r="P135" s="103"/>
      <c r="Q135" s="103"/>
    </row>
    <row r="136" spans="1:17" ht="15.6">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09" t="s">
        <v>588</v>
      </c>
      <c r="M136" s="103"/>
      <c r="N136" s="103"/>
      <c r="O136" s="103"/>
      <c r="P136" s="103"/>
      <c r="Q136" s="103"/>
    </row>
    <row r="137" spans="1:17" ht="15.6">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1" t="s">
        <v>589</v>
      </c>
      <c r="M137" s="103"/>
      <c r="N137" s="103"/>
      <c r="O137" s="103"/>
      <c r="P137" s="103"/>
      <c r="Q137" s="103"/>
    </row>
    <row r="138" spans="1:17" ht="28.9">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360</v>
      </c>
      <c r="L138" s="109" t="s">
        <v>590</v>
      </c>
      <c r="M138" s="103"/>
      <c r="N138" s="103"/>
      <c r="O138" s="103"/>
      <c r="P138" s="103"/>
      <c r="Q138" s="103"/>
    </row>
    <row r="139" spans="1:17" ht="28.9">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591</v>
      </c>
      <c r="L139" s="114" t="s">
        <v>592</v>
      </c>
      <c r="M139" s="103"/>
      <c r="N139" s="103"/>
      <c r="O139" s="103"/>
      <c r="P139" s="103"/>
      <c r="Q139" s="103"/>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593</v>
      </c>
      <c r="L140" s="109" t="s">
        <v>594</v>
      </c>
      <c r="M140" s="102" t="s">
        <v>197</v>
      </c>
      <c r="N140" s="102" t="s">
        <v>197</v>
      </c>
      <c r="O140" s="102" t="s">
        <v>595</v>
      </c>
      <c r="P140" s="102" t="s">
        <v>596</v>
      </c>
      <c r="Q140" s="102" t="s">
        <v>597</v>
      </c>
    </row>
    <row r="141" spans="1:17" ht="15.6">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1" t="s">
        <v>598</v>
      </c>
      <c r="M141" s="103"/>
      <c r="N141" s="103"/>
      <c r="O141" s="103"/>
      <c r="P141" s="103"/>
      <c r="Q141" s="103"/>
    </row>
    <row r="142" spans="1:17" ht="15.6">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3"/>
      <c r="N142" s="103"/>
      <c r="O142" s="103"/>
      <c r="P142" s="103"/>
      <c r="Q142" s="103"/>
    </row>
    <row r="143" spans="1:17" ht="57.6">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599</v>
      </c>
      <c r="L143" s="121" t="s">
        <v>600</v>
      </c>
      <c r="M143" s="102" t="s">
        <v>365</v>
      </c>
      <c r="N143" s="103"/>
      <c r="O143" s="103"/>
      <c r="P143" s="103"/>
      <c r="Q143" s="103"/>
    </row>
    <row r="144" spans="1:17" ht="57.6">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601</v>
      </c>
      <c r="L144" s="109" t="s">
        <v>602</v>
      </c>
      <c r="M144" s="102" t="s">
        <v>603</v>
      </c>
      <c r="N144" s="103"/>
      <c r="O144" s="103"/>
      <c r="P144" s="103"/>
      <c r="Q144" s="103"/>
    </row>
    <row r="145" spans="1:17" ht="43.1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604</v>
      </c>
      <c r="L145" s="121" t="s">
        <v>605</v>
      </c>
      <c r="M145" s="102" t="s">
        <v>606</v>
      </c>
      <c r="N145" s="103"/>
      <c r="O145" s="103"/>
      <c r="P145" s="103"/>
      <c r="Q145" s="103"/>
    </row>
    <row r="146" spans="1:17" ht="57.6">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607</v>
      </c>
      <c r="L146" s="109" t="s">
        <v>608</v>
      </c>
      <c r="M146" s="102" t="s">
        <v>609</v>
      </c>
      <c r="N146" s="103"/>
      <c r="O146" s="103"/>
      <c r="P146" s="103"/>
      <c r="Q146" s="103"/>
    </row>
    <row r="147" spans="1:17" ht="43.1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610</v>
      </c>
      <c r="L147" s="121" t="s">
        <v>611</v>
      </c>
      <c r="M147" s="102" t="s">
        <v>612</v>
      </c>
      <c r="N147" s="103"/>
      <c r="O147" s="103"/>
      <c r="P147" s="103"/>
      <c r="Q147" s="103"/>
    </row>
    <row r="148" spans="1:17" ht="43.1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613</v>
      </c>
      <c r="L148" s="109" t="s">
        <v>614</v>
      </c>
      <c r="M148" s="102" t="s">
        <v>615</v>
      </c>
      <c r="N148" s="103"/>
      <c r="O148" s="103"/>
      <c r="P148" s="103"/>
      <c r="Q148" s="103"/>
    </row>
    <row r="149" spans="1:17" ht="28.9">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616</v>
      </c>
      <c r="L149" s="114" t="s">
        <v>617</v>
      </c>
      <c r="M149" s="103"/>
      <c r="N149" s="103"/>
      <c r="O149" s="103"/>
      <c r="P149" s="103"/>
      <c r="Q149" s="103"/>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618</v>
      </c>
      <c r="L150" s="109" t="s">
        <v>619</v>
      </c>
      <c r="M150" s="102" t="s">
        <v>620</v>
      </c>
      <c r="N150" s="102" t="s">
        <v>621</v>
      </c>
      <c r="O150" s="103"/>
      <c r="P150" s="103"/>
      <c r="Q150" s="103"/>
    </row>
    <row r="151" spans="1:17" ht="15.6">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3"/>
      <c r="N151" s="103"/>
      <c r="O151" s="103"/>
      <c r="P151" s="103"/>
      <c r="Q151" s="103"/>
    </row>
    <row r="152" spans="1:17" ht="57.6">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ref="J152:J164" si="12">IFERROR(I152/H152, "")</f>
        <v/>
      </c>
      <c r="K152" s="56" t="s">
        <v>622</v>
      </c>
      <c r="L152" s="109" t="s">
        <v>623</v>
      </c>
      <c r="M152" s="102" t="s">
        <v>624</v>
      </c>
      <c r="N152" s="102" t="s">
        <v>625</v>
      </c>
      <c r="O152" s="103"/>
      <c r="P152" s="103"/>
      <c r="Q152" s="103"/>
    </row>
    <row r="153" spans="1:17" ht="57.6">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2"/>
        <v/>
      </c>
      <c r="K153" s="38" t="s">
        <v>626</v>
      </c>
      <c r="L153" s="114" t="s">
        <v>627</v>
      </c>
      <c r="M153" s="103"/>
      <c r="N153" s="103"/>
      <c r="O153" s="103"/>
      <c r="P153" s="103"/>
      <c r="Q153" s="103"/>
    </row>
    <row r="154" spans="1:17" ht="15.6">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2"/>
        <v/>
      </c>
      <c r="K154" s="56" t="s">
        <v>628</v>
      </c>
      <c r="L154" s="109" t="s">
        <v>629</v>
      </c>
      <c r="M154" s="103"/>
      <c r="N154" s="103"/>
      <c r="O154" s="103"/>
      <c r="P154" s="103"/>
      <c r="Q154" s="103"/>
    </row>
    <row r="155" spans="1:17" ht="86.45">
      <c r="A155" s="26" t="str">
        <v>Ransom</v>
      </c>
      <c r="B155" s="27" t="str">
        <v>NY</v>
      </c>
      <c r="C155" s="27" t="str">
        <f>Sites[[#This Row],[SOL'#]]</f>
        <v>SOL-11157</v>
      </c>
      <c r="D155" s="66">
        <v>573181.69999999995</v>
      </c>
      <c r="E155" s="14">
        <v>0</v>
      </c>
      <c r="F155" s="14">
        <f t="shared" si="8"/>
        <v>573181.69999999995</v>
      </c>
      <c r="G155" s="15" t="str">
        <f t="shared" ref="G155:G164" si="13">IFERROR(F155/E155, "")</f>
        <v/>
      </c>
      <c r="H155" s="69">
        <v>0</v>
      </c>
      <c r="I155" s="16">
        <f t="shared" si="10"/>
        <v>573181.69999999995</v>
      </c>
      <c r="J155" s="15" t="str">
        <f t="shared" si="12"/>
        <v/>
      </c>
      <c r="K155" s="38" t="s">
        <v>630</v>
      </c>
      <c r="L155" s="121" t="s">
        <v>631</v>
      </c>
      <c r="M155" s="102" t="s">
        <v>632</v>
      </c>
      <c r="N155" s="103"/>
      <c r="O155" s="103"/>
      <c r="P155" s="103"/>
      <c r="Q155" s="103"/>
    </row>
    <row r="156" spans="1:17" ht="28.9">
      <c r="A156" s="24" t="str">
        <v>Horseheads - Wedge</v>
      </c>
      <c r="B156" s="25" t="str">
        <v>NY</v>
      </c>
      <c r="C156" s="25" t="str">
        <f>Sites[[#This Row],[SOL'#]]</f>
        <v>SOL-11160</v>
      </c>
      <c r="D156" s="54">
        <v>351172</v>
      </c>
      <c r="E156" s="10">
        <v>0</v>
      </c>
      <c r="F156" s="10">
        <f t="shared" si="8"/>
        <v>351172</v>
      </c>
      <c r="G156" s="11" t="str">
        <f t="shared" si="13"/>
        <v/>
      </c>
      <c r="H156" s="67">
        <v>0</v>
      </c>
      <c r="I156" s="12">
        <f t="shared" si="10"/>
        <v>351172</v>
      </c>
      <c r="J156" s="13" t="str">
        <f t="shared" si="12"/>
        <v/>
      </c>
      <c r="K156" s="56" t="s">
        <v>633</v>
      </c>
      <c r="L156" s="109" t="s">
        <v>634</v>
      </c>
      <c r="M156" s="102" t="s">
        <v>635</v>
      </c>
      <c r="N156" s="103"/>
      <c r="O156" s="103"/>
      <c r="P156" s="103"/>
      <c r="Q156" s="103"/>
    </row>
    <row r="157" spans="1:17" ht="43.15">
      <c r="A157" s="26" t="str">
        <v>Otisville - Shoddy Hollow</v>
      </c>
      <c r="B157" s="27" t="str">
        <v>NY</v>
      </c>
      <c r="C157" s="27" t="str">
        <f>Sites[[#This Row],[SOL'#]]</f>
        <v>SOL-11185</v>
      </c>
      <c r="D157" s="66">
        <v>770722.7</v>
      </c>
      <c r="E157" s="14">
        <v>0</v>
      </c>
      <c r="F157" s="14">
        <f t="shared" si="8"/>
        <v>770722.7</v>
      </c>
      <c r="G157" s="15" t="str">
        <f t="shared" si="13"/>
        <v/>
      </c>
      <c r="H157" s="69">
        <v>0</v>
      </c>
      <c r="I157" s="16">
        <f t="shared" si="10"/>
        <v>770722.7</v>
      </c>
      <c r="J157" s="15" t="str">
        <f t="shared" si="12"/>
        <v/>
      </c>
      <c r="K157" s="38" t="s">
        <v>636</v>
      </c>
      <c r="L157" s="121" t="s">
        <v>637</v>
      </c>
      <c r="M157" s="103"/>
      <c r="N157" s="103"/>
      <c r="O157" s="103"/>
      <c r="P157" s="103"/>
      <c r="Q157" s="103"/>
    </row>
    <row r="158" spans="1:17" ht="15.6">
      <c r="A158" s="24" t="str">
        <v>Wellsville - Chenunda Creek</v>
      </c>
      <c r="B158" s="25" t="str">
        <v>NY</v>
      </c>
      <c r="C158" s="25" t="str">
        <f>Sites[[#This Row],[SOL'#]]</f>
        <v>SOL-11187</v>
      </c>
      <c r="D158" s="54">
        <v>367949.8</v>
      </c>
      <c r="E158" s="10">
        <v>0</v>
      </c>
      <c r="F158" s="10">
        <f t="shared" si="8"/>
        <v>367949.8</v>
      </c>
      <c r="G158" s="11" t="str">
        <f t="shared" si="13"/>
        <v/>
      </c>
      <c r="H158" s="67">
        <v>0</v>
      </c>
      <c r="I158" s="12">
        <f t="shared" ref="I158:I164" si="14">IF(AND(ISNUMBER(D158),ISNUMBER(H158)), D158-H158, "")</f>
        <v>367949.8</v>
      </c>
      <c r="J158" s="13" t="str">
        <f t="shared" si="12"/>
        <v/>
      </c>
      <c r="K158" s="56" t="s">
        <v>638</v>
      </c>
      <c r="L158" s="109" t="s">
        <v>639</v>
      </c>
      <c r="M158" s="103"/>
      <c r="N158" s="103"/>
      <c r="O158" s="103"/>
      <c r="P158" s="103"/>
      <c r="Q158" s="103"/>
    </row>
    <row r="159" spans="1:17" ht="15.6">
      <c r="A159" s="26" t="str">
        <v>DC: Washington - Essex Condominium</v>
      </c>
      <c r="B159" s="27" t="str">
        <v>DC</v>
      </c>
      <c r="C159" s="27" t="str">
        <f>Sites[[#This Row],[SOL'#]]</f>
        <v>SOL-10036</v>
      </c>
      <c r="D159" s="66">
        <v>3125</v>
      </c>
      <c r="E159" s="14">
        <v>3748.7629999999999</v>
      </c>
      <c r="F159" s="14">
        <f t="shared" ref="F159:F164" si="15">IF(AND(ISNUMBER(D159),ISNUMBER(E159)), D159-E159, "")</f>
        <v>-623.76299999999992</v>
      </c>
      <c r="G159" s="68">
        <f t="shared" si="13"/>
        <v>-0.16639168707117519</v>
      </c>
      <c r="H159" s="69">
        <v>4003.5810000000001</v>
      </c>
      <c r="I159" s="69">
        <f t="shared" si="14"/>
        <v>-878.58100000000013</v>
      </c>
      <c r="J159" s="68">
        <f t="shared" si="12"/>
        <v>-0.21944878847212035</v>
      </c>
      <c r="K159" s="38" t="s">
        <v>640</v>
      </c>
      <c r="L159" s="121"/>
    </row>
    <row r="160" spans="1:17" ht="100.9">
      <c r="A160" s="24" t="str">
        <v>HI: Waipahu - 94-246 Leoku St - E.F.G.</v>
      </c>
      <c r="B160" s="25" t="str">
        <v>HI</v>
      </c>
      <c r="C160" s="25" t="str">
        <f>Sites[[#This Row],[SOL'#]]</f>
        <v>SOL-10071</v>
      </c>
      <c r="D160" s="54">
        <v>12007</v>
      </c>
      <c r="E160" s="10">
        <v>11698.62</v>
      </c>
      <c r="F160" s="10">
        <f t="shared" si="15"/>
        <v>308.3799999999992</v>
      </c>
      <c r="G160" s="55">
        <f t="shared" si="13"/>
        <v>2.6360374129598123E-2</v>
      </c>
      <c r="H160" s="67">
        <v>12392.76</v>
      </c>
      <c r="I160" s="67">
        <f t="shared" si="14"/>
        <v>-385.76000000000022</v>
      </c>
      <c r="J160" s="64">
        <f t="shared" si="12"/>
        <v>-3.11278520684658E-2</v>
      </c>
      <c r="K160" s="56" t="s">
        <v>641</v>
      </c>
      <c r="L160" s="116" t="s">
        <v>642</v>
      </c>
    </row>
    <row r="161" spans="1:12" ht="15.6">
      <c r="A161" s="26" t="str">
        <v>HI: Waipahu - 94-099 Waipahu St - PV</v>
      </c>
      <c r="B161" s="27" t="str">
        <v>HI</v>
      </c>
      <c r="C161" s="27" t="str">
        <f>Sites[[#This Row],[SOL'#]]</f>
        <v>SOL-10068</v>
      </c>
      <c r="D161" s="66">
        <v>13948</v>
      </c>
      <c r="E161" s="14">
        <v>11218.65</v>
      </c>
      <c r="F161" s="14">
        <f t="shared" si="15"/>
        <v>2729.3500000000004</v>
      </c>
      <c r="G161" s="68">
        <f t="shared" si="13"/>
        <v>0.24328684823931582</v>
      </c>
      <c r="H161" s="69">
        <v>12386.12</v>
      </c>
      <c r="I161" s="69">
        <f t="shared" si="14"/>
        <v>1561.8799999999992</v>
      </c>
      <c r="J161" s="68">
        <f t="shared" si="12"/>
        <v>0.12609921428179277</v>
      </c>
      <c r="K161" s="38"/>
      <c r="L161" s="121"/>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16"/>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1"/>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16"/>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73"/>
  <sheetViews>
    <sheetView zoomScale="70" zoomScaleNormal="70" workbookViewId="0">
      <pane xSplit="2" ySplit="3" topLeftCell="C155" activePane="bottomRight" state="frozen"/>
      <selection pane="bottomRight" activeCell="H170" sqref="H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92" t="str" cm="1">
        <f t="array" ref="A1">portfolio</f>
        <v>Generate Capital</v>
      </c>
      <c r="B1" s="192"/>
      <c r="C1" s="192"/>
      <c r="D1" s="192"/>
      <c r="E1" s="193" t="s">
        <v>643</v>
      </c>
      <c r="F1" s="193"/>
      <c r="G1" s="193"/>
      <c r="H1" s="191" t="s">
        <v>644</v>
      </c>
      <c r="I1" s="191"/>
      <c r="J1" s="191"/>
      <c r="K1" s="4"/>
      <c r="L1" s="4"/>
    </row>
    <row r="2" spans="1:20" ht="19.5" customHeight="1">
      <c r="A2" s="194" t="s">
        <v>2</v>
      </c>
      <c r="B2" s="194"/>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6" t="str" cm="1">
        <f t="array" ref="A4:A173">Sites[Site]</f>
        <v>K026</v>
      </c>
      <c r="B4" s="27" t="str" cm="1">
        <f t="array" ref="B4:B173">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645</v>
      </c>
      <c r="L4" s="39"/>
      <c r="M4" s="103"/>
      <c r="N4" s="103"/>
      <c r="O4" s="103"/>
      <c r="P4" s="103"/>
      <c r="Q4" s="103"/>
      <c r="R4" s="103"/>
      <c r="S4" s="103"/>
      <c r="T4" s="103"/>
    </row>
    <row r="5" spans="1:20" ht="15.6">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645</v>
      </c>
      <c r="L5" s="58"/>
      <c r="M5" s="103"/>
      <c r="N5" s="103"/>
      <c r="O5" s="103"/>
      <c r="P5" s="103"/>
      <c r="Q5" s="103"/>
      <c r="R5" s="103"/>
      <c r="S5" s="103"/>
      <c r="T5" s="103"/>
    </row>
    <row r="6" spans="1:20" ht="15.6">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3"/>
      <c r="N6" s="103"/>
      <c r="O6" s="103"/>
      <c r="P6" s="103"/>
      <c r="Q6" s="103"/>
      <c r="R6" s="103"/>
      <c r="S6" s="103"/>
      <c r="T6" s="103"/>
    </row>
    <row r="7" spans="1:20" ht="28.9">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646</v>
      </c>
      <c r="L7" s="109" t="s">
        <v>221</v>
      </c>
      <c r="M7" s="103"/>
      <c r="N7" s="103"/>
      <c r="O7" s="103"/>
      <c r="P7" s="103"/>
      <c r="Q7" s="103"/>
      <c r="R7" s="103"/>
      <c r="S7" s="103"/>
      <c r="T7" s="103"/>
    </row>
    <row r="8" spans="1:20" ht="15.6">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647</v>
      </c>
      <c r="L8" s="127" t="s">
        <v>25</v>
      </c>
      <c r="M8" s="103"/>
      <c r="N8" s="103"/>
      <c r="O8" s="103"/>
      <c r="P8" s="103"/>
      <c r="Q8" s="103"/>
      <c r="R8" s="103"/>
      <c r="S8" s="103"/>
      <c r="T8" s="103"/>
    </row>
    <row r="9" spans="1:20" ht="15.6">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3"/>
      <c r="N9" s="103"/>
      <c r="O9" s="103"/>
      <c r="P9" s="103"/>
      <c r="Q9" s="103"/>
      <c r="R9" s="103"/>
      <c r="S9" s="103"/>
      <c r="T9" s="103"/>
    </row>
    <row r="10" spans="1:20" ht="15.6">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3"/>
      <c r="N10" s="103"/>
      <c r="O10" s="103"/>
      <c r="P10" s="103"/>
      <c r="Q10" s="103"/>
      <c r="R10" s="103"/>
      <c r="S10" s="103"/>
      <c r="T10" s="103"/>
    </row>
    <row r="11" spans="1:20" ht="15.6">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3"/>
      <c r="N11" s="103"/>
      <c r="O11" s="103"/>
      <c r="P11" s="103"/>
      <c r="Q11" s="103"/>
      <c r="R11" s="103"/>
      <c r="S11" s="103"/>
      <c r="T11" s="103"/>
    </row>
    <row r="12" spans="1:20" ht="28.9">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648</v>
      </c>
      <c r="L12" s="127" t="s">
        <v>223</v>
      </c>
      <c r="M12" s="103"/>
      <c r="N12" s="103"/>
      <c r="O12" s="103"/>
      <c r="P12" s="103"/>
      <c r="Q12" s="103"/>
      <c r="R12" s="103"/>
      <c r="S12" s="103"/>
      <c r="T12" s="103"/>
    </row>
    <row r="13" spans="1:20" ht="15.6">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645</v>
      </c>
      <c r="L13" s="37"/>
      <c r="M13" s="103"/>
      <c r="N13" s="103"/>
      <c r="O13" s="103"/>
      <c r="P13" s="103"/>
      <c r="Q13" s="103"/>
      <c r="R13" s="103"/>
      <c r="S13" s="103"/>
      <c r="T13" s="103"/>
    </row>
    <row r="14" spans="1:20" ht="72">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649</v>
      </c>
      <c r="L14" s="127" t="s">
        <v>392</v>
      </c>
      <c r="M14" s="102" t="s">
        <v>31</v>
      </c>
      <c r="N14" s="102" t="s">
        <v>393</v>
      </c>
      <c r="O14" s="103"/>
      <c r="P14" s="103"/>
      <c r="Q14" s="103"/>
      <c r="R14" s="103"/>
      <c r="S14" s="103"/>
      <c r="T14" s="103"/>
    </row>
    <row r="15" spans="1:20" ht="15.6">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3"/>
      <c r="N15" s="103"/>
      <c r="O15" s="103"/>
      <c r="P15" s="103"/>
      <c r="Q15" s="103"/>
      <c r="R15" s="103"/>
      <c r="S15" s="103"/>
      <c r="T15" s="103"/>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650</v>
      </c>
      <c r="L16" s="110" t="s">
        <v>651</v>
      </c>
      <c r="M16" s="103"/>
      <c r="N16" s="103"/>
      <c r="O16" s="103"/>
      <c r="P16" s="103"/>
      <c r="Q16" s="103"/>
      <c r="R16" s="103"/>
      <c r="S16" s="103"/>
      <c r="T16" s="103"/>
    </row>
    <row r="17" spans="1:20" ht="15.6">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645</v>
      </c>
      <c r="L17" s="58"/>
      <c r="M17" s="103"/>
      <c r="N17" s="103"/>
      <c r="O17" s="103"/>
      <c r="P17" s="103"/>
      <c r="Q17" s="103"/>
      <c r="R17" s="103"/>
      <c r="S17" s="103"/>
      <c r="T17" s="103"/>
    </row>
    <row r="18" spans="1:20" ht="15.6">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652</v>
      </c>
      <c r="L18" s="60"/>
      <c r="M18" s="103"/>
      <c r="N18" s="103"/>
      <c r="O18" s="103"/>
      <c r="P18" s="103"/>
      <c r="Q18" s="103"/>
      <c r="R18" s="103"/>
      <c r="S18" s="103"/>
      <c r="T18" s="103"/>
    </row>
    <row r="19" spans="1:20" ht="15.6">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3"/>
      <c r="N19" s="103"/>
      <c r="O19" s="103"/>
      <c r="P19" s="103"/>
      <c r="Q19" s="103"/>
      <c r="R19" s="103"/>
      <c r="S19" s="103"/>
      <c r="T19" s="103"/>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653</v>
      </c>
      <c r="L20" s="110" t="s">
        <v>654</v>
      </c>
      <c r="M20" s="102" t="s">
        <v>655</v>
      </c>
      <c r="N20" s="102" t="s">
        <v>656</v>
      </c>
      <c r="O20" s="103"/>
      <c r="P20" s="103"/>
      <c r="Q20" s="103"/>
      <c r="R20" s="103"/>
      <c r="S20" s="103"/>
      <c r="T20" s="103"/>
    </row>
    <row r="21" spans="1:20" ht="43.1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657</v>
      </c>
      <c r="L21" s="109" t="s">
        <v>658</v>
      </c>
      <c r="M21" s="103"/>
      <c r="N21" s="103"/>
      <c r="O21" s="103"/>
      <c r="P21" s="103"/>
      <c r="Q21" s="103"/>
      <c r="R21" s="103"/>
      <c r="S21" s="103"/>
      <c r="T21" s="103"/>
    </row>
    <row r="22" spans="1:20" ht="15.6">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3"/>
      <c r="N22" s="103"/>
      <c r="O22" s="103"/>
      <c r="P22" s="103"/>
      <c r="Q22" s="103"/>
      <c r="R22" s="103"/>
      <c r="S22" s="103"/>
      <c r="T22" s="103"/>
    </row>
    <row r="23" spans="1:20" ht="28.9">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659</v>
      </c>
      <c r="L23" s="109" t="s">
        <v>660</v>
      </c>
      <c r="M23" s="103"/>
      <c r="N23" s="103"/>
      <c r="O23" s="103"/>
      <c r="P23" s="103"/>
      <c r="Q23" s="103"/>
      <c r="R23" s="103"/>
      <c r="S23" s="103"/>
      <c r="T23" s="103"/>
    </row>
    <row r="24" spans="1:20" ht="15.6">
      <c r="A24" s="26" t="str">
        <v>M144</v>
      </c>
      <c r="B24" s="27" t="str">
        <v>NY</v>
      </c>
      <c r="C24" s="27" t="str">
        <f>Sites[[#This Row],[SOL'#]]</f>
        <v>SOL-10385</v>
      </c>
      <c r="D24" s="9">
        <v>33364.5625</v>
      </c>
      <c r="E24" s="14" t="s">
        <v>661</v>
      </c>
      <c r="F24" s="14" t="str">
        <f t="shared" si="0"/>
        <v/>
      </c>
      <c r="G24" s="15" t="str">
        <f t="shared" si="1"/>
        <v/>
      </c>
      <c r="H24" s="16">
        <v>35364</v>
      </c>
      <c r="I24" s="16">
        <f t="shared" si="2"/>
        <v>-1999.4375</v>
      </c>
      <c r="J24" s="15">
        <f t="shared" si="3"/>
        <v>-5.6538782377559098E-2</v>
      </c>
      <c r="K24" s="38"/>
      <c r="L24" s="38"/>
      <c r="M24" s="103"/>
      <c r="N24" s="103"/>
      <c r="O24" s="103"/>
      <c r="P24" s="103"/>
      <c r="Q24" s="103"/>
      <c r="R24" s="103"/>
      <c r="S24" s="103"/>
      <c r="T24" s="103"/>
    </row>
    <row r="25" spans="1:20" ht="15.6">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662</v>
      </c>
      <c r="L25" s="58"/>
      <c r="M25" s="103"/>
      <c r="N25" s="103"/>
      <c r="O25" s="103"/>
      <c r="P25" s="103"/>
      <c r="Q25" s="103"/>
      <c r="R25" s="103"/>
      <c r="S25" s="103"/>
      <c r="T25" s="103"/>
    </row>
    <row r="26" spans="1:20" ht="155.25" customHeight="1">
      <c r="A26" s="26" t="str">
        <v>M188</v>
      </c>
      <c r="B26" s="27" t="str">
        <v>NY</v>
      </c>
      <c r="C26" s="27" t="str">
        <f>Sites[[#This Row],[SOL'#]]</f>
        <v>SOL-10387</v>
      </c>
      <c r="D26" s="9">
        <v>15083.375</v>
      </c>
      <c r="E26" s="14" t="s">
        <v>661</v>
      </c>
      <c r="F26" s="14" t="str">
        <f t="shared" si="0"/>
        <v/>
      </c>
      <c r="G26" s="15" t="str">
        <f t="shared" si="1"/>
        <v/>
      </c>
      <c r="H26" s="16">
        <v>18637</v>
      </c>
      <c r="I26" s="16">
        <f t="shared" si="2"/>
        <v>-3553.625</v>
      </c>
      <c r="J26" s="15">
        <f t="shared" si="3"/>
        <v>-0.19067580619198368</v>
      </c>
      <c r="K26" s="51" t="s">
        <v>663</v>
      </c>
      <c r="L26" s="110" t="s">
        <v>664</v>
      </c>
      <c r="M26" s="102" t="s">
        <v>665</v>
      </c>
      <c r="N26" s="102" t="s">
        <v>666</v>
      </c>
      <c r="O26" s="102" t="s">
        <v>667</v>
      </c>
      <c r="P26" s="103"/>
      <c r="Q26" s="103"/>
      <c r="R26" s="103"/>
      <c r="S26" s="103"/>
      <c r="T26" s="103"/>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668</v>
      </c>
      <c r="L27" s="109" t="s">
        <v>669</v>
      </c>
      <c r="M27" s="103"/>
      <c r="N27" s="103"/>
      <c r="O27" s="103"/>
      <c r="P27" s="103"/>
      <c r="Q27" s="103"/>
      <c r="R27" s="103"/>
      <c r="S27" s="103"/>
      <c r="T27" s="103"/>
    </row>
    <row r="28" spans="1:20" ht="28.9">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670</v>
      </c>
      <c r="L28" s="112" t="s">
        <v>671</v>
      </c>
      <c r="M28" s="103"/>
      <c r="N28" s="103"/>
      <c r="O28" s="103"/>
      <c r="P28" s="103"/>
      <c r="Q28" s="103"/>
      <c r="R28" s="103"/>
      <c r="S28" s="103"/>
      <c r="T28" s="103"/>
    </row>
    <row r="29" spans="1:20" ht="15.6">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3"/>
      <c r="N29" s="103"/>
      <c r="O29" s="103"/>
      <c r="P29" s="103"/>
      <c r="Q29" s="103"/>
      <c r="R29" s="103"/>
      <c r="S29" s="103"/>
      <c r="T29" s="103"/>
    </row>
    <row r="30" spans="1:20" ht="15.6">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3"/>
      <c r="N30" s="103"/>
      <c r="O30" s="103"/>
      <c r="P30" s="103"/>
      <c r="Q30" s="103"/>
      <c r="R30" s="103"/>
      <c r="S30" s="103"/>
      <c r="T30" s="103"/>
    </row>
    <row r="31" spans="1:20" ht="15.6">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3"/>
      <c r="N31" s="103"/>
      <c r="O31" s="103"/>
      <c r="P31" s="103"/>
      <c r="Q31" s="103"/>
      <c r="R31" s="103"/>
      <c r="S31" s="103"/>
      <c r="T31" s="103"/>
    </row>
    <row r="32" spans="1:20" ht="15.6">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3"/>
      <c r="N32" s="103"/>
      <c r="O32" s="103"/>
      <c r="P32" s="103"/>
      <c r="Q32" s="103"/>
      <c r="R32" s="103"/>
      <c r="S32" s="103"/>
      <c r="T32" s="103"/>
    </row>
    <row r="33" spans="1:20" ht="15.6">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3"/>
      <c r="N33" s="103"/>
      <c r="O33" s="103"/>
      <c r="P33" s="103"/>
      <c r="Q33" s="103"/>
      <c r="R33" s="103"/>
      <c r="S33" s="103"/>
      <c r="T33" s="103"/>
    </row>
    <row r="34" spans="1:20" ht="15.6">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3"/>
      <c r="N34" s="103"/>
      <c r="O34" s="103"/>
      <c r="P34" s="103"/>
      <c r="Q34" s="103"/>
      <c r="R34" s="103"/>
      <c r="S34" s="103"/>
      <c r="T34" s="103"/>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672</v>
      </c>
      <c r="L35" s="109" t="s">
        <v>673</v>
      </c>
      <c r="M35" s="102" t="s">
        <v>674</v>
      </c>
      <c r="N35" s="102" t="s">
        <v>675</v>
      </c>
      <c r="O35" s="103"/>
      <c r="P35" s="103"/>
      <c r="Q35" s="103"/>
      <c r="R35" s="103"/>
      <c r="S35" s="103"/>
      <c r="T35" s="103"/>
    </row>
    <row r="36" spans="1:20" ht="15.6">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3"/>
      <c r="N36" s="103"/>
      <c r="O36" s="103"/>
      <c r="P36" s="103"/>
      <c r="Q36" s="103"/>
      <c r="R36" s="103"/>
      <c r="S36" s="103"/>
      <c r="T36" s="103"/>
    </row>
    <row r="37" spans="1:20" ht="15.6">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3"/>
      <c r="N37" s="103"/>
      <c r="O37" s="103"/>
      <c r="P37" s="103"/>
      <c r="Q37" s="103"/>
      <c r="R37" s="103"/>
      <c r="S37" s="103"/>
      <c r="T37" s="103"/>
    </row>
    <row r="38" spans="1:20" ht="43.1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676</v>
      </c>
      <c r="L38" s="99" t="s">
        <v>677</v>
      </c>
      <c r="M38" s="103"/>
      <c r="N38" s="103"/>
      <c r="O38" s="103"/>
      <c r="P38" s="103"/>
      <c r="Q38" s="103"/>
      <c r="R38" s="103"/>
      <c r="S38" s="103"/>
      <c r="T38" s="103"/>
    </row>
    <row r="39" spans="1:20" ht="15.6">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3"/>
      <c r="N39" s="103"/>
      <c r="O39" s="103"/>
      <c r="P39" s="103"/>
      <c r="Q39" s="103"/>
      <c r="R39" s="103"/>
      <c r="S39" s="103"/>
      <c r="T39" s="103"/>
    </row>
    <row r="40" spans="1:20" ht="28.9">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678</v>
      </c>
      <c r="L40" s="127" t="s">
        <v>679</v>
      </c>
      <c r="M40" s="103"/>
      <c r="N40" s="103"/>
      <c r="O40" s="103"/>
      <c r="P40" s="103"/>
      <c r="Q40" s="103"/>
      <c r="R40" s="103"/>
      <c r="S40" s="103"/>
      <c r="T40" s="103"/>
    </row>
    <row r="41" spans="1:20" ht="86.4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680</v>
      </c>
      <c r="L41" s="109" t="s">
        <v>681</v>
      </c>
      <c r="M41" s="102" t="s">
        <v>682</v>
      </c>
      <c r="N41" s="102" t="s">
        <v>683</v>
      </c>
      <c r="O41" s="103"/>
      <c r="P41" s="103"/>
      <c r="Q41" s="103"/>
      <c r="R41" s="103"/>
      <c r="S41" s="103"/>
      <c r="T41" s="103"/>
    </row>
    <row r="42" spans="1:20" ht="72">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684</v>
      </c>
      <c r="L42" s="110" t="s">
        <v>685</v>
      </c>
      <c r="M42" s="102" t="s">
        <v>686</v>
      </c>
      <c r="N42" s="103"/>
      <c r="O42" s="103"/>
      <c r="P42" s="103"/>
      <c r="Q42" s="103"/>
      <c r="R42" s="103"/>
      <c r="S42" s="103"/>
      <c r="T42" s="103"/>
    </row>
    <row r="43" spans="1:20" ht="48.75" customHeight="1">
      <c r="A43" s="24" t="str">
        <v>Q490</v>
      </c>
      <c r="B43" s="25" t="str">
        <v>NY</v>
      </c>
      <c r="C43" s="25" t="str">
        <f>Sites[[#This Row],[SOL'#]]</f>
        <v>SOL-10411</v>
      </c>
      <c r="D43" s="20">
        <v>44293.5</v>
      </c>
      <c r="E43" s="10" t="s">
        <v>661</v>
      </c>
      <c r="F43" s="10" t="str">
        <f t="shared" si="0"/>
        <v/>
      </c>
      <c r="G43" s="11" t="str">
        <f t="shared" si="1"/>
        <v/>
      </c>
      <c r="H43" s="12">
        <v>46036.53</v>
      </c>
      <c r="I43" s="12">
        <f t="shared" si="2"/>
        <v>-1743.0299999999988</v>
      </c>
      <c r="J43" s="64">
        <f t="shared" si="3"/>
        <v>-3.7861889243172735E-2</v>
      </c>
      <c r="K43" s="37" t="s">
        <v>687</v>
      </c>
      <c r="L43" s="109" t="s">
        <v>415</v>
      </c>
      <c r="M43" s="103"/>
      <c r="N43" s="103"/>
      <c r="O43" s="103"/>
      <c r="P43" s="103"/>
      <c r="Q43" s="103"/>
      <c r="R43" s="103"/>
      <c r="S43" s="103"/>
      <c r="T43" s="103"/>
    </row>
    <row r="44" spans="1:20" ht="15.6">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3"/>
      <c r="N44" s="103"/>
      <c r="O44" s="103"/>
      <c r="P44" s="103"/>
      <c r="Q44" s="103"/>
      <c r="R44" s="103"/>
      <c r="S44" s="103"/>
      <c r="T44" s="103"/>
    </row>
    <row r="45" spans="1:20" ht="15.6">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688</v>
      </c>
      <c r="L45" s="37"/>
      <c r="M45" s="103"/>
      <c r="N45" s="103"/>
      <c r="O45" s="103"/>
      <c r="P45" s="103"/>
      <c r="Q45" s="103"/>
      <c r="R45" s="103"/>
      <c r="S45" s="103"/>
      <c r="T45" s="103"/>
    </row>
    <row r="46" spans="1:20" ht="15.6">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3"/>
      <c r="N46" s="103"/>
      <c r="O46" s="103"/>
      <c r="P46" s="103"/>
      <c r="Q46" s="103"/>
      <c r="R46" s="103"/>
      <c r="S46" s="103"/>
      <c r="T46" s="103"/>
    </row>
    <row r="47" spans="1:20" ht="28.9">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689</v>
      </c>
      <c r="L47" s="109" t="s">
        <v>690</v>
      </c>
      <c r="M47" s="103"/>
      <c r="N47" s="103"/>
      <c r="O47" s="103"/>
      <c r="P47" s="103"/>
      <c r="Q47" s="103"/>
      <c r="R47" s="103"/>
      <c r="S47" s="103"/>
      <c r="T47" s="103"/>
    </row>
    <row r="48" spans="1:20" ht="15.6">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3"/>
      <c r="N48" s="103"/>
      <c r="O48" s="103"/>
      <c r="P48" s="103"/>
      <c r="Q48" s="103"/>
      <c r="R48" s="103"/>
      <c r="S48" s="103"/>
      <c r="T48" s="103"/>
    </row>
    <row r="49" spans="1:20" ht="15.6">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3"/>
      <c r="N49" s="103"/>
      <c r="O49" s="103"/>
      <c r="P49" s="103"/>
      <c r="Q49" s="103"/>
      <c r="R49" s="103"/>
      <c r="S49" s="103"/>
      <c r="T49" s="103"/>
    </row>
    <row r="50" spans="1:20" ht="15.6">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3"/>
      <c r="N50" s="103"/>
      <c r="O50" s="103"/>
      <c r="P50" s="103"/>
      <c r="Q50" s="103"/>
      <c r="R50" s="103"/>
      <c r="S50" s="103"/>
      <c r="T50" s="103"/>
    </row>
    <row r="51" spans="1:20" ht="15.6">
      <c r="A51" s="24" t="str">
        <v>X134</v>
      </c>
      <c r="B51" s="25" t="str">
        <v>NY</v>
      </c>
      <c r="C51" s="25" t="str">
        <f>Sites[[#This Row],[SOL'#]]</f>
        <v>SOL-10424</v>
      </c>
      <c r="D51" s="20">
        <v>29330.90625</v>
      </c>
      <c r="E51" s="10" t="s">
        <v>661</v>
      </c>
      <c r="F51" s="10" t="str">
        <f t="shared" si="0"/>
        <v/>
      </c>
      <c r="G51" s="11" t="str">
        <f t="shared" si="1"/>
        <v/>
      </c>
      <c r="H51" s="12">
        <v>31287</v>
      </c>
      <c r="I51" s="12">
        <f t="shared" si="2"/>
        <v>-1956.09375</v>
      </c>
      <c r="J51" s="64">
        <f t="shared" si="3"/>
        <v>-6.2520975165404155E-2</v>
      </c>
      <c r="K51" s="58"/>
      <c r="L51" s="62"/>
      <c r="M51" s="103"/>
      <c r="N51" s="103"/>
      <c r="O51" s="103"/>
      <c r="P51" s="103"/>
      <c r="Q51" s="103"/>
      <c r="R51" s="103"/>
      <c r="S51" s="103"/>
      <c r="T51" s="103"/>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691</v>
      </c>
      <c r="L52" s="110" t="s">
        <v>692</v>
      </c>
      <c r="M52" s="103"/>
      <c r="N52" s="103"/>
      <c r="O52" s="103"/>
      <c r="P52" s="103"/>
      <c r="Q52" s="103"/>
      <c r="R52" s="103"/>
      <c r="S52" s="103"/>
      <c r="T52" s="103"/>
    </row>
    <row r="53" spans="1:20" ht="15.6">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3"/>
      <c r="N53" s="103"/>
      <c r="O53" s="103"/>
      <c r="P53" s="103"/>
      <c r="Q53" s="103"/>
      <c r="R53" s="103"/>
      <c r="S53" s="103"/>
      <c r="T53" s="103"/>
    </row>
    <row r="54" spans="1:20" ht="43.1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693</v>
      </c>
      <c r="L54" s="110" t="s">
        <v>419</v>
      </c>
      <c r="M54" s="103"/>
      <c r="N54" s="103" t="s">
        <v>694</v>
      </c>
      <c r="O54" s="103"/>
      <c r="P54" s="103"/>
      <c r="Q54" s="103"/>
      <c r="R54" s="103"/>
      <c r="S54" s="103"/>
      <c r="T54" s="103"/>
    </row>
    <row r="55" spans="1:20" ht="15.6">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3"/>
      <c r="N55" s="103"/>
      <c r="O55" s="103"/>
      <c r="P55" s="103"/>
      <c r="Q55" s="103"/>
      <c r="R55" s="103"/>
      <c r="S55" s="103"/>
      <c r="T55" s="103"/>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695</v>
      </c>
      <c r="L56" s="121" t="s">
        <v>696</v>
      </c>
      <c r="M56" s="102" t="s">
        <v>697</v>
      </c>
      <c r="N56" s="103"/>
      <c r="O56" s="103"/>
      <c r="P56" s="103"/>
      <c r="Q56" s="103"/>
      <c r="R56" s="103"/>
      <c r="S56" s="103"/>
      <c r="T56" s="103"/>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698</v>
      </c>
      <c r="L57" s="109" t="s">
        <v>699</v>
      </c>
      <c r="M57" s="103"/>
      <c r="N57" s="103"/>
      <c r="O57" s="103"/>
      <c r="P57" s="103"/>
      <c r="Q57" s="103"/>
      <c r="R57" s="103"/>
      <c r="S57" s="103"/>
      <c r="T57" s="103"/>
    </row>
    <row r="58" spans="1:20" ht="15.6">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700</v>
      </c>
      <c r="L58" s="127" t="s">
        <v>701</v>
      </c>
      <c r="M58" s="103"/>
      <c r="N58" s="103"/>
      <c r="O58" s="103"/>
      <c r="P58" s="103"/>
      <c r="Q58" s="103"/>
      <c r="R58" s="103"/>
      <c r="S58" s="103"/>
      <c r="T58" s="103"/>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702</v>
      </c>
      <c r="L59" s="109" t="s">
        <v>703</v>
      </c>
      <c r="M59" s="102" t="s">
        <v>704</v>
      </c>
      <c r="N59" s="102" t="s">
        <v>705</v>
      </c>
      <c r="O59" s="102" t="s">
        <v>706</v>
      </c>
      <c r="P59" s="103"/>
      <c r="Q59" s="103"/>
      <c r="R59" s="103"/>
      <c r="S59" s="103"/>
      <c r="T59" s="103"/>
    </row>
    <row r="60" spans="1:20" ht="15.6">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3"/>
      <c r="N60" s="103"/>
      <c r="O60" s="103"/>
      <c r="P60" s="103"/>
      <c r="Q60" s="103"/>
      <c r="R60" s="103"/>
      <c r="S60" s="103"/>
      <c r="T60" s="103"/>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707</v>
      </c>
      <c r="L61" s="109" t="s">
        <v>708</v>
      </c>
      <c r="M61" s="102" t="s">
        <v>709</v>
      </c>
      <c r="N61" s="102" t="s">
        <v>710</v>
      </c>
      <c r="O61" s="102" t="s">
        <v>711</v>
      </c>
      <c r="P61" s="103"/>
      <c r="Q61" s="103"/>
      <c r="R61" s="103"/>
      <c r="S61" s="103"/>
      <c r="T61" s="103"/>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712</v>
      </c>
      <c r="L62" s="99" t="s">
        <v>713</v>
      </c>
      <c r="M62" s="102" t="s">
        <v>437</v>
      </c>
      <c r="N62" s="102" t="s">
        <v>714</v>
      </c>
      <c r="O62" s="103"/>
      <c r="P62" s="103"/>
      <c r="Q62" s="103"/>
      <c r="R62" s="103"/>
      <c r="S62" s="103"/>
      <c r="T62" s="103"/>
    </row>
    <row r="63" spans="1:20" ht="28.9">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715</v>
      </c>
      <c r="L63" s="109" t="s">
        <v>716</v>
      </c>
      <c r="M63" s="103"/>
      <c r="N63" s="103"/>
      <c r="O63" s="103"/>
      <c r="P63" s="103"/>
      <c r="Q63" s="103"/>
      <c r="R63" s="103"/>
      <c r="S63" s="103"/>
      <c r="T63" s="103"/>
    </row>
    <row r="64" spans="1:20" ht="15.6">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3"/>
      <c r="N64" s="103"/>
      <c r="O64" s="103"/>
      <c r="P64" s="103"/>
      <c r="Q64" s="103"/>
      <c r="R64" s="103"/>
      <c r="S64" s="103"/>
      <c r="T64" s="103"/>
    </row>
    <row r="65" spans="1:20" ht="15.6">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3"/>
      <c r="N65" s="103"/>
      <c r="O65" s="103"/>
      <c r="P65" s="103"/>
      <c r="Q65" s="103"/>
      <c r="R65" s="103"/>
      <c r="S65" s="103"/>
      <c r="T65" s="103"/>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717</v>
      </c>
      <c r="L66" s="99" t="s">
        <v>718</v>
      </c>
      <c r="M66" s="102" t="s">
        <v>719</v>
      </c>
      <c r="N66" s="103"/>
      <c r="O66" s="103"/>
      <c r="P66" s="103"/>
      <c r="Q66" s="103"/>
      <c r="R66" s="103"/>
      <c r="S66" s="103"/>
      <c r="T66" s="103"/>
    </row>
    <row r="67" spans="1:20" ht="15.6">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3"/>
      <c r="N67" s="103"/>
      <c r="O67" s="103"/>
      <c r="P67" s="103"/>
      <c r="Q67" s="103"/>
      <c r="R67" s="103"/>
      <c r="S67" s="103"/>
      <c r="T67" s="103"/>
    </row>
    <row r="68" spans="1:20" ht="15.6">
      <c r="A68" s="26" t="str">
        <v>Big Tree</v>
      </c>
      <c r="B68" s="27" t="str">
        <v>NY</v>
      </c>
      <c r="C68" s="27" t="str">
        <f>Sites[[#This Row],[SOL'#]]</f>
        <v>SOL-10966</v>
      </c>
      <c r="D68" s="9">
        <v>321144</v>
      </c>
      <c r="E68" s="14" t="s">
        <v>661</v>
      </c>
      <c r="F68" s="14" t="str">
        <f t="shared" si="4"/>
        <v/>
      </c>
      <c r="G68" s="15" t="str">
        <f t="shared" si="7"/>
        <v/>
      </c>
      <c r="H68" s="16">
        <v>323746.34999999998</v>
      </c>
      <c r="I68" s="16">
        <f t="shared" si="5"/>
        <v>-2602.3499999999767</v>
      </c>
      <c r="J68" s="15">
        <f t="shared" si="6"/>
        <v>-8.0382373422896568E-3</v>
      </c>
      <c r="K68" s="70" t="s">
        <v>720</v>
      </c>
      <c r="L68" s="121" t="s">
        <v>721</v>
      </c>
      <c r="M68" s="103"/>
      <c r="N68" s="103"/>
      <c r="O68" s="103"/>
      <c r="P68" s="103"/>
      <c r="Q68" s="103"/>
      <c r="R68" s="103"/>
      <c r="S68" s="103"/>
      <c r="T68" s="103"/>
    </row>
    <row r="69" spans="1:20" ht="40.5" customHeight="1">
      <c r="A69" s="24" t="str">
        <v>Canoga</v>
      </c>
      <c r="B69" s="25" t="str">
        <v>NY</v>
      </c>
      <c r="C69" s="25" t="str">
        <f>Sites[[#This Row],[SOL'#]]</f>
        <v>SOL-10965</v>
      </c>
      <c r="D69" s="20">
        <v>0</v>
      </c>
      <c r="E69" s="10" t="s">
        <v>661</v>
      </c>
      <c r="F69" s="10" t="str">
        <f t="shared" si="4"/>
        <v/>
      </c>
      <c r="G69" s="11" t="str">
        <f t="shared" si="7"/>
        <v/>
      </c>
      <c r="H69" s="12"/>
      <c r="I69" s="12" t="str">
        <f t="shared" si="5"/>
        <v/>
      </c>
      <c r="J69" s="64" t="str">
        <f t="shared" si="6"/>
        <v/>
      </c>
      <c r="K69" s="37" t="s">
        <v>722</v>
      </c>
      <c r="L69" s="109" t="s">
        <v>723</v>
      </c>
      <c r="M69" s="103"/>
      <c r="N69" s="103"/>
      <c r="O69" s="103"/>
      <c r="P69" s="103"/>
      <c r="Q69" s="103"/>
      <c r="R69" s="103"/>
      <c r="S69" s="103"/>
      <c r="T69" s="103"/>
    </row>
    <row r="70" spans="1:20" ht="15.6">
      <c r="A70" s="26" t="str">
        <v>County Route 84</v>
      </c>
      <c r="B70" s="27" t="str">
        <v>NY</v>
      </c>
      <c r="C70" s="27" t="str">
        <f>Sites[[#This Row],[SOL'#]]</f>
        <v>SOL-10967</v>
      </c>
      <c r="D70" s="9">
        <v>854850</v>
      </c>
      <c r="E70" s="14" t="s">
        <v>661</v>
      </c>
      <c r="F70" s="14" t="str">
        <f t="shared" si="4"/>
        <v/>
      </c>
      <c r="G70" s="15" t="str">
        <f t="shared" si="7"/>
        <v/>
      </c>
      <c r="H70" s="16">
        <v>857242.25</v>
      </c>
      <c r="I70" s="16">
        <f t="shared" si="5"/>
        <v>-2392.25</v>
      </c>
      <c r="J70" s="15">
        <f t="shared" si="6"/>
        <v>-2.790634735980407E-3</v>
      </c>
      <c r="K70" s="59" t="s">
        <v>724</v>
      </c>
      <c r="L70" s="127" t="s">
        <v>725</v>
      </c>
      <c r="M70" s="103"/>
      <c r="N70" s="103"/>
      <c r="O70" s="103"/>
      <c r="P70" s="103"/>
      <c r="Q70" s="103"/>
      <c r="R70" s="103"/>
      <c r="S70" s="103"/>
      <c r="T70" s="103"/>
    </row>
    <row r="71" spans="1:20" ht="106.5" customHeight="1">
      <c r="A71" s="24" t="str">
        <v>Donati</v>
      </c>
      <c r="B71" s="25" t="str">
        <v>NY</v>
      </c>
      <c r="C71" s="25" t="str">
        <f>Sites[[#This Row],[SOL'#]]</f>
        <v>SOL-10968</v>
      </c>
      <c r="D71" s="20">
        <v>338220</v>
      </c>
      <c r="E71" s="10" t="s">
        <v>661</v>
      </c>
      <c r="F71" s="10" t="str">
        <f t="shared" si="4"/>
        <v/>
      </c>
      <c r="G71" s="11" t="str">
        <f t="shared" si="7"/>
        <v/>
      </c>
      <c r="H71" s="12">
        <v>408878.12</v>
      </c>
      <c r="I71" s="12">
        <f t="shared" si="5"/>
        <v>-70658.12</v>
      </c>
      <c r="J71" s="64">
        <f t="shared" si="6"/>
        <v>-0.17280973606511396</v>
      </c>
      <c r="K71" s="58" t="s">
        <v>726</v>
      </c>
      <c r="L71" s="128" t="s">
        <v>727</v>
      </c>
      <c r="M71" s="102" t="s">
        <v>458</v>
      </c>
      <c r="N71" s="102" t="s">
        <v>728</v>
      </c>
      <c r="O71" s="102" t="s">
        <v>729</v>
      </c>
      <c r="P71" s="103"/>
      <c r="Q71" s="103"/>
      <c r="R71" s="103"/>
      <c r="S71" s="103"/>
      <c r="T71" s="103"/>
    </row>
    <row r="72" spans="1:20" ht="211.5" customHeight="1">
      <c r="A72" s="26" t="str">
        <v>Henrietta</v>
      </c>
      <c r="B72" s="27" t="str">
        <v>NY</v>
      </c>
      <c r="C72" s="27" t="str">
        <f>Sites[[#This Row],[SOL'#]]</f>
        <v>SOL-10972</v>
      </c>
      <c r="D72" s="9">
        <v>414260</v>
      </c>
      <c r="E72" s="14" t="s">
        <v>661</v>
      </c>
      <c r="F72" s="14" t="str">
        <f t="shared" si="4"/>
        <v/>
      </c>
      <c r="G72" s="15" t="str">
        <f t="shared" si="7"/>
        <v/>
      </c>
      <c r="H72" s="16">
        <v>858985.29</v>
      </c>
      <c r="I72" s="16">
        <f t="shared" si="5"/>
        <v>-444725.29000000004</v>
      </c>
      <c r="J72" s="15">
        <f t="shared" si="6"/>
        <v>-0.51773330134675533</v>
      </c>
      <c r="K72" s="130" t="s">
        <v>730</v>
      </c>
      <c r="L72" s="110" t="s">
        <v>731</v>
      </c>
      <c r="M72" s="102" t="s">
        <v>732</v>
      </c>
      <c r="N72" s="102" t="s">
        <v>732</v>
      </c>
      <c r="O72" s="102" t="s">
        <v>733</v>
      </c>
      <c r="P72" s="102" t="s">
        <v>734</v>
      </c>
      <c r="Q72" s="103"/>
      <c r="R72" s="103"/>
      <c r="S72" s="103"/>
      <c r="T72" s="103"/>
    </row>
    <row r="73" spans="1:20" ht="116.25" customHeight="1">
      <c r="A73" s="24" t="str">
        <v>NY 70</v>
      </c>
      <c r="B73" s="25" t="str">
        <v>NY</v>
      </c>
      <c r="C73" s="25" t="str">
        <f>Sites[[#This Row],[SOL'#]]</f>
        <v>SOL-10970</v>
      </c>
      <c r="D73" s="20">
        <v>756760</v>
      </c>
      <c r="E73" s="10" t="s">
        <v>661</v>
      </c>
      <c r="F73" s="10" t="str">
        <f t="shared" si="4"/>
        <v/>
      </c>
      <c r="G73" s="11" t="str">
        <f t="shared" si="7"/>
        <v/>
      </c>
      <c r="H73" s="12">
        <v>978510.51</v>
      </c>
      <c r="I73" s="12">
        <f t="shared" si="5"/>
        <v>-221750.51</v>
      </c>
      <c r="J73" s="64">
        <f t="shared" si="6"/>
        <v>-0.22662046828704988</v>
      </c>
      <c r="K73" s="58" t="s">
        <v>735</v>
      </c>
      <c r="L73" s="128" t="s">
        <v>736</v>
      </c>
      <c r="M73" s="102" t="s">
        <v>737</v>
      </c>
      <c r="N73" s="102" t="s">
        <v>738</v>
      </c>
      <c r="O73" s="103"/>
      <c r="P73" s="103"/>
      <c r="Q73" s="103"/>
      <c r="R73" s="103"/>
      <c r="S73" s="103"/>
      <c r="T73" s="103"/>
    </row>
    <row r="74" spans="1:20" ht="316.89999999999998">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739</v>
      </c>
      <c r="L74" s="110" t="s">
        <v>740</v>
      </c>
      <c r="M74" s="102" t="s">
        <v>741</v>
      </c>
      <c r="N74" s="102" t="s">
        <v>470</v>
      </c>
      <c r="O74" s="102" t="s">
        <v>742</v>
      </c>
      <c r="P74" s="102" t="s">
        <v>743</v>
      </c>
      <c r="Q74" s="102" t="s">
        <v>744</v>
      </c>
      <c r="R74" s="102" t="s">
        <v>745</v>
      </c>
      <c r="S74" s="102" t="s">
        <v>746</v>
      </c>
      <c r="T74" s="102" t="s">
        <v>747</v>
      </c>
    </row>
    <row r="75" spans="1:20" ht="125.25" customHeight="1">
      <c r="A75" s="24" t="str">
        <v>Sangolqui</v>
      </c>
      <c r="B75" s="25" t="str">
        <v>NY</v>
      </c>
      <c r="C75" s="25" t="str">
        <f>Sites[[#This Row],[SOL'#]]</f>
        <v>SOL-10975</v>
      </c>
      <c r="D75" s="20">
        <v>351500</v>
      </c>
      <c r="E75" s="10" t="s">
        <v>661</v>
      </c>
      <c r="F75" s="10" t="str">
        <f t="shared" si="4"/>
        <v/>
      </c>
      <c r="G75" s="11" t="str">
        <f t="shared" si="7"/>
        <v/>
      </c>
      <c r="H75" s="12">
        <v>400067.19</v>
      </c>
      <c r="I75" s="12">
        <f t="shared" si="5"/>
        <v>-48567.19</v>
      </c>
      <c r="J75" s="64">
        <f t="shared" si="6"/>
        <v>-0.12139758324095511</v>
      </c>
      <c r="K75" s="37" t="s">
        <v>748</v>
      </c>
      <c r="L75" s="109" t="s">
        <v>749</v>
      </c>
      <c r="M75" s="102" t="s">
        <v>750</v>
      </c>
      <c r="N75" s="102" t="s">
        <v>751</v>
      </c>
      <c r="O75" s="103"/>
      <c r="P75" s="103"/>
      <c r="Q75" s="103"/>
      <c r="R75" s="103"/>
      <c r="S75" s="103"/>
      <c r="T75" s="103"/>
    </row>
    <row r="76" spans="1:20" ht="15.6">
      <c r="A76" s="26" t="str">
        <v>State Highway 17B</v>
      </c>
      <c r="B76" s="27" t="str">
        <v>NY</v>
      </c>
      <c r="C76" s="27" t="str">
        <f>Sites[[#This Row],[SOL'#]]</f>
        <v>SOL-10988</v>
      </c>
      <c r="D76" s="9">
        <v>690070</v>
      </c>
      <c r="E76" s="14" t="s">
        <v>661</v>
      </c>
      <c r="F76" s="14" t="str">
        <f t="shared" si="4"/>
        <v/>
      </c>
      <c r="G76" s="15" t="str">
        <f t="shared" si="7"/>
        <v/>
      </c>
      <c r="H76" s="16">
        <v>753209.8</v>
      </c>
      <c r="I76" s="16">
        <f t="shared" si="5"/>
        <v>-63139.800000000047</v>
      </c>
      <c r="J76" s="15">
        <f t="shared" si="6"/>
        <v>-8.3827640054603705E-2</v>
      </c>
      <c r="K76" s="38"/>
      <c r="L76" s="39"/>
      <c r="M76" s="103"/>
      <c r="N76" s="103"/>
      <c r="O76" s="103"/>
      <c r="P76" s="103"/>
      <c r="Q76" s="103"/>
      <c r="R76" s="103"/>
      <c r="S76" s="103"/>
      <c r="T76" s="103"/>
    </row>
    <row r="77" spans="1:20" ht="49.5" customHeight="1">
      <c r="A77" s="24" t="str">
        <v>State Route 14A</v>
      </c>
      <c r="B77" s="25" t="str">
        <v>NY</v>
      </c>
      <c r="C77" s="25" t="str">
        <f>Sites[[#This Row],[SOL'#]]</f>
        <v>SOL-10997</v>
      </c>
      <c r="D77" s="20">
        <v>44015</v>
      </c>
      <c r="E77" s="10" t="s">
        <v>661</v>
      </c>
      <c r="F77" s="10" t="str">
        <f t="shared" si="4"/>
        <v/>
      </c>
      <c r="G77" s="11" t="str">
        <f t="shared" si="7"/>
        <v/>
      </c>
      <c r="H77" s="12">
        <v>848546.08</v>
      </c>
      <c r="I77" s="12">
        <f t="shared" si="5"/>
        <v>-804531.08</v>
      </c>
      <c r="J77" s="64">
        <f t="shared" si="6"/>
        <v>-0.94812892188483155</v>
      </c>
      <c r="K77" s="58" t="s">
        <v>752</v>
      </c>
      <c r="L77" s="128" t="s">
        <v>753</v>
      </c>
      <c r="M77" s="103"/>
      <c r="N77" s="103"/>
      <c r="O77" s="103"/>
      <c r="P77" s="103"/>
      <c r="Q77" s="103"/>
      <c r="R77" s="103"/>
      <c r="S77" s="103"/>
      <c r="T77" s="103"/>
    </row>
    <row r="78" spans="1:20" ht="28.9">
      <c r="A78" s="26" t="str">
        <v>West Creek</v>
      </c>
      <c r="B78" s="27" t="str">
        <v>NY</v>
      </c>
      <c r="C78" s="27" t="str">
        <f>Sites[[#This Row],[SOL'#]]</f>
        <v>SOL-10995</v>
      </c>
      <c r="D78" s="9">
        <v>776940</v>
      </c>
      <c r="E78" s="14" t="s">
        <v>661</v>
      </c>
      <c r="F78" s="14" t="str">
        <f t="shared" si="4"/>
        <v/>
      </c>
      <c r="G78" s="15" t="str">
        <f t="shared" si="7"/>
        <v/>
      </c>
      <c r="H78" s="16">
        <v>828525.56</v>
      </c>
      <c r="I78" s="16">
        <f t="shared" si="5"/>
        <v>-51585.560000000056</v>
      </c>
      <c r="J78" s="15">
        <f t="shared" si="6"/>
        <v>-6.2261881214624268E-2</v>
      </c>
      <c r="K78" s="61" t="s">
        <v>754</v>
      </c>
      <c r="L78" s="101" t="s">
        <v>755</v>
      </c>
      <c r="M78" s="103"/>
      <c r="N78" s="103"/>
      <c r="O78" s="103"/>
      <c r="P78" s="103"/>
      <c r="Q78" s="103"/>
      <c r="R78" s="103"/>
      <c r="S78" s="103"/>
      <c r="T78" s="103"/>
    </row>
    <row r="79" spans="1:20" ht="15.6">
      <c r="A79" s="24" t="str">
        <v>Wildflower</v>
      </c>
      <c r="B79" s="25" t="str">
        <v>NY</v>
      </c>
      <c r="C79" s="25" t="str">
        <f>Sites[[#This Row],[SOL'#]]</f>
        <v>SOL-10982</v>
      </c>
      <c r="D79" s="20">
        <v>759563</v>
      </c>
      <c r="E79" s="10" t="s">
        <v>661</v>
      </c>
      <c r="F79" s="10" t="str">
        <f t="shared" si="4"/>
        <v/>
      </c>
      <c r="G79" s="11" t="str">
        <f t="shared" si="7"/>
        <v/>
      </c>
      <c r="H79" s="12">
        <v>842400.75</v>
      </c>
      <c r="I79" s="12">
        <f t="shared" si="5"/>
        <v>-82837.75</v>
      </c>
      <c r="J79" s="64">
        <f t="shared" si="6"/>
        <v>-9.8335323181989093E-2</v>
      </c>
      <c r="K79" s="37"/>
      <c r="L79" s="37"/>
      <c r="M79" s="103"/>
      <c r="N79" s="103"/>
      <c r="O79" s="103"/>
      <c r="P79" s="103"/>
      <c r="Q79" s="103"/>
      <c r="R79" s="103"/>
      <c r="S79" s="103"/>
      <c r="T79" s="103"/>
    </row>
    <row r="80" spans="1:20" ht="15.6">
      <c r="A80" s="26" t="str">
        <v>Glen Mary 1</v>
      </c>
      <c r="B80" s="27" t="str">
        <v>NY</v>
      </c>
      <c r="C80" s="27" t="str">
        <f>Sites[[#This Row],[SOL'#]]</f>
        <v>SOL-10993</v>
      </c>
      <c r="D80" s="9">
        <v>806620</v>
      </c>
      <c r="E80" s="14" t="s">
        <v>661</v>
      </c>
      <c r="F80" s="14" t="str">
        <f t="shared" si="4"/>
        <v/>
      </c>
      <c r="G80" s="15" t="str">
        <f t="shared" si="7"/>
        <v/>
      </c>
      <c r="H80" s="16">
        <v>858725.86</v>
      </c>
      <c r="I80" s="16">
        <f t="shared" si="5"/>
        <v>-52105.859999999986</v>
      </c>
      <c r="J80" s="15">
        <f t="shared" si="6"/>
        <v>-6.0678107446304211E-2</v>
      </c>
      <c r="K80" s="38"/>
      <c r="L80" s="39"/>
      <c r="M80" s="103"/>
      <c r="N80" s="103"/>
      <c r="O80" s="103"/>
      <c r="P80" s="103"/>
      <c r="Q80" s="103"/>
      <c r="R80" s="103"/>
      <c r="S80" s="103"/>
      <c r="T80" s="103"/>
    </row>
    <row r="81" spans="1:20" ht="15.6">
      <c r="A81" s="24" t="str">
        <v>Glen Mary 2</v>
      </c>
      <c r="B81" s="25" t="str">
        <v>NY</v>
      </c>
      <c r="C81" s="25" t="str">
        <f>Sites[[#This Row],[SOL'#]]</f>
        <v>SOL-10994</v>
      </c>
      <c r="D81" s="20">
        <v>352610</v>
      </c>
      <c r="E81" s="10" t="s">
        <v>661</v>
      </c>
      <c r="F81" s="10" t="str">
        <f t="shared" si="4"/>
        <v/>
      </c>
      <c r="G81" s="11" t="str">
        <f t="shared" si="7"/>
        <v/>
      </c>
      <c r="H81" s="12">
        <v>366971.2</v>
      </c>
      <c r="I81" s="12">
        <f t="shared" si="5"/>
        <v>-14361.200000000012</v>
      </c>
      <c r="J81" s="64">
        <f t="shared" si="6"/>
        <v>-3.9134406187733561E-2</v>
      </c>
      <c r="K81" s="37"/>
      <c r="L81" s="37"/>
      <c r="M81" s="103"/>
      <c r="N81" s="103"/>
      <c r="O81" s="103"/>
      <c r="P81" s="103"/>
      <c r="Q81" s="103"/>
      <c r="R81" s="103"/>
      <c r="S81" s="103"/>
      <c r="T81" s="103"/>
    </row>
    <row r="82" spans="1:20" ht="15.6">
      <c r="A82" s="26" t="str">
        <v>Telegraph 1</v>
      </c>
      <c r="B82" s="27" t="str">
        <v>NY</v>
      </c>
      <c r="C82" s="27" t="str">
        <f>Sites[[#This Row],[SOL'#]]</f>
        <v>SOL-11003</v>
      </c>
      <c r="D82" s="9">
        <v>609182</v>
      </c>
      <c r="E82" s="14" t="s">
        <v>661</v>
      </c>
      <c r="F82" s="14" t="str">
        <f t="shared" si="4"/>
        <v/>
      </c>
      <c r="G82" s="15" t="str">
        <f t="shared" si="7"/>
        <v/>
      </c>
      <c r="H82" s="16">
        <v>599655.38</v>
      </c>
      <c r="I82" s="16">
        <f t="shared" si="5"/>
        <v>9526.6199999999953</v>
      </c>
      <c r="J82" s="15">
        <f t="shared" si="6"/>
        <v>1.5886824862640266E-2</v>
      </c>
      <c r="K82" s="38" t="s">
        <v>756</v>
      </c>
      <c r="L82" s="110" t="s">
        <v>757</v>
      </c>
      <c r="M82" s="103"/>
      <c r="N82" s="103"/>
      <c r="O82" s="103"/>
      <c r="P82" s="103"/>
      <c r="Q82" s="103"/>
      <c r="R82" s="103"/>
      <c r="S82" s="103"/>
      <c r="T82" s="103"/>
    </row>
    <row r="83" spans="1:20" ht="43.15">
      <c r="A83" s="24" t="str">
        <v>Telegraph 2</v>
      </c>
      <c r="B83" s="25" t="str">
        <v>NY</v>
      </c>
      <c r="C83" s="25" t="str">
        <f>Sites[[#This Row],[SOL'#]]</f>
        <v>SOL-11004</v>
      </c>
      <c r="D83" s="20">
        <v>322296</v>
      </c>
      <c r="E83" s="10" t="s">
        <v>661</v>
      </c>
      <c r="F83" s="10" t="str">
        <f t="shared" si="4"/>
        <v/>
      </c>
      <c r="G83" s="11" t="str">
        <f t="shared" si="7"/>
        <v/>
      </c>
      <c r="H83" s="12">
        <v>311979</v>
      </c>
      <c r="I83" s="12">
        <f t="shared" si="5"/>
        <v>10317</v>
      </c>
      <c r="J83" s="64">
        <f t="shared" si="6"/>
        <v>3.306953352629504E-2</v>
      </c>
      <c r="K83" s="37" t="s">
        <v>758</v>
      </c>
      <c r="L83" s="109" t="s">
        <v>759</v>
      </c>
      <c r="M83" s="102" t="s">
        <v>760</v>
      </c>
      <c r="N83" s="103"/>
      <c r="O83" s="103"/>
      <c r="P83" s="103"/>
      <c r="Q83" s="103"/>
      <c r="R83" s="103"/>
      <c r="S83" s="103"/>
      <c r="T83" s="103"/>
    </row>
    <row r="84" spans="1:20" ht="15.6">
      <c r="A84" s="26" t="str">
        <v>Cafferty Hill</v>
      </c>
      <c r="B84" s="27" t="str">
        <v>NY</v>
      </c>
      <c r="C84" s="27" t="str">
        <f>Sites[[#This Row],[SOL'#]]</f>
        <v>SOL-10996</v>
      </c>
      <c r="D84" s="9">
        <v>768050</v>
      </c>
      <c r="E84" s="14" t="s">
        <v>661</v>
      </c>
      <c r="F84" s="14" t="str">
        <f t="shared" si="4"/>
        <v/>
      </c>
      <c r="G84" s="15" t="str">
        <f t="shared" si="7"/>
        <v/>
      </c>
      <c r="H84" s="16">
        <v>806343.49</v>
      </c>
      <c r="I84" s="16">
        <f t="shared" si="5"/>
        <v>-38293.489999999991</v>
      </c>
      <c r="J84" s="15">
        <f t="shared" si="6"/>
        <v>-4.7490294737792191E-2</v>
      </c>
      <c r="K84" s="38"/>
      <c r="L84" s="38"/>
      <c r="M84" s="103"/>
      <c r="N84" s="103"/>
      <c r="O84" s="103"/>
      <c r="P84" s="103"/>
      <c r="Q84" s="103"/>
      <c r="R84" s="103"/>
      <c r="S84" s="103"/>
      <c r="T84" s="103"/>
    </row>
    <row r="85" spans="1:20" ht="138.75" customHeight="1">
      <c r="A85" s="24" t="str">
        <v>Dunkleman</v>
      </c>
      <c r="B85" s="25" t="str">
        <v>NY</v>
      </c>
      <c r="C85" s="25" t="str">
        <f>Sites[[#This Row],[SOL'#]]</f>
        <v>SOL-11008</v>
      </c>
      <c r="D85" s="20">
        <v>865550</v>
      </c>
      <c r="E85" s="10" t="s">
        <v>661</v>
      </c>
      <c r="F85" s="10" t="str">
        <f t="shared" si="4"/>
        <v/>
      </c>
      <c r="G85" s="11" t="str">
        <f t="shared" si="7"/>
        <v/>
      </c>
      <c r="H85" s="12">
        <v>1009142.13</v>
      </c>
      <c r="I85" s="12">
        <f t="shared" si="5"/>
        <v>-143592.13</v>
      </c>
      <c r="J85" s="64">
        <f t="shared" si="6"/>
        <v>-0.14229128457851623</v>
      </c>
      <c r="K85" s="37" t="s">
        <v>761</v>
      </c>
      <c r="L85" s="128" t="s">
        <v>762</v>
      </c>
      <c r="M85" s="102" t="s">
        <v>763</v>
      </c>
      <c r="N85" s="103"/>
      <c r="O85" s="103"/>
      <c r="P85" s="103"/>
      <c r="Q85" s="103"/>
      <c r="R85" s="103"/>
      <c r="S85" s="103"/>
      <c r="T85" s="103"/>
    </row>
    <row r="86" spans="1:20" ht="15.6">
      <c r="A86" s="26" t="str">
        <v>Route 19 1</v>
      </c>
      <c r="B86" s="27" t="str">
        <v>NY</v>
      </c>
      <c r="C86" s="27" t="str">
        <f>Sites[[#This Row],[SOL'#]]</f>
        <v>SOL-11001</v>
      </c>
      <c r="D86" s="9">
        <v>377130</v>
      </c>
      <c r="E86" s="14" t="s">
        <v>661</v>
      </c>
      <c r="F86" s="14" t="str">
        <f t="shared" si="4"/>
        <v/>
      </c>
      <c r="G86" s="15" t="str">
        <f t="shared" si="7"/>
        <v/>
      </c>
      <c r="H86" s="16">
        <v>405489.67</v>
      </c>
      <c r="I86" s="16">
        <f t="shared" si="5"/>
        <v>-28359.669999999984</v>
      </c>
      <c r="J86" s="15">
        <f t="shared" si="6"/>
        <v>-6.9939315593415693E-2</v>
      </c>
      <c r="K86" s="38" t="s">
        <v>764</v>
      </c>
      <c r="L86" s="101" t="s">
        <v>765</v>
      </c>
      <c r="M86" s="103"/>
      <c r="N86" s="103"/>
      <c r="O86" s="103"/>
      <c r="P86" s="103"/>
      <c r="Q86" s="103"/>
      <c r="R86" s="103"/>
      <c r="S86" s="103"/>
      <c r="T86" s="103"/>
    </row>
    <row r="87" spans="1:20" ht="15.6">
      <c r="A87" s="24" t="str">
        <v>Route 19 2</v>
      </c>
      <c r="B87" s="25" t="str">
        <v>NY</v>
      </c>
      <c r="C87" s="25" t="str">
        <f>Sites[[#This Row],[SOL'#]]</f>
        <v>SOL-11002</v>
      </c>
      <c r="D87" s="20">
        <v>925110</v>
      </c>
      <c r="E87" s="10" t="s">
        <v>661</v>
      </c>
      <c r="F87" s="10" t="str">
        <f t="shared" si="4"/>
        <v/>
      </c>
      <c r="G87" s="11" t="str">
        <f t="shared" si="7"/>
        <v/>
      </c>
      <c r="H87" s="12">
        <v>1002309.25</v>
      </c>
      <c r="I87" s="12">
        <f t="shared" si="5"/>
        <v>-77199.25</v>
      </c>
      <c r="J87" s="64">
        <f t="shared" si="6"/>
        <v>-7.702138835893213E-2</v>
      </c>
      <c r="K87" s="37" t="s">
        <v>766</v>
      </c>
      <c r="L87" s="109" t="s">
        <v>767</v>
      </c>
      <c r="M87" s="103"/>
      <c r="N87" s="103"/>
      <c r="O87" s="103"/>
      <c r="P87" s="103"/>
      <c r="Q87" s="103"/>
      <c r="R87" s="103"/>
      <c r="S87" s="103"/>
      <c r="T87" s="103"/>
    </row>
    <row r="88" spans="1:20" ht="15.6">
      <c r="A88" s="26" t="str">
        <v>Yellow Mills 1</v>
      </c>
      <c r="B88" s="27" t="str">
        <v>NY</v>
      </c>
      <c r="C88" s="27" t="str">
        <f>Sites[[#This Row],[SOL'#]]</f>
        <v>SOL-11006</v>
      </c>
      <c r="D88" s="9">
        <v>344742</v>
      </c>
      <c r="E88" s="14" t="s">
        <v>661</v>
      </c>
      <c r="F88" s="14" t="str">
        <f t="shared" si="4"/>
        <v/>
      </c>
      <c r="G88" s="15" t="str">
        <f t="shared" si="7"/>
        <v/>
      </c>
      <c r="H88" s="16">
        <v>353655.16</v>
      </c>
      <c r="I88" s="16">
        <f t="shared" si="5"/>
        <v>-8913.1599999999744</v>
      </c>
      <c r="J88" s="15">
        <f t="shared" si="6"/>
        <v>-2.5202968903380273E-2</v>
      </c>
      <c r="K88" s="38"/>
      <c r="L88" s="39"/>
      <c r="M88" s="103"/>
      <c r="N88" s="103"/>
      <c r="O88" s="103"/>
      <c r="P88" s="103"/>
      <c r="Q88" s="103"/>
      <c r="R88" s="103"/>
      <c r="S88" s="103"/>
      <c r="T88" s="103"/>
    </row>
    <row r="89" spans="1:20" ht="15.6">
      <c r="A89" s="24" t="str">
        <v>Yellow Mills 2</v>
      </c>
      <c r="B89" s="25" t="str">
        <v>NY</v>
      </c>
      <c r="C89" s="25" t="str">
        <f>Sites[[#This Row],[SOL'#]]</f>
        <v>SOL-11005</v>
      </c>
      <c r="D89" s="20">
        <v>340313</v>
      </c>
      <c r="E89" s="10" t="s">
        <v>661</v>
      </c>
      <c r="F89" s="10" t="str">
        <f t="shared" si="4"/>
        <v/>
      </c>
      <c r="G89" s="11" t="str">
        <f t="shared" si="7"/>
        <v/>
      </c>
      <c r="H89" s="12">
        <v>363985.19</v>
      </c>
      <c r="I89" s="12">
        <f t="shared" si="5"/>
        <v>-23672.190000000002</v>
      </c>
      <c r="J89" s="64">
        <f t="shared" si="6"/>
        <v>-6.5036135124069208E-2</v>
      </c>
      <c r="K89" s="37"/>
      <c r="L89" s="37"/>
      <c r="M89" s="117"/>
      <c r="N89" s="103"/>
      <c r="O89" s="103"/>
      <c r="P89" s="103"/>
      <c r="Q89" s="103"/>
      <c r="R89" s="103"/>
      <c r="S89" s="103"/>
      <c r="T89" s="103"/>
    </row>
    <row r="90" spans="1:20" ht="15.6">
      <c r="A90" s="26" t="str">
        <v>Yellow Mills 3</v>
      </c>
      <c r="B90" s="27" t="str">
        <v>NY</v>
      </c>
      <c r="C90" s="27" t="str">
        <f>Sites[[#This Row],[SOL'#]]</f>
        <v>SOL-11007</v>
      </c>
      <c r="D90" s="9">
        <v>335936</v>
      </c>
      <c r="E90" s="14" t="s">
        <v>661</v>
      </c>
      <c r="F90" s="14" t="str">
        <f t="shared" si="4"/>
        <v/>
      </c>
      <c r="G90" s="15" t="str">
        <f t="shared" si="7"/>
        <v/>
      </c>
      <c r="H90" s="16">
        <v>348598.8</v>
      </c>
      <c r="I90" s="16">
        <f t="shared" si="5"/>
        <v>-12662.799999999988</v>
      </c>
      <c r="J90" s="15">
        <f t="shared" si="6"/>
        <v>-3.6324852523875552E-2</v>
      </c>
      <c r="K90" s="38"/>
      <c r="L90" s="39"/>
      <c r="M90" s="103"/>
      <c r="N90" s="103"/>
      <c r="O90" s="103"/>
      <c r="P90" s="103"/>
      <c r="Q90" s="103"/>
      <c r="R90" s="103"/>
      <c r="S90" s="103"/>
      <c r="T90" s="103"/>
    </row>
    <row r="91" spans="1:20" ht="43.15">
      <c r="A91" s="24" t="str">
        <v>Catskill</v>
      </c>
      <c r="B91" s="25" t="str">
        <v>NY</v>
      </c>
      <c r="C91" s="25" t="str">
        <f>Sites[[#This Row],[SOL'#]]</f>
        <v>SOL-11021</v>
      </c>
      <c r="D91" s="20">
        <v>600100</v>
      </c>
      <c r="E91" s="10" t="s">
        <v>661</v>
      </c>
      <c r="F91" s="10" t="str">
        <f t="shared" si="4"/>
        <v/>
      </c>
      <c r="G91" s="11" t="str">
        <f t="shared" si="7"/>
        <v/>
      </c>
      <c r="H91" s="12">
        <v>621136.5</v>
      </c>
      <c r="I91" s="12">
        <f t="shared" si="5"/>
        <v>-21036.5</v>
      </c>
      <c r="J91" s="64">
        <f t="shared" si="6"/>
        <v>-3.386775692621509E-2</v>
      </c>
      <c r="K91" s="37" t="s">
        <v>768</v>
      </c>
      <c r="L91" s="109" t="s">
        <v>769</v>
      </c>
      <c r="M91" s="103"/>
      <c r="N91" s="103"/>
      <c r="O91" s="103"/>
      <c r="P91" s="103"/>
      <c r="Q91" s="103"/>
      <c r="R91" s="103"/>
      <c r="S91" s="103"/>
      <c r="T91" s="103"/>
    </row>
    <row r="92" spans="1:20" ht="15.6">
      <c r="A92" s="26" t="str">
        <v>Eddy Ridge</v>
      </c>
      <c r="B92" s="27" t="str">
        <v>NY</v>
      </c>
      <c r="C92" s="27" t="str">
        <f>Sites[[#This Row],[SOL'#]]</f>
        <v>SOL-11054</v>
      </c>
      <c r="D92" s="9">
        <v>434509</v>
      </c>
      <c r="E92" s="14" t="s">
        <v>661</v>
      </c>
      <c r="F92" s="14" t="str">
        <f t="shared" si="4"/>
        <v/>
      </c>
      <c r="G92" s="15" t="str">
        <f t="shared" si="7"/>
        <v/>
      </c>
      <c r="H92" s="16">
        <v>474615</v>
      </c>
      <c r="I92" s="16">
        <f t="shared" si="5"/>
        <v>-40106</v>
      </c>
      <c r="J92" s="15">
        <f t="shared" si="6"/>
        <v>-8.450217544746795E-2</v>
      </c>
      <c r="K92" s="38"/>
      <c r="L92" s="39"/>
      <c r="M92" s="103"/>
      <c r="N92" s="103"/>
      <c r="O92" s="103"/>
      <c r="P92" s="103"/>
      <c r="Q92" s="103"/>
      <c r="R92" s="103"/>
      <c r="S92" s="103"/>
      <c r="T92" s="103"/>
    </row>
    <row r="93" spans="1:20" ht="100.9">
      <c r="A93" s="24" t="str">
        <v>Ridgeway #1</v>
      </c>
      <c r="B93" s="25" t="str">
        <v>NY</v>
      </c>
      <c r="C93" s="25" t="str">
        <f>Sites[[#This Row],[SOL'#]]</f>
        <v>SOL-11018</v>
      </c>
      <c r="D93" s="20">
        <v>902744</v>
      </c>
      <c r="E93" s="10" t="s">
        <v>661</v>
      </c>
      <c r="F93" s="10" t="str">
        <f t="shared" si="4"/>
        <v/>
      </c>
      <c r="G93" s="11" t="str">
        <f t="shared" si="7"/>
        <v/>
      </c>
      <c r="H93" s="12">
        <v>1036704.57</v>
      </c>
      <c r="I93" s="12">
        <f t="shared" si="5"/>
        <v>-133960.56999999995</v>
      </c>
      <c r="J93" s="64">
        <f t="shared" si="6"/>
        <v>-0.12921769024322904</v>
      </c>
      <c r="K93" s="37" t="s">
        <v>770</v>
      </c>
      <c r="L93" s="109" t="s">
        <v>771</v>
      </c>
      <c r="M93" s="102" t="s">
        <v>772</v>
      </c>
      <c r="N93" s="103"/>
      <c r="O93" s="103"/>
      <c r="P93" s="103"/>
      <c r="Q93" s="103"/>
      <c r="R93" s="103"/>
      <c r="S93" s="103"/>
      <c r="T93" s="103"/>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773</v>
      </c>
      <c r="L94" s="110" t="s">
        <v>774</v>
      </c>
      <c r="M94" s="102" t="s">
        <v>775</v>
      </c>
      <c r="N94" s="102" t="s">
        <v>776</v>
      </c>
      <c r="O94" s="103"/>
      <c r="P94" s="103"/>
      <c r="Q94" s="103"/>
      <c r="R94" s="103"/>
      <c r="S94" s="103"/>
      <c r="T94" s="103"/>
    </row>
    <row r="95" spans="1:20" ht="43.1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777</v>
      </c>
      <c r="L95" s="128" t="s">
        <v>316</v>
      </c>
      <c r="M95" s="103"/>
      <c r="N95" s="103"/>
      <c r="O95" s="103"/>
      <c r="P95" s="103"/>
      <c r="Q95" s="103"/>
      <c r="R95" s="103"/>
      <c r="S95" s="103"/>
      <c r="T95" s="103"/>
    </row>
    <row r="96" spans="1:20" ht="129.75" customHeight="1">
      <c r="A96" s="24" t="str">
        <v>Ridgeway #2</v>
      </c>
      <c r="B96" s="25" t="str">
        <v>NY</v>
      </c>
      <c r="C96" s="25" t="str">
        <f>Sites[[#This Row],[SOL'#]]</f>
        <v>SOL-11027</v>
      </c>
      <c r="D96" s="20">
        <v>403955</v>
      </c>
      <c r="E96" s="10" t="s">
        <v>661</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778</v>
      </c>
      <c r="L96" s="109" t="s">
        <v>779</v>
      </c>
      <c r="M96" s="102" t="s">
        <v>780</v>
      </c>
      <c r="N96" s="102" t="s">
        <v>781</v>
      </c>
      <c r="O96" s="102" t="s">
        <v>782</v>
      </c>
      <c r="P96" s="103"/>
      <c r="Q96" s="103"/>
      <c r="R96" s="103"/>
      <c r="S96" s="103"/>
      <c r="T96" s="103"/>
    </row>
    <row r="97" spans="1:20" ht="144">
      <c r="A97" s="26" t="str">
        <v>Spencer</v>
      </c>
      <c r="B97" s="27" t="str">
        <v>NY</v>
      </c>
      <c r="C97" s="27" t="str">
        <f>Sites[[#This Row],[SOL'#]]</f>
        <v>SOL-11017</v>
      </c>
      <c r="D97" s="9">
        <v>803402</v>
      </c>
      <c r="E97" s="14" t="s">
        <v>661</v>
      </c>
      <c r="F97" s="14" t="str">
        <f t="shared" si="8"/>
        <v/>
      </c>
      <c r="G97" s="15" t="str">
        <f t="shared" si="9"/>
        <v/>
      </c>
      <c r="H97" s="16">
        <v>1003955</v>
      </c>
      <c r="I97" s="16">
        <f t="shared" si="10"/>
        <v>-200553</v>
      </c>
      <c r="J97" s="15">
        <f t="shared" si="11"/>
        <v>-0.19976293758186373</v>
      </c>
      <c r="K97" s="38" t="s">
        <v>783</v>
      </c>
      <c r="L97" s="110" t="s">
        <v>784</v>
      </c>
      <c r="M97" s="102" t="s">
        <v>785</v>
      </c>
      <c r="N97" s="102" t="s">
        <v>786</v>
      </c>
      <c r="O97" s="102" t="s">
        <v>787</v>
      </c>
      <c r="P97" s="103"/>
      <c r="Q97" s="103"/>
      <c r="R97" s="103"/>
      <c r="S97" s="103"/>
      <c r="T97" s="103"/>
    </row>
    <row r="98" spans="1:20" ht="28.9">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788</v>
      </c>
      <c r="L98" s="109" t="s">
        <v>789</v>
      </c>
      <c r="M98" s="103"/>
      <c r="N98" s="103"/>
      <c r="O98" s="103"/>
      <c r="P98" s="103"/>
      <c r="Q98" s="103"/>
      <c r="R98" s="103"/>
      <c r="S98" s="103"/>
      <c r="T98" s="103"/>
    </row>
    <row r="99" spans="1:20" ht="15.6">
      <c r="A99" s="26" t="str">
        <v>Finney</v>
      </c>
      <c r="B99" s="27" t="str">
        <v>NY</v>
      </c>
      <c r="C99" s="27" t="str">
        <f>Sites[[#This Row],[SOL'#]]</f>
        <v>SOL-10999</v>
      </c>
      <c r="D99" s="66">
        <v>981210</v>
      </c>
      <c r="E99" s="14" t="s">
        <v>661</v>
      </c>
      <c r="F99" s="14" t="str">
        <f t="shared" si="8"/>
        <v/>
      </c>
      <c r="G99" s="68" t="str">
        <f t="shared" si="9"/>
        <v/>
      </c>
      <c r="H99" s="69">
        <v>1005784.59</v>
      </c>
      <c r="I99" s="69">
        <f t="shared" si="12"/>
        <v>-24574.589999999967</v>
      </c>
      <c r="J99" s="68">
        <f t="shared" si="13"/>
        <v>-2.4433253645295926E-2</v>
      </c>
      <c r="K99" s="38"/>
      <c r="L99" s="17"/>
      <c r="M99" s="103"/>
      <c r="N99" s="103"/>
      <c r="O99" s="103"/>
      <c r="P99" s="103"/>
      <c r="Q99" s="103"/>
      <c r="R99" s="103"/>
      <c r="S99" s="103"/>
      <c r="T99" s="103"/>
    </row>
    <row r="100" spans="1:20" ht="28.9">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790</v>
      </c>
      <c r="L100" s="109" t="s">
        <v>791</v>
      </c>
      <c r="M100" s="103"/>
      <c r="N100" s="103"/>
      <c r="O100" s="103"/>
      <c r="P100" s="103"/>
      <c r="Q100" s="103"/>
      <c r="R100" s="103"/>
      <c r="S100" s="103"/>
      <c r="T100" s="103"/>
    </row>
    <row r="101" spans="1:20" ht="144">
      <c r="A101" s="26" t="str">
        <v>Genesee</v>
      </c>
      <c r="B101" s="27" t="str">
        <v>NY</v>
      </c>
      <c r="C101" s="27" t="str">
        <f>Sites[[#This Row],[SOL'#]]</f>
        <v>SOL-10951</v>
      </c>
      <c r="D101" s="66">
        <v>353751</v>
      </c>
      <c r="E101" s="14" t="s">
        <v>661</v>
      </c>
      <c r="F101" s="14" t="str">
        <f t="shared" si="8"/>
        <v/>
      </c>
      <c r="G101" s="68" t="str">
        <f t="shared" si="9"/>
        <v/>
      </c>
      <c r="H101" s="69">
        <v>766542.12</v>
      </c>
      <c r="I101" s="69">
        <f t="shared" si="12"/>
        <v>-412791.12</v>
      </c>
      <c r="J101" s="68">
        <f t="shared" si="13"/>
        <v>-0.53851068223100385</v>
      </c>
      <c r="K101" s="38" t="s">
        <v>792</v>
      </c>
      <c r="L101" s="121" t="s">
        <v>793</v>
      </c>
      <c r="M101" s="102" t="s">
        <v>794</v>
      </c>
      <c r="N101" s="102" t="s">
        <v>795</v>
      </c>
      <c r="O101" s="102" t="s">
        <v>796</v>
      </c>
      <c r="P101" s="103"/>
      <c r="Q101" s="103"/>
      <c r="R101" s="103"/>
      <c r="S101" s="103"/>
      <c r="T101" s="103"/>
    </row>
    <row r="102" spans="1:20" ht="15.6">
      <c r="A102" s="24" t="str">
        <v>Landau I</v>
      </c>
      <c r="B102" s="25" t="str">
        <v>NY</v>
      </c>
      <c r="C102" s="25" t="str">
        <f>Sites[[#This Row],[SOL'#]]</f>
        <v>SOL-10891</v>
      </c>
      <c r="D102" s="54">
        <v>338540</v>
      </c>
      <c r="E102" s="10" t="s">
        <v>661</v>
      </c>
      <c r="F102" s="10" t="str">
        <f t="shared" si="8"/>
        <v/>
      </c>
      <c r="G102" s="55" t="str">
        <f t="shared" si="9"/>
        <v/>
      </c>
      <c r="H102" s="67">
        <v>368283.57</v>
      </c>
      <c r="I102" s="67">
        <f t="shared" si="12"/>
        <v>-29743.570000000007</v>
      </c>
      <c r="J102" s="64">
        <f t="shared" si="13"/>
        <v>-8.0762685123314096E-2</v>
      </c>
      <c r="K102" s="56"/>
      <c r="L102" s="37"/>
      <c r="M102" s="103"/>
      <c r="N102" s="103"/>
      <c r="O102" s="103"/>
      <c r="P102" s="103"/>
      <c r="Q102" s="103"/>
      <c r="R102" s="103"/>
      <c r="S102" s="103"/>
      <c r="T102" s="103"/>
    </row>
    <row r="103" spans="1:20" ht="261.75" customHeight="1">
      <c r="A103" s="26" t="str">
        <v>Landau II</v>
      </c>
      <c r="B103" s="27" t="str">
        <v>NY</v>
      </c>
      <c r="C103" s="27" t="str">
        <f>Sites[[#This Row],[SOL'#]]</f>
        <v>SOL-10895</v>
      </c>
      <c r="D103" s="66">
        <v>392870</v>
      </c>
      <c r="E103" s="14" t="s">
        <v>661</v>
      </c>
      <c r="F103" s="14" t="str">
        <f t="shared" si="8"/>
        <v/>
      </c>
      <c r="G103" s="68" t="str">
        <f t="shared" si="9"/>
        <v/>
      </c>
      <c r="H103" s="69">
        <v>825724.48</v>
      </c>
      <c r="I103" s="69">
        <f t="shared" si="12"/>
        <v>-432854.48</v>
      </c>
      <c r="J103" s="68">
        <f t="shared" si="13"/>
        <v>-0.52421175644447404</v>
      </c>
      <c r="K103" s="38" t="s">
        <v>797</v>
      </c>
      <c r="L103" s="121" t="s">
        <v>798</v>
      </c>
      <c r="M103" s="102" t="s">
        <v>799</v>
      </c>
      <c r="N103" s="102" t="s">
        <v>800</v>
      </c>
      <c r="O103" s="102" t="s">
        <v>801</v>
      </c>
      <c r="P103" s="102" t="s">
        <v>802</v>
      </c>
      <c r="Q103" s="102" t="s">
        <v>803</v>
      </c>
      <c r="R103" s="103"/>
      <c r="S103" s="103"/>
      <c r="T103" s="103"/>
    </row>
    <row r="104" spans="1:20" ht="15.6">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3"/>
      <c r="N104" s="103"/>
      <c r="O104" s="103"/>
      <c r="P104" s="103"/>
      <c r="Q104" s="103"/>
      <c r="R104" s="103"/>
      <c r="S104" s="103"/>
      <c r="T104" s="103"/>
    </row>
    <row r="105" spans="1:20" ht="15.6">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3"/>
      <c r="N105" s="103"/>
      <c r="O105" s="103"/>
      <c r="P105" s="103"/>
      <c r="Q105" s="103"/>
      <c r="R105" s="103"/>
      <c r="S105" s="103"/>
      <c r="T105" s="103"/>
    </row>
    <row r="106" spans="1:20" ht="28.9">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540</v>
      </c>
      <c r="L106" s="109" t="s">
        <v>804</v>
      </c>
      <c r="M106" s="102" t="s">
        <v>542</v>
      </c>
      <c r="N106" s="103"/>
      <c r="O106" s="103"/>
      <c r="P106" s="103"/>
      <c r="Q106" s="103"/>
      <c r="R106" s="103"/>
      <c r="S106" s="103"/>
      <c r="T106" s="103"/>
    </row>
    <row r="107" spans="1:20" ht="100.9">
      <c r="A107" s="26" t="str">
        <v>Svenski</v>
      </c>
      <c r="B107" s="27" t="str">
        <v>NY</v>
      </c>
      <c r="C107" s="27" t="str">
        <f>Sites[[#This Row],[SOL'#]]</f>
        <v>SOL-10894</v>
      </c>
      <c r="D107" s="66">
        <v>328257</v>
      </c>
      <c r="E107" s="14" t="s">
        <v>661</v>
      </c>
      <c r="F107" s="14" t="str">
        <f t="shared" si="8"/>
        <v/>
      </c>
      <c r="G107" s="68" t="str">
        <f t="shared" si="9"/>
        <v/>
      </c>
      <c r="H107" s="69">
        <v>401358.09</v>
      </c>
      <c r="I107" s="69">
        <f t="shared" si="12"/>
        <v>-73101.090000000026</v>
      </c>
      <c r="J107" s="68">
        <f t="shared" si="13"/>
        <v>-0.18213433794245937</v>
      </c>
      <c r="K107" s="38" t="s">
        <v>805</v>
      </c>
      <c r="L107" s="121" t="s">
        <v>806</v>
      </c>
      <c r="M107" s="102" t="s">
        <v>807</v>
      </c>
      <c r="N107" s="102" t="s">
        <v>808</v>
      </c>
      <c r="O107" s="103"/>
      <c r="P107" s="103"/>
      <c r="Q107" s="103"/>
      <c r="R107" s="103"/>
      <c r="S107" s="103"/>
      <c r="T107" s="103"/>
    </row>
    <row r="108" spans="1:20" ht="101.1" customHeight="1">
      <c r="A108" s="24" t="str">
        <v>Bantam</v>
      </c>
      <c r="B108" s="25" t="str">
        <v>NY</v>
      </c>
      <c r="C108" s="25" t="str">
        <f>Sites[[#This Row],[SOL'#]]</f>
        <v>SOL-10986</v>
      </c>
      <c r="D108" s="54">
        <v>47670</v>
      </c>
      <c r="E108" s="10" t="s">
        <v>661</v>
      </c>
      <c r="F108" s="10" t="str">
        <f t="shared" si="8"/>
        <v/>
      </c>
      <c r="G108" s="55" t="str">
        <f t="shared" si="9"/>
        <v/>
      </c>
      <c r="H108" s="67">
        <v>981035.1</v>
      </c>
      <c r="I108" s="67">
        <f t="shared" si="12"/>
        <v>-933365.1</v>
      </c>
      <c r="J108" s="64">
        <f t="shared" si="13"/>
        <v>-0.95140846642490162</v>
      </c>
      <c r="K108" s="56" t="s">
        <v>809</v>
      </c>
      <c r="L108" s="109" t="s">
        <v>810</v>
      </c>
      <c r="M108" s="102" t="s">
        <v>811</v>
      </c>
      <c r="N108" s="102" t="s">
        <v>812</v>
      </c>
      <c r="O108" s="102" t="s">
        <v>813</v>
      </c>
      <c r="P108" s="103"/>
      <c r="Q108" s="103"/>
      <c r="R108" s="103"/>
      <c r="S108" s="103"/>
      <c r="T108" s="103"/>
    </row>
    <row r="109" spans="1:20" ht="28.9">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548</v>
      </c>
      <c r="L109" s="114" t="s">
        <v>159</v>
      </c>
      <c r="M109" s="103"/>
      <c r="N109" s="103"/>
      <c r="O109" s="103"/>
      <c r="P109" s="103"/>
      <c r="Q109" s="103"/>
      <c r="R109" s="103"/>
      <c r="S109" s="103"/>
      <c r="T109" s="103"/>
    </row>
    <row r="110" spans="1:20" ht="48.75" customHeight="1">
      <c r="A110" s="24" t="str">
        <v>Dubois</v>
      </c>
      <c r="B110" s="25" t="str">
        <v>NY</v>
      </c>
      <c r="C110" s="25" t="str">
        <f>Sites[[#This Row],[SOL'#]]</f>
        <v>SOL-10892</v>
      </c>
      <c r="D110" s="54">
        <v>330690</v>
      </c>
      <c r="E110" s="10" t="s">
        <v>661</v>
      </c>
      <c r="F110" s="10" t="str">
        <f t="shared" si="8"/>
        <v/>
      </c>
      <c r="G110" s="55" t="str">
        <f t="shared" si="9"/>
        <v/>
      </c>
      <c r="H110" s="67"/>
      <c r="I110" s="67" t="str">
        <f t="shared" si="12"/>
        <v/>
      </c>
      <c r="J110" s="64" t="str">
        <f t="shared" si="13"/>
        <v/>
      </c>
      <c r="K110" s="56" t="s">
        <v>814</v>
      </c>
      <c r="L110" s="109" t="s">
        <v>815</v>
      </c>
      <c r="M110" s="103"/>
      <c r="N110" s="103"/>
      <c r="O110" s="103"/>
      <c r="P110" s="103"/>
      <c r="Q110" s="103"/>
      <c r="R110" s="103"/>
      <c r="S110" s="103"/>
      <c r="T110" s="103"/>
    </row>
    <row r="111" spans="1:20" ht="84" customHeight="1">
      <c r="A111" s="26" t="str">
        <v>Salt Point</v>
      </c>
      <c r="B111" s="27" t="str">
        <v>NY</v>
      </c>
      <c r="C111" s="27" t="str">
        <f>Sites[[#This Row],[SOL'#]]</f>
        <v>SOL-10888</v>
      </c>
      <c r="D111" s="66">
        <v>331500</v>
      </c>
      <c r="E111" s="14" t="s">
        <v>661</v>
      </c>
      <c r="F111" s="14" t="str">
        <f t="shared" si="8"/>
        <v/>
      </c>
      <c r="G111" s="68" t="str">
        <f t="shared" si="9"/>
        <v/>
      </c>
      <c r="H111" s="69">
        <v>419761.74</v>
      </c>
      <c r="I111" s="69">
        <f t="shared" si="12"/>
        <v>-88261.739999999991</v>
      </c>
      <c r="J111" s="68">
        <f t="shared" si="13"/>
        <v>-0.21026628105743986</v>
      </c>
      <c r="K111" s="186" t="s">
        <v>550</v>
      </c>
      <c r="L111" s="114" t="s">
        <v>816</v>
      </c>
      <c r="M111" s="103"/>
      <c r="N111" s="103"/>
      <c r="O111" s="103"/>
      <c r="P111" s="103"/>
      <c r="Q111" s="103"/>
      <c r="R111" s="103"/>
      <c r="S111" s="103"/>
      <c r="T111" s="103"/>
    </row>
    <row r="112" spans="1:20" ht="198" customHeight="1">
      <c r="A112" s="24" t="str">
        <v>Wheatland 2A</v>
      </c>
      <c r="B112" s="25" t="str">
        <v>NY</v>
      </c>
      <c r="C112" s="25" t="str">
        <f>Sites[[#This Row],[SOL'#]]</f>
        <v>SOL-10971</v>
      </c>
      <c r="D112" s="54">
        <v>778710</v>
      </c>
      <c r="E112" s="10" t="s">
        <v>661</v>
      </c>
      <c r="F112" s="10" t="str">
        <f t="shared" si="8"/>
        <v/>
      </c>
      <c r="G112" s="55" t="str">
        <f t="shared" si="9"/>
        <v/>
      </c>
      <c r="H112" s="67">
        <v>839262.6</v>
      </c>
      <c r="I112" s="67">
        <f t="shared" si="12"/>
        <v>-60552.599999999977</v>
      </c>
      <c r="J112" s="64">
        <f t="shared" si="13"/>
        <v>-7.2149765758655254E-2</v>
      </c>
      <c r="K112" s="56" t="s">
        <v>817</v>
      </c>
      <c r="L112" s="109" t="s">
        <v>818</v>
      </c>
      <c r="M112" s="102" t="s">
        <v>819</v>
      </c>
      <c r="N112" s="102" t="s">
        <v>820</v>
      </c>
      <c r="O112" s="103"/>
      <c r="P112" s="103"/>
      <c r="Q112" s="103"/>
      <c r="R112" s="103"/>
      <c r="S112" s="103"/>
      <c r="T112" s="103"/>
    </row>
    <row r="113" spans="1:20" ht="89.25" customHeight="1">
      <c r="A113" s="26" t="str">
        <v>Wheatland 2B</v>
      </c>
      <c r="B113" s="27" t="str">
        <v>NY</v>
      </c>
      <c r="C113" s="27" t="str">
        <f>Sites[[#This Row],[SOL'#]]</f>
        <v>SOL-10961</v>
      </c>
      <c r="D113" s="66">
        <v>784270</v>
      </c>
      <c r="E113" s="14" t="s">
        <v>661</v>
      </c>
      <c r="F113" s="14" t="str">
        <f t="shared" si="8"/>
        <v/>
      </c>
      <c r="G113" s="68" t="str">
        <f t="shared" si="9"/>
        <v/>
      </c>
      <c r="H113" s="69">
        <v>833219.63</v>
      </c>
      <c r="I113" s="69">
        <f t="shared" si="12"/>
        <v>-48949.630000000005</v>
      </c>
      <c r="J113" s="68">
        <f t="shared" si="13"/>
        <v>-5.8747571753680367E-2</v>
      </c>
      <c r="K113" s="50" t="s">
        <v>821</v>
      </c>
      <c r="L113" s="121" t="s">
        <v>822</v>
      </c>
      <c r="M113" s="102" t="s">
        <v>823</v>
      </c>
      <c r="N113" s="103"/>
      <c r="O113" s="103"/>
      <c r="P113" s="103"/>
      <c r="Q113" s="103"/>
      <c r="R113" s="103"/>
      <c r="S113" s="103"/>
      <c r="T113" s="103"/>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824</v>
      </c>
      <c r="L114" s="109" t="s">
        <v>825</v>
      </c>
      <c r="M114" s="102" t="s">
        <v>343</v>
      </c>
      <c r="N114" s="102" t="s">
        <v>826</v>
      </c>
      <c r="O114" s="103"/>
      <c r="P114" s="103"/>
      <c r="Q114" s="103"/>
      <c r="R114" s="103"/>
      <c r="S114" s="103"/>
      <c r="T114" s="103"/>
    </row>
    <row r="115" spans="1:20" ht="15.6">
      <c r="A115" s="26" t="str">
        <v>McCarthy Solar</v>
      </c>
      <c r="B115" s="27" t="str">
        <v>NY</v>
      </c>
      <c r="C115" s="27" t="str">
        <f>Sites[[#This Row],[SOL'#]]</f>
        <v>SOL-10992</v>
      </c>
      <c r="D115" s="66">
        <v>342590</v>
      </c>
      <c r="E115" s="14" t="s">
        <v>661</v>
      </c>
      <c r="F115" s="14" t="str">
        <f t="shared" si="8"/>
        <v/>
      </c>
      <c r="G115" s="68" t="str">
        <f t="shared" si="9"/>
        <v/>
      </c>
      <c r="H115" s="69">
        <v>359833.18</v>
      </c>
      <c r="I115" s="69">
        <f t="shared" si="12"/>
        <v>-17243.179999999993</v>
      </c>
      <c r="J115" s="68">
        <f t="shared" si="13"/>
        <v>-4.7919927784313809E-2</v>
      </c>
      <c r="K115" s="38"/>
      <c r="L115" s="17"/>
      <c r="M115" s="103"/>
      <c r="N115" s="103"/>
      <c r="O115" s="103"/>
      <c r="P115" s="103"/>
      <c r="Q115" s="103"/>
      <c r="R115" s="103"/>
      <c r="S115" s="103"/>
      <c r="T115" s="103"/>
    </row>
    <row r="116" spans="1:20" ht="57.6">
      <c r="A116" s="24" t="str">
        <v>Costanza</v>
      </c>
      <c r="B116" s="25" t="str">
        <v>NY</v>
      </c>
      <c r="C116" s="25" t="str">
        <f>Sites[[#This Row],[SOL'#]]</f>
        <v>SOL-10907</v>
      </c>
      <c r="D116" s="54">
        <v>360380</v>
      </c>
      <c r="E116" s="10" t="s">
        <v>661</v>
      </c>
      <c r="F116" s="10" t="str">
        <f t="shared" si="8"/>
        <v/>
      </c>
      <c r="G116" s="55" t="str">
        <f t="shared" si="9"/>
        <v/>
      </c>
      <c r="H116" s="67">
        <v>375749.63</v>
      </c>
      <c r="I116" s="67">
        <f t="shared" si="12"/>
        <v>-15369.630000000005</v>
      </c>
      <c r="J116" s="64">
        <f t="shared" si="13"/>
        <v>-4.0903912533460124E-2</v>
      </c>
      <c r="K116" s="56" t="s">
        <v>827</v>
      </c>
      <c r="L116" s="109" t="s">
        <v>828</v>
      </c>
      <c r="M116" s="102" t="s">
        <v>829</v>
      </c>
      <c r="N116" s="103"/>
      <c r="O116" s="103"/>
      <c r="P116" s="103"/>
      <c r="Q116" s="103"/>
      <c r="R116" s="103"/>
      <c r="S116" s="103"/>
      <c r="T116" s="103"/>
    </row>
    <row r="117" spans="1:20" ht="15.6">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3"/>
      <c r="N117" s="103"/>
      <c r="O117" s="103"/>
      <c r="P117" s="103"/>
      <c r="Q117" s="103"/>
      <c r="R117" s="103"/>
      <c r="S117" s="103"/>
      <c r="T117" s="103"/>
    </row>
    <row r="118" spans="1:20" ht="15.6">
      <c r="A118" s="24" t="str">
        <v>Drinkwater</v>
      </c>
      <c r="B118" s="25" t="str">
        <v>NY</v>
      </c>
      <c r="C118" s="25" t="str">
        <f>Sites[[#This Row],[SOL'#]]</f>
        <v>SOL-10896</v>
      </c>
      <c r="D118" s="54">
        <v>347150</v>
      </c>
      <c r="E118" s="10" t="s">
        <v>661</v>
      </c>
      <c r="F118" s="10" t="str">
        <f t="shared" si="8"/>
        <v/>
      </c>
      <c r="G118" s="55" t="str">
        <f t="shared" si="9"/>
        <v/>
      </c>
      <c r="H118" s="67">
        <v>359295.77</v>
      </c>
      <c r="I118" s="67">
        <f t="shared" si="12"/>
        <v>-12145.770000000019</v>
      </c>
      <c r="J118" s="64">
        <f t="shared" si="13"/>
        <v>-3.3804377936316972E-2</v>
      </c>
      <c r="K118" s="56"/>
      <c r="L118" s="37"/>
      <c r="M118" s="103"/>
      <c r="N118" s="103"/>
      <c r="O118" s="103"/>
      <c r="P118" s="103"/>
      <c r="Q118" s="103"/>
      <c r="R118" s="103"/>
      <c r="S118" s="103"/>
      <c r="T118" s="103"/>
    </row>
    <row r="119" spans="1:20" ht="28.9">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830</v>
      </c>
      <c r="L119" s="114" t="s">
        <v>831</v>
      </c>
      <c r="M119" s="103"/>
      <c r="N119" s="103"/>
      <c r="O119" s="103"/>
      <c r="P119" s="103"/>
      <c r="Q119" s="103"/>
      <c r="R119" s="103"/>
      <c r="S119" s="103"/>
      <c r="T119" s="103"/>
    </row>
    <row r="120" spans="1:20" ht="15.6">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3"/>
      <c r="N120" s="103"/>
      <c r="O120" s="103"/>
      <c r="P120" s="103"/>
      <c r="Q120" s="103"/>
      <c r="R120" s="103"/>
      <c r="S120" s="103"/>
      <c r="T120" s="103"/>
    </row>
    <row r="121" spans="1:20" ht="15.6">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3"/>
      <c r="N121" s="103"/>
      <c r="O121" s="103"/>
      <c r="P121" s="103"/>
      <c r="Q121" s="103"/>
      <c r="R121" s="103"/>
      <c r="S121" s="103"/>
      <c r="T121" s="103"/>
    </row>
    <row r="122" spans="1:20" ht="15.6">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3"/>
      <c r="N122" s="103"/>
      <c r="O122" s="103"/>
      <c r="P122" s="103"/>
      <c r="Q122" s="103"/>
      <c r="R122" s="103"/>
      <c r="S122" s="103"/>
      <c r="T122" s="103"/>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2" t="s">
        <v>832</v>
      </c>
      <c r="L123" s="121" t="s">
        <v>833</v>
      </c>
      <c r="M123" s="102" t="s">
        <v>355</v>
      </c>
      <c r="N123" s="102" t="s">
        <v>834</v>
      </c>
      <c r="O123" s="102" t="s">
        <v>835</v>
      </c>
      <c r="P123" s="103"/>
      <c r="Q123" s="103"/>
      <c r="R123" s="103"/>
      <c r="S123" s="103"/>
      <c r="T123" s="103"/>
    </row>
    <row r="124" spans="1:20" ht="15.6">
      <c r="A124" s="24" t="str">
        <v>X095</v>
      </c>
      <c r="B124" s="25" t="str">
        <v>NY</v>
      </c>
      <c r="C124" s="25" t="str">
        <f>Sites[[#This Row],[SOL'#]]</f>
        <v>SOL-10929</v>
      </c>
      <c r="D124" s="54">
        <v>17585.31640625</v>
      </c>
      <c r="E124" s="10" t="s">
        <v>661</v>
      </c>
      <c r="F124" s="10" t="str">
        <f t="shared" si="8"/>
        <v/>
      </c>
      <c r="G124" s="55" t="str">
        <f t="shared" si="9"/>
        <v/>
      </c>
      <c r="H124" s="67">
        <v>18495</v>
      </c>
      <c r="I124" s="67">
        <f t="shared" si="12"/>
        <v>-909.68359375</v>
      </c>
      <c r="J124" s="64">
        <f t="shared" si="13"/>
        <v>-4.9185379494457962E-2</v>
      </c>
      <c r="K124" s="56"/>
      <c r="L124" s="37"/>
      <c r="M124" s="103"/>
      <c r="N124" s="103"/>
      <c r="O124" s="103"/>
      <c r="P124" s="103"/>
      <c r="Q124" s="103"/>
      <c r="R124" s="103"/>
      <c r="S124" s="103"/>
      <c r="T124" s="103"/>
    </row>
    <row r="125" spans="1:20" ht="15.6">
      <c r="A125" s="26" t="str">
        <v>X181</v>
      </c>
      <c r="B125" s="27" t="str">
        <v>NY</v>
      </c>
      <c r="C125" s="27" t="str">
        <f>Sites[[#This Row],[SOL'#]]</f>
        <v>SOL-10428</v>
      </c>
      <c r="D125" s="66">
        <v>32407.290390624999</v>
      </c>
      <c r="E125" s="14" t="s">
        <v>661</v>
      </c>
      <c r="F125" s="14" t="str">
        <f t="shared" si="8"/>
        <v/>
      </c>
      <c r="G125" s="68" t="str">
        <f t="shared" si="9"/>
        <v/>
      </c>
      <c r="H125" s="69">
        <v>33412</v>
      </c>
      <c r="I125" s="69">
        <f t="shared" si="12"/>
        <v>-1004.7096093750006</v>
      </c>
      <c r="J125" s="68">
        <f t="shared" si="13"/>
        <v>-3.0070322320573464E-2</v>
      </c>
      <c r="K125" s="38"/>
      <c r="L125" s="17"/>
      <c r="M125" s="103"/>
      <c r="N125" s="103"/>
      <c r="O125" s="103"/>
      <c r="P125" s="103"/>
      <c r="Q125" s="103"/>
      <c r="R125" s="103"/>
      <c r="S125" s="103"/>
      <c r="T125" s="103"/>
    </row>
    <row r="126" spans="1:20" ht="15.6">
      <c r="A126" s="24" t="str">
        <v>X415</v>
      </c>
      <c r="B126" s="25" t="str">
        <v>NY</v>
      </c>
      <c r="C126" s="25" t="str">
        <f>Sites[[#This Row],[SOL'#]]</f>
        <v>SOL-10429</v>
      </c>
      <c r="D126" s="54">
        <v>20488.828125</v>
      </c>
      <c r="E126" s="10" t="s">
        <v>661</v>
      </c>
      <c r="F126" s="10" t="str">
        <f t="shared" si="8"/>
        <v/>
      </c>
      <c r="G126" s="55" t="str">
        <f t="shared" si="9"/>
        <v/>
      </c>
      <c r="H126" s="67">
        <v>19306</v>
      </c>
      <c r="I126" s="67">
        <f t="shared" si="12"/>
        <v>1182.828125</v>
      </c>
      <c r="J126" s="64">
        <f t="shared" si="13"/>
        <v>6.1267384491867811E-2</v>
      </c>
      <c r="K126" s="56"/>
      <c r="L126" s="37"/>
      <c r="M126" s="103"/>
      <c r="N126" s="103"/>
      <c r="O126" s="103"/>
      <c r="P126" s="103"/>
      <c r="Q126" s="103"/>
      <c r="R126" s="103"/>
      <c r="S126" s="103"/>
      <c r="T126" s="103"/>
    </row>
    <row r="127" spans="1:20" ht="15.6">
      <c r="A127" s="26" t="str">
        <v>K198</v>
      </c>
      <c r="B127" s="27" t="str">
        <v>NY</v>
      </c>
      <c r="C127" s="27" t="str">
        <f>Sites[[#This Row],[SOL'#]]</f>
        <v>SOL-10930</v>
      </c>
      <c r="D127" s="66">
        <v>14934.17578125</v>
      </c>
      <c r="E127" s="14" t="s">
        <v>661</v>
      </c>
      <c r="F127" s="14" t="str">
        <f t="shared" si="8"/>
        <v/>
      </c>
      <c r="G127" s="68" t="str">
        <f t="shared" si="9"/>
        <v/>
      </c>
      <c r="H127" s="69">
        <v>15025</v>
      </c>
      <c r="I127" s="69">
        <f t="shared" si="12"/>
        <v>-90.82421875</v>
      </c>
      <c r="J127" s="68">
        <f t="shared" si="13"/>
        <v>-6.0448731281198004E-3</v>
      </c>
      <c r="K127" s="38"/>
      <c r="L127" s="17"/>
      <c r="M127" s="103"/>
      <c r="N127" s="103"/>
      <c r="O127" s="103"/>
      <c r="P127" s="103"/>
      <c r="Q127" s="103"/>
      <c r="R127" s="103"/>
      <c r="S127" s="103"/>
      <c r="T127" s="103"/>
    </row>
    <row r="128" spans="1:20" ht="15.6">
      <c r="A128" s="24" t="str">
        <v>K203</v>
      </c>
      <c r="B128" s="25" t="str">
        <v>NY</v>
      </c>
      <c r="C128" s="25" t="str">
        <f>Sites[[#This Row],[SOL'#]]</f>
        <v>SOL-11190</v>
      </c>
      <c r="D128" s="54">
        <v>18670.099999999999</v>
      </c>
      <c r="E128" s="10">
        <v>17017.400000000001</v>
      </c>
      <c r="F128" s="10">
        <f t="shared" ref="F128:F157" si="14">IF(AND(ISNUMBER(D128),ISNUMBER(E128)), D128-E128, "")</f>
        <v>1652.6999999999971</v>
      </c>
      <c r="G128" s="55">
        <f t="shared" ref="G128:G157" si="15">IFERROR(F128/E128, "")</f>
        <v>9.711824367999794E-2</v>
      </c>
      <c r="H128" s="67">
        <v>20769</v>
      </c>
      <c r="I128" s="67">
        <f t="shared" si="12"/>
        <v>-2098.9000000000015</v>
      </c>
      <c r="J128" s="64">
        <f t="shared" si="13"/>
        <v>-0.10105927102893743</v>
      </c>
      <c r="K128" s="56" t="s">
        <v>836</v>
      </c>
      <c r="L128" s="109" t="s">
        <v>579</v>
      </c>
      <c r="M128" s="103"/>
      <c r="N128" s="103"/>
      <c r="O128" s="103"/>
      <c r="P128" s="103"/>
      <c r="Q128" s="103"/>
      <c r="R128" s="103"/>
      <c r="S128" s="103"/>
      <c r="T128" s="103"/>
    </row>
    <row r="129" spans="1:20" ht="57.6">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837</v>
      </c>
      <c r="L129" s="114" t="s">
        <v>838</v>
      </c>
      <c r="M129" s="103"/>
      <c r="N129" s="103"/>
      <c r="O129" s="103"/>
      <c r="P129" s="103"/>
      <c r="Q129" s="103"/>
      <c r="R129" s="103"/>
      <c r="S129" s="103"/>
      <c r="T129" s="103"/>
    </row>
    <row r="130" spans="1:20" ht="15.6">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7" si="16">IF(AND(ISNUMBER(D130),ISNUMBER(H130)), D130-H130, "")</f>
        <v>-196.3515625</v>
      </c>
      <c r="J130" s="64">
        <f t="shared" ref="J130:J157" si="17">IFERROR(I130/H130, "")</f>
        <v>-1.6849872350467691E-2</v>
      </c>
      <c r="K130" s="56"/>
      <c r="L130" s="37"/>
      <c r="M130" s="103"/>
      <c r="N130" s="103"/>
      <c r="O130" s="103"/>
      <c r="P130" s="103"/>
      <c r="Q130" s="103"/>
      <c r="R130" s="103"/>
      <c r="S130" s="103"/>
      <c r="T130" s="103"/>
    </row>
    <row r="131" spans="1:20" ht="15.6">
      <c r="A131" s="26" t="str">
        <v>K307</v>
      </c>
      <c r="B131" s="27" t="str">
        <v>NY</v>
      </c>
      <c r="C131" s="27" t="str">
        <f>Sites[[#This Row],[SOL'#]]</f>
        <v>SOL-10876</v>
      </c>
      <c r="D131" s="66">
        <v>23795.59375</v>
      </c>
      <c r="E131" s="14" t="s">
        <v>661</v>
      </c>
      <c r="F131" s="14" t="str">
        <f t="shared" si="14"/>
        <v/>
      </c>
      <c r="G131" s="68" t="str">
        <f t="shared" si="15"/>
        <v/>
      </c>
      <c r="H131" s="69">
        <v>24665</v>
      </c>
      <c r="I131" s="69">
        <f t="shared" si="16"/>
        <v>-869.40625</v>
      </c>
      <c r="J131" s="68">
        <f t="shared" si="17"/>
        <v>-3.52485809852017E-2</v>
      </c>
      <c r="K131" s="38"/>
      <c r="L131" s="17"/>
      <c r="M131" s="103"/>
      <c r="N131" s="103"/>
      <c r="O131" s="103"/>
      <c r="P131" s="103"/>
      <c r="Q131" s="103"/>
      <c r="R131" s="103"/>
      <c r="S131" s="103"/>
      <c r="T131" s="103"/>
    </row>
    <row r="132" spans="1:20" ht="15.6">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3"/>
      <c r="N132" s="103"/>
      <c r="O132" s="103"/>
      <c r="P132" s="103"/>
      <c r="Q132" s="103"/>
      <c r="R132" s="103"/>
      <c r="S132" s="103"/>
      <c r="T132" s="103"/>
    </row>
    <row r="133" spans="1:20" ht="282" customHeight="1">
      <c r="A133" s="26" t="str">
        <v>M025</v>
      </c>
      <c r="B133" s="27" t="str">
        <v>NY</v>
      </c>
      <c r="C133" s="27" t="str">
        <f>Sites[[#This Row],[SOL'#]]</f>
        <v>SOL-10392</v>
      </c>
      <c r="D133" s="66">
        <v>10017.521484375</v>
      </c>
      <c r="E133" s="14" t="s">
        <v>661</v>
      </c>
      <c r="F133" s="14" t="str">
        <f t="shared" si="14"/>
        <v/>
      </c>
      <c r="G133" s="68" t="str">
        <f t="shared" si="15"/>
        <v/>
      </c>
      <c r="H133" s="69">
        <v>24960</v>
      </c>
      <c r="I133" s="69">
        <f t="shared" si="16"/>
        <v>-14942.478515625</v>
      </c>
      <c r="J133" s="68">
        <f t="shared" si="17"/>
        <v>-0.59865699181189902</v>
      </c>
      <c r="K133" s="50" t="s">
        <v>839</v>
      </c>
      <c r="L133" s="121" t="s">
        <v>840</v>
      </c>
      <c r="M133" s="102" t="s">
        <v>841</v>
      </c>
      <c r="N133" s="102" t="s">
        <v>585</v>
      </c>
      <c r="O133" s="102" t="s">
        <v>586</v>
      </c>
      <c r="P133" s="102" t="s">
        <v>841</v>
      </c>
      <c r="Q133" s="102" t="s">
        <v>842</v>
      </c>
      <c r="R133" s="102" t="s">
        <v>843</v>
      </c>
      <c r="S133" s="103"/>
      <c r="T133" s="103"/>
    </row>
    <row r="134" spans="1:20" ht="15.6">
      <c r="A134" s="24" t="str">
        <v>M028</v>
      </c>
      <c r="B134" s="25" t="str">
        <v>NY</v>
      </c>
      <c r="C134" s="25" t="str">
        <f>Sites[[#This Row],[SOL'#]]</f>
        <v>SOL-10381</v>
      </c>
      <c r="D134" s="54">
        <v>19247.710762593299</v>
      </c>
      <c r="E134" s="10" t="s">
        <v>661</v>
      </c>
      <c r="F134" s="10" t="str">
        <f t="shared" si="14"/>
        <v/>
      </c>
      <c r="G134" s="55" t="str">
        <f t="shared" si="15"/>
        <v/>
      </c>
      <c r="H134" s="67">
        <v>19348</v>
      </c>
      <c r="I134" s="67">
        <f t="shared" si="16"/>
        <v>-100.28923740670143</v>
      </c>
      <c r="J134" s="64">
        <f t="shared" si="17"/>
        <v>-5.18344208221529E-3</v>
      </c>
      <c r="K134" s="56"/>
      <c r="L134" s="37"/>
      <c r="M134" s="103"/>
      <c r="N134" s="103"/>
      <c r="O134" s="103"/>
      <c r="P134" s="103"/>
      <c r="Q134" s="103"/>
      <c r="R134" s="103"/>
      <c r="S134" s="103"/>
      <c r="T134" s="103"/>
    </row>
    <row r="135" spans="1:20" ht="15.6">
      <c r="A135" s="26" t="str">
        <v>Q030</v>
      </c>
      <c r="B135" s="27" t="str">
        <v>NY</v>
      </c>
      <c r="C135" s="27" t="str">
        <f>Sites[[#This Row],[SOL'#]]</f>
        <v>SOL-10878</v>
      </c>
      <c r="D135" s="66">
        <v>23074.4142195352</v>
      </c>
      <c r="E135" s="14" t="s">
        <v>661</v>
      </c>
      <c r="F135" s="14" t="str">
        <f t="shared" si="14"/>
        <v/>
      </c>
      <c r="G135" s="68" t="str">
        <f t="shared" si="15"/>
        <v/>
      </c>
      <c r="H135" s="69">
        <v>23554</v>
      </c>
      <c r="I135" s="69">
        <f t="shared" si="16"/>
        <v>-479.58578046480034</v>
      </c>
      <c r="J135" s="68">
        <f t="shared" si="17"/>
        <v>-2.0361118301129334E-2</v>
      </c>
      <c r="K135" s="38"/>
      <c r="L135" s="17"/>
      <c r="M135" s="103"/>
      <c r="N135" s="103"/>
      <c r="O135" s="103"/>
      <c r="P135" s="103"/>
      <c r="Q135" s="103"/>
      <c r="R135" s="103"/>
      <c r="S135" s="103"/>
      <c r="T135" s="103"/>
    </row>
    <row r="136" spans="1:20" ht="15.6">
      <c r="A136" s="24" t="str">
        <v>Q130</v>
      </c>
      <c r="B136" s="25" t="str">
        <v>NY</v>
      </c>
      <c r="C136" s="25" t="str">
        <f>Sites[[#This Row],[SOL'#]]</f>
        <v>SOL-10877</v>
      </c>
      <c r="D136" s="54">
        <v>13305.36328125</v>
      </c>
      <c r="E136" s="10" t="s">
        <v>661</v>
      </c>
      <c r="F136" s="10" t="str">
        <f t="shared" si="14"/>
        <v/>
      </c>
      <c r="G136" s="55" t="str">
        <f t="shared" si="15"/>
        <v/>
      </c>
      <c r="H136" s="67">
        <v>13284.82</v>
      </c>
      <c r="I136" s="67">
        <f t="shared" si="16"/>
        <v>20.543281250000291</v>
      </c>
      <c r="J136" s="64">
        <f t="shared" si="17"/>
        <v>1.5463725703472302E-3</v>
      </c>
      <c r="K136" s="56"/>
      <c r="L136" s="37"/>
      <c r="M136" s="103"/>
      <c r="N136" s="103"/>
      <c r="O136" s="103"/>
      <c r="P136" s="103"/>
      <c r="Q136" s="103"/>
      <c r="R136" s="103"/>
      <c r="S136" s="103"/>
      <c r="T136" s="103"/>
    </row>
    <row r="137" spans="1:20" ht="15.6">
      <c r="A137" s="26" t="str">
        <v>Q196</v>
      </c>
      <c r="B137" s="27" t="str">
        <v>NY</v>
      </c>
      <c r="C137" s="27" t="str">
        <f>Sites[[#This Row],[SOL'#]]</f>
        <v>SOL-10879</v>
      </c>
      <c r="D137" s="66">
        <v>17258.2402929688</v>
      </c>
      <c r="E137" s="14" t="s">
        <v>661</v>
      </c>
      <c r="F137" s="14" t="str">
        <f t="shared" si="14"/>
        <v/>
      </c>
      <c r="G137" s="68" t="str">
        <f t="shared" si="15"/>
        <v/>
      </c>
      <c r="H137" s="69">
        <v>17187</v>
      </c>
      <c r="I137" s="69">
        <f t="shared" si="16"/>
        <v>71.240292968799622</v>
      </c>
      <c r="J137" s="68">
        <f t="shared" si="17"/>
        <v>4.1450103548495735E-3</v>
      </c>
      <c r="K137" s="38"/>
      <c r="L137" s="17"/>
      <c r="M137" s="103"/>
      <c r="N137" s="103"/>
      <c r="O137" s="103"/>
      <c r="P137" s="103"/>
      <c r="Q137" s="103"/>
      <c r="R137" s="103"/>
      <c r="S137" s="103"/>
      <c r="T137" s="103"/>
    </row>
    <row r="138" spans="1:20" ht="28.9">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844</v>
      </c>
      <c r="L138" s="109" t="s">
        <v>845</v>
      </c>
      <c r="M138" s="103"/>
      <c r="N138" s="103"/>
      <c r="O138" s="103"/>
      <c r="P138" s="103"/>
      <c r="Q138" s="103"/>
      <c r="R138" s="103"/>
      <c r="S138" s="103"/>
      <c r="T138" s="103"/>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846</v>
      </c>
      <c r="L139" s="114" t="s">
        <v>847</v>
      </c>
      <c r="M139" s="103"/>
      <c r="N139" s="103"/>
      <c r="O139" s="103"/>
      <c r="P139" s="103"/>
      <c r="Q139" s="103"/>
      <c r="R139" s="103"/>
      <c r="S139" s="103"/>
      <c r="T139" s="103"/>
    </row>
    <row r="140" spans="1:20" ht="158.25" customHeight="1">
      <c r="A140" s="24" t="str">
        <v>Q400</v>
      </c>
      <c r="B140" s="25" t="str">
        <v>NY</v>
      </c>
      <c r="C140" s="25" t="str">
        <f>Sites[[#This Row],[SOL'#]]</f>
        <v>SOL-10871</v>
      </c>
      <c r="D140" s="54">
        <v>27707.125</v>
      </c>
      <c r="E140" s="10" t="s">
        <v>661</v>
      </c>
      <c r="F140" s="10" t="str">
        <f t="shared" si="14"/>
        <v/>
      </c>
      <c r="G140" s="55" t="str">
        <f t="shared" si="15"/>
        <v/>
      </c>
      <c r="H140" s="67">
        <v>38017</v>
      </c>
      <c r="I140" s="67">
        <f t="shared" si="16"/>
        <v>-10309.875</v>
      </c>
      <c r="J140" s="64">
        <f t="shared" si="17"/>
        <v>-0.27119117763105977</v>
      </c>
      <c r="K140" s="56" t="s">
        <v>848</v>
      </c>
      <c r="L140" s="109" t="s">
        <v>849</v>
      </c>
      <c r="M140" s="102" t="s">
        <v>595</v>
      </c>
      <c r="N140" s="102" t="s">
        <v>596</v>
      </c>
      <c r="O140" s="102" t="s">
        <v>597</v>
      </c>
      <c r="P140" s="102" t="s">
        <v>850</v>
      </c>
      <c r="Q140" s="102" t="s">
        <v>851</v>
      </c>
      <c r="R140" s="103"/>
      <c r="S140" s="103"/>
      <c r="T140" s="103"/>
    </row>
    <row r="141" spans="1:20" ht="15.6">
      <c r="A141" s="26" t="str">
        <v>R003</v>
      </c>
      <c r="B141" s="27" t="str">
        <v>NY</v>
      </c>
      <c r="C141" s="27" t="str">
        <f>Sites[[#This Row],[SOL'#]]</f>
        <v>SOL-10416</v>
      </c>
      <c r="D141" s="66">
        <v>34622.038632812502</v>
      </c>
      <c r="E141" s="14" t="s">
        <v>661</v>
      </c>
      <c r="F141" s="14" t="str">
        <f t="shared" si="14"/>
        <v/>
      </c>
      <c r="G141" s="68" t="str">
        <f t="shared" si="15"/>
        <v/>
      </c>
      <c r="H141" s="69">
        <v>35285</v>
      </c>
      <c r="I141" s="69">
        <f t="shared" si="16"/>
        <v>-662.96136718749767</v>
      </c>
      <c r="J141" s="68">
        <f t="shared" si="17"/>
        <v>-1.8788759166430427E-2</v>
      </c>
      <c r="K141" s="38"/>
      <c r="L141" s="17"/>
      <c r="M141" s="103"/>
      <c r="N141" s="103"/>
      <c r="O141" s="103"/>
      <c r="P141" s="103"/>
      <c r="Q141" s="103"/>
      <c r="R141" s="103"/>
      <c r="S141" s="103"/>
      <c r="T141" s="103"/>
    </row>
    <row r="142" spans="1:20" ht="15.6">
      <c r="A142" s="24" t="str">
        <v>R007</v>
      </c>
      <c r="B142" s="25" t="str">
        <v>NY</v>
      </c>
      <c r="C142" s="25" t="str">
        <f>Sites[[#This Row],[SOL'#]]</f>
        <v>SOL-10417</v>
      </c>
      <c r="D142" s="54">
        <v>35700.671875</v>
      </c>
      <c r="E142" s="10" t="s">
        <v>661</v>
      </c>
      <c r="F142" s="10" t="str">
        <f t="shared" si="14"/>
        <v/>
      </c>
      <c r="G142" s="55" t="str">
        <f t="shared" si="15"/>
        <v/>
      </c>
      <c r="H142" s="67">
        <v>36329</v>
      </c>
      <c r="I142" s="67">
        <f t="shared" si="16"/>
        <v>-628.328125</v>
      </c>
      <c r="J142" s="64">
        <f t="shared" si="17"/>
        <v>-1.7295497398772331E-2</v>
      </c>
      <c r="K142" s="56"/>
      <c r="L142" s="37"/>
      <c r="M142" s="103"/>
      <c r="N142" s="103"/>
      <c r="O142" s="103"/>
      <c r="P142" s="103"/>
      <c r="Q142" s="103"/>
      <c r="R142" s="103"/>
      <c r="S142" s="103"/>
      <c r="T142" s="103"/>
    </row>
    <row r="143" spans="1:20" ht="28.9">
      <c r="A143" s="26" t="str">
        <v>BK16</v>
      </c>
      <c r="B143" s="27" t="str">
        <v>NY</v>
      </c>
      <c r="C143" s="27" t="str">
        <f>Sites[[#This Row],[SOL'#]]</f>
        <v>SOL-11093</v>
      </c>
      <c r="D143" s="66">
        <v>37304.8046875</v>
      </c>
      <c r="E143" s="14" t="s">
        <v>661</v>
      </c>
      <c r="F143" s="14" t="str">
        <f t="shared" si="14"/>
        <v/>
      </c>
      <c r="G143" s="68" t="str">
        <f t="shared" si="15"/>
        <v/>
      </c>
      <c r="H143" s="69">
        <v>37404</v>
      </c>
      <c r="I143" s="69">
        <f t="shared" si="16"/>
        <v>-99.1953125</v>
      </c>
      <c r="J143" s="68">
        <f t="shared" si="17"/>
        <v>-2.6519974467971341E-3</v>
      </c>
      <c r="K143" s="38" t="s">
        <v>852</v>
      </c>
      <c r="L143" s="102" t="s">
        <v>853</v>
      </c>
      <c r="M143" s="103"/>
      <c r="N143" s="103"/>
      <c r="O143" s="103"/>
      <c r="P143" s="103"/>
      <c r="Q143" s="103"/>
      <c r="R143" s="103"/>
      <c r="S143" s="103"/>
      <c r="T143" s="103"/>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854</v>
      </c>
      <c r="L144" s="116" t="s">
        <v>855</v>
      </c>
      <c r="M144" s="102" t="s">
        <v>856</v>
      </c>
      <c r="N144" s="103"/>
      <c r="O144" s="103"/>
      <c r="P144" s="103"/>
      <c r="Q144" s="103"/>
      <c r="R144" s="103"/>
      <c r="S144" s="103"/>
      <c r="T144" s="103"/>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857</v>
      </c>
      <c r="L145" s="114" t="s">
        <v>858</v>
      </c>
      <c r="M145" s="102" t="s">
        <v>859</v>
      </c>
      <c r="N145" s="103"/>
      <c r="O145" s="103"/>
      <c r="P145" s="103"/>
      <c r="Q145" s="103"/>
      <c r="R145" s="103"/>
      <c r="S145" s="103"/>
      <c r="T145" s="103"/>
    </row>
    <row r="146" spans="1:20" ht="15.6">
      <c r="A146" s="24" t="str">
        <v>Dakota - Dakota Solar 1</v>
      </c>
      <c r="B146" s="25" t="str">
        <v>IL</v>
      </c>
      <c r="C146" s="25" t="str">
        <f>Sites[[#This Row],[SOL'#]]</f>
        <v>SOL-11113</v>
      </c>
      <c r="D146" s="54">
        <v>404459</v>
      </c>
      <c r="E146" s="10">
        <v>493295.8</v>
      </c>
      <c r="F146" s="10">
        <f t="shared" si="14"/>
        <v>-88836.799999999988</v>
      </c>
      <c r="G146" s="55">
        <f t="shared" si="15"/>
        <v>-0.18008829590683723</v>
      </c>
      <c r="H146" s="126" t="s">
        <v>661</v>
      </c>
      <c r="I146" s="67" t="str">
        <f t="shared" si="16"/>
        <v/>
      </c>
      <c r="J146" s="64" t="str">
        <f t="shared" si="17"/>
        <v/>
      </c>
      <c r="K146" s="56" t="s">
        <v>860</v>
      </c>
      <c r="L146" s="116" t="s">
        <v>861</v>
      </c>
      <c r="M146" s="103"/>
      <c r="N146" s="103"/>
      <c r="O146" s="103"/>
      <c r="P146" s="103"/>
      <c r="Q146" s="103"/>
      <c r="R146" s="103"/>
      <c r="S146" s="103"/>
      <c r="T146" s="103"/>
    </row>
    <row r="147" spans="1:20" ht="43.1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862</v>
      </c>
      <c r="L147" s="121" t="s">
        <v>863</v>
      </c>
      <c r="M147" s="102" t="s">
        <v>864</v>
      </c>
      <c r="N147" s="102" t="s">
        <v>865</v>
      </c>
      <c r="O147" s="103"/>
      <c r="P147" s="103"/>
      <c r="Q147" s="103"/>
      <c r="R147" s="103"/>
      <c r="S147" s="103"/>
      <c r="T147" s="103"/>
    </row>
    <row r="148" spans="1:20" ht="28.9">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866</v>
      </c>
      <c r="L148" s="116" t="s">
        <v>867</v>
      </c>
      <c r="M148" s="103"/>
      <c r="N148" s="103"/>
      <c r="O148" s="103"/>
      <c r="P148" s="103"/>
      <c r="Q148" s="103"/>
      <c r="R148" s="103"/>
      <c r="S148" s="103"/>
      <c r="T148" s="103"/>
    </row>
    <row r="149" spans="1:20" ht="231.75" customHeight="1">
      <c r="A149" s="26" t="str">
        <v>County Route 11B</v>
      </c>
      <c r="B149" s="27" t="str">
        <v>NY</v>
      </c>
      <c r="C149" s="27" t="str">
        <f>Sites[[#This Row],[SOL'#]]</f>
        <v>SOL-10983</v>
      </c>
      <c r="D149" s="66">
        <v>746347</v>
      </c>
      <c r="E149" s="14" t="s">
        <v>661</v>
      </c>
      <c r="F149" s="14" t="str">
        <f t="shared" si="14"/>
        <v/>
      </c>
      <c r="G149" s="68" t="str">
        <f t="shared" si="15"/>
        <v/>
      </c>
      <c r="H149" s="125" t="s">
        <v>661</v>
      </c>
      <c r="I149" s="69" t="str">
        <f t="shared" si="16"/>
        <v/>
      </c>
      <c r="J149" s="68" t="str">
        <f t="shared" si="17"/>
        <v/>
      </c>
      <c r="K149" s="38" t="s">
        <v>868</v>
      </c>
      <c r="L149" s="101" t="s">
        <v>869</v>
      </c>
      <c r="M149" s="102" t="s">
        <v>870</v>
      </c>
      <c r="N149" s="102" t="s">
        <v>871</v>
      </c>
      <c r="O149" s="103"/>
      <c r="P149" s="103"/>
      <c r="Q149" s="103"/>
      <c r="R149" s="103"/>
      <c r="S149" s="103"/>
      <c r="T149" s="103"/>
    </row>
    <row r="150" spans="1:20" ht="115.15">
      <c r="A150" s="24" t="str">
        <v>Barone</v>
      </c>
      <c r="B150" s="25" t="str">
        <v>NY</v>
      </c>
      <c r="C150" s="25" t="str">
        <f>Sites[[#This Row],[SOL'#]]</f>
        <v>SOL-11034</v>
      </c>
      <c r="D150" s="54">
        <v>580700</v>
      </c>
      <c r="E150" s="10" t="s">
        <v>661</v>
      </c>
      <c r="F150" s="10" t="str">
        <f t="shared" si="14"/>
        <v/>
      </c>
      <c r="G150" s="55" t="str">
        <f t="shared" si="15"/>
        <v/>
      </c>
      <c r="H150" s="67">
        <v>550368.69999999995</v>
      </c>
      <c r="I150" s="67">
        <f t="shared" si="16"/>
        <v>30331.300000000047</v>
      </c>
      <c r="J150" s="64">
        <f t="shared" si="17"/>
        <v>5.5110873856016977E-2</v>
      </c>
      <c r="K150" s="56" t="s">
        <v>872</v>
      </c>
      <c r="L150" s="116" t="s">
        <v>873</v>
      </c>
      <c r="M150" s="102" t="s">
        <v>621</v>
      </c>
      <c r="N150" s="102" t="s">
        <v>874</v>
      </c>
      <c r="O150" s="103"/>
      <c r="P150" s="103"/>
      <c r="Q150" s="103"/>
      <c r="R150" s="103"/>
      <c r="S150" s="103"/>
      <c r="T150" s="103"/>
    </row>
    <row r="151" spans="1:20" ht="15.6">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3"/>
      <c r="N151" s="103"/>
      <c r="O151" s="103"/>
      <c r="P151" s="103"/>
      <c r="Q151" s="103"/>
      <c r="R151" s="103"/>
      <c r="S151" s="103"/>
      <c r="T151" s="103"/>
    </row>
    <row r="152" spans="1:20" ht="28.9">
      <c r="A152" s="24" t="str">
        <v xml:space="preserve"> O'Brien Hill #1</v>
      </c>
      <c r="B152" s="25" t="str">
        <v>NY</v>
      </c>
      <c r="C152" s="25" t="str">
        <f>Sites[[#This Row],[SOL'#]]</f>
        <v>SOL-11098</v>
      </c>
      <c r="D152" s="54">
        <v>68017</v>
      </c>
      <c r="E152" s="10" t="s">
        <v>661</v>
      </c>
      <c r="F152" s="10" t="str">
        <f t="shared" si="14"/>
        <v/>
      </c>
      <c r="G152" s="55" t="str">
        <f t="shared" si="15"/>
        <v/>
      </c>
      <c r="H152" s="123" t="s">
        <v>661</v>
      </c>
      <c r="I152" s="67" t="str">
        <f t="shared" si="16"/>
        <v/>
      </c>
      <c r="J152" s="64" t="str">
        <f t="shared" si="17"/>
        <v/>
      </c>
      <c r="K152" s="56" t="s">
        <v>875</v>
      </c>
      <c r="L152" s="116" t="s">
        <v>876</v>
      </c>
      <c r="M152" s="102" t="s">
        <v>877</v>
      </c>
      <c r="N152" s="103"/>
      <c r="O152" s="103"/>
      <c r="P152" s="103"/>
      <c r="Q152" s="103"/>
      <c r="R152" s="103"/>
      <c r="S152" s="103"/>
      <c r="T152" s="103"/>
    </row>
    <row r="153" spans="1:20" ht="72">
      <c r="A153" s="26" t="str">
        <v xml:space="preserve"> O'Brien Hill #2</v>
      </c>
      <c r="B153" s="27" t="str">
        <v>NY</v>
      </c>
      <c r="C153" s="27" t="str">
        <f>Sites[[#This Row],[SOL'#]]</f>
        <v>SOL-11099</v>
      </c>
      <c r="D153" s="66">
        <v>682515.06</v>
      </c>
      <c r="E153" s="14" t="s">
        <v>661</v>
      </c>
      <c r="F153" s="14" t="str">
        <f t="shared" si="14"/>
        <v/>
      </c>
      <c r="G153" s="68" t="str">
        <f t="shared" si="15"/>
        <v/>
      </c>
      <c r="H153" s="124" t="s">
        <v>661</v>
      </c>
      <c r="I153" s="69" t="str">
        <f t="shared" si="16"/>
        <v/>
      </c>
      <c r="J153" s="68" t="str">
        <f t="shared" si="17"/>
        <v/>
      </c>
      <c r="K153" s="38" t="s">
        <v>878</v>
      </c>
      <c r="L153" s="101" t="s">
        <v>879</v>
      </c>
      <c r="M153" s="102" t="s">
        <v>880</v>
      </c>
      <c r="N153" s="102" t="s">
        <v>881</v>
      </c>
      <c r="O153" s="103"/>
      <c r="P153" s="103"/>
      <c r="Q153" s="103"/>
      <c r="R153" s="103"/>
      <c r="S153" s="103"/>
      <c r="T153" s="103"/>
    </row>
    <row r="154" spans="1:20" ht="43.1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23" t="s">
        <v>661</v>
      </c>
      <c r="I154" s="67" t="str">
        <f t="shared" si="16"/>
        <v/>
      </c>
      <c r="J154" s="64" t="str">
        <f t="shared" si="17"/>
        <v/>
      </c>
      <c r="K154" s="56" t="s">
        <v>882</v>
      </c>
      <c r="L154" s="116" t="s">
        <v>883</v>
      </c>
      <c r="M154" s="102" t="s">
        <v>884</v>
      </c>
      <c r="N154" s="103"/>
      <c r="O154" s="103"/>
      <c r="P154" s="103"/>
      <c r="Q154" s="103"/>
      <c r="R154" s="103"/>
      <c r="S154" s="103"/>
      <c r="T154" s="103"/>
    </row>
    <row r="155" spans="1:20" ht="115.15">
      <c r="A155" s="26" t="str">
        <v>Ransom</v>
      </c>
      <c r="B155" s="27" t="str">
        <v>NY</v>
      </c>
      <c r="C155" s="27" t="str">
        <f>Sites[[#This Row],[SOL'#]]</f>
        <v>SOL-11157</v>
      </c>
      <c r="D155" s="66">
        <v>761571</v>
      </c>
      <c r="E155" s="14" t="s">
        <v>661</v>
      </c>
      <c r="F155" s="14" t="str">
        <f t="shared" si="14"/>
        <v/>
      </c>
      <c r="G155" s="68" t="str">
        <f t="shared" si="15"/>
        <v/>
      </c>
      <c r="H155" s="124" t="s">
        <v>661</v>
      </c>
      <c r="I155" s="69" t="str">
        <f t="shared" si="16"/>
        <v/>
      </c>
      <c r="J155" s="68" t="str">
        <f t="shared" si="17"/>
        <v/>
      </c>
      <c r="K155" s="38" t="s">
        <v>885</v>
      </c>
      <c r="L155" s="121" t="s">
        <v>886</v>
      </c>
      <c r="M155" s="102" t="s">
        <v>887</v>
      </c>
      <c r="N155" s="102" t="s">
        <v>888</v>
      </c>
      <c r="O155" s="102" t="s">
        <v>889</v>
      </c>
      <c r="P155" s="103"/>
      <c r="Q155" s="103"/>
      <c r="R155" s="103"/>
      <c r="S155" s="103"/>
      <c r="T155" s="103"/>
    </row>
    <row r="156" spans="1:20" ht="28.9">
      <c r="A156" s="24" t="str">
        <v>Horseheads - Wedge</v>
      </c>
      <c r="B156" s="25" t="str">
        <v>NY</v>
      </c>
      <c r="C156" s="25" t="str">
        <f>Sites[[#This Row],[SOL'#]]</f>
        <v>SOL-11160</v>
      </c>
      <c r="D156" s="54">
        <v>504647</v>
      </c>
      <c r="E156" s="10" t="s">
        <v>661</v>
      </c>
      <c r="F156" s="10" t="str">
        <f t="shared" si="14"/>
        <v/>
      </c>
      <c r="G156" s="55" t="str">
        <f t="shared" si="15"/>
        <v/>
      </c>
      <c r="H156" s="123" t="s">
        <v>661</v>
      </c>
      <c r="I156" s="67" t="str">
        <f t="shared" si="16"/>
        <v/>
      </c>
      <c r="J156" s="64" t="str">
        <f t="shared" si="17"/>
        <v/>
      </c>
      <c r="K156" s="56" t="s">
        <v>890</v>
      </c>
      <c r="L156" s="116" t="s">
        <v>891</v>
      </c>
      <c r="M156" s="103"/>
      <c r="N156" s="103"/>
      <c r="O156" s="103"/>
      <c r="P156" s="103"/>
      <c r="Q156" s="103"/>
      <c r="R156" s="103"/>
      <c r="S156" s="103"/>
      <c r="T156" s="103"/>
    </row>
    <row r="157" spans="1:20" ht="115.15">
      <c r="A157" s="26" t="str">
        <v>Otisville - Shoddy Hollow</v>
      </c>
      <c r="B157" s="27" t="str">
        <v>NY</v>
      </c>
      <c r="C157" s="27" t="str">
        <f>Sites[[#This Row],[SOL'#]]</f>
        <v>SOL-11185</v>
      </c>
      <c r="D157" s="66">
        <v>883361.3</v>
      </c>
      <c r="E157" s="14" t="s">
        <v>661</v>
      </c>
      <c r="F157" s="14" t="str">
        <f t="shared" si="14"/>
        <v/>
      </c>
      <c r="G157" s="68" t="str">
        <f t="shared" si="15"/>
        <v/>
      </c>
      <c r="H157" s="124" t="s">
        <v>661</v>
      </c>
      <c r="I157" s="69" t="str">
        <f t="shared" si="16"/>
        <v/>
      </c>
      <c r="J157" s="68" t="str">
        <f t="shared" si="17"/>
        <v/>
      </c>
      <c r="K157" s="38" t="s">
        <v>892</v>
      </c>
      <c r="L157" s="101" t="s">
        <v>893</v>
      </c>
      <c r="M157" s="102" t="s">
        <v>894</v>
      </c>
      <c r="N157" s="102" t="s">
        <v>895</v>
      </c>
      <c r="O157" s="102" t="s">
        <v>896</v>
      </c>
      <c r="P157" s="103"/>
      <c r="Q157" s="103"/>
      <c r="R157" s="103"/>
      <c r="S157" s="103"/>
      <c r="T157" s="103"/>
    </row>
    <row r="158" spans="1:20" ht="142.5" customHeight="1">
      <c r="A158" s="24" t="str">
        <v>Wellsville - Chenunda Creek</v>
      </c>
      <c r="B158" s="25" t="str">
        <v>NY</v>
      </c>
      <c r="C158" s="25" t="str">
        <f>Sites[[#This Row],[SOL'#]]</f>
        <v>SOL-11187</v>
      </c>
      <c r="D158" s="54">
        <v>424764.9</v>
      </c>
      <c r="E158" s="10" t="s">
        <v>661</v>
      </c>
      <c r="F158" s="10" t="str">
        <f t="shared" ref="F158:F164" si="18">IF(AND(ISNUMBER(D158),ISNUMBER(E158)), D158-E158, "")</f>
        <v/>
      </c>
      <c r="G158" s="55" t="str">
        <f t="shared" ref="G158:G164" si="19">IFERROR(F158/E158, "")</f>
        <v/>
      </c>
      <c r="H158" s="123" t="s">
        <v>661</v>
      </c>
      <c r="I158" s="67" t="str">
        <f t="shared" ref="I158:I164" si="20">IF(AND(ISNUMBER(D158),ISNUMBER(H158)), D158-H158, "")</f>
        <v/>
      </c>
      <c r="J158" s="64" t="str">
        <f t="shared" ref="J158:J164" si="21">IFERROR(I158/H158, "")</f>
        <v/>
      </c>
      <c r="K158" s="56" t="s">
        <v>897</v>
      </c>
      <c r="L158" s="100" t="s">
        <v>898</v>
      </c>
      <c r="M158" s="102" t="s">
        <v>899</v>
      </c>
      <c r="N158" s="102" t="s">
        <v>900</v>
      </c>
      <c r="O158" s="102" t="s">
        <v>901</v>
      </c>
      <c r="P158" s="102" t="s">
        <v>902</v>
      </c>
      <c r="Q158" s="103"/>
      <c r="R158" s="103"/>
      <c r="S158" s="103"/>
      <c r="T158" s="103"/>
    </row>
    <row r="159" spans="1:20" ht="15.6">
      <c r="A159" s="26" t="str">
        <v>DC: Washington - Essex Condominium</v>
      </c>
      <c r="B159" s="27" t="str">
        <v>DC</v>
      </c>
      <c r="C159" s="27" t="str">
        <f>Sites[[#This Row],[SOL'#]]</f>
        <v>SOL-10036</v>
      </c>
      <c r="D159" s="66">
        <v>3803</v>
      </c>
      <c r="E159" s="14">
        <v>4645.7359999999999</v>
      </c>
      <c r="F159" s="14">
        <f t="shared" si="18"/>
        <v>-842.73599999999988</v>
      </c>
      <c r="G159" s="68">
        <f t="shared" si="19"/>
        <v>-0.18139989013581484</v>
      </c>
      <c r="H159" s="124">
        <v>5003.5889999999999</v>
      </c>
      <c r="I159" s="69">
        <f t="shared" si="20"/>
        <v>-1200.5889999999999</v>
      </c>
      <c r="J159" s="68">
        <f t="shared" si="21"/>
        <v>-0.23994556707195575</v>
      </c>
      <c r="K159" s="38"/>
      <c r="L159" s="101"/>
    </row>
    <row r="160" spans="1:20" ht="15.6">
      <c r="A160" s="24" t="str">
        <v>HI: Waipahu - 94-246 Leoku St - E.F.G.</v>
      </c>
      <c r="B160" s="25" t="str">
        <v>HI</v>
      </c>
      <c r="C160" s="25" t="str">
        <f>Sites[[#This Row],[SOL'#]]</f>
        <v>SOL-10071</v>
      </c>
      <c r="D160" s="54">
        <v>8225</v>
      </c>
      <c r="E160" s="10">
        <v>10609.08</v>
      </c>
      <c r="F160" s="10">
        <f t="shared" si="18"/>
        <v>-2384.08</v>
      </c>
      <c r="G160" s="55">
        <f t="shared" si="19"/>
        <v>-0.22472071093817747</v>
      </c>
      <c r="H160" s="123">
        <v>12308.47</v>
      </c>
      <c r="I160" s="67">
        <f t="shared" si="20"/>
        <v>-4083.4699999999993</v>
      </c>
      <c r="J160" s="64">
        <f t="shared" si="21"/>
        <v>-0.33176097435343299</v>
      </c>
      <c r="K160" s="56"/>
      <c r="L160" s="100"/>
    </row>
    <row r="161" spans="1:12" ht="15.6">
      <c r="A161" s="26" t="str">
        <v>HI: Waipahu - 94-099 Waipahu St - PV</v>
      </c>
      <c r="B161" s="27" t="str">
        <v>HI</v>
      </c>
      <c r="C161" s="27" t="str">
        <f>Sites[[#This Row],[SOL'#]]</f>
        <v>SOL-10068</v>
      </c>
      <c r="D161" s="66">
        <v>12389</v>
      </c>
      <c r="E161" s="14">
        <v>9959.866</v>
      </c>
      <c r="F161" s="14">
        <f t="shared" si="18"/>
        <v>2429.134</v>
      </c>
      <c r="G161" s="68">
        <f t="shared" si="19"/>
        <v>0.24389223710439478</v>
      </c>
      <c r="H161" s="124">
        <v>12301.88</v>
      </c>
      <c r="I161" s="69">
        <f t="shared" si="20"/>
        <v>87.1200000000008</v>
      </c>
      <c r="J161" s="68">
        <f t="shared" si="21"/>
        <v>7.0818444010184462E-3</v>
      </c>
      <c r="K161" s="38"/>
      <c r="L161" s="101"/>
    </row>
    <row r="162" spans="1:12" ht="15.6">
      <c r="A162" s="24" t="str">
        <v>IL: Prophetstown - 5170 Yager Road (PW)</v>
      </c>
      <c r="B162" s="25" t="str">
        <v>IL</v>
      </c>
      <c r="C162" s="25" t="str">
        <f>Sites[[#This Row],[SOL'#]]</f>
        <v>SOL-11149</v>
      </c>
      <c r="D162" s="54"/>
      <c r="E162" s="10"/>
      <c r="F162" s="10" t="str">
        <f t="shared" si="18"/>
        <v/>
      </c>
      <c r="G162" s="55" t="str">
        <f t="shared" si="19"/>
        <v/>
      </c>
      <c r="H162" s="123"/>
      <c r="I162" s="67" t="str">
        <f t="shared" si="20"/>
        <v/>
      </c>
      <c r="J162" s="64" t="str">
        <f t="shared" si="21"/>
        <v/>
      </c>
      <c r="K162" s="56"/>
      <c r="L162" s="100"/>
    </row>
    <row r="163" spans="1:12" ht="15.6">
      <c r="A163" s="26" t="str">
        <v>IL: Viola - Goldenrod - (PW)</v>
      </c>
      <c r="B163" s="27" t="str">
        <v>IL</v>
      </c>
      <c r="C163" s="27" t="str">
        <f>Sites[[#This Row],[SOL'#]]</f>
        <v>SOL-11132</v>
      </c>
      <c r="D163" s="66"/>
      <c r="E163" s="14"/>
      <c r="F163" s="14" t="str">
        <f t="shared" si="18"/>
        <v/>
      </c>
      <c r="G163" s="68" t="str">
        <f t="shared" si="19"/>
        <v/>
      </c>
      <c r="H163" s="124"/>
      <c r="I163" s="69" t="str">
        <f t="shared" si="20"/>
        <v/>
      </c>
      <c r="J163" s="68" t="str">
        <f t="shared" si="21"/>
        <v/>
      </c>
      <c r="K163" s="38"/>
      <c r="L163" s="101"/>
    </row>
    <row r="164" spans="1:12" ht="15.6">
      <c r="A164" s="24" t="str">
        <v>IL: Marengo - Grant - (PW)</v>
      </c>
      <c r="B164" s="25" t="str">
        <v>IL</v>
      </c>
      <c r="C164" s="25" t="str">
        <f>Sites[[#This Row],[SOL'#]]</f>
        <v>SOL-11147</v>
      </c>
      <c r="D164" s="54"/>
      <c r="E164" s="10"/>
      <c r="F164" s="10" t="str">
        <f t="shared" si="18"/>
        <v/>
      </c>
      <c r="G164" s="55" t="str">
        <f t="shared" si="19"/>
        <v/>
      </c>
      <c r="H164" s="123"/>
      <c r="I164" s="67" t="str">
        <f t="shared" si="20"/>
        <v/>
      </c>
      <c r="J164" s="64" t="str">
        <f t="shared" si="21"/>
        <v/>
      </c>
      <c r="K164" s="56"/>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73"/>
  <sheetViews>
    <sheetView zoomScale="60" zoomScaleNormal="60" workbookViewId="0">
      <pane xSplit="2" ySplit="3" topLeftCell="C154" activePane="bottomRight" state="frozen"/>
      <selection pane="bottomRight" activeCell="H165" sqref="H16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92" t="str" cm="1">
        <f t="array" ref="A1">portfolio</f>
        <v>Generate Capital</v>
      </c>
      <c r="B1" s="192"/>
      <c r="C1" s="192"/>
      <c r="D1" s="192"/>
      <c r="E1" s="193" t="s">
        <v>903</v>
      </c>
      <c r="F1" s="193"/>
      <c r="G1" s="193"/>
      <c r="H1" s="191" t="s">
        <v>904</v>
      </c>
      <c r="I1" s="191"/>
      <c r="J1" s="191"/>
      <c r="K1" s="4"/>
      <c r="L1" s="4"/>
    </row>
    <row r="2" spans="1:27" ht="15.6">
      <c r="A2" s="194" t="s">
        <v>2</v>
      </c>
      <c r="B2" s="194"/>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6" t="str" cm="1">
        <f t="array" ref="A4:A173">Sites[Site]</f>
        <v>K026</v>
      </c>
      <c r="B4" s="27" t="str" cm="1">
        <f t="array" ref="B4:B173">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905</v>
      </c>
      <c r="L4" s="52"/>
      <c r="M4" s="103"/>
      <c r="N4" s="103"/>
      <c r="O4" s="103"/>
      <c r="P4" s="103"/>
      <c r="Q4" s="103"/>
      <c r="R4" s="103"/>
      <c r="S4" s="103"/>
      <c r="T4" s="103"/>
      <c r="U4" s="103"/>
      <c r="V4" s="103"/>
      <c r="W4" s="103"/>
      <c r="X4" s="103"/>
      <c r="Y4" s="103"/>
      <c r="Z4" s="103"/>
      <c r="AA4" s="103"/>
    </row>
    <row r="5" spans="1:27" ht="15.6">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906</v>
      </c>
      <c r="L5" s="98" t="s">
        <v>907</v>
      </c>
      <c r="M5" s="103"/>
      <c r="N5" s="103"/>
      <c r="O5" s="103"/>
      <c r="P5" s="103"/>
      <c r="Q5" s="103"/>
      <c r="R5" s="103"/>
      <c r="S5" s="103"/>
      <c r="T5" s="103"/>
      <c r="U5" s="103"/>
      <c r="V5" s="103"/>
      <c r="W5" s="103"/>
      <c r="X5" s="103"/>
      <c r="Y5" s="103"/>
      <c r="Z5" s="103"/>
      <c r="AA5" s="103"/>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908</v>
      </c>
      <c r="L6" s="52"/>
      <c r="M6" s="103"/>
      <c r="N6" s="103"/>
      <c r="O6" s="103"/>
      <c r="P6" s="103"/>
      <c r="Q6" s="103"/>
      <c r="R6" s="103"/>
      <c r="S6" s="103"/>
      <c r="T6" s="103"/>
      <c r="U6" s="103"/>
      <c r="V6" s="103"/>
      <c r="W6" s="103"/>
      <c r="X6" s="103"/>
      <c r="Y6" s="103"/>
      <c r="Z6" s="103"/>
      <c r="AA6" s="103"/>
    </row>
    <row r="7" spans="1:27" ht="15.6">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646</v>
      </c>
      <c r="L7" s="98" t="s">
        <v>221</v>
      </c>
      <c r="M7" s="103"/>
      <c r="N7" s="103"/>
      <c r="O7" s="103"/>
      <c r="P7" s="103"/>
      <c r="Q7" s="103"/>
      <c r="R7" s="103"/>
      <c r="S7" s="103"/>
      <c r="T7" s="103"/>
      <c r="U7" s="103"/>
      <c r="V7" s="103"/>
      <c r="W7" s="103"/>
      <c r="X7" s="103"/>
      <c r="Y7" s="103"/>
      <c r="Z7" s="103"/>
      <c r="AA7" s="103"/>
    </row>
    <row r="8" spans="1:27" ht="15.6">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99" t="s">
        <v>25</v>
      </c>
      <c r="M8" s="103"/>
      <c r="N8" s="103"/>
      <c r="O8" s="103"/>
      <c r="P8" s="103"/>
      <c r="Q8" s="103"/>
      <c r="R8" s="103"/>
      <c r="S8" s="103"/>
      <c r="T8" s="103"/>
      <c r="U8" s="103"/>
      <c r="V8" s="103"/>
      <c r="W8" s="103"/>
      <c r="X8" s="103"/>
      <c r="Y8" s="103"/>
      <c r="Z8" s="103"/>
      <c r="AA8" s="103"/>
    </row>
    <row r="9" spans="1:27" ht="15.6">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905</v>
      </c>
      <c r="L9" s="53"/>
      <c r="M9" s="103"/>
      <c r="N9" s="103"/>
      <c r="O9" s="103"/>
      <c r="P9" s="103"/>
      <c r="Q9" s="103"/>
      <c r="R9" s="103"/>
      <c r="S9" s="103"/>
      <c r="T9" s="103"/>
      <c r="U9" s="103"/>
      <c r="V9" s="103"/>
      <c r="W9" s="103"/>
      <c r="X9" s="103"/>
      <c r="Y9" s="103"/>
      <c r="Z9" s="103"/>
      <c r="AA9" s="103"/>
    </row>
    <row r="10" spans="1:27" ht="15.6">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905</v>
      </c>
      <c r="L10" s="52"/>
      <c r="M10" s="103"/>
      <c r="N10" s="103"/>
      <c r="O10" s="103"/>
      <c r="P10" s="103"/>
      <c r="Q10" s="103"/>
      <c r="R10" s="103"/>
      <c r="S10" s="103"/>
      <c r="T10" s="103"/>
      <c r="U10" s="103"/>
      <c r="V10" s="103"/>
      <c r="W10" s="103"/>
      <c r="X10" s="103"/>
      <c r="Y10" s="103"/>
      <c r="Z10" s="103"/>
      <c r="AA10" s="103"/>
    </row>
    <row r="11" spans="1:27" ht="15.6">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905</v>
      </c>
      <c r="L11" s="53"/>
      <c r="M11" s="103"/>
      <c r="N11" s="103"/>
      <c r="O11" s="103"/>
      <c r="P11" s="103"/>
      <c r="Q11" s="103"/>
      <c r="R11" s="103"/>
      <c r="S11" s="103"/>
      <c r="T11" s="103"/>
      <c r="U11" s="103"/>
      <c r="V11" s="103"/>
      <c r="W11" s="103"/>
      <c r="X11" s="103"/>
      <c r="Y11" s="103"/>
      <c r="Z11" s="103"/>
      <c r="AA11" s="103"/>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648</v>
      </c>
      <c r="L12" s="99" t="s">
        <v>223</v>
      </c>
      <c r="M12" s="103"/>
      <c r="N12" s="103"/>
      <c r="O12" s="103"/>
      <c r="P12" s="103"/>
      <c r="Q12" s="103"/>
      <c r="R12" s="103"/>
      <c r="S12" s="103"/>
      <c r="T12" s="103"/>
      <c r="U12" s="103"/>
      <c r="V12" s="103"/>
      <c r="W12" s="103"/>
      <c r="X12" s="103"/>
      <c r="Y12" s="103"/>
      <c r="Z12" s="103"/>
      <c r="AA12" s="103"/>
    </row>
    <row r="13" spans="1:27" ht="15.6">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905</v>
      </c>
      <c r="L13" s="53"/>
      <c r="M13" s="103"/>
      <c r="N13" s="103"/>
      <c r="O13" s="103"/>
      <c r="P13" s="103"/>
      <c r="Q13" s="103"/>
      <c r="R13" s="103"/>
      <c r="S13" s="103"/>
      <c r="T13" s="103"/>
      <c r="U13" s="103"/>
      <c r="V13" s="103"/>
      <c r="W13" s="103"/>
      <c r="X13" s="103"/>
      <c r="Y13" s="103"/>
      <c r="Z13" s="103"/>
      <c r="AA13" s="103"/>
    </row>
    <row r="14" spans="1:27" ht="57.6">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909</v>
      </c>
      <c r="L14" s="101" t="s">
        <v>910</v>
      </c>
      <c r="M14" s="102" t="s">
        <v>393</v>
      </c>
      <c r="N14" s="102" t="s">
        <v>911</v>
      </c>
      <c r="O14" s="103"/>
      <c r="P14" s="103"/>
      <c r="Q14" s="103"/>
      <c r="R14" s="103"/>
      <c r="S14" s="103"/>
      <c r="T14" s="103"/>
      <c r="U14" s="103"/>
      <c r="V14" s="103"/>
      <c r="W14" s="103"/>
      <c r="X14" s="103"/>
      <c r="Y14" s="103"/>
      <c r="Z14" s="103"/>
      <c r="AA14" s="103"/>
    </row>
    <row r="15" spans="1:27" ht="15.6">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912</v>
      </c>
      <c r="L15" s="53"/>
      <c r="M15" s="103"/>
      <c r="N15" s="103"/>
      <c r="O15" s="103"/>
      <c r="P15" s="103"/>
      <c r="Q15" s="103"/>
      <c r="R15" s="103"/>
      <c r="S15" s="103"/>
      <c r="T15" s="103"/>
      <c r="U15" s="103"/>
      <c r="V15" s="103"/>
      <c r="W15" s="103"/>
      <c r="X15" s="103"/>
      <c r="Y15" s="103"/>
      <c r="Z15" s="103"/>
      <c r="AA15" s="103"/>
    </row>
    <row r="16" spans="1:27" ht="15.6">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912</v>
      </c>
      <c r="L16" s="52"/>
      <c r="M16" s="103"/>
      <c r="N16" s="103"/>
      <c r="O16" s="103"/>
      <c r="P16" s="103"/>
      <c r="Q16" s="103"/>
      <c r="R16" s="103"/>
      <c r="S16" s="103"/>
      <c r="T16" s="103"/>
      <c r="U16" s="103"/>
      <c r="V16" s="103"/>
      <c r="W16" s="103"/>
      <c r="X16" s="103"/>
      <c r="Y16" s="103"/>
      <c r="Z16" s="103"/>
      <c r="AA16" s="103"/>
    </row>
    <row r="17" spans="1:27" ht="28.9">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913</v>
      </c>
      <c r="L17" s="53" t="s">
        <v>914</v>
      </c>
      <c r="M17" s="103"/>
      <c r="N17" s="103"/>
      <c r="O17" s="103"/>
      <c r="P17" s="103"/>
      <c r="Q17" s="103"/>
      <c r="R17" s="103"/>
      <c r="S17" s="103"/>
      <c r="T17" s="103"/>
      <c r="U17" s="103"/>
      <c r="V17" s="103"/>
      <c r="W17" s="103"/>
      <c r="X17" s="103"/>
      <c r="Y17" s="103"/>
      <c r="Z17" s="103"/>
      <c r="AA17" s="103"/>
    </row>
    <row r="18" spans="1:27" ht="15.6">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912</v>
      </c>
      <c r="L18" s="52"/>
      <c r="M18" s="103"/>
      <c r="N18" s="103"/>
      <c r="O18" s="103"/>
      <c r="P18" s="103"/>
      <c r="Q18" s="103"/>
      <c r="R18" s="103"/>
      <c r="S18" s="103"/>
      <c r="T18" s="103"/>
      <c r="U18" s="103"/>
      <c r="V18" s="103"/>
      <c r="W18" s="103"/>
      <c r="X18" s="103"/>
      <c r="Y18" s="103"/>
      <c r="Z18" s="103"/>
      <c r="AA18" s="103"/>
    </row>
    <row r="19" spans="1:27" ht="15.6">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912</v>
      </c>
      <c r="L19" s="53"/>
      <c r="M19" s="103"/>
      <c r="N19" s="103"/>
      <c r="O19" s="103"/>
      <c r="P19" s="103"/>
      <c r="Q19" s="103"/>
      <c r="R19" s="103"/>
      <c r="S19" s="103"/>
      <c r="T19" s="103"/>
      <c r="U19" s="103"/>
      <c r="V19" s="103"/>
      <c r="W19" s="103"/>
      <c r="X19" s="103"/>
      <c r="Y19" s="103"/>
      <c r="Z19" s="103"/>
      <c r="AA19" s="103"/>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915</v>
      </c>
      <c r="L20" s="99" t="s">
        <v>916</v>
      </c>
      <c r="M20" s="103"/>
      <c r="N20" s="103"/>
      <c r="O20" s="103"/>
      <c r="P20" s="103"/>
      <c r="Q20" s="103"/>
      <c r="R20" s="103"/>
      <c r="S20" s="103"/>
      <c r="T20" s="103"/>
      <c r="U20" s="103"/>
      <c r="V20" s="103"/>
      <c r="W20" s="103"/>
      <c r="X20" s="103"/>
      <c r="Y20" s="103"/>
      <c r="Z20" s="103"/>
      <c r="AA20" s="103"/>
    </row>
    <row r="21" spans="1:27" ht="28.9">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917</v>
      </c>
      <c r="L21" s="98" t="s">
        <v>918</v>
      </c>
      <c r="M21" s="103"/>
      <c r="N21" s="103"/>
      <c r="O21" s="103"/>
      <c r="P21" s="103"/>
      <c r="Q21" s="103"/>
      <c r="R21" s="103"/>
      <c r="S21" s="103"/>
      <c r="T21" s="103"/>
      <c r="U21" s="103"/>
      <c r="V21" s="103"/>
      <c r="W21" s="103"/>
      <c r="X21" s="103"/>
      <c r="Y21" s="103"/>
      <c r="Z21" s="103"/>
      <c r="AA21" s="103"/>
    </row>
    <row r="22" spans="1:27" ht="28.9">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919</v>
      </c>
      <c r="L22" s="51" t="s">
        <v>920</v>
      </c>
      <c r="M22" s="103"/>
      <c r="N22" s="103"/>
      <c r="O22" s="103"/>
      <c r="P22" s="103"/>
      <c r="Q22" s="103"/>
      <c r="R22" s="103"/>
      <c r="S22" s="103"/>
      <c r="T22" s="103"/>
      <c r="U22" s="103"/>
      <c r="V22" s="103"/>
      <c r="W22" s="103"/>
      <c r="X22" s="103"/>
      <c r="Y22" s="103"/>
      <c r="Z22" s="103"/>
      <c r="AA22" s="103"/>
    </row>
    <row r="23" spans="1:27" ht="28.9">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921</v>
      </c>
      <c r="L23" s="98" t="s">
        <v>922</v>
      </c>
      <c r="M23" s="103"/>
      <c r="N23" s="103"/>
      <c r="O23" s="103"/>
      <c r="P23" s="103"/>
      <c r="Q23" s="103"/>
      <c r="R23" s="103"/>
      <c r="S23" s="103"/>
      <c r="T23" s="103"/>
      <c r="U23" s="103"/>
      <c r="V23" s="103"/>
      <c r="W23" s="103"/>
      <c r="X23" s="103"/>
      <c r="Y23" s="103"/>
      <c r="Z23" s="103"/>
      <c r="AA23" s="103"/>
    </row>
    <row r="24" spans="1:27" ht="15.6">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923</v>
      </c>
      <c r="L24" s="51"/>
      <c r="M24" s="103"/>
      <c r="N24" s="103"/>
      <c r="O24" s="103"/>
      <c r="P24" s="103"/>
      <c r="Q24" s="103"/>
      <c r="R24" s="103"/>
      <c r="S24" s="103"/>
      <c r="T24" s="103"/>
      <c r="U24" s="103"/>
      <c r="V24" s="103"/>
      <c r="W24" s="103"/>
      <c r="X24" s="103"/>
      <c r="Y24" s="103"/>
      <c r="Z24" s="103"/>
      <c r="AA24" s="103"/>
    </row>
    <row r="25" spans="1:27" ht="15.6">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923</v>
      </c>
      <c r="L25" s="53"/>
      <c r="M25" s="103"/>
      <c r="N25" s="103"/>
      <c r="O25" s="103"/>
      <c r="P25" s="103"/>
      <c r="Q25" s="103"/>
      <c r="R25" s="103"/>
      <c r="S25" s="103"/>
      <c r="T25" s="103"/>
      <c r="U25" s="103"/>
      <c r="V25" s="103"/>
      <c r="W25" s="103"/>
      <c r="X25" s="103"/>
      <c r="Y25" s="103"/>
      <c r="Z25" s="103"/>
      <c r="AA25" s="103"/>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924</v>
      </c>
      <c r="L26" s="99" t="s">
        <v>925</v>
      </c>
      <c r="M26" s="102" t="s">
        <v>926</v>
      </c>
      <c r="N26" s="103"/>
      <c r="O26" s="103"/>
      <c r="P26" s="103"/>
      <c r="Q26" s="103"/>
      <c r="R26" s="103"/>
      <c r="S26" s="103"/>
      <c r="T26" s="103"/>
      <c r="U26" s="103"/>
      <c r="V26" s="103"/>
      <c r="W26" s="103"/>
      <c r="X26" s="103"/>
      <c r="Y26" s="103"/>
      <c r="Z26" s="103"/>
      <c r="AA26" s="103"/>
    </row>
    <row r="27" spans="1:27" ht="15.6">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927</v>
      </c>
      <c r="L27" s="53"/>
      <c r="M27" s="103"/>
      <c r="N27" s="103"/>
      <c r="O27" s="103"/>
      <c r="P27" s="103"/>
      <c r="Q27" s="103"/>
      <c r="R27" s="103"/>
      <c r="S27" s="103"/>
      <c r="T27" s="103"/>
      <c r="U27" s="103"/>
      <c r="V27" s="103"/>
      <c r="W27" s="103"/>
      <c r="X27" s="103"/>
      <c r="Y27" s="103"/>
      <c r="Z27" s="103"/>
      <c r="AA27" s="103"/>
    </row>
    <row r="28" spans="1:27" ht="28.9">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928</v>
      </c>
      <c r="L28" s="99" t="s">
        <v>929</v>
      </c>
      <c r="M28" s="103"/>
      <c r="N28" s="103"/>
      <c r="O28" s="103"/>
      <c r="P28" s="103"/>
      <c r="Q28" s="103"/>
      <c r="R28" s="103"/>
      <c r="S28" s="103"/>
      <c r="T28" s="103"/>
      <c r="U28" s="103"/>
      <c r="V28" s="103"/>
      <c r="W28" s="103"/>
      <c r="X28" s="103"/>
      <c r="Y28" s="103"/>
      <c r="Z28" s="103"/>
      <c r="AA28" s="103"/>
    </row>
    <row r="29" spans="1:27" ht="15.6">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927</v>
      </c>
      <c r="L29" s="53"/>
      <c r="M29" s="103"/>
      <c r="N29" s="103"/>
      <c r="O29" s="103"/>
      <c r="P29" s="103"/>
      <c r="Q29" s="103"/>
      <c r="R29" s="103"/>
      <c r="S29" s="103"/>
      <c r="T29" s="103"/>
      <c r="U29" s="103"/>
      <c r="V29" s="103"/>
      <c r="W29" s="103"/>
      <c r="X29" s="103"/>
      <c r="Y29" s="103"/>
      <c r="Z29" s="103"/>
      <c r="AA29" s="103"/>
    </row>
    <row r="30" spans="1:27" ht="15.6">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927</v>
      </c>
      <c r="L30" s="52"/>
      <c r="M30" s="103"/>
      <c r="N30" s="103"/>
      <c r="O30" s="103"/>
      <c r="P30" s="103"/>
      <c r="Q30" s="103"/>
      <c r="R30" s="103"/>
      <c r="S30" s="103"/>
      <c r="T30" s="103"/>
      <c r="U30" s="103"/>
      <c r="V30" s="103"/>
      <c r="W30" s="103"/>
      <c r="X30" s="103"/>
      <c r="Y30" s="103"/>
      <c r="Z30" s="103"/>
      <c r="AA30" s="103"/>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3"/>
      <c r="N31" s="103"/>
      <c r="O31" s="103"/>
      <c r="P31" s="103"/>
      <c r="Q31" s="103"/>
      <c r="R31" s="103"/>
      <c r="S31" s="103"/>
      <c r="T31" s="103"/>
      <c r="U31" s="103"/>
      <c r="V31" s="103"/>
      <c r="W31" s="103"/>
      <c r="X31" s="103"/>
      <c r="Y31" s="103"/>
      <c r="Z31" s="103"/>
      <c r="AA31" s="103"/>
    </row>
    <row r="32" spans="1:27" ht="15.6">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06" t="s">
        <v>927</v>
      </c>
      <c r="L32" s="52"/>
      <c r="M32" s="103"/>
      <c r="N32" s="103"/>
      <c r="O32" s="103"/>
      <c r="P32" s="103"/>
      <c r="Q32" s="103"/>
      <c r="R32" s="103"/>
      <c r="S32" s="103"/>
      <c r="T32" s="103"/>
      <c r="U32" s="103"/>
      <c r="V32" s="103"/>
      <c r="W32" s="103"/>
      <c r="X32" s="103"/>
      <c r="Y32" s="103"/>
      <c r="Z32" s="103"/>
      <c r="AA32" s="103"/>
    </row>
    <row r="33" spans="1:27" ht="15.6">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927</v>
      </c>
      <c r="L33" s="53"/>
      <c r="M33" s="103"/>
      <c r="N33" s="103"/>
      <c r="O33" s="103"/>
      <c r="P33" s="103"/>
      <c r="Q33" s="103"/>
      <c r="R33" s="103"/>
      <c r="S33" s="103"/>
      <c r="T33" s="103"/>
      <c r="U33" s="103"/>
      <c r="V33" s="103"/>
      <c r="W33" s="103"/>
      <c r="X33" s="103"/>
      <c r="Y33" s="103"/>
      <c r="Z33" s="103"/>
      <c r="AA33" s="103"/>
    </row>
    <row r="34" spans="1:27" ht="15.6">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06" t="s">
        <v>927</v>
      </c>
      <c r="L34" s="52"/>
      <c r="M34" s="103"/>
      <c r="N34" s="103"/>
      <c r="O34" s="103"/>
      <c r="P34" s="103"/>
      <c r="Q34" s="103"/>
      <c r="R34" s="103"/>
      <c r="S34" s="103"/>
      <c r="T34" s="103"/>
      <c r="U34" s="103"/>
      <c r="V34" s="103"/>
      <c r="W34" s="103"/>
      <c r="X34" s="103"/>
      <c r="Y34" s="103"/>
      <c r="Z34" s="103"/>
      <c r="AA34" s="103"/>
    </row>
    <row r="35" spans="1:27" ht="15.6">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927</v>
      </c>
      <c r="L35" s="53"/>
      <c r="M35" s="103"/>
      <c r="N35" s="103"/>
      <c r="O35" s="103"/>
      <c r="P35" s="103"/>
      <c r="Q35" s="103"/>
      <c r="R35" s="103"/>
      <c r="S35" s="103"/>
      <c r="T35" s="103"/>
      <c r="U35" s="103"/>
      <c r="V35" s="103"/>
      <c r="W35" s="103"/>
      <c r="X35" s="103"/>
      <c r="Y35" s="103"/>
      <c r="Z35" s="103"/>
      <c r="AA35" s="103"/>
    </row>
    <row r="36" spans="1:27" ht="15.6">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927</v>
      </c>
      <c r="L36" s="51"/>
      <c r="M36" s="103"/>
      <c r="N36" s="103"/>
      <c r="O36" s="103"/>
      <c r="P36" s="103"/>
      <c r="Q36" s="103"/>
      <c r="R36" s="103"/>
      <c r="S36" s="103"/>
      <c r="T36" s="103"/>
      <c r="U36" s="103"/>
      <c r="V36" s="103"/>
      <c r="W36" s="103"/>
      <c r="X36" s="103"/>
      <c r="Y36" s="103"/>
      <c r="Z36" s="103"/>
      <c r="AA36" s="103"/>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930</v>
      </c>
      <c r="L37" s="53" t="s">
        <v>931</v>
      </c>
      <c r="M37" s="103"/>
      <c r="N37" s="103"/>
      <c r="O37" s="103"/>
      <c r="P37" s="103"/>
      <c r="Q37" s="103"/>
      <c r="R37" s="103"/>
      <c r="S37" s="103"/>
      <c r="T37" s="103"/>
      <c r="U37" s="103"/>
      <c r="V37" s="103"/>
      <c r="W37" s="103"/>
      <c r="X37" s="103"/>
      <c r="Y37" s="103"/>
      <c r="Z37" s="103"/>
      <c r="AA37" s="103"/>
    </row>
    <row r="38" spans="1:27" ht="15.6">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932</v>
      </c>
      <c r="L38" s="99" t="s">
        <v>677</v>
      </c>
      <c r="M38" s="103"/>
      <c r="N38" s="103"/>
      <c r="O38" s="103"/>
      <c r="P38" s="103"/>
      <c r="Q38" s="103"/>
      <c r="R38" s="103"/>
      <c r="S38" s="103"/>
      <c r="T38" s="103"/>
      <c r="U38" s="103"/>
      <c r="V38" s="103"/>
      <c r="W38" s="103"/>
      <c r="X38" s="103"/>
      <c r="Y38" s="103"/>
      <c r="Z38" s="103"/>
      <c r="AA38" s="103"/>
    </row>
    <row r="39" spans="1:27" ht="15.6">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927</v>
      </c>
      <c r="L39" s="53"/>
      <c r="M39" s="103"/>
      <c r="N39" s="103"/>
      <c r="O39" s="103"/>
      <c r="P39" s="103"/>
      <c r="Q39" s="103"/>
      <c r="R39" s="103"/>
      <c r="S39" s="103"/>
      <c r="T39" s="103"/>
      <c r="U39" s="103"/>
      <c r="V39" s="103"/>
      <c r="W39" s="103"/>
      <c r="X39" s="103"/>
      <c r="Y39" s="103"/>
      <c r="Z39" s="103"/>
      <c r="AA39" s="103"/>
    </row>
    <row r="40" spans="1:27" ht="28.9">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933</v>
      </c>
      <c r="L40" s="99" t="s">
        <v>934</v>
      </c>
      <c r="M40" s="103"/>
      <c r="N40" s="103"/>
      <c r="O40" s="103"/>
      <c r="P40" s="103"/>
      <c r="Q40" s="103"/>
      <c r="R40" s="103"/>
      <c r="S40" s="103"/>
      <c r="T40" s="103"/>
      <c r="U40" s="103"/>
      <c r="V40" s="103"/>
      <c r="W40" s="103"/>
      <c r="X40" s="103"/>
      <c r="Y40" s="103"/>
      <c r="Z40" s="103"/>
      <c r="AA40" s="103"/>
    </row>
    <row r="41" spans="1:27" ht="43.1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935</v>
      </c>
      <c r="L41" s="98" t="s">
        <v>936</v>
      </c>
      <c r="M41" s="102" t="s">
        <v>937</v>
      </c>
      <c r="N41" s="103"/>
      <c r="O41" s="103"/>
      <c r="P41" s="103"/>
      <c r="Q41" s="103"/>
      <c r="R41" s="103"/>
      <c r="S41" s="103"/>
      <c r="T41" s="103"/>
      <c r="U41" s="103"/>
      <c r="V41" s="103"/>
      <c r="W41" s="103"/>
      <c r="X41" s="103"/>
      <c r="Y41" s="103"/>
      <c r="Z41" s="103"/>
      <c r="AA41" s="103"/>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938</v>
      </c>
      <c r="L42" s="99" t="s">
        <v>939</v>
      </c>
      <c r="M42" s="102" t="s">
        <v>940</v>
      </c>
      <c r="N42" s="103"/>
      <c r="O42" s="103"/>
      <c r="P42" s="103"/>
      <c r="Q42" s="103"/>
      <c r="R42" s="103"/>
      <c r="S42" s="103"/>
      <c r="T42" s="103"/>
      <c r="U42" s="103"/>
      <c r="V42" s="103"/>
      <c r="W42" s="103"/>
      <c r="X42" s="103"/>
      <c r="Y42" s="103"/>
      <c r="Z42" s="103"/>
      <c r="AA42" s="103"/>
    </row>
    <row r="43" spans="1:27" ht="28.9">
      <c r="A43" s="24" t="str">
        <v>Q490</v>
      </c>
      <c r="B43" s="25" t="str">
        <v>NY</v>
      </c>
      <c r="C43" s="25" t="str">
        <f>Sites[[#This Row],[SOL'#]]</f>
        <v>SOL-10411</v>
      </c>
      <c r="D43" s="20">
        <v>45396.5</v>
      </c>
      <c r="E43" s="10" t="s">
        <v>941</v>
      </c>
      <c r="F43" s="10" t="str">
        <f t="shared" si="0"/>
        <v/>
      </c>
      <c r="G43" s="11" t="str">
        <f t="shared" si="1"/>
        <v/>
      </c>
      <c r="H43" s="12">
        <v>56275.360000000001</v>
      </c>
      <c r="I43" s="12">
        <f t="shared" si="2"/>
        <v>-10878.86</v>
      </c>
      <c r="J43" s="13">
        <f t="shared" si="3"/>
        <v>-0.19331480065165288</v>
      </c>
      <c r="K43" s="53" t="s">
        <v>687</v>
      </c>
      <c r="L43" s="98" t="s">
        <v>42</v>
      </c>
      <c r="M43" s="103"/>
      <c r="N43" s="103"/>
      <c r="O43" s="103"/>
      <c r="P43" s="103"/>
      <c r="Q43" s="103"/>
      <c r="R43" s="103"/>
      <c r="S43" s="103"/>
      <c r="T43" s="103"/>
      <c r="U43" s="103"/>
      <c r="V43" s="103"/>
      <c r="W43" s="103"/>
      <c r="X43" s="103"/>
      <c r="Y43" s="103"/>
      <c r="Z43" s="103"/>
      <c r="AA43" s="103"/>
    </row>
    <row r="44" spans="1:27" ht="15.6">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927</v>
      </c>
      <c r="L44" s="52"/>
      <c r="M44" s="103"/>
      <c r="N44" s="103"/>
      <c r="O44" s="103"/>
      <c r="P44" s="103"/>
      <c r="Q44" s="103"/>
      <c r="R44" s="103"/>
      <c r="S44" s="103"/>
      <c r="T44" s="103"/>
      <c r="U44" s="103"/>
      <c r="V44" s="103"/>
      <c r="W44" s="103"/>
      <c r="X44" s="103"/>
      <c r="Y44" s="103"/>
      <c r="Z44" s="103"/>
      <c r="AA44" s="103"/>
    </row>
    <row r="45" spans="1:27" ht="15.6">
      <c r="A45" s="24" t="str">
        <v>QMOA</v>
      </c>
      <c r="B45" s="25" t="str">
        <v>NY</v>
      </c>
      <c r="C45" s="25" t="str">
        <f>Sites[[#This Row],[SOL'#]]</f>
        <v>SOL-10415</v>
      </c>
      <c r="D45" s="20">
        <v>5822</v>
      </c>
      <c r="E45" s="10" t="s">
        <v>941</v>
      </c>
      <c r="F45" s="10" t="str">
        <f t="shared" si="0"/>
        <v/>
      </c>
      <c r="G45" s="11" t="str">
        <f t="shared" si="1"/>
        <v/>
      </c>
      <c r="H45" s="12">
        <v>6997.6819999999998</v>
      </c>
      <c r="I45" s="12">
        <f t="shared" si="2"/>
        <v>-1175.6819999999998</v>
      </c>
      <c r="J45" s="64">
        <f t="shared" si="4"/>
        <v>-0.16801020680848314</v>
      </c>
      <c r="K45" s="53" t="s">
        <v>927</v>
      </c>
      <c r="L45" s="53"/>
      <c r="M45" s="103"/>
      <c r="N45" s="103"/>
      <c r="O45" s="103"/>
      <c r="P45" s="103"/>
      <c r="Q45" s="103"/>
      <c r="R45" s="103"/>
      <c r="S45" s="103"/>
      <c r="T45" s="103"/>
      <c r="U45" s="103"/>
      <c r="V45" s="103"/>
      <c r="W45" s="103"/>
      <c r="X45" s="103"/>
      <c r="Y45" s="103"/>
      <c r="Z45" s="103"/>
      <c r="AA45" s="103"/>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942</v>
      </c>
      <c r="L46" s="99" t="s">
        <v>943</v>
      </c>
      <c r="M46" s="103"/>
      <c r="N46" s="103"/>
      <c r="O46" s="103"/>
      <c r="P46" s="103"/>
      <c r="Q46" s="103"/>
      <c r="R46" s="103"/>
      <c r="S46" s="103"/>
      <c r="T46" s="103"/>
      <c r="U46" s="103"/>
      <c r="V46" s="103"/>
      <c r="W46" s="103"/>
      <c r="X46" s="103"/>
      <c r="Y46" s="103"/>
      <c r="Z46" s="103"/>
      <c r="AA46" s="103"/>
    </row>
    <row r="47" spans="1:27" ht="15.6">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944</v>
      </c>
      <c r="L47" s="98" t="s">
        <v>690</v>
      </c>
      <c r="M47" s="103"/>
      <c r="N47" s="103"/>
      <c r="O47" s="103"/>
      <c r="P47" s="103"/>
      <c r="Q47" s="103"/>
      <c r="R47" s="103"/>
      <c r="S47" s="103"/>
      <c r="T47" s="103"/>
      <c r="U47" s="103"/>
      <c r="V47" s="103"/>
      <c r="W47" s="103"/>
      <c r="X47" s="103"/>
      <c r="Y47" s="103"/>
      <c r="Z47" s="103"/>
      <c r="AA47" s="103"/>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945</v>
      </c>
      <c r="L48" s="51"/>
      <c r="M48" s="103"/>
      <c r="N48" s="103"/>
      <c r="O48" s="103"/>
      <c r="P48" s="103"/>
      <c r="Q48" s="103"/>
      <c r="R48" s="103"/>
      <c r="S48" s="103"/>
      <c r="T48" s="103"/>
      <c r="U48" s="103"/>
      <c r="V48" s="103"/>
      <c r="W48" s="103"/>
      <c r="X48" s="103"/>
      <c r="Y48" s="103"/>
      <c r="Z48" s="103"/>
      <c r="AA48" s="103"/>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946</v>
      </c>
      <c r="L49" s="53" t="s">
        <v>947</v>
      </c>
      <c r="M49" s="103"/>
      <c r="N49" s="103"/>
      <c r="O49" s="103"/>
      <c r="P49" s="103"/>
      <c r="Q49" s="103"/>
      <c r="R49" s="103"/>
      <c r="S49" s="103"/>
      <c r="T49" s="103"/>
      <c r="U49" s="103"/>
      <c r="V49" s="103"/>
      <c r="W49" s="103"/>
      <c r="X49" s="103"/>
      <c r="Y49" s="103"/>
      <c r="Z49" s="103"/>
      <c r="AA49" s="103"/>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948</v>
      </c>
      <c r="L50" s="96" t="s">
        <v>949</v>
      </c>
      <c r="M50" s="103"/>
      <c r="N50" s="103"/>
      <c r="O50" s="103"/>
      <c r="P50" s="103"/>
      <c r="Q50" s="103"/>
      <c r="R50" s="103"/>
      <c r="S50" s="103"/>
      <c r="T50" s="103"/>
      <c r="U50" s="103"/>
      <c r="V50" s="103"/>
      <c r="W50" s="103"/>
      <c r="X50" s="103"/>
      <c r="Y50" s="103"/>
      <c r="Z50" s="103"/>
      <c r="AA50" s="103"/>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945</v>
      </c>
      <c r="L51" s="53"/>
      <c r="M51" s="103"/>
      <c r="N51" s="103"/>
      <c r="O51" s="103"/>
      <c r="P51" s="103"/>
      <c r="Q51" s="103"/>
      <c r="R51" s="103"/>
      <c r="S51" s="103"/>
      <c r="T51" s="103"/>
      <c r="U51" s="103"/>
      <c r="V51" s="103"/>
      <c r="W51" s="103"/>
      <c r="X51" s="103"/>
      <c r="Y51" s="103"/>
      <c r="Z51" s="103"/>
      <c r="AA51" s="103"/>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945</v>
      </c>
      <c r="L52" s="52"/>
      <c r="M52" s="103"/>
      <c r="N52" s="103"/>
      <c r="O52" s="103"/>
      <c r="P52" s="103"/>
      <c r="Q52" s="103"/>
      <c r="R52" s="103"/>
      <c r="S52" s="103"/>
      <c r="T52" s="103"/>
      <c r="U52" s="103"/>
      <c r="V52" s="103"/>
      <c r="W52" s="103"/>
      <c r="X52" s="103"/>
      <c r="Y52" s="103"/>
      <c r="Z52" s="103"/>
      <c r="AA52" s="103"/>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945</v>
      </c>
      <c r="L53" s="53"/>
      <c r="M53" s="103"/>
      <c r="N53" s="103"/>
      <c r="O53" s="103"/>
      <c r="P53" s="103"/>
      <c r="Q53" s="103"/>
      <c r="R53" s="103"/>
      <c r="S53" s="103"/>
      <c r="T53" s="103"/>
      <c r="U53" s="103"/>
      <c r="V53" s="103"/>
      <c r="W53" s="103"/>
      <c r="X53" s="103"/>
      <c r="Y53" s="103"/>
      <c r="Z53" s="103"/>
      <c r="AA53" s="103"/>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945</v>
      </c>
      <c r="L54" s="52"/>
      <c r="M54" s="103"/>
      <c r="N54" s="103"/>
      <c r="O54" s="103"/>
      <c r="P54" s="103"/>
      <c r="Q54" s="103"/>
      <c r="R54" s="103"/>
      <c r="S54" s="103"/>
      <c r="T54" s="103"/>
      <c r="U54" s="103"/>
      <c r="V54" s="103"/>
      <c r="W54" s="103"/>
      <c r="X54" s="103"/>
      <c r="Y54" s="103"/>
      <c r="Z54" s="103"/>
      <c r="AA54" s="103"/>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950</v>
      </c>
      <c r="L55" s="53" t="s">
        <v>951</v>
      </c>
      <c r="M55" s="103"/>
      <c r="N55" s="103"/>
      <c r="O55" s="103"/>
      <c r="P55" s="103"/>
      <c r="Q55" s="103"/>
      <c r="R55" s="103"/>
      <c r="S55" s="103"/>
      <c r="T55" s="103"/>
      <c r="U55" s="103"/>
      <c r="V55" s="103"/>
      <c r="W55" s="103"/>
      <c r="X55" s="103"/>
      <c r="Y55" s="103"/>
      <c r="Z55" s="103"/>
      <c r="AA55" s="103"/>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952</v>
      </c>
      <c r="L56" s="99" t="s">
        <v>953</v>
      </c>
      <c r="M56" s="102" t="s">
        <v>954</v>
      </c>
      <c r="N56" s="102" t="s">
        <v>697</v>
      </c>
      <c r="O56" s="103"/>
      <c r="P56" s="103"/>
      <c r="Q56" s="103"/>
      <c r="R56" s="103"/>
      <c r="S56" s="103"/>
      <c r="T56" s="103"/>
      <c r="U56" s="103"/>
      <c r="V56" s="103"/>
      <c r="W56" s="103"/>
      <c r="X56" s="103"/>
      <c r="Y56" s="103"/>
      <c r="Z56" s="103"/>
      <c r="AA56" s="103"/>
    </row>
    <row r="57" spans="1:27" ht="15.6">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3"/>
      <c r="N57" s="103"/>
      <c r="O57" s="103"/>
      <c r="P57" s="103"/>
      <c r="Q57" s="103"/>
      <c r="R57" s="103"/>
      <c r="S57" s="103"/>
      <c r="T57" s="103"/>
      <c r="U57" s="103"/>
      <c r="V57" s="103"/>
      <c r="W57" s="103"/>
      <c r="X57" s="103"/>
      <c r="Y57" s="103"/>
      <c r="Z57" s="103"/>
      <c r="AA57" s="103"/>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955</v>
      </c>
      <c r="L58" s="99" t="s">
        <v>956</v>
      </c>
      <c r="M58" s="102" t="s">
        <v>427</v>
      </c>
      <c r="N58" s="103"/>
      <c r="O58" s="103"/>
      <c r="P58" s="103"/>
      <c r="Q58" s="103"/>
      <c r="R58" s="103"/>
      <c r="S58" s="103"/>
      <c r="T58" s="103"/>
      <c r="U58" s="103"/>
      <c r="V58" s="103"/>
      <c r="W58" s="103"/>
      <c r="X58" s="103"/>
      <c r="Y58" s="103"/>
      <c r="Z58" s="103"/>
      <c r="AA58" s="103"/>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957</v>
      </c>
      <c r="L59" s="98" t="s">
        <v>958</v>
      </c>
      <c r="M59" s="102" t="s">
        <v>705</v>
      </c>
      <c r="N59" s="102" t="s">
        <v>959</v>
      </c>
      <c r="O59" s="103"/>
      <c r="P59" s="103"/>
      <c r="Q59" s="103"/>
      <c r="R59" s="103"/>
      <c r="S59" s="103"/>
      <c r="T59" s="103"/>
      <c r="U59" s="103"/>
      <c r="V59" s="103"/>
      <c r="W59" s="103"/>
      <c r="X59" s="103"/>
      <c r="Y59" s="103"/>
      <c r="Z59" s="103"/>
      <c r="AA59" s="103"/>
    </row>
    <row r="60" spans="1:27" ht="15.6">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960</v>
      </c>
      <c r="L60" s="51"/>
      <c r="M60" s="103"/>
      <c r="N60" s="103"/>
      <c r="O60" s="103"/>
      <c r="P60" s="103"/>
      <c r="Q60" s="103"/>
      <c r="R60" s="103"/>
      <c r="S60" s="103"/>
      <c r="T60" s="103"/>
      <c r="U60" s="103"/>
      <c r="V60" s="103"/>
      <c r="W60" s="103"/>
      <c r="X60" s="103"/>
      <c r="Y60" s="103"/>
      <c r="Z60" s="103"/>
      <c r="AA60" s="103"/>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961</v>
      </c>
      <c r="L61" s="98" t="s">
        <v>962</v>
      </c>
      <c r="M61" s="102" t="s">
        <v>963</v>
      </c>
      <c r="N61" s="102" t="s">
        <v>964</v>
      </c>
      <c r="O61" s="103"/>
      <c r="P61" s="103"/>
      <c r="Q61" s="103"/>
      <c r="R61" s="103"/>
      <c r="S61" s="103"/>
      <c r="T61" s="103"/>
      <c r="U61" s="103"/>
      <c r="V61" s="103"/>
      <c r="W61" s="103"/>
      <c r="X61" s="103"/>
      <c r="Y61" s="103"/>
      <c r="Z61" s="103"/>
      <c r="AA61" s="103"/>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965</v>
      </c>
      <c r="L62" s="51" t="s">
        <v>966</v>
      </c>
      <c r="M62" s="103"/>
      <c r="N62" s="103"/>
      <c r="O62" s="103"/>
      <c r="P62" s="103"/>
      <c r="Q62" s="103"/>
      <c r="R62" s="103"/>
      <c r="S62" s="103"/>
      <c r="T62" s="103"/>
      <c r="U62" s="103"/>
      <c r="V62" s="103"/>
      <c r="W62" s="103"/>
      <c r="X62" s="103"/>
      <c r="Y62" s="103"/>
      <c r="Z62" s="103"/>
      <c r="AA62" s="103"/>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967</v>
      </c>
      <c r="L63" s="98" t="s">
        <v>968</v>
      </c>
      <c r="M63" s="103"/>
      <c r="N63" s="103"/>
      <c r="O63" s="103"/>
      <c r="P63" s="103"/>
      <c r="Q63" s="103"/>
      <c r="R63" s="103"/>
      <c r="S63" s="103"/>
      <c r="T63" s="103"/>
      <c r="U63" s="103"/>
      <c r="V63" s="103"/>
      <c r="W63" s="103"/>
      <c r="X63" s="103"/>
      <c r="Y63" s="103"/>
      <c r="Z63" s="103"/>
      <c r="AA63" s="103"/>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969</v>
      </c>
      <c r="L64" s="52"/>
      <c r="M64" s="103"/>
      <c r="N64" s="103"/>
      <c r="O64" s="103"/>
      <c r="P64" s="103"/>
      <c r="Q64" s="103"/>
      <c r="R64" s="103"/>
      <c r="S64" s="103"/>
      <c r="T64" s="103"/>
      <c r="U64" s="103"/>
      <c r="V64" s="103"/>
      <c r="W64" s="103"/>
      <c r="X64" s="103"/>
      <c r="Y64" s="103"/>
      <c r="Z64" s="103"/>
      <c r="AA64" s="103"/>
    </row>
    <row r="65" spans="1:27" ht="15.6">
      <c r="A65" s="24" t="str">
        <v>Washington 1</v>
      </c>
      <c r="B65" s="25" t="str">
        <v>NY</v>
      </c>
      <c r="C65" s="25" t="str">
        <f>Sites[[#This Row],[SOL'#]]</f>
        <v>SOL-10912</v>
      </c>
      <c r="D65" s="20">
        <v>343030</v>
      </c>
      <c r="E65" s="10">
        <v>352474.11</v>
      </c>
      <c r="F65" s="10">
        <f t="shared" ref="F65:F110"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970</v>
      </c>
      <c r="L65" s="53"/>
      <c r="M65" s="103"/>
      <c r="N65" s="103"/>
      <c r="O65" s="103"/>
      <c r="P65" s="103"/>
      <c r="Q65" s="103"/>
      <c r="R65" s="103"/>
      <c r="S65" s="103"/>
      <c r="T65" s="103"/>
      <c r="U65" s="103"/>
      <c r="V65" s="103"/>
      <c r="W65" s="103"/>
      <c r="X65" s="103"/>
      <c r="Y65" s="103"/>
      <c r="Z65" s="103"/>
      <c r="AA65" s="103"/>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971</v>
      </c>
      <c r="L66" s="99" t="s">
        <v>972</v>
      </c>
      <c r="M66" s="102" t="s">
        <v>973</v>
      </c>
      <c r="N66" s="102" t="s">
        <v>719</v>
      </c>
      <c r="O66" s="103"/>
      <c r="P66" s="103"/>
      <c r="Q66" s="103"/>
      <c r="R66" s="103"/>
      <c r="S66" s="103"/>
      <c r="T66" s="103"/>
      <c r="U66" s="103"/>
      <c r="V66" s="103"/>
      <c r="W66" s="103"/>
      <c r="X66" s="103"/>
      <c r="Y66" s="103"/>
      <c r="Z66" s="103"/>
      <c r="AA66" s="103"/>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974</v>
      </c>
      <c r="L67" s="98" t="s">
        <v>975</v>
      </c>
      <c r="M67" s="102" t="s">
        <v>976</v>
      </c>
      <c r="N67" s="103"/>
      <c r="O67" s="103"/>
      <c r="P67" s="103"/>
      <c r="Q67" s="103"/>
      <c r="R67" s="103"/>
      <c r="S67" s="103"/>
      <c r="T67" s="103"/>
      <c r="U67" s="103"/>
      <c r="V67" s="103"/>
      <c r="W67" s="103"/>
      <c r="X67" s="103"/>
      <c r="Y67" s="103"/>
      <c r="Z67" s="103"/>
      <c r="AA67" s="103"/>
    </row>
    <row r="68" spans="1:27" ht="15.6">
      <c r="A68" s="26" t="str">
        <v>Big Tree</v>
      </c>
      <c r="B68" s="27" t="str">
        <v>NY</v>
      </c>
      <c r="C68" s="9" t="str">
        <f>Sites[[#This Row],[SOL'#]]</f>
        <v>SOL-10966</v>
      </c>
      <c r="D68" s="9">
        <v>334799</v>
      </c>
      <c r="E68" s="14" t="s">
        <v>941</v>
      </c>
      <c r="F68" s="14" t="str">
        <f t="shared" si="5"/>
        <v/>
      </c>
      <c r="G68" s="43" t="str">
        <f t="shared" si="6"/>
        <v/>
      </c>
      <c r="H68" s="43">
        <v>396020</v>
      </c>
      <c r="I68" s="43">
        <f t="shared" si="7"/>
        <v>-61221</v>
      </c>
      <c r="J68" s="15">
        <f t="shared" si="8"/>
        <v>-0.15459067723852329</v>
      </c>
      <c r="K68" s="51" t="s">
        <v>977</v>
      </c>
      <c r="L68" s="99" t="s">
        <v>721</v>
      </c>
      <c r="M68" s="103"/>
      <c r="N68" s="103"/>
      <c r="O68" s="103"/>
      <c r="P68" s="103"/>
      <c r="Q68" s="103"/>
      <c r="R68" s="103"/>
      <c r="S68" s="103"/>
      <c r="T68" s="103"/>
      <c r="U68" s="103"/>
      <c r="V68" s="103"/>
      <c r="W68" s="103"/>
      <c r="X68" s="103"/>
      <c r="Y68" s="103"/>
      <c r="Z68" s="103"/>
      <c r="AA68" s="103"/>
    </row>
    <row r="69" spans="1:27" ht="36" customHeight="1">
      <c r="A69" s="24" t="str">
        <v>Canoga</v>
      </c>
      <c r="B69" s="25" t="str">
        <v>NY</v>
      </c>
      <c r="C69" s="25" t="str">
        <f>Sites[[#This Row],[SOL'#]]</f>
        <v>SOL-10965</v>
      </c>
      <c r="D69" s="20">
        <v>0</v>
      </c>
      <c r="E69" s="10" t="s">
        <v>941</v>
      </c>
      <c r="F69" s="10" t="str">
        <f t="shared" si="5"/>
        <v/>
      </c>
      <c r="G69" s="10" t="str">
        <f t="shared" si="6"/>
        <v/>
      </c>
      <c r="H69" s="12">
        <v>0</v>
      </c>
      <c r="I69" s="12">
        <f t="shared" si="7"/>
        <v>0</v>
      </c>
      <c r="J69" s="64" t="str">
        <f t="shared" si="8"/>
        <v/>
      </c>
      <c r="K69" s="53" t="s">
        <v>978</v>
      </c>
      <c r="L69" s="98" t="s">
        <v>723</v>
      </c>
      <c r="M69" s="103"/>
      <c r="N69" s="103"/>
      <c r="O69" s="103"/>
      <c r="P69" s="103"/>
      <c r="Q69" s="103"/>
      <c r="R69" s="103"/>
      <c r="S69" s="103"/>
      <c r="T69" s="103"/>
      <c r="U69" s="103"/>
      <c r="V69" s="103"/>
      <c r="W69" s="103"/>
      <c r="X69" s="103"/>
      <c r="Y69" s="103"/>
      <c r="Z69" s="103"/>
      <c r="AA69" s="103"/>
    </row>
    <row r="70" spans="1:27" ht="18" customHeight="1">
      <c r="A70" s="26" t="str">
        <v>County Route 84</v>
      </c>
      <c r="B70" s="27" t="str">
        <v>NY</v>
      </c>
      <c r="C70" s="9" t="str">
        <f>Sites[[#This Row],[SOL'#]]</f>
        <v>SOL-10967</v>
      </c>
      <c r="D70" s="9">
        <v>766800</v>
      </c>
      <c r="E70" s="14" t="s">
        <v>941</v>
      </c>
      <c r="F70" s="43" t="str">
        <f t="shared" si="5"/>
        <v/>
      </c>
      <c r="G70" s="43" t="str">
        <f t="shared" si="6"/>
        <v/>
      </c>
      <c r="H70" s="16">
        <v>954472.22</v>
      </c>
      <c r="I70" s="16">
        <f t="shared" si="7"/>
        <v>-187672.21999999997</v>
      </c>
      <c r="J70" s="15">
        <f t="shared" si="8"/>
        <v>-0.19662407775471974</v>
      </c>
      <c r="K70" s="51" t="s">
        <v>979</v>
      </c>
      <c r="L70" s="99" t="s">
        <v>980</v>
      </c>
      <c r="M70" s="103"/>
      <c r="N70" s="103"/>
      <c r="O70" s="103"/>
      <c r="P70" s="103"/>
      <c r="Q70" s="103"/>
      <c r="R70" s="103"/>
      <c r="S70" s="103"/>
      <c r="T70" s="103"/>
      <c r="U70" s="103"/>
      <c r="V70" s="103"/>
      <c r="W70" s="103"/>
      <c r="X70" s="103"/>
      <c r="Y70" s="103"/>
      <c r="Z70" s="103"/>
      <c r="AA70" s="103"/>
    </row>
    <row r="71" spans="1:27" ht="30.75" customHeight="1">
      <c r="A71" s="24" t="str">
        <v>Donati</v>
      </c>
      <c r="B71" s="25" t="str">
        <v>NY</v>
      </c>
      <c r="C71" s="25" t="str">
        <f>Sites[[#This Row],[SOL'#]]</f>
        <v>SOL-10968</v>
      </c>
      <c r="D71" s="20">
        <v>355625</v>
      </c>
      <c r="E71" s="10" t="s">
        <v>941</v>
      </c>
      <c r="F71" s="10" t="str">
        <f t="shared" si="5"/>
        <v/>
      </c>
      <c r="G71" s="10" t="str">
        <f t="shared" si="6"/>
        <v/>
      </c>
      <c r="H71" s="12">
        <v>496637.33</v>
      </c>
      <c r="I71" s="12">
        <f t="shared" si="7"/>
        <v>-141012.33000000002</v>
      </c>
      <c r="J71" s="64">
        <f t="shared" si="8"/>
        <v>-0.28393421412764119</v>
      </c>
      <c r="K71" s="53" t="s">
        <v>981</v>
      </c>
      <c r="L71" s="98" t="s">
        <v>982</v>
      </c>
      <c r="M71" s="102" t="s">
        <v>728</v>
      </c>
      <c r="N71" s="102" t="s">
        <v>83</v>
      </c>
      <c r="O71" s="103"/>
      <c r="P71" s="103"/>
      <c r="Q71" s="103"/>
      <c r="R71" s="103"/>
      <c r="S71" s="103"/>
      <c r="T71" s="103"/>
      <c r="U71" s="103"/>
      <c r="V71" s="103"/>
      <c r="W71" s="103"/>
      <c r="X71" s="103"/>
      <c r="Y71" s="103"/>
      <c r="Z71" s="103"/>
      <c r="AA71" s="103"/>
    </row>
    <row r="72" spans="1:27" ht="108.75" customHeight="1">
      <c r="A72" s="26" t="str">
        <v>Henrietta</v>
      </c>
      <c r="B72" s="27" t="str">
        <v>NY</v>
      </c>
      <c r="C72" s="9" t="str">
        <f>Sites[[#This Row],[SOL'#]]</f>
        <v>SOL-10972</v>
      </c>
      <c r="D72" s="9">
        <v>649490</v>
      </c>
      <c r="E72" s="14" t="s">
        <v>941</v>
      </c>
      <c r="F72" s="14" t="str">
        <f t="shared" si="5"/>
        <v/>
      </c>
      <c r="G72" s="14" t="str">
        <f t="shared" si="6"/>
        <v/>
      </c>
      <c r="H72" s="14">
        <v>1054030.1200000001</v>
      </c>
      <c r="I72" s="14">
        <f t="shared" si="7"/>
        <v>-404540.12000000011</v>
      </c>
      <c r="J72" s="15">
        <f t="shared" si="8"/>
        <v>-0.38380318771156186</v>
      </c>
      <c r="K72" s="51" t="s">
        <v>983</v>
      </c>
      <c r="L72" s="99" t="s">
        <v>984</v>
      </c>
      <c r="M72" s="102" t="s">
        <v>985</v>
      </c>
      <c r="N72" s="103"/>
      <c r="O72" s="103"/>
      <c r="P72" s="103"/>
      <c r="Q72" s="103"/>
      <c r="R72" s="103"/>
      <c r="S72" s="103"/>
      <c r="T72" s="103"/>
      <c r="U72" s="103"/>
      <c r="V72" s="103"/>
      <c r="W72" s="103"/>
      <c r="X72" s="103"/>
      <c r="Y72" s="103"/>
      <c r="Z72" s="103"/>
      <c r="AA72" s="103"/>
    </row>
    <row r="73" spans="1:27" ht="66" customHeight="1">
      <c r="A73" s="24" t="str">
        <v>NY 70</v>
      </c>
      <c r="B73" s="25" t="str">
        <v>NY</v>
      </c>
      <c r="C73" s="25" t="str">
        <f>Sites[[#This Row],[SOL'#]]</f>
        <v>SOL-10970</v>
      </c>
      <c r="D73" s="20">
        <v>886000</v>
      </c>
      <c r="E73" s="10" t="s">
        <v>941</v>
      </c>
      <c r="F73" s="10" t="str">
        <f t="shared" si="5"/>
        <v/>
      </c>
      <c r="G73" s="11" t="str">
        <f t="shared" si="6"/>
        <v/>
      </c>
      <c r="H73" s="12">
        <v>1183305.28</v>
      </c>
      <c r="I73" s="12">
        <f t="shared" si="7"/>
        <v>-297305.28000000003</v>
      </c>
      <c r="J73" s="64">
        <f t="shared" si="8"/>
        <v>-0.25124985498247759</v>
      </c>
      <c r="K73" s="53" t="s">
        <v>986</v>
      </c>
      <c r="L73" s="98" t="s">
        <v>987</v>
      </c>
      <c r="M73" s="102" t="s">
        <v>738</v>
      </c>
      <c r="N73" s="102" t="s">
        <v>988</v>
      </c>
      <c r="O73" s="103"/>
      <c r="P73" s="103"/>
      <c r="Q73" s="103"/>
      <c r="R73" s="103"/>
      <c r="S73" s="103"/>
      <c r="T73" s="103"/>
      <c r="U73" s="103"/>
      <c r="V73" s="103"/>
      <c r="W73" s="103"/>
      <c r="X73" s="103"/>
      <c r="Y73" s="103"/>
      <c r="Z73" s="103"/>
      <c r="AA73" s="103"/>
    </row>
    <row r="74" spans="1:27" ht="345.6">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989</v>
      </c>
      <c r="L74" s="99" t="s">
        <v>990</v>
      </c>
      <c r="M74" s="102" t="s">
        <v>991</v>
      </c>
      <c r="N74" s="102" t="s">
        <v>992</v>
      </c>
      <c r="O74" s="102" t="s">
        <v>993</v>
      </c>
      <c r="P74" s="102" t="s">
        <v>994</v>
      </c>
      <c r="Q74" s="102" t="s">
        <v>992</v>
      </c>
      <c r="R74" s="102" t="s">
        <v>993</v>
      </c>
      <c r="S74" s="102" t="s">
        <v>994</v>
      </c>
      <c r="T74" s="102" t="s">
        <v>992</v>
      </c>
      <c r="U74" s="102" t="s">
        <v>993</v>
      </c>
      <c r="V74" s="102" t="s">
        <v>992</v>
      </c>
      <c r="W74" s="102" t="s">
        <v>995</v>
      </c>
      <c r="X74" s="102" t="s">
        <v>992</v>
      </c>
      <c r="Y74" s="103"/>
      <c r="Z74" s="103"/>
      <c r="AA74" s="103"/>
    </row>
    <row r="75" spans="1:27" ht="15.6">
      <c r="A75" s="24" t="str">
        <v>Sangolqui</v>
      </c>
      <c r="B75" s="25" t="str">
        <v>NY</v>
      </c>
      <c r="C75" s="25" t="str">
        <f>Sites[[#This Row],[SOL'#]]</f>
        <v>SOL-10975</v>
      </c>
      <c r="D75" s="20">
        <v>354940</v>
      </c>
      <c r="E75" s="10" t="s">
        <v>941</v>
      </c>
      <c r="F75" s="10" t="str">
        <f t="shared" si="5"/>
        <v/>
      </c>
      <c r="G75" s="11" t="str">
        <f t="shared" si="6"/>
        <v/>
      </c>
      <c r="H75" s="12">
        <v>486092.87</v>
      </c>
      <c r="I75" s="12">
        <f t="shared" si="7"/>
        <v>-131152.87</v>
      </c>
      <c r="J75" s="64">
        <f t="shared" si="8"/>
        <v>-0.26981031423069424</v>
      </c>
      <c r="K75" s="53" t="s">
        <v>996</v>
      </c>
      <c r="L75" s="53"/>
      <c r="M75" s="103"/>
      <c r="N75" s="103"/>
      <c r="O75" s="103"/>
      <c r="P75" s="103"/>
      <c r="Q75" s="103"/>
      <c r="R75" s="103"/>
      <c r="S75" s="103"/>
      <c r="T75" s="103"/>
      <c r="U75" s="103"/>
      <c r="V75" s="103"/>
      <c r="W75" s="103"/>
      <c r="X75" s="103"/>
      <c r="Y75" s="103"/>
      <c r="Z75" s="103"/>
      <c r="AA75" s="103"/>
    </row>
    <row r="76" spans="1:27" ht="15.6">
      <c r="A76" s="26" t="str">
        <v>State Highway 17B</v>
      </c>
      <c r="B76" s="27" t="str">
        <v>NY</v>
      </c>
      <c r="C76" s="9" t="str">
        <f>Sites[[#This Row],[SOL'#]]</f>
        <v>SOL-10988</v>
      </c>
      <c r="D76" s="9">
        <v>683720</v>
      </c>
      <c r="E76" s="14" t="s">
        <v>941</v>
      </c>
      <c r="F76" s="14" t="str">
        <f t="shared" si="5"/>
        <v/>
      </c>
      <c r="G76" s="15" t="str">
        <f t="shared" si="6"/>
        <v/>
      </c>
      <c r="H76" s="16">
        <v>753209.85</v>
      </c>
      <c r="I76" s="16">
        <f t="shared" si="7"/>
        <v>-69489.849999999977</v>
      </c>
      <c r="J76" s="15">
        <f t="shared" si="8"/>
        <v>-9.2258286319542929E-2</v>
      </c>
      <c r="K76" s="51"/>
      <c r="L76" s="52"/>
      <c r="M76" s="103"/>
      <c r="N76" s="103"/>
      <c r="O76" s="103"/>
      <c r="P76" s="103"/>
      <c r="Q76" s="103"/>
      <c r="R76" s="103"/>
      <c r="S76" s="103"/>
      <c r="T76" s="103"/>
      <c r="U76" s="103"/>
      <c r="V76" s="103"/>
      <c r="W76" s="103"/>
      <c r="X76" s="103"/>
      <c r="Y76" s="103"/>
      <c r="Z76" s="103"/>
      <c r="AA76" s="103"/>
    </row>
    <row r="77" spans="1:27" ht="47.25" customHeight="1">
      <c r="A77" s="24" t="str">
        <v>State Route 14A</v>
      </c>
      <c r="B77" s="25" t="str">
        <v>NY</v>
      </c>
      <c r="C77" s="25" t="str">
        <f>Sites[[#This Row],[SOL'#]]</f>
        <v>SOL-10997</v>
      </c>
      <c r="D77" s="20">
        <v>190293</v>
      </c>
      <c r="E77" s="10" t="s">
        <v>941</v>
      </c>
      <c r="F77" s="10" t="str">
        <f t="shared" si="5"/>
        <v/>
      </c>
      <c r="G77" s="11" t="str">
        <f t="shared" si="6"/>
        <v/>
      </c>
      <c r="H77" s="12">
        <v>966912.78</v>
      </c>
      <c r="I77" s="12">
        <f t="shared" si="7"/>
        <v>-776619.78</v>
      </c>
      <c r="J77" s="64">
        <f t="shared" si="8"/>
        <v>-0.80319527889578624</v>
      </c>
      <c r="K77" s="53" t="s">
        <v>997</v>
      </c>
      <c r="L77" s="98" t="s">
        <v>998</v>
      </c>
      <c r="M77" s="102" t="s">
        <v>999</v>
      </c>
      <c r="N77" s="103"/>
      <c r="O77" s="103"/>
      <c r="P77" s="103"/>
      <c r="Q77" s="103"/>
      <c r="R77" s="103"/>
      <c r="S77" s="103"/>
      <c r="T77" s="103"/>
      <c r="U77" s="103"/>
      <c r="V77" s="103"/>
      <c r="W77" s="103"/>
      <c r="X77" s="103"/>
      <c r="Y77" s="103"/>
      <c r="Z77" s="103"/>
      <c r="AA77" s="103"/>
    </row>
    <row r="78" spans="1:27" ht="68.25" customHeight="1">
      <c r="A78" s="26" t="str">
        <v>West Creek</v>
      </c>
      <c r="B78" s="27" t="str">
        <v>NY</v>
      </c>
      <c r="C78" s="9" t="str">
        <f>Sites[[#This Row],[SOL'#]]</f>
        <v>SOL-10995</v>
      </c>
      <c r="D78" s="9">
        <v>565640</v>
      </c>
      <c r="E78" s="14" t="s">
        <v>941</v>
      </c>
      <c r="F78" s="14" t="str">
        <f t="shared" si="5"/>
        <v/>
      </c>
      <c r="G78" s="15" t="str">
        <f t="shared" si="6"/>
        <v/>
      </c>
      <c r="H78" s="16">
        <v>985279.61</v>
      </c>
      <c r="I78" s="16">
        <f t="shared" si="7"/>
        <v>-419639.61</v>
      </c>
      <c r="J78" s="15">
        <f t="shared" si="8"/>
        <v>-0.42590915892393227</v>
      </c>
      <c r="K78" s="51" t="s">
        <v>1000</v>
      </c>
      <c r="L78" s="99" t="s">
        <v>1001</v>
      </c>
      <c r="M78" s="102" t="s">
        <v>1002</v>
      </c>
      <c r="N78" s="103"/>
      <c r="O78" s="103"/>
      <c r="P78" s="103"/>
      <c r="Q78" s="103"/>
      <c r="R78" s="103"/>
      <c r="S78" s="103"/>
      <c r="T78" s="103"/>
      <c r="U78" s="103"/>
      <c r="V78" s="103"/>
      <c r="W78" s="103"/>
      <c r="X78" s="103"/>
      <c r="Y78" s="103"/>
      <c r="Z78" s="103"/>
      <c r="AA78" s="103"/>
    </row>
    <row r="79" spans="1:27" ht="65.25" customHeight="1">
      <c r="A79" s="24" t="str">
        <v>Wildflower</v>
      </c>
      <c r="B79" s="25" t="str">
        <v>NY</v>
      </c>
      <c r="C79" s="25" t="str">
        <f>Sites[[#This Row],[SOL'#]]</f>
        <v>SOL-10982</v>
      </c>
      <c r="D79" s="20">
        <v>637034</v>
      </c>
      <c r="E79" s="10" t="s">
        <v>941</v>
      </c>
      <c r="F79" s="10" t="str">
        <f t="shared" si="5"/>
        <v/>
      </c>
      <c r="G79" s="11" t="str">
        <f t="shared" si="6"/>
        <v/>
      </c>
      <c r="H79" s="12">
        <v>991234.8</v>
      </c>
      <c r="I79" s="12">
        <f t="shared" si="7"/>
        <v>-354200.80000000005</v>
      </c>
      <c r="J79" s="64">
        <f t="shared" si="8"/>
        <v>-0.35733289428498682</v>
      </c>
      <c r="K79" s="53" t="s">
        <v>1003</v>
      </c>
      <c r="L79" s="98" t="s">
        <v>1004</v>
      </c>
      <c r="M79" s="102" t="s">
        <v>1005</v>
      </c>
      <c r="N79" s="102" t="s">
        <v>1006</v>
      </c>
      <c r="O79" s="103"/>
      <c r="P79" s="103"/>
      <c r="Q79" s="103"/>
      <c r="R79" s="103"/>
      <c r="S79" s="103"/>
      <c r="T79" s="103"/>
      <c r="U79" s="103"/>
      <c r="V79" s="103"/>
      <c r="W79" s="103"/>
      <c r="X79" s="103"/>
      <c r="Y79" s="103"/>
      <c r="Z79" s="103"/>
      <c r="AA79" s="103"/>
    </row>
    <row r="80" spans="1:27" ht="43.15">
      <c r="A80" s="26" t="str">
        <v>Glen Mary 1</v>
      </c>
      <c r="B80" s="27" t="str">
        <v>NY</v>
      </c>
      <c r="C80" s="9" t="str">
        <f>Sites[[#This Row],[SOL'#]]</f>
        <v>SOL-10993</v>
      </c>
      <c r="D80" s="9">
        <v>564170</v>
      </c>
      <c r="E80" s="14" t="s">
        <v>941</v>
      </c>
      <c r="F80" s="14" t="str">
        <f t="shared" si="5"/>
        <v/>
      </c>
      <c r="G80" s="15" t="str">
        <f t="shared" si="6"/>
        <v/>
      </c>
      <c r="H80" s="16">
        <v>1014571.98</v>
      </c>
      <c r="I80" s="16">
        <f t="shared" si="7"/>
        <v>-450401.98</v>
      </c>
      <c r="J80" s="15">
        <f t="shared" si="8"/>
        <v>-0.4439329972428373</v>
      </c>
      <c r="K80" s="51" t="s">
        <v>1007</v>
      </c>
      <c r="L80" s="99" t="s">
        <v>1008</v>
      </c>
      <c r="M80" s="102" t="s">
        <v>1009</v>
      </c>
      <c r="N80" s="102" t="s">
        <v>1010</v>
      </c>
      <c r="O80" s="103"/>
      <c r="P80" s="103"/>
      <c r="Q80" s="103"/>
      <c r="R80" s="103"/>
      <c r="S80" s="103"/>
      <c r="T80" s="103"/>
      <c r="U80" s="103"/>
      <c r="V80" s="103"/>
      <c r="W80" s="103"/>
      <c r="X80" s="103"/>
      <c r="Y80" s="103"/>
      <c r="Z80" s="103"/>
      <c r="AA80" s="103"/>
    </row>
    <row r="81" spans="1:27" ht="35.25" customHeight="1">
      <c r="A81" s="24" t="str">
        <v>Glen Mary 2</v>
      </c>
      <c r="B81" s="25" t="str">
        <v>NY</v>
      </c>
      <c r="C81" s="25" t="str">
        <f>Sites[[#This Row],[SOL'#]]</f>
        <v>SOL-10994</v>
      </c>
      <c r="D81" s="20">
        <v>248380</v>
      </c>
      <c r="E81" s="10" t="s">
        <v>941</v>
      </c>
      <c r="F81" s="10" t="str">
        <f t="shared" si="5"/>
        <v/>
      </c>
      <c r="G81" s="11" t="str">
        <f t="shared" si="6"/>
        <v/>
      </c>
      <c r="H81" s="12">
        <v>432204.17</v>
      </c>
      <c r="I81" s="12">
        <f t="shared" si="7"/>
        <v>-183824.16999999998</v>
      </c>
      <c r="J81" s="64">
        <f t="shared" si="8"/>
        <v>-0.42531790010262971</v>
      </c>
      <c r="K81" s="53" t="s">
        <v>1011</v>
      </c>
      <c r="L81" s="98" t="s">
        <v>1012</v>
      </c>
      <c r="M81" s="102" t="s">
        <v>1013</v>
      </c>
      <c r="N81" s="103"/>
      <c r="O81" s="103"/>
      <c r="P81" s="103"/>
      <c r="Q81" s="103"/>
      <c r="R81" s="103"/>
      <c r="S81" s="103"/>
      <c r="T81" s="103"/>
      <c r="U81" s="103"/>
      <c r="V81" s="103"/>
      <c r="W81" s="103"/>
      <c r="X81" s="103"/>
      <c r="Y81" s="103"/>
      <c r="Z81" s="103"/>
      <c r="AA81" s="103"/>
    </row>
    <row r="82" spans="1:27" ht="15.6">
      <c r="A82" s="26" t="str">
        <v>Telegraph 1</v>
      </c>
      <c r="B82" s="27" t="str">
        <v>NY</v>
      </c>
      <c r="C82" s="9" t="str">
        <f>Sites[[#This Row],[SOL'#]]</f>
        <v>SOL-11003</v>
      </c>
      <c r="D82" s="9">
        <v>609457</v>
      </c>
      <c r="E82" s="14" t="s">
        <v>941</v>
      </c>
      <c r="F82" s="14" t="str">
        <f t="shared" si="5"/>
        <v/>
      </c>
      <c r="G82" s="15" t="str">
        <f t="shared" si="6"/>
        <v/>
      </c>
      <c r="H82" s="16">
        <v>722853.26</v>
      </c>
      <c r="I82" s="16">
        <f t="shared" si="7"/>
        <v>-113396.26000000001</v>
      </c>
      <c r="J82" s="15">
        <f t="shared" si="8"/>
        <v>-0.15687313909326495</v>
      </c>
      <c r="K82" s="51" t="s">
        <v>1014</v>
      </c>
      <c r="L82" s="52"/>
      <c r="M82" s="103"/>
      <c r="N82" s="103"/>
      <c r="O82" s="103"/>
      <c r="P82" s="103"/>
      <c r="Q82" s="103"/>
      <c r="R82" s="103"/>
      <c r="S82" s="103"/>
      <c r="T82" s="103"/>
      <c r="U82" s="103"/>
      <c r="V82" s="103"/>
      <c r="W82" s="103"/>
      <c r="X82" s="103"/>
      <c r="Y82" s="103"/>
      <c r="Z82" s="103"/>
      <c r="AA82" s="103"/>
    </row>
    <row r="83" spans="1:27" ht="15.6">
      <c r="A83" s="24" t="str">
        <v>Telegraph 2</v>
      </c>
      <c r="B83" s="25" t="str">
        <v>NY</v>
      </c>
      <c r="C83" s="25" t="str">
        <f>Sites[[#This Row],[SOL'#]]</f>
        <v>SOL-11004</v>
      </c>
      <c r="D83" s="20">
        <v>322890</v>
      </c>
      <c r="E83" s="10" t="s">
        <v>941</v>
      </c>
      <c r="F83" s="10" t="str">
        <f t="shared" si="5"/>
        <v/>
      </c>
      <c r="G83" s="11" t="str">
        <f t="shared" si="6"/>
        <v/>
      </c>
      <c r="H83" s="12">
        <v>376205.85</v>
      </c>
      <c r="I83" s="12">
        <f t="shared" si="7"/>
        <v>-53315.849999999977</v>
      </c>
      <c r="J83" s="64">
        <f t="shared" si="8"/>
        <v>-0.14171988553607015</v>
      </c>
      <c r="K83" s="73" t="s">
        <v>1015</v>
      </c>
      <c r="L83" s="53"/>
      <c r="M83" s="103"/>
      <c r="N83" s="103"/>
      <c r="O83" s="103"/>
      <c r="P83" s="103"/>
      <c r="Q83" s="103"/>
      <c r="R83" s="103"/>
      <c r="S83" s="103"/>
      <c r="T83" s="103"/>
      <c r="U83" s="103"/>
      <c r="V83" s="103"/>
      <c r="W83" s="103"/>
      <c r="X83" s="103"/>
      <c r="Y83" s="103"/>
      <c r="Z83" s="103"/>
      <c r="AA83" s="103"/>
    </row>
    <row r="84" spans="1:27" ht="15.6">
      <c r="A84" s="26" t="str">
        <v>Cafferty Hill</v>
      </c>
      <c r="B84" s="27" t="str">
        <v>NY</v>
      </c>
      <c r="C84" s="9" t="str">
        <f>Sites[[#This Row],[SOL'#]]</f>
        <v>SOL-10996</v>
      </c>
      <c r="D84" s="9">
        <v>699070</v>
      </c>
      <c r="E84" s="14" t="s">
        <v>941</v>
      </c>
      <c r="F84" s="14" t="str">
        <f t="shared" si="5"/>
        <v/>
      </c>
      <c r="G84" s="15" t="str">
        <f t="shared" si="6"/>
        <v/>
      </c>
      <c r="H84" s="16">
        <v>925815.16</v>
      </c>
      <c r="I84" s="16">
        <f t="shared" si="7"/>
        <v>-226745.16000000003</v>
      </c>
      <c r="J84" s="15">
        <f t="shared" si="8"/>
        <v>-0.24491407118457645</v>
      </c>
      <c r="K84" s="51" t="s">
        <v>1016</v>
      </c>
      <c r="L84" s="51"/>
      <c r="M84" s="103"/>
      <c r="N84" s="103"/>
      <c r="O84" s="103"/>
      <c r="P84" s="103"/>
      <c r="Q84" s="103"/>
      <c r="R84" s="103"/>
      <c r="S84" s="103"/>
      <c r="T84" s="103"/>
      <c r="U84" s="103"/>
      <c r="V84" s="103"/>
      <c r="W84" s="103"/>
      <c r="X84" s="103"/>
      <c r="Y84" s="103"/>
      <c r="Z84" s="103"/>
      <c r="AA84" s="103"/>
    </row>
    <row r="85" spans="1:27" ht="57.6">
      <c r="A85" s="24" t="str">
        <v>Dunkleman</v>
      </c>
      <c r="B85" s="25" t="str">
        <v>NY</v>
      </c>
      <c r="C85" s="25" t="str">
        <f>Sites[[#This Row],[SOL'#]]</f>
        <v>SOL-11008</v>
      </c>
      <c r="D85" s="20">
        <v>931420</v>
      </c>
      <c r="E85" s="10" t="s">
        <v>941</v>
      </c>
      <c r="F85" s="10" t="str">
        <f t="shared" si="5"/>
        <v/>
      </c>
      <c r="G85" s="11" t="str">
        <f t="shared" si="6"/>
        <v/>
      </c>
      <c r="H85" s="12">
        <v>1222284.26</v>
      </c>
      <c r="I85" s="12">
        <f t="shared" si="7"/>
        <v>-290864.26</v>
      </c>
      <c r="J85" s="64">
        <f t="shared" si="8"/>
        <v>-0.23796777027955837</v>
      </c>
      <c r="K85" s="53" t="s">
        <v>1017</v>
      </c>
      <c r="L85" s="98" t="s">
        <v>301</v>
      </c>
      <c r="M85" s="103"/>
      <c r="N85" s="103"/>
      <c r="O85" s="103"/>
      <c r="P85" s="103"/>
      <c r="Q85" s="103"/>
      <c r="R85" s="103"/>
      <c r="S85" s="103"/>
      <c r="T85" s="103"/>
      <c r="U85" s="103"/>
      <c r="V85" s="103"/>
      <c r="W85" s="103"/>
      <c r="X85" s="103"/>
      <c r="Y85" s="103"/>
      <c r="Z85" s="103"/>
      <c r="AA85" s="103"/>
    </row>
    <row r="86" spans="1:27" ht="15.6">
      <c r="A86" s="26" t="str">
        <v>Route 19 1</v>
      </c>
      <c r="B86" s="27" t="str">
        <v>NY</v>
      </c>
      <c r="C86" s="9" t="str">
        <f>Sites[[#This Row],[SOL'#]]</f>
        <v>SOL-11001</v>
      </c>
      <c r="D86" s="9">
        <v>384140</v>
      </c>
      <c r="E86" s="14" t="s">
        <v>941</v>
      </c>
      <c r="F86" s="14" t="str">
        <f t="shared" si="5"/>
        <v/>
      </c>
      <c r="G86" s="15" t="str">
        <f t="shared" si="6"/>
        <v/>
      </c>
      <c r="H86" s="16">
        <v>492648.27</v>
      </c>
      <c r="I86" s="16">
        <f t="shared" si="7"/>
        <v>-108508.27000000002</v>
      </c>
      <c r="J86" s="15">
        <f t="shared" si="8"/>
        <v>-0.22025505133713352</v>
      </c>
      <c r="K86" s="51" t="s">
        <v>1018</v>
      </c>
      <c r="L86" s="51"/>
      <c r="M86" s="103"/>
      <c r="N86" s="103"/>
      <c r="O86" s="103"/>
      <c r="P86" s="103"/>
      <c r="Q86" s="103"/>
      <c r="R86" s="103"/>
      <c r="S86" s="103"/>
      <c r="T86" s="103"/>
      <c r="U86" s="103"/>
      <c r="V86" s="103"/>
      <c r="W86" s="103"/>
      <c r="X86" s="103"/>
      <c r="Y86" s="103"/>
      <c r="Z86" s="103"/>
      <c r="AA86" s="103"/>
    </row>
    <row r="87" spans="1:27" ht="15.6">
      <c r="A87" s="24" t="str">
        <v>Route 19 2</v>
      </c>
      <c r="B87" s="25" t="str">
        <v>NY</v>
      </c>
      <c r="C87" s="25" t="str">
        <f>Sites[[#This Row],[SOL'#]]</f>
        <v>SOL-11002</v>
      </c>
      <c r="D87" s="20">
        <v>926520</v>
      </c>
      <c r="E87" s="10" t="s">
        <v>941</v>
      </c>
      <c r="F87" s="10" t="str">
        <f t="shared" si="5"/>
        <v/>
      </c>
      <c r="G87" s="11" t="str">
        <f t="shared" si="6"/>
        <v/>
      </c>
      <c r="H87" s="12">
        <v>1226350.1399999999</v>
      </c>
      <c r="I87" s="12">
        <f t="shared" si="7"/>
        <v>-299830.1399999999</v>
      </c>
      <c r="J87" s="64">
        <f t="shared" si="8"/>
        <v>-0.24448983224317969</v>
      </c>
      <c r="K87" s="53" t="s">
        <v>1018</v>
      </c>
      <c r="L87" s="53"/>
      <c r="M87" s="103"/>
      <c r="N87" s="103"/>
      <c r="O87" s="103"/>
      <c r="P87" s="103"/>
      <c r="Q87" s="103"/>
      <c r="R87" s="103"/>
      <c r="S87" s="103"/>
      <c r="T87" s="103"/>
      <c r="U87" s="103"/>
      <c r="V87" s="103"/>
      <c r="W87" s="103"/>
      <c r="X87" s="103"/>
      <c r="Y87" s="103"/>
      <c r="Z87" s="103"/>
      <c r="AA87" s="103"/>
    </row>
    <row r="88" spans="1:27" ht="33" customHeight="1">
      <c r="A88" s="26" t="str">
        <v>Yellow Mills 1</v>
      </c>
      <c r="B88" s="27" t="str">
        <v>NY</v>
      </c>
      <c r="C88" s="9" t="str">
        <f>Sites[[#This Row],[SOL'#]]</f>
        <v>SOL-11006</v>
      </c>
      <c r="D88" s="9">
        <v>309410</v>
      </c>
      <c r="E88" s="14" t="s">
        <v>941</v>
      </c>
      <c r="F88" s="14" t="str">
        <f t="shared" si="5"/>
        <v/>
      </c>
      <c r="G88" s="15" t="str">
        <f t="shared" si="6"/>
        <v/>
      </c>
      <c r="H88" s="16">
        <v>416192.42</v>
      </c>
      <c r="I88" s="16">
        <f t="shared" si="7"/>
        <v>-106782.41999999998</v>
      </c>
      <c r="J88" s="15">
        <f t="shared" si="8"/>
        <v>-0.25656983373219527</v>
      </c>
      <c r="K88" s="51" t="s">
        <v>1019</v>
      </c>
      <c r="L88" s="99" t="s">
        <v>1020</v>
      </c>
      <c r="M88" s="103"/>
      <c r="N88" s="103"/>
      <c r="O88" s="103"/>
      <c r="P88" s="103"/>
      <c r="Q88" s="103"/>
      <c r="R88" s="103"/>
      <c r="S88" s="103"/>
      <c r="T88" s="103"/>
      <c r="U88" s="103"/>
      <c r="V88" s="103"/>
      <c r="W88" s="103"/>
      <c r="X88" s="103"/>
      <c r="Y88" s="103"/>
      <c r="Z88" s="103"/>
      <c r="AA88" s="103"/>
    </row>
    <row r="89" spans="1:27" ht="33.75" customHeight="1">
      <c r="A89" s="24" t="str">
        <v>Yellow Mills 2</v>
      </c>
      <c r="B89" s="25" t="str">
        <v>NY</v>
      </c>
      <c r="C89" s="25" t="str">
        <f>Sites[[#This Row],[SOL'#]]</f>
        <v>SOL-11005</v>
      </c>
      <c r="D89" s="20">
        <v>325193</v>
      </c>
      <c r="E89" s="10" t="s">
        <v>941</v>
      </c>
      <c r="F89" s="10" t="str">
        <f t="shared" si="5"/>
        <v/>
      </c>
      <c r="G89" s="11" t="str">
        <f t="shared" si="6"/>
        <v/>
      </c>
      <c r="H89" s="12">
        <v>429297.84</v>
      </c>
      <c r="I89" s="12">
        <f t="shared" si="7"/>
        <v>-104104.84000000003</v>
      </c>
      <c r="J89" s="64">
        <f t="shared" si="8"/>
        <v>-0.24250026508402656</v>
      </c>
      <c r="K89" s="53" t="s">
        <v>1021</v>
      </c>
      <c r="L89" s="98" t="s">
        <v>1022</v>
      </c>
      <c r="M89" s="103"/>
      <c r="N89" s="103"/>
      <c r="O89" s="103"/>
      <c r="P89" s="103"/>
      <c r="Q89" s="103"/>
      <c r="R89" s="103"/>
      <c r="S89" s="103"/>
      <c r="T89" s="103"/>
      <c r="U89" s="103"/>
      <c r="V89" s="103"/>
      <c r="W89" s="103"/>
      <c r="X89" s="103"/>
      <c r="Y89" s="103"/>
      <c r="Z89" s="103"/>
      <c r="AA89" s="103"/>
    </row>
    <row r="90" spans="1:27" ht="17.25" customHeight="1">
      <c r="A90" s="26" t="str">
        <v>Yellow Mills 3</v>
      </c>
      <c r="B90" s="27" t="str">
        <v>NY</v>
      </c>
      <c r="C90" s="9" t="str">
        <f>Sites[[#This Row],[SOL'#]]</f>
        <v>SOL-11007</v>
      </c>
      <c r="D90" s="9">
        <v>319142</v>
      </c>
      <c r="E90" s="14" t="s">
        <v>941</v>
      </c>
      <c r="F90" s="14" t="str">
        <f t="shared" si="5"/>
        <v/>
      </c>
      <c r="G90" s="15" t="str">
        <f t="shared" si="6"/>
        <v/>
      </c>
      <c r="H90" s="16">
        <v>411178.38</v>
      </c>
      <c r="I90" s="16">
        <f t="shared" si="7"/>
        <v>-92036.38</v>
      </c>
      <c r="J90" s="15">
        <f t="shared" si="8"/>
        <v>-0.2238356501137049</v>
      </c>
      <c r="K90" s="51" t="s">
        <v>1023</v>
      </c>
      <c r="L90" s="99" t="s">
        <v>1024</v>
      </c>
      <c r="M90" s="103"/>
      <c r="N90" s="103"/>
      <c r="O90" s="103"/>
      <c r="P90" s="103"/>
      <c r="Q90" s="103"/>
      <c r="R90" s="103"/>
      <c r="S90" s="103"/>
      <c r="T90" s="103"/>
      <c r="U90" s="103"/>
      <c r="V90" s="103"/>
      <c r="W90" s="103"/>
      <c r="X90" s="103"/>
      <c r="Y90" s="103"/>
      <c r="Z90" s="103"/>
      <c r="AA90" s="103"/>
    </row>
    <row r="91" spans="1:27" ht="15.6">
      <c r="A91" s="24" t="str">
        <v>Catskill</v>
      </c>
      <c r="B91" s="25" t="str">
        <v>NY</v>
      </c>
      <c r="C91" s="25" t="str">
        <f>Sites[[#This Row],[SOL'#]]</f>
        <v>SOL-11021</v>
      </c>
      <c r="D91" s="20">
        <v>575300</v>
      </c>
      <c r="E91" s="10" t="s">
        <v>941</v>
      </c>
      <c r="F91" s="10" t="str">
        <f t="shared" si="5"/>
        <v/>
      </c>
      <c r="G91" s="11" t="str">
        <f t="shared" si="6"/>
        <v/>
      </c>
      <c r="H91" s="12">
        <v>720288.86</v>
      </c>
      <c r="I91" s="12">
        <f t="shared" si="7"/>
        <v>-144988.85999999999</v>
      </c>
      <c r="J91" s="64">
        <f t="shared" si="8"/>
        <v>-0.20129265917010017</v>
      </c>
      <c r="K91" s="53" t="s">
        <v>1025</v>
      </c>
      <c r="L91" s="53"/>
      <c r="M91" s="103"/>
      <c r="N91" s="103"/>
      <c r="O91" s="103"/>
      <c r="P91" s="103"/>
      <c r="Q91" s="103"/>
      <c r="R91" s="103"/>
      <c r="S91" s="103"/>
      <c r="T91" s="103"/>
      <c r="U91" s="103"/>
      <c r="V91" s="103"/>
      <c r="W91" s="103"/>
      <c r="X91" s="103"/>
      <c r="Y91" s="103"/>
      <c r="Z91" s="103"/>
      <c r="AA91" s="103"/>
    </row>
    <row r="92" spans="1:27" ht="36" customHeight="1">
      <c r="A92" s="26" t="str">
        <v>Eddy Ridge</v>
      </c>
      <c r="B92" s="27" t="str">
        <v>NY</v>
      </c>
      <c r="C92" s="9" t="str">
        <f>Sites[[#This Row],[SOL'#]]</f>
        <v>SOL-11054</v>
      </c>
      <c r="D92" s="9">
        <v>466429</v>
      </c>
      <c r="E92" s="14" t="s">
        <v>941</v>
      </c>
      <c r="F92" s="14" t="str">
        <f t="shared" si="5"/>
        <v/>
      </c>
      <c r="G92" s="15" t="str">
        <f t="shared" si="6"/>
        <v/>
      </c>
      <c r="H92" s="16">
        <v>589040</v>
      </c>
      <c r="I92" s="16">
        <f t="shared" si="7"/>
        <v>-122611</v>
      </c>
      <c r="J92" s="15">
        <f t="shared" si="8"/>
        <v>-0.20815394540268911</v>
      </c>
      <c r="K92" s="51" t="s">
        <v>1026</v>
      </c>
      <c r="L92" s="99" t="s">
        <v>1027</v>
      </c>
      <c r="M92" s="102" t="s">
        <v>1028</v>
      </c>
      <c r="N92" s="103"/>
      <c r="O92" s="103"/>
      <c r="P92" s="103"/>
      <c r="Q92" s="103"/>
      <c r="R92" s="103"/>
      <c r="S92" s="103"/>
      <c r="T92" s="103"/>
      <c r="U92" s="103"/>
      <c r="V92" s="103"/>
      <c r="W92" s="103"/>
      <c r="X92" s="103"/>
      <c r="Y92" s="103"/>
      <c r="Z92" s="103"/>
      <c r="AA92" s="103"/>
    </row>
    <row r="93" spans="1:27" ht="31.5" customHeight="1">
      <c r="A93" s="24" t="str">
        <v>Ridgeway #1</v>
      </c>
      <c r="B93" s="25" t="str">
        <v>NY</v>
      </c>
      <c r="C93" s="25" t="str">
        <f>Sites[[#This Row],[SOL'#]]</f>
        <v>SOL-11018</v>
      </c>
      <c r="D93" s="20">
        <v>1046948</v>
      </c>
      <c r="E93" s="10" t="s">
        <v>941</v>
      </c>
      <c r="F93" s="10" t="str">
        <f t="shared" si="5"/>
        <v/>
      </c>
      <c r="G93" s="11" t="str">
        <f t="shared" si="6"/>
        <v/>
      </c>
      <c r="H93" s="12">
        <v>1246214.3799999999</v>
      </c>
      <c r="I93" s="12">
        <f t="shared" si="7"/>
        <v>-199266.37999999989</v>
      </c>
      <c r="J93" s="64">
        <f t="shared" si="8"/>
        <v>-0.15989735249243386</v>
      </c>
      <c r="K93" s="53" t="s">
        <v>1029</v>
      </c>
      <c r="L93" s="98" t="s">
        <v>1030</v>
      </c>
      <c r="M93" s="102" t="s">
        <v>1031</v>
      </c>
      <c r="N93" s="103"/>
      <c r="O93" s="103"/>
      <c r="P93" s="103"/>
      <c r="Q93" s="103"/>
      <c r="R93" s="103"/>
      <c r="S93" s="103"/>
      <c r="T93" s="103"/>
      <c r="U93" s="103"/>
      <c r="V93" s="103"/>
      <c r="W93" s="103"/>
      <c r="X93" s="103"/>
      <c r="Y93" s="103"/>
      <c r="Z93" s="103"/>
      <c r="AA93" s="103"/>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1032</v>
      </c>
      <c r="L94" s="99" t="s">
        <v>1033</v>
      </c>
      <c r="M94" s="103"/>
      <c r="N94" s="103"/>
      <c r="O94" s="103"/>
      <c r="P94" s="103"/>
      <c r="Q94" s="103"/>
      <c r="R94" s="103"/>
      <c r="S94" s="103"/>
      <c r="T94" s="103"/>
      <c r="U94" s="103"/>
      <c r="V94" s="103"/>
      <c r="W94" s="103"/>
      <c r="X94" s="103"/>
      <c r="Y94" s="103"/>
      <c r="Z94" s="103"/>
      <c r="AA94" s="103"/>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1034</v>
      </c>
      <c r="L95" s="98" t="s">
        <v>316</v>
      </c>
      <c r="M95" s="103"/>
      <c r="N95" s="103"/>
      <c r="O95" s="103"/>
      <c r="P95" s="103"/>
      <c r="Q95" s="103"/>
      <c r="R95" s="103"/>
      <c r="S95" s="103"/>
      <c r="T95" s="103"/>
      <c r="U95" s="103"/>
      <c r="V95" s="103"/>
      <c r="W95" s="103"/>
      <c r="X95" s="103"/>
      <c r="Y95" s="103"/>
      <c r="Z95" s="103"/>
      <c r="AA95" s="103"/>
    </row>
    <row r="96" spans="1:27" ht="28.9">
      <c r="A96" s="26" t="str">
        <v>Ridgeway #2</v>
      </c>
      <c r="B96" s="27" t="str">
        <v>NY</v>
      </c>
      <c r="C96" s="9" t="str">
        <f>Sites[[#This Row],[SOL'#]]</f>
        <v>SOL-11027</v>
      </c>
      <c r="D96" s="9">
        <v>529391</v>
      </c>
      <c r="E96" s="14" t="s">
        <v>941</v>
      </c>
      <c r="F96" s="14" t="str">
        <f t="shared" si="5"/>
        <v/>
      </c>
      <c r="G96" s="15" t="str">
        <f t="shared" si="6"/>
        <v/>
      </c>
      <c r="H96" s="16">
        <v>632557</v>
      </c>
      <c r="I96" s="16">
        <f t="shared" si="7"/>
        <v>-103166</v>
      </c>
      <c r="J96" s="15">
        <f t="shared" si="8"/>
        <v>-0.16309360263185768</v>
      </c>
      <c r="K96" s="51" t="s">
        <v>1035</v>
      </c>
      <c r="L96" s="99" t="s">
        <v>1036</v>
      </c>
      <c r="M96" s="103"/>
      <c r="N96" s="103"/>
      <c r="O96" s="103"/>
      <c r="P96" s="103"/>
      <c r="Q96" s="103"/>
      <c r="R96" s="103"/>
      <c r="S96" s="103"/>
      <c r="T96" s="103"/>
      <c r="U96" s="103"/>
      <c r="V96" s="103"/>
      <c r="W96" s="103"/>
      <c r="X96" s="103"/>
      <c r="Y96" s="103"/>
      <c r="Z96" s="103"/>
      <c r="AA96" s="103"/>
    </row>
    <row r="97" spans="1:27" ht="43.15">
      <c r="A97" s="24" t="str">
        <v>Spencer</v>
      </c>
      <c r="B97" s="25" t="str">
        <v>NY</v>
      </c>
      <c r="C97" s="25" t="str">
        <f>Sites[[#This Row],[SOL'#]]</f>
        <v>SOL-11017</v>
      </c>
      <c r="D97" s="20">
        <v>862283</v>
      </c>
      <c r="E97" s="10" t="s">
        <v>941</v>
      </c>
      <c r="F97" s="10" t="str">
        <f t="shared" si="5"/>
        <v/>
      </c>
      <c r="G97" s="11" t="str">
        <f t="shared" si="6"/>
        <v/>
      </c>
      <c r="H97" s="12">
        <v>1213900</v>
      </c>
      <c r="I97" s="12">
        <f t="shared" si="7"/>
        <v>-351617</v>
      </c>
      <c r="J97" s="64">
        <f t="shared" si="8"/>
        <v>-0.28965895049015572</v>
      </c>
      <c r="K97" s="70" t="s">
        <v>1037</v>
      </c>
      <c r="L97" s="137" t="s">
        <v>1038</v>
      </c>
      <c r="S97" s="103"/>
      <c r="T97" s="103"/>
      <c r="U97" s="103"/>
      <c r="V97" s="103"/>
      <c r="W97" s="103"/>
      <c r="X97" s="103"/>
      <c r="Y97" s="103"/>
      <c r="Z97" s="103"/>
      <c r="AA97" s="103"/>
    </row>
    <row r="98" spans="1:27" ht="15.6">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35" t="s">
        <v>1039</v>
      </c>
      <c r="L98" s="135"/>
      <c r="S98" s="103"/>
      <c r="T98" s="103"/>
      <c r="U98" s="103"/>
      <c r="V98" s="103"/>
      <c r="W98" s="103"/>
      <c r="X98" s="103"/>
      <c r="Y98" s="103"/>
      <c r="Z98" s="103"/>
      <c r="AA98" s="103"/>
    </row>
    <row r="99" spans="1:27" ht="15.6">
      <c r="A99" s="24" t="str">
        <v>Finney</v>
      </c>
      <c r="B99" s="25" t="str">
        <v>NY</v>
      </c>
      <c r="C99" s="25" t="str">
        <f>Sites[[#This Row],[SOL'#]]</f>
        <v>SOL-10999</v>
      </c>
      <c r="D99" s="20">
        <v>870110</v>
      </c>
      <c r="E99" s="10" t="s">
        <v>941</v>
      </c>
      <c r="F99" s="10" t="str">
        <f t="shared" si="5"/>
        <v/>
      </c>
      <c r="G99" s="11" t="str">
        <f t="shared" si="6"/>
        <v/>
      </c>
      <c r="H99" s="12">
        <v>1165223</v>
      </c>
      <c r="I99" s="12">
        <f t="shared" si="7"/>
        <v>-295113</v>
      </c>
      <c r="J99" s="64">
        <f t="shared" si="8"/>
        <v>-0.25326740031736417</v>
      </c>
      <c r="K99" s="70" t="s">
        <v>1040</v>
      </c>
      <c r="L99" s="17"/>
      <c r="S99" s="103"/>
      <c r="T99" s="103"/>
      <c r="U99" s="103"/>
      <c r="V99" s="103"/>
      <c r="W99" s="103"/>
      <c r="X99" s="103"/>
      <c r="Y99" s="103"/>
      <c r="Z99" s="103"/>
      <c r="AA99" s="103"/>
    </row>
    <row r="100" spans="1:27" ht="57.6">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35" t="s">
        <v>1041</v>
      </c>
      <c r="L100" s="136" t="s">
        <v>1042</v>
      </c>
      <c r="M100" s="138" t="s">
        <v>1043</v>
      </c>
      <c r="N100" s="138" t="s">
        <v>1044</v>
      </c>
      <c r="S100" s="103"/>
      <c r="T100" s="103"/>
      <c r="U100" s="103"/>
      <c r="V100" s="103"/>
      <c r="W100" s="103"/>
      <c r="X100" s="103"/>
      <c r="Y100" s="103"/>
      <c r="Z100" s="103"/>
      <c r="AA100" s="103"/>
    </row>
    <row r="101" spans="1:27" ht="28.9">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1045</v>
      </c>
      <c r="L101" s="138" t="s">
        <v>1046</v>
      </c>
      <c r="S101" s="103"/>
      <c r="T101" s="103"/>
      <c r="U101" s="103"/>
      <c r="V101" s="103"/>
      <c r="W101" s="103"/>
      <c r="X101" s="103"/>
      <c r="Y101" s="103"/>
      <c r="Z101" s="103"/>
      <c r="AA101" s="103"/>
    </row>
    <row r="102" spans="1:27" ht="15.6">
      <c r="A102" s="26" t="str">
        <v>Landau I</v>
      </c>
      <c r="B102" s="27" t="str">
        <v>NY</v>
      </c>
      <c r="C102" s="9" t="str">
        <f>Sites[[#This Row],[SOL'#]]</f>
        <v>SOL-10891</v>
      </c>
      <c r="D102" s="9">
        <v>336380</v>
      </c>
      <c r="E102" s="14" t="s">
        <v>941</v>
      </c>
      <c r="F102" s="14" t="str">
        <f t="shared" si="5"/>
        <v/>
      </c>
      <c r="G102" s="15" t="str">
        <f t="shared" si="6"/>
        <v/>
      </c>
      <c r="H102" s="16">
        <v>409363</v>
      </c>
      <c r="I102" s="16">
        <f t="shared" si="7"/>
        <v>-72983</v>
      </c>
      <c r="J102" s="15">
        <f t="shared" si="8"/>
        <v>-0.17828431001336223</v>
      </c>
      <c r="K102" s="135" t="s">
        <v>1047</v>
      </c>
      <c r="L102" s="135"/>
      <c r="S102" s="103"/>
      <c r="T102" s="103"/>
      <c r="U102" s="103"/>
      <c r="V102" s="103"/>
      <c r="W102" s="103"/>
      <c r="X102" s="103"/>
      <c r="Y102" s="103"/>
      <c r="Z102" s="103"/>
      <c r="AA102" s="103"/>
    </row>
    <row r="103" spans="1:27" ht="158.44999999999999">
      <c r="A103" s="24" t="str">
        <v>Landau II</v>
      </c>
      <c r="B103" s="25" t="str">
        <v>NY</v>
      </c>
      <c r="C103" s="25" t="str">
        <f>Sites[[#This Row],[SOL'#]]</f>
        <v>SOL-10895</v>
      </c>
      <c r="D103" s="20">
        <v>343090</v>
      </c>
      <c r="E103" s="10" t="s">
        <v>941</v>
      </c>
      <c r="F103" s="10" t="str">
        <f t="shared" si="5"/>
        <v/>
      </c>
      <c r="G103" s="11" t="str">
        <f t="shared" si="6"/>
        <v/>
      </c>
      <c r="H103" s="12">
        <v>889569</v>
      </c>
      <c r="I103" s="12">
        <f t="shared" si="7"/>
        <v>-546479</v>
      </c>
      <c r="J103" s="64">
        <f t="shared" si="8"/>
        <v>-0.61431884429425931</v>
      </c>
      <c r="K103" s="70" t="s">
        <v>1048</v>
      </c>
      <c r="L103" s="137" t="s">
        <v>1049</v>
      </c>
      <c r="M103" s="138" t="s">
        <v>802</v>
      </c>
      <c r="N103" s="138" t="s">
        <v>1050</v>
      </c>
      <c r="O103" s="138" t="s">
        <v>1051</v>
      </c>
      <c r="P103" s="138" t="s">
        <v>1052</v>
      </c>
      <c r="Q103" s="138" t="s">
        <v>1053</v>
      </c>
      <c r="R103" s="138" t="s">
        <v>1054</v>
      </c>
      <c r="S103" s="103"/>
      <c r="T103" s="103"/>
      <c r="U103" s="103"/>
      <c r="V103" s="103"/>
      <c r="W103" s="103"/>
      <c r="X103" s="103"/>
      <c r="Y103" s="103"/>
      <c r="Z103" s="103"/>
      <c r="AA103" s="103"/>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35" t="s">
        <v>1055</v>
      </c>
      <c r="L104" s="136" t="s">
        <v>1056</v>
      </c>
      <c r="S104" s="103"/>
      <c r="T104" s="103"/>
      <c r="U104" s="103"/>
      <c r="V104" s="103"/>
      <c r="W104" s="103"/>
      <c r="X104" s="103"/>
      <c r="Y104" s="103"/>
      <c r="Z104" s="103"/>
      <c r="AA104" s="103"/>
    </row>
    <row r="105" spans="1:27" ht="15.6">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1057</v>
      </c>
      <c r="L105" s="17"/>
      <c r="S105" s="103"/>
      <c r="T105" s="103"/>
      <c r="U105" s="103"/>
      <c r="V105" s="103"/>
      <c r="W105" s="103"/>
      <c r="X105" s="103"/>
      <c r="Y105" s="103"/>
      <c r="Z105" s="103"/>
      <c r="AA105" s="103"/>
    </row>
    <row r="106" spans="1:27" ht="28.9">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35" t="s">
        <v>1058</v>
      </c>
      <c r="L106" s="136" t="s">
        <v>1059</v>
      </c>
      <c r="M106" s="138" t="s">
        <v>542</v>
      </c>
      <c r="S106" s="103"/>
      <c r="T106" s="103"/>
      <c r="U106" s="103"/>
      <c r="V106" s="103"/>
      <c r="W106" s="103"/>
      <c r="X106" s="103"/>
      <c r="Y106" s="103"/>
      <c r="Z106" s="103"/>
      <c r="AA106" s="103"/>
    </row>
    <row r="107" spans="1:27" ht="72">
      <c r="A107" s="24" t="str">
        <v>Svenski</v>
      </c>
      <c r="B107" s="25" t="str">
        <v>NY</v>
      </c>
      <c r="C107" s="25" t="str">
        <f>Sites[[#This Row],[SOL'#]]</f>
        <v>SOL-10894</v>
      </c>
      <c r="D107" s="20">
        <v>278263</v>
      </c>
      <c r="E107" s="10" t="s">
        <v>941</v>
      </c>
      <c r="F107" s="10" t="str">
        <f t="shared" si="5"/>
        <v/>
      </c>
      <c r="G107" s="11" t="str">
        <f t="shared" si="6"/>
        <v/>
      </c>
      <c r="H107" s="12">
        <v>431419</v>
      </c>
      <c r="I107" s="12">
        <f t="shared" si="7"/>
        <v>-153156</v>
      </c>
      <c r="J107" s="64">
        <f t="shared" si="8"/>
        <v>-0.35500522693715392</v>
      </c>
      <c r="K107" s="70" t="s">
        <v>1060</v>
      </c>
      <c r="L107" s="137" t="s">
        <v>1061</v>
      </c>
      <c r="M107" s="138" t="s">
        <v>1062</v>
      </c>
      <c r="N107" s="138" t="s">
        <v>1063</v>
      </c>
      <c r="S107" s="103"/>
      <c r="T107" s="103"/>
      <c r="U107" s="103"/>
      <c r="V107" s="103"/>
      <c r="W107" s="103"/>
      <c r="X107" s="103"/>
      <c r="Y107" s="103"/>
      <c r="Z107" s="103"/>
      <c r="AA107" s="103"/>
    </row>
    <row r="108" spans="1:27" ht="187.15">
      <c r="A108" s="26" t="str">
        <v>Bantam</v>
      </c>
      <c r="B108" s="27" t="str">
        <v>NY</v>
      </c>
      <c r="C108" s="9" t="str">
        <f>Sites[[#This Row],[SOL'#]]</f>
        <v>SOL-10986</v>
      </c>
      <c r="D108" s="9">
        <v>108270</v>
      </c>
      <c r="E108" s="14" t="s">
        <v>941</v>
      </c>
      <c r="F108" s="14" t="str">
        <f t="shared" si="5"/>
        <v/>
      </c>
      <c r="G108" s="15" t="str">
        <f t="shared" si="6"/>
        <v/>
      </c>
      <c r="H108" s="16">
        <v>1155000</v>
      </c>
      <c r="I108" s="16">
        <f t="shared" si="7"/>
        <v>-1046730</v>
      </c>
      <c r="J108" s="15">
        <f t="shared" si="8"/>
        <v>-0.90625974025974021</v>
      </c>
      <c r="K108" s="135" t="s">
        <v>1064</v>
      </c>
      <c r="L108" s="136" t="s">
        <v>1065</v>
      </c>
      <c r="M108" s="138" t="s">
        <v>1066</v>
      </c>
      <c r="N108" s="138" t="s">
        <v>1067</v>
      </c>
      <c r="O108" s="138" t="s">
        <v>1068</v>
      </c>
      <c r="P108" s="138" t="s">
        <v>1069</v>
      </c>
      <c r="S108" s="103"/>
      <c r="T108" s="103"/>
      <c r="U108" s="103"/>
      <c r="V108" s="103"/>
      <c r="W108" s="103"/>
      <c r="X108" s="103"/>
      <c r="Y108" s="103"/>
      <c r="Z108" s="103"/>
      <c r="AA108" s="103"/>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548</v>
      </c>
      <c r="L109" s="138" t="s">
        <v>159</v>
      </c>
      <c r="S109" s="103"/>
      <c r="T109" s="103"/>
      <c r="U109" s="103"/>
      <c r="V109" s="103"/>
      <c r="W109" s="103"/>
      <c r="X109" s="103"/>
      <c r="Y109" s="103"/>
      <c r="Z109" s="103"/>
      <c r="AA109" s="103"/>
    </row>
    <row r="110" spans="1:27" ht="165.75" customHeight="1">
      <c r="A110" s="26" t="str">
        <v>Dubois</v>
      </c>
      <c r="B110" s="27" t="str">
        <v>NY</v>
      </c>
      <c r="C110" s="9" t="str">
        <f>Sites[[#This Row],[SOL'#]]</f>
        <v>SOL-10892</v>
      </c>
      <c r="D110" s="9"/>
      <c r="E110" s="14" t="s">
        <v>941</v>
      </c>
      <c r="F110" s="14" t="str">
        <f t="shared" si="5"/>
        <v/>
      </c>
      <c r="G110" s="15" t="str">
        <f t="shared" si="6"/>
        <v/>
      </c>
      <c r="H110" s="16"/>
      <c r="I110" s="16" t="str">
        <f t="shared" si="7"/>
        <v/>
      </c>
      <c r="J110" s="15" t="str">
        <f t="shared" si="8"/>
        <v/>
      </c>
      <c r="K110" s="135" t="s">
        <v>1070</v>
      </c>
      <c r="L110" s="136" t="s">
        <v>1071</v>
      </c>
      <c r="M110" s="138" t="s">
        <v>1072</v>
      </c>
      <c r="N110" s="138" t="s">
        <v>1073</v>
      </c>
      <c r="O110" s="138" t="s">
        <v>1074</v>
      </c>
      <c r="P110" s="138" t="s">
        <v>1075</v>
      </c>
      <c r="Q110" s="138" t="s">
        <v>1075</v>
      </c>
      <c r="S110" s="102" t="s">
        <v>1076</v>
      </c>
      <c r="T110" s="102" t="s">
        <v>1077</v>
      </c>
      <c r="U110" s="102" t="s">
        <v>1078</v>
      </c>
      <c r="V110" s="102" t="s">
        <v>1079</v>
      </c>
      <c r="W110" s="102" t="s">
        <v>1080</v>
      </c>
      <c r="X110" s="102" t="s">
        <v>1081</v>
      </c>
      <c r="Y110" s="102" t="s">
        <v>1082</v>
      </c>
      <c r="Z110" s="103"/>
      <c r="AA110" s="103"/>
    </row>
    <row r="111" spans="1:27" ht="64.5" customHeight="1">
      <c r="A111" s="24" t="str">
        <v>Salt Point</v>
      </c>
      <c r="B111" s="25" t="str">
        <v>NY</v>
      </c>
      <c r="C111" s="25" t="str">
        <f>Sites[[#This Row],[SOL'#]]</f>
        <v>SOL-10888</v>
      </c>
      <c r="D111" s="20">
        <v>338230</v>
      </c>
      <c r="E111" s="10" t="s">
        <v>941</v>
      </c>
      <c r="F111" s="10" t="str">
        <f t="shared" ref="F111:F142" si="9">IF(AND(ISNUMBER(D111),ISNUMBER(E111)), D111-E111, "")</f>
        <v/>
      </c>
      <c r="G111" s="11" t="str">
        <f t="shared" si="6"/>
        <v/>
      </c>
      <c r="H111" s="12">
        <v>482241</v>
      </c>
      <c r="I111" s="12">
        <f t="shared" si="7"/>
        <v>-144011</v>
      </c>
      <c r="J111" s="64">
        <f t="shared" si="8"/>
        <v>-0.29862869395177932</v>
      </c>
      <c r="K111" s="70" t="s">
        <v>1083</v>
      </c>
      <c r="L111" s="138" t="s">
        <v>551</v>
      </c>
      <c r="S111" s="103"/>
      <c r="T111" s="103"/>
      <c r="U111" s="103"/>
      <c r="V111" s="103"/>
      <c r="W111" s="103"/>
      <c r="X111" s="103"/>
      <c r="Y111" s="103"/>
      <c r="Z111" s="103"/>
      <c r="AA111" s="103"/>
    </row>
    <row r="112" spans="1:27" ht="48" customHeight="1">
      <c r="A112" s="26" t="str">
        <v>Wheatland 2A</v>
      </c>
      <c r="B112" s="27" t="str">
        <v>NY</v>
      </c>
      <c r="C112" s="9" t="str">
        <f>Sites[[#This Row],[SOL'#]]</f>
        <v>SOL-10971</v>
      </c>
      <c r="D112" s="9">
        <v>681340</v>
      </c>
      <c r="E112" s="14" t="s">
        <v>941</v>
      </c>
      <c r="F112" s="14" t="str">
        <f t="shared" si="9"/>
        <v/>
      </c>
      <c r="G112" s="15" t="str">
        <f t="shared" si="6"/>
        <v/>
      </c>
      <c r="H112" s="16">
        <v>1053225</v>
      </c>
      <c r="I112" s="16">
        <f t="shared" si="7"/>
        <v>-371885</v>
      </c>
      <c r="J112" s="15">
        <f t="shared" si="8"/>
        <v>-0.35309169455719336</v>
      </c>
      <c r="K112" s="135" t="s">
        <v>1084</v>
      </c>
      <c r="L112" s="136" t="s">
        <v>1085</v>
      </c>
      <c r="M112" s="138" t="s">
        <v>554</v>
      </c>
      <c r="N112" s="138" t="s">
        <v>1086</v>
      </c>
      <c r="O112" s="138" t="s">
        <v>1087</v>
      </c>
      <c r="S112" s="103"/>
      <c r="T112" s="103"/>
      <c r="U112" s="103"/>
      <c r="V112" s="103"/>
      <c r="W112" s="103"/>
      <c r="X112" s="103"/>
      <c r="Y112" s="103"/>
      <c r="Z112" s="103"/>
      <c r="AA112" s="103"/>
    </row>
    <row r="113" spans="1:27" ht="63" customHeight="1">
      <c r="A113" s="24" t="str">
        <v>Wheatland 2B</v>
      </c>
      <c r="B113" s="25" t="str">
        <v>NY</v>
      </c>
      <c r="C113" s="25" t="str">
        <f>Sites[[#This Row],[SOL'#]]</f>
        <v>SOL-10961</v>
      </c>
      <c r="D113" s="20">
        <v>812620</v>
      </c>
      <c r="E113" s="10" t="s">
        <v>941</v>
      </c>
      <c r="F113" s="10" t="str">
        <f t="shared" si="9"/>
        <v/>
      </c>
      <c r="G113" s="11" t="str">
        <f t="shared" si="6"/>
        <v/>
      </c>
      <c r="H113" s="12">
        <v>1046530</v>
      </c>
      <c r="I113" s="12">
        <f t="shared" si="7"/>
        <v>-233910</v>
      </c>
      <c r="J113" s="64">
        <f t="shared" si="8"/>
        <v>-0.22351007615644081</v>
      </c>
      <c r="K113" s="70" t="s">
        <v>1088</v>
      </c>
      <c r="L113" s="138" t="s">
        <v>1089</v>
      </c>
      <c r="S113" s="103"/>
      <c r="T113" s="103"/>
      <c r="U113" s="103"/>
      <c r="V113" s="103"/>
      <c r="W113" s="103"/>
      <c r="X113" s="103"/>
      <c r="Y113" s="103"/>
      <c r="Z113" s="103"/>
      <c r="AA113" s="103"/>
    </row>
    <row r="114" spans="1:27" ht="28.9">
      <c r="A114" s="26" t="str">
        <v>Brickchurch</v>
      </c>
      <c r="B114" s="27" t="str">
        <v>NY</v>
      </c>
      <c r="C114" s="9" t="str">
        <f>Sites[[#This Row],[SOL'#]]</f>
        <v>SOL-10889</v>
      </c>
      <c r="D114" s="9">
        <v>350550</v>
      </c>
      <c r="E114" s="14">
        <v>335777.97</v>
      </c>
      <c r="F114" s="14">
        <f t="shared" si="9"/>
        <v>14772.030000000028</v>
      </c>
      <c r="G114" s="15">
        <f t="shared" si="6"/>
        <v>4.3993446026253685E-2</v>
      </c>
      <c r="H114" s="16">
        <v>499952</v>
      </c>
      <c r="I114" s="16">
        <f t="shared" si="7"/>
        <v>-149402</v>
      </c>
      <c r="J114" s="15">
        <f t="shared" si="8"/>
        <v>-0.29883268793804207</v>
      </c>
      <c r="K114" s="135" t="s">
        <v>1090</v>
      </c>
      <c r="L114" s="136" t="s">
        <v>1091</v>
      </c>
      <c r="M114" s="138" t="s">
        <v>563</v>
      </c>
      <c r="S114" s="103"/>
      <c r="T114" s="103"/>
      <c r="U114" s="103"/>
      <c r="V114" s="103"/>
      <c r="W114" s="103"/>
      <c r="X114" s="103"/>
      <c r="Y114" s="103"/>
      <c r="Z114" s="103"/>
      <c r="AA114" s="103"/>
    </row>
    <row r="115" spans="1:27" ht="15.6">
      <c r="A115" s="24" t="str">
        <v>McCarthy Solar</v>
      </c>
      <c r="B115" s="25" t="str">
        <v>NY</v>
      </c>
      <c r="C115" s="25" t="str">
        <f>Sites[[#This Row],[SOL'#]]</f>
        <v>SOL-10992</v>
      </c>
      <c r="D115" s="20">
        <v>333660</v>
      </c>
      <c r="E115" s="10" t="s">
        <v>941</v>
      </c>
      <c r="F115" s="10" t="str">
        <f t="shared" si="9"/>
        <v/>
      </c>
      <c r="G115" s="11" t="str">
        <f t="shared" si="6"/>
        <v/>
      </c>
      <c r="H115" s="12">
        <v>404377</v>
      </c>
      <c r="I115" s="12">
        <f t="shared" si="7"/>
        <v>-70717</v>
      </c>
      <c r="J115" s="64">
        <f t="shared" si="8"/>
        <v>-0.17487888777057053</v>
      </c>
      <c r="K115" s="70" t="s">
        <v>1092</v>
      </c>
      <c r="L115" s="17"/>
      <c r="S115" s="103"/>
      <c r="T115" s="103"/>
      <c r="U115" s="103"/>
      <c r="V115" s="103"/>
      <c r="W115" s="103"/>
      <c r="X115" s="103"/>
      <c r="Y115" s="103"/>
      <c r="Z115" s="103"/>
      <c r="AA115" s="103"/>
    </row>
    <row r="116" spans="1:27" ht="72">
      <c r="A116" s="26" t="str">
        <v>Costanza</v>
      </c>
      <c r="B116" s="27" t="str">
        <v>NY</v>
      </c>
      <c r="C116" s="9" t="str">
        <f>Sites[[#This Row],[SOL'#]]</f>
        <v>SOL-10907</v>
      </c>
      <c r="D116" s="9">
        <v>281340</v>
      </c>
      <c r="E116" s="14" t="s">
        <v>941</v>
      </c>
      <c r="F116" s="14" t="str">
        <f t="shared" si="9"/>
        <v/>
      </c>
      <c r="G116" s="15" t="str">
        <f t="shared" si="6"/>
        <v/>
      </c>
      <c r="H116" s="16">
        <v>411426</v>
      </c>
      <c r="I116" s="16">
        <f t="shared" si="7"/>
        <v>-130086</v>
      </c>
      <c r="J116" s="15">
        <f t="shared" si="8"/>
        <v>-0.31618322614516342</v>
      </c>
      <c r="K116" s="135" t="s">
        <v>1093</v>
      </c>
      <c r="L116" s="136" t="s">
        <v>1094</v>
      </c>
      <c r="M116" s="138" t="s">
        <v>1095</v>
      </c>
      <c r="N116" s="138" t="s">
        <v>1096</v>
      </c>
      <c r="O116" s="138" t="s">
        <v>1097</v>
      </c>
      <c r="S116" s="103"/>
      <c r="T116" s="103"/>
      <c r="U116" s="103"/>
      <c r="V116" s="103"/>
      <c r="W116" s="103"/>
      <c r="X116" s="103"/>
      <c r="Y116" s="103"/>
      <c r="Z116" s="103"/>
      <c r="AA116" s="103"/>
    </row>
    <row r="117" spans="1:27" ht="15.6">
      <c r="A117" s="24" t="str">
        <v>Lockenhurst Pond</v>
      </c>
      <c r="B117" s="25" t="str">
        <v>NY</v>
      </c>
      <c r="C117" s="25" t="str">
        <f>Sites[[#This Row],[SOL'#]]</f>
        <v>SOL-11000</v>
      </c>
      <c r="D117" s="20">
        <v>343913.716417911</v>
      </c>
      <c r="E117" s="10">
        <v>369550</v>
      </c>
      <c r="F117" s="10">
        <f t="shared" si="9"/>
        <v>-25636.283582089003</v>
      </c>
      <c r="G117" s="11">
        <f t="shared" si="6"/>
        <v>-6.9371623818398065E-2</v>
      </c>
      <c r="H117" s="12">
        <v>473503</v>
      </c>
      <c r="I117" s="12">
        <f t="shared" si="7"/>
        <v>-129589.283582089</v>
      </c>
      <c r="J117" s="64">
        <f t="shared" si="8"/>
        <v>-0.27368207504934289</v>
      </c>
      <c r="K117" s="70" t="s">
        <v>1098</v>
      </c>
      <c r="L117" s="138" t="s">
        <v>1099</v>
      </c>
      <c r="S117" s="103"/>
      <c r="T117" s="103"/>
      <c r="U117" s="103"/>
      <c r="V117" s="103"/>
      <c r="W117" s="103"/>
      <c r="X117" s="103"/>
      <c r="Y117" s="103"/>
      <c r="Z117" s="103"/>
      <c r="AA117" s="103"/>
    </row>
    <row r="118" spans="1:27" ht="15.6">
      <c r="A118" s="26" t="str">
        <v>Drinkwater</v>
      </c>
      <c r="B118" s="27" t="str">
        <v>NY</v>
      </c>
      <c r="C118" s="9" t="str">
        <f>Sites[[#This Row],[SOL'#]]</f>
        <v>SOL-10896</v>
      </c>
      <c r="D118" s="9">
        <v>322920</v>
      </c>
      <c r="E118" s="14" t="s">
        <v>941</v>
      </c>
      <c r="F118" s="14" t="str">
        <f t="shared" si="9"/>
        <v/>
      </c>
      <c r="G118" s="15" t="str">
        <f t="shared" si="6"/>
        <v/>
      </c>
      <c r="H118" s="16">
        <v>423973</v>
      </c>
      <c r="I118" s="12">
        <f t="shared" si="7"/>
        <v>-101053</v>
      </c>
      <c r="J118" s="15">
        <f t="shared" si="8"/>
        <v>-0.23834772497305254</v>
      </c>
      <c r="K118" s="135" t="s">
        <v>1100</v>
      </c>
      <c r="L118" s="135"/>
      <c r="S118" s="103"/>
      <c r="T118" s="103"/>
      <c r="U118" s="103"/>
      <c r="V118" s="103"/>
      <c r="W118" s="103"/>
      <c r="X118" s="103"/>
      <c r="Y118" s="103"/>
      <c r="Z118" s="103"/>
      <c r="AA118" s="103"/>
    </row>
    <row r="119" spans="1:27" ht="15.6">
      <c r="A119" s="24" t="str">
        <v>Altamont</v>
      </c>
      <c r="B119" s="25" t="str">
        <v>NY</v>
      </c>
      <c r="C119" s="25" t="str">
        <f>Sites[[#This Row],[SOL'#]]</f>
        <v>SOL-11085</v>
      </c>
      <c r="D119" s="20">
        <v>668025</v>
      </c>
      <c r="E119" s="10">
        <v>683749.6</v>
      </c>
      <c r="F119" s="10">
        <f t="shared" si="9"/>
        <v>-15724.599999999977</v>
      </c>
      <c r="G119" s="11">
        <f t="shared" si="6"/>
        <v>-2.2997600291100685E-2</v>
      </c>
      <c r="H119" s="12">
        <v>709911</v>
      </c>
      <c r="I119" s="12">
        <f t="shared" si="7"/>
        <v>-41886</v>
      </c>
      <c r="J119" s="64">
        <f t="shared" si="8"/>
        <v>-5.9001762192725564E-2</v>
      </c>
      <c r="K119" s="70" t="s">
        <v>1100</v>
      </c>
      <c r="L119" s="17"/>
      <c r="S119" s="103"/>
      <c r="T119" s="103"/>
      <c r="U119" s="103"/>
      <c r="V119" s="103"/>
      <c r="W119" s="103"/>
      <c r="X119" s="103"/>
      <c r="Y119" s="103"/>
      <c r="Z119" s="103"/>
      <c r="AA119" s="103"/>
    </row>
    <row r="120" spans="1:27" ht="37.5" customHeight="1">
      <c r="A120" s="26" t="str">
        <v>Krumkill North</v>
      </c>
      <c r="B120" s="27" t="str">
        <v>NY</v>
      </c>
      <c r="C120" s="9" t="str">
        <f>Sites[[#This Row],[SOL'#]]</f>
        <v>SOL-11086</v>
      </c>
      <c r="D120" s="9">
        <v>624527</v>
      </c>
      <c r="E120" s="14">
        <v>670096.30000000005</v>
      </c>
      <c r="F120" s="14">
        <f t="shared" si="9"/>
        <v>-45569.300000000047</v>
      </c>
      <c r="G120" s="15">
        <f t="shared" si="6"/>
        <v>-6.8004106275471224E-2</v>
      </c>
      <c r="H120" s="16">
        <v>776930</v>
      </c>
      <c r="I120" s="16">
        <f t="shared" si="7"/>
        <v>-152403</v>
      </c>
      <c r="J120" s="15">
        <f t="shared" si="8"/>
        <v>-0.19616052926261054</v>
      </c>
      <c r="K120" s="135" t="s">
        <v>1100</v>
      </c>
      <c r="L120" s="135"/>
      <c r="S120" s="103"/>
      <c r="T120" s="103"/>
      <c r="U120" s="103"/>
      <c r="V120" s="103"/>
      <c r="W120" s="103"/>
      <c r="X120" s="103"/>
      <c r="Y120" s="103"/>
      <c r="Z120" s="103"/>
      <c r="AA120" s="103"/>
    </row>
    <row r="121" spans="1:27" ht="15.6">
      <c r="A121" s="24" t="str">
        <v>Krumkill South</v>
      </c>
      <c r="B121" s="25" t="str">
        <v>NY</v>
      </c>
      <c r="C121" s="25" t="str">
        <f>Sites[[#This Row],[SOL'#]]</f>
        <v>SOL-11087</v>
      </c>
      <c r="D121" s="20">
        <v>515330</v>
      </c>
      <c r="E121" s="10">
        <v>532603.6</v>
      </c>
      <c r="F121" s="10">
        <f t="shared" si="9"/>
        <v>-17273.599999999977</v>
      </c>
      <c r="G121" s="11">
        <f t="shared" si="6"/>
        <v>-3.2432375597911803E-2</v>
      </c>
      <c r="H121" s="12">
        <v>609090</v>
      </c>
      <c r="I121" s="12">
        <f t="shared" si="7"/>
        <v>-93760</v>
      </c>
      <c r="J121" s="64">
        <f t="shared" si="8"/>
        <v>-0.15393455811128076</v>
      </c>
      <c r="K121" s="70" t="s">
        <v>1100</v>
      </c>
      <c r="L121" s="17"/>
      <c r="S121" s="103"/>
      <c r="T121" s="103"/>
      <c r="U121" s="103"/>
      <c r="V121" s="103"/>
      <c r="W121" s="103"/>
      <c r="X121" s="103"/>
      <c r="Y121" s="103"/>
      <c r="Z121" s="103"/>
      <c r="AA121" s="103"/>
    </row>
    <row r="122" spans="1:27" ht="51.75" customHeight="1">
      <c r="A122" s="26" t="str">
        <v>X092</v>
      </c>
      <c r="B122" s="27" t="str">
        <v>NY</v>
      </c>
      <c r="C122" s="9" t="str">
        <f>Sites[[#This Row],[SOL'#]]</f>
        <v>SOL-11189</v>
      </c>
      <c r="D122" s="9">
        <v>17684.400000000001</v>
      </c>
      <c r="E122" s="14">
        <v>18009.21</v>
      </c>
      <c r="F122" s="14">
        <f t="shared" si="9"/>
        <v>-324.80999999999767</v>
      </c>
      <c r="G122" s="15">
        <f t="shared" si="6"/>
        <v>-1.8035771696815001E-2</v>
      </c>
      <c r="H122" s="16">
        <v>22323</v>
      </c>
      <c r="I122" s="16">
        <f t="shared" si="7"/>
        <v>-4638.5999999999985</v>
      </c>
      <c r="J122" s="15">
        <f t="shared" si="8"/>
        <v>-0.20779465125655147</v>
      </c>
      <c r="K122" s="135" t="s">
        <v>1101</v>
      </c>
      <c r="L122" s="135"/>
      <c r="S122" s="103"/>
      <c r="T122" s="103"/>
      <c r="U122" s="103"/>
      <c r="V122" s="103"/>
      <c r="W122" s="103"/>
      <c r="X122" s="103"/>
      <c r="Y122" s="103"/>
      <c r="Z122" s="103"/>
      <c r="AA122" s="103"/>
    </row>
    <row r="123" spans="1:27" ht="43.15">
      <c r="A123" s="28" t="str">
        <v>X093</v>
      </c>
      <c r="B123" s="25" t="str">
        <v>NY</v>
      </c>
      <c r="C123" s="25" t="str">
        <f>Sites[[#This Row],[SOL'#]]</f>
        <v>SOL-10932</v>
      </c>
      <c r="D123" s="54">
        <v>1862.18017578125</v>
      </c>
      <c r="E123" s="10">
        <v>12441.15</v>
      </c>
      <c r="F123" s="10">
        <f t="shared" si="9"/>
        <v>-10578.96982421875</v>
      </c>
      <c r="G123" s="55">
        <f t="shared" si="6"/>
        <v>-0.85032089671925426</v>
      </c>
      <c r="H123" s="67">
        <v>15637</v>
      </c>
      <c r="I123" s="67">
        <f t="shared" si="7"/>
        <v>-13774.81982421875</v>
      </c>
      <c r="J123" s="64">
        <f t="shared" si="8"/>
        <v>-0.88091192838899723</v>
      </c>
      <c r="K123" s="70" t="s">
        <v>1102</v>
      </c>
      <c r="L123" s="137" t="s">
        <v>1103</v>
      </c>
      <c r="M123" s="138" t="s">
        <v>835</v>
      </c>
      <c r="S123" s="103"/>
      <c r="T123" s="103"/>
      <c r="U123" s="103"/>
      <c r="V123" s="103"/>
      <c r="W123" s="103"/>
      <c r="X123" s="103"/>
      <c r="Y123" s="103"/>
      <c r="Z123" s="103"/>
      <c r="AA123" s="103"/>
    </row>
    <row r="124" spans="1:27" ht="15.6">
      <c r="A124" s="26" t="str">
        <v>X095</v>
      </c>
      <c r="B124" s="27" t="str">
        <v>NY</v>
      </c>
      <c r="C124" s="9" t="str">
        <f>Sites[[#This Row],[SOL'#]]</f>
        <v>SOL-10929</v>
      </c>
      <c r="D124" s="66">
        <v>17538.34765625</v>
      </c>
      <c r="E124" s="14" t="s">
        <v>941</v>
      </c>
      <c r="F124" s="14" t="str">
        <f t="shared" si="9"/>
        <v/>
      </c>
      <c r="G124" s="68" t="str">
        <f t="shared" si="6"/>
        <v/>
      </c>
      <c r="H124" s="69">
        <v>21123</v>
      </c>
      <c r="I124" s="69">
        <f t="shared" si="7"/>
        <v>-3584.65234375</v>
      </c>
      <c r="J124" s="68">
        <f t="shared" si="8"/>
        <v>-0.1697037515386072</v>
      </c>
      <c r="K124" s="135" t="s">
        <v>1104</v>
      </c>
      <c r="L124" s="136" t="s">
        <v>180</v>
      </c>
      <c r="S124" s="103"/>
      <c r="T124" s="103"/>
      <c r="U124" s="103"/>
      <c r="V124" s="103"/>
      <c r="W124" s="103"/>
      <c r="X124" s="103"/>
      <c r="Y124" s="103"/>
      <c r="Z124" s="103"/>
      <c r="AA124" s="103"/>
    </row>
    <row r="125" spans="1:27" ht="63" customHeight="1">
      <c r="A125" s="24" t="str">
        <v>X181</v>
      </c>
      <c r="B125" s="25" t="str">
        <v>NY</v>
      </c>
      <c r="C125" s="25" t="str">
        <f>Sites[[#This Row],[SOL'#]]</f>
        <v>SOL-10428</v>
      </c>
      <c r="D125" s="54">
        <v>32339.283828125001</v>
      </c>
      <c r="E125" s="10" t="s">
        <v>941</v>
      </c>
      <c r="F125" s="10" t="str">
        <f t="shared" si="9"/>
        <v/>
      </c>
      <c r="G125" s="55" t="str">
        <f t="shared" si="6"/>
        <v/>
      </c>
      <c r="H125" s="67">
        <v>39535</v>
      </c>
      <c r="I125" s="67">
        <f t="shared" si="7"/>
        <v>-7195.7161718749994</v>
      </c>
      <c r="J125" s="64">
        <f t="shared" si="8"/>
        <v>-0.18200875608637915</v>
      </c>
      <c r="K125" s="70" t="s">
        <v>1092</v>
      </c>
      <c r="L125" s="17"/>
      <c r="S125" s="103"/>
      <c r="T125" s="103"/>
      <c r="U125" s="103"/>
      <c r="V125" s="103"/>
      <c r="W125" s="103"/>
      <c r="X125" s="103"/>
      <c r="Y125" s="103"/>
      <c r="Z125" s="103"/>
      <c r="AA125" s="103"/>
    </row>
    <row r="126" spans="1:27" ht="15.6">
      <c r="A126" s="26" t="str">
        <v>X415</v>
      </c>
      <c r="B126" s="27" t="str">
        <v>NY</v>
      </c>
      <c r="C126" s="9" t="str">
        <f>Sites[[#This Row],[SOL'#]]</f>
        <v>SOL-10429</v>
      </c>
      <c r="D126" s="66">
        <v>20586.1640625</v>
      </c>
      <c r="E126" s="14" t="s">
        <v>941</v>
      </c>
      <c r="F126" s="14" t="str">
        <f t="shared" si="9"/>
        <v/>
      </c>
      <c r="G126" s="68">
        <v>0</v>
      </c>
      <c r="H126" s="69">
        <v>23011</v>
      </c>
      <c r="I126" s="69">
        <f t="shared" si="7"/>
        <v>-2424.8359375</v>
      </c>
      <c r="J126" s="68">
        <f t="shared" si="8"/>
        <v>-0.10537725164051975</v>
      </c>
      <c r="K126" s="135" t="s">
        <v>1092</v>
      </c>
      <c r="L126" s="135"/>
      <c r="S126" s="103"/>
      <c r="T126" s="103"/>
      <c r="U126" s="103"/>
      <c r="V126" s="103"/>
      <c r="W126" s="103"/>
      <c r="X126" s="103"/>
      <c r="Y126" s="103"/>
      <c r="Z126" s="103"/>
      <c r="AA126" s="103"/>
    </row>
    <row r="127" spans="1:27" ht="15.6">
      <c r="A127" s="24" t="str">
        <v>K198</v>
      </c>
      <c r="B127" s="25" t="str">
        <v>NY</v>
      </c>
      <c r="C127" s="25" t="str">
        <f>Sites[[#This Row],[SOL'#]]</f>
        <v>SOL-10930</v>
      </c>
      <c r="D127" s="54">
        <v>15353.96875</v>
      </c>
      <c r="E127" s="10">
        <v>14993.88</v>
      </c>
      <c r="F127" s="10">
        <f t="shared" si="9"/>
        <v>360.0887500000008</v>
      </c>
      <c r="G127" s="55">
        <f t="shared" si="6"/>
        <v>2.4015715078418716E-2</v>
      </c>
      <c r="H127" s="67">
        <v>17463</v>
      </c>
      <c r="I127" s="67">
        <f t="shared" si="7"/>
        <v>-2109.03125</v>
      </c>
      <c r="J127" s="64">
        <f t="shared" si="8"/>
        <v>-0.12077141670961461</v>
      </c>
      <c r="K127" s="70" t="s">
        <v>1092</v>
      </c>
      <c r="L127" s="17"/>
      <c r="S127" s="103"/>
      <c r="T127" s="103"/>
      <c r="U127" s="103"/>
      <c r="V127" s="103"/>
      <c r="W127" s="103"/>
      <c r="X127" s="103"/>
      <c r="Y127" s="103"/>
      <c r="Z127" s="103"/>
      <c r="AA127" s="103"/>
    </row>
    <row r="128" spans="1:27" ht="159" customHeight="1">
      <c r="A128" s="26" t="str">
        <v>K203</v>
      </c>
      <c r="B128" s="27" t="str">
        <v>NY</v>
      </c>
      <c r="C128" s="9" t="str">
        <f>Sites[[#This Row],[SOL'#]]</f>
        <v>SOL-11190</v>
      </c>
      <c r="D128" s="66">
        <v>19346.2</v>
      </c>
      <c r="E128" s="14">
        <v>17609.03</v>
      </c>
      <c r="F128" s="14">
        <f t="shared" si="9"/>
        <v>1737.1700000000019</v>
      </c>
      <c r="G128" s="68">
        <f t="shared" si="6"/>
        <v>9.8652225591074699E-2</v>
      </c>
      <c r="H128" s="69">
        <v>23537</v>
      </c>
      <c r="I128" s="69">
        <f t="shared" si="7"/>
        <v>-4190.7999999999993</v>
      </c>
      <c r="J128" s="68">
        <f t="shared" si="8"/>
        <v>-0.17805157836597693</v>
      </c>
      <c r="K128" s="135" t="s">
        <v>1092</v>
      </c>
      <c r="L128" s="135"/>
      <c r="S128" s="102" t="s">
        <v>1105</v>
      </c>
      <c r="T128" s="102" t="s">
        <v>1106</v>
      </c>
      <c r="U128" s="103"/>
      <c r="V128" s="103"/>
      <c r="W128" s="103"/>
      <c r="X128" s="103"/>
      <c r="Y128" s="103"/>
      <c r="Z128" s="103"/>
      <c r="AA128" s="103"/>
    </row>
    <row r="129" spans="1:27" ht="28.9">
      <c r="A129" s="24" t="str">
        <v>K213</v>
      </c>
      <c r="B129" s="25" t="str">
        <v>NY</v>
      </c>
      <c r="C129" s="25" t="str">
        <f>Sites[[#This Row],[SOL'#]]</f>
        <v>SOL-11191</v>
      </c>
      <c r="D129" s="54">
        <v>19297.599999999999</v>
      </c>
      <c r="E129" s="10">
        <v>23171.24</v>
      </c>
      <c r="F129" s="10">
        <f t="shared" si="9"/>
        <v>-3873.6400000000031</v>
      </c>
      <c r="G129" s="55">
        <f t="shared" ref="G129:G143" si="10">IFERROR(F129/E129, "")</f>
        <v>-0.16717448008824745</v>
      </c>
      <c r="H129" s="67">
        <v>24815</v>
      </c>
      <c r="I129" s="67">
        <f t="shared" ref="I129:I151" si="11">IF(AND(ISNUMBER(D129),ISNUMBER(H129)), D129-H129, "")</f>
        <v>-5517.4000000000015</v>
      </c>
      <c r="J129" s="64">
        <f t="shared" ref="J129:J151" si="12">IFERROR(I129/H129, "")</f>
        <v>-0.22234132581100147</v>
      </c>
      <c r="K129" s="70" t="s">
        <v>1107</v>
      </c>
      <c r="L129" s="138" t="s">
        <v>838</v>
      </c>
      <c r="S129" s="103"/>
      <c r="T129" s="103"/>
      <c r="U129" s="103"/>
      <c r="V129" s="103"/>
      <c r="W129" s="103"/>
      <c r="X129" s="103"/>
      <c r="Y129" s="103"/>
      <c r="Z129" s="103"/>
      <c r="AA129" s="103"/>
    </row>
    <row r="130" spans="1:27" ht="28.9">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35" t="s">
        <v>1108</v>
      </c>
      <c r="L130" s="136" t="s">
        <v>1109</v>
      </c>
      <c r="S130" s="103"/>
      <c r="T130" s="103"/>
      <c r="U130" s="103"/>
      <c r="V130" s="103"/>
      <c r="W130" s="103"/>
      <c r="X130" s="103"/>
      <c r="Y130" s="103"/>
      <c r="Z130" s="103"/>
      <c r="AA130" s="103"/>
    </row>
    <row r="131" spans="1:27" ht="15.6">
      <c r="A131" s="24" t="str">
        <v>K307</v>
      </c>
      <c r="B131" s="25" t="str">
        <v>NY</v>
      </c>
      <c r="C131" s="25" t="str">
        <f>Sites[[#This Row],[SOL'#]]</f>
        <v>SOL-10876</v>
      </c>
      <c r="D131" s="54">
        <v>24381.5</v>
      </c>
      <c r="E131" s="10" t="s">
        <v>941</v>
      </c>
      <c r="F131" s="10" t="str">
        <f t="shared" si="9"/>
        <v/>
      </c>
      <c r="G131" s="55" t="str">
        <f t="shared" si="10"/>
        <v/>
      </c>
      <c r="H131" s="67">
        <v>28916</v>
      </c>
      <c r="I131" s="67">
        <f t="shared" si="11"/>
        <v>-4534.5</v>
      </c>
      <c r="J131" s="64">
        <f t="shared" si="12"/>
        <v>-0.15681629547655276</v>
      </c>
      <c r="K131" s="70" t="s">
        <v>1092</v>
      </c>
      <c r="L131" s="17"/>
      <c r="S131" s="103"/>
      <c r="T131" s="103"/>
      <c r="U131" s="103"/>
      <c r="V131" s="103"/>
      <c r="W131" s="103"/>
      <c r="X131" s="103"/>
      <c r="Y131" s="103"/>
      <c r="Z131" s="103"/>
      <c r="AA131" s="103"/>
    </row>
    <row r="132" spans="1:27" ht="15.6">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35" t="s">
        <v>1110</v>
      </c>
      <c r="L132" s="136" t="s">
        <v>1111</v>
      </c>
      <c r="S132" s="103"/>
      <c r="T132" s="103"/>
      <c r="U132" s="103"/>
      <c r="V132" s="103"/>
      <c r="W132" s="103"/>
      <c r="X132" s="103"/>
      <c r="Y132" s="103"/>
      <c r="Z132" s="103"/>
      <c r="AA132" s="103"/>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1112</v>
      </c>
      <c r="L133" s="137" t="s">
        <v>1113</v>
      </c>
      <c r="M133" s="138" t="s">
        <v>841</v>
      </c>
      <c r="N133" s="138" t="s">
        <v>841</v>
      </c>
      <c r="O133" s="138" t="s">
        <v>842</v>
      </c>
      <c r="P133" s="138" t="s">
        <v>843</v>
      </c>
      <c r="S133" s="103"/>
      <c r="T133" s="103"/>
      <c r="U133" s="103"/>
      <c r="V133" s="103"/>
      <c r="W133" s="103"/>
      <c r="X133" s="103"/>
      <c r="Y133" s="103"/>
      <c r="Z133" s="103"/>
      <c r="AA133" s="103"/>
    </row>
    <row r="134" spans="1:27" ht="15.6">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35" t="s">
        <v>927</v>
      </c>
      <c r="L134" s="135"/>
      <c r="S134" s="103"/>
      <c r="T134" s="103"/>
      <c r="U134" s="103"/>
      <c r="V134" s="103"/>
      <c r="W134" s="103"/>
      <c r="X134" s="103"/>
      <c r="Y134" s="103"/>
      <c r="Z134" s="103"/>
      <c r="AA134" s="103"/>
    </row>
    <row r="135" spans="1:27" ht="96" customHeight="1">
      <c r="A135" s="24" t="str">
        <v>Q030</v>
      </c>
      <c r="B135" s="25" t="str">
        <v>NY</v>
      </c>
      <c r="C135" s="25" t="str">
        <f>Sites[[#This Row],[SOL'#]]</f>
        <v>SOL-10878</v>
      </c>
      <c r="D135" s="54">
        <v>23733.2421875</v>
      </c>
      <c r="E135" s="10" t="s">
        <v>941</v>
      </c>
      <c r="F135" s="10" t="str">
        <f t="shared" si="9"/>
        <v/>
      </c>
      <c r="G135" s="55" t="str">
        <f t="shared" si="10"/>
        <v/>
      </c>
      <c r="H135" s="67">
        <v>27337</v>
      </c>
      <c r="I135" s="67">
        <f t="shared" si="11"/>
        <v>-3603.7578125</v>
      </c>
      <c r="J135" s="64">
        <f t="shared" si="12"/>
        <v>-0.13182711389325821</v>
      </c>
      <c r="K135" s="70" t="s">
        <v>927</v>
      </c>
      <c r="L135" s="17"/>
      <c r="S135" s="103"/>
      <c r="T135" s="103"/>
      <c r="U135" s="103"/>
      <c r="V135" s="103"/>
      <c r="W135" s="103"/>
      <c r="X135" s="103"/>
      <c r="Y135" s="103"/>
      <c r="Z135" s="103"/>
      <c r="AA135" s="103"/>
    </row>
    <row r="136" spans="1:27" ht="49.5" customHeight="1">
      <c r="A136" s="26" t="str">
        <v>Q130</v>
      </c>
      <c r="B136" s="27" t="str">
        <v>NY</v>
      </c>
      <c r="C136" s="9" t="str">
        <f>Sites[[#This Row],[SOL'#]]</f>
        <v>SOL-10877</v>
      </c>
      <c r="D136" s="66">
        <v>13589.536328124999</v>
      </c>
      <c r="E136" s="14" t="s">
        <v>941</v>
      </c>
      <c r="F136" s="14" t="str">
        <f t="shared" si="9"/>
        <v/>
      </c>
      <c r="G136" s="68" t="str">
        <f t="shared" si="10"/>
        <v/>
      </c>
      <c r="H136" s="69">
        <v>15497</v>
      </c>
      <c r="I136" s="69">
        <f t="shared" si="11"/>
        <v>-1907.4636718750007</v>
      </c>
      <c r="J136" s="68">
        <f t="shared" si="12"/>
        <v>-0.12308599547493068</v>
      </c>
      <c r="K136" s="135" t="s">
        <v>927</v>
      </c>
      <c r="L136" s="135"/>
      <c r="S136" s="103"/>
      <c r="T136" s="103"/>
      <c r="U136" s="103"/>
      <c r="V136" s="103"/>
      <c r="W136" s="103"/>
      <c r="X136" s="103"/>
      <c r="Y136" s="103"/>
      <c r="Z136" s="103"/>
      <c r="AA136" s="103"/>
    </row>
    <row r="137" spans="1:27" ht="108.75" customHeight="1">
      <c r="A137" s="24" t="str">
        <v>Q196</v>
      </c>
      <c r="B137" s="25" t="str">
        <v>NY</v>
      </c>
      <c r="C137" s="25" t="str">
        <f>Sites[[#This Row],[SOL'#]]</f>
        <v>SOL-10879</v>
      </c>
      <c r="D137" s="54">
        <v>17875.938339843698</v>
      </c>
      <c r="E137" s="10" t="s">
        <v>941</v>
      </c>
      <c r="F137" s="10" t="str">
        <f t="shared" si="9"/>
        <v/>
      </c>
      <c r="G137" s="55" t="str">
        <f t="shared" si="10"/>
        <v/>
      </c>
      <c r="H137" s="67">
        <v>20173</v>
      </c>
      <c r="I137" s="67">
        <f t="shared" si="11"/>
        <v>-2297.0616601563015</v>
      </c>
      <c r="J137" s="64">
        <f t="shared" si="12"/>
        <v>-0.11386812373748582</v>
      </c>
      <c r="K137" s="70" t="s">
        <v>927</v>
      </c>
      <c r="L137" s="17"/>
      <c r="S137" s="103"/>
      <c r="T137" s="103"/>
      <c r="U137" s="103"/>
      <c r="V137" s="103"/>
      <c r="W137" s="103"/>
      <c r="X137" s="103"/>
      <c r="Y137" s="103"/>
      <c r="Z137" s="103"/>
      <c r="AA137" s="103"/>
    </row>
    <row r="138" spans="1:27" ht="15.6">
      <c r="A138" s="26" t="str">
        <v>Q220</v>
      </c>
      <c r="B138" s="27" t="str">
        <v>NY</v>
      </c>
      <c r="C138" s="9" t="str">
        <f>Sites[[#This Row],[SOL'#]]</f>
        <v>SOL-10873</v>
      </c>
      <c r="D138" s="66">
        <v>20956.796875</v>
      </c>
      <c r="E138" s="14" t="s">
        <v>941</v>
      </c>
      <c r="F138" s="14" t="str">
        <f t="shared" si="9"/>
        <v/>
      </c>
      <c r="G138" s="68" t="str">
        <f t="shared" si="10"/>
        <v/>
      </c>
      <c r="H138" s="69">
        <v>23174</v>
      </c>
      <c r="I138" s="69">
        <f t="shared" si="11"/>
        <v>-2217.203125</v>
      </c>
      <c r="J138" s="68">
        <f t="shared" si="12"/>
        <v>-9.5676323681712264E-2</v>
      </c>
      <c r="K138" s="135" t="s">
        <v>1114</v>
      </c>
      <c r="L138" s="136" t="s">
        <v>845</v>
      </c>
      <c r="S138" s="103"/>
      <c r="T138" s="103"/>
      <c r="U138" s="103"/>
      <c r="V138" s="103"/>
      <c r="W138" s="103"/>
      <c r="X138" s="103"/>
      <c r="Y138" s="103"/>
      <c r="Z138" s="103"/>
      <c r="AA138" s="103"/>
    </row>
    <row r="139" spans="1:27" ht="100.9">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1115</v>
      </c>
      <c r="L139" s="137" t="s">
        <v>1116</v>
      </c>
      <c r="M139" s="138" t="s">
        <v>1117</v>
      </c>
      <c r="N139" s="138" t="s">
        <v>1118</v>
      </c>
      <c r="S139" s="103"/>
      <c r="T139" s="103"/>
      <c r="U139" s="103"/>
      <c r="V139" s="103"/>
      <c r="W139" s="103"/>
      <c r="X139" s="103"/>
      <c r="Y139" s="103"/>
      <c r="Z139" s="103"/>
      <c r="AA139" s="103"/>
    </row>
    <row r="140" spans="1:27" ht="115.15">
      <c r="A140" s="26" t="str">
        <v>Q400</v>
      </c>
      <c r="B140" s="27" t="str">
        <v>NY</v>
      </c>
      <c r="C140" s="9" t="str">
        <f>Sites[[#This Row],[SOL'#]]</f>
        <v>SOL-10871</v>
      </c>
      <c r="D140" s="66">
        <v>26544.5859375</v>
      </c>
      <c r="E140" s="14" t="s">
        <v>941</v>
      </c>
      <c r="F140" s="14" t="str">
        <f t="shared" si="9"/>
        <v/>
      </c>
      <c r="G140" s="68" t="str">
        <f t="shared" si="10"/>
        <v/>
      </c>
      <c r="H140" s="69">
        <v>45134</v>
      </c>
      <c r="I140" s="69">
        <f t="shared" si="11"/>
        <v>-18589.4140625</v>
      </c>
      <c r="J140" s="68">
        <f t="shared" si="12"/>
        <v>-0.41187162809633537</v>
      </c>
      <c r="K140" s="135" t="s">
        <v>1119</v>
      </c>
      <c r="L140" s="136" t="s">
        <v>1120</v>
      </c>
      <c r="M140" s="138" t="s">
        <v>596</v>
      </c>
      <c r="N140" s="138" t="s">
        <v>597</v>
      </c>
      <c r="O140" s="138" t="s">
        <v>850</v>
      </c>
      <c r="P140" s="138" t="s">
        <v>851</v>
      </c>
      <c r="S140" s="103"/>
      <c r="T140" s="103"/>
      <c r="U140" s="103"/>
      <c r="V140" s="103"/>
      <c r="W140" s="103"/>
      <c r="X140" s="103"/>
      <c r="Y140" s="103"/>
      <c r="Z140" s="103"/>
      <c r="AA140" s="103"/>
    </row>
    <row r="141" spans="1:27" ht="80.25" customHeight="1">
      <c r="A141" s="24" t="str">
        <v>R003</v>
      </c>
      <c r="B141" s="25" t="str">
        <v>NY</v>
      </c>
      <c r="C141" s="25" t="str">
        <f>Sites[[#This Row],[SOL'#]]</f>
        <v>SOL-10416</v>
      </c>
      <c r="D141" s="54">
        <v>35329.273125</v>
      </c>
      <c r="E141" s="10" t="s">
        <v>941</v>
      </c>
      <c r="F141" s="10" t="str">
        <f t="shared" si="9"/>
        <v/>
      </c>
      <c r="G141" s="55" t="str">
        <f t="shared" si="10"/>
        <v/>
      </c>
      <c r="H141" s="67">
        <v>40507</v>
      </c>
      <c r="I141" s="67">
        <f t="shared" si="11"/>
        <v>-5177.7268750000003</v>
      </c>
      <c r="J141" s="64">
        <f t="shared" si="12"/>
        <v>-0.12782301515787395</v>
      </c>
      <c r="K141" s="70" t="s">
        <v>1121</v>
      </c>
      <c r="L141" s="17"/>
      <c r="S141" s="103"/>
      <c r="T141" s="103"/>
      <c r="U141" s="103"/>
      <c r="V141" s="103"/>
      <c r="W141" s="103"/>
      <c r="X141" s="103"/>
      <c r="Y141" s="103"/>
      <c r="Z141" s="103"/>
      <c r="AA141" s="103"/>
    </row>
    <row r="142" spans="1:27" ht="15.6">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35" t="s">
        <v>1121</v>
      </c>
      <c r="L142" s="135"/>
      <c r="S142" s="103"/>
      <c r="T142" s="103"/>
      <c r="U142" s="103"/>
      <c r="V142" s="103"/>
      <c r="W142" s="103"/>
      <c r="X142" s="103"/>
      <c r="Y142" s="103"/>
      <c r="Z142" s="103"/>
      <c r="AA142" s="103"/>
    </row>
    <row r="143" spans="1:27" ht="15.6">
      <c r="A143" s="24" t="str">
        <v>BK16</v>
      </c>
      <c r="B143" s="25" t="str">
        <v>NY</v>
      </c>
      <c r="C143" s="25" t="str">
        <f>Sites[[#This Row],[SOL'#]]</f>
        <v>SOL-11093</v>
      </c>
      <c r="D143" s="54">
        <v>39286.96875</v>
      </c>
      <c r="E143" s="10" t="s">
        <v>941</v>
      </c>
      <c r="F143" s="10" t="str">
        <f t="shared" ref="F143:F164" si="13">IF(AND(ISNUMBER(D143),ISNUMBER(E143)), D143-E143, "")</f>
        <v/>
      </c>
      <c r="G143" s="55" t="str">
        <f t="shared" si="10"/>
        <v/>
      </c>
      <c r="H143" s="67">
        <v>43901</v>
      </c>
      <c r="I143" s="67">
        <f t="shared" si="11"/>
        <v>-4614.03125</v>
      </c>
      <c r="J143" s="64">
        <f t="shared" si="12"/>
        <v>-0.10510082344365732</v>
      </c>
      <c r="K143" s="70" t="s">
        <v>1121</v>
      </c>
      <c r="L143" s="17"/>
      <c r="S143" s="103"/>
      <c r="T143" s="103"/>
      <c r="U143" s="103"/>
      <c r="V143" s="103"/>
      <c r="W143" s="103"/>
      <c r="X143" s="103"/>
      <c r="Y143" s="103"/>
      <c r="Z143" s="103"/>
      <c r="AA143" s="103"/>
    </row>
    <row r="144" spans="1:27" ht="86.45">
      <c r="A144" s="26" t="str">
        <v>Trenton - Trenton East</v>
      </c>
      <c r="B144" s="27" t="str">
        <v>IL</v>
      </c>
      <c r="C144" s="9" t="str">
        <f>Sites[[#This Row],[SOL'#]]</f>
        <v>SOL-11060</v>
      </c>
      <c r="D144" s="66">
        <v>401135</v>
      </c>
      <c r="E144" s="14">
        <v>427249</v>
      </c>
      <c r="F144" s="14">
        <f t="shared" si="13"/>
        <v>-26114</v>
      </c>
      <c r="G144" s="68">
        <f t="shared" ref="G144:G164" si="14">IFERROR(F144/E144, "")</f>
        <v>-6.1121266521396191E-2</v>
      </c>
      <c r="H144" s="69">
        <v>488196</v>
      </c>
      <c r="I144" s="69">
        <f t="shared" si="11"/>
        <v>-87061</v>
      </c>
      <c r="J144" s="68">
        <f t="shared" si="12"/>
        <v>-0.17833206335160467</v>
      </c>
      <c r="K144" s="135" t="s">
        <v>1122</v>
      </c>
      <c r="L144" s="136" t="s">
        <v>1123</v>
      </c>
      <c r="S144" s="103"/>
      <c r="T144" s="103"/>
      <c r="U144" s="103"/>
      <c r="V144" s="103"/>
      <c r="W144" s="103"/>
      <c r="X144" s="103"/>
      <c r="Y144" s="103"/>
      <c r="Z144" s="103"/>
      <c r="AA144" s="103"/>
    </row>
    <row r="145" spans="1:27" ht="15.6">
      <c r="A145" s="24" t="str">
        <v>Trenton - Trenton West</v>
      </c>
      <c r="B145" s="25" t="str">
        <v>IL</v>
      </c>
      <c r="C145" s="25" t="str">
        <f>Sites[[#This Row],[SOL'#]]</f>
        <v>SOL-11061</v>
      </c>
      <c r="D145" s="54">
        <v>154211</v>
      </c>
      <c r="E145" s="10">
        <v>253964.7</v>
      </c>
      <c r="F145" s="10">
        <f t="shared" si="13"/>
        <v>-99753.700000000012</v>
      </c>
      <c r="G145" s="55">
        <f t="shared" si="14"/>
        <v>-0.39278569029475358</v>
      </c>
      <c r="H145" s="67">
        <v>486768</v>
      </c>
      <c r="I145" s="67">
        <f t="shared" si="11"/>
        <v>-332557</v>
      </c>
      <c r="J145" s="64">
        <f t="shared" si="12"/>
        <v>-0.6831940472668705</v>
      </c>
      <c r="K145" s="70" t="s">
        <v>1124</v>
      </c>
      <c r="L145" s="138" t="s">
        <v>1125</v>
      </c>
      <c r="S145" s="103"/>
      <c r="T145" s="103"/>
      <c r="U145" s="103"/>
      <c r="V145" s="103"/>
      <c r="W145" s="103"/>
      <c r="X145" s="103"/>
      <c r="Y145" s="103"/>
      <c r="Z145" s="103"/>
      <c r="AA145" s="103"/>
    </row>
    <row r="146" spans="1:27" ht="57.6">
      <c r="A146" s="26" t="str">
        <v>Dakota - Dakota Solar 1</v>
      </c>
      <c r="B146" s="27" t="str">
        <v>IL</v>
      </c>
      <c r="C146" s="9" t="str">
        <f>Sites[[#This Row],[SOL'#]]</f>
        <v>SOL-11113</v>
      </c>
      <c r="D146" s="66">
        <v>504703</v>
      </c>
      <c r="E146" s="14">
        <v>600136</v>
      </c>
      <c r="F146" s="14">
        <f t="shared" si="13"/>
        <v>-95433</v>
      </c>
      <c r="G146" s="68">
        <f t="shared" si="14"/>
        <v>-0.1590189557033739</v>
      </c>
      <c r="H146" s="69">
        <v>0</v>
      </c>
      <c r="I146" s="69">
        <f t="shared" si="11"/>
        <v>504703</v>
      </c>
      <c r="J146" s="68" t="str">
        <f t="shared" si="12"/>
        <v/>
      </c>
      <c r="K146" s="135" t="s">
        <v>1126</v>
      </c>
      <c r="L146" s="136" t="s">
        <v>1127</v>
      </c>
      <c r="M146" s="138" t="s">
        <v>1128</v>
      </c>
      <c r="N146" s="138" t="s">
        <v>1129</v>
      </c>
      <c r="S146" s="103"/>
      <c r="T146" s="103"/>
      <c r="U146" s="103"/>
      <c r="V146" s="103"/>
      <c r="W146" s="103"/>
      <c r="X146" s="103"/>
      <c r="Y146" s="103"/>
      <c r="Z146" s="103"/>
      <c r="AA146" s="103"/>
    </row>
    <row r="147" spans="1:27" ht="72">
      <c r="A147" s="24" t="str">
        <v>X018</v>
      </c>
      <c r="B147" s="25" t="str">
        <v>NY</v>
      </c>
      <c r="C147" s="25" t="str">
        <f>Sites[[#This Row],[SOL'#]]</f>
        <v>SOL-10418</v>
      </c>
      <c r="D147" s="54">
        <v>13614.8196128731</v>
      </c>
      <c r="E147" s="10">
        <v>11268.16</v>
      </c>
      <c r="F147" s="10">
        <f t="shared" si="13"/>
        <v>2346.6596128730998</v>
      </c>
      <c r="G147" s="55">
        <f t="shared" si="14"/>
        <v>0.20825579445740031</v>
      </c>
      <c r="H147" s="67">
        <v>22512</v>
      </c>
      <c r="I147" s="67">
        <f t="shared" si="11"/>
        <v>-8897.1803871269003</v>
      </c>
      <c r="J147" s="64">
        <f t="shared" si="12"/>
        <v>-0.39521945571814587</v>
      </c>
      <c r="K147" s="70" t="s">
        <v>1130</v>
      </c>
      <c r="L147" s="137" t="s">
        <v>1131</v>
      </c>
      <c r="M147" s="138" t="s">
        <v>612</v>
      </c>
      <c r="N147" s="138" t="s">
        <v>864</v>
      </c>
      <c r="S147" s="103"/>
      <c r="T147" s="103"/>
      <c r="U147" s="103"/>
      <c r="V147" s="103"/>
      <c r="W147" s="103"/>
      <c r="X147" s="103"/>
      <c r="Y147" s="103"/>
      <c r="Z147" s="103"/>
      <c r="AA147" s="103"/>
    </row>
    <row r="148" spans="1:27" ht="28.9">
      <c r="A148" s="26" t="str">
        <v>Janiak Solar</v>
      </c>
      <c r="B148" s="27" t="str">
        <v>NY</v>
      </c>
      <c r="C148" s="9" t="str">
        <f>Sites[[#This Row],[SOL'#]]</f>
        <v>SOL-10898</v>
      </c>
      <c r="D148" s="66">
        <v>318017</v>
      </c>
      <c r="E148" s="14">
        <v>333604</v>
      </c>
      <c r="F148" s="14">
        <f t="shared" si="13"/>
        <v>-15587</v>
      </c>
      <c r="G148" s="68">
        <f t="shared" si="14"/>
        <v>-4.6723060874569851E-2</v>
      </c>
      <c r="H148" s="69">
        <v>412625</v>
      </c>
      <c r="I148" s="69">
        <f t="shared" si="11"/>
        <v>-94608</v>
      </c>
      <c r="J148" s="68">
        <f t="shared" si="12"/>
        <v>-0.22928324750075735</v>
      </c>
      <c r="K148" s="135" t="s">
        <v>1132</v>
      </c>
      <c r="L148" s="136" t="s">
        <v>1133</v>
      </c>
      <c r="S148" s="103"/>
      <c r="T148" s="103"/>
      <c r="U148" s="103"/>
      <c r="V148" s="103"/>
      <c r="W148" s="103"/>
      <c r="X148" s="103"/>
      <c r="Y148" s="103"/>
      <c r="Z148" s="103"/>
      <c r="AA148" s="103"/>
    </row>
    <row r="149" spans="1:27" ht="86.45">
      <c r="A149" s="24" t="str">
        <v>County Route 11B</v>
      </c>
      <c r="B149" s="25" t="str">
        <v>NY</v>
      </c>
      <c r="C149" s="25" t="str">
        <f>Sites[[#This Row],[SOL'#]]</f>
        <v>SOL-10983</v>
      </c>
      <c r="D149" s="54">
        <v>556820</v>
      </c>
      <c r="E149" s="10" t="s">
        <v>941</v>
      </c>
      <c r="F149" s="10" t="str">
        <f t="shared" si="13"/>
        <v/>
      </c>
      <c r="G149" s="55" t="str">
        <f t="shared" si="14"/>
        <v/>
      </c>
      <c r="H149" s="67" t="s">
        <v>941</v>
      </c>
      <c r="I149" s="67" t="str">
        <f t="shared" si="11"/>
        <v/>
      </c>
      <c r="J149" s="64" t="str">
        <f t="shared" si="12"/>
        <v/>
      </c>
      <c r="K149" s="70" t="s">
        <v>1134</v>
      </c>
      <c r="L149" s="137" t="s">
        <v>1135</v>
      </c>
      <c r="M149" s="138" t="s">
        <v>871</v>
      </c>
      <c r="N149" s="138" t="s">
        <v>1136</v>
      </c>
      <c r="S149" s="103"/>
      <c r="T149" s="103"/>
      <c r="U149" s="103"/>
      <c r="V149" s="103"/>
      <c r="W149" s="103"/>
      <c r="X149" s="103"/>
      <c r="Y149" s="103"/>
      <c r="Z149" s="103"/>
      <c r="AA149" s="103"/>
    </row>
    <row r="150" spans="1:27" ht="86.45">
      <c r="A150" s="26" t="str">
        <v>Barone</v>
      </c>
      <c r="B150" s="27" t="str">
        <v>NY</v>
      </c>
      <c r="C150" s="9" t="str">
        <f>Sites[[#This Row],[SOL'#]]</f>
        <v>SOL-11034</v>
      </c>
      <c r="D150" s="66">
        <v>549573</v>
      </c>
      <c r="E150" s="14" t="s">
        <v>941</v>
      </c>
      <c r="F150" s="14" t="str">
        <f t="shared" si="13"/>
        <v/>
      </c>
      <c r="G150" s="68" t="str">
        <f t="shared" si="14"/>
        <v/>
      </c>
      <c r="H150" s="69">
        <v>684560</v>
      </c>
      <c r="I150" s="69">
        <f t="shared" si="11"/>
        <v>-134987</v>
      </c>
      <c r="J150" s="68">
        <f t="shared" si="12"/>
        <v>-0.19718797475750846</v>
      </c>
      <c r="K150" s="135" t="s">
        <v>1137</v>
      </c>
      <c r="L150" s="136" t="s">
        <v>1138</v>
      </c>
      <c r="M150" s="138" t="s">
        <v>874</v>
      </c>
      <c r="S150" s="103"/>
      <c r="T150" s="103"/>
      <c r="U150" s="103"/>
      <c r="V150" s="103"/>
      <c r="W150" s="103"/>
      <c r="X150" s="103"/>
      <c r="Y150" s="103"/>
      <c r="Z150" s="103"/>
      <c r="AA150" s="103"/>
    </row>
    <row r="151" spans="1:27" ht="43.15">
      <c r="A151" s="24" t="str">
        <v>Cedarville</v>
      </c>
      <c r="B151" s="25" t="str">
        <v>IL</v>
      </c>
      <c r="C151" s="25" t="str">
        <f>Sites[[#This Row],[SOL'#]]</f>
        <v>SOL-11069</v>
      </c>
      <c r="D151" s="54">
        <v>428027</v>
      </c>
      <c r="E151" s="10">
        <v>423775.7</v>
      </c>
      <c r="F151" s="10">
        <f t="shared" si="13"/>
        <v>4251.2999999999884</v>
      </c>
      <c r="G151" s="55">
        <f t="shared" si="14"/>
        <v>1.0031957943789575E-2</v>
      </c>
      <c r="H151" s="67">
        <v>525848</v>
      </c>
      <c r="I151" s="67">
        <f t="shared" si="11"/>
        <v>-97821</v>
      </c>
      <c r="J151" s="64">
        <f t="shared" si="12"/>
        <v>-0.18602523923262995</v>
      </c>
      <c r="K151" s="70" t="s">
        <v>1139</v>
      </c>
      <c r="L151" s="137" t="s">
        <v>1140</v>
      </c>
      <c r="M151" s="138" t="s">
        <v>1141</v>
      </c>
      <c r="S151" s="103"/>
      <c r="T151" s="103"/>
      <c r="U151" s="103"/>
      <c r="V151" s="103"/>
      <c r="W151" s="103"/>
      <c r="X151" s="103"/>
      <c r="Y151" s="103"/>
      <c r="Z151" s="103"/>
      <c r="AA151" s="103"/>
    </row>
    <row r="152" spans="1:27" ht="28.9">
      <c r="A152" s="26" t="str">
        <v xml:space="preserve"> O'Brien Hill #1</v>
      </c>
      <c r="B152" s="27" t="str">
        <v>NY</v>
      </c>
      <c r="C152" s="9" t="str">
        <f>Sites[[#This Row],[SOL'#]]</f>
        <v>SOL-11098</v>
      </c>
      <c r="D152" s="66"/>
      <c r="E152" s="14" t="s">
        <v>941</v>
      </c>
      <c r="F152" s="14" t="str">
        <f t="shared" si="13"/>
        <v/>
      </c>
      <c r="G152" s="68" t="str">
        <f t="shared" si="14"/>
        <v/>
      </c>
      <c r="H152" s="69"/>
      <c r="I152" s="69" t="str">
        <f t="shared" ref="I152:I164" si="15">IF(AND(ISNUMBER(D152),ISNUMBER(H152)), D152-H152, "")</f>
        <v/>
      </c>
      <c r="J152" s="68" t="str">
        <f t="shared" ref="J152:J164" si="16">IFERROR(I152/H152, "")</f>
        <v/>
      </c>
      <c r="K152" s="135" t="s">
        <v>875</v>
      </c>
      <c r="L152" s="136" t="s">
        <v>876</v>
      </c>
      <c r="M152" s="138" t="s">
        <v>877</v>
      </c>
      <c r="S152" s="103"/>
      <c r="T152" s="103"/>
      <c r="U152" s="103"/>
      <c r="V152" s="103"/>
      <c r="W152" s="103"/>
      <c r="X152" s="103"/>
      <c r="Y152" s="103"/>
      <c r="Z152" s="103"/>
      <c r="AA152" s="103"/>
    </row>
    <row r="153" spans="1:27" ht="43.15">
      <c r="A153" s="24" t="str">
        <v xml:space="preserve"> O'Brien Hill #2</v>
      </c>
      <c r="B153" s="25" t="str">
        <v>NY</v>
      </c>
      <c r="C153" s="25" t="str">
        <f>Sites[[#This Row],[SOL'#]]</f>
        <v>SOL-11099</v>
      </c>
      <c r="D153" s="54">
        <v>710692</v>
      </c>
      <c r="E153" s="10" t="s">
        <v>941</v>
      </c>
      <c r="F153" s="10" t="str">
        <f t="shared" si="13"/>
        <v/>
      </c>
      <c r="G153" s="55" t="str">
        <f t="shared" si="14"/>
        <v/>
      </c>
      <c r="H153" s="146" t="s">
        <v>661</v>
      </c>
      <c r="I153" s="67" t="str">
        <f t="shared" si="15"/>
        <v/>
      </c>
      <c r="J153" s="64" t="str">
        <f t="shared" si="16"/>
        <v/>
      </c>
      <c r="K153" s="70" t="s">
        <v>1142</v>
      </c>
      <c r="L153" s="137" t="s">
        <v>1143</v>
      </c>
      <c r="M153" s="138" t="s">
        <v>1144</v>
      </c>
      <c r="S153" s="103"/>
      <c r="T153" s="103"/>
      <c r="U153" s="103"/>
      <c r="V153" s="103"/>
      <c r="W153" s="103"/>
      <c r="X153" s="103"/>
      <c r="Y153" s="103"/>
      <c r="Z153" s="103"/>
      <c r="AA153" s="103"/>
    </row>
    <row r="154" spans="1:27" ht="28.9">
      <c r="A154" s="26" t="str">
        <v>Trinity - Freeport</v>
      </c>
      <c r="B154" s="27" t="str">
        <v>IL</v>
      </c>
      <c r="C154" s="9" t="str">
        <f>Sites[[#This Row],[SOL'#]]</f>
        <v>SOL-11057</v>
      </c>
      <c r="D154" s="66">
        <v>479568</v>
      </c>
      <c r="E154" s="14">
        <v>471609</v>
      </c>
      <c r="F154" s="14">
        <f t="shared" si="13"/>
        <v>7959</v>
      </c>
      <c r="G154" s="68">
        <f t="shared" si="14"/>
        <v>1.687626826460055E-2</v>
      </c>
      <c r="H154" s="125">
        <v>522288</v>
      </c>
      <c r="I154" s="69">
        <f t="shared" si="15"/>
        <v>-42720</v>
      </c>
      <c r="J154" s="68">
        <f t="shared" si="16"/>
        <v>-8.1793952761694697E-2</v>
      </c>
      <c r="K154" s="135" t="s">
        <v>1145</v>
      </c>
      <c r="L154" s="136" t="s">
        <v>883</v>
      </c>
      <c r="M154" s="138" t="s">
        <v>884</v>
      </c>
      <c r="S154" s="103"/>
      <c r="T154" s="103"/>
      <c r="U154" s="103"/>
      <c r="V154" s="103"/>
      <c r="W154" s="103"/>
      <c r="X154" s="103"/>
      <c r="Y154" s="103"/>
      <c r="Z154" s="103"/>
      <c r="AA154" s="103"/>
    </row>
    <row r="155" spans="1:27" ht="35.25" customHeight="1">
      <c r="A155" s="24" t="str">
        <v>Ransom</v>
      </c>
      <c r="B155" s="25" t="str">
        <v>NY</v>
      </c>
      <c r="C155" s="25" t="str">
        <f>Sites[[#This Row],[SOL'#]]</f>
        <v>SOL-11157</v>
      </c>
      <c r="D155" s="54">
        <v>743877.8</v>
      </c>
      <c r="E155" s="10" t="s">
        <v>941</v>
      </c>
      <c r="F155" s="10" t="str">
        <f t="shared" si="13"/>
        <v/>
      </c>
      <c r="G155" s="55" t="str">
        <f t="shared" si="14"/>
        <v/>
      </c>
      <c r="H155" s="146" t="s">
        <v>941</v>
      </c>
      <c r="I155" s="67" t="str">
        <f t="shared" si="15"/>
        <v/>
      </c>
      <c r="J155" s="64" t="str">
        <f t="shared" si="16"/>
        <v/>
      </c>
      <c r="K155" s="70" t="s">
        <v>1146</v>
      </c>
      <c r="L155" s="137" t="s">
        <v>1147</v>
      </c>
      <c r="M155" s="138" t="s">
        <v>1148</v>
      </c>
      <c r="N155" s="138" t="s">
        <v>889</v>
      </c>
      <c r="S155" s="103"/>
      <c r="T155" s="103"/>
      <c r="U155" s="103"/>
      <c r="V155" s="103"/>
      <c r="W155" s="103"/>
      <c r="X155" s="103"/>
      <c r="Y155" s="103"/>
      <c r="Z155" s="103"/>
      <c r="AA155" s="103"/>
    </row>
    <row r="156" spans="1:27" ht="43.15">
      <c r="A156" s="26" t="str">
        <v>Horseheads - Wedge</v>
      </c>
      <c r="B156" s="27" t="str">
        <v>NY</v>
      </c>
      <c r="C156" s="9" t="str">
        <f>Sites[[#This Row],[SOL'#]]</f>
        <v>SOL-11160</v>
      </c>
      <c r="D156" s="66">
        <v>523669</v>
      </c>
      <c r="E156" s="14" t="s">
        <v>941</v>
      </c>
      <c r="F156" s="14" t="str">
        <f t="shared" si="13"/>
        <v/>
      </c>
      <c r="G156" s="68" t="str">
        <f t="shared" si="14"/>
        <v/>
      </c>
      <c r="H156" s="125" t="s">
        <v>941</v>
      </c>
      <c r="I156" s="69" t="str">
        <f t="shared" si="15"/>
        <v/>
      </c>
      <c r="J156" s="68" t="str">
        <f t="shared" si="16"/>
        <v/>
      </c>
      <c r="K156" s="135" t="s">
        <v>1149</v>
      </c>
      <c r="L156" s="136" t="s">
        <v>1150</v>
      </c>
      <c r="M156" s="138" t="s">
        <v>1151</v>
      </c>
      <c r="S156" s="103"/>
      <c r="T156" s="103"/>
      <c r="U156" s="103"/>
      <c r="V156" s="103"/>
      <c r="W156" s="103"/>
      <c r="X156" s="103"/>
      <c r="Y156" s="103"/>
      <c r="Z156" s="103"/>
      <c r="AA156" s="103"/>
    </row>
    <row r="157" spans="1:27" ht="28.9">
      <c r="A157" s="24" t="str">
        <v>Otisville - Shoddy Hollow</v>
      </c>
      <c r="B157" s="25" t="str">
        <v>NY</v>
      </c>
      <c r="C157" s="25" t="str">
        <f>Sites[[#This Row],[SOL'#]]</f>
        <v>SOL-11185</v>
      </c>
      <c r="D157" s="54">
        <v>758134.8</v>
      </c>
      <c r="E157" s="10" t="s">
        <v>941</v>
      </c>
      <c r="F157" s="10" t="str">
        <f t="shared" si="13"/>
        <v/>
      </c>
      <c r="G157" s="55" t="str">
        <f t="shared" si="14"/>
        <v/>
      </c>
      <c r="H157" s="146" t="s">
        <v>941</v>
      </c>
      <c r="I157" s="67" t="str">
        <f t="shared" si="15"/>
        <v/>
      </c>
      <c r="J157" s="64" t="str">
        <f t="shared" si="16"/>
        <v/>
      </c>
      <c r="K157" s="70" t="s">
        <v>1152</v>
      </c>
      <c r="L157" s="137" t="s">
        <v>1153</v>
      </c>
      <c r="M157" s="138" t="s">
        <v>896</v>
      </c>
      <c r="S157" s="103"/>
      <c r="T157" s="103"/>
      <c r="U157" s="103"/>
      <c r="V157" s="103"/>
      <c r="W157" s="103"/>
      <c r="X157" s="103"/>
      <c r="Y157" s="103"/>
      <c r="Z157" s="103"/>
      <c r="AA157" s="103"/>
    </row>
    <row r="158" spans="1:27" ht="176.25" customHeight="1">
      <c r="A158" s="26" t="str">
        <v>Wellsville - Chenunda Creek</v>
      </c>
      <c r="B158" s="27" t="str">
        <v>NY</v>
      </c>
      <c r="C158" s="9" t="str">
        <f>Sites[[#This Row],[SOL'#]]</f>
        <v>SOL-11187</v>
      </c>
      <c r="D158" s="66">
        <v>395137</v>
      </c>
      <c r="E158" s="14" t="s">
        <v>941</v>
      </c>
      <c r="F158" s="14" t="str">
        <f t="shared" si="13"/>
        <v/>
      </c>
      <c r="G158" s="68" t="str">
        <f t="shared" si="14"/>
        <v/>
      </c>
      <c r="H158" s="125" t="s">
        <v>941</v>
      </c>
      <c r="I158" s="69" t="str">
        <f t="shared" si="15"/>
        <v/>
      </c>
      <c r="J158" s="68" t="str">
        <f t="shared" si="16"/>
        <v/>
      </c>
      <c r="K158" s="58" t="s">
        <v>1154</v>
      </c>
      <c r="L158" s="136" t="s">
        <v>1155</v>
      </c>
      <c r="M158" s="138" t="s">
        <v>1156</v>
      </c>
      <c r="N158" s="138" t="s">
        <v>1157</v>
      </c>
      <c r="S158" s="103"/>
      <c r="T158" s="103"/>
      <c r="U158" s="103"/>
      <c r="V158" s="103"/>
      <c r="W158" s="103"/>
      <c r="X158" s="103"/>
      <c r="Y158" s="103"/>
      <c r="Z158" s="103"/>
      <c r="AA158" s="103"/>
    </row>
    <row r="159" spans="1:27" ht="15.6">
      <c r="A159" s="24" t="str">
        <v>DC: Washington - Essex Condominium</v>
      </c>
      <c r="B159" s="25" t="str">
        <v>DC</v>
      </c>
      <c r="C159" s="25" t="str">
        <f>Sites[[#This Row],[SOL'#]]</f>
        <v>SOL-10036</v>
      </c>
      <c r="D159" s="54">
        <v>3982</v>
      </c>
      <c r="E159" s="10">
        <v>5103.5370000000003</v>
      </c>
      <c r="F159" s="10">
        <f t="shared" si="13"/>
        <v>-1121.5370000000003</v>
      </c>
      <c r="G159" s="55">
        <f t="shared" si="14"/>
        <v>-0.21975680787657662</v>
      </c>
      <c r="H159" s="67">
        <v>4750.2120000000004</v>
      </c>
      <c r="I159" s="67">
        <f t="shared" si="15"/>
        <v>-768.21200000000044</v>
      </c>
      <c r="J159" s="64">
        <f t="shared" si="16"/>
        <v>-0.16172162421382463</v>
      </c>
      <c r="K159" s="106" t="s">
        <v>1158</v>
      </c>
      <c r="L159" s="115"/>
    </row>
    <row r="160" spans="1:27" ht="144">
      <c r="A160" s="26" t="str">
        <v>HI: Waipahu - 94-246 Leoku St - E.F.G.</v>
      </c>
      <c r="B160" s="27" t="str">
        <v>HI</v>
      </c>
      <c r="C160" s="66" t="str">
        <f>Sites[[#This Row],[SOL'#]]</f>
        <v>SOL-10071</v>
      </c>
      <c r="D160" s="66">
        <v>9634</v>
      </c>
      <c r="E160" s="14">
        <v>13220.9</v>
      </c>
      <c r="F160" s="14">
        <f t="shared" si="13"/>
        <v>-3586.8999999999996</v>
      </c>
      <c r="G160" s="68">
        <f t="shared" si="14"/>
        <v>-0.27130528178868307</v>
      </c>
      <c r="H160" s="69">
        <v>13467.537</v>
      </c>
      <c r="I160" s="69">
        <f t="shared" si="15"/>
        <v>-3833.5370000000003</v>
      </c>
      <c r="J160" s="68">
        <f t="shared" si="16"/>
        <v>-0.28465019253334889</v>
      </c>
      <c r="K160" s="135" t="s">
        <v>1159</v>
      </c>
      <c r="L160" s="99" t="s">
        <v>1160</v>
      </c>
    </row>
    <row r="161" spans="1:12" ht="15.6">
      <c r="A161" s="24" t="str">
        <v>HI: Waipahu - 94-099 Waipahu St - PV</v>
      </c>
      <c r="B161" s="25" t="str">
        <v>HI</v>
      </c>
      <c r="C161" s="25" t="str">
        <f>Sites[[#This Row],[SOL'#]]</f>
        <v>SOL-10068</v>
      </c>
      <c r="D161" s="54">
        <v>14874</v>
      </c>
      <c r="E161" s="10">
        <v>11763.123</v>
      </c>
      <c r="F161" s="10">
        <f t="shared" si="13"/>
        <v>3110.8770000000004</v>
      </c>
      <c r="G161" s="55">
        <f t="shared" si="14"/>
        <v>0.26446012678775871</v>
      </c>
      <c r="H161" s="67">
        <v>13460.33</v>
      </c>
      <c r="I161" s="67">
        <f t="shared" si="15"/>
        <v>1413.67</v>
      </c>
      <c r="J161" s="64">
        <f t="shared" si="16"/>
        <v>0.10502491395084668</v>
      </c>
      <c r="K161" s="70"/>
      <c r="L161" s="115"/>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35"/>
      <c r="L162" s="162"/>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5"/>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35"/>
      <c r="L164" s="162"/>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 ref="L160" r:id="rId191" display="https://us3.assetplanner.com/service_request?ID=100771" xr:uid="{3EC9BABF-B8F2-491F-BCDF-24F79058543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73"/>
  <sheetViews>
    <sheetView zoomScale="70" zoomScaleNormal="70" workbookViewId="0">
      <pane xSplit="2" ySplit="3" topLeftCell="C106" activePane="bottomRight" state="frozen"/>
      <selection pane="bottomRight" activeCell="G172" sqref="G17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92" t="str" cm="1">
        <f t="array" ref="A1">portfolio</f>
        <v>Generate Capital</v>
      </c>
      <c r="B1" s="192"/>
      <c r="C1" s="192"/>
      <c r="D1" s="192"/>
      <c r="E1" s="193" t="s">
        <v>1161</v>
      </c>
      <c r="F1" s="193"/>
      <c r="G1" s="193"/>
      <c r="H1" s="191" t="s">
        <v>1162</v>
      </c>
      <c r="I1" s="191"/>
      <c r="J1" s="191"/>
      <c r="K1" s="4"/>
      <c r="L1" s="4"/>
    </row>
    <row r="2" spans="1:18" ht="19.5" customHeight="1">
      <c r="A2" s="194" t="s">
        <v>2</v>
      </c>
      <c r="B2" s="194"/>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2">
      <c r="A4" s="26" t="str" cm="1">
        <f t="array" ref="A4:A173">Sites[Site]</f>
        <v>K026</v>
      </c>
      <c r="B4" s="27" t="str" cm="1">
        <f t="array" ref="B4:B173">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86" t="s">
        <v>1163</v>
      </c>
      <c r="L4" s="99" t="s">
        <v>1164</v>
      </c>
      <c r="M4" s="102" t="s">
        <v>1165</v>
      </c>
      <c r="N4" s="102" t="s">
        <v>1166</v>
      </c>
      <c r="O4" s="103"/>
      <c r="P4" s="103"/>
      <c r="Q4" s="103"/>
      <c r="R4" s="103"/>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1167</v>
      </c>
      <c r="L5" s="98" t="s">
        <v>1168</v>
      </c>
      <c r="M5" s="103"/>
      <c r="N5" s="103"/>
      <c r="O5" s="103"/>
      <c r="P5" s="103"/>
      <c r="Q5" s="103"/>
      <c r="R5" s="103"/>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86" t="s">
        <v>1169</v>
      </c>
      <c r="L6" s="99" t="s">
        <v>1170</v>
      </c>
      <c r="M6" s="103"/>
      <c r="N6" s="103"/>
      <c r="O6" s="103"/>
      <c r="P6" s="103"/>
      <c r="Q6" s="103"/>
      <c r="R6" s="103"/>
    </row>
    <row r="7" spans="1:18" ht="28.9">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646</v>
      </c>
      <c r="L7" s="98" t="s">
        <v>1171</v>
      </c>
      <c r="M7" s="103"/>
      <c r="N7" s="103"/>
      <c r="O7" s="103"/>
      <c r="P7" s="103"/>
      <c r="Q7" s="103"/>
      <c r="R7" s="103"/>
    </row>
    <row r="8" spans="1:18" ht="15.6">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89" t="s">
        <v>24</v>
      </c>
      <c r="L8" s="101" t="s">
        <v>1172</v>
      </c>
      <c r="M8" s="103"/>
      <c r="N8" s="103"/>
      <c r="O8" s="103"/>
      <c r="P8" s="103"/>
      <c r="Q8" s="103"/>
      <c r="R8" s="103"/>
    </row>
    <row r="9" spans="1:18" ht="15.6">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3"/>
      <c r="N9" s="103"/>
      <c r="O9" s="103"/>
      <c r="P9" s="103"/>
      <c r="Q9" s="103"/>
      <c r="R9" s="103"/>
    </row>
    <row r="10" spans="1:18" ht="28.9">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86" t="s">
        <v>1173</v>
      </c>
      <c r="L10" s="99" t="s">
        <v>1174</v>
      </c>
      <c r="M10" s="103"/>
      <c r="N10" s="103"/>
      <c r="O10" s="103"/>
      <c r="P10" s="103"/>
      <c r="Q10" s="103"/>
      <c r="R10" s="103"/>
    </row>
    <row r="11" spans="1:18" ht="15.6">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3"/>
      <c r="N11" s="103"/>
      <c r="O11" s="103"/>
      <c r="P11" s="103"/>
      <c r="Q11" s="103"/>
      <c r="R11" s="103"/>
    </row>
    <row r="12" spans="1:18" ht="72">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86" t="s">
        <v>1175</v>
      </c>
      <c r="L12" s="99" t="s">
        <v>1176</v>
      </c>
      <c r="M12" s="102" t="s">
        <v>1177</v>
      </c>
      <c r="N12" s="102" t="s">
        <v>1178</v>
      </c>
      <c r="O12" s="103"/>
      <c r="P12" s="103"/>
      <c r="Q12" s="103"/>
      <c r="R12" s="103"/>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1179</v>
      </c>
      <c r="L13" s="47"/>
      <c r="M13" s="103"/>
      <c r="N13" s="103"/>
      <c r="O13" s="103"/>
      <c r="P13" s="103"/>
      <c r="Q13" s="103"/>
      <c r="R13" s="103"/>
    </row>
    <row r="14" spans="1:18" ht="43.1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86" t="s">
        <v>1180</v>
      </c>
      <c r="L14" s="99" t="s">
        <v>1181</v>
      </c>
      <c r="M14" s="103"/>
      <c r="N14" s="103"/>
      <c r="O14" s="103"/>
      <c r="P14" s="103"/>
      <c r="Q14" s="103"/>
      <c r="R14" s="103"/>
    </row>
    <row r="15" spans="1:18" ht="28.9">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1182</v>
      </c>
      <c r="L15" s="47"/>
      <c r="M15" s="103"/>
      <c r="N15" s="103"/>
      <c r="O15" s="103"/>
      <c r="P15" s="103"/>
      <c r="Q15" s="103"/>
      <c r="R15" s="103"/>
    </row>
    <row r="16" spans="1:18" ht="28.9">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86" t="s">
        <v>1182</v>
      </c>
      <c r="L16" s="85"/>
      <c r="M16" s="103"/>
      <c r="N16" s="103"/>
      <c r="O16" s="103"/>
      <c r="P16" s="103"/>
      <c r="Q16" s="103"/>
      <c r="R16" s="103"/>
    </row>
    <row r="17" spans="1:18" ht="28.9">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1183</v>
      </c>
      <c r="L17" s="98" t="s">
        <v>1184</v>
      </c>
      <c r="M17" s="103"/>
      <c r="N17" s="103"/>
      <c r="O17" s="103"/>
      <c r="P17" s="103"/>
      <c r="Q17" s="103"/>
      <c r="R17" s="103"/>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86" t="s">
        <v>1185</v>
      </c>
      <c r="L18" s="99" t="s">
        <v>1186</v>
      </c>
      <c r="M18" s="103"/>
      <c r="N18" s="103"/>
      <c r="O18" s="103"/>
      <c r="P18" s="103"/>
      <c r="Q18" s="103"/>
      <c r="R18" s="103"/>
    </row>
    <row r="19" spans="1:18" ht="28.9">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1182</v>
      </c>
      <c r="L19" s="47"/>
      <c r="M19" s="103"/>
      <c r="N19" s="103"/>
      <c r="O19" s="103"/>
      <c r="P19" s="103"/>
      <c r="Q19" s="103"/>
      <c r="R19" s="103"/>
    </row>
    <row r="20" spans="1:18" ht="72">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86" t="s">
        <v>915</v>
      </c>
      <c r="L20" s="99" t="s">
        <v>1187</v>
      </c>
      <c r="M20" s="103"/>
      <c r="N20" s="103"/>
      <c r="O20" s="103"/>
      <c r="P20" s="103"/>
      <c r="Q20" s="103"/>
      <c r="R20" s="103"/>
    </row>
    <row r="21" spans="1:18" ht="28.9">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1182</v>
      </c>
      <c r="L21" s="47"/>
      <c r="M21" s="103"/>
      <c r="N21" s="103"/>
      <c r="O21" s="103"/>
      <c r="P21" s="103"/>
      <c r="Q21" s="103"/>
      <c r="R21" s="103"/>
    </row>
    <row r="22" spans="1:18" ht="28.9">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86" t="s">
        <v>1182</v>
      </c>
      <c r="L22" s="85"/>
      <c r="M22" s="103"/>
      <c r="N22" s="103"/>
      <c r="O22" s="103"/>
      <c r="P22" s="103"/>
      <c r="Q22" s="103"/>
      <c r="R22" s="103"/>
    </row>
    <row r="23" spans="1:18" ht="28.9">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1188</v>
      </c>
      <c r="L23" s="98" t="s">
        <v>1189</v>
      </c>
      <c r="M23" s="103"/>
      <c r="N23" s="103"/>
      <c r="O23" s="103"/>
      <c r="P23" s="103"/>
      <c r="Q23" s="103"/>
      <c r="R23" s="103"/>
    </row>
    <row r="24" spans="1:18" ht="28.9">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86" t="s">
        <v>1182</v>
      </c>
      <c r="L24" s="186"/>
      <c r="M24" s="103"/>
      <c r="N24" s="103"/>
      <c r="O24" s="103"/>
      <c r="P24" s="103"/>
      <c r="Q24" s="103"/>
      <c r="R24" s="103"/>
    </row>
    <row r="25" spans="1:18" ht="28.9">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1182</v>
      </c>
      <c r="L25" s="47"/>
      <c r="M25" s="103"/>
      <c r="N25" s="103"/>
      <c r="O25" s="103"/>
      <c r="P25" s="103"/>
      <c r="Q25" s="103"/>
      <c r="R25" s="103"/>
    </row>
    <row r="26" spans="1:18" ht="28.9">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86" t="s">
        <v>1182</v>
      </c>
      <c r="L26" s="85"/>
      <c r="M26" s="103"/>
      <c r="N26" s="103"/>
      <c r="O26" s="103"/>
      <c r="P26" s="103"/>
      <c r="Q26" s="103"/>
      <c r="R26" s="103"/>
    </row>
    <row r="27" spans="1:18" ht="28.9">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1182</v>
      </c>
      <c r="L27" s="47"/>
      <c r="M27" s="103"/>
      <c r="N27" s="103"/>
      <c r="O27" s="103"/>
      <c r="P27" s="103"/>
      <c r="Q27" s="103"/>
      <c r="R27" s="103"/>
    </row>
    <row r="28" spans="1:18" ht="57.6">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86" t="s">
        <v>1190</v>
      </c>
      <c r="L28" s="99" t="s">
        <v>1191</v>
      </c>
      <c r="M28" s="103"/>
      <c r="N28" s="103"/>
      <c r="O28" s="103"/>
      <c r="P28" s="103"/>
      <c r="Q28" s="103"/>
      <c r="R28" s="103"/>
    </row>
    <row r="29" spans="1:18" ht="15.6">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1192</v>
      </c>
      <c r="L29" s="98" t="s">
        <v>1193</v>
      </c>
      <c r="M29" s="103"/>
      <c r="N29" s="103"/>
      <c r="O29" s="103"/>
      <c r="P29" s="103"/>
      <c r="Q29" s="103"/>
      <c r="R29" s="103"/>
    </row>
    <row r="30" spans="1:18" ht="15.6">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86"/>
      <c r="L30" s="85"/>
      <c r="M30" s="103"/>
      <c r="N30" s="103"/>
      <c r="O30" s="103"/>
      <c r="P30" s="103"/>
      <c r="Q30" s="103"/>
      <c r="R30" s="103"/>
    </row>
    <row r="31" spans="1:18" ht="15.6">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3"/>
      <c r="N31" s="103"/>
      <c r="O31" s="103"/>
      <c r="P31" s="103"/>
      <c r="Q31" s="103"/>
      <c r="R31" s="103"/>
    </row>
    <row r="32" spans="1:18" ht="15.6">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86"/>
      <c r="L32" s="85"/>
      <c r="M32" s="103"/>
      <c r="N32" s="103"/>
      <c r="O32" s="103"/>
      <c r="P32" s="103"/>
      <c r="Q32" s="103"/>
      <c r="R32" s="103"/>
    </row>
    <row r="33" spans="1:18" ht="15.6">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3"/>
      <c r="N33" s="103"/>
      <c r="O33" s="103"/>
      <c r="P33" s="103"/>
      <c r="Q33" s="103"/>
      <c r="R33" s="103"/>
    </row>
    <row r="34" spans="1:18" ht="28.9">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86" t="s">
        <v>1182</v>
      </c>
      <c r="L34" s="85"/>
      <c r="M34" s="103"/>
      <c r="N34" s="103"/>
      <c r="O34" s="103"/>
      <c r="P34" s="103"/>
      <c r="Q34" s="103"/>
      <c r="R34" s="103"/>
    </row>
    <row r="35" spans="1:18" ht="15.6">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1194</v>
      </c>
      <c r="L35" s="98" t="s">
        <v>1195</v>
      </c>
      <c r="M35" s="103"/>
      <c r="N35" s="103"/>
      <c r="O35" s="103"/>
      <c r="P35" s="103"/>
      <c r="Q35" s="103"/>
      <c r="R35" s="103"/>
    </row>
    <row r="36" spans="1:18" ht="100.9">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86" t="s">
        <v>1196</v>
      </c>
      <c r="L36" s="186"/>
      <c r="M36" s="103"/>
      <c r="N36" s="103"/>
      <c r="O36" s="103"/>
      <c r="P36" s="103"/>
      <c r="Q36" s="103"/>
      <c r="R36" s="103"/>
    </row>
    <row r="37" spans="1:18" ht="28.9">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1197</v>
      </c>
      <c r="L37" s="98" t="s">
        <v>1198</v>
      </c>
      <c r="M37" s="103"/>
      <c r="N37" s="103"/>
      <c r="O37" s="103"/>
      <c r="P37" s="103"/>
      <c r="Q37" s="103"/>
      <c r="R37" s="103"/>
    </row>
    <row r="38" spans="1:18" ht="28.9">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86" t="s">
        <v>932</v>
      </c>
      <c r="L38" s="99" t="s">
        <v>1199</v>
      </c>
      <c r="M38" s="103"/>
      <c r="N38" s="103"/>
      <c r="O38" s="103"/>
      <c r="P38" s="103"/>
      <c r="Q38" s="103"/>
      <c r="R38" s="103"/>
    </row>
    <row r="39" spans="1:18" ht="28.9">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1182</v>
      </c>
      <c r="L39" s="47"/>
      <c r="M39" s="103"/>
      <c r="N39" s="103"/>
      <c r="O39" s="103"/>
      <c r="P39" s="103"/>
      <c r="Q39" s="103"/>
      <c r="R39" s="103"/>
    </row>
    <row r="40" spans="1:18" ht="28.9">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86" t="s">
        <v>1200</v>
      </c>
      <c r="L40" s="99" t="s">
        <v>679</v>
      </c>
      <c r="M40" s="103"/>
      <c r="N40" s="103"/>
      <c r="O40" s="103"/>
      <c r="P40" s="103"/>
      <c r="Q40" s="103"/>
      <c r="R40" s="103"/>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1201</v>
      </c>
      <c r="L41" s="98" t="s">
        <v>1202</v>
      </c>
      <c r="M41" s="103"/>
      <c r="N41" s="103"/>
      <c r="O41" s="103"/>
      <c r="P41" s="103"/>
      <c r="Q41" s="103"/>
      <c r="R41" s="103"/>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86" t="s">
        <v>1203</v>
      </c>
      <c r="L42" s="99" t="s">
        <v>1204</v>
      </c>
      <c r="M42" s="103"/>
      <c r="N42" s="103"/>
      <c r="O42" s="103"/>
      <c r="P42" s="103"/>
      <c r="Q42" s="103"/>
      <c r="R42" s="103"/>
    </row>
    <row r="43" spans="1:18" ht="43.15">
      <c r="A43" s="24" t="str">
        <v>Q490</v>
      </c>
      <c r="B43" s="25" t="str">
        <v>NY</v>
      </c>
      <c r="C43" s="25" t="str">
        <f>Sites[[#This Row],[SOL'#]]</f>
        <v>SOL-10411</v>
      </c>
      <c r="D43" s="20">
        <v>48688.986250000104</v>
      </c>
      <c r="E43" s="10" t="s">
        <v>661</v>
      </c>
      <c r="F43" s="10" t="str">
        <f t="shared" si="0"/>
        <v/>
      </c>
      <c r="G43" s="11" t="str">
        <f t="shared" si="1"/>
        <v/>
      </c>
      <c r="H43" s="12">
        <v>53116.12</v>
      </c>
      <c r="I43" s="12">
        <f t="shared" si="2"/>
        <v>-4427.133749999899</v>
      </c>
      <c r="J43" s="13">
        <f t="shared" si="3"/>
        <v>-8.3348214252093322E-2</v>
      </c>
      <c r="K43" s="47" t="s">
        <v>1205</v>
      </c>
      <c r="L43" s="98" t="s">
        <v>231</v>
      </c>
      <c r="M43" s="103"/>
      <c r="N43" s="103"/>
      <c r="O43" s="103"/>
      <c r="P43" s="103"/>
      <c r="Q43" s="103"/>
      <c r="R43" s="103"/>
    </row>
    <row r="44" spans="1:18" ht="15.6">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86"/>
      <c r="L44" s="85"/>
      <c r="M44" s="103"/>
      <c r="N44" s="103"/>
      <c r="O44" s="103"/>
      <c r="P44" s="103"/>
      <c r="Q44" s="103"/>
      <c r="R44" s="103"/>
    </row>
    <row r="45" spans="1:18" ht="28.9">
      <c r="A45" s="24" t="str">
        <v>QMOA</v>
      </c>
      <c r="B45" s="25" t="str">
        <v>NY</v>
      </c>
      <c r="C45" s="25" t="str">
        <f>Sites[[#This Row],[SOL'#]]</f>
        <v>SOL-10415</v>
      </c>
      <c r="D45" s="20">
        <v>6248.7999999999902</v>
      </c>
      <c r="E45" s="10" t="s">
        <v>661</v>
      </c>
      <c r="F45" s="10" t="str">
        <f t="shared" si="0"/>
        <v/>
      </c>
      <c r="G45" s="11" t="str">
        <f t="shared" si="1"/>
        <v/>
      </c>
      <c r="H45" s="12">
        <v>7429.65</v>
      </c>
      <c r="I45" s="12">
        <f t="shared" si="2"/>
        <v>-1180.8500000000095</v>
      </c>
      <c r="J45" s="13">
        <f t="shared" si="3"/>
        <v>-0.15893750042061328</v>
      </c>
      <c r="K45" s="47" t="s">
        <v>1182</v>
      </c>
      <c r="L45" s="47"/>
      <c r="M45" s="103"/>
      <c r="N45" s="103"/>
      <c r="O45" s="103"/>
      <c r="P45" s="103"/>
      <c r="Q45" s="103"/>
      <c r="R45" s="103"/>
    </row>
    <row r="46" spans="1:18" ht="57.6">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86" t="s">
        <v>1206</v>
      </c>
      <c r="L46" s="99" t="s">
        <v>1207</v>
      </c>
      <c r="M46" s="103"/>
      <c r="N46" s="103"/>
      <c r="O46" s="103"/>
      <c r="P46" s="103"/>
      <c r="Q46" s="103"/>
      <c r="R46" s="103"/>
    </row>
    <row r="47" spans="1:18" ht="28.9">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944</v>
      </c>
      <c r="L47" s="98" t="s">
        <v>690</v>
      </c>
      <c r="M47" s="103"/>
      <c r="N47" s="103"/>
      <c r="O47" s="103"/>
      <c r="P47" s="103"/>
      <c r="Q47" s="103"/>
      <c r="R47" s="103"/>
    </row>
    <row r="48" spans="1:18" ht="15.6">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86" t="s">
        <v>1208</v>
      </c>
      <c r="L48" s="99" t="s">
        <v>1209</v>
      </c>
      <c r="M48" s="103"/>
      <c r="N48" s="103"/>
      <c r="O48" s="103"/>
      <c r="P48" s="103"/>
      <c r="Q48" s="103"/>
      <c r="R48" s="103"/>
    </row>
    <row r="49" spans="1:18" ht="28.9">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1210</v>
      </c>
      <c r="L49" s="98" t="s">
        <v>1211</v>
      </c>
      <c r="M49" s="103"/>
      <c r="N49" s="103"/>
      <c r="O49" s="103"/>
      <c r="P49" s="103"/>
      <c r="Q49" s="103"/>
      <c r="R49" s="103"/>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86" t="s">
        <v>1182</v>
      </c>
      <c r="L50" s="186"/>
      <c r="M50" s="103"/>
      <c r="N50" s="103"/>
      <c r="O50" s="103"/>
      <c r="P50" s="103"/>
      <c r="Q50" s="103"/>
      <c r="R50" s="103"/>
    </row>
    <row r="51" spans="1:18" ht="28.9">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1182</v>
      </c>
      <c r="L51" s="47"/>
      <c r="M51" s="103"/>
      <c r="N51" s="103"/>
      <c r="O51" s="103"/>
      <c r="P51" s="103"/>
      <c r="Q51" s="103"/>
      <c r="R51" s="103"/>
    </row>
    <row r="52" spans="1:18" ht="28.9">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86" t="s">
        <v>1182</v>
      </c>
      <c r="L52" s="85"/>
      <c r="M52" s="103"/>
      <c r="N52" s="103"/>
      <c r="O52" s="103"/>
      <c r="P52" s="103"/>
      <c r="Q52" s="103"/>
      <c r="R52" s="103"/>
    </row>
    <row r="53" spans="1:18" ht="15.6">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1212</v>
      </c>
      <c r="L53" s="98" t="s">
        <v>1213</v>
      </c>
      <c r="M53" s="103"/>
      <c r="N53" s="103"/>
      <c r="O53" s="103"/>
      <c r="P53" s="103"/>
      <c r="Q53" s="103"/>
      <c r="R53" s="103"/>
    </row>
    <row r="54" spans="1:18" ht="15.6">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86"/>
      <c r="L54" s="85"/>
      <c r="M54" s="103"/>
      <c r="N54" s="103"/>
      <c r="O54" s="103"/>
      <c r="P54" s="103"/>
      <c r="Q54" s="103"/>
      <c r="R54" s="103"/>
    </row>
    <row r="55" spans="1:18" ht="72">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07" t="s">
        <v>1214</v>
      </c>
      <c r="L55" s="47"/>
      <c r="M55" s="103"/>
      <c r="N55" s="103"/>
      <c r="O55" s="103"/>
      <c r="P55" s="103"/>
      <c r="Q55" s="103"/>
      <c r="R55" s="103"/>
    </row>
    <row r="56" spans="1:18" ht="129.6">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86" t="s">
        <v>1215</v>
      </c>
      <c r="L56" s="99" t="s">
        <v>1216</v>
      </c>
      <c r="M56" s="102" t="s">
        <v>1217</v>
      </c>
      <c r="N56" s="103"/>
      <c r="O56" s="103"/>
      <c r="P56" s="103"/>
      <c r="Q56" s="103"/>
      <c r="R56" s="103"/>
    </row>
    <row r="57" spans="1:18" ht="15.6">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1218</v>
      </c>
      <c r="L57" s="98" t="s">
        <v>1219</v>
      </c>
      <c r="M57" s="103"/>
      <c r="N57" s="103"/>
      <c r="O57" s="103"/>
      <c r="P57" s="103"/>
      <c r="Q57" s="103"/>
      <c r="R57" s="103"/>
    </row>
    <row r="58" spans="1:18" ht="100.9">
      <c r="A58" s="26" t="str">
        <v>Boas Road 04</v>
      </c>
      <c r="B58" s="27" t="str">
        <v>NY</v>
      </c>
      <c r="C58" s="9" t="str">
        <f>Sites[[#This Row],[SOL'#]]</f>
        <v>SOL-10908</v>
      </c>
      <c r="D58" s="9" t="s">
        <v>1220</v>
      </c>
      <c r="E58" s="14">
        <v>399796</v>
      </c>
      <c r="F58" s="14" t="str">
        <f t="shared" si="4"/>
        <v/>
      </c>
      <c r="G58" s="15" t="str">
        <f t="shared" si="5"/>
        <v/>
      </c>
      <c r="H58" s="16">
        <v>381322</v>
      </c>
      <c r="I58" s="16" t="str">
        <f t="shared" si="2"/>
        <v/>
      </c>
      <c r="J58" s="15" t="str">
        <f t="shared" si="3"/>
        <v/>
      </c>
      <c r="K58" s="186" t="s">
        <v>1221</v>
      </c>
      <c r="L58" s="99" t="s">
        <v>1222</v>
      </c>
      <c r="M58" s="102" t="s">
        <v>1223</v>
      </c>
      <c r="N58" s="102" t="s">
        <v>1224</v>
      </c>
      <c r="O58" s="102" t="s">
        <v>1225</v>
      </c>
      <c r="P58" s="102" t="s">
        <v>1223</v>
      </c>
      <c r="Q58" s="103"/>
      <c r="R58" s="103"/>
    </row>
    <row r="59" spans="1:18" ht="187.15">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1226</v>
      </c>
      <c r="L59" s="98" t="s">
        <v>1227</v>
      </c>
      <c r="M59" s="102" t="s">
        <v>1228</v>
      </c>
      <c r="N59" s="102" t="s">
        <v>1229</v>
      </c>
      <c r="O59" s="102" t="s">
        <v>1230</v>
      </c>
      <c r="P59" s="102" t="s">
        <v>1231</v>
      </c>
      <c r="Q59" s="102" t="s">
        <v>1231</v>
      </c>
      <c r="R59" s="103"/>
    </row>
    <row r="60" spans="1:18" ht="28.9">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86" t="s">
        <v>1232</v>
      </c>
      <c r="L60" s="99" t="s">
        <v>1233</v>
      </c>
      <c r="M60" s="103"/>
      <c r="N60" s="103"/>
      <c r="O60" s="103"/>
      <c r="P60" s="103"/>
      <c r="Q60" s="103"/>
      <c r="R60" s="103"/>
    </row>
    <row r="61" spans="1:18" ht="100.9">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1234</v>
      </c>
      <c r="L61" s="98" t="s">
        <v>1235</v>
      </c>
      <c r="M61" s="102" t="s">
        <v>963</v>
      </c>
      <c r="N61" s="102" t="s">
        <v>964</v>
      </c>
      <c r="O61" s="102" t="s">
        <v>1236</v>
      </c>
      <c r="P61" s="103"/>
      <c r="Q61" s="103"/>
      <c r="R61" s="103"/>
    </row>
    <row r="62" spans="1:18" ht="15.6">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86"/>
      <c r="L62" s="186"/>
      <c r="M62" s="103"/>
      <c r="N62" s="103"/>
      <c r="O62" s="103"/>
      <c r="P62" s="103"/>
      <c r="Q62" s="103"/>
      <c r="R62" s="103"/>
    </row>
    <row r="63" spans="1:18" ht="28.9">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967</v>
      </c>
      <c r="L63" s="98" t="s">
        <v>1237</v>
      </c>
      <c r="M63" s="103"/>
      <c r="N63" s="103"/>
      <c r="O63" s="103"/>
      <c r="P63" s="103"/>
      <c r="Q63" s="103"/>
      <c r="R63" s="103"/>
    </row>
    <row r="64" spans="1:18" ht="15.6">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86"/>
      <c r="L64" s="186"/>
      <c r="M64" s="103"/>
      <c r="N64" s="103"/>
      <c r="O64" s="103"/>
      <c r="P64" s="103"/>
      <c r="Q64" s="103"/>
      <c r="R64" s="103"/>
    </row>
    <row r="65" spans="1:23" ht="28.9">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1238</v>
      </c>
      <c r="L65" s="98" t="s">
        <v>1239</v>
      </c>
      <c r="M65" s="103"/>
      <c r="N65" s="103"/>
      <c r="O65" s="103"/>
      <c r="P65" s="103"/>
      <c r="Q65" s="103"/>
      <c r="R65" s="103"/>
    </row>
    <row r="66" spans="1:23" ht="86.4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86" t="s">
        <v>1240</v>
      </c>
      <c r="L66" s="99" t="s">
        <v>1241</v>
      </c>
      <c r="M66" s="102" t="s">
        <v>719</v>
      </c>
      <c r="N66" s="103"/>
      <c r="O66" s="103"/>
      <c r="P66" s="103"/>
      <c r="Q66" s="103"/>
      <c r="R66" s="103"/>
    </row>
    <row r="67" spans="1:23" ht="28.9">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1242</v>
      </c>
      <c r="L67" s="98" t="s">
        <v>1243</v>
      </c>
      <c r="M67" s="102" t="s">
        <v>1244</v>
      </c>
      <c r="N67" s="103"/>
      <c r="O67" s="103"/>
      <c r="P67" s="103"/>
      <c r="Q67" s="103"/>
      <c r="R67" s="103"/>
    </row>
    <row r="68" spans="1:23" ht="57.6">
      <c r="A68" s="26" t="str">
        <v>Big Tree</v>
      </c>
      <c r="B68" s="27" t="str">
        <v>NY</v>
      </c>
      <c r="C68" s="9" t="str">
        <f>Sites[[#This Row],[SOL'#]]</f>
        <v>SOL-10966</v>
      </c>
      <c r="D68" s="9">
        <v>404899</v>
      </c>
      <c r="E68" s="14" t="s">
        <v>661</v>
      </c>
      <c r="F68" s="14" t="str">
        <f t="shared" si="4"/>
        <v/>
      </c>
      <c r="G68" s="15" t="str">
        <f t="shared" si="5"/>
        <v/>
      </c>
      <c r="H68" s="16">
        <v>429682</v>
      </c>
      <c r="I68" s="16">
        <f t="shared" si="6"/>
        <v>-24783</v>
      </c>
      <c r="J68" s="15">
        <f t="shared" si="7"/>
        <v>-5.7677538272489885E-2</v>
      </c>
      <c r="K68" s="186" t="s">
        <v>1245</v>
      </c>
      <c r="L68" s="99" t="s">
        <v>1246</v>
      </c>
      <c r="M68" s="102" t="s">
        <v>1247</v>
      </c>
      <c r="N68" s="103"/>
      <c r="O68" s="103"/>
      <c r="P68" s="103"/>
      <c r="Q68" s="103"/>
      <c r="R68" s="103"/>
    </row>
    <row r="69" spans="1:23" ht="15.6">
      <c r="A69" s="24" t="str">
        <v>Canoga</v>
      </c>
      <c r="B69" s="25" t="str">
        <v>NY</v>
      </c>
      <c r="C69" s="25" t="str">
        <f>Sites[[#This Row],[SOL'#]]</f>
        <v>SOL-10965</v>
      </c>
      <c r="D69" s="20" t="s">
        <v>1220</v>
      </c>
      <c r="E69" s="10" t="s">
        <v>661</v>
      </c>
      <c r="F69" s="10" t="str">
        <f t="shared" si="4"/>
        <v/>
      </c>
      <c r="G69" s="11" t="str">
        <f t="shared" si="5"/>
        <v/>
      </c>
      <c r="H69" s="12"/>
      <c r="I69" s="12" t="str">
        <f t="shared" si="6"/>
        <v/>
      </c>
      <c r="J69" s="13" t="str">
        <f t="shared" si="7"/>
        <v/>
      </c>
      <c r="K69" s="47" t="s">
        <v>1248</v>
      </c>
      <c r="L69" s="98" t="s">
        <v>723</v>
      </c>
      <c r="M69" s="103"/>
      <c r="N69" s="103"/>
      <c r="O69" s="103"/>
      <c r="P69" s="103"/>
      <c r="Q69" s="103"/>
      <c r="R69" s="103"/>
    </row>
    <row r="70" spans="1:23" ht="172.5" customHeight="1">
      <c r="A70" s="26" t="str">
        <v>County Route 84</v>
      </c>
      <c r="B70" s="27" t="str">
        <v>NY</v>
      </c>
      <c r="C70" s="9" t="str">
        <f>Sites[[#This Row],[SOL'#]]</f>
        <v>SOL-10967</v>
      </c>
      <c r="D70" s="9">
        <v>887510</v>
      </c>
      <c r="E70" s="14" t="s">
        <v>661</v>
      </c>
      <c r="F70" s="14" t="str">
        <f t="shared" si="4"/>
        <v/>
      </c>
      <c r="G70" s="15" t="str">
        <f t="shared" si="5"/>
        <v/>
      </c>
      <c r="H70" s="16">
        <v>972096</v>
      </c>
      <c r="I70" s="16">
        <f t="shared" si="6"/>
        <v>-84586</v>
      </c>
      <c r="J70" s="15">
        <f t="shared" si="7"/>
        <v>-8.7014039765619861E-2</v>
      </c>
      <c r="K70" s="186" t="s">
        <v>1249</v>
      </c>
      <c r="L70" s="99" t="s">
        <v>1250</v>
      </c>
      <c r="M70" s="102" t="s">
        <v>1251</v>
      </c>
      <c r="N70" s="103"/>
      <c r="O70" s="103"/>
      <c r="P70" s="103"/>
      <c r="Q70" s="103"/>
      <c r="R70" s="103"/>
    </row>
    <row r="71" spans="1:23" ht="57.6">
      <c r="A71" s="24" t="str">
        <v>Donati</v>
      </c>
      <c r="B71" s="25" t="str">
        <v>NY</v>
      </c>
      <c r="C71" s="25" t="str">
        <f>Sites[[#This Row],[SOL'#]]</f>
        <v>SOL-10968</v>
      </c>
      <c r="D71" s="20">
        <v>476881</v>
      </c>
      <c r="E71" s="10" t="s">
        <v>661</v>
      </c>
      <c r="F71" s="10" t="str">
        <f t="shared" si="4"/>
        <v/>
      </c>
      <c r="G71" s="11" t="str">
        <f t="shared" si="5"/>
        <v/>
      </c>
      <c r="H71" s="12">
        <v>550490</v>
      </c>
      <c r="I71" s="12">
        <f t="shared" si="6"/>
        <v>-73609</v>
      </c>
      <c r="J71" s="13">
        <f t="shared" si="7"/>
        <v>-0.13371541717379062</v>
      </c>
      <c r="K71" s="47" t="s">
        <v>1252</v>
      </c>
      <c r="L71" s="98" t="s">
        <v>1253</v>
      </c>
      <c r="M71" s="102" t="s">
        <v>83</v>
      </c>
      <c r="N71" s="102" t="s">
        <v>728</v>
      </c>
      <c r="O71" s="103"/>
      <c r="P71" s="103"/>
      <c r="Q71" s="103"/>
      <c r="R71" s="103"/>
    </row>
    <row r="72" spans="1:23" ht="15.6">
      <c r="A72" s="26" t="str">
        <v>Henrietta</v>
      </c>
      <c r="B72" s="27" t="str">
        <v>NY</v>
      </c>
      <c r="C72" s="9" t="str">
        <f>Sites[[#This Row],[SOL'#]]</f>
        <v>SOL-10972</v>
      </c>
      <c r="D72" s="9">
        <v>1065880</v>
      </c>
      <c r="E72" s="14" t="s">
        <v>661</v>
      </c>
      <c r="F72" s="14" t="str">
        <f t="shared" si="4"/>
        <v/>
      </c>
      <c r="G72" s="15" t="str">
        <f t="shared" si="5"/>
        <v/>
      </c>
      <c r="H72" s="16">
        <v>1172239</v>
      </c>
      <c r="I72" s="16">
        <f t="shared" si="6"/>
        <v>-106359</v>
      </c>
      <c r="J72" s="15">
        <f t="shared" si="7"/>
        <v>-9.0731497587096144E-2</v>
      </c>
      <c r="K72" s="186" t="s">
        <v>1254</v>
      </c>
      <c r="L72" s="99" t="s">
        <v>1255</v>
      </c>
      <c r="M72" s="103"/>
      <c r="N72" s="103"/>
      <c r="O72" s="103"/>
      <c r="P72" s="103"/>
      <c r="Q72" s="103"/>
      <c r="R72" s="103"/>
    </row>
    <row r="73" spans="1:23" ht="119.25" customHeight="1">
      <c r="A73" s="24" t="str">
        <v>NY 70</v>
      </c>
      <c r="B73" s="25" t="str">
        <v>NY</v>
      </c>
      <c r="C73" s="25" t="str">
        <f>Sites[[#This Row],[SOL'#]]</f>
        <v>SOL-10970</v>
      </c>
      <c r="D73" s="20">
        <v>1143230</v>
      </c>
      <c r="E73" s="10" t="s">
        <v>661</v>
      </c>
      <c r="F73" s="10" t="str">
        <f t="shared" si="4"/>
        <v/>
      </c>
      <c r="G73" s="11" t="str">
        <f t="shared" si="5"/>
        <v/>
      </c>
      <c r="H73" s="12">
        <v>1263015</v>
      </c>
      <c r="I73" s="12">
        <f t="shared" si="6"/>
        <v>-119785</v>
      </c>
      <c r="J73" s="13">
        <f t="shared" si="7"/>
        <v>-9.4840520500548295E-2</v>
      </c>
      <c r="K73" s="47"/>
      <c r="L73" s="47"/>
      <c r="M73" s="103"/>
      <c r="N73" s="103"/>
      <c r="O73" s="103"/>
      <c r="P73" s="103"/>
      <c r="Q73" s="103"/>
      <c r="R73" s="103"/>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86" t="s">
        <v>1256</v>
      </c>
      <c r="L74" s="99" t="s">
        <v>1257</v>
      </c>
      <c r="M74" s="102" t="s">
        <v>1258</v>
      </c>
      <c r="N74" s="102" t="s">
        <v>1259</v>
      </c>
      <c r="O74" s="102" t="s">
        <v>1259</v>
      </c>
      <c r="P74" s="102" t="s">
        <v>1260</v>
      </c>
      <c r="Q74" s="102" t="s">
        <v>1261</v>
      </c>
      <c r="R74" s="102" t="s">
        <v>1262</v>
      </c>
      <c r="S74" s="111" t="s">
        <v>1263</v>
      </c>
      <c r="T74" s="111" t="s">
        <v>1264</v>
      </c>
      <c r="U74" s="111" t="s">
        <v>1260</v>
      </c>
      <c r="V74" s="111" t="s">
        <v>1262</v>
      </c>
      <c r="W74" s="111" t="s">
        <v>1263</v>
      </c>
    </row>
    <row r="75" spans="1:23" ht="28.9">
      <c r="A75" s="24" t="str">
        <v>Sangolqui</v>
      </c>
      <c r="B75" s="25" t="str">
        <v>NY</v>
      </c>
      <c r="C75" s="25" t="str">
        <f>Sites[[#This Row],[SOL'#]]</f>
        <v>SOL-10975</v>
      </c>
      <c r="D75" s="20">
        <v>437080</v>
      </c>
      <c r="E75" s="10" t="s">
        <v>661</v>
      </c>
      <c r="F75" s="10" t="str">
        <f t="shared" si="4"/>
        <v/>
      </c>
      <c r="G75" s="11" t="str">
        <f t="shared" si="5"/>
        <v/>
      </c>
      <c r="H75" s="12">
        <v>538488</v>
      </c>
      <c r="I75" s="12">
        <f t="shared" si="6"/>
        <v>-101408</v>
      </c>
      <c r="J75" s="13">
        <f t="shared" si="7"/>
        <v>-0.18831988827977597</v>
      </c>
      <c r="K75" s="47" t="s">
        <v>1265</v>
      </c>
      <c r="L75" s="98" t="s">
        <v>1266</v>
      </c>
      <c r="M75" s="103"/>
      <c r="N75" s="103"/>
      <c r="O75" s="103"/>
      <c r="P75" s="103"/>
      <c r="Q75" s="103"/>
      <c r="R75" s="103"/>
    </row>
    <row r="76" spans="1:23" ht="125.25" customHeight="1">
      <c r="A76" s="26" t="str">
        <v>State Highway 17B</v>
      </c>
      <c r="B76" s="27" t="str">
        <v>NY</v>
      </c>
      <c r="C76" s="9" t="str">
        <f>Sites[[#This Row],[SOL'#]]</f>
        <v>SOL-10988</v>
      </c>
      <c r="D76" s="9">
        <v>719330</v>
      </c>
      <c r="E76" s="14" t="s">
        <v>661</v>
      </c>
      <c r="F76" s="14" t="str">
        <f t="shared" si="4"/>
        <v/>
      </c>
      <c r="G76" s="15" t="str">
        <f t="shared" si="5"/>
        <v/>
      </c>
      <c r="H76" s="16"/>
      <c r="I76" s="16" t="str">
        <f t="shared" si="6"/>
        <v/>
      </c>
      <c r="J76" s="15" t="str">
        <f t="shared" si="7"/>
        <v/>
      </c>
      <c r="K76" s="186" t="s">
        <v>1267</v>
      </c>
      <c r="L76" s="99" t="s">
        <v>1268</v>
      </c>
      <c r="M76" s="102" t="s">
        <v>1269</v>
      </c>
      <c r="N76" s="102" t="s">
        <v>1270</v>
      </c>
      <c r="O76" s="102" t="s">
        <v>1270</v>
      </c>
      <c r="P76" s="103"/>
      <c r="Q76" s="103"/>
      <c r="R76" s="103"/>
    </row>
    <row r="77" spans="1:23" ht="93" customHeight="1">
      <c r="A77" s="24" t="str">
        <v>State Route 14A</v>
      </c>
      <c r="B77" s="25" t="str">
        <v>NY</v>
      </c>
      <c r="C77" s="25" t="str">
        <f>Sites[[#This Row],[SOL'#]]</f>
        <v>SOL-10997</v>
      </c>
      <c r="D77" s="20" t="s">
        <v>1220</v>
      </c>
      <c r="E77" s="10" t="s">
        <v>661</v>
      </c>
      <c r="F77" s="10" t="str">
        <f t="shared" si="4"/>
        <v/>
      </c>
      <c r="G77" s="11" t="str">
        <f t="shared" si="5"/>
        <v/>
      </c>
      <c r="H77" s="12">
        <v>967648</v>
      </c>
      <c r="I77" s="12" t="str">
        <f t="shared" si="6"/>
        <v/>
      </c>
      <c r="J77" s="13" t="str">
        <f t="shared" si="7"/>
        <v/>
      </c>
      <c r="K77" s="47" t="s">
        <v>1271</v>
      </c>
      <c r="L77" s="98" t="s">
        <v>1272</v>
      </c>
      <c r="M77" s="102" t="s">
        <v>1273</v>
      </c>
      <c r="N77" s="103"/>
      <c r="O77" s="103"/>
      <c r="P77" s="103"/>
      <c r="Q77" s="103"/>
      <c r="R77" s="103"/>
    </row>
    <row r="78" spans="1:23" ht="30" customHeight="1">
      <c r="A78" s="26" t="str">
        <v>West Creek</v>
      </c>
      <c r="B78" s="27" t="str">
        <v>NY</v>
      </c>
      <c r="C78" s="9" t="str">
        <f>Sites[[#This Row],[SOL'#]]</f>
        <v>SOL-10995</v>
      </c>
      <c r="D78" s="9">
        <v>836200</v>
      </c>
      <c r="E78" s="14" t="s">
        <v>661</v>
      </c>
      <c r="F78" s="14" t="str">
        <f t="shared" si="4"/>
        <v/>
      </c>
      <c r="G78" s="15" t="str">
        <f t="shared" si="5"/>
        <v/>
      </c>
      <c r="H78" s="16">
        <v>960614</v>
      </c>
      <c r="I78" s="16">
        <f t="shared" si="6"/>
        <v>-124414</v>
      </c>
      <c r="J78" s="15">
        <f t="shared" si="7"/>
        <v>-0.12951508097945688</v>
      </c>
      <c r="K78" s="186" t="s">
        <v>1274</v>
      </c>
      <c r="L78" s="99" t="s">
        <v>1275</v>
      </c>
      <c r="M78" s="102" t="s">
        <v>1276</v>
      </c>
      <c r="N78" s="103"/>
      <c r="O78" s="103"/>
      <c r="P78" s="103"/>
      <c r="Q78" s="103"/>
      <c r="R78" s="103"/>
    </row>
    <row r="79" spans="1:23" ht="57.6">
      <c r="A79" s="24" t="str">
        <v>Wildflower</v>
      </c>
      <c r="B79" s="25" t="str">
        <v>NY</v>
      </c>
      <c r="C79" s="25" t="str">
        <f>Sites[[#This Row],[SOL'#]]</f>
        <v>SOL-10982</v>
      </c>
      <c r="D79" s="20">
        <v>777681</v>
      </c>
      <c r="E79" s="10" t="s">
        <v>661</v>
      </c>
      <c r="F79" s="10" t="str">
        <f t="shared" si="4"/>
        <v/>
      </c>
      <c r="G79" s="11" t="str">
        <f t="shared" si="5"/>
        <v/>
      </c>
      <c r="H79" s="12">
        <v>972382.4</v>
      </c>
      <c r="I79" s="12">
        <f t="shared" si="6"/>
        <v>-194701.40000000002</v>
      </c>
      <c r="J79" s="13">
        <f t="shared" si="7"/>
        <v>-0.20023130817670087</v>
      </c>
      <c r="K79" s="47" t="s">
        <v>1277</v>
      </c>
      <c r="L79" s="98" t="s">
        <v>1278</v>
      </c>
      <c r="M79" s="103"/>
      <c r="N79" s="103"/>
      <c r="O79" s="103"/>
      <c r="P79" s="103"/>
      <c r="Q79" s="103"/>
      <c r="R79" s="103"/>
    </row>
    <row r="80" spans="1:23" ht="33.6" customHeight="1">
      <c r="A80" s="26" t="str">
        <v>Glen Mary 1</v>
      </c>
      <c r="B80" s="27" t="str">
        <v>NY</v>
      </c>
      <c r="C80" s="9" t="str">
        <f>Sites[[#This Row],[SOL'#]]</f>
        <v>SOL-10993</v>
      </c>
      <c r="D80" s="9">
        <v>883350</v>
      </c>
      <c r="E80" s="14" t="s">
        <v>661</v>
      </c>
      <c r="F80" s="14" t="str">
        <f t="shared" si="4"/>
        <v/>
      </c>
      <c r="G80" s="15" t="str">
        <f t="shared" si="5"/>
        <v/>
      </c>
      <c r="H80" s="16">
        <v>1006679</v>
      </c>
      <c r="I80" s="16">
        <f t="shared" si="6"/>
        <v>-123329</v>
      </c>
      <c r="J80" s="15">
        <f t="shared" si="7"/>
        <v>-0.12251075069610075</v>
      </c>
      <c r="K80" s="186" t="s">
        <v>1279</v>
      </c>
      <c r="L80" s="99" t="s">
        <v>1280</v>
      </c>
      <c r="M80" s="103"/>
      <c r="N80" s="103"/>
      <c r="O80" s="103"/>
      <c r="P80" s="103"/>
      <c r="Q80" s="103"/>
      <c r="R80" s="103"/>
    </row>
    <row r="81" spans="1:18" ht="15.6">
      <c r="A81" s="24" t="str">
        <v>Glen Mary 2</v>
      </c>
      <c r="B81" s="25" t="str">
        <v>NY</v>
      </c>
      <c r="C81" s="25" t="str">
        <f>Sites[[#This Row],[SOL'#]]</f>
        <v>SOL-10994</v>
      </c>
      <c r="D81" s="20">
        <v>396430</v>
      </c>
      <c r="E81" s="10" t="s">
        <v>661</v>
      </c>
      <c r="F81" s="10" t="str">
        <f t="shared" si="4"/>
        <v/>
      </c>
      <c r="G81" s="11" t="str">
        <f t="shared" si="5"/>
        <v/>
      </c>
      <c r="H81" s="12">
        <v>429189</v>
      </c>
      <c r="I81" s="12">
        <f t="shared" si="6"/>
        <v>-32759</v>
      </c>
      <c r="J81" s="13">
        <f t="shared" si="7"/>
        <v>-7.6327678481974137E-2</v>
      </c>
      <c r="K81" s="47"/>
      <c r="L81" s="47"/>
      <c r="M81" s="103"/>
      <c r="N81" s="103"/>
      <c r="O81" s="103"/>
      <c r="P81" s="103"/>
      <c r="Q81" s="103"/>
      <c r="R81" s="103"/>
    </row>
    <row r="82" spans="1:18" ht="15.6">
      <c r="A82" s="26" t="str">
        <v>Telegraph 1</v>
      </c>
      <c r="B82" s="27" t="str">
        <v>NY</v>
      </c>
      <c r="C82" s="9" t="str">
        <f>Sites[[#This Row],[SOL'#]]</f>
        <v>SOL-11003</v>
      </c>
      <c r="D82" s="9">
        <v>724888</v>
      </c>
      <c r="E82" s="14" t="s">
        <v>661</v>
      </c>
      <c r="F82" s="14" t="str">
        <f t="shared" si="4"/>
        <v/>
      </c>
      <c r="G82" s="15" t="str">
        <f t="shared" si="5"/>
        <v/>
      </c>
      <c r="H82" s="16">
        <v>758222</v>
      </c>
      <c r="I82" s="16">
        <f t="shared" si="6"/>
        <v>-33334</v>
      </c>
      <c r="J82" s="15">
        <f t="shared" si="7"/>
        <v>-4.3963377480474054E-2</v>
      </c>
      <c r="K82" s="186"/>
      <c r="L82" s="186"/>
      <c r="M82" s="103"/>
      <c r="N82" s="103"/>
      <c r="O82" s="103"/>
      <c r="P82" s="103"/>
      <c r="Q82" s="103"/>
      <c r="R82" s="103"/>
    </row>
    <row r="83" spans="1:18" ht="15.6">
      <c r="A83" s="24" t="str">
        <v>Telegraph 2</v>
      </c>
      <c r="B83" s="25" t="str">
        <v>NY</v>
      </c>
      <c r="C83" s="25" t="str">
        <f>Sites[[#This Row],[SOL'#]]</f>
        <v>SOL-11004</v>
      </c>
      <c r="D83" s="20">
        <v>383510</v>
      </c>
      <c r="E83" s="10" t="s">
        <v>661</v>
      </c>
      <c r="F83" s="10" t="str">
        <f t="shared" si="4"/>
        <v/>
      </c>
      <c r="G83" s="11" t="str">
        <f t="shared" si="5"/>
        <v/>
      </c>
      <c r="H83" s="12">
        <v>395820</v>
      </c>
      <c r="I83" s="12">
        <f t="shared" si="6"/>
        <v>-12310</v>
      </c>
      <c r="J83" s="13">
        <f t="shared" si="7"/>
        <v>-3.1099994947198221E-2</v>
      </c>
      <c r="K83" s="47"/>
      <c r="L83" s="47"/>
      <c r="M83" s="103"/>
      <c r="N83" s="103"/>
      <c r="O83" s="103"/>
      <c r="P83" s="103"/>
      <c r="Q83" s="103"/>
      <c r="R83" s="103"/>
    </row>
    <row r="84" spans="1:18" ht="15.6">
      <c r="A84" s="26" t="str">
        <v>Cafferty Hill</v>
      </c>
      <c r="B84" s="27" t="str">
        <v>NY</v>
      </c>
      <c r="C84" s="9" t="str">
        <f>Sites[[#This Row],[SOL'#]]</f>
        <v>SOL-10996</v>
      </c>
      <c r="D84" s="9">
        <v>887090</v>
      </c>
      <c r="E84" s="14" t="s">
        <v>661</v>
      </c>
      <c r="F84" s="14" t="str">
        <f t="shared" si="4"/>
        <v/>
      </c>
      <c r="G84" s="15" t="str">
        <f t="shared" si="5"/>
        <v/>
      </c>
      <c r="H84" s="16">
        <v>945865</v>
      </c>
      <c r="I84" s="16">
        <f t="shared" si="6"/>
        <v>-58775</v>
      </c>
      <c r="J84" s="15">
        <f t="shared" si="7"/>
        <v>-6.2138888742050924E-2</v>
      </c>
      <c r="K84" s="186"/>
      <c r="L84" s="186"/>
      <c r="M84" s="103"/>
      <c r="N84" s="103"/>
      <c r="O84" s="103"/>
      <c r="P84" s="103"/>
      <c r="Q84" s="103"/>
      <c r="R84" s="103"/>
    </row>
    <row r="85" spans="1:18" ht="57.6">
      <c r="A85" s="24" t="str">
        <v>Dunkleman</v>
      </c>
      <c r="B85" s="25" t="str">
        <v>NY</v>
      </c>
      <c r="C85" s="25" t="str">
        <f>Sites[[#This Row],[SOL'#]]</f>
        <v>SOL-11008</v>
      </c>
      <c r="D85" s="20">
        <v>1191520</v>
      </c>
      <c r="E85" s="10" t="s">
        <v>661</v>
      </c>
      <c r="F85" s="10" t="str">
        <f t="shared" si="4"/>
        <v/>
      </c>
      <c r="G85" s="11" t="str">
        <f t="shared" si="5"/>
        <v/>
      </c>
      <c r="H85" s="12">
        <v>1303096</v>
      </c>
      <c r="I85" s="12">
        <f t="shared" si="6"/>
        <v>-111576</v>
      </c>
      <c r="J85" s="13">
        <f t="shared" si="7"/>
        <v>-8.5623775991945331E-2</v>
      </c>
      <c r="K85" s="47" t="s">
        <v>1281</v>
      </c>
      <c r="L85" s="98" t="s">
        <v>1282</v>
      </c>
      <c r="M85" s="103"/>
      <c r="N85" s="103"/>
      <c r="O85" s="103"/>
      <c r="P85" s="103"/>
      <c r="Q85" s="103"/>
      <c r="R85" s="103"/>
    </row>
    <row r="86" spans="1:18" ht="28.9">
      <c r="A86" s="26" t="str">
        <v>Route 19 1</v>
      </c>
      <c r="B86" s="27" t="str">
        <v>NY</v>
      </c>
      <c r="C86" s="9" t="str">
        <f>Sites[[#This Row],[SOL'#]]</f>
        <v>SOL-11001</v>
      </c>
      <c r="D86" s="9">
        <v>485730</v>
      </c>
      <c r="E86" s="14" t="s">
        <v>661</v>
      </c>
      <c r="F86" s="14" t="str">
        <f t="shared" si="4"/>
        <v/>
      </c>
      <c r="G86" s="15" t="str">
        <f t="shared" si="5"/>
        <v/>
      </c>
      <c r="H86" s="16">
        <v>540517</v>
      </c>
      <c r="I86" s="16">
        <f t="shared" si="6"/>
        <v>-54787</v>
      </c>
      <c r="J86" s="15">
        <f t="shared" si="7"/>
        <v>-0.10136036424386281</v>
      </c>
      <c r="K86" s="186" t="s">
        <v>1182</v>
      </c>
      <c r="L86" s="85"/>
      <c r="M86" s="103"/>
      <c r="N86" s="103"/>
      <c r="O86" s="103"/>
      <c r="P86" s="103"/>
      <c r="Q86" s="103"/>
      <c r="R86" s="103"/>
    </row>
    <row r="87" spans="1:18" ht="28.9">
      <c r="A87" s="24" t="str">
        <v>Route 19 2</v>
      </c>
      <c r="B87" s="25" t="str">
        <v>NY</v>
      </c>
      <c r="C87" s="25" t="str">
        <f>Sites[[#This Row],[SOL'#]]</f>
        <v>SOL-11002</v>
      </c>
      <c r="D87" s="20">
        <v>1170370</v>
      </c>
      <c r="E87" s="10" t="s">
        <v>661</v>
      </c>
      <c r="F87" s="10" t="str">
        <f t="shared" si="4"/>
        <v/>
      </c>
      <c r="G87" s="11" t="str">
        <f t="shared" si="5"/>
        <v/>
      </c>
      <c r="H87" s="12">
        <v>1328891</v>
      </c>
      <c r="I87" s="12">
        <f t="shared" si="6"/>
        <v>-158521</v>
      </c>
      <c r="J87" s="13">
        <f t="shared" si="7"/>
        <v>-0.11928818842177424</v>
      </c>
      <c r="K87" s="47" t="s">
        <v>1182</v>
      </c>
      <c r="L87" s="47"/>
      <c r="M87" s="103"/>
      <c r="N87" s="103"/>
      <c r="O87" s="103"/>
      <c r="P87" s="103"/>
      <c r="Q87" s="103"/>
      <c r="R87" s="103"/>
    </row>
    <row r="88" spans="1:18" ht="129.6">
      <c r="A88" s="26" t="str">
        <v>Yellow Mills 1</v>
      </c>
      <c r="B88" s="27" t="str">
        <v>NY</v>
      </c>
      <c r="C88" s="9" t="str">
        <f>Sites[[#This Row],[SOL'#]]</f>
        <v>SOL-11006</v>
      </c>
      <c r="D88" s="9">
        <v>271062</v>
      </c>
      <c r="E88" s="14" t="s">
        <v>661</v>
      </c>
      <c r="F88" s="14" t="str">
        <f t="shared" si="4"/>
        <v/>
      </c>
      <c r="G88" s="15" t="str">
        <f t="shared" si="5"/>
        <v/>
      </c>
      <c r="H88" s="16">
        <v>404357</v>
      </c>
      <c r="I88" s="16">
        <f t="shared" si="6"/>
        <v>-133295</v>
      </c>
      <c r="J88" s="15">
        <f t="shared" si="7"/>
        <v>-0.32964682199145806</v>
      </c>
      <c r="K88" s="186" t="s">
        <v>1283</v>
      </c>
      <c r="L88" s="99" t="s">
        <v>1284</v>
      </c>
      <c r="M88" s="102" t="s">
        <v>1285</v>
      </c>
      <c r="N88" s="102" t="s">
        <v>1286</v>
      </c>
      <c r="O88" s="103"/>
      <c r="P88" s="103"/>
      <c r="Q88" s="103"/>
      <c r="R88" s="103"/>
    </row>
    <row r="89" spans="1:18" ht="57.6">
      <c r="A89" s="24" t="str">
        <v>Yellow Mills 2</v>
      </c>
      <c r="B89" s="25" t="str">
        <v>NY</v>
      </c>
      <c r="C89" s="25" t="str">
        <f>Sites[[#This Row],[SOL'#]]</f>
        <v>SOL-11005</v>
      </c>
      <c r="D89" s="20">
        <v>368106</v>
      </c>
      <c r="E89" s="10" t="s">
        <v>661</v>
      </c>
      <c r="F89" s="10" t="str">
        <f t="shared" si="4"/>
        <v/>
      </c>
      <c r="G89" s="11" t="str">
        <f t="shared" si="5"/>
        <v/>
      </c>
      <c r="H89" s="12">
        <v>418478</v>
      </c>
      <c r="I89" s="12">
        <f t="shared" si="6"/>
        <v>-50372</v>
      </c>
      <c r="J89" s="13">
        <f t="shared" si="7"/>
        <v>-0.12036952958100545</v>
      </c>
      <c r="K89" s="47" t="s">
        <v>1287</v>
      </c>
      <c r="L89" s="98" t="s">
        <v>1288</v>
      </c>
      <c r="M89" s="103"/>
      <c r="N89" s="103"/>
      <c r="O89" s="103"/>
      <c r="P89" s="103"/>
      <c r="Q89" s="103"/>
      <c r="R89" s="103"/>
    </row>
    <row r="90" spans="1:18" ht="43.15">
      <c r="A90" s="26" t="str">
        <v>Yellow Mills 3</v>
      </c>
      <c r="B90" s="27" t="str">
        <v>NY</v>
      </c>
      <c r="C90" s="9" t="str">
        <f>Sites[[#This Row],[SOL'#]]</f>
        <v>SOL-11007</v>
      </c>
      <c r="D90" s="9">
        <v>351235</v>
      </c>
      <c r="E90" s="14" t="s">
        <v>661</v>
      </c>
      <c r="F90" s="14" t="str">
        <f t="shared" si="4"/>
        <v/>
      </c>
      <c r="G90" s="15" t="str">
        <f t="shared" si="5"/>
        <v/>
      </c>
      <c r="H90" s="16">
        <v>398512</v>
      </c>
      <c r="I90" s="16">
        <f t="shared" si="6"/>
        <v>-47277</v>
      </c>
      <c r="J90" s="15">
        <f t="shared" si="7"/>
        <v>-0.11863381780222428</v>
      </c>
      <c r="K90" s="186" t="s">
        <v>1289</v>
      </c>
      <c r="L90" s="99" t="s">
        <v>1290</v>
      </c>
      <c r="M90" s="103"/>
      <c r="N90" s="103"/>
      <c r="O90" s="103"/>
      <c r="P90" s="103"/>
      <c r="Q90" s="103"/>
      <c r="R90" s="103"/>
    </row>
    <row r="91" spans="1:18" ht="57.6">
      <c r="A91" s="24" t="str">
        <v>Catskill</v>
      </c>
      <c r="B91" s="25" t="str">
        <v>NY</v>
      </c>
      <c r="C91" s="25" t="str">
        <f>Sites[[#This Row],[SOL'#]]</f>
        <v>SOL-11021</v>
      </c>
      <c r="D91" s="20">
        <v>676307</v>
      </c>
      <c r="E91" s="10" t="s">
        <v>661</v>
      </c>
      <c r="F91" s="10" t="str">
        <f t="shared" si="4"/>
        <v/>
      </c>
      <c r="G91" s="11" t="str">
        <f t="shared" si="5"/>
        <v/>
      </c>
      <c r="H91" s="12">
        <v>722557</v>
      </c>
      <c r="I91" s="12">
        <f t="shared" si="6"/>
        <v>-46250</v>
      </c>
      <c r="J91" s="13">
        <f t="shared" si="7"/>
        <v>-6.4008791001955556E-2</v>
      </c>
      <c r="K91" s="47" t="s">
        <v>1291</v>
      </c>
      <c r="L91" s="98" t="s">
        <v>1292</v>
      </c>
      <c r="M91" s="103"/>
      <c r="N91" s="103"/>
      <c r="O91" s="103"/>
      <c r="P91" s="103"/>
      <c r="Q91" s="103"/>
      <c r="R91" s="103"/>
    </row>
    <row r="92" spans="1:18" ht="15.6">
      <c r="A92" s="26" t="str">
        <v>Eddy Ridge</v>
      </c>
      <c r="B92" s="27" t="str">
        <v>NY</v>
      </c>
      <c r="C92" s="9" t="str">
        <f>Sites[[#This Row],[SOL'#]]</f>
        <v>SOL-11054</v>
      </c>
      <c r="D92" s="9">
        <v>615336</v>
      </c>
      <c r="E92" s="14" t="s">
        <v>661</v>
      </c>
      <c r="F92" s="14" t="str">
        <f t="shared" si="4"/>
        <v/>
      </c>
      <c r="G92" s="15" t="str">
        <f t="shared" si="5"/>
        <v/>
      </c>
      <c r="H92" s="16">
        <v>626850</v>
      </c>
      <c r="I92" s="16">
        <f t="shared" si="6"/>
        <v>-11514</v>
      </c>
      <c r="J92" s="15">
        <f t="shared" si="7"/>
        <v>-1.8368030629337163E-2</v>
      </c>
      <c r="K92" s="186" t="s">
        <v>1293</v>
      </c>
      <c r="L92" s="99" t="s">
        <v>1294</v>
      </c>
      <c r="M92" s="103"/>
      <c r="N92" s="103"/>
      <c r="O92" s="103"/>
      <c r="P92" s="103"/>
      <c r="Q92" s="103"/>
      <c r="R92" s="103"/>
    </row>
    <row r="93" spans="1:18" ht="15.6">
      <c r="A93" s="24" t="str">
        <v>Ridgeway #1</v>
      </c>
      <c r="B93" s="25" t="str">
        <v>NY</v>
      </c>
      <c r="C93" s="25" t="str">
        <f>Sites[[#This Row],[SOL'#]]</f>
        <v>SOL-11018</v>
      </c>
      <c r="D93" s="20">
        <v>1316830</v>
      </c>
      <c r="E93" s="10" t="s">
        <v>661</v>
      </c>
      <c r="F93" s="10" t="str">
        <f t="shared" si="4"/>
        <v/>
      </c>
      <c r="G93" s="11" t="str">
        <f t="shared" si="5"/>
        <v/>
      </c>
      <c r="H93" s="12">
        <v>1266592.7</v>
      </c>
      <c r="I93" s="12">
        <f t="shared" si="6"/>
        <v>50237.300000000047</v>
      </c>
      <c r="J93" s="13">
        <f t="shared" si="7"/>
        <v>3.9663342446233936E-2</v>
      </c>
      <c r="K93" s="47"/>
      <c r="L93" s="47"/>
      <c r="M93" s="103"/>
      <c r="N93" s="103"/>
      <c r="O93" s="103"/>
      <c r="P93" s="103"/>
      <c r="Q93" s="103"/>
      <c r="R93" s="103"/>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86" t="s">
        <v>1295</v>
      </c>
      <c r="L94" s="99" t="s">
        <v>1296</v>
      </c>
      <c r="M94" s="103"/>
      <c r="N94" s="103"/>
      <c r="O94" s="103"/>
      <c r="P94" s="103"/>
      <c r="Q94" s="103"/>
      <c r="R94" s="103"/>
    </row>
    <row r="95" spans="1:18" ht="100.9">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1297</v>
      </c>
      <c r="L95" s="98" t="s">
        <v>1298</v>
      </c>
      <c r="M95" s="102" t="s">
        <v>1299</v>
      </c>
      <c r="N95" s="102" t="s">
        <v>1299</v>
      </c>
      <c r="O95" s="103"/>
      <c r="P95" s="103"/>
      <c r="Q95" s="103"/>
      <c r="R95" s="103"/>
    </row>
    <row r="96" spans="1:18" ht="15.6">
      <c r="A96" s="24" t="str">
        <v>Ridgeway #2</v>
      </c>
      <c r="B96" s="25" t="str">
        <v>NY</v>
      </c>
      <c r="C96" s="25" t="str">
        <f>Sites[[#This Row],[SOL'#]]</f>
        <v>SOL-11027</v>
      </c>
      <c r="D96" s="20">
        <v>659346</v>
      </c>
      <c r="E96" s="10" t="s">
        <v>661</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3"/>
      <c r="N96" s="103"/>
      <c r="O96" s="103"/>
      <c r="P96" s="103"/>
      <c r="Q96" s="103"/>
      <c r="R96" s="103"/>
    </row>
    <row r="97" spans="1:18" ht="15.6">
      <c r="A97" s="26" t="str">
        <v>Spencer</v>
      </c>
      <c r="B97" s="27" t="str">
        <v>NY</v>
      </c>
      <c r="C97" s="9" t="str">
        <f>Sites[[#This Row],[SOL'#]]</f>
        <v>SOL-11017</v>
      </c>
      <c r="D97" s="66">
        <v>1160891</v>
      </c>
      <c r="E97" s="14" t="s">
        <v>661</v>
      </c>
      <c r="F97" s="14" t="str">
        <f t="shared" si="8"/>
        <v/>
      </c>
      <c r="G97" s="68" t="str">
        <f t="shared" si="9"/>
        <v/>
      </c>
      <c r="H97" s="69">
        <v>1233800</v>
      </c>
      <c r="I97" s="69">
        <f t="shared" si="6"/>
        <v>-72909</v>
      </c>
      <c r="J97" s="68">
        <f t="shared" si="7"/>
        <v>-5.9093045874533963E-2</v>
      </c>
      <c r="K97" s="186" t="s">
        <v>1300</v>
      </c>
      <c r="L97" s="102" t="s">
        <v>1301</v>
      </c>
      <c r="M97" s="103"/>
      <c r="N97" s="103"/>
      <c r="O97" s="103"/>
      <c r="P97" s="103"/>
      <c r="Q97" s="103"/>
      <c r="R97" s="103"/>
    </row>
    <row r="98" spans="1:18" ht="15.6">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07" t="s">
        <v>1302</v>
      </c>
      <c r="L98" s="98" t="s">
        <v>1303</v>
      </c>
      <c r="M98" s="103"/>
      <c r="N98" s="103"/>
      <c r="O98" s="103"/>
      <c r="P98" s="103"/>
      <c r="Q98" s="103"/>
      <c r="R98" s="103"/>
    </row>
    <row r="99" spans="1:18" ht="115.15">
      <c r="A99" s="26" t="str">
        <v>Finney</v>
      </c>
      <c r="B99" s="27" t="str">
        <v>NY</v>
      </c>
      <c r="C99" s="9" t="str">
        <f>Sites[[#This Row],[SOL'#]]</f>
        <v>SOL-10999</v>
      </c>
      <c r="D99" s="66">
        <v>1023680</v>
      </c>
      <c r="E99" s="14" t="s">
        <v>661</v>
      </c>
      <c r="F99" s="14" t="str">
        <f t="shared" si="8"/>
        <v/>
      </c>
      <c r="G99" s="68" t="str">
        <f t="shared" si="9"/>
        <v/>
      </c>
      <c r="H99" s="69">
        <v>1241407</v>
      </c>
      <c r="I99" s="69">
        <f t="shared" si="6"/>
        <v>-217727</v>
      </c>
      <c r="J99" s="68">
        <f t="shared" si="7"/>
        <v>-0.17538728233367462</v>
      </c>
      <c r="K99" s="186" t="s">
        <v>1304</v>
      </c>
      <c r="L99" s="101" t="s">
        <v>1305</v>
      </c>
      <c r="M99" s="102" t="s">
        <v>1306</v>
      </c>
      <c r="N99" s="102" t="s">
        <v>1307</v>
      </c>
      <c r="O99" s="102" t="s">
        <v>1308</v>
      </c>
      <c r="P99" s="103"/>
      <c r="Q99" s="103"/>
      <c r="R99" s="103"/>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07" t="s">
        <v>1309</v>
      </c>
      <c r="L100" s="98" t="s">
        <v>1310</v>
      </c>
      <c r="M100" s="102" t="s">
        <v>1311</v>
      </c>
      <c r="N100" s="103"/>
      <c r="O100" s="103"/>
      <c r="P100" s="103"/>
      <c r="Q100" s="103"/>
      <c r="R100" s="103"/>
    </row>
    <row r="101" spans="1:18" ht="57.6">
      <c r="A101" s="26" t="str">
        <v>Genesee</v>
      </c>
      <c r="B101" s="27" t="str">
        <v>NY</v>
      </c>
      <c r="C101" s="9" t="str">
        <f>Sites[[#This Row],[SOL'#]]</f>
        <v>SOL-10951</v>
      </c>
      <c r="D101" s="66">
        <v>706865</v>
      </c>
      <c r="E101" s="14" t="s">
        <v>661</v>
      </c>
      <c r="F101" s="14" t="str">
        <f t="shared" si="8"/>
        <v/>
      </c>
      <c r="G101" s="68" t="str">
        <f t="shared" si="9"/>
        <v/>
      </c>
      <c r="H101" s="69">
        <v>958340</v>
      </c>
      <c r="I101" s="69">
        <f t="shared" si="6"/>
        <v>-251475</v>
      </c>
      <c r="J101" s="68">
        <f t="shared" si="7"/>
        <v>-0.26240687021307679</v>
      </c>
      <c r="K101" s="186" t="s">
        <v>1312</v>
      </c>
      <c r="L101" s="101" t="s">
        <v>1313</v>
      </c>
      <c r="M101" s="102" t="s">
        <v>1314</v>
      </c>
      <c r="N101" s="102" t="s">
        <v>1315</v>
      </c>
      <c r="O101" s="103"/>
      <c r="P101" s="103"/>
      <c r="Q101" s="103"/>
      <c r="R101" s="103"/>
    </row>
    <row r="102" spans="1:18" ht="15.6">
      <c r="A102" s="24" t="str">
        <v>Landau I</v>
      </c>
      <c r="B102" s="25" t="str">
        <v>NY</v>
      </c>
      <c r="C102" s="25" t="str">
        <f>Sites[[#This Row],[SOL'#]]</f>
        <v>SOL-10891</v>
      </c>
      <c r="D102" s="54">
        <v>378150</v>
      </c>
      <c r="E102" s="10" t="s">
        <v>661</v>
      </c>
      <c r="F102" s="10" t="str">
        <f t="shared" si="8"/>
        <v/>
      </c>
      <c r="G102" s="55" t="str">
        <f t="shared" si="9"/>
        <v/>
      </c>
      <c r="H102" s="67">
        <v>415759</v>
      </c>
      <c r="I102" s="67">
        <f t="shared" si="6"/>
        <v>-37609</v>
      </c>
      <c r="J102" s="64">
        <f t="shared" si="7"/>
        <v>-9.0458655134344659E-2</v>
      </c>
      <c r="K102" s="107"/>
      <c r="L102" s="47"/>
      <c r="M102" s="103"/>
      <c r="N102" s="103"/>
      <c r="O102" s="103"/>
      <c r="P102" s="103"/>
      <c r="Q102" s="103"/>
      <c r="R102" s="103"/>
    </row>
    <row r="103" spans="1:18" ht="43.15">
      <c r="A103" s="26" t="str">
        <v>Landau II</v>
      </c>
      <c r="B103" s="27" t="str">
        <v>NY</v>
      </c>
      <c r="C103" s="9" t="str">
        <f>Sites[[#This Row],[SOL'#]]</f>
        <v>SOL-10895</v>
      </c>
      <c r="D103" s="66">
        <v>22460</v>
      </c>
      <c r="E103" s="14" t="s">
        <v>661</v>
      </c>
      <c r="F103" s="14" t="str">
        <f t="shared" si="8"/>
        <v/>
      </c>
      <c r="G103" s="68" t="str">
        <f t="shared" si="9"/>
        <v/>
      </c>
      <c r="H103" s="69"/>
      <c r="I103" s="69" t="str">
        <f t="shared" si="6"/>
        <v/>
      </c>
      <c r="J103" s="68" t="str">
        <f t="shared" si="7"/>
        <v/>
      </c>
      <c r="K103" s="186" t="s">
        <v>1316</v>
      </c>
      <c r="L103" s="102" t="s">
        <v>1317</v>
      </c>
      <c r="M103" s="102" t="s">
        <v>1053</v>
      </c>
      <c r="N103" s="102" t="s">
        <v>1318</v>
      </c>
      <c r="O103" s="103"/>
      <c r="P103" s="103"/>
      <c r="Q103" s="103"/>
      <c r="R103" s="103"/>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7" si="10">IF(AND(ISNUMBER(D104),ISNUMBER(H104)), D104-H104, "")</f>
        <v>-339465</v>
      </c>
      <c r="J104" s="64">
        <f t="shared" ref="J104:J157" si="11">IFERROR(I104/H104, "")</f>
        <v>-0.84260626745268385</v>
      </c>
      <c r="K104" s="107" t="s">
        <v>1319</v>
      </c>
      <c r="L104" s="98" t="s">
        <v>1056</v>
      </c>
      <c r="M104" s="103"/>
      <c r="N104" s="103"/>
      <c r="O104" s="103"/>
      <c r="P104" s="103"/>
      <c r="Q104" s="103"/>
      <c r="R104" s="103"/>
    </row>
    <row r="105" spans="1:18" ht="15.6">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86"/>
      <c r="L105" s="88"/>
      <c r="M105" s="103"/>
      <c r="N105" s="103"/>
      <c r="O105" s="103"/>
      <c r="P105" s="103"/>
      <c r="Q105" s="103"/>
      <c r="R105" s="103"/>
    </row>
    <row r="106" spans="1:18" ht="86.4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07" t="s">
        <v>1320</v>
      </c>
      <c r="L106" s="98" t="s">
        <v>1059</v>
      </c>
      <c r="M106" s="102" t="s">
        <v>542</v>
      </c>
      <c r="N106" s="103"/>
      <c r="O106" s="103"/>
      <c r="P106" s="103"/>
      <c r="Q106" s="103"/>
      <c r="R106" s="103"/>
    </row>
    <row r="107" spans="1:18" ht="28.9">
      <c r="A107" s="26" t="str">
        <v>Svenski</v>
      </c>
      <c r="B107" s="27" t="str">
        <v>NY</v>
      </c>
      <c r="C107" s="9" t="str">
        <f>Sites[[#This Row],[SOL'#]]</f>
        <v>SOL-10894</v>
      </c>
      <c r="D107" s="66">
        <v>365745</v>
      </c>
      <c r="E107" s="14" t="s">
        <v>661</v>
      </c>
      <c r="F107" s="14" t="str">
        <f t="shared" si="8"/>
        <v/>
      </c>
      <c r="G107" s="68" t="str">
        <f t="shared" si="9"/>
        <v/>
      </c>
      <c r="H107" s="69">
        <v>437648</v>
      </c>
      <c r="I107" s="69">
        <f t="shared" si="10"/>
        <v>-71903</v>
      </c>
      <c r="J107" s="68">
        <f t="shared" si="11"/>
        <v>-0.1642941359265894</v>
      </c>
      <c r="K107" s="186" t="s">
        <v>1321</v>
      </c>
      <c r="L107" s="102" t="s">
        <v>1322</v>
      </c>
      <c r="M107" s="103"/>
      <c r="N107" s="103"/>
      <c r="O107" s="103"/>
      <c r="P107" s="103"/>
      <c r="Q107" s="103"/>
      <c r="R107" s="103"/>
    </row>
    <row r="108" spans="1:18" ht="144">
      <c r="A108" s="24" t="str">
        <v>Bantam</v>
      </c>
      <c r="B108" s="25" t="str">
        <v>NY</v>
      </c>
      <c r="C108" s="25" t="str">
        <f>Sites[[#This Row],[SOL'#]]</f>
        <v>SOL-10986</v>
      </c>
      <c r="D108" s="54">
        <v>94580</v>
      </c>
      <c r="E108" s="10" t="s">
        <v>661</v>
      </c>
      <c r="F108" s="10" t="str">
        <f t="shared" si="8"/>
        <v/>
      </c>
      <c r="G108" s="55" t="str">
        <f t="shared" si="9"/>
        <v/>
      </c>
      <c r="H108" s="67">
        <v>1178744</v>
      </c>
      <c r="I108" s="67">
        <f t="shared" si="10"/>
        <v>-1084164</v>
      </c>
      <c r="J108" s="64">
        <f t="shared" si="11"/>
        <v>-0.91976205181108028</v>
      </c>
      <c r="K108" s="107" t="s">
        <v>1323</v>
      </c>
      <c r="L108" s="98" t="s">
        <v>1324</v>
      </c>
      <c r="M108" s="102" t="s">
        <v>1068</v>
      </c>
      <c r="N108" s="102" t="s">
        <v>1069</v>
      </c>
      <c r="O108" s="103"/>
      <c r="P108" s="103"/>
      <c r="Q108" s="103"/>
      <c r="R108" s="103"/>
    </row>
    <row r="109" spans="1:18" ht="28.9">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86" t="s">
        <v>1325</v>
      </c>
      <c r="L109" s="102" t="s">
        <v>1326</v>
      </c>
      <c r="M109" s="103"/>
      <c r="N109" s="103"/>
      <c r="O109" s="103"/>
      <c r="P109" s="103"/>
      <c r="Q109" s="103"/>
      <c r="R109" s="103"/>
    </row>
    <row r="110" spans="1:18" ht="115.15">
      <c r="A110" s="24" t="str">
        <v>Dubois</v>
      </c>
      <c r="B110" s="25" t="str">
        <v>NY</v>
      </c>
      <c r="C110" s="25" t="str">
        <f>Sites[[#This Row],[SOL'#]]</f>
        <v>SOL-10892</v>
      </c>
      <c r="D110" s="54">
        <v>275800</v>
      </c>
      <c r="E110" s="10" t="s">
        <v>661</v>
      </c>
      <c r="F110" s="10" t="str">
        <f t="shared" si="8"/>
        <v/>
      </c>
      <c r="G110" s="55" t="str">
        <f t="shared" si="9"/>
        <v/>
      </c>
      <c r="H110" s="67"/>
      <c r="I110" s="67" t="str">
        <f t="shared" si="10"/>
        <v/>
      </c>
      <c r="J110" s="64" t="str">
        <f t="shared" si="11"/>
        <v/>
      </c>
      <c r="K110" s="107" t="s">
        <v>1327</v>
      </c>
      <c r="L110" s="98" t="s">
        <v>1328</v>
      </c>
      <c r="M110" s="102" t="s">
        <v>1329</v>
      </c>
      <c r="N110" s="102" t="s">
        <v>1330</v>
      </c>
      <c r="O110" s="102" t="s">
        <v>1331</v>
      </c>
      <c r="P110" s="103"/>
      <c r="Q110" s="103"/>
      <c r="R110" s="103"/>
    </row>
    <row r="111" spans="1:18" ht="86.45">
      <c r="A111" s="26" t="str">
        <v>Salt Point</v>
      </c>
      <c r="B111" s="27" t="str">
        <v>NY</v>
      </c>
      <c r="C111" s="9" t="str">
        <f>Sites[[#This Row],[SOL'#]]</f>
        <v>SOL-10888</v>
      </c>
      <c r="D111" s="66">
        <v>385040</v>
      </c>
      <c r="E111" s="14" t="s">
        <v>661</v>
      </c>
      <c r="F111" s="14" t="str">
        <f t="shared" si="8"/>
        <v/>
      </c>
      <c r="G111" s="68" t="str">
        <f t="shared" si="9"/>
        <v/>
      </c>
      <c r="H111" s="69">
        <v>482846</v>
      </c>
      <c r="I111" s="69">
        <f t="shared" si="10"/>
        <v>-97806</v>
      </c>
      <c r="J111" s="68">
        <f t="shared" si="11"/>
        <v>-0.20256147922940235</v>
      </c>
      <c r="K111" s="186" t="s">
        <v>1332</v>
      </c>
      <c r="L111" s="101" t="s">
        <v>1333</v>
      </c>
      <c r="M111" s="102" t="s">
        <v>1334</v>
      </c>
      <c r="N111" s="103"/>
      <c r="O111" s="103"/>
      <c r="P111" s="103"/>
      <c r="Q111" s="103"/>
      <c r="R111" s="103"/>
    </row>
    <row r="112" spans="1:18" ht="144">
      <c r="A112" s="24" t="str">
        <v>Wheatland 2A</v>
      </c>
      <c r="B112" s="25" t="str">
        <v>NY</v>
      </c>
      <c r="C112" s="25" t="str">
        <f>Sites[[#This Row],[SOL'#]]</f>
        <v>SOL-10971</v>
      </c>
      <c r="D112" s="54">
        <v>864380</v>
      </c>
      <c r="E112" s="10" t="s">
        <v>661</v>
      </c>
      <c r="F112" s="10" t="str">
        <f t="shared" si="8"/>
        <v/>
      </c>
      <c r="G112" s="55" t="str">
        <f t="shared" si="9"/>
        <v/>
      </c>
      <c r="H112" s="67">
        <v>1095784</v>
      </c>
      <c r="I112" s="67">
        <f t="shared" si="10"/>
        <v>-231404</v>
      </c>
      <c r="J112" s="64">
        <f t="shared" si="11"/>
        <v>-0.2111766552532251</v>
      </c>
      <c r="K112" s="107" t="s">
        <v>1335</v>
      </c>
      <c r="L112" s="98" t="s">
        <v>1336</v>
      </c>
      <c r="M112" s="102" t="s">
        <v>554</v>
      </c>
      <c r="N112" s="102" t="s">
        <v>1087</v>
      </c>
      <c r="O112" s="102" t="s">
        <v>1337</v>
      </c>
      <c r="P112" s="103"/>
      <c r="Q112" s="103"/>
      <c r="R112" s="103"/>
    </row>
    <row r="113" spans="1:18" ht="28.9">
      <c r="A113" s="26" t="str">
        <v>Wheatland 2B</v>
      </c>
      <c r="B113" s="27" t="str">
        <v>NY</v>
      </c>
      <c r="C113" s="9" t="str">
        <f>Sites[[#This Row],[SOL'#]]</f>
        <v>SOL-10961</v>
      </c>
      <c r="D113" s="66">
        <v>1027920</v>
      </c>
      <c r="E113" s="14" t="s">
        <v>661</v>
      </c>
      <c r="F113" s="14" t="str">
        <f t="shared" si="8"/>
        <v/>
      </c>
      <c r="G113" s="68" t="str">
        <f t="shared" si="9"/>
        <v/>
      </c>
      <c r="H113" s="69">
        <v>1088223</v>
      </c>
      <c r="I113" s="69">
        <f t="shared" si="10"/>
        <v>-60303</v>
      </c>
      <c r="J113" s="68">
        <f t="shared" si="11"/>
        <v>-5.5414193598187139E-2</v>
      </c>
      <c r="K113" s="186" t="s">
        <v>1338</v>
      </c>
      <c r="L113" s="102" t="s">
        <v>1089</v>
      </c>
      <c r="M113" s="103"/>
      <c r="N113" s="103"/>
      <c r="O113" s="103"/>
      <c r="P113" s="103"/>
      <c r="Q113" s="103"/>
      <c r="R113" s="103"/>
    </row>
    <row r="114" spans="1:18" ht="57.6">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07" t="s">
        <v>1090</v>
      </c>
      <c r="L114" s="98" t="s">
        <v>1339</v>
      </c>
      <c r="M114" s="102" t="s">
        <v>563</v>
      </c>
      <c r="N114" s="103"/>
      <c r="O114" s="103"/>
      <c r="P114" s="103"/>
      <c r="Q114" s="103"/>
      <c r="R114" s="103"/>
    </row>
    <row r="115" spans="1:18" ht="28.9">
      <c r="A115" s="26" t="str">
        <v>McCarthy Solar</v>
      </c>
      <c r="B115" s="27" t="str">
        <v>NY</v>
      </c>
      <c r="C115" s="9" t="str">
        <f>Sites[[#This Row],[SOL'#]]</f>
        <v>SOL-10992</v>
      </c>
      <c r="D115" s="66">
        <v>283530</v>
      </c>
      <c r="E115" s="14" t="s">
        <v>661</v>
      </c>
      <c r="F115" s="14" t="str">
        <f t="shared" si="8"/>
        <v/>
      </c>
      <c r="G115" s="68" t="str">
        <f t="shared" si="9"/>
        <v/>
      </c>
      <c r="H115" s="69">
        <v>418645</v>
      </c>
      <c r="I115" s="69">
        <f t="shared" si="10"/>
        <v>-135115</v>
      </c>
      <c r="J115" s="68">
        <f t="shared" si="11"/>
        <v>-0.32274361332393792</v>
      </c>
      <c r="K115" s="186" t="s">
        <v>1340</v>
      </c>
      <c r="L115" s="102" t="s">
        <v>1341</v>
      </c>
      <c r="M115" s="103"/>
      <c r="N115" s="103"/>
      <c r="O115" s="103"/>
      <c r="P115" s="103"/>
      <c r="Q115" s="103"/>
      <c r="R115" s="103"/>
    </row>
    <row r="116" spans="1:18" ht="86.45">
      <c r="A116" s="24" t="str">
        <v>Costanza</v>
      </c>
      <c r="B116" s="25" t="str">
        <v>NY</v>
      </c>
      <c r="C116" s="25" t="str">
        <f>Sites[[#This Row],[SOL'#]]</f>
        <v>SOL-10907</v>
      </c>
      <c r="D116" s="54">
        <v>364360</v>
      </c>
      <c r="E116" s="10" t="s">
        <v>661</v>
      </c>
      <c r="F116" s="10" t="str">
        <f t="shared" si="8"/>
        <v/>
      </c>
      <c r="G116" s="55" t="str">
        <f t="shared" si="9"/>
        <v/>
      </c>
      <c r="H116" s="67">
        <v>414587</v>
      </c>
      <c r="I116" s="67">
        <f t="shared" si="10"/>
        <v>-50227</v>
      </c>
      <c r="J116" s="64">
        <f t="shared" si="11"/>
        <v>-0.12114948129101974</v>
      </c>
      <c r="K116" s="107" t="s">
        <v>1342</v>
      </c>
      <c r="L116" s="98" t="s">
        <v>1343</v>
      </c>
      <c r="M116" s="102" t="s">
        <v>1344</v>
      </c>
      <c r="N116" s="102" t="s">
        <v>1345</v>
      </c>
      <c r="O116" s="103"/>
      <c r="P116" s="103"/>
      <c r="Q116" s="103"/>
      <c r="R116" s="103"/>
    </row>
    <row r="117" spans="1:18" ht="86.4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86" t="s">
        <v>1346</v>
      </c>
      <c r="L117" s="88"/>
      <c r="M117" s="103"/>
      <c r="N117" s="103"/>
      <c r="O117" s="103"/>
      <c r="P117" s="103"/>
      <c r="Q117" s="103"/>
      <c r="R117" s="103"/>
    </row>
    <row r="118" spans="1:18" ht="15.6">
      <c r="A118" s="24" t="str">
        <v>Drinkwater</v>
      </c>
      <c r="B118" s="25" t="str">
        <v>NY</v>
      </c>
      <c r="C118" s="25" t="str">
        <f>Sites[[#This Row],[SOL'#]]</f>
        <v>SOL-10896</v>
      </c>
      <c r="D118" s="54">
        <v>392340</v>
      </c>
      <c r="E118" s="10" t="s">
        <v>661</v>
      </c>
      <c r="F118" s="10" t="str">
        <f t="shared" si="8"/>
        <v/>
      </c>
      <c r="G118" s="55" t="str">
        <f t="shared" si="9"/>
        <v/>
      </c>
      <c r="H118" s="67">
        <v>416568</v>
      </c>
      <c r="I118" s="67">
        <f t="shared" si="10"/>
        <v>-24228</v>
      </c>
      <c r="J118" s="64">
        <f t="shared" si="11"/>
        <v>-5.8160972518292331E-2</v>
      </c>
      <c r="K118" s="107"/>
      <c r="L118" s="47"/>
      <c r="M118" s="103"/>
      <c r="N118" s="103"/>
      <c r="O118" s="103"/>
      <c r="P118" s="103"/>
      <c r="Q118" s="103"/>
      <c r="R118" s="103"/>
    </row>
    <row r="119" spans="1:18" ht="15.6">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86"/>
      <c r="L119" s="88"/>
      <c r="M119" s="103"/>
      <c r="N119" s="103"/>
      <c r="O119" s="103"/>
      <c r="P119" s="103"/>
      <c r="Q119" s="103"/>
      <c r="R119" s="103"/>
    </row>
    <row r="120" spans="1:18" ht="28.9">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07" t="s">
        <v>1347</v>
      </c>
      <c r="L120" s="98" t="s">
        <v>1348</v>
      </c>
      <c r="M120" s="103"/>
      <c r="N120" s="103"/>
      <c r="O120" s="103"/>
      <c r="P120" s="103"/>
      <c r="Q120" s="103"/>
      <c r="R120" s="103"/>
    </row>
    <row r="121" spans="1:18" ht="28.9">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86" t="s">
        <v>1349</v>
      </c>
      <c r="L121" s="102" t="s">
        <v>1350</v>
      </c>
      <c r="M121" s="103"/>
      <c r="N121" s="103"/>
      <c r="O121" s="103"/>
      <c r="P121" s="103"/>
      <c r="Q121" s="103"/>
      <c r="R121" s="103"/>
    </row>
    <row r="122" spans="1:18" ht="15.6">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07"/>
      <c r="L122" s="47"/>
      <c r="M122" s="103"/>
      <c r="N122" s="103"/>
      <c r="O122" s="103"/>
      <c r="P122" s="103"/>
      <c r="Q122" s="103"/>
      <c r="R122" s="103"/>
    </row>
    <row r="123" spans="1:18" ht="43.1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86" t="s">
        <v>1351</v>
      </c>
      <c r="L123" s="101" t="s">
        <v>1352</v>
      </c>
      <c r="M123" s="102" t="s">
        <v>1353</v>
      </c>
      <c r="N123" s="103"/>
      <c r="O123" s="103"/>
      <c r="P123" s="103"/>
      <c r="Q123" s="103"/>
      <c r="R123" s="103"/>
    </row>
    <row r="124" spans="1:18" ht="100.9">
      <c r="A124" s="24" t="str">
        <v>X095</v>
      </c>
      <c r="B124" s="25" t="str">
        <v>NY</v>
      </c>
      <c r="C124" s="25" t="str">
        <f>Sites[[#This Row],[SOL'#]]</f>
        <v>SOL-10929</v>
      </c>
      <c r="D124" s="54">
        <v>19363.9609375</v>
      </c>
      <c r="E124" s="10" t="s">
        <v>661</v>
      </c>
      <c r="F124" s="10" t="str">
        <f t="shared" si="8"/>
        <v/>
      </c>
      <c r="G124" s="55" t="str">
        <f t="shared" si="9"/>
        <v/>
      </c>
      <c r="H124" s="67">
        <v>21772</v>
      </c>
      <c r="I124" s="67">
        <f t="shared" si="10"/>
        <v>-2408.0390625</v>
      </c>
      <c r="J124" s="64">
        <f t="shared" si="11"/>
        <v>-0.11060256579551718</v>
      </c>
      <c r="K124" s="107" t="s">
        <v>1354</v>
      </c>
      <c r="L124" s="98" t="s">
        <v>180</v>
      </c>
      <c r="M124" s="103"/>
      <c r="N124" s="103"/>
      <c r="O124" s="103"/>
      <c r="P124" s="103"/>
      <c r="Q124" s="103"/>
      <c r="R124" s="103"/>
    </row>
    <row r="125" spans="1:18" ht="15.6">
      <c r="A125" s="26" t="str">
        <v>X181</v>
      </c>
      <c r="B125" s="27" t="str">
        <v>NY</v>
      </c>
      <c r="C125" s="9" t="str">
        <f>Sites[[#This Row],[SOL'#]]</f>
        <v>SOL-10428</v>
      </c>
      <c r="D125" s="66">
        <v>31533.84375</v>
      </c>
      <c r="E125" s="14" t="s">
        <v>661</v>
      </c>
      <c r="F125" s="14" t="str">
        <f t="shared" si="8"/>
        <v/>
      </c>
      <c r="G125" s="68" t="str">
        <f t="shared" si="9"/>
        <v/>
      </c>
      <c r="H125" s="69">
        <v>40286</v>
      </c>
      <c r="I125" s="69">
        <f t="shared" si="10"/>
        <v>-8752.15625</v>
      </c>
      <c r="J125" s="68">
        <f t="shared" si="11"/>
        <v>-0.217250564712307</v>
      </c>
      <c r="K125" s="186" t="s">
        <v>1355</v>
      </c>
      <c r="L125" s="102" t="s">
        <v>1356</v>
      </c>
      <c r="M125" s="103"/>
      <c r="N125" s="103"/>
      <c r="O125" s="103"/>
      <c r="P125" s="103"/>
      <c r="Q125" s="103"/>
      <c r="R125" s="103"/>
    </row>
    <row r="126" spans="1:18" ht="15.6">
      <c r="A126" s="24" t="str">
        <v>X415</v>
      </c>
      <c r="B126" s="25" t="str">
        <v>NY</v>
      </c>
      <c r="C126" s="25" t="str">
        <f>Sites[[#This Row],[SOL'#]]</f>
        <v>SOL-10429</v>
      </c>
      <c r="D126" s="54">
        <v>22569.3984375</v>
      </c>
      <c r="E126" s="10" t="s">
        <v>661</v>
      </c>
      <c r="F126" s="10" t="str">
        <f t="shared" si="8"/>
        <v/>
      </c>
      <c r="G126" s="55" t="str">
        <f t="shared" si="9"/>
        <v/>
      </c>
      <c r="H126" s="67">
        <v>23788</v>
      </c>
      <c r="I126" s="67">
        <f t="shared" si="10"/>
        <v>-1218.6015625</v>
      </c>
      <c r="J126" s="64">
        <f t="shared" si="11"/>
        <v>-5.1227575353119219E-2</v>
      </c>
      <c r="K126" s="107"/>
      <c r="L126" s="47"/>
      <c r="M126" s="103"/>
      <c r="N126" s="103"/>
      <c r="O126" s="103"/>
      <c r="P126" s="103"/>
      <c r="Q126" s="103"/>
      <c r="R126" s="103"/>
    </row>
    <row r="127" spans="1:18" ht="15.6">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86"/>
      <c r="L127" s="88"/>
      <c r="M127" s="103"/>
      <c r="N127" s="103"/>
      <c r="O127" s="103"/>
      <c r="P127" s="103"/>
      <c r="Q127" s="103"/>
      <c r="R127" s="103"/>
    </row>
    <row r="128" spans="1:18" ht="86.4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07" t="s">
        <v>1346</v>
      </c>
      <c r="L128" s="47"/>
      <c r="M128" s="103"/>
      <c r="N128" s="103"/>
      <c r="O128" s="103"/>
      <c r="P128" s="103"/>
      <c r="Q128" s="103"/>
      <c r="R128" s="103"/>
    </row>
    <row r="129" spans="1:18" ht="28.9">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86" t="s">
        <v>1357</v>
      </c>
      <c r="L129" s="102" t="s">
        <v>838</v>
      </c>
      <c r="M129" s="103"/>
      <c r="N129" s="103"/>
      <c r="O129" s="103"/>
      <c r="P129" s="103"/>
      <c r="Q129" s="103"/>
      <c r="R129" s="103"/>
    </row>
    <row r="130" spans="1:18" ht="15.6">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07"/>
      <c r="L130" s="47"/>
      <c r="M130" s="103"/>
      <c r="N130" s="103"/>
      <c r="O130" s="103"/>
      <c r="P130" s="103"/>
      <c r="Q130" s="103"/>
      <c r="R130" s="103"/>
    </row>
    <row r="131" spans="1:18" ht="15.6">
      <c r="A131" s="26" t="str">
        <v>K307</v>
      </c>
      <c r="B131" s="27" t="str">
        <v>NY</v>
      </c>
      <c r="C131" s="9" t="str">
        <f>Sites[[#This Row],[SOL'#]]</f>
        <v>SOL-10876</v>
      </c>
      <c r="D131" s="66">
        <v>26644.9921875</v>
      </c>
      <c r="E131" s="14" t="s">
        <v>661</v>
      </c>
      <c r="F131" s="14" t="str">
        <f t="shared" si="8"/>
        <v/>
      </c>
      <c r="G131" s="68" t="str">
        <f t="shared" si="9"/>
        <v/>
      </c>
      <c r="H131" s="69">
        <v>29938</v>
      </c>
      <c r="I131" s="69">
        <f t="shared" si="10"/>
        <v>-3293.0078125</v>
      </c>
      <c r="J131" s="68">
        <f t="shared" si="11"/>
        <v>-0.10999424853029595</v>
      </c>
      <c r="K131" s="186"/>
      <c r="L131" s="88"/>
      <c r="M131" s="103"/>
      <c r="N131" s="103"/>
      <c r="O131" s="103"/>
      <c r="P131" s="103"/>
      <c r="Q131" s="103"/>
      <c r="R131" s="103"/>
    </row>
    <row r="132" spans="1:18" ht="43.1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07" t="s">
        <v>1358</v>
      </c>
      <c r="L132" s="98" t="s">
        <v>1359</v>
      </c>
      <c r="M132" s="103"/>
      <c r="N132" s="103"/>
      <c r="O132" s="103"/>
      <c r="P132" s="103"/>
      <c r="Q132" s="103"/>
      <c r="R132" s="103"/>
    </row>
    <row r="133" spans="1:18" ht="201.6">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86" t="s">
        <v>1360</v>
      </c>
      <c r="L133" s="101" t="s">
        <v>1361</v>
      </c>
      <c r="M133" s="102" t="s">
        <v>842</v>
      </c>
      <c r="N133" s="102" t="s">
        <v>1362</v>
      </c>
      <c r="O133" s="102" t="s">
        <v>843</v>
      </c>
      <c r="P133" s="102" t="s">
        <v>1363</v>
      </c>
      <c r="Q133" s="103"/>
      <c r="R133" s="103"/>
    </row>
    <row r="134" spans="1:18" ht="15.6">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07"/>
      <c r="L134" s="47"/>
      <c r="M134" s="103"/>
      <c r="N134" s="103"/>
      <c r="O134" s="103"/>
      <c r="P134" s="103"/>
      <c r="Q134" s="103"/>
      <c r="R134" s="103"/>
    </row>
    <row r="135" spans="1:18" ht="15.6">
      <c r="A135" s="26" t="str">
        <v>Q030</v>
      </c>
      <c r="B135" s="27" t="str">
        <v>NY</v>
      </c>
      <c r="C135" s="9" t="str">
        <f>Sites[[#This Row],[SOL'#]]</f>
        <v>SOL-10878</v>
      </c>
      <c r="D135" s="66">
        <v>25762.8359375</v>
      </c>
      <c r="E135" s="14" t="s">
        <v>661</v>
      </c>
      <c r="F135" s="14" t="str">
        <f t="shared" si="8"/>
        <v/>
      </c>
      <c r="G135" s="68" t="str">
        <f t="shared" si="9"/>
        <v/>
      </c>
      <c r="H135" s="69">
        <v>27991</v>
      </c>
      <c r="I135" s="69">
        <f t="shared" si="10"/>
        <v>-2228.1640625</v>
      </c>
      <c r="J135" s="68">
        <f t="shared" si="11"/>
        <v>-7.9602874584687941E-2</v>
      </c>
      <c r="K135" s="186"/>
      <c r="L135" s="88"/>
      <c r="M135" s="103"/>
      <c r="N135" s="103"/>
      <c r="O135" s="103"/>
      <c r="P135" s="103"/>
      <c r="Q135" s="103"/>
      <c r="R135" s="103"/>
    </row>
    <row r="136" spans="1:18" ht="15.6">
      <c r="A136" s="24" t="str">
        <v>Q130</v>
      </c>
      <c r="B136" s="25" t="str">
        <v>NY</v>
      </c>
      <c r="C136" s="25" t="str">
        <f>Sites[[#This Row],[SOL'#]]</f>
        <v>SOL-10877</v>
      </c>
      <c r="D136" s="54">
        <v>14657.908984375001</v>
      </c>
      <c r="E136" s="10" t="s">
        <v>661</v>
      </c>
      <c r="F136" s="10" t="str">
        <f t="shared" si="8"/>
        <v/>
      </c>
      <c r="G136" s="55" t="str">
        <f t="shared" si="9"/>
        <v/>
      </c>
      <c r="H136" s="67">
        <v>16011.71</v>
      </c>
      <c r="I136" s="67">
        <f t="shared" si="10"/>
        <v>-1353.8010156249984</v>
      </c>
      <c r="J136" s="64">
        <f t="shared" si="11"/>
        <v>-8.4550682945481681E-2</v>
      </c>
      <c r="K136" s="107"/>
      <c r="L136" s="47"/>
      <c r="M136" s="103"/>
      <c r="N136" s="103"/>
      <c r="O136" s="103"/>
      <c r="P136" s="103"/>
      <c r="Q136" s="103"/>
      <c r="R136" s="103"/>
    </row>
    <row r="137" spans="1:18" ht="15.6">
      <c r="A137" s="26" t="str">
        <v>Q196</v>
      </c>
      <c r="B137" s="27" t="str">
        <v>NY</v>
      </c>
      <c r="C137" s="9" t="str">
        <f>Sites[[#This Row],[SOL'#]]</f>
        <v>SOL-10879</v>
      </c>
      <c r="D137" s="66">
        <v>19067.674023437499</v>
      </c>
      <c r="E137" s="14" t="s">
        <v>661</v>
      </c>
      <c r="F137" s="14" t="str">
        <f t="shared" si="8"/>
        <v/>
      </c>
      <c r="G137" s="68" t="str">
        <f t="shared" si="9"/>
        <v/>
      </c>
      <c r="H137" s="69">
        <v>20705</v>
      </c>
      <c r="I137" s="69">
        <f t="shared" si="10"/>
        <v>-1637.3259765625007</v>
      </c>
      <c r="J137" s="68">
        <f t="shared" si="11"/>
        <v>-7.9078772111205065E-2</v>
      </c>
      <c r="K137" s="186"/>
      <c r="L137" s="88"/>
      <c r="M137" s="103"/>
      <c r="N137" s="103"/>
      <c r="O137" s="103"/>
      <c r="P137" s="103"/>
      <c r="Q137" s="103"/>
      <c r="R137" s="103"/>
    </row>
    <row r="138" spans="1:18" ht="15.6">
      <c r="A138" s="24" t="str">
        <v>Q220</v>
      </c>
      <c r="B138" s="25" t="str">
        <v>NY</v>
      </c>
      <c r="C138" s="25" t="str">
        <f>Sites[[#This Row],[SOL'#]]</f>
        <v>SOL-10873</v>
      </c>
      <c r="D138" s="54">
        <v>22339.375</v>
      </c>
      <c r="E138" s="10" t="s">
        <v>661</v>
      </c>
      <c r="F138" s="10" t="str">
        <f t="shared" si="8"/>
        <v/>
      </c>
      <c r="G138" s="55" t="str">
        <f t="shared" si="9"/>
        <v/>
      </c>
      <c r="H138" s="67">
        <v>24264</v>
      </c>
      <c r="I138" s="67">
        <f t="shared" si="10"/>
        <v>-1924.625</v>
      </c>
      <c r="J138" s="64">
        <f t="shared" si="11"/>
        <v>-7.9320186284207062E-2</v>
      </c>
      <c r="K138" s="107" t="s">
        <v>1364</v>
      </c>
      <c r="L138" s="98" t="s">
        <v>1365</v>
      </c>
      <c r="M138" s="103"/>
      <c r="N138" s="103"/>
      <c r="O138" s="103"/>
      <c r="P138" s="103"/>
      <c r="Q138" s="103"/>
      <c r="R138" s="103"/>
    </row>
    <row r="139" spans="1:18" ht="28.9">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86" t="s">
        <v>1366</v>
      </c>
      <c r="L139" s="102" t="s">
        <v>1367</v>
      </c>
      <c r="M139" s="103"/>
      <c r="N139" s="103"/>
      <c r="O139" s="103"/>
      <c r="P139" s="103"/>
      <c r="Q139" s="103"/>
      <c r="R139" s="103"/>
    </row>
    <row r="140" spans="1:18" ht="172.9">
      <c r="A140" s="24" t="str">
        <v>Q400</v>
      </c>
      <c r="B140" s="25" t="str">
        <v>NY</v>
      </c>
      <c r="C140" s="25" t="str">
        <f>Sites[[#This Row],[SOL'#]]</f>
        <v>SOL-10871</v>
      </c>
      <c r="D140" s="54">
        <v>34967.640625</v>
      </c>
      <c r="E140" s="10" t="s">
        <v>661</v>
      </c>
      <c r="F140" s="10" t="str">
        <f t="shared" si="8"/>
        <v/>
      </c>
      <c r="G140" s="55" t="str">
        <f t="shared" si="9"/>
        <v/>
      </c>
      <c r="H140" s="67">
        <v>47087</v>
      </c>
      <c r="I140" s="67">
        <f t="shared" si="10"/>
        <v>-12119.359375</v>
      </c>
      <c r="J140" s="64">
        <f t="shared" si="11"/>
        <v>-0.25738227907915134</v>
      </c>
      <c r="K140" s="107" t="s">
        <v>1368</v>
      </c>
      <c r="L140" s="98" t="s">
        <v>1369</v>
      </c>
      <c r="M140" s="102" t="s">
        <v>1370</v>
      </c>
      <c r="N140" s="102" t="s">
        <v>1371</v>
      </c>
      <c r="O140" s="102" t="s">
        <v>1372</v>
      </c>
      <c r="P140" s="102" t="s">
        <v>1373</v>
      </c>
      <c r="Q140" s="103"/>
      <c r="R140" s="103"/>
    </row>
    <row r="141" spans="1:18" ht="28.9">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86" t="s">
        <v>1374</v>
      </c>
      <c r="L141" s="102" t="s">
        <v>1375</v>
      </c>
      <c r="M141" s="103"/>
      <c r="N141" s="103"/>
      <c r="O141" s="103"/>
      <c r="P141" s="103"/>
      <c r="Q141" s="103"/>
      <c r="R141" s="103"/>
    </row>
    <row r="142" spans="1:18" ht="15.6">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07"/>
      <c r="L142" s="47"/>
      <c r="M142" s="103"/>
      <c r="N142" s="103"/>
      <c r="O142" s="103"/>
      <c r="P142" s="103"/>
      <c r="Q142" s="103"/>
      <c r="R142" s="103"/>
    </row>
    <row r="143" spans="1:18" ht="28.9">
      <c r="A143" s="26" t="str">
        <v>BK16</v>
      </c>
      <c r="B143" s="27" t="str">
        <v>NY</v>
      </c>
      <c r="C143" s="9" t="str">
        <f>Sites[[#This Row],[SOL'#]]</f>
        <v>SOL-11093</v>
      </c>
      <c r="D143" s="66">
        <v>40757.8125</v>
      </c>
      <c r="E143" s="14" t="s">
        <v>661</v>
      </c>
      <c r="F143" s="14" t="str">
        <f t="shared" si="8"/>
        <v/>
      </c>
      <c r="G143" s="68" t="str">
        <f t="shared" si="9"/>
        <v/>
      </c>
      <c r="H143" s="69">
        <v>45236</v>
      </c>
      <c r="I143" s="69">
        <f t="shared" si="10"/>
        <v>-4478.1875</v>
      </c>
      <c r="J143" s="68">
        <f t="shared" si="11"/>
        <v>-9.8996098240339558E-2</v>
      </c>
      <c r="K143" s="186" t="s">
        <v>1376</v>
      </c>
      <c r="L143" s="102" t="s">
        <v>1377</v>
      </c>
      <c r="M143" s="103"/>
      <c r="N143" s="103"/>
      <c r="O143" s="103"/>
      <c r="P143" s="103"/>
      <c r="Q143" s="103"/>
      <c r="R143" s="103"/>
    </row>
    <row r="144" spans="1:18" ht="100.9">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07" t="s">
        <v>1122</v>
      </c>
      <c r="L144" s="98" t="s">
        <v>1123</v>
      </c>
      <c r="M144" s="103"/>
      <c r="N144" s="103"/>
      <c r="O144" s="103"/>
      <c r="P144" s="103"/>
      <c r="Q144" s="103"/>
      <c r="R144" s="103"/>
    </row>
    <row r="145" spans="1:18" ht="28.9">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86" t="s">
        <v>1378</v>
      </c>
      <c r="L145" s="102" t="s">
        <v>1125</v>
      </c>
      <c r="M145" s="103"/>
      <c r="N145" s="103"/>
      <c r="O145" s="103"/>
      <c r="P145" s="103"/>
      <c r="Q145" s="103"/>
      <c r="R145" s="103"/>
    </row>
    <row r="146" spans="1:18" ht="15.6">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07"/>
      <c r="L146" s="47"/>
      <c r="M146" s="103"/>
      <c r="N146" s="103"/>
      <c r="O146" s="103"/>
      <c r="P146" s="103"/>
      <c r="Q146" s="103"/>
      <c r="R146" s="103"/>
    </row>
    <row r="147" spans="1:18" ht="15.6">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86"/>
      <c r="L147" s="88"/>
      <c r="M147" s="103"/>
      <c r="N147" s="103"/>
      <c r="O147" s="103"/>
      <c r="P147" s="103"/>
      <c r="Q147" s="103"/>
      <c r="R147" s="103"/>
    </row>
    <row r="148" spans="1:18" ht="28.9">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07" t="s">
        <v>1379</v>
      </c>
      <c r="L148" s="98" t="s">
        <v>1380</v>
      </c>
      <c r="M148" s="103"/>
      <c r="N148" s="103"/>
      <c r="O148" s="103"/>
      <c r="P148" s="103"/>
      <c r="Q148" s="103"/>
      <c r="R148" s="103"/>
    </row>
    <row r="149" spans="1:18" ht="100.9">
      <c r="A149" s="26" t="str">
        <v>County Route 11B</v>
      </c>
      <c r="B149" s="27" t="str">
        <v>NY</v>
      </c>
      <c r="C149" s="9" t="str">
        <f>Sites[[#This Row],[SOL'#]]</f>
        <v>SOL-10983</v>
      </c>
      <c r="D149" s="66">
        <v>108145</v>
      </c>
      <c r="E149" s="14" t="s">
        <v>661</v>
      </c>
      <c r="F149" s="14" t="str">
        <f t="shared" si="8"/>
        <v/>
      </c>
      <c r="G149" s="68" t="str">
        <f t="shared" si="9"/>
        <v/>
      </c>
      <c r="H149" s="125" t="s">
        <v>941</v>
      </c>
      <c r="I149" s="69" t="str">
        <f t="shared" si="10"/>
        <v/>
      </c>
      <c r="J149" s="68" t="str">
        <f t="shared" si="11"/>
        <v/>
      </c>
      <c r="K149" s="186" t="s">
        <v>1381</v>
      </c>
      <c r="L149" s="101" t="s">
        <v>1382</v>
      </c>
      <c r="M149" s="102" t="s">
        <v>1383</v>
      </c>
      <c r="N149" s="103"/>
      <c r="O149" s="103"/>
      <c r="P149" s="103"/>
      <c r="Q149" s="103"/>
      <c r="R149" s="103"/>
    </row>
    <row r="150" spans="1:18" ht="129.6">
      <c r="A150" s="24" t="str">
        <v>Barone</v>
      </c>
      <c r="B150" s="25" t="str">
        <v>NY</v>
      </c>
      <c r="C150" s="25" t="str">
        <f>Sites[[#This Row],[SOL'#]]</f>
        <v>SOL-11034</v>
      </c>
      <c r="D150" s="54">
        <v>116276</v>
      </c>
      <c r="E150" s="10" t="s">
        <v>661</v>
      </c>
      <c r="F150" s="10" t="str">
        <f t="shared" si="8"/>
        <v/>
      </c>
      <c r="G150" s="55" t="str">
        <f t="shared" si="9"/>
        <v/>
      </c>
      <c r="H150" s="67">
        <v>233057</v>
      </c>
      <c r="I150" s="67">
        <f t="shared" si="10"/>
        <v>-116781</v>
      </c>
      <c r="J150" s="64">
        <f t="shared" si="11"/>
        <v>-0.5010834259430097</v>
      </c>
      <c r="K150" s="107" t="s">
        <v>1384</v>
      </c>
      <c r="L150" s="98" t="s">
        <v>1385</v>
      </c>
      <c r="M150" s="102" t="s">
        <v>1386</v>
      </c>
      <c r="N150" s="102" t="s">
        <v>1387</v>
      </c>
      <c r="O150" s="103"/>
      <c r="P150" s="103"/>
      <c r="Q150" s="103"/>
      <c r="R150" s="103"/>
    </row>
    <row r="151" spans="1:18" ht="15.6">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86" t="s">
        <v>1388</v>
      </c>
      <c r="L151" s="102" t="s">
        <v>1389</v>
      </c>
      <c r="M151" s="103"/>
      <c r="N151" s="103"/>
      <c r="O151" s="103"/>
      <c r="P151" s="103"/>
      <c r="Q151" s="103"/>
      <c r="R151" s="103"/>
    </row>
    <row r="152" spans="1:18" ht="28.9">
      <c r="A152" s="24" t="str">
        <v xml:space="preserve"> O'Brien Hill #1</v>
      </c>
      <c r="B152" s="25" t="str">
        <v>NY</v>
      </c>
      <c r="C152" s="25" t="str">
        <f>Sites[[#This Row],[SOL'#]]</f>
        <v>SOL-11098</v>
      </c>
      <c r="D152" s="54">
        <v>0</v>
      </c>
      <c r="E152" s="10" t="s">
        <v>661</v>
      </c>
      <c r="F152" s="10" t="str">
        <f t="shared" si="8"/>
        <v/>
      </c>
      <c r="G152" s="55" t="str">
        <f t="shared" si="9"/>
        <v/>
      </c>
      <c r="H152" s="126" t="s">
        <v>661</v>
      </c>
      <c r="I152" s="67" t="str">
        <f t="shared" si="10"/>
        <v/>
      </c>
      <c r="J152" s="64" t="str">
        <f t="shared" si="11"/>
        <v/>
      </c>
      <c r="K152" s="107" t="s">
        <v>1390</v>
      </c>
      <c r="L152" s="98" t="s">
        <v>1391</v>
      </c>
      <c r="M152" s="102" t="s">
        <v>877</v>
      </c>
      <c r="N152" s="103"/>
      <c r="O152" s="103"/>
      <c r="P152" s="103"/>
      <c r="Q152" s="103"/>
      <c r="R152" s="103"/>
    </row>
    <row r="153" spans="1:18" ht="86.45">
      <c r="A153" s="26" t="str">
        <v xml:space="preserve"> O'Brien Hill #2</v>
      </c>
      <c r="B153" s="27" t="str">
        <v>NY</v>
      </c>
      <c r="C153" s="9" t="str">
        <f>Sites[[#This Row],[SOL'#]]</f>
        <v>SOL-11099</v>
      </c>
      <c r="D153" s="66">
        <v>140669</v>
      </c>
      <c r="E153" s="14" t="s">
        <v>661</v>
      </c>
      <c r="F153" s="14" t="str">
        <f t="shared" si="8"/>
        <v/>
      </c>
      <c r="G153" s="68" t="str">
        <f t="shared" si="9"/>
        <v/>
      </c>
      <c r="H153" s="69">
        <v>288848</v>
      </c>
      <c r="I153" s="69">
        <f t="shared" si="10"/>
        <v>-148179</v>
      </c>
      <c r="J153" s="68">
        <f t="shared" si="11"/>
        <v>-0.51299991691131663</v>
      </c>
      <c r="K153" s="186" t="s">
        <v>1392</v>
      </c>
      <c r="L153" s="101" t="s">
        <v>1393</v>
      </c>
      <c r="M153" s="102" t="s">
        <v>1394</v>
      </c>
      <c r="N153" s="102" t="s">
        <v>1395</v>
      </c>
      <c r="O153" s="103"/>
      <c r="P153" s="103"/>
      <c r="Q153" s="103"/>
      <c r="R153" s="103"/>
    </row>
    <row r="154" spans="1:18" ht="72">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07" t="s">
        <v>1396</v>
      </c>
      <c r="L154" s="98" t="s">
        <v>1397</v>
      </c>
      <c r="M154" s="102" t="s">
        <v>884</v>
      </c>
      <c r="N154" s="102" t="s">
        <v>1398</v>
      </c>
      <c r="O154" s="103"/>
      <c r="P154" s="103"/>
      <c r="Q154" s="103"/>
      <c r="R154" s="103"/>
    </row>
    <row r="155" spans="1:18" ht="201.6">
      <c r="A155" s="26" t="str">
        <v>Ransom</v>
      </c>
      <c r="B155" s="27" t="str">
        <v>NY</v>
      </c>
      <c r="C155" s="9" t="str">
        <f>Sites[[#This Row],[SOL'#]]</f>
        <v>SOL-11157</v>
      </c>
      <c r="D155" s="66">
        <v>156931</v>
      </c>
      <c r="E155" s="14" t="s">
        <v>661</v>
      </c>
      <c r="F155" s="14" t="str">
        <f t="shared" ref="F155:F157" si="12">IF(AND(ISNUMBER(D155),ISNUMBER(E155)), D155-E155, "")</f>
        <v/>
      </c>
      <c r="G155" s="68" t="str">
        <f t="shared" si="9"/>
        <v/>
      </c>
      <c r="H155" s="69">
        <v>326042</v>
      </c>
      <c r="I155" s="69">
        <f t="shared" si="10"/>
        <v>-169111</v>
      </c>
      <c r="J155" s="68">
        <f t="shared" si="11"/>
        <v>-0.51867857515289439</v>
      </c>
      <c r="K155" s="186" t="s">
        <v>1399</v>
      </c>
      <c r="L155" s="101" t="s">
        <v>1400</v>
      </c>
      <c r="M155" s="102" t="s">
        <v>1401</v>
      </c>
      <c r="N155" s="102" t="s">
        <v>1402</v>
      </c>
      <c r="O155" s="102" t="s">
        <v>1403</v>
      </c>
      <c r="P155" s="102" t="s">
        <v>1404</v>
      </c>
      <c r="Q155" s="103"/>
      <c r="R155" s="103"/>
    </row>
    <row r="156" spans="1:18" ht="57.6">
      <c r="A156" s="24" t="str">
        <v>Horseheads - Wedge</v>
      </c>
      <c r="B156" s="25" t="str">
        <v>NY</v>
      </c>
      <c r="C156" s="25" t="str">
        <f>Sites[[#This Row],[SOL'#]]</f>
        <v>SOL-11160</v>
      </c>
      <c r="D156" s="54">
        <v>165061</v>
      </c>
      <c r="E156" s="10" t="s">
        <v>661</v>
      </c>
      <c r="F156" s="10" t="str">
        <f t="shared" si="12"/>
        <v/>
      </c>
      <c r="G156" s="55" t="str">
        <f t="shared" ref="G156:G157" si="13">IFERROR(F156/E156, "")</f>
        <v/>
      </c>
      <c r="H156" s="67">
        <v>344639</v>
      </c>
      <c r="I156" s="67">
        <f t="shared" si="10"/>
        <v>-179578</v>
      </c>
      <c r="J156" s="64">
        <f t="shared" si="11"/>
        <v>-0.52106116835297223</v>
      </c>
      <c r="K156" s="107" t="s">
        <v>1405</v>
      </c>
      <c r="L156" s="98" t="s">
        <v>1406</v>
      </c>
      <c r="M156" s="103"/>
      <c r="N156" s="103"/>
      <c r="O156" s="103"/>
      <c r="P156" s="103"/>
      <c r="Q156" s="103"/>
      <c r="R156" s="103"/>
    </row>
    <row r="157" spans="1:18" ht="172.9">
      <c r="A157" s="26" t="str">
        <v>Otisville - Shoddy Hollow</v>
      </c>
      <c r="B157" s="27" t="str">
        <v>NY</v>
      </c>
      <c r="C157" s="9" t="str">
        <f>Sites[[#This Row],[SOL'#]]</f>
        <v>SOL-11185</v>
      </c>
      <c r="D157" s="66">
        <v>173192</v>
      </c>
      <c r="E157" s="14" t="s">
        <v>661</v>
      </c>
      <c r="F157" s="14" t="str">
        <f t="shared" si="12"/>
        <v/>
      </c>
      <c r="G157" s="68" t="str">
        <f t="shared" si="13"/>
        <v/>
      </c>
      <c r="H157" s="69">
        <v>363236</v>
      </c>
      <c r="I157" s="69">
        <f t="shared" si="10"/>
        <v>-190044</v>
      </c>
      <c r="J157" s="68">
        <f t="shared" si="11"/>
        <v>-0.52319703994097499</v>
      </c>
      <c r="K157" s="186" t="s">
        <v>1407</v>
      </c>
      <c r="L157" s="101" t="s">
        <v>1408</v>
      </c>
      <c r="M157" s="102" t="s">
        <v>1409</v>
      </c>
      <c r="N157" s="102" t="s">
        <v>1410</v>
      </c>
      <c r="O157" s="102" t="s">
        <v>1411</v>
      </c>
      <c r="P157" s="102" t="s">
        <v>1412</v>
      </c>
      <c r="Q157" s="103"/>
      <c r="R157" s="103"/>
    </row>
    <row r="158" spans="1:18" ht="28.9">
      <c r="A158" s="24" t="str">
        <v>Wellsville - Chenunda Creek</v>
      </c>
      <c r="B158" s="25" t="str">
        <v>NY</v>
      </c>
      <c r="C158" s="25" t="str">
        <f>Sites[[#This Row],[SOL'#]]</f>
        <v>SOL-11187</v>
      </c>
      <c r="D158" s="54">
        <v>181323</v>
      </c>
      <c r="E158" s="10" t="s">
        <v>661</v>
      </c>
      <c r="F158" s="10" t="str">
        <f t="shared" ref="F158:F164" si="14">IF(AND(ISNUMBER(D158),ISNUMBER(E158)), D158-E158, "")</f>
        <v/>
      </c>
      <c r="G158" s="55" t="str">
        <f t="shared" ref="G158:G164" si="15">IFERROR(F158/E158, "")</f>
        <v/>
      </c>
      <c r="H158" s="67">
        <v>381833</v>
      </c>
      <c r="I158" s="67">
        <f t="shared" ref="I158:I164" si="16">IF(AND(ISNUMBER(D158),ISNUMBER(H158)), D158-H158, "")</f>
        <v>-200510</v>
      </c>
      <c r="J158" s="64">
        <f t="shared" ref="J158:J164" si="17">IFERROR(I158/H158, "")</f>
        <v>-0.52512485824954891</v>
      </c>
      <c r="K158" s="107" t="s">
        <v>1413</v>
      </c>
      <c r="L158" s="98" t="s">
        <v>1414</v>
      </c>
      <c r="M158" s="103"/>
      <c r="N158" s="103"/>
      <c r="O158" s="103"/>
      <c r="P158" s="103"/>
      <c r="Q158" s="103"/>
      <c r="R158" s="103"/>
    </row>
    <row r="159" spans="1:18" ht="44.65" customHeight="1">
      <c r="A159" s="26" t="str">
        <v>DC: Washington - Essex Condominium</v>
      </c>
      <c r="B159" s="27" t="str">
        <v>DC</v>
      </c>
      <c r="C159" s="66" t="str">
        <f>Sites[[#This Row],[SOL'#]]</f>
        <v>SOL-10036</v>
      </c>
      <c r="D159" s="66">
        <v>4453</v>
      </c>
      <c r="E159" s="14">
        <v>5876.9309999999996</v>
      </c>
      <c r="F159" s="14">
        <f t="shared" si="14"/>
        <v>-1423.9309999999996</v>
      </c>
      <c r="G159" s="68">
        <f t="shared" si="15"/>
        <v>-0.24229159743410289</v>
      </c>
      <c r="H159" s="69">
        <v>5419.4120000000003</v>
      </c>
      <c r="I159" s="69">
        <f t="shared" si="16"/>
        <v>-966.41200000000026</v>
      </c>
      <c r="J159" s="68">
        <f t="shared" si="17"/>
        <v>-0.17832414291439738</v>
      </c>
      <c r="K159" s="186" t="s">
        <v>1182</v>
      </c>
      <c r="L159" s="101"/>
      <c r="M159" s="102"/>
      <c r="N159" s="102"/>
      <c r="O159" s="102"/>
      <c r="P159" s="102"/>
      <c r="Q159" s="103"/>
      <c r="R159" s="103"/>
    </row>
    <row r="160" spans="1:18" ht="86.45">
      <c r="A160" s="24" t="str">
        <v>HI: Waipahu - 94-246 Leoku St - E.F.G.</v>
      </c>
      <c r="B160" s="25" t="str">
        <v>HI</v>
      </c>
      <c r="C160" s="25" t="str">
        <f>Sites[[#This Row],[SOL'#]]</f>
        <v>SOL-10071</v>
      </c>
      <c r="D160" s="54">
        <v>6506</v>
      </c>
      <c r="E160" s="10">
        <v>11997</v>
      </c>
      <c r="F160" s="10">
        <f t="shared" si="14"/>
        <v>-5491</v>
      </c>
      <c r="G160" s="55">
        <f t="shared" si="15"/>
        <v>-0.45769775777277655</v>
      </c>
      <c r="H160" s="67">
        <v>13161</v>
      </c>
      <c r="I160" s="67">
        <f t="shared" si="16"/>
        <v>-6655</v>
      </c>
      <c r="J160" s="64">
        <f t="shared" si="17"/>
        <v>-0.50566066408327637</v>
      </c>
      <c r="K160" s="107" t="s">
        <v>1415</v>
      </c>
      <c r="L160" s="100" t="s">
        <v>1416</v>
      </c>
      <c r="M160" s="103"/>
      <c r="N160" s="103"/>
      <c r="O160" s="103"/>
      <c r="P160" s="103"/>
      <c r="Q160" s="103"/>
      <c r="R160" s="103"/>
    </row>
    <row r="161" spans="1:18" ht="15.6">
      <c r="A161" s="26" t="str">
        <v>HI: Waipahu - 94-099 Waipahu St - PV</v>
      </c>
      <c r="B161" s="27" t="str">
        <v>HI</v>
      </c>
      <c r="C161" s="66" t="str">
        <f>Sites[[#This Row],[SOL'#]]</f>
        <v>SOL-10068</v>
      </c>
      <c r="D161" s="66">
        <v>13229</v>
      </c>
      <c r="E161" s="14">
        <v>10354</v>
      </c>
      <c r="F161" s="14">
        <f t="shared" si="14"/>
        <v>2875</v>
      </c>
      <c r="G161" s="68">
        <f t="shared" si="15"/>
        <v>0.27767046552057179</v>
      </c>
      <c r="H161" s="69">
        <v>13154</v>
      </c>
      <c r="I161" s="69">
        <f t="shared" si="16"/>
        <v>75</v>
      </c>
      <c r="J161" s="68">
        <f t="shared" si="17"/>
        <v>5.7016876995590691E-3</v>
      </c>
      <c r="K161" s="186"/>
      <c r="L161" s="101"/>
      <c r="M161" s="103"/>
      <c r="N161" s="103"/>
      <c r="O161" s="103"/>
      <c r="P161" s="103"/>
      <c r="Q161" s="103"/>
      <c r="R161" s="103"/>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7"/>
      <c r="L162" s="100"/>
      <c r="M162" s="103"/>
      <c r="N162" s="103"/>
      <c r="O162" s="103"/>
      <c r="P162" s="103"/>
      <c r="Q162" s="103"/>
      <c r="R162" s="103"/>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86"/>
      <c r="L163" s="101"/>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7"/>
      <c r="L164" s="100"/>
    </row>
    <row r="165" spans="1:18">
      <c r="A165" t="str">
        <v>NY: Cambridge - Cambridge (PW)</v>
      </c>
      <c r="B165" s="30" t="str">
        <v>NY</v>
      </c>
    </row>
    <row r="166" spans="1:18">
      <c r="A166" t="str">
        <v>NY: Whitesville - Independence North</v>
      </c>
      <c r="B166" s="30" t="str">
        <v>NY</v>
      </c>
    </row>
    <row r="167" spans="1:18">
      <c r="A167" t="str">
        <v>IL: Beecher - Cottage Grove North (PW)</v>
      </c>
      <c r="B167" s="30" t="str">
        <v>IL</v>
      </c>
    </row>
    <row r="168" spans="1:18">
      <c r="A168" t="str">
        <v>IL: Beecher - Cottage Grove South (PW)</v>
      </c>
      <c r="B168" s="30" t="str">
        <v>IL</v>
      </c>
    </row>
    <row r="169" spans="1:18">
      <c r="A169" t="str">
        <v>IL: Harvard - 9618 US HWY 14 (PW)</v>
      </c>
      <c r="B169" s="30" t="str">
        <v>IL</v>
      </c>
    </row>
    <row r="170" spans="1:18">
      <c r="A170" t="str">
        <v>IL: Beecher - 701 E Goodenow Rd (PW)</v>
      </c>
      <c r="B170" s="30" t="str">
        <v>IL</v>
      </c>
    </row>
    <row r="171" spans="1:18">
      <c r="A171" t="str">
        <v>NY: Stormville - Green Haven - (IRA)</v>
      </c>
      <c r="B171" s="30" t="str">
        <v>NY</v>
      </c>
    </row>
    <row r="172" spans="1:18">
      <c r="A172" t="str">
        <v>IL: Hillsboro - Anacott (PW)</v>
      </c>
      <c r="B172" s="30" t="str">
        <v>IL</v>
      </c>
    </row>
    <row r="173" spans="1:18">
      <c r="A173" t="str">
        <v>IL: Manhattan - Gougar (PW)</v>
      </c>
      <c r="B173" s="30" t="str">
        <v>IL</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73"/>
  <sheetViews>
    <sheetView zoomScale="70" zoomScaleNormal="70" workbookViewId="0">
      <pane xSplit="2" ySplit="3" topLeftCell="C39" activePane="bottomRight" state="frozen"/>
      <selection pane="bottomRight" activeCell="K128" sqref="K128"/>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92" t="str" cm="1">
        <f t="array" ref="A1">portfolio</f>
        <v>Generate Capital</v>
      </c>
      <c r="B1" s="192"/>
      <c r="C1" s="192"/>
      <c r="D1" s="192"/>
      <c r="E1" s="193" t="s">
        <v>1417</v>
      </c>
      <c r="F1" s="193"/>
      <c r="G1" s="193"/>
      <c r="H1" s="191" t="s">
        <v>1418</v>
      </c>
      <c r="I1" s="191"/>
      <c r="J1" s="191"/>
      <c r="K1" s="4"/>
      <c r="L1" s="4"/>
    </row>
    <row r="2" spans="1:24" ht="19.5" customHeight="1">
      <c r="A2" s="194" t="s">
        <v>2</v>
      </c>
      <c r="B2" s="194"/>
      <c r="C2" s="57"/>
      <c r="D2" s="5">
        <f>SUM(D4:D159)</f>
        <v>53197393.895261116</v>
      </c>
      <c r="E2" s="5">
        <f>SUM(E4:E84)</f>
        <v>18342180.643999998</v>
      </c>
      <c r="F2" s="5">
        <f>D2-E2</f>
        <v>34855213.251261115</v>
      </c>
      <c r="G2" s="6">
        <f>IFERROR(F2/E2, 0)</f>
        <v>1.9002764135715116</v>
      </c>
      <c r="H2" s="5">
        <f>SUM(H4:H159)</f>
        <v>50545171.817800023</v>
      </c>
      <c r="I2" s="7">
        <f>D2-H2</f>
        <v>2652222.0774610937</v>
      </c>
      <c r="J2" s="6">
        <f>IFERROR(I2/H2, 0)</f>
        <v>5.2472313023715654E-2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9">
      <c r="A4" s="26" t="str" cm="1">
        <f t="array" ref="A4:A173">Sites[Site]</f>
        <v>K026</v>
      </c>
      <c r="B4" s="27" t="str" cm="1">
        <f t="array" ref="B4:B173">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IF(AND(ISNUMBER(D4),ISNUMBER(H4)), D4-H4, "")</f>
        <v>-15553.64</v>
      </c>
      <c r="J4" s="15">
        <f>IFERROR(I4/H4, "")</f>
        <v>-0.41328263856541847</v>
      </c>
      <c r="K4" s="51" t="s">
        <v>1419</v>
      </c>
      <c r="L4" s="99" t="s">
        <v>1420</v>
      </c>
      <c r="M4" s="103"/>
      <c r="N4" s="103"/>
      <c r="O4" s="103"/>
      <c r="P4" s="103"/>
      <c r="Q4" s="103"/>
      <c r="R4" s="103"/>
      <c r="S4" s="103"/>
      <c r="T4" s="103"/>
      <c r="U4" s="103"/>
      <c r="V4" s="103"/>
      <c r="W4" s="103"/>
      <c r="X4" s="103"/>
    </row>
    <row r="5" spans="1:24" ht="15.6">
      <c r="A5" s="28" t="str">
        <v>K041</v>
      </c>
      <c r="B5" s="25" t="str">
        <v>NY</v>
      </c>
      <c r="C5" s="25" t="str">
        <f>Sites[[#This Row],[SOL'#]]</f>
        <v>SOL-10357</v>
      </c>
      <c r="D5" s="20">
        <v>30806.78125</v>
      </c>
      <c r="E5" s="10">
        <v>35182.89</v>
      </c>
      <c r="F5" s="10">
        <f t="shared" si="0"/>
        <v>-4376.1087499999994</v>
      </c>
      <c r="G5" s="11">
        <f t="shared" si="1"/>
        <v>-0.12438173072195034</v>
      </c>
      <c r="H5" s="12">
        <v>32538</v>
      </c>
      <c r="I5" s="12">
        <f t="shared" ref="I5:I51" si="2">IF(AND(ISNUMBER(D5),ISNUMBER(H5)), D5-H5, "")</f>
        <v>-1731.21875</v>
      </c>
      <c r="J5" s="13">
        <f t="shared" ref="J5:J51" si="3">IFERROR(I5/H5, "")</f>
        <v>-5.3206059069395781E-2</v>
      </c>
      <c r="K5" s="53" t="s">
        <v>1421</v>
      </c>
      <c r="L5" s="53"/>
      <c r="M5" s="103"/>
      <c r="N5" s="103"/>
      <c r="O5" s="103"/>
      <c r="P5" s="103"/>
      <c r="Q5" s="103"/>
      <c r="R5" s="103"/>
      <c r="S5" s="103"/>
      <c r="T5" s="103"/>
      <c r="U5" s="103"/>
      <c r="V5" s="103"/>
      <c r="W5" s="103"/>
      <c r="X5" s="103"/>
    </row>
    <row r="6" spans="1:24" ht="86.4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1422</v>
      </c>
      <c r="L6" s="99" t="s">
        <v>1423</v>
      </c>
      <c r="M6" s="102" t="s">
        <v>1424</v>
      </c>
      <c r="N6" s="103"/>
      <c r="O6" s="103"/>
      <c r="P6" s="103"/>
      <c r="Q6" s="103"/>
      <c r="R6" s="103"/>
      <c r="S6" s="103"/>
      <c r="T6" s="103"/>
      <c r="U6" s="103"/>
      <c r="V6" s="103"/>
      <c r="W6" s="103"/>
      <c r="X6" s="103"/>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646</v>
      </c>
      <c r="L7" s="134" t="s">
        <v>1425</v>
      </c>
      <c r="M7" s="102" t="s">
        <v>1426</v>
      </c>
      <c r="N7" s="103"/>
      <c r="O7" s="103"/>
      <c r="P7" s="103"/>
      <c r="Q7" s="103"/>
      <c r="R7" s="103"/>
      <c r="S7" s="103"/>
      <c r="T7" s="103"/>
      <c r="U7" s="103"/>
      <c r="V7" s="103"/>
      <c r="W7" s="103"/>
      <c r="X7" s="103"/>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1427</v>
      </c>
      <c r="L8" s="99" t="s">
        <v>1428</v>
      </c>
      <c r="M8" s="102" t="s">
        <v>1429</v>
      </c>
      <c r="N8" s="103"/>
      <c r="O8" s="103"/>
      <c r="P8" s="103"/>
      <c r="Q8" s="103"/>
      <c r="R8" s="103"/>
      <c r="S8" s="103"/>
      <c r="T8" s="103"/>
      <c r="U8" s="103"/>
      <c r="V8" s="103"/>
      <c r="W8" s="103"/>
      <c r="X8" s="103"/>
    </row>
    <row r="9" spans="1:24" ht="15.6">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3"/>
      <c r="N9" s="103"/>
      <c r="O9" s="103"/>
      <c r="P9" s="103"/>
      <c r="Q9" s="103"/>
      <c r="R9" s="103"/>
      <c r="S9" s="103"/>
      <c r="T9" s="103"/>
      <c r="U9" s="103"/>
      <c r="V9" s="103"/>
      <c r="W9" s="103"/>
      <c r="X9" s="103"/>
    </row>
    <row r="10" spans="1:24" ht="15.6">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3"/>
      <c r="N10" s="103"/>
      <c r="O10" s="103"/>
      <c r="P10" s="103"/>
      <c r="Q10" s="103"/>
      <c r="R10" s="103"/>
      <c r="S10" s="103"/>
      <c r="T10" s="103"/>
      <c r="U10" s="103"/>
      <c r="V10" s="103"/>
      <c r="W10" s="103"/>
      <c r="X10" s="103"/>
    </row>
    <row r="11" spans="1:24" ht="15.6">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3"/>
      <c r="N11" s="103"/>
      <c r="O11" s="103"/>
      <c r="P11" s="103"/>
      <c r="Q11" s="103"/>
      <c r="R11" s="103"/>
      <c r="S11" s="103"/>
      <c r="T11" s="103"/>
      <c r="U11" s="103"/>
      <c r="V11" s="103"/>
      <c r="W11" s="103"/>
      <c r="X11" s="103"/>
    </row>
    <row r="12" spans="1:24" ht="57.6">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1430</v>
      </c>
      <c r="L12" s="99" t="s">
        <v>1431</v>
      </c>
      <c r="M12" s="102" t="s">
        <v>1177</v>
      </c>
      <c r="N12" s="102" t="s">
        <v>1178</v>
      </c>
      <c r="O12" s="103"/>
      <c r="P12" s="103"/>
      <c r="Q12" s="103"/>
      <c r="R12" s="103"/>
      <c r="S12" s="103"/>
      <c r="T12" s="103"/>
      <c r="U12" s="103"/>
      <c r="V12" s="103"/>
      <c r="W12" s="103"/>
      <c r="X12" s="103"/>
    </row>
    <row r="13" spans="1:24" ht="28.9">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1179</v>
      </c>
      <c r="L13" s="53"/>
      <c r="M13" s="103"/>
      <c r="N13" s="103"/>
      <c r="O13" s="103"/>
      <c r="P13" s="103"/>
      <c r="Q13" s="103"/>
      <c r="R13" s="103"/>
      <c r="S13" s="103"/>
      <c r="T13" s="103"/>
      <c r="U13" s="103"/>
      <c r="V13" s="103"/>
      <c r="W13" s="103"/>
      <c r="X13" s="103"/>
    </row>
    <row r="14" spans="1:24" ht="57.6">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1432</v>
      </c>
      <c r="L14" s="99" t="s">
        <v>1433</v>
      </c>
      <c r="M14" s="102" t="s">
        <v>1434</v>
      </c>
      <c r="N14" s="103"/>
      <c r="O14" s="103"/>
      <c r="P14" s="103"/>
      <c r="Q14" s="103"/>
      <c r="R14" s="103"/>
      <c r="S14" s="103"/>
      <c r="T14" s="103"/>
      <c r="U14" s="103"/>
      <c r="V14" s="103"/>
      <c r="W14" s="103"/>
      <c r="X14" s="103"/>
    </row>
    <row r="15" spans="1:24" ht="15.6">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3"/>
      <c r="N15" s="103"/>
      <c r="O15" s="103"/>
      <c r="P15" s="103"/>
      <c r="Q15" s="103"/>
      <c r="R15" s="103"/>
      <c r="S15" s="103"/>
      <c r="T15" s="103"/>
      <c r="U15" s="103"/>
      <c r="V15" s="103"/>
      <c r="W15" s="103"/>
      <c r="X15" s="103"/>
    </row>
    <row r="16" spans="1:24" ht="28.9">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1435</v>
      </c>
      <c r="L16" s="99" t="s">
        <v>651</v>
      </c>
      <c r="M16" s="103"/>
      <c r="N16" s="103"/>
      <c r="O16" s="103"/>
      <c r="P16" s="103"/>
      <c r="Q16" s="103"/>
      <c r="R16" s="103"/>
      <c r="S16" s="103"/>
      <c r="T16" s="103"/>
      <c r="U16" s="103"/>
      <c r="V16" s="103"/>
      <c r="W16" s="103"/>
      <c r="X16" s="103"/>
    </row>
    <row r="17" spans="1:24" ht="57.6">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1436</v>
      </c>
      <c r="L17" s="98" t="s">
        <v>1437</v>
      </c>
      <c r="M17" s="103"/>
      <c r="N17" s="103"/>
      <c r="O17" s="103"/>
      <c r="P17" s="103"/>
      <c r="Q17" s="103"/>
      <c r="R17" s="103"/>
      <c r="S17" s="103"/>
      <c r="T17" s="103"/>
      <c r="U17" s="103"/>
      <c r="V17" s="103"/>
      <c r="W17" s="103"/>
      <c r="X17" s="103"/>
    </row>
    <row r="18" spans="1:24" ht="28.9">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1185</v>
      </c>
      <c r="L18" s="99" t="s">
        <v>1438</v>
      </c>
      <c r="M18" s="103"/>
      <c r="N18" s="103"/>
      <c r="O18" s="103"/>
      <c r="P18" s="103"/>
      <c r="Q18" s="103"/>
      <c r="R18" s="103"/>
      <c r="S18" s="103"/>
      <c r="T18" s="103"/>
      <c r="U18" s="103"/>
      <c r="V18" s="103"/>
      <c r="W18" s="103"/>
      <c r="X18" s="103"/>
    </row>
    <row r="19" spans="1:24" ht="15.6">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3"/>
      <c r="N19" s="103"/>
      <c r="O19" s="103"/>
      <c r="P19" s="103"/>
      <c r="Q19" s="103"/>
      <c r="R19" s="103"/>
      <c r="S19" s="103"/>
      <c r="T19" s="103"/>
      <c r="U19" s="103"/>
      <c r="V19" s="103"/>
      <c r="W19" s="103"/>
      <c r="X19" s="103"/>
    </row>
    <row r="20" spans="1:24" ht="72">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915</v>
      </c>
      <c r="L20" s="99" t="s">
        <v>1187</v>
      </c>
      <c r="M20" s="103"/>
      <c r="N20" s="103"/>
      <c r="O20" s="103"/>
      <c r="P20" s="103"/>
      <c r="Q20" s="103"/>
      <c r="R20" s="103"/>
      <c r="S20" s="103"/>
      <c r="T20" s="103"/>
      <c r="U20" s="103"/>
      <c r="V20" s="103"/>
      <c r="W20" s="103"/>
      <c r="X20" s="103"/>
    </row>
    <row r="21" spans="1:24" ht="15.6">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3"/>
      <c r="N21" s="103"/>
      <c r="O21" s="103"/>
      <c r="P21" s="103"/>
      <c r="Q21" s="103"/>
      <c r="R21" s="103"/>
      <c r="S21" s="103"/>
      <c r="T21" s="103"/>
      <c r="U21" s="103"/>
      <c r="V21" s="103"/>
      <c r="W21" s="103"/>
      <c r="X21" s="103"/>
    </row>
    <row r="22" spans="1:24" ht="15.6">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3"/>
      <c r="N22" s="103"/>
      <c r="O22" s="103"/>
      <c r="P22" s="103"/>
      <c r="Q22" s="103"/>
      <c r="R22" s="103"/>
      <c r="S22" s="103"/>
      <c r="T22" s="103"/>
      <c r="U22" s="103"/>
      <c r="V22" s="103"/>
      <c r="W22" s="103"/>
      <c r="X22" s="103"/>
    </row>
    <row r="23" spans="1:24" ht="15.6">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1188</v>
      </c>
      <c r="L23" s="98" t="s">
        <v>1439</v>
      </c>
      <c r="M23" s="103"/>
      <c r="N23" s="103"/>
      <c r="O23" s="103"/>
      <c r="P23" s="103"/>
      <c r="Q23" s="103"/>
      <c r="R23" s="103"/>
      <c r="S23" s="103"/>
      <c r="T23" s="103"/>
      <c r="U23" s="103"/>
      <c r="V23" s="103"/>
      <c r="W23" s="103"/>
      <c r="X23" s="103"/>
    </row>
    <row r="24" spans="1:24" ht="15.6">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86" t="s">
        <v>1440</v>
      </c>
      <c r="L24" s="51"/>
      <c r="M24" s="103"/>
      <c r="N24" s="103"/>
      <c r="O24" s="103"/>
      <c r="P24" s="103"/>
      <c r="Q24" s="103"/>
      <c r="R24" s="103"/>
      <c r="S24" s="103"/>
      <c r="T24" s="103"/>
      <c r="U24" s="103"/>
      <c r="V24" s="103"/>
      <c r="W24" s="103"/>
      <c r="X24" s="103"/>
    </row>
    <row r="25" spans="1:24" ht="15.6">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3"/>
      <c r="N25" s="103"/>
      <c r="O25" s="103"/>
      <c r="P25" s="103"/>
      <c r="Q25" s="103"/>
      <c r="R25" s="103"/>
      <c r="S25" s="103"/>
      <c r="T25" s="103"/>
      <c r="U25" s="103"/>
      <c r="V25" s="103"/>
      <c r="W25" s="103"/>
      <c r="X25" s="103"/>
    </row>
    <row r="26" spans="1:24" ht="15.6">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1441</v>
      </c>
      <c r="L26" s="51"/>
      <c r="M26" s="103"/>
      <c r="N26" s="103"/>
      <c r="O26" s="103"/>
      <c r="P26" s="103"/>
      <c r="Q26" s="103"/>
      <c r="R26" s="103"/>
      <c r="S26" s="103"/>
      <c r="T26" s="103"/>
      <c r="U26" s="103"/>
      <c r="V26" s="103"/>
      <c r="W26" s="103"/>
      <c r="X26" s="103"/>
    </row>
    <row r="27" spans="1:24" ht="15.6">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668</v>
      </c>
      <c r="L27" s="98" t="s">
        <v>669</v>
      </c>
      <c r="M27" s="103"/>
      <c r="N27" s="103"/>
      <c r="O27" s="103"/>
      <c r="P27" s="103"/>
      <c r="Q27" s="103"/>
      <c r="R27" s="103"/>
      <c r="S27" s="103"/>
      <c r="T27" s="103"/>
      <c r="U27" s="103"/>
      <c r="V27" s="103"/>
      <c r="W27" s="103"/>
      <c r="X27" s="103"/>
    </row>
    <row r="28" spans="1:24" ht="43.1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1442</v>
      </c>
      <c r="L28" s="99" t="s">
        <v>1443</v>
      </c>
      <c r="M28" s="102" t="s">
        <v>1444</v>
      </c>
      <c r="N28" s="103"/>
      <c r="O28" s="103"/>
      <c r="P28" s="103"/>
      <c r="Q28" s="103"/>
      <c r="R28" s="103"/>
      <c r="S28" s="103"/>
      <c r="T28" s="103"/>
      <c r="U28" s="103"/>
      <c r="V28" s="103"/>
      <c r="W28" s="103"/>
      <c r="X28" s="103"/>
    </row>
    <row r="29" spans="1:24" ht="15.6">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3"/>
      <c r="N29" s="103"/>
      <c r="O29" s="103"/>
      <c r="P29" s="103"/>
      <c r="Q29" s="103"/>
      <c r="R29" s="103"/>
      <c r="S29" s="103"/>
      <c r="T29" s="103"/>
      <c r="U29" s="103"/>
      <c r="V29" s="103"/>
      <c r="W29" s="103"/>
      <c r="X29" s="103"/>
    </row>
    <row r="30" spans="1:24" ht="15.6">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3"/>
      <c r="N30" s="103"/>
      <c r="O30" s="103"/>
      <c r="P30" s="103"/>
      <c r="Q30" s="103"/>
      <c r="R30" s="103"/>
      <c r="S30" s="103"/>
      <c r="T30" s="103"/>
      <c r="U30" s="103"/>
      <c r="V30" s="103"/>
      <c r="W30" s="103"/>
      <c r="X30" s="103"/>
    </row>
    <row r="31" spans="1:24" ht="15.6">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3"/>
      <c r="N31" s="103"/>
      <c r="O31" s="103"/>
      <c r="P31" s="103"/>
      <c r="Q31" s="103"/>
      <c r="R31" s="103"/>
      <c r="S31" s="103"/>
      <c r="T31" s="103"/>
      <c r="U31" s="103"/>
      <c r="V31" s="103"/>
      <c r="W31" s="103"/>
      <c r="X31" s="103"/>
    </row>
    <row r="32" spans="1:24" ht="15.6">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3"/>
      <c r="N32" s="103"/>
      <c r="O32" s="103"/>
      <c r="P32" s="103"/>
      <c r="Q32" s="103"/>
      <c r="R32" s="103"/>
      <c r="S32" s="103"/>
      <c r="T32" s="103"/>
      <c r="U32" s="103"/>
      <c r="V32" s="103"/>
      <c r="W32" s="103"/>
      <c r="X32" s="103"/>
    </row>
    <row r="33" spans="1:24" ht="15.6">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3"/>
      <c r="N33" s="103"/>
      <c r="O33" s="103"/>
      <c r="P33" s="103"/>
      <c r="Q33" s="103"/>
      <c r="R33" s="103"/>
      <c r="S33" s="103"/>
      <c r="T33" s="103"/>
      <c r="U33" s="103"/>
      <c r="V33" s="103"/>
      <c r="W33" s="103"/>
      <c r="X33" s="103"/>
    </row>
    <row r="34" spans="1:24" ht="28.9">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1445</v>
      </c>
      <c r="L34" s="99" t="s">
        <v>1446</v>
      </c>
      <c r="M34" s="103"/>
      <c r="N34" s="103"/>
      <c r="O34" s="103"/>
      <c r="P34" s="103"/>
      <c r="Q34" s="103"/>
      <c r="R34" s="103"/>
      <c r="S34" s="103"/>
      <c r="T34" s="103"/>
      <c r="U34" s="103"/>
      <c r="V34" s="103"/>
      <c r="W34" s="103"/>
      <c r="X34" s="103"/>
    </row>
    <row r="35" spans="1:24" ht="28.9">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1447</v>
      </c>
      <c r="L35" s="98" t="s">
        <v>1448</v>
      </c>
      <c r="M35" s="103"/>
      <c r="N35" s="103"/>
      <c r="O35" s="103"/>
      <c r="P35" s="103"/>
      <c r="Q35" s="103"/>
      <c r="R35" s="103"/>
      <c r="S35" s="103"/>
      <c r="T35" s="103"/>
      <c r="U35" s="103"/>
      <c r="V35" s="103"/>
      <c r="W35" s="103"/>
      <c r="X35" s="103"/>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1196</v>
      </c>
      <c r="L36" s="51"/>
      <c r="M36" s="103"/>
      <c r="N36" s="103"/>
      <c r="O36" s="103"/>
      <c r="P36" s="103"/>
      <c r="Q36" s="103"/>
      <c r="R36" s="103"/>
      <c r="S36" s="103"/>
      <c r="T36" s="103"/>
      <c r="U36" s="103"/>
      <c r="V36" s="103"/>
      <c r="W36" s="103"/>
      <c r="X36" s="103"/>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1449</v>
      </c>
      <c r="L37" s="98" t="s">
        <v>1450</v>
      </c>
      <c r="M37" s="103"/>
      <c r="N37" s="103"/>
      <c r="O37" s="103"/>
      <c r="P37" s="103"/>
      <c r="Q37" s="103"/>
      <c r="R37" s="103"/>
      <c r="S37" s="103"/>
      <c r="T37" s="103"/>
      <c r="U37" s="103"/>
      <c r="V37" s="103"/>
      <c r="W37" s="103"/>
      <c r="X37" s="103"/>
    </row>
    <row r="38" spans="1:24" ht="28.9">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932</v>
      </c>
      <c r="L38" s="99" t="s">
        <v>677</v>
      </c>
      <c r="M38" s="103"/>
      <c r="N38" s="103"/>
      <c r="O38" s="103"/>
      <c r="P38" s="103"/>
      <c r="Q38" s="103"/>
      <c r="R38" s="103"/>
      <c r="S38" s="103"/>
      <c r="T38" s="103"/>
      <c r="U38" s="103"/>
      <c r="V38" s="103"/>
      <c r="W38" s="103"/>
      <c r="X38" s="103"/>
    </row>
    <row r="39" spans="1:24" ht="28.9">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1451</v>
      </c>
      <c r="L39" s="98" t="s">
        <v>1452</v>
      </c>
      <c r="M39" s="103"/>
      <c r="N39" s="103"/>
      <c r="O39" s="103"/>
      <c r="P39" s="103"/>
      <c r="Q39" s="103"/>
      <c r="R39" s="103"/>
      <c r="S39" s="103"/>
      <c r="T39" s="103"/>
      <c r="U39" s="103"/>
      <c r="V39" s="103"/>
      <c r="W39" s="103"/>
      <c r="X39" s="103"/>
    </row>
    <row r="40" spans="1:24" ht="28.9">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1453</v>
      </c>
      <c r="L40" s="99" t="s">
        <v>934</v>
      </c>
      <c r="M40" s="103"/>
      <c r="N40" s="103"/>
      <c r="O40" s="103"/>
      <c r="P40" s="103"/>
      <c r="Q40" s="103"/>
      <c r="R40" s="103"/>
      <c r="S40" s="103"/>
      <c r="T40" s="103"/>
      <c r="U40" s="103"/>
      <c r="V40" s="103"/>
      <c r="W40" s="103"/>
      <c r="X40" s="103"/>
    </row>
    <row r="41" spans="1:24" ht="15.6">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1454</v>
      </c>
      <c r="L41" s="53"/>
      <c r="M41" s="103"/>
      <c r="N41" s="103"/>
      <c r="O41" s="103"/>
      <c r="P41" s="103"/>
      <c r="Q41" s="103"/>
      <c r="R41" s="103"/>
      <c r="S41" s="103"/>
      <c r="T41" s="103"/>
      <c r="U41" s="103"/>
      <c r="V41" s="103"/>
      <c r="W41" s="103"/>
      <c r="X41" s="103"/>
    </row>
    <row r="42" spans="1:24" ht="43.1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1455</v>
      </c>
      <c r="L42" s="99" t="s">
        <v>1456</v>
      </c>
      <c r="M42" s="103"/>
      <c r="N42" s="103"/>
      <c r="O42" s="103"/>
      <c r="P42" s="103"/>
      <c r="Q42" s="103"/>
      <c r="R42" s="103"/>
      <c r="S42" s="103"/>
      <c r="T42" s="103"/>
      <c r="U42" s="103"/>
      <c r="V42" s="103"/>
      <c r="W42" s="103"/>
      <c r="X42" s="103"/>
    </row>
    <row r="43" spans="1:24" ht="43.15">
      <c r="A43" s="28" t="str">
        <v>Q490</v>
      </c>
      <c r="B43" s="25" t="str">
        <v>NY</v>
      </c>
      <c r="C43" s="25" t="str">
        <f>Sites[[#This Row],[SOL'#]]</f>
        <v>SOL-10411</v>
      </c>
      <c r="D43" s="20">
        <v>54376.138749999896</v>
      </c>
      <c r="E43" s="10" t="s">
        <v>661</v>
      </c>
      <c r="F43" s="10" t="str">
        <f t="shared" si="0"/>
        <v/>
      </c>
      <c r="G43" s="11" t="str">
        <f t="shared" si="1"/>
        <v/>
      </c>
      <c r="H43" s="12">
        <v>52505.61</v>
      </c>
      <c r="I43" s="12">
        <f t="shared" si="2"/>
        <v>1870.5287499998958</v>
      </c>
      <c r="J43" s="13">
        <f t="shared" si="3"/>
        <v>3.562531222853893E-2</v>
      </c>
      <c r="K43" s="53" t="s">
        <v>1205</v>
      </c>
      <c r="L43" s="98" t="s">
        <v>231</v>
      </c>
      <c r="M43" s="103"/>
      <c r="N43" s="103"/>
      <c r="O43" s="103"/>
      <c r="P43" s="103"/>
      <c r="Q43" s="103"/>
      <c r="R43" s="103"/>
      <c r="S43" s="103"/>
      <c r="T43" s="103"/>
      <c r="U43" s="103"/>
      <c r="V43" s="103"/>
      <c r="W43" s="103"/>
      <c r="X43" s="103"/>
    </row>
    <row r="44" spans="1:24" ht="15.6">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1457</v>
      </c>
      <c r="L44" s="99" t="s">
        <v>1458</v>
      </c>
      <c r="M44" s="103"/>
      <c r="N44" s="103"/>
      <c r="O44" s="103"/>
      <c r="P44" s="103"/>
      <c r="Q44" s="103"/>
      <c r="R44" s="103"/>
      <c r="S44" s="103"/>
      <c r="T44" s="103"/>
      <c r="U44" s="103"/>
      <c r="V44" s="103"/>
      <c r="W44" s="103"/>
      <c r="X44" s="103"/>
    </row>
    <row r="45" spans="1:24" ht="15.6">
      <c r="A45" s="28" t="str">
        <v>QMOA</v>
      </c>
      <c r="B45" s="25" t="str">
        <v>NY</v>
      </c>
      <c r="C45" s="25" t="str">
        <f>Sites[[#This Row],[SOL'#]]</f>
        <v>SOL-10415</v>
      </c>
      <c r="D45" s="20">
        <v>7003.7</v>
      </c>
      <c r="E45" s="10" t="s">
        <v>661</v>
      </c>
      <c r="F45" s="10" t="str">
        <f t="shared" si="0"/>
        <v/>
      </c>
      <c r="G45" s="11" t="str">
        <f t="shared" si="1"/>
        <v/>
      </c>
      <c r="H45" s="12">
        <v>7555.0460000000003</v>
      </c>
      <c r="I45" s="12">
        <f t="shared" si="2"/>
        <v>-551.34600000000046</v>
      </c>
      <c r="J45" s="13">
        <f t="shared" si="3"/>
        <v>-7.2977186373186925E-2</v>
      </c>
      <c r="K45" s="53"/>
      <c r="L45" s="53"/>
      <c r="M45" s="103"/>
      <c r="N45" s="103"/>
      <c r="O45" s="103"/>
      <c r="P45" s="103"/>
      <c r="Q45" s="103"/>
      <c r="R45" s="103"/>
      <c r="S45" s="103"/>
      <c r="T45" s="103"/>
      <c r="U45" s="103"/>
      <c r="V45" s="103"/>
      <c r="W45" s="103"/>
      <c r="X45" s="103"/>
    </row>
    <row r="46" spans="1:24" ht="15.6">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1459</v>
      </c>
      <c r="L46" s="99" t="s">
        <v>233</v>
      </c>
      <c r="M46" s="103"/>
      <c r="N46" s="103"/>
      <c r="O46" s="103"/>
      <c r="P46" s="103"/>
      <c r="Q46" s="103"/>
      <c r="R46" s="103"/>
      <c r="S46" s="103"/>
      <c r="T46" s="103"/>
      <c r="U46" s="103"/>
      <c r="V46" s="103"/>
      <c r="W46" s="103"/>
      <c r="X46" s="103"/>
    </row>
    <row r="47" spans="1:24" ht="15.6">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944</v>
      </c>
      <c r="L47" s="98" t="s">
        <v>690</v>
      </c>
      <c r="M47" s="103"/>
      <c r="N47" s="103"/>
      <c r="O47" s="103"/>
      <c r="P47" s="103"/>
      <c r="Q47" s="103"/>
      <c r="R47" s="103"/>
      <c r="S47" s="103"/>
      <c r="T47" s="103"/>
      <c r="U47" s="103"/>
      <c r="V47" s="103"/>
      <c r="W47" s="103"/>
      <c r="X47" s="103"/>
    </row>
    <row r="48" spans="1:24" ht="43.1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1460</v>
      </c>
      <c r="L48" s="99" t="s">
        <v>1461</v>
      </c>
      <c r="M48" s="102" t="s">
        <v>1462</v>
      </c>
      <c r="N48" s="103"/>
      <c r="O48" s="103"/>
      <c r="P48" s="103"/>
      <c r="Q48" s="103"/>
      <c r="R48" s="103"/>
      <c r="S48" s="103"/>
      <c r="T48" s="103"/>
      <c r="U48" s="103"/>
      <c r="V48" s="103"/>
      <c r="W48" s="103"/>
      <c r="X48" s="103"/>
    </row>
    <row r="49" spans="1:24" ht="15.6">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3"/>
      <c r="N49" s="103"/>
      <c r="O49" s="103"/>
      <c r="P49" s="103"/>
      <c r="Q49" s="103"/>
      <c r="R49" s="103"/>
      <c r="S49" s="103"/>
      <c r="T49" s="103"/>
      <c r="U49" s="103"/>
      <c r="V49" s="103"/>
      <c r="W49" s="103"/>
      <c r="X49" s="103"/>
    </row>
    <row r="50" spans="1:24" ht="15.6">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3"/>
      <c r="N50" s="103"/>
      <c r="O50" s="103"/>
      <c r="P50" s="103"/>
      <c r="Q50" s="103"/>
      <c r="R50" s="103"/>
      <c r="S50" s="103"/>
      <c r="T50" s="103"/>
      <c r="U50" s="103"/>
      <c r="V50" s="103"/>
      <c r="W50" s="103"/>
      <c r="X50" s="103"/>
    </row>
    <row r="51" spans="1:24" ht="15.6">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3"/>
      <c r="N51" s="103"/>
      <c r="O51" s="103"/>
      <c r="P51" s="103"/>
      <c r="Q51" s="103"/>
      <c r="R51" s="103"/>
      <c r="S51" s="103"/>
      <c r="T51" s="103"/>
      <c r="U51" s="103"/>
      <c r="V51" s="103"/>
      <c r="W51" s="103"/>
      <c r="X51" s="103"/>
    </row>
    <row r="52" spans="1:24" ht="15.6">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1463</v>
      </c>
      <c r="L52" s="99" t="s">
        <v>1464</v>
      </c>
      <c r="M52" s="103"/>
      <c r="N52" s="103"/>
      <c r="O52" s="103"/>
      <c r="P52" s="103"/>
      <c r="Q52" s="103"/>
      <c r="R52" s="103"/>
      <c r="S52" s="103"/>
      <c r="T52" s="103"/>
      <c r="U52" s="103"/>
      <c r="V52" s="103"/>
      <c r="W52" s="103"/>
      <c r="X52" s="103"/>
    </row>
    <row r="53" spans="1:24" ht="15.6">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3"/>
      <c r="N53" s="103"/>
      <c r="O53" s="103"/>
      <c r="P53" s="103"/>
      <c r="Q53" s="103"/>
      <c r="R53" s="103"/>
      <c r="S53" s="103"/>
      <c r="T53" s="103"/>
      <c r="U53" s="103"/>
      <c r="V53" s="103"/>
      <c r="W53" s="103"/>
      <c r="X53" s="103"/>
    </row>
    <row r="54" spans="1:24" ht="15.6">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3"/>
      <c r="N54" s="103"/>
      <c r="O54" s="103"/>
      <c r="P54" s="103"/>
      <c r="Q54" s="103"/>
      <c r="R54" s="103"/>
      <c r="S54" s="103"/>
      <c r="T54" s="103"/>
      <c r="U54" s="103"/>
      <c r="V54" s="103"/>
      <c r="W54" s="103"/>
      <c r="X54" s="103"/>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07"/>
      <c r="L55" s="53"/>
      <c r="M55" s="103"/>
      <c r="N55" s="103"/>
      <c r="O55" s="103"/>
      <c r="P55" s="103"/>
      <c r="Q55" s="103"/>
      <c r="R55" s="103"/>
      <c r="S55" s="103"/>
      <c r="T55" s="103"/>
      <c r="U55" s="103"/>
      <c r="V55" s="103"/>
      <c r="W55" s="103"/>
      <c r="X55" s="103"/>
    </row>
    <row r="56" spans="1:24" ht="100.9">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1465</v>
      </c>
      <c r="L56" s="99" t="s">
        <v>1466</v>
      </c>
      <c r="M56" s="102" t="s">
        <v>954</v>
      </c>
      <c r="N56" s="102" t="s">
        <v>1467</v>
      </c>
      <c r="O56" s="102" t="s">
        <v>1468</v>
      </c>
      <c r="P56" s="103"/>
      <c r="Q56" s="103"/>
      <c r="R56" s="103"/>
      <c r="S56" s="103"/>
      <c r="T56" s="103"/>
      <c r="U56" s="103"/>
      <c r="V56" s="103"/>
      <c r="W56" s="103"/>
      <c r="X56" s="103"/>
    </row>
    <row r="57" spans="1:24" ht="15.6">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1469</v>
      </c>
      <c r="L57" s="98" t="s">
        <v>1470</v>
      </c>
      <c r="M57" s="103"/>
      <c r="N57" s="103"/>
      <c r="O57" s="103"/>
      <c r="P57" s="103"/>
      <c r="Q57" s="103"/>
      <c r="R57" s="103"/>
      <c r="S57" s="103"/>
      <c r="T57" s="103"/>
      <c r="U57" s="103"/>
      <c r="V57" s="103"/>
      <c r="W57" s="103"/>
      <c r="X57" s="103"/>
    </row>
    <row r="58" spans="1:24" ht="69.75" customHeight="1">
      <c r="A58" s="26" t="str">
        <v>Boas Road 04</v>
      </c>
      <c r="B58" s="27" t="str">
        <v>NY</v>
      </c>
      <c r="C58" s="27" t="str">
        <f>Sites[[#This Row],[SOL'#]]</f>
        <v>SOL-10908</v>
      </c>
      <c r="D58" s="9">
        <v>0</v>
      </c>
      <c r="E58" s="14">
        <v>418297.2</v>
      </c>
      <c r="F58" s="14">
        <f t="shared" si="6"/>
        <v>-418297.2</v>
      </c>
      <c r="G58" s="14">
        <f t="shared" si="7"/>
        <v>-1</v>
      </c>
      <c r="H58" s="16">
        <v>421307.46</v>
      </c>
      <c r="I58" s="16">
        <f t="shared" si="4"/>
        <v>-421307.46</v>
      </c>
      <c r="J58" s="15">
        <f t="shared" si="5"/>
        <v>-1</v>
      </c>
      <c r="K58" s="131" t="s">
        <v>1471</v>
      </c>
      <c r="L58" s="99" t="s">
        <v>1472</v>
      </c>
      <c r="M58" s="102" t="s">
        <v>1225</v>
      </c>
      <c r="N58" s="102" t="s">
        <v>1473</v>
      </c>
      <c r="O58" s="103"/>
      <c r="P58" s="103"/>
      <c r="Q58" s="103"/>
      <c r="R58" s="103"/>
      <c r="S58" s="103"/>
      <c r="T58" s="103"/>
      <c r="U58" s="103"/>
      <c r="V58" s="103"/>
      <c r="W58" s="103"/>
      <c r="X58" s="103"/>
    </row>
    <row r="59" spans="1:24" ht="149.25" customHeight="1">
      <c r="A59" s="28" t="str">
        <v>Kelly Bridge Farm</v>
      </c>
      <c r="B59" s="25" t="str">
        <v>NY</v>
      </c>
      <c r="C59" s="25" t="str">
        <f>Sites[[#This Row],[SOL'#]]</f>
        <v>SOL-10911</v>
      </c>
      <c r="D59" s="20">
        <v>356939</v>
      </c>
      <c r="E59" s="10">
        <v>395735.4</v>
      </c>
      <c r="F59" s="10">
        <f t="shared" si="6"/>
        <v>-38796.400000000023</v>
      </c>
      <c r="G59" s="11">
        <f t="shared" si="7"/>
        <v>-9.8036213085814464E-2</v>
      </c>
      <c r="H59" s="12">
        <v>409604.48</v>
      </c>
      <c r="I59" s="12">
        <f t="shared" si="4"/>
        <v>-52665.479999999981</v>
      </c>
      <c r="J59" s="13">
        <f t="shared" si="5"/>
        <v>-0.12857642572659359</v>
      </c>
      <c r="K59" s="73" t="s">
        <v>1474</v>
      </c>
      <c r="L59" s="98" t="s">
        <v>1475</v>
      </c>
      <c r="M59" s="102" t="s">
        <v>1231</v>
      </c>
      <c r="N59" s="102" t="s">
        <v>1476</v>
      </c>
      <c r="O59" s="102" t="s">
        <v>1231</v>
      </c>
      <c r="P59" s="102" t="s">
        <v>1477</v>
      </c>
      <c r="Q59" s="103"/>
      <c r="R59" s="103"/>
      <c r="S59" s="103"/>
      <c r="T59" s="103"/>
      <c r="U59" s="103"/>
      <c r="V59" s="103"/>
      <c r="W59" s="103"/>
      <c r="X59" s="103"/>
    </row>
    <row r="60" spans="1:24" ht="43.15">
      <c r="A60" s="26" t="str">
        <v>Pool Brook Road</v>
      </c>
      <c r="B60" s="27" t="str">
        <v>NY</v>
      </c>
      <c r="C60" s="27" t="str">
        <f>Sites[[#This Row],[SOL'#]]</f>
        <v>SOL-10909</v>
      </c>
      <c r="D60" s="9">
        <v>304116</v>
      </c>
      <c r="E60" s="14">
        <v>391072.41</v>
      </c>
      <c r="F60" s="14">
        <f t="shared" si="6"/>
        <v>-86956.409999999974</v>
      </c>
      <c r="G60" s="15">
        <f t="shared" si="7"/>
        <v>-0.22235373239446879</v>
      </c>
      <c r="H60" s="16">
        <v>388129.3</v>
      </c>
      <c r="I60" s="16">
        <f t="shared" si="4"/>
        <v>-84013.299999999988</v>
      </c>
      <c r="J60" s="15">
        <f t="shared" si="5"/>
        <v>-0.21645698997730908</v>
      </c>
      <c r="K60" s="51" t="s">
        <v>1478</v>
      </c>
      <c r="L60" s="99" t="s">
        <v>1479</v>
      </c>
      <c r="M60" s="102" t="s">
        <v>1480</v>
      </c>
      <c r="N60" s="103"/>
      <c r="O60" s="103"/>
      <c r="P60" s="103"/>
      <c r="Q60" s="103"/>
      <c r="R60" s="103"/>
      <c r="S60" s="103"/>
      <c r="T60" s="103"/>
      <c r="U60" s="103"/>
      <c r="V60" s="103"/>
      <c r="W60" s="103"/>
      <c r="X60" s="103"/>
    </row>
    <row r="61" spans="1:24" ht="28.9">
      <c r="A61" s="28" t="str">
        <v>Sackett Lake</v>
      </c>
      <c r="B61" s="25" t="str">
        <v>NY</v>
      </c>
      <c r="C61" s="25" t="str">
        <f>Sites[[#This Row],[SOL'#]]</f>
        <v>SOL-10910</v>
      </c>
      <c r="D61" s="20">
        <v>372255</v>
      </c>
      <c r="E61" s="10">
        <v>182350.26</v>
      </c>
      <c r="F61" s="10">
        <f t="shared" si="6"/>
        <v>189904.74</v>
      </c>
      <c r="G61" s="11">
        <f t="shared" si="7"/>
        <v>1.0414284026795464</v>
      </c>
      <c r="H61" s="12">
        <v>401920.7</v>
      </c>
      <c r="I61" s="12">
        <f t="shared" si="4"/>
        <v>-29665.700000000012</v>
      </c>
      <c r="J61" s="13">
        <f t="shared" si="5"/>
        <v>-7.3809833631360636E-2</v>
      </c>
      <c r="K61" s="53" t="s">
        <v>1481</v>
      </c>
      <c r="L61" s="98" t="s">
        <v>1482</v>
      </c>
      <c r="M61" s="103"/>
      <c r="N61" s="103"/>
      <c r="O61" s="103"/>
      <c r="P61" s="103"/>
      <c r="Q61" s="103"/>
      <c r="R61" s="103"/>
      <c r="S61" s="103"/>
      <c r="T61" s="103"/>
      <c r="U61" s="103"/>
      <c r="V61" s="103"/>
      <c r="W61" s="103"/>
      <c r="X61" s="103"/>
    </row>
    <row r="62" spans="1:24" ht="15.6">
      <c r="A62" s="26" t="str">
        <v>Burritt Road</v>
      </c>
      <c r="B62" s="27" t="str">
        <v>NY</v>
      </c>
      <c r="C62" s="27" t="str">
        <f>Sites[[#This Row],[SOL'#]]</f>
        <v>SOL-10913</v>
      </c>
      <c r="D62" s="9">
        <v>439000</v>
      </c>
      <c r="E62" s="14">
        <v>460347.77</v>
      </c>
      <c r="F62" s="14">
        <f t="shared" si="6"/>
        <v>-21347.770000000019</v>
      </c>
      <c r="G62" s="15">
        <f t="shared" si="7"/>
        <v>-4.6373136552828348E-2</v>
      </c>
      <c r="H62" s="16">
        <v>411700.36</v>
      </c>
      <c r="I62" s="16">
        <f t="shared" si="4"/>
        <v>27299.640000000014</v>
      </c>
      <c r="J62" s="15">
        <f t="shared" si="5"/>
        <v>6.6309487803216924E-2</v>
      </c>
      <c r="K62" s="51"/>
      <c r="L62" s="51"/>
      <c r="M62" s="103"/>
      <c r="N62" s="103"/>
      <c r="O62" s="103"/>
      <c r="P62" s="103"/>
      <c r="Q62" s="103"/>
      <c r="R62" s="103"/>
      <c r="S62" s="103"/>
      <c r="T62" s="103"/>
      <c r="U62" s="103"/>
      <c r="V62" s="103"/>
      <c r="W62" s="103"/>
      <c r="X62" s="103"/>
    </row>
    <row r="63" spans="1:24" ht="28.9">
      <c r="A63" s="28" t="str">
        <v>Villa Roma 1</v>
      </c>
      <c r="B63" s="25" t="str">
        <v>NY</v>
      </c>
      <c r="C63" s="25" t="str">
        <f>Sites[[#This Row],[SOL'#]]</f>
        <v>SOL-10914</v>
      </c>
      <c r="D63" s="20">
        <v>338515</v>
      </c>
      <c r="E63" s="10">
        <v>3881.75</v>
      </c>
      <c r="F63" s="10">
        <f t="shared" si="6"/>
        <v>334633.25</v>
      </c>
      <c r="G63" s="11">
        <f t="shared" si="7"/>
        <v>86.206801056224634</v>
      </c>
      <c r="H63" s="12">
        <v>360546.51</v>
      </c>
      <c r="I63" s="12">
        <f t="shared" si="4"/>
        <v>-22031.510000000009</v>
      </c>
      <c r="J63" s="13">
        <f t="shared" si="5"/>
        <v>-6.1105875078363701E-2</v>
      </c>
      <c r="K63" s="53" t="s">
        <v>967</v>
      </c>
      <c r="L63" s="98" t="s">
        <v>968</v>
      </c>
      <c r="M63" s="103"/>
      <c r="N63" s="103"/>
      <c r="O63" s="103"/>
      <c r="P63" s="103"/>
      <c r="Q63" s="103"/>
      <c r="R63" s="103"/>
      <c r="S63" s="103"/>
      <c r="T63" s="103"/>
      <c r="U63" s="103"/>
      <c r="V63" s="103"/>
      <c r="W63" s="103"/>
      <c r="X63" s="103"/>
    </row>
    <row r="64" spans="1:24" ht="15.6">
      <c r="A64" s="26" t="str">
        <v>Villa Roma 2</v>
      </c>
      <c r="B64" s="27" t="str">
        <v>NY</v>
      </c>
      <c r="C64" s="27" t="str">
        <f>Sites[[#This Row],[SOL'#]]</f>
        <v>SOL-10915</v>
      </c>
      <c r="D64" s="9">
        <v>327962</v>
      </c>
      <c r="E64" s="14">
        <v>355213.51</v>
      </c>
      <c r="F64" s="14">
        <f t="shared" si="6"/>
        <v>-27251.510000000009</v>
      </c>
      <c r="G64" s="15">
        <f t="shared" si="7"/>
        <v>-7.6718675480558177E-2</v>
      </c>
      <c r="H64" s="16">
        <v>349710.41</v>
      </c>
      <c r="I64" s="16">
        <f t="shared" si="4"/>
        <v>-21748.409999999974</v>
      </c>
      <c r="J64" s="15">
        <f t="shared" si="5"/>
        <v>-6.2189770101496192E-2</v>
      </c>
      <c r="K64" s="51"/>
      <c r="L64" s="51"/>
      <c r="M64" s="103"/>
      <c r="N64" s="103"/>
      <c r="O64" s="103"/>
      <c r="P64" s="103"/>
      <c r="Q64" s="103"/>
      <c r="R64" s="103"/>
      <c r="S64" s="103"/>
      <c r="T64" s="103"/>
      <c r="U64" s="103"/>
      <c r="V64" s="103"/>
      <c r="W64" s="103"/>
      <c r="X64" s="103"/>
    </row>
    <row r="65" spans="1:29" ht="28.9">
      <c r="A65" s="28" t="str">
        <v>Washington 1</v>
      </c>
      <c r="B65" s="25" t="str">
        <v>NY</v>
      </c>
      <c r="C65" s="25" t="str">
        <f>Sites[[#This Row],[SOL'#]]</f>
        <v>SOL-10912</v>
      </c>
      <c r="D65" s="20">
        <v>414100</v>
      </c>
      <c r="E65" s="10">
        <v>455057.17</v>
      </c>
      <c r="F65" s="10">
        <f t="shared" si="6"/>
        <v>-40957.169999999984</v>
      </c>
      <c r="G65" s="11">
        <f t="shared" si="7"/>
        <v>-9.000444933105875E-2</v>
      </c>
      <c r="H65" s="12">
        <v>406846.2</v>
      </c>
      <c r="I65" s="12">
        <f t="shared" si="4"/>
        <v>7253.7999999999884</v>
      </c>
      <c r="J65" s="13">
        <f t="shared" si="5"/>
        <v>1.7829341898732219E-2</v>
      </c>
      <c r="K65" s="53" t="s">
        <v>1483</v>
      </c>
      <c r="L65" s="98" t="s">
        <v>1239</v>
      </c>
      <c r="M65" s="103"/>
      <c r="N65" s="103"/>
      <c r="O65" s="103"/>
      <c r="P65" s="103"/>
      <c r="Q65" s="103"/>
      <c r="R65" s="103"/>
      <c r="S65" s="103"/>
      <c r="T65" s="103"/>
      <c r="U65" s="103"/>
      <c r="V65" s="103"/>
      <c r="W65" s="103"/>
      <c r="X65" s="103"/>
    </row>
    <row r="66" spans="1:29" ht="86.45">
      <c r="A66" s="26" t="str">
        <v>Washington 3</v>
      </c>
      <c r="B66" s="27" t="str">
        <v>NY</v>
      </c>
      <c r="C66" s="27" t="str">
        <f>Sites[[#This Row],[SOL'#]]</f>
        <v>SOL-10828</v>
      </c>
      <c r="D66" s="9">
        <v>468035</v>
      </c>
      <c r="E66" s="14">
        <v>1177020.71</v>
      </c>
      <c r="F66" s="14">
        <f t="shared" si="6"/>
        <v>-708985.71</v>
      </c>
      <c r="G66" s="15">
        <f t="shared" si="7"/>
        <v>-0.60235618963747883</v>
      </c>
      <c r="H66" s="16">
        <v>497085.28</v>
      </c>
      <c r="I66" s="16">
        <f t="shared" si="4"/>
        <v>-29050.280000000028</v>
      </c>
      <c r="J66" s="15">
        <f t="shared" si="5"/>
        <v>-5.8441239700358916E-2</v>
      </c>
      <c r="K66" s="51" t="s">
        <v>1484</v>
      </c>
      <c r="L66" s="99" t="s">
        <v>1485</v>
      </c>
      <c r="M66" s="102" t="s">
        <v>719</v>
      </c>
      <c r="N66" s="103"/>
      <c r="O66" s="103"/>
      <c r="P66" s="103"/>
      <c r="Q66" s="103"/>
      <c r="R66" s="103"/>
      <c r="S66" s="103"/>
      <c r="T66" s="103"/>
      <c r="U66" s="103"/>
      <c r="V66" s="103"/>
      <c r="W66" s="103"/>
      <c r="X66" s="103"/>
    </row>
    <row r="67" spans="1:29" ht="15.6">
      <c r="A67" s="28" t="str">
        <v>Washington 4</v>
      </c>
      <c r="B67" s="25" t="str">
        <v>NY</v>
      </c>
      <c r="C67" s="25" t="str">
        <f>Sites[[#This Row],[SOL'#]]</f>
        <v>SOL-10829</v>
      </c>
      <c r="D67" s="20">
        <v>512454</v>
      </c>
      <c r="E67" s="10">
        <v>540275.93000000005</v>
      </c>
      <c r="F67" s="10">
        <f t="shared" si="6"/>
        <v>-27821.930000000051</v>
      </c>
      <c r="G67" s="11">
        <f t="shared" si="7"/>
        <v>-5.1495779203045468E-2</v>
      </c>
      <c r="H67" s="12">
        <v>498240.8</v>
      </c>
      <c r="I67" s="12">
        <f t="shared" si="4"/>
        <v>14213.200000000012</v>
      </c>
      <c r="J67" s="13">
        <f t="shared" si="5"/>
        <v>2.8526768582580977E-2</v>
      </c>
      <c r="K67" s="53"/>
      <c r="L67" s="53"/>
      <c r="M67" s="103"/>
      <c r="N67" s="103"/>
      <c r="O67" s="103"/>
      <c r="P67" s="103"/>
      <c r="Q67" s="103"/>
      <c r="R67" s="103"/>
      <c r="S67" s="103"/>
      <c r="T67" s="103"/>
      <c r="U67" s="103"/>
      <c r="V67" s="103"/>
      <c r="W67" s="103"/>
      <c r="X67" s="103"/>
    </row>
    <row r="68" spans="1:29" ht="28.9">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1486</v>
      </c>
      <c r="L68" s="99" t="s">
        <v>1487</v>
      </c>
      <c r="M68" s="103"/>
      <c r="N68" s="103"/>
      <c r="O68" s="103"/>
      <c r="P68" s="103"/>
      <c r="Q68" s="103"/>
      <c r="R68" s="103"/>
      <c r="S68" s="103"/>
      <c r="T68" s="103"/>
      <c r="U68" s="103"/>
      <c r="V68" s="103"/>
      <c r="W68" s="103"/>
      <c r="X68" s="103"/>
    </row>
    <row r="69" spans="1:29" ht="72">
      <c r="A69" s="28" t="str">
        <v>Canoga</v>
      </c>
      <c r="B69" s="25" t="str">
        <v>NY</v>
      </c>
      <c r="C69" s="25" t="str">
        <f>Sites[[#This Row],[SOL'#]]</f>
        <v>SOL-10965</v>
      </c>
      <c r="D69" s="20">
        <v>564710</v>
      </c>
      <c r="E69" s="10" t="s">
        <v>661</v>
      </c>
      <c r="F69" s="10" t="str">
        <f t="shared" si="6"/>
        <v/>
      </c>
      <c r="G69" s="11" t="str">
        <f t="shared" si="7"/>
        <v/>
      </c>
      <c r="H69" s="12">
        <v>0</v>
      </c>
      <c r="I69" s="12">
        <f t="shared" si="4"/>
        <v>564710</v>
      </c>
      <c r="J69" s="13" t="str">
        <f t="shared" si="5"/>
        <v/>
      </c>
      <c r="K69" s="53" t="s">
        <v>1488</v>
      </c>
      <c r="L69" s="98" t="s">
        <v>1489</v>
      </c>
      <c r="M69" s="102" t="s">
        <v>1490</v>
      </c>
      <c r="N69" s="103"/>
      <c r="O69" s="103"/>
      <c r="P69" s="103"/>
      <c r="Q69" s="103"/>
      <c r="R69" s="103"/>
      <c r="S69" s="103"/>
      <c r="T69" s="103"/>
      <c r="U69" s="103"/>
      <c r="V69" s="103"/>
      <c r="W69" s="103"/>
      <c r="X69" s="103"/>
    </row>
    <row r="70" spans="1:29" ht="86.4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1491</v>
      </c>
      <c r="L70" s="99" t="s">
        <v>1492</v>
      </c>
      <c r="M70" s="102" t="s">
        <v>1493</v>
      </c>
      <c r="N70" s="103"/>
      <c r="O70" s="103"/>
      <c r="P70" s="103"/>
      <c r="Q70" s="103"/>
      <c r="R70" s="103"/>
      <c r="S70" s="103"/>
      <c r="T70" s="103"/>
      <c r="U70" s="103"/>
      <c r="V70" s="103"/>
      <c r="W70" s="103"/>
      <c r="X70" s="103"/>
    </row>
    <row r="71" spans="1:29" ht="57.6">
      <c r="A71" s="28" t="str">
        <v>Donati</v>
      </c>
      <c r="B71" s="25" t="str">
        <v>NY</v>
      </c>
      <c r="C71" s="25" t="str">
        <f>Sites[[#This Row],[SOL'#]]</f>
        <v>SOL-10968</v>
      </c>
      <c r="D71" s="20">
        <v>547550</v>
      </c>
      <c r="E71" s="10" t="s">
        <v>661</v>
      </c>
      <c r="F71" s="10" t="str">
        <f t="shared" si="6"/>
        <v/>
      </c>
      <c r="G71" s="11" t="str">
        <f t="shared" si="7"/>
        <v/>
      </c>
      <c r="H71" s="12">
        <v>545503.25</v>
      </c>
      <c r="I71" s="12">
        <f t="shared" si="4"/>
        <v>2046.75</v>
      </c>
      <c r="J71" s="13">
        <f t="shared" si="5"/>
        <v>3.7520399740973128E-3</v>
      </c>
      <c r="K71" s="53" t="s">
        <v>1252</v>
      </c>
      <c r="L71" s="98" t="s">
        <v>1253</v>
      </c>
      <c r="M71" s="102" t="s">
        <v>83</v>
      </c>
      <c r="N71" s="102" t="s">
        <v>728</v>
      </c>
      <c r="O71" s="103"/>
      <c r="P71" s="103"/>
      <c r="Q71" s="103"/>
      <c r="R71" s="103"/>
      <c r="S71" s="103"/>
      <c r="T71" s="103"/>
      <c r="U71" s="103"/>
      <c r="V71" s="103"/>
      <c r="W71" s="103"/>
      <c r="X71" s="103"/>
    </row>
    <row r="72" spans="1:29" ht="15.6">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3"/>
      <c r="N72" s="103"/>
      <c r="O72" s="103"/>
      <c r="P72" s="103"/>
      <c r="Q72" s="103"/>
      <c r="R72" s="103"/>
      <c r="S72" s="103"/>
      <c r="T72" s="103"/>
      <c r="U72" s="103"/>
      <c r="V72" s="103"/>
      <c r="W72" s="103"/>
      <c r="X72" s="103"/>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1494</v>
      </c>
      <c r="L73" s="98" t="s">
        <v>1495</v>
      </c>
      <c r="M73" s="103"/>
      <c r="N73" s="103"/>
      <c r="O73" s="103"/>
      <c r="P73" s="103"/>
      <c r="Q73" s="103"/>
      <c r="R73" s="103"/>
      <c r="S73" s="103"/>
      <c r="T73" s="103"/>
      <c r="U73" s="103"/>
      <c r="V73" s="103"/>
      <c r="W73" s="103"/>
      <c r="X73" s="103"/>
    </row>
    <row r="74" spans="1:29" ht="388.9">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1496</v>
      </c>
      <c r="L74" s="99" t="s">
        <v>1497</v>
      </c>
      <c r="M74" s="102" t="s">
        <v>1262</v>
      </c>
      <c r="N74" s="102" t="s">
        <v>1258</v>
      </c>
      <c r="O74" s="102" t="s">
        <v>1259</v>
      </c>
      <c r="P74" s="102" t="s">
        <v>1498</v>
      </c>
      <c r="Q74" s="102" t="s">
        <v>1259</v>
      </c>
      <c r="R74" s="102" t="s">
        <v>1260</v>
      </c>
      <c r="S74" s="102" t="s">
        <v>1499</v>
      </c>
      <c r="T74" s="102" t="s">
        <v>1262</v>
      </c>
      <c r="U74" s="102" t="s">
        <v>1263</v>
      </c>
      <c r="V74" s="102" t="s">
        <v>1499</v>
      </c>
      <c r="W74" s="102" t="s">
        <v>1500</v>
      </c>
      <c r="X74" s="102" t="s">
        <v>1501</v>
      </c>
      <c r="Y74" s="111" t="s">
        <v>1502</v>
      </c>
      <c r="Z74" s="111" t="s">
        <v>1503</v>
      </c>
      <c r="AA74" s="111" t="s">
        <v>1504</v>
      </c>
      <c r="AB74" s="111" t="s">
        <v>1505</v>
      </c>
      <c r="AC74" s="111" t="s">
        <v>1506</v>
      </c>
    </row>
    <row r="75" spans="1:29" ht="15.6">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3"/>
      <c r="N75" s="103"/>
      <c r="O75" s="103"/>
      <c r="P75" s="103"/>
      <c r="Q75" s="103"/>
      <c r="R75" s="103"/>
      <c r="S75" s="103"/>
      <c r="T75" s="103"/>
      <c r="U75" s="103"/>
      <c r="V75" s="103"/>
      <c r="W75" s="103"/>
      <c r="X75" s="103"/>
    </row>
    <row r="76" spans="1:29" ht="57.6">
      <c r="A76" s="26" t="str">
        <v>State Highway 17B</v>
      </c>
      <c r="B76" s="27" t="str">
        <v>NY</v>
      </c>
      <c r="C76" s="27" t="str">
        <f>Sites[[#This Row],[SOL'#]]</f>
        <v>SOL-10988</v>
      </c>
      <c r="D76" s="9">
        <v>844420</v>
      </c>
      <c r="E76" s="14">
        <v>841370</v>
      </c>
      <c r="F76" s="14">
        <f t="shared" si="6"/>
        <v>3050</v>
      </c>
      <c r="G76" s="15">
        <f t="shared" si="7"/>
        <v>3.6250401131487932E-3</v>
      </c>
      <c r="H76" s="133" t="s">
        <v>941</v>
      </c>
      <c r="I76" s="16" t="str">
        <f t="shared" si="4"/>
        <v/>
      </c>
      <c r="J76" s="15" t="str">
        <f t="shared" si="5"/>
        <v/>
      </c>
      <c r="K76" s="51" t="s">
        <v>1507</v>
      </c>
      <c r="L76" s="99" t="s">
        <v>1508</v>
      </c>
      <c r="M76" s="102" t="s">
        <v>1509</v>
      </c>
      <c r="N76" s="103"/>
      <c r="O76" s="103"/>
      <c r="P76" s="103"/>
      <c r="Q76" s="103"/>
      <c r="R76" s="103"/>
      <c r="S76" s="103"/>
      <c r="T76" s="103"/>
      <c r="U76" s="103"/>
      <c r="V76" s="103"/>
      <c r="W76" s="103"/>
      <c r="X76" s="103"/>
    </row>
    <row r="77" spans="1:29" ht="86.45">
      <c r="A77" s="28" t="str">
        <v>State Route 14A</v>
      </c>
      <c r="B77" s="25" t="str">
        <v>NY</v>
      </c>
      <c r="C77" s="25" t="str">
        <f>Sites[[#This Row],[SOL'#]]</f>
        <v>SOL-10997</v>
      </c>
      <c r="D77" s="20">
        <v>0</v>
      </c>
      <c r="E77" s="10" t="s">
        <v>661</v>
      </c>
      <c r="F77" s="10" t="str">
        <f t="shared" si="6"/>
        <v/>
      </c>
      <c r="G77" s="11" t="str">
        <f t="shared" si="7"/>
        <v/>
      </c>
      <c r="H77" s="12">
        <v>1023871.6</v>
      </c>
      <c r="I77" s="12">
        <f t="shared" si="4"/>
        <v>-1023871.6</v>
      </c>
      <c r="J77" s="13">
        <f t="shared" si="5"/>
        <v>-1</v>
      </c>
      <c r="K77" s="53" t="s">
        <v>1510</v>
      </c>
      <c r="L77" s="98" t="s">
        <v>1511</v>
      </c>
      <c r="M77" s="102" t="s">
        <v>1273</v>
      </c>
      <c r="N77" s="102" t="s">
        <v>1512</v>
      </c>
      <c r="O77" s="103"/>
      <c r="P77" s="103"/>
      <c r="Q77" s="103"/>
      <c r="R77" s="103"/>
      <c r="S77" s="103"/>
      <c r="T77" s="103"/>
      <c r="U77" s="103"/>
      <c r="V77" s="103"/>
      <c r="W77" s="103"/>
      <c r="X77" s="103"/>
    </row>
    <row r="78" spans="1:29" ht="28.9">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1513</v>
      </c>
      <c r="L78" s="99" t="s">
        <v>1514</v>
      </c>
      <c r="M78" s="103"/>
      <c r="N78" s="103"/>
      <c r="O78" s="103"/>
      <c r="P78" s="103"/>
      <c r="Q78" s="103"/>
      <c r="R78" s="103"/>
      <c r="S78" s="103"/>
      <c r="T78" s="103"/>
      <c r="U78" s="103"/>
      <c r="V78" s="103"/>
      <c r="W78" s="103"/>
      <c r="X78" s="103"/>
    </row>
    <row r="79" spans="1:29" ht="86.4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1515</v>
      </c>
      <c r="L79" s="98" t="s">
        <v>1516</v>
      </c>
      <c r="M79" s="103"/>
      <c r="N79" s="103"/>
      <c r="O79" s="103"/>
      <c r="P79" s="103"/>
      <c r="Q79" s="103"/>
      <c r="R79" s="103"/>
      <c r="S79" s="103"/>
      <c r="T79" s="103"/>
      <c r="U79" s="103"/>
      <c r="V79" s="103"/>
      <c r="W79" s="103"/>
      <c r="X79" s="103"/>
    </row>
    <row r="80" spans="1:29" ht="28.9">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1517</v>
      </c>
      <c r="L80" s="99" t="s">
        <v>1518</v>
      </c>
      <c r="M80" s="102" t="s">
        <v>1519</v>
      </c>
      <c r="N80" s="103"/>
      <c r="O80" s="103"/>
      <c r="P80" s="103"/>
      <c r="Q80" s="103"/>
      <c r="R80" s="103"/>
      <c r="S80" s="103"/>
      <c r="T80" s="103"/>
      <c r="U80" s="103"/>
      <c r="V80" s="103"/>
      <c r="W80" s="103"/>
      <c r="X80" s="103"/>
    </row>
    <row r="81" spans="1:24" ht="43.1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1520</v>
      </c>
      <c r="L81" s="98" t="s">
        <v>1521</v>
      </c>
      <c r="M81" s="103"/>
      <c r="N81" s="103"/>
      <c r="O81" s="103"/>
      <c r="P81" s="103"/>
      <c r="Q81" s="103"/>
      <c r="R81" s="103"/>
      <c r="S81" s="103"/>
      <c r="T81" s="103"/>
      <c r="U81" s="103"/>
      <c r="V81" s="103"/>
      <c r="W81" s="103"/>
      <c r="X81" s="103"/>
    </row>
    <row r="82" spans="1:24" ht="28.9">
      <c r="A82" s="26" t="str">
        <v>Telegraph 1</v>
      </c>
      <c r="B82" s="27" t="str">
        <v>NY</v>
      </c>
      <c r="C82" s="27" t="str">
        <f>Sites[[#This Row],[SOL'#]]</f>
        <v>SOL-11003</v>
      </c>
      <c r="D82" s="9">
        <v>758150</v>
      </c>
      <c r="E82" s="14" t="s">
        <v>661</v>
      </c>
      <c r="F82" s="14" t="str">
        <f t="shared" si="6"/>
        <v/>
      </c>
      <c r="G82" s="15" t="str">
        <f t="shared" si="7"/>
        <v/>
      </c>
      <c r="H82" s="16">
        <v>748051.86</v>
      </c>
      <c r="I82" s="16">
        <f t="shared" si="4"/>
        <v>10098.140000000014</v>
      </c>
      <c r="J82" s="15">
        <f t="shared" si="5"/>
        <v>1.3499251241752162E-2</v>
      </c>
      <c r="K82" s="70" t="s">
        <v>1522</v>
      </c>
      <c r="L82" s="99" t="s">
        <v>1523</v>
      </c>
      <c r="M82" s="103"/>
      <c r="N82" s="103"/>
      <c r="O82" s="103"/>
      <c r="P82" s="103"/>
      <c r="Q82" s="103"/>
      <c r="R82" s="103"/>
      <c r="S82" s="103"/>
      <c r="T82" s="103"/>
      <c r="U82" s="103"/>
      <c r="V82" s="103"/>
      <c r="W82" s="103"/>
      <c r="X82" s="103"/>
    </row>
    <row r="83" spans="1:24" ht="28.9">
      <c r="A83" s="28" t="str">
        <v>Telegraph 2</v>
      </c>
      <c r="B83" s="25" t="str">
        <v>NY</v>
      </c>
      <c r="C83" s="25" t="str">
        <f>Sites[[#This Row],[SOL'#]]</f>
        <v>SOL-11004</v>
      </c>
      <c r="D83" s="20">
        <v>399640</v>
      </c>
      <c r="E83" s="10" t="s">
        <v>661</v>
      </c>
      <c r="F83" s="10" t="str">
        <f t="shared" si="6"/>
        <v/>
      </c>
      <c r="G83" s="11" t="str">
        <f t="shared" si="7"/>
        <v/>
      </c>
      <c r="H83" s="12">
        <v>390141.68</v>
      </c>
      <c r="I83" s="12">
        <f t="shared" si="4"/>
        <v>9498.320000000007</v>
      </c>
      <c r="J83" s="13">
        <f t="shared" si="5"/>
        <v>2.4345822266413596E-2</v>
      </c>
      <c r="K83" s="53" t="s">
        <v>1524</v>
      </c>
      <c r="L83" s="98" t="s">
        <v>1525</v>
      </c>
      <c r="M83" s="103"/>
      <c r="N83" s="103"/>
      <c r="O83" s="103"/>
      <c r="P83" s="103"/>
      <c r="Q83" s="103"/>
      <c r="R83" s="103"/>
      <c r="S83" s="103"/>
      <c r="T83" s="103"/>
      <c r="U83" s="103"/>
      <c r="V83" s="103"/>
      <c r="W83" s="103"/>
      <c r="X83" s="103"/>
    </row>
    <row r="84" spans="1:24" ht="15.6">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1526</v>
      </c>
      <c r="L84" s="99" t="s">
        <v>1527</v>
      </c>
      <c r="M84" s="103"/>
      <c r="N84" s="103"/>
      <c r="O84" s="103"/>
      <c r="P84" s="103"/>
      <c r="Q84" s="103"/>
      <c r="R84" s="103"/>
      <c r="S84" s="103"/>
      <c r="T84" s="103"/>
      <c r="U84" s="103"/>
      <c r="V84" s="103"/>
      <c r="W84" s="103"/>
      <c r="X84" s="103"/>
    </row>
    <row r="85" spans="1:24" ht="57.6">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1281</v>
      </c>
      <c r="L85" s="98" t="s">
        <v>1528</v>
      </c>
      <c r="M85" s="103"/>
      <c r="N85" s="103"/>
      <c r="O85" s="103"/>
      <c r="P85" s="103"/>
      <c r="Q85" s="103"/>
      <c r="R85" s="103"/>
      <c r="S85" s="103"/>
      <c r="T85" s="103"/>
      <c r="U85" s="103"/>
      <c r="V85" s="103"/>
      <c r="W85" s="103"/>
      <c r="X85" s="103"/>
    </row>
    <row r="86" spans="1:24" ht="15.6">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06" t="s">
        <v>1529</v>
      </c>
      <c r="L86" s="99" t="s">
        <v>1530</v>
      </c>
      <c r="M86" s="103"/>
      <c r="N86" s="103"/>
      <c r="O86" s="103"/>
      <c r="P86" s="103"/>
      <c r="Q86" s="103"/>
      <c r="R86" s="103"/>
      <c r="S86" s="103"/>
      <c r="T86" s="103"/>
      <c r="U86" s="103"/>
      <c r="V86" s="103"/>
      <c r="W86" s="103"/>
      <c r="X86" s="103"/>
    </row>
    <row r="87" spans="1:24" ht="15.6">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1531</v>
      </c>
      <c r="L87" s="98" t="s">
        <v>1532</v>
      </c>
      <c r="M87" s="103"/>
      <c r="N87" s="103"/>
      <c r="O87" s="103"/>
      <c r="P87" s="103"/>
      <c r="Q87" s="103"/>
      <c r="R87" s="103"/>
      <c r="S87" s="103"/>
      <c r="T87" s="103"/>
      <c r="U87" s="103"/>
      <c r="V87" s="103"/>
      <c r="W87" s="103"/>
      <c r="X87" s="103"/>
    </row>
    <row r="88" spans="1:24" ht="15.6">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3"/>
      <c r="N88" s="103"/>
      <c r="O88" s="103"/>
      <c r="P88" s="103"/>
      <c r="Q88" s="103"/>
      <c r="R88" s="103"/>
      <c r="S88" s="103"/>
      <c r="T88" s="103"/>
      <c r="U88" s="103"/>
      <c r="V88" s="103"/>
      <c r="W88" s="103"/>
      <c r="X88" s="103"/>
    </row>
    <row r="89" spans="1:24" ht="15.6">
      <c r="A89" s="28" t="str">
        <v>Yellow Mills 2</v>
      </c>
      <c r="B89" s="25" t="str">
        <v>NY</v>
      </c>
      <c r="C89" s="25" t="str">
        <f>Sites[[#This Row],[SOL'#]]</f>
        <v>SOL-11005</v>
      </c>
      <c r="D89" s="20">
        <v>452895</v>
      </c>
      <c r="E89" s="10" t="s">
        <v>661</v>
      </c>
      <c r="F89" s="10" t="str">
        <f t="shared" si="6"/>
        <v/>
      </c>
      <c r="G89" s="11" t="str">
        <f t="shared" si="7"/>
        <v/>
      </c>
      <c r="H89" s="12">
        <v>450519.38</v>
      </c>
      <c r="I89" s="12">
        <f t="shared" si="4"/>
        <v>2375.6199999999953</v>
      </c>
      <c r="J89" s="13">
        <f t="shared" si="5"/>
        <v>5.2730694959226736E-3</v>
      </c>
      <c r="K89" s="53"/>
      <c r="L89" s="53"/>
      <c r="M89" s="103"/>
      <c r="N89" s="103"/>
      <c r="O89" s="103"/>
      <c r="P89" s="103"/>
      <c r="Q89" s="103"/>
      <c r="R89" s="103"/>
      <c r="S89" s="103"/>
      <c r="T89" s="103"/>
      <c r="U89" s="103"/>
      <c r="V89" s="103"/>
      <c r="W89" s="103"/>
      <c r="X89" s="103"/>
    </row>
    <row r="90" spans="1:24" ht="15.6">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3"/>
      <c r="N90" s="103"/>
      <c r="O90" s="103"/>
      <c r="P90" s="103"/>
      <c r="Q90" s="103"/>
      <c r="R90" s="103"/>
      <c r="S90" s="103"/>
      <c r="T90" s="103"/>
      <c r="U90" s="103"/>
      <c r="V90" s="103"/>
      <c r="W90" s="103"/>
      <c r="X90" s="103"/>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1533</v>
      </c>
      <c r="L91" s="98" t="s">
        <v>1534</v>
      </c>
      <c r="M91" s="103"/>
      <c r="N91" s="103"/>
      <c r="O91" s="103"/>
      <c r="P91" s="103"/>
      <c r="Q91" s="103"/>
      <c r="R91" s="103"/>
      <c r="S91" s="103"/>
      <c r="T91" s="103"/>
      <c r="U91" s="103"/>
      <c r="V91" s="103"/>
      <c r="W91" s="103"/>
      <c r="X91" s="103"/>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1535</v>
      </c>
      <c r="L92" s="99" t="s">
        <v>1536</v>
      </c>
      <c r="M92" s="102" t="s">
        <v>1537</v>
      </c>
      <c r="N92" s="102" t="s">
        <v>1538</v>
      </c>
      <c r="O92" s="103"/>
      <c r="P92" s="103"/>
      <c r="Q92" s="103"/>
      <c r="R92" s="103"/>
      <c r="S92" s="103"/>
      <c r="T92" s="103"/>
      <c r="U92" s="103"/>
      <c r="V92" s="103"/>
      <c r="W92" s="103"/>
      <c r="X92" s="103"/>
    </row>
    <row r="93" spans="1:24" ht="43.1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1539</v>
      </c>
      <c r="L93" s="98" t="s">
        <v>1540</v>
      </c>
      <c r="M93" s="102" t="s">
        <v>1541</v>
      </c>
      <c r="N93" s="103"/>
      <c r="O93" s="103"/>
      <c r="P93" s="103"/>
      <c r="Q93" s="103"/>
      <c r="R93" s="103"/>
      <c r="S93" s="103"/>
      <c r="T93" s="103"/>
      <c r="U93" s="103"/>
      <c r="V93" s="103"/>
      <c r="W93" s="103"/>
      <c r="X93" s="103"/>
    </row>
    <row r="94" spans="1:24" ht="43.15">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1542</v>
      </c>
      <c r="L94" s="99" t="s">
        <v>1543</v>
      </c>
      <c r="M94" s="103"/>
      <c r="N94" s="103"/>
      <c r="O94" s="103"/>
      <c r="P94" s="103"/>
      <c r="Q94" s="103"/>
      <c r="R94" s="103"/>
      <c r="S94" s="103"/>
      <c r="T94" s="103"/>
      <c r="U94" s="103"/>
      <c r="V94" s="103"/>
      <c r="W94" s="103"/>
      <c r="X94" s="103"/>
    </row>
    <row r="95" spans="1:24" ht="72">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1544</v>
      </c>
      <c r="L95" s="98" t="s">
        <v>316</v>
      </c>
      <c r="M95" s="103"/>
      <c r="N95" s="103"/>
      <c r="O95" s="103"/>
      <c r="P95" s="103"/>
      <c r="Q95" s="103"/>
      <c r="R95" s="103"/>
      <c r="S95" s="103"/>
      <c r="T95" s="103"/>
      <c r="U95" s="103"/>
      <c r="V95" s="103"/>
      <c r="W95" s="103"/>
      <c r="X95" s="103"/>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3"/>
      <c r="N96" s="103"/>
      <c r="O96" s="103"/>
      <c r="P96" s="103"/>
      <c r="Q96" s="103"/>
      <c r="R96" s="103"/>
      <c r="S96" s="103"/>
      <c r="T96" s="103"/>
      <c r="U96" s="103"/>
      <c r="V96" s="103"/>
      <c r="W96" s="103"/>
      <c r="X96" s="103"/>
    </row>
    <row r="97" spans="1:24" ht="15.6">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1545</v>
      </c>
      <c r="L97" s="99" t="s">
        <v>1546</v>
      </c>
      <c r="M97" s="103"/>
      <c r="N97" s="103"/>
      <c r="O97" s="103"/>
      <c r="P97" s="103"/>
      <c r="Q97" s="103"/>
      <c r="R97" s="103"/>
      <c r="S97" s="103"/>
      <c r="T97" s="103"/>
      <c r="U97" s="103"/>
      <c r="V97" s="103"/>
      <c r="W97" s="103"/>
      <c r="X97" s="103"/>
    </row>
    <row r="98" spans="1:24" ht="15.6">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1547</v>
      </c>
      <c r="L98" s="98" t="s">
        <v>1303</v>
      </c>
      <c r="M98" s="103"/>
      <c r="N98" s="103"/>
      <c r="O98" s="103"/>
      <c r="P98" s="103"/>
      <c r="Q98" s="103"/>
      <c r="R98" s="103"/>
      <c r="S98" s="103"/>
      <c r="T98" s="103"/>
      <c r="U98" s="103"/>
      <c r="V98" s="103"/>
      <c r="W98" s="103"/>
      <c r="X98" s="103"/>
    </row>
    <row r="99" spans="1:24" ht="57.6">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1548</v>
      </c>
      <c r="L99" s="99" t="s">
        <v>1549</v>
      </c>
      <c r="M99" s="102" t="s">
        <v>1307</v>
      </c>
      <c r="N99" s="102" t="s">
        <v>1550</v>
      </c>
      <c r="O99" s="103"/>
      <c r="P99" s="103"/>
      <c r="Q99" s="103"/>
      <c r="R99" s="103"/>
      <c r="S99" s="103"/>
      <c r="T99" s="103"/>
      <c r="U99" s="103"/>
      <c r="V99" s="103"/>
      <c r="W99" s="103"/>
      <c r="X99" s="103"/>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1551</v>
      </c>
      <c r="L100" s="98" t="s">
        <v>1552</v>
      </c>
      <c r="M100" s="102" t="s">
        <v>1553</v>
      </c>
      <c r="N100" s="102" t="s">
        <v>1554</v>
      </c>
      <c r="O100" s="102" t="s">
        <v>1555</v>
      </c>
      <c r="P100" s="102" t="s">
        <v>1555</v>
      </c>
      <c r="Q100" s="103"/>
      <c r="R100" s="103"/>
      <c r="S100" s="103"/>
      <c r="T100" s="103"/>
      <c r="U100" s="103"/>
      <c r="V100" s="103"/>
      <c r="W100" s="103"/>
      <c r="X100" s="103"/>
    </row>
    <row r="101" spans="1:24" ht="15.6">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1556</v>
      </c>
      <c r="L101" s="99" t="s">
        <v>1557</v>
      </c>
      <c r="M101" s="103"/>
      <c r="N101" s="103"/>
      <c r="O101" s="103"/>
      <c r="P101" s="103"/>
      <c r="Q101" s="103"/>
      <c r="R101" s="103"/>
      <c r="S101" s="103"/>
      <c r="T101" s="103"/>
      <c r="U101" s="103"/>
      <c r="V101" s="103"/>
      <c r="W101" s="103"/>
      <c r="X101" s="103"/>
    </row>
    <row r="102" spans="1:24" ht="15.6">
      <c r="A102" s="28" t="str">
        <v>Landau I</v>
      </c>
      <c r="B102" s="25" t="str">
        <v>NY</v>
      </c>
      <c r="C102" s="25" t="str">
        <f>Sites[[#This Row],[SOL'#]]</f>
        <v>SOL-10891</v>
      </c>
      <c r="D102" s="20">
        <v>429340</v>
      </c>
      <c r="E102" s="10" t="s">
        <v>661</v>
      </c>
      <c r="F102" s="10" t="str">
        <f t="shared" si="12"/>
        <v/>
      </c>
      <c r="G102" s="11" t="str">
        <f t="shared" si="13"/>
        <v/>
      </c>
      <c r="H102" s="12">
        <v>448929.38</v>
      </c>
      <c r="I102" s="12">
        <f t="shared" si="10"/>
        <v>-19589.380000000005</v>
      </c>
      <c r="J102" s="13">
        <f t="shared" si="11"/>
        <v>-4.3635771844560509E-2</v>
      </c>
      <c r="K102" s="53"/>
      <c r="L102" s="53"/>
      <c r="M102" s="103"/>
      <c r="N102" s="103"/>
      <c r="O102" s="103"/>
      <c r="P102" s="103"/>
      <c r="Q102" s="103"/>
      <c r="R102" s="103"/>
      <c r="S102" s="103"/>
      <c r="T102" s="103"/>
      <c r="U102" s="103"/>
      <c r="V102" s="103"/>
      <c r="W102" s="103"/>
      <c r="X102" s="103"/>
    </row>
    <row r="103" spans="1:24" ht="209.25" customHeight="1">
      <c r="A103" s="26" t="str">
        <v>Landau II</v>
      </c>
      <c r="B103" s="27" t="str">
        <v>NY</v>
      </c>
      <c r="C103" s="27" t="str">
        <f>Sites[[#This Row],[SOL'#]]</f>
        <v>SOL-10895</v>
      </c>
      <c r="D103" s="9">
        <v>374100</v>
      </c>
      <c r="E103" s="14" t="s">
        <v>661</v>
      </c>
      <c r="F103" s="14" t="str">
        <f t="shared" si="12"/>
        <v/>
      </c>
      <c r="G103" s="15" t="str">
        <f t="shared" si="13"/>
        <v/>
      </c>
      <c r="H103" s="133" t="s">
        <v>941</v>
      </c>
      <c r="I103" s="16" t="str">
        <f t="shared" si="10"/>
        <v/>
      </c>
      <c r="J103" s="15" t="str">
        <f t="shared" si="11"/>
        <v/>
      </c>
      <c r="K103" s="51" t="s">
        <v>1558</v>
      </c>
      <c r="L103" s="99" t="s">
        <v>1559</v>
      </c>
      <c r="M103" s="102" t="s">
        <v>1560</v>
      </c>
      <c r="N103" s="102" t="s">
        <v>1561</v>
      </c>
      <c r="O103" s="102" t="s">
        <v>1562</v>
      </c>
      <c r="P103" s="102" t="s">
        <v>1563</v>
      </c>
      <c r="Q103" s="102" t="s">
        <v>1564</v>
      </c>
      <c r="R103" s="102" t="s">
        <v>1565</v>
      </c>
      <c r="S103" s="103"/>
      <c r="T103" s="103"/>
      <c r="U103" s="103"/>
      <c r="V103" s="103"/>
      <c r="W103" s="103"/>
      <c r="X103" s="103"/>
    </row>
    <row r="104" spans="1:24" ht="15.6">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3"/>
      <c r="N104" s="103"/>
      <c r="O104" s="103"/>
      <c r="P104" s="103"/>
      <c r="Q104" s="103"/>
      <c r="R104" s="103"/>
      <c r="S104" s="103"/>
      <c r="T104" s="103"/>
      <c r="U104" s="103"/>
      <c r="V104" s="103"/>
      <c r="W104" s="103"/>
      <c r="X104" s="103"/>
    </row>
    <row r="105" spans="1:24" ht="15.6">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1566</v>
      </c>
      <c r="L105" s="99" t="s">
        <v>1567</v>
      </c>
      <c r="M105" s="103"/>
      <c r="N105" s="103"/>
      <c r="O105" s="103"/>
      <c r="P105" s="103"/>
      <c r="Q105" s="103"/>
      <c r="R105" s="103"/>
      <c r="S105" s="103"/>
      <c r="T105" s="103"/>
      <c r="U105" s="103"/>
      <c r="V105" s="103"/>
      <c r="W105" s="103"/>
      <c r="X105" s="103"/>
    </row>
    <row r="106" spans="1:24" ht="28.9">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1568</v>
      </c>
      <c r="L106" s="98" t="s">
        <v>1569</v>
      </c>
      <c r="M106" s="103"/>
      <c r="N106" s="103"/>
      <c r="O106" s="103"/>
      <c r="P106" s="103"/>
      <c r="Q106" s="103"/>
      <c r="R106" s="103"/>
      <c r="S106" s="103"/>
      <c r="T106" s="103"/>
      <c r="U106" s="103"/>
      <c r="V106" s="103"/>
      <c r="W106" s="103"/>
      <c r="X106" s="103"/>
    </row>
    <row r="107" spans="1:24" ht="84.75" customHeight="1">
      <c r="A107" s="26" t="str">
        <v>Svenski</v>
      </c>
      <c r="B107" s="27" t="str">
        <v>NY</v>
      </c>
      <c r="C107" s="27" t="str">
        <f>Sites[[#This Row],[SOL'#]]</f>
        <v>SOL-10894</v>
      </c>
      <c r="D107" s="9">
        <v>406997</v>
      </c>
      <c r="E107" s="14" t="s">
        <v>661</v>
      </c>
      <c r="F107" s="14" t="str">
        <f t="shared" si="12"/>
        <v/>
      </c>
      <c r="G107" s="15" t="str">
        <f t="shared" si="13"/>
        <v/>
      </c>
      <c r="H107" s="16">
        <v>455483.42</v>
      </c>
      <c r="I107" s="16">
        <f t="shared" si="10"/>
        <v>-48486.419999999984</v>
      </c>
      <c r="J107" s="15">
        <f t="shared" si="11"/>
        <v>-0.10645046091908238</v>
      </c>
      <c r="K107" s="51" t="s">
        <v>1570</v>
      </c>
      <c r="L107" s="99" t="s">
        <v>1571</v>
      </c>
      <c r="M107" s="102" t="s">
        <v>1572</v>
      </c>
      <c r="N107" s="103"/>
      <c r="O107" s="103"/>
      <c r="P107" s="103"/>
      <c r="Q107" s="103"/>
      <c r="R107" s="103"/>
      <c r="S107" s="103"/>
      <c r="T107" s="103"/>
      <c r="U107" s="103"/>
      <c r="V107" s="103"/>
      <c r="W107" s="103"/>
      <c r="X107" s="103"/>
    </row>
    <row r="108" spans="1:24" ht="115.15">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1573</v>
      </c>
      <c r="L108" s="98" t="s">
        <v>1574</v>
      </c>
      <c r="M108" s="102" t="s">
        <v>1069</v>
      </c>
      <c r="N108" s="102" t="s">
        <v>1575</v>
      </c>
      <c r="O108" s="103"/>
      <c r="P108" s="103"/>
      <c r="Q108" s="103"/>
      <c r="R108" s="103"/>
      <c r="S108" s="103"/>
      <c r="T108" s="103"/>
      <c r="U108" s="103"/>
      <c r="V108" s="103"/>
      <c r="W108" s="103"/>
      <c r="X108" s="103"/>
    </row>
    <row r="109" spans="1:24" ht="28.9">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1325</v>
      </c>
      <c r="L109" s="99" t="s">
        <v>1576</v>
      </c>
      <c r="M109" s="103"/>
      <c r="N109" s="103"/>
      <c r="O109" s="103"/>
      <c r="P109" s="103"/>
      <c r="Q109" s="103"/>
      <c r="R109" s="103"/>
      <c r="S109" s="103"/>
      <c r="T109" s="103"/>
      <c r="U109" s="103"/>
      <c r="V109" s="103"/>
      <c r="W109" s="103"/>
      <c r="X109" s="103"/>
    </row>
    <row r="110" spans="1:24" ht="28.9">
      <c r="A110" s="28" t="str">
        <v>Dubois</v>
      </c>
      <c r="B110" s="25" t="str">
        <v>NY</v>
      </c>
      <c r="C110" s="25" t="str">
        <f>Sites[[#This Row],[SOL'#]]</f>
        <v>SOL-10892</v>
      </c>
      <c r="D110" s="20">
        <v>386460</v>
      </c>
      <c r="E110" s="10">
        <v>386385.12</v>
      </c>
      <c r="F110" s="10">
        <f t="shared" si="12"/>
        <v>74.880000000004657</v>
      </c>
      <c r="G110" s="11">
        <f t="shared" si="13"/>
        <v>1.9379628283823315E-4</v>
      </c>
      <c r="H110" s="132" t="s">
        <v>941</v>
      </c>
      <c r="I110" s="12" t="str">
        <f t="shared" si="10"/>
        <v/>
      </c>
      <c r="J110" s="13" t="str">
        <f t="shared" si="11"/>
        <v/>
      </c>
      <c r="K110" s="53" t="s">
        <v>1577</v>
      </c>
      <c r="L110" s="98" t="s">
        <v>1578</v>
      </c>
      <c r="M110" s="103"/>
      <c r="N110" s="103"/>
      <c r="O110" s="103"/>
      <c r="P110" s="103"/>
      <c r="Q110" s="103"/>
      <c r="R110" s="103"/>
      <c r="S110" s="103"/>
      <c r="T110" s="103"/>
      <c r="U110" s="103"/>
      <c r="V110" s="103"/>
      <c r="W110" s="103"/>
      <c r="X110" s="103"/>
    </row>
    <row r="111" spans="1:24" ht="129.6">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1579</v>
      </c>
      <c r="L111" s="99" t="s">
        <v>1580</v>
      </c>
      <c r="M111" s="102" t="s">
        <v>1581</v>
      </c>
      <c r="N111" s="102" t="s">
        <v>1582</v>
      </c>
      <c r="O111" s="102" t="s">
        <v>1583</v>
      </c>
      <c r="P111" s="102" t="s">
        <v>1584</v>
      </c>
      <c r="Q111" s="102" t="s">
        <v>1585</v>
      </c>
      <c r="R111" s="103"/>
      <c r="S111" s="103"/>
      <c r="T111" s="103"/>
      <c r="U111" s="103"/>
      <c r="V111" s="103"/>
      <c r="W111" s="103"/>
      <c r="X111" s="103"/>
    </row>
    <row r="112" spans="1:24" ht="28.9">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1586</v>
      </c>
      <c r="L112" s="98" t="s">
        <v>1587</v>
      </c>
      <c r="M112" s="102" t="s">
        <v>1588</v>
      </c>
      <c r="N112" s="103"/>
      <c r="O112" s="103"/>
      <c r="P112" s="103"/>
      <c r="Q112" s="103"/>
      <c r="R112" s="103"/>
      <c r="S112" s="103"/>
      <c r="T112" s="103"/>
      <c r="U112" s="103"/>
      <c r="V112" s="103"/>
      <c r="W112" s="103"/>
      <c r="X112" s="103"/>
    </row>
    <row r="113" spans="1:24" ht="57.6">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1589</v>
      </c>
      <c r="L113" s="99" t="s">
        <v>1590</v>
      </c>
      <c r="M113" s="102" t="s">
        <v>1591</v>
      </c>
      <c r="N113" s="103"/>
      <c r="O113" s="103"/>
      <c r="P113" s="103"/>
      <c r="Q113" s="103"/>
      <c r="R113" s="103"/>
      <c r="S113" s="103"/>
      <c r="T113" s="103"/>
      <c r="U113" s="103"/>
      <c r="V113" s="103"/>
      <c r="W113" s="103"/>
      <c r="X113" s="103"/>
    </row>
    <row r="114" spans="1:24" ht="36" customHeight="1">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1592</v>
      </c>
      <c r="L114" s="98" t="s">
        <v>1593</v>
      </c>
      <c r="M114" s="103"/>
      <c r="N114" s="103"/>
      <c r="O114" s="103"/>
      <c r="P114" s="103"/>
      <c r="Q114" s="103"/>
      <c r="R114" s="103"/>
      <c r="S114" s="103"/>
      <c r="T114" s="103"/>
      <c r="U114" s="103"/>
      <c r="V114" s="103"/>
      <c r="W114" s="103"/>
      <c r="X114" s="103"/>
    </row>
    <row r="115" spans="1:24" ht="43.15">
      <c r="A115" s="26" t="str">
        <v>McCarthy Solar</v>
      </c>
      <c r="B115" s="27" t="str">
        <v>NY</v>
      </c>
      <c r="C115" s="27" t="str">
        <f>Sites[[#This Row],[SOL'#]]</f>
        <v>SOL-10992</v>
      </c>
      <c r="D115" s="9">
        <v>211620</v>
      </c>
      <c r="E115" s="14" t="s">
        <v>661</v>
      </c>
      <c r="F115" s="14" t="str">
        <f t="shared" si="12"/>
        <v/>
      </c>
      <c r="G115" s="15" t="str">
        <f t="shared" si="13"/>
        <v/>
      </c>
      <c r="H115" s="16">
        <v>448453.17</v>
      </c>
      <c r="I115" s="16">
        <f t="shared" si="10"/>
        <v>-236833.16999999998</v>
      </c>
      <c r="J115" s="15">
        <f t="shared" si="11"/>
        <v>-0.52811126298873079</v>
      </c>
      <c r="K115" s="38" t="s">
        <v>1594</v>
      </c>
      <c r="L115" s="99" t="s">
        <v>1595</v>
      </c>
      <c r="M115" s="102" t="s">
        <v>1596</v>
      </c>
      <c r="N115" s="103"/>
      <c r="O115" s="103"/>
      <c r="P115" s="103"/>
      <c r="Q115" s="103"/>
      <c r="R115" s="103"/>
      <c r="S115" s="103"/>
      <c r="T115" s="103"/>
      <c r="U115" s="103"/>
      <c r="V115" s="103"/>
      <c r="W115" s="103"/>
      <c r="X115" s="103"/>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1597</v>
      </c>
      <c r="L116" s="98" t="s">
        <v>1598</v>
      </c>
      <c r="M116" s="102" t="s">
        <v>1599</v>
      </c>
      <c r="N116" s="102" t="s">
        <v>1600</v>
      </c>
      <c r="O116" s="102" t="s">
        <v>1601</v>
      </c>
      <c r="P116" s="102" t="s">
        <v>1602</v>
      </c>
      <c r="Q116" s="103"/>
      <c r="R116" s="103"/>
      <c r="S116" s="103"/>
      <c r="T116" s="103"/>
      <c r="U116" s="103"/>
      <c r="V116" s="103"/>
      <c r="W116" s="103"/>
      <c r="X116" s="103"/>
    </row>
    <row r="117" spans="1:24" ht="15.6">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3"/>
      <c r="N117" s="103"/>
      <c r="O117" s="103"/>
      <c r="P117" s="103"/>
      <c r="Q117" s="103"/>
      <c r="R117" s="103"/>
      <c r="S117" s="103"/>
      <c r="T117" s="103"/>
      <c r="U117" s="103"/>
      <c r="V117" s="103"/>
      <c r="W117" s="103"/>
      <c r="X117" s="103"/>
    </row>
    <row r="118" spans="1:24" ht="15.6">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3"/>
      <c r="N118" s="103"/>
      <c r="O118" s="103"/>
      <c r="P118" s="103"/>
      <c r="Q118" s="103"/>
      <c r="R118" s="103"/>
      <c r="S118" s="103"/>
      <c r="T118" s="103"/>
      <c r="U118" s="103"/>
      <c r="V118" s="103"/>
      <c r="W118" s="103"/>
      <c r="X118" s="103"/>
    </row>
    <row r="119" spans="1:24" ht="15.6">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3"/>
      <c r="N119" s="103"/>
      <c r="O119" s="103"/>
      <c r="P119" s="103"/>
      <c r="Q119" s="103"/>
      <c r="R119" s="103"/>
      <c r="S119" s="103"/>
      <c r="T119" s="103"/>
      <c r="U119" s="103"/>
      <c r="V119" s="103"/>
      <c r="W119" s="103"/>
      <c r="X119" s="103"/>
    </row>
    <row r="120" spans="1:24" ht="15.6">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3"/>
      <c r="N120" s="103"/>
      <c r="O120" s="103"/>
      <c r="P120" s="103"/>
      <c r="Q120" s="103"/>
      <c r="R120" s="103"/>
      <c r="S120" s="103"/>
      <c r="T120" s="103"/>
      <c r="U120" s="103"/>
      <c r="V120" s="103"/>
      <c r="W120" s="103"/>
      <c r="X120" s="103"/>
    </row>
    <row r="121" spans="1:24" ht="15.6">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3"/>
      <c r="N121" s="103"/>
      <c r="O121" s="103"/>
      <c r="P121" s="103"/>
      <c r="Q121" s="103"/>
      <c r="R121" s="103"/>
      <c r="S121" s="103"/>
      <c r="T121" s="103"/>
      <c r="U121" s="103"/>
      <c r="V121" s="103"/>
      <c r="W121" s="103"/>
      <c r="X121" s="103"/>
    </row>
    <row r="122" spans="1:24" ht="15.6">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3"/>
      <c r="N122" s="103"/>
      <c r="O122" s="103"/>
      <c r="P122" s="103"/>
      <c r="Q122" s="103"/>
      <c r="R122" s="103"/>
      <c r="S122" s="103"/>
      <c r="T122" s="103"/>
      <c r="U122" s="103"/>
      <c r="V122" s="103"/>
      <c r="W122" s="103"/>
      <c r="X122" s="103"/>
    </row>
    <row r="123" spans="1:24" ht="28.9">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1603</v>
      </c>
      <c r="L123" s="99" t="s">
        <v>1604</v>
      </c>
      <c r="M123" s="103"/>
      <c r="N123" s="103"/>
      <c r="O123" s="103"/>
      <c r="P123" s="103"/>
      <c r="Q123" s="103"/>
      <c r="R123" s="103"/>
      <c r="S123" s="103"/>
      <c r="T123" s="103"/>
      <c r="U123" s="103"/>
      <c r="V123" s="103"/>
      <c r="W123" s="103"/>
      <c r="X123" s="103"/>
    </row>
    <row r="124" spans="1:24" ht="15.6">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3"/>
      <c r="N124" s="103"/>
      <c r="O124" s="103"/>
      <c r="P124" s="103"/>
      <c r="Q124" s="103"/>
      <c r="R124" s="103"/>
      <c r="S124" s="103"/>
      <c r="T124" s="103"/>
      <c r="U124" s="103"/>
      <c r="V124" s="103"/>
      <c r="W124" s="103"/>
      <c r="X124" s="103"/>
    </row>
    <row r="125" spans="1:24" ht="28.9">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1605</v>
      </c>
      <c r="L125" s="99" t="s">
        <v>1606</v>
      </c>
      <c r="M125" s="103"/>
      <c r="N125" s="103"/>
      <c r="O125" s="103"/>
      <c r="P125" s="103"/>
      <c r="Q125" s="103"/>
      <c r="R125" s="103"/>
      <c r="S125" s="103"/>
      <c r="T125" s="103"/>
      <c r="U125" s="103"/>
      <c r="V125" s="103"/>
      <c r="W125" s="103"/>
      <c r="X125" s="103"/>
    </row>
    <row r="126" spans="1:24" ht="15.6">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3"/>
      <c r="N126" s="103"/>
      <c r="O126" s="103"/>
      <c r="P126" s="103"/>
      <c r="Q126" s="103"/>
      <c r="R126" s="103"/>
      <c r="S126" s="103"/>
      <c r="T126" s="103"/>
      <c r="U126" s="103"/>
      <c r="V126" s="103"/>
      <c r="W126" s="103"/>
      <c r="X126" s="103"/>
    </row>
    <row r="127" spans="1:24" ht="15.6">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1607</v>
      </c>
      <c r="L127" s="99" t="s">
        <v>1608</v>
      </c>
      <c r="M127" s="103"/>
      <c r="N127" s="103"/>
      <c r="O127" s="103"/>
      <c r="P127" s="103"/>
      <c r="Q127" s="103"/>
      <c r="R127" s="103"/>
      <c r="S127" s="103"/>
      <c r="T127" s="103"/>
      <c r="U127" s="103"/>
      <c r="V127" s="103"/>
      <c r="W127" s="103"/>
      <c r="X127" s="103"/>
    </row>
    <row r="128" spans="1:24" ht="86.4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1346</v>
      </c>
      <c r="L128" s="53"/>
      <c r="M128" s="103"/>
      <c r="N128" s="103"/>
      <c r="O128" s="103"/>
      <c r="P128" s="103"/>
      <c r="Q128" s="103"/>
      <c r="R128" s="103"/>
      <c r="S128" s="103"/>
      <c r="T128" s="103"/>
      <c r="U128" s="103"/>
      <c r="V128" s="103"/>
      <c r="W128" s="103"/>
      <c r="X128" s="103"/>
    </row>
    <row r="129" spans="1:24" ht="15.6">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3"/>
      <c r="N129" s="103"/>
      <c r="O129" s="103"/>
      <c r="P129" s="103"/>
      <c r="Q129" s="103"/>
      <c r="R129" s="103"/>
      <c r="S129" s="103"/>
      <c r="T129" s="103"/>
      <c r="U129" s="103"/>
      <c r="V129" s="103"/>
      <c r="W129" s="103"/>
      <c r="X129" s="103"/>
    </row>
    <row r="130" spans="1:24" ht="15.6">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3"/>
      <c r="N130" s="103"/>
      <c r="O130" s="103"/>
      <c r="P130" s="103"/>
      <c r="Q130" s="103"/>
      <c r="R130" s="103"/>
      <c r="S130" s="103"/>
      <c r="T130" s="103"/>
      <c r="U130" s="103"/>
      <c r="V130" s="103"/>
      <c r="W130" s="103"/>
      <c r="X130" s="103"/>
    </row>
    <row r="131" spans="1:24" ht="15.6">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3"/>
      <c r="N131" s="103"/>
      <c r="O131" s="103"/>
      <c r="P131" s="103"/>
      <c r="Q131" s="103"/>
      <c r="R131" s="103"/>
      <c r="S131" s="103"/>
      <c r="T131" s="103"/>
      <c r="U131" s="103"/>
      <c r="V131" s="103"/>
      <c r="W131" s="103"/>
      <c r="X131" s="103"/>
    </row>
    <row r="132" spans="1:24" ht="43.1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1609</v>
      </c>
      <c r="L132" s="98" t="s">
        <v>1610</v>
      </c>
      <c r="M132" s="103"/>
      <c r="N132" s="103"/>
      <c r="O132" s="103"/>
      <c r="P132" s="103"/>
      <c r="Q132" s="103"/>
      <c r="R132" s="103"/>
      <c r="S132" s="103"/>
      <c r="T132" s="103"/>
      <c r="U132" s="103"/>
      <c r="V132" s="103"/>
      <c r="W132" s="103"/>
      <c r="X132" s="103"/>
    </row>
    <row r="133" spans="1:24" ht="115.15">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1611</v>
      </c>
      <c r="L133" s="99" t="s">
        <v>1612</v>
      </c>
      <c r="M133" s="102" t="s">
        <v>1363</v>
      </c>
      <c r="N133" s="102" t="s">
        <v>1613</v>
      </c>
      <c r="O133" s="102" t="s">
        <v>1614</v>
      </c>
      <c r="P133" s="103"/>
      <c r="Q133" s="103"/>
      <c r="R133" s="103"/>
      <c r="S133" s="103"/>
      <c r="T133" s="103"/>
      <c r="U133" s="103"/>
      <c r="V133" s="103"/>
      <c r="W133" s="103"/>
      <c r="X133" s="103"/>
    </row>
    <row r="134" spans="1:24" ht="15.6">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3"/>
      <c r="N134" s="103"/>
      <c r="O134" s="103"/>
      <c r="P134" s="103"/>
      <c r="Q134" s="103"/>
      <c r="R134" s="103"/>
      <c r="S134" s="103"/>
      <c r="T134" s="103"/>
      <c r="U134" s="103"/>
      <c r="V134" s="103"/>
      <c r="W134" s="103"/>
      <c r="X134" s="103"/>
    </row>
    <row r="135" spans="1:24" ht="15.6">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3"/>
      <c r="N135" s="103"/>
      <c r="O135" s="103"/>
      <c r="P135" s="103"/>
      <c r="Q135" s="103"/>
      <c r="R135" s="103"/>
      <c r="S135" s="103"/>
      <c r="T135" s="103"/>
      <c r="U135" s="103"/>
      <c r="V135" s="103"/>
      <c r="W135" s="103"/>
      <c r="X135" s="103"/>
    </row>
    <row r="136" spans="1:24" ht="15.6">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3"/>
      <c r="N136" s="103"/>
      <c r="O136" s="103"/>
      <c r="P136" s="103"/>
      <c r="Q136" s="103"/>
      <c r="R136" s="103"/>
      <c r="S136" s="103"/>
      <c r="T136" s="103"/>
      <c r="U136" s="103"/>
      <c r="V136" s="103"/>
      <c r="W136" s="103"/>
      <c r="X136" s="103"/>
    </row>
    <row r="137" spans="1:24" ht="15.6">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3"/>
      <c r="N137" s="103"/>
      <c r="O137" s="103"/>
      <c r="P137" s="103"/>
      <c r="Q137" s="103"/>
      <c r="R137" s="103"/>
      <c r="S137" s="103"/>
      <c r="T137" s="103"/>
      <c r="U137" s="103"/>
      <c r="V137" s="103"/>
      <c r="W137" s="103"/>
      <c r="X137" s="103"/>
    </row>
    <row r="138" spans="1:24" ht="15.6">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1364</v>
      </c>
      <c r="L138" s="98" t="s">
        <v>1615</v>
      </c>
      <c r="M138" s="103"/>
      <c r="N138" s="103"/>
      <c r="O138" s="103"/>
      <c r="P138" s="103"/>
      <c r="Q138" s="103"/>
      <c r="R138" s="103"/>
      <c r="S138" s="103"/>
      <c r="T138" s="103"/>
      <c r="U138" s="103"/>
      <c r="V138" s="103"/>
      <c r="W138" s="103"/>
      <c r="X138" s="103"/>
    </row>
    <row r="139" spans="1:24" ht="15.6">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3"/>
      <c r="N139" s="103"/>
      <c r="O139" s="103"/>
      <c r="P139" s="103"/>
      <c r="Q139" s="103"/>
      <c r="R139" s="103"/>
      <c r="S139" s="103"/>
      <c r="T139" s="103"/>
      <c r="U139" s="103"/>
      <c r="V139" s="103"/>
      <c r="W139" s="103"/>
      <c r="X139" s="103"/>
    </row>
    <row r="140" spans="1:24" ht="72">
      <c r="A140" s="28" t="str">
        <v>Q400</v>
      </c>
      <c r="B140" s="25" t="str">
        <v>NY</v>
      </c>
      <c r="C140" s="25" t="str">
        <f>Sites[[#This Row],[SOL'#]]</f>
        <v>SOL-10871</v>
      </c>
      <c r="D140" s="20">
        <v>28683.4375</v>
      </c>
      <c r="E140" s="10" t="s">
        <v>661</v>
      </c>
      <c r="F140" s="10" t="str">
        <f t="shared" si="12"/>
        <v/>
      </c>
      <c r="G140" s="11" t="str">
        <f t="shared" si="13"/>
        <v/>
      </c>
      <c r="H140" s="12">
        <v>48524</v>
      </c>
      <c r="I140" s="12">
        <f t="shared" si="10"/>
        <v>-19840.5625</v>
      </c>
      <c r="J140" s="13">
        <f t="shared" si="11"/>
        <v>-0.40888142980793007</v>
      </c>
      <c r="K140" s="53" t="s">
        <v>1616</v>
      </c>
      <c r="L140" s="98" t="s">
        <v>1617</v>
      </c>
      <c r="M140" s="102" t="s">
        <v>1373</v>
      </c>
      <c r="N140" s="103"/>
      <c r="O140" s="103"/>
      <c r="P140" s="103"/>
      <c r="Q140" s="103"/>
      <c r="R140" s="103"/>
      <c r="S140" s="103"/>
      <c r="T140" s="103"/>
      <c r="U140" s="103"/>
      <c r="V140" s="103"/>
      <c r="W140" s="103"/>
      <c r="X140" s="103"/>
    </row>
    <row r="141" spans="1:24" ht="28.9">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1374</v>
      </c>
      <c r="L141" s="99" t="s">
        <v>1618</v>
      </c>
      <c r="M141" s="103"/>
      <c r="N141" s="103"/>
      <c r="O141" s="103"/>
      <c r="P141" s="103"/>
      <c r="Q141" s="103"/>
      <c r="R141" s="103"/>
      <c r="S141" s="103"/>
      <c r="T141" s="103"/>
      <c r="U141" s="103"/>
      <c r="V141" s="103"/>
      <c r="W141" s="103"/>
      <c r="X141" s="103"/>
    </row>
    <row r="142" spans="1:24" ht="15.6">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3"/>
      <c r="N142" s="103"/>
      <c r="O142" s="103"/>
      <c r="P142" s="103"/>
      <c r="Q142" s="103"/>
      <c r="R142" s="103"/>
      <c r="S142" s="103"/>
      <c r="T142" s="103"/>
      <c r="U142" s="103"/>
      <c r="V142" s="103"/>
      <c r="W142" s="103"/>
      <c r="X142" s="103"/>
    </row>
    <row r="143" spans="1:24" ht="15.6">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3"/>
      <c r="N143" s="103"/>
      <c r="O143" s="103"/>
      <c r="P143" s="103"/>
      <c r="Q143" s="103"/>
      <c r="R143" s="103"/>
      <c r="S143" s="103"/>
      <c r="T143" s="103"/>
      <c r="U143" s="103"/>
      <c r="V143" s="103"/>
      <c r="W143" s="103"/>
      <c r="X143" s="103"/>
    </row>
    <row r="144" spans="1:24" ht="115.15">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1619</v>
      </c>
      <c r="L144" s="98" t="s">
        <v>1620</v>
      </c>
      <c r="M144" s="102" t="s">
        <v>1621</v>
      </c>
      <c r="N144" s="103"/>
      <c r="O144" s="103"/>
      <c r="P144" s="103"/>
      <c r="Q144" s="103"/>
      <c r="R144" s="103"/>
      <c r="S144" s="103"/>
      <c r="T144" s="103"/>
      <c r="U144" s="103"/>
      <c r="V144" s="103"/>
      <c r="W144" s="103"/>
      <c r="X144" s="103"/>
    </row>
    <row r="145" spans="1:24" ht="86.4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1622</v>
      </c>
      <c r="L145" s="99" t="s">
        <v>1623</v>
      </c>
      <c r="M145" s="102" t="s">
        <v>1624</v>
      </c>
      <c r="N145" s="103"/>
      <c r="O145" s="103"/>
      <c r="P145" s="103"/>
      <c r="Q145" s="103"/>
      <c r="R145" s="103"/>
      <c r="S145" s="103"/>
      <c r="T145" s="103"/>
      <c r="U145" s="103"/>
      <c r="V145" s="103"/>
      <c r="W145" s="103"/>
      <c r="X145" s="103"/>
    </row>
    <row r="146" spans="1:24" ht="72">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1625</v>
      </c>
      <c r="L146" s="98" t="s">
        <v>1626</v>
      </c>
      <c r="M146" s="102" t="s">
        <v>1627</v>
      </c>
      <c r="N146" s="103"/>
      <c r="O146" s="103"/>
      <c r="P146" s="103"/>
      <c r="Q146" s="103"/>
      <c r="R146" s="103"/>
      <c r="S146" s="103"/>
      <c r="T146" s="103"/>
      <c r="U146" s="103"/>
      <c r="V146" s="103"/>
      <c r="W146" s="103"/>
      <c r="X146" s="103"/>
    </row>
    <row r="147" spans="1:24" ht="15.6">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1628</v>
      </c>
      <c r="L147" s="99" t="s">
        <v>1629</v>
      </c>
      <c r="M147" s="103"/>
      <c r="N147" s="103"/>
      <c r="O147" s="103"/>
      <c r="P147" s="103"/>
      <c r="Q147" s="103"/>
      <c r="R147" s="103"/>
      <c r="S147" s="103"/>
      <c r="T147" s="103"/>
      <c r="U147" s="103"/>
      <c r="V147" s="103"/>
      <c r="W147" s="103"/>
      <c r="X147" s="103"/>
    </row>
    <row r="148" spans="1:24" ht="28.9">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1630</v>
      </c>
      <c r="L148" s="98" t="s">
        <v>1631</v>
      </c>
      <c r="M148" s="103"/>
      <c r="N148" s="103"/>
      <c r="O148" s="103"/>
      <c r="P148" s="103"/>
      <c r="Q148" s="103"/>
      <c r="R148" s="103"/>
      <c r="S148" s="103"/>
      <c r="T148" s="103"/>
      <c r="U148" s="103"/>
      <c r="V148" s="103"/>
      <c r="W148" s="103"/>
      <c r="X148" s="103"/>
    </row>
    <row r="149" spans="1:24" ht="43.15">
      <c r="A149" s="26" t="str">
        <v>County Route 11B</v>
      </c>
      <c r="B149" s="27" t="str">
        <v>NY</v>
      </c>
      <c r="C149" s="27" t="str">
        <f>Sites[[#This Row],[SOL'#]]</f>
        <v>SOL-10983</v>
      </c>
      <c r="D149" s="9">
        <v>1436404</v>
      </c>
      <c r="E149" s="14">
        <v>1431678</v>
      </c>
      <c r="F149" s="14">
        <f t="shared" si="12"/>
        <v>4726</v>
      </c>
      <c r="G149" s="15">
        <f t="shared" si="13"/>
        <v>3.3010215984320495E-3</v>
      </c>
      <c r="H149" s="133" t="s">
        <v>941</v>
      </c>
      <c r="I149" s="16" t="str">
        <f t="shared" si="10"/>
        <v/>
      </c>
      <c r="J149" s="15" t="str">
        <f t="shared" si="11"/>
        <v/>
      </c>
      <c r="K149" s="51" t="s">
        <v>1632</v>
      </c>
      <c r="L149" s="98" t="s">
        <v>1633</v>
      </c>
      <c r="M149" s="103"/>
      <c r="N149" s="103"/>
      <c r="O149" s="103"/>
      <c r="P149" s="103"/>
      <c r="Q149" s="103"/>
      <c r="R149" s="103"/>
      <c r="S149" s="103"/>
      <c r="T149" s="103"/>
      <c r="U149" s="103"/>
      <c r="V149" s="103"/>
      <c r="W149" s="103"/>
      <c r="X149" s="103"/>
    </row>
    <row r="150" spans="1:24" ht="86.4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1634</v>
      </c>
      <c r="L150" s="98" t="s">
        <v>1635</v>
      </c>
      <c r="M150" s="102" t="s">
        <v>1636</v>
      </c>
      <c r="N150" s="102" t="s">
        <v>1637</v>
      </c>
      <c r="O150" s="103"/>
      <c r="P150" s="103"/>
      <c r="Q150" s="103"/>
      <c r="R150" s="103"/>
      <c r="S150" s="103"/>
      <c r="T150" s="103"/>
      <c r="U150" s="103"/>
      <c r="V150" s="103"/>
      <c r="W150" s="103"/>
      <c r="X150" s="103"/>
    </row>
    <row r="151" spans="1:24" ht="15.6">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1388</v>
      </c>
      <c r="L151" s="99" t="s">
        <v>1389</v>
      </c>
      <c r="M151" s="103"/>
      <c r="N151" s="103"/>
      <c r="O151" s="103"/>
      <c r="P151" s="103"/>
      <c r="Q151" s="103"/>
      <c r="R151" s="103"/>
      <c r="S151" s="103"/>
      <c r="T151" s="103"/>
      <c r="U151" s="103"/>
      <c r="V151" s="103"/>
      <c r="W151" s="103"/>
      <c r="X151" s="103"/>
    </row>
    <row r="152" spans="1:24" ht="28.9">
      <c r="A152" s="28" t="str">
        <v xml:space="preserve"> O'Brien Hill #1</v>
      </c>
      <c r="B152" s="25" t="str">
        <v>NY</v>
      </c>
      <c r="C152" s="25" t="str">
        <f>Sites[[#This Row],[SOL'#]]</f>
        <v>SOL-11098</v>
      </c>
      <c r="D152" s="20">
        <v>0</v>
      </c>
      <c r="E152" s="10" t="s">
        <v>661</v>
      </c>
      <c r="F152" s="10" t="str">
        <f t="shared" si="12"/>
        <v/>
      </c>
      <c r="G152" s="11" t="str">
        <f t="shared" si="13"/>
        <v/>
      </c>
      <c r="H152" s="132" t="s">
        <v>941</v>
      </c>
      <c r="I152" s="12" t="str">
        <f t="shared" si="10"/>
        <v/>
      </c>
      <c r="J152" s="13" t="str">
        <f t="shared" si="11"/>
        <v/>
      </c>
      <c r="K152" s="53" t="s">
        <v>1390</v>
      </c>
      <c r="L152" s="98" t="s">
        <v>1391</v>
      </c>
      <c r="M152" s="102" t="s">
        <v>877</v>
      </c>
      <c r="N152" s="103"/>
      <c r="O152" s="103"/>
      <c r="P152" s="103"/>
      <c r="Q152" s="103"/>
      <c r="R152" s="103"/>
      <c r="S152" s="103"/>
      <c r="T152" s="103"/>
      <c r="U152" s="103"/>
      <c r="V152" s="103"/>
      <c r="W152" s="103"/>
      <c r="X152" s="103"/>
    </row>
    <row r="153" spans="1:24" ht="57.6">
      <c r="A153" s="26" t="str">
        <v xml:space="preserve"> O'Brien Hill #2</v>
      </c>
      <c r="B153" s="27" t="str">
        <v>NY</v>
      </c>
      <c r="C153" s="27" t="str">
        <f>Sites[[#This Row],[SOL'#]]</f>
        <v>SOL-11099</v>
      </c>
      <c r="D153" s="9">
        <v>1037428</v>
      </c>
      <c r="E153" s="14">
        <v>1037322</v>
      </c>
      <c r="F153" s="14">
        <f t="shared" si="12"/>
        <v>106</v>
      </c>
      <c r="G153" s="15">
        <f t="shared" si="13"/>
        <v>1.0218620640456869E-4</v>
      </c>
      <c r="H153" s="133" t="s">
        <v>941</v>
      </c>
      <c r="I153" s="16" t="str">
        <f t="shared" si="10"/>
        <v/>
      </c>
      <c r="J153" s="15" t="str">
        <f t="shared" si="11"/>
        <v/>
      </c>
      <c r="K153" s="51" t="s">
        <v>1638</v>
      </c>
      <c r="L153" s="99" t="s">
        <v>1639</v>
      </c>
      <c r="M153" s="102" t="s">
        <v>1640</v>
      </c>
      <c r="N153" s="103"/>
      <c r="O153" s="103"/>
      <c r="P153" s="103"/>
      <c r="Q153" s="103"/>
      <c r="R153" s="103"/>
      <c r="S153" s="103"/>
      <c r="T153" s="103"/>
      <c r="U153" s="103"/>
      <c r="V153" s="103"/>
      <c r="W153" s="103"/>
      <c r="X153" s="103"/>
    </row>
    <row r="154" spans="1:24" ht="43.1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1641</v>
      </c>
      <c r="L154" s="98" t="s">
        <v>1642</v>
      </c>
      <c r="M154" s="102" t="s">
        <v>1643</v>
      </c>
      <c r="N154" s="103"/>
      <c r="O154" s="103"/>
      <c r="P154" s="103"/>
      <c r="Q154" s="103"/>
      <c r="R154" s="103"/>
      <c r="S154" s="103"/>
      <c r="T154" s="103"/>
      <c r="U154" s="103"/>
      <c r="V154" s="103"/>
      <c r="W154" s="103"/>
      <c r="X154" s="103"/>
    </row>
    <row r="155" spans="1:24" ht="57.6">
      <c r="A155" s="26" t="str">
        <v>Ransom</v>
      </c>
      <c r="B155" s="27" t="str">
        <v>NY</v>
      </c>
      <c r="C155" s="27" t="str">
        <f>Sites[[#This Row],[SOL'#]]</f>
        <v>SOL-11157</v>
      </c>
      <c r="D155" s="9">
        <v>864708</v>
      </c>
      <c r="E155" s="14">
        <v>861300</v>
      </c>
      <c r="F155" s="14">
        <f t="shared" si="12"/>
        <v>3408</v>
      </c>
      <c r="G155" s="15">
        <f t="shared" si="13"/>
        <v>3.9568094740508536E-3</v>
      </c>
      <c r="H155" s="133" t="s">
        <v>941</v>
      </c>
      <c r="I155" s="16" t="str">
        <f t="shared" ref="I155" si="14">IF(AND(ISNUMBER(D155),ISNUMBER(H155)), D155-H155, "")</f>
        <v/>
      </c>
      <c r="J155" s="15" t="str">
        <f t="shared" ref="J155:J164" si="15">IFERROR(I155/H155, "")</f>
        <v/>
      </c>
      <c r="K155" s="51" t="s">
        <v>1644</v>
      </c>
      <c r="L155" s="99" t="s">
        <v>1645</v>
      </c>
      <c r="M155" s="102" t="s">
        <v>1646</v>
      </c>
      <c r="N155" s="103"/>
      <c r="O155" s="103"/>
      <c r="P155" s="103"/>
      <c r="Q155" s="103"/>
      <c r="R155" s="103"/>
      <c r="S155" s="103"/>
      <c r="T155" s="103"/>
      <c r="U155" s="103"/>
      <c r="V155" s="103"/>
      <c r="W155" s="103"/>
      <c r="X155" s="103"/>
    </row>
    <row r="156" spans="1:24" ht="15.6">
      <c r="A156" s="28" t="str">
        <v>Horseheads - Wedge</v>
      </c>
      <c r="B156" s="25" t="str">
        <v>NY</v>
      </c>
      <c r="C156" s="25" t="str">
        <f>Sites[[#This Row],[SOL'#]]</f>
        <v>SOL-11160</v>
      </c>
      <c r="D156" s="20">
        <v>730633</v>
      </c>
      <c r="E156" s="10">
        <v>728031</v>
      </c>
      <c r="F156" s="10">
        <f t="shared" si="12"/>
        <v>2602</v>
      </c>
      <c r="G156" s="11">
        <f t="shared" si="13"/>
        <v>3.5740236336090085E-3</v>
      </c>
      <c r="H156" s="132" t="s">
        <v>941</v>
      </c>
      <c r="I156" s="12" t="str">
        <f t="shared" ref="I156:I164" si="16">IF(AND(ISNUMBER(D156),ISNUMBER(H156)), D156-H156, "")</f>
        <v/>
      </c>
      <c r="J156" s="13" t="str">
        <f t="shared" si="15"/>
        <v/>
      </c>
      <c r="K156" s="53"/>
      <c r="L156" s="53"/>
      <c r="M156" s="103"/>
      <c r="N156" s="103"/>
      <c r="O156" s="103"/>
      <c r="P156" s="103"/>
      <c r="Q156" s="103"/>
      <c r="R156" s="103"/>
      <c r="S156" s="103"/>
      <c r="T156" s="103"/>
      <c r="U156" s="103"/>
      <c r="V156" s="103"/>
      <c r="W156" s="103"/>
      <c r="X156" s="103"/>
    </row>
    <row r="157" spans="1:24" ht="43.15">
      <c r="A157" s="26" t="str">
        <v>Otisville - Shoddy Hollow</v>
      </c>
      <c r="B157" s="27" t="str">
        <v>NY</v>
      </c>
      <c r="C157" s="27" t="str">
        <f>Sites[[#This Row],[SOL'#]]</f>
        <v>SOL-11185</v>
      </c>
      <c r="D157" s="9">
        <v>1135818</v>
      </c>
      <c r="E157" s="14">
        <v>1131387</v>
      </c>
      <c r="F157" s="14">
        <f t="shared" si="12"/>
        <v>4431</v>
      </c>
      <c r="G157" s="15">
        <f t="shared" si="13"/>
        <v>3.9164317779857823E-3</v>
      </c>
      <c r="H157" s="133" t="s">
        <v>941</v>
      </c>
      <c r="I157" s="16" t="str">
        <f t="shared" si="16"/>
        <v/>
      </c>
      <c r="J157" s="15" t="str">
        <f t="shared" si="15"/>
        <v/>
      </c>
      <c r="K157" s="51" t="s">
        <v>1647</v>
      </c>
      <c r="L157" s="99" t="s">
        <v>1648</v>
      </c>
      <c r="M157" s="102" t="s">
        <v>1649</v>
      </c>
      <c r="N157" s="103"/>
      <c r="O157" s="103"/>
      <c r="P157" s="103"/>
      <c r="Q157" s="103"/>
      <c r="R157" s="103"/>
      <c r="S157" s="103"/>
      <c r="T157" s="103"/>
      <c r="U157" s="103"/>
      <c r="V157" s="103"/>
      <c r="W157" s="103"/>
      <c r="X157" s="103"/>
    </row>
    <row r="158" spans="1:24" ht="28.9">
      <c r="A158" s="28" t="str">
        <v>Wellsville - Chenunda Creek</v>
      </c>
      <c r="B158" s="25" t="str">
        <v>NY</v>
      </c>
      <c r="C158" s="25" t="str">
        <f>Sites[[#This Row],[SOL'#]]</f>
        <v>SOL-11187</v>
      </c>
      <c r="D158" s="20">
        <v>621490</v>
      </c>
      <c r="E158" s="10">
        <v>619787</v>
      </c>
      <c r="F158" s="10">
        <f t="shared" si="12"/>
        <v>1703</v>
      </c>
      <c r="G158" s="11">
        <f t="shared" si="13"/>
        <v>2.7477181676930948E-3</v>
      </c>
      <c r="H158" s="132" t="s">
        <v>941</v>
      </c>
      <c r="I158" s="67" t="str">
        <f t="shared" si="16"/>
        <v/>
      </c>
      <c r="J158" s="13" t="str">
        <f t="shared" si="15"/>
        <v/>
      </c>
      <c r="K158" s="53" t="s">
        <v>1650</v>
      </c>
      <c r="L158" s="98" t="s">
        <v>1651</v>
      </c>
      <c r="M158" s="103"/>
      <c r="N158" s="103"/>
      <c r="O158" s="103"/>
      <c r="P158" s="103"/>
      <c r="Q158" s="103"/>
      <c r="R158" s="103"/>
      <c r="S158" s="103"/>
      <c r="T158" s="103"/>
      <c r="U158" s="103"/>
      <c r="V158" s="103"/>
      <c r="W158" s="103"/>
      <c r="X158" s="103"/>
    </row>
    <row r="159" spans="1:24" ht="15.6">
      <c r="A159" s="26" t="str">
        <v>DC: Washington - Essex Condominium</v>
      </c>
      <c r="B159" s="27" t="str">
        <v>DC</v>
      </c>
      <c r="C159" s="27" t="str">
        <f>Sites[[#This Row],[SOL'#]]</f>
        <v>SOL-10036</v>
      </c>
      <c r="D159" s="66">
        <v>4372</v>
      </c>
      <c r="E159" s="14">
        <v>5739</v>
      </c>
      <c r="F159" s="14">
        <f t="shared" ref="F159:F164" si="17">IF(AND(ISNUMBER(D159),ISNUMBER(E159)), D159-E159, "")</f>
        <v>-1367</v>
      </c>
      <c r="G159" s="68">
        <f t="shared" ref="G159:G164" si="18">IFERROR(F159/E159, "")</f>
        <v>-0.23819480745774524</v>
      </c>
      <c r="H159" s="125">
        <v>5314</v>
      </c>
      <c r="I159" s="69">
        <f t="shared" si="16"/>
        <v>-942</v>
      </c>
      <c r="J159" s="68">
        <f t="shared" si="15"/>
        <v>-0.17726759503199097</v>
      </c>
      <c r="K159" s="51" t="s">
        <v>1652</v>
      </c>
      <c r="L159" s="99"/>
    </row>
    <row r="160" spans="1:24" ht="43.15">
      <c r="A160" s="28" t="str">
        <v>HI: Waipahu - 94-246 Leoku St - E.F.G.</v>
      </c>
      <c r="B160" s="25" t="str">
        <v>HI</v>
      </c>
      <c r="C160" s="25" t="str">
        <f>Sites[[#This Row],[SOL'#]]</f>
        <v>SOL-10071</v>
      </c>
      <c r="D160" s="54">
        <v>10048</v>
      </c>
      <c r="E160" s="10">
        <v>13191</v>
      </c>
      <c r="F160" s="10">
        <f t="shared" si="17"/>
        <v>-3143</v>
      </c>
      <c r="G160" s="55">
        <f t="shared" si="18"/>
        <v>-0.23826851641270563</v>
      </c>
      <c r="H160" s="146">
        <v>13677</v>
      </c>
      <c r="I160" s="67">
        <f t="shared" si="16"/>
        <v>-3629</v>
      </c>
      <c r="J160" s="64">
        <f t="shared" si="15"/>
        <v>-0.26533596548950794</v>
      </c>
      <c r="K160" s="73" t="s">
        <v>1653</v>
      </c>
      <c r="L160" s="100" t="s">
        <v>1654</v>
      </c>
    </row>
    <row r="161" spans="1:12" ht="15.6">
      <c r="A161" s="26" t="str">
        <v>HI: Waipahu - 94-099 Waipahu St - PV</v>
      </c>
      <c r="B161" s="27" t="str">
        <v>HI</v>
      </c>
      <c r="C161" s="27" t="str">
        <f>Sites[[#This Row],[SOL'#]]</f>
        <v>SOL-10068</v>
      </c>
      <c r="D161" s="66">
        <v>14836</v>
      </c>
      <c r="E161" s="14">
        <v>11476</v>
      </c>
      <c r="F161" s="14">
        <f t="shared" si="17"/>
        <v>3360</v>
      </c>
      <c r="G161" s="68">
        <f t="shared" si="18"/>
        <v>0.29278494248867198</v>
      </c>
      <c r="H161" s="125">
        <v>13669</v>
      </c>
      <c r="I161" s="69">
        <f t="shared" si="16"/>
        <v>1167</v>
      </c>
      <c r="J161" s="68">
        <f t="shared" si="15"/>
        <v>8.5375667568951638E-2</v>
      </c>
      <c r="K161" s="51"/>
      <c r="L161" s="101"/>
    </row>
    <row r="162" spans="1:12" ht="15.6">
      <c r="A162" s="28" t="str">
        <v>IL: Prophetstown - 5170 Yager Road (PW)</v>
      </c>
      <c r="B162" s="25" t="str">
        <v>IL</v>
      </c>
      <c r="C162" s="25" t="str">
        <f>Sites[[#This Row],[SOL'#]]</f>
        <v>SOL-11149</v>
      </c>
      <c r="D162" s="54"/>
      <c r="E162" s="10"/>
      <c r="F162" s="10" t="str">
        <f t="shared" si="17"/>
        <v/>
      </c>
      <c r="G162" s="55" t="str">
        <f t="shared" si="18"/>
        <v/>
      </c>
      <c r="H162" s="146"/>
      <c r="I162" s="67" t="str">
        <f t="shared" si="16"/>
        <v/>
      </c>
      <c r="J162" s="64" t="str">
        <f t="shared" si="15"/>
        <v/>
      </c>
      <c r="K162" s="73"/>
      <c r="L162" s="100"/>
    </row>
    <row r="163" spans="1:12" ht="15.6">
      <c r="A163" s="26" t="str">
        <v>IL: Viola - Goldenrod - (PW)</v>
      </c>
      <c r="B163" s="27" t="str">
        <v>IL</v>
      </c>
      <c r="C163" s="27" t="str">
        <f>Sites[[#This Row],[SOL'#]]</f>
        <v>SOL-11132</v>
      </c>
      <c r="D163" s="66"/>
      <c r="E163" s="14"/>
      <c r="F163" s="14" t="str">
        <f t="shared" si="17"/>
        <v/>
      </c>
      <c r="G163" s="68" t="str">
        <f t="shared" si="18"/>
        <v/>
      </c>
      <c r="H163" s="125"/>
      <c r="I163" s="69" t="str">
        <f t="shared" si="16"/>
        <v/>
      </c>
      <c r="J163" s="68" t="str">
        <f t="shared" si="15"/>
        <v/>
      </c>
      <c r="K163" s="51"/>
      <c r="L163" s="99"/>
    </row>
    <row r="164" spans="1:12" ht="15.6">
      <c r="A164" s="28" t="str">
        <v>IL: Marengo - Grant - (PW)</v>
      </c>
      <c r="B164" s="25" t="str">
        <v>IL</v>
      </c>
      <c r="C164" s="25" t="str">
        <f>Sites[[#This Row],[SOL'#]]</f>
        <v>SOL-11147</v>
      </c>
      <c r="D164" s="54"/>
      <c r="E164" s="10"/>
      <c r="F164" s="10" t="str">
        <f t="shared" si="17"/>
        <v/>
      </c>
      <c r="G164" s="55" t="str">
        <f t="shared" si="18"/>
        <v/>
      </c>
      <c r="H164" s="146"/>
      <c r="I164" s="67" t="str">
        <f t="shared" si="16"/>
        <v/>
      </c>
      <c r="J164" s="64" t="str">
        <f t="shared" si="15"/>
        <v/>
      </c>
      <c r="K164" s="73"/>
      <c r="L164" s="100"/>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row r="173" spans="1:12">
      <c r="A173" t="str">
        <v>IL: Manhattan - Gougar (PW)</v>
      </c>
      <c r="B173" s="30" t="str">
        <v>IL</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 ref="L160" r:id="rId186" display="https://us3.assetplanner.com/service_request?ID=100622" xr:uid="{B808677A-AB6B-4F5D-94FE-243D910DD278}"/>
  </hyperlinks>
  <pageMargins left="0.4" right="0.7" top="0.25" bottom="0.25" header="0.3" footer="0.3"/>
  <pageSetup fitToHeight="99" orientation="landscape" r:id="rId18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3"/>
  <sheetViews>
    <sheetView zoomScale="70" zoomScaleNormal="70" workbookViewId="0">
      <pane xSplit="2" ySplit="3" topLeftCell="C50" activePane="bottomRight" state="frozen"/>
      <selection pane="bottomRight" activeCell="A80" sqref="A8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1" customWidth="1"/>
    <col min="8" max="9" width="13.28515625" customWidth="1"/>
    <col min="10" max="10" width="13.28515625" style="1" customWidth="1"/>
    <col min="11" max="11" width="71.5703125" customWidth="1"/>
    <col min="12" max="12" width="20.5703125" bestFit="1" customWidth="1"/>
  </cols>
  <sheetData>
    <row r="1" spans="1:23" ht="19.5" customHeight="1">
      <c r="A1" s="192" t="str" cm="1">
        <f t="array" ref="A1">portfolio</f>
        <v>Generate Capital</v>
      </c>
      <c r="B1" s="192"/>
      <c r="C1" s="192"/>
      <c r="D1" s="192"/>
      <c r="E1" s="193" t="s">
        <v>1655</v>
      </c>
      <c r="F1" s="193"/>
      <c r="G1" s="193"/>
      <c r="H1" s="191" t="s">
        <v>1656</v>
      </c>
      <c r="I1" s="191"/>
      <c r="J1" s="191"/>
      <c r="K1" s="4" t="s">
        <v>1657</v>
      </c>
      <c r="L1" s="4"/>
    </row>
    <row r="2" spans="1:23" ht="19.5" customHeight="1">
      <c r="A2" s="194" t="s">
        <v>2</v>
      </c>
      <c r="B2" s="194"/>
      <c r="C2" s="57"/>
      <c r="D2" s="5">
        <f>SUM(D4:D173)</f>
        <v>54974715.603268996</v>
      </c>
      <c r="E2" s="5">
        <f>SUM(E4:E100)</f>
        <v>27424163.825999998</v>
      </c>
      <c r="F2" s="5">
        <f>D2-E2</f>
        <v>27550551.777268998</v>
      </c>
      <c r="G2" s="158">
        <f>IFERROR(F2/E2, 0)</f>
        <v>1.0046086346358964</v>
      </c>
      <c r="H2" s="5">
        <f>SUM(H4:H173)</f>
        <v>49799707.164999992</v>
      </c>
      <c r="I2" s="7">
        <f>D2-H2</f>
        <v>5175008.4382690042</v>
      </c>
      <c r="J2" s="6">
        <f>IFERROR(I2/H2, 0)</f>
        <v>0.10391644314539425</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59" t="s">
        <v>9</v>
      </c>
      <c r="H3" s="33" t="s">
        <v>10</v>
      </c>
      <c r="I3" s="34" t="s">
        <v>8</v>
      </c>
      <c r="J3" s="35" t="s">
        <v>9</v>
      </c>
      <c r="K3" s="21" t="s">
        <v>21</v>
      </c>
      <c r="L3" s="21" t="s">
        <v>22</v>
      </c>
    </row>
    <row r="4" spans="1:23" ht="15.6">
      <c r="A4" s="28" t="str" cm="1">
        <f t="array" ref="A4:A173">Sites[Site]</f>
        <v>K026</v>
      </c>
      <c r="B4" s="25" t="str" cm="1">
        <f t="array" ref="B4:B173">Sites[State]</f>
        <v>NY</v>
      </c>
      <c r="C4" s="25" t="str">
        <f>Sites[[#This Row],[SOL'#]]</f>
        <v>SOL-10356</v>
      </c>
      <c r="D4" s="142">
        <v>25387.875</v>
      </c>
      <c r="E4" s="141">
        <v>41100.46</v>
      </c>
      <c r="F4" s="10">
        <f>IF(AND(ISNUMBER(D4),ISNUMBER(E4)), D4-E4, "")</f>
        <v>-15712.584999999999</v>
      </c>
      <c r="G4" s="11">
        <f>IFERROR(F4/E4, "")</f>
        <v>-0.38229705944896963</v>
      </c>
      <c r="H4" s="146">
        <v>38297.31</v>
      </c>
      <c r="I4" s="132">
        <f>IF(AND(ISNUMBER(D4),ISNUMBER(H4)), D4-H4, "")</f>
        <v>-12909.434999999998</v>
      </c>
      <c r="J4" s="13">
        <f>IFERROR(I4/H4, "")</f>
        <v>-0.33708464119281478</v>
      </c>
      <c r="K4" s="53" t="s">
        <v>1658</v>
      </c>
      <c r="L4" s="98" t="s">
        <v>1659</v>
      </c>
      <c r="M4" s="103"/>
      <c r="N4" s="103"/>
      <c r="O4" s="103"/>
      <c r="P4" s="103"/>
      <c r="Q4" s="103"/>
      <c r="R4" s="103"/>
      <c r="S4" s="103"/>
      <c r="T4" s="103"/>
      <c r="U4" s="103"/>
      <c r="V4" s="103"/>
      <c r="W4" s="103"/>
    </row>
    <row r="5" spans="1:23" ht="15.6">
      <c r="A5" s="26" t="str">
        <v>K041</v>
      </c>
      <c r="B5" s="27" t="str">
        <v>NY</v>
      </c>
      <c r="C5" s="140" t="str">
        <f>Sites[[#This Row],[SOL'#]]</f>
        <v>SOL-10357</v>
      </c>
      <c r="D5" s="143">
        <v>29664.65625</v>
      </c>
      <c r="E5" s="14">
        <v>33369.58</v>
      </c>
      <c r="F5" s="14">
        <f t="shared" ref="F5:F68" si="0">IF(AND(ISNUMBER(D5),ISNUMBER(E5)), D5-E5, "")</f>
        <v>-3704.9237500000017</v>
      </c>
      <c r="G5" s="15">
        <f>IFERROR(F5/E5, "")</f>
        <v>-0.11102698176003419</v>
      </c>
      <c r="H5" s="125">
        <v>28973</v>
      </c>
      <c r="I5" s="133">
        <f t="shared" ref="I5:I17" si="1">IF(AND(ISNUMBER(D5),ISNUMBER(H5)), D5-H5, "")</f>
        <v>691.65625</v>
      </c>
      <c r="J5" s="15">
        <f t="shared" ref="J5:J17" si="2">IFERROR(I5/H5, "")</f>
        <v>2.3872441583543298E-2</v>
      </c>
      <c r="K5" s="51"/>
      <c r="L5" s="51"/>
      <c r="M5" s="103"/>
      <c r="N5" s="103"/>
      <c r="O5" s="103"/>
      <c r="P5" s="103"/>
      <c r="Q5" s="103"/>
      <c r="R5" s="103"/>
      <c r="S5" s="103"/>
      <c r="T5" s="103"/>
      <c r="U5" s="103"/>
      <c r="V5" s="103"/>
      <c r="W5" s="103"/>
    </row>
    <row r="6" spans="1:23" ht="43.15">
      <c r="A6" s="24" t="str">
        <v>K043</v>
      </c>
      <c r="B6" s="25" t="str">
        <v>NY</v>
      </c>
      <c r="C6" s="25" t="str">
        <f>Sites[[#This Row],[SOL'#]]</f>
        <v>SOL-10358</v>
      </c>
      <c r="D6" s="142">
        <v>37015</v>
      </c>
      <c r="E6" s="141">
        <v>36588.199999999997</v>
      </c>
      <c r="F6" s="10">
        <f t="shared" si="0"/>
        <v>426.80000000000291</v>
      </c>
      <c r="G6" s="11">
        <f t="shared" ref="G6:G69" si="3">IFERROR(F6/E6, "")</f>
        <v>1.166496302086473E-2</v>
      </c>
      <c r="H6" s="146">
        <v>6290.8549999999996</v>
      </c>
      <c r="I6" s="132">
        <f t="shared" si="1"/>
        <v>30724.145</v>
      </c>
      <c r="J6" s="13">
        <f t="shared" si="2"/>
        <v>4.8839378748993587</v>
      </c>
      <c r="K6" s="53" t="s">
        <v>1660</v>
      </c>
      <c r="L6" s="98" t="s">
        <v>1661</v>
      </c>
      <c r="M6" s="103"/>
      <c r="N6" s="103"/>
      <c r="O6" s="103"/>
      <c r="P6" s="103"/>
      <c r="Q6" s="103"/>
      <c r="R6" s="103"/>
      <c r="S6" s="103"/>
      <c r="T6" s="103"/>
      <c r="U6" s="103"/>
      <c r="V6" s="103"/>
      <c r="W6" s="103"/>
    </row>
    <row r="7" spans="1:23" ht="26.45">
      <c r="A7" s="26" t="str">
        <v>K058</v>
      </c>
      <c r="B7" s="27" t="str">
        <v>NY</v>
      </c>
      <c r="C7" s="140" t="str">
        <f>Sites[[#This Row],[SOL'#]]</f>
        <v>SOL-10360</v>
      </c>
      <c r="D7" s="143">
        <v>25689.9374818789</v>
      </c>
      <c r="E7" s="14">
        <v>26459.759999999998</v>
      </c>
      <c r="F7" s="14">
        <f t="shared" si="0"/>
        <v>-769.82251812109826</v>
      </c>
      <c r="G7" s="15">
        <f t="shared" si="3"/>
        <v>-2.9094085438458182E-2</v>
      </c>
      <c r="H7" s="125">
        <v>28466.52</v>
      </c>
      <c r="I7" s="133">
        <f t="shared" si="1"/>
        <v>-2776.5825181211003</v>
      </c>
      <c r="J7" s="15">
        <f t="shared" si="2"/>
        <v>-9.753853010909308E-2</v>
      </c>
      <c r="K7" s="51" t="s">
        <v>1662</v>
      </c>
      <c r="L7" s="99" t="s">
        <v>1425</v>
      </c>
      <c r="M7" s="102" t="s">
        <v>1426</v>
      </c>
      <c r="N7" s="103"/>
      <c r="O7" s="103"/>
      <c r="P7" s="103"/>
      <c r="Q7" s="103"/>
      <c r="R7" s="103"/>
      <c r="S7" s="103"/>
      <c r="T7" s="103"/>
      <c r="U7" s="103"/>
      <c r="V7" s="103"/>
      <c r="W7" s="103"/>
    </row>
    <row r="8" spans="1:23" ht="28.9">
      <c r="A8" s="24" t="str">
        <v>K115</v>
      </c>
      <c r="B8" s="25" t="str">
        <v>NY</v>
      </c>
      <c r="C8" s="25" t="str">
        <f>Sites[[#This Row],[SOL'#]]</f>
        <v>SOL-10361</v>
      </c>
      <c r="D8" s="142">
        <v>5371.65625</v>
      </c>
      <c r="E8" s="141">
        <v>15184.17</v>
      </c>
      <c r="F8" s="10">
        <f t="shared" si="0"/>
        <v>-9812.5137500000001</v>
      </c>
      <c r="G8" s="11">
        <f t="shared" si="3"/>
        <v>-0.64623313292725248</v>
      </c>
      <c r="H8" s="146">
        <v>16381.54</v>
      </c>
      <c r="I8" s="132">
        <f t="shared" si="1"/>
        <v>-11009.883750000001</v>
      </c>
      <c r="J8" s="13">
        <f t="shared" si="2"/>
        <v>-0.67209088705945841</v>
      </c>
      <c r="K8" s="53" t="s">
        <v>1663</v>
      </c>
      <c r="L8" s="98" t="s">
        <v>25</v>
      </c>
      <c r="M8" s="103"/>
      <c r="N8" s="103"/>
      <c r="O8" s="103"/>
      <c r="P8" s="103"/>
      <c r="Q8" s="103"/>
      <c r="R8" s="103"/>
      <c r="S8" s="103"/>
      <c r="T8" s="103"/>
      <c r="U8" s="103"/>
      <c r="V8" s="103"/>
      <c r="W8" s="103"/>
    </row>
    <row r="9" spans="1:23" ht="15.6">
      <c r="A9" s="26" t="str">
        <v>K152</v>
      </c>
      <c r="B9" s="27" t="str">
        <v>NY</v>
      </c>
      <c r="C9" s="140" t="str">
        <f>Sites[[#This Row],[SOL'#]]</f>
        <v>SOL-10362</v>
      </c>
      <c r="D9" s="143">
        <v>10972.875</v>
      </c>
      <c r="E9" s="14">
        <v>11315.42</v>
      </c>
      <c r="F9" s="14">
        <f t="shared" si="0"/>
        <v>-342.54500000000007</v>
      </c>
      <c r="G9" s="15">
        <f t="shared" si="3"/>
        <v>-3.0272407033941299E-2</v>
      </c>
      <c r="H9" s="125">
        <v>11000</v>
      </c>
      <c r="I9" s="133">
        <f t="shared" si="1"/>
        <v>-27.125</v>
      </c>
      <c r="J9" s="15">
        <f t="shared" si="2"/>
        <v>-2.4659090909090911E-3</v>
      </c>
      <c r="K9" s="51"/>
      <c r="L9" s="51"/>
      <c r="M9" s="103"/>
      <c r="N9" s="103"/>
      <c r="O9" s="103"/>
      <c r="P9" s="103"/>
      <c r="Q9" s="103"/>
      <c r="R9" s="103"/>
      <c r="S9" s="103"/>
      <c r="T9" s="103"/>
      <c r="U9" s="103"/>
      <c r="V9" s="103"/>
      <c r="W9" s="103"/>
    </row>
    <row r="10" spans="1:23" ht="15.6">
      <c r="A10" s="24" t="str">
        <v>K166</v>
      </c>
      <c r="B10" s="25" t="str">
        <v>NY</v>
      </c>
      <c r="C10" s="25" t="str">
        <f>Sites[[#This Row],[SOL'#]]</f>
        <v>SOL-10363</v>
      </c>
      <c r="D10" s="142">
        <v>39443.125</v>
      </c>
      <c r="E10" s="141">
        <v>42852.99</v>
      </c>
      <c r="F10" s="10">
        <f t="shared" si="0"/>
        <v>-3409.864999999998</v>
      </c>
      <c r="G10" s="11">
        <f t="shared" si="3"/>
        <v>-7.9571227118574409E-2</v>
      </c>
      <c r="H10" s="146">
        <v>40444.54</v>
      </c>
      <c r="I10" s="132">
        <f t="shared" si="1"/>
        <v>-1001.4150000000009</v>
      </c>
      <c r="J10" s="13">
        <f t="shared" si="2"/>
        <v>-2.4760202489631501E-2</v>
      </c>
      <c r="K10" s="53"/>
      <c r="L10" s="53"/>
      <c r="M10" s="103"/>
      <c r="N10" s="103"/>
      <c r="O10" s="103"/>
      <c r="P10" s="103"/>
      <c r="Q10" s="103"/>
      <c r="R10" s="103"/>
      <c r="S10" s="103"/>
      <c r="T10" s="103"/>
      <c r="U10" s="103"/>
      <c r="V10" s="103"/>
      <c r="W10" s="103"/>
    </row>
    <row r="11" spans="1:23" ht="15.6">
      <c r="A11" s="26" t="str">
        <v>K206</v>
      </c>
      <c r="B11" s="27" t="str">
        <v>NY</v>
      </c>
      <c r="C11" s="140" t="str">
        <f>Sites[[#This Row],[SOL'#]]</f>
        <v>SOL-10927</v>
      </c>
      <c r="D11" s="143">
        <v>23900.015625</v>
      </c>
      <c r="E11" s="14">
        <v>22143.95</v>
      </c>
      <c r="F11" s="14">
        <f t="shared" si="0"/>
        <v>1756.0656249999993</v>
      </c>
      <c r="G11" s="15">
        <f t="shared" si="3"/>
        <v>7.9302275565109173E-2</v>
      </c>
      <c r="H11" s="125">
        <v>21657</v>
      </c>
      <c r="I11" s="133">
        <f t="shared" si="1"/>
        <v>2243.015625</v>
      </c>
      <c r="J11" s="15">
        <f t="shared" si="2"/>
        <v>0.10357000623355035</v>
      </c>
      <c r="K11" s="51"/>
      <c r="L11" s="51"/>
      <c r="M11" s="103"/>
      <c r="N11" s="103"/>
      <c r="O11" s="103"/>
      <c r="P11" s="103"/>
      <c r="Q11" s="103"/>
      <c r="R11" s="103"/>
      <c r="S11" s="103"/>
      <c r="T11" s="103"/>
      <c r="U11" s="103"/>
      <c r="V11" s="103"/>
      <c r="W11" s="103"/>
    </row>
    <row r="12" spans="1:23" ht="43.15">
      <c r="A12" s="24" t="str">
        <v>K251</v>
      </c>
      <c r="B12" s="25" t="str">
        <v>NY</v>
      </c>
      <c r="C12" s="25" t="str">
        <f>Sites[[#This Row],[SOL'#]]</f>
        <v>SOL-10365</v>
      </c>
      <c r="D12" s="142">
        <v>25397.062499999902</v>
      </c>
      <c r="E12" s="141" t="s">
        <v>661</v>
      </c>
      <c r="F12" s="10" t="str">
        <f t="shared" si="0"/>
        <v/>
      </c>
      <c r="G12" s="11" t="str">
        <f t="shared" si="3"/>
        <v/>
      </c>
      <c r="H12" s="146">
        <v>25716.15</v>
      </c>
      <c r="I12" s="132">
        <f t="shared" si="1"/>
        <v>-319.08750000009968</v>
      </c>
      <c r="J12" s="13">
        <f t="shared" si="2"/>
        <v>-1.2408058749077902E-2</v>
      </c>
      <c r="K12" s="53" t="s">
        <v>1664</v>
      </c>
      <c r="L12" s="98" t="s">
        <v>1665</v>
      </c>
      <c r="M12" s="102" t="s">
        <v>1177</v>
      </c>
      <c r="N12" s="103"/>
      <c r="O12" s="103"/>
      <c r="P12" s="103"/>
      <c r="Q12" s="103"/>
      <c r="R12" s="103"/>
      <c r="S12" s="103"/>
      <c r="T12" s="103"/>
      <c r="U12" s="103"/>
      <c r="V12" s="103"/>
      <c r="W12" s="103"/>
    </row>
    <row r="13" spans="1:23" ht="28.9">
      <c r="A13" s="26" t="str">
        <v>K269</v>
      </c>
      <c r="B13" s="27" t="str">
        <v>NY</v>
      </c>
      <c r="C13" s="140" t="str">
        <f>Sites[[#This Row],[SOL'#]]</f>
        <v>SOL-10366</v>
      </c>
      <c r="D13" s="143">
        <v>23964.625</v>
      </c>
      <c r="E13" s="14">
        <v>27883.37</v>
      </c>
      <c r="F13" s="14">
        <f t="shared" si="0"/>
        <v>-3918.744999999999</v>
      </c>
      <c r="G13" s="15">
        <f t="shared" si="3"/>
        <v>-0.14054058028136482</v>
      </c>
      <c r="H13" s="125">
        <v>23034.2</v>
      </c>
      <c r="I13" s="133">
        <f t="shared" si="1"/>
        <v>930.42499999999927</v>
      </c>
      <c r="J13" s="15">
        <f t="shared" si="2"/>
        <v>4.0393197940453728E-2</v>
      </c>
      <c r="K13" s="51" t="s">
        <v>1179</v>
      </c>
      <c r="M13" s="103"/>
      <c r="N13" s="103"/>
      <c r="O13" s="103"/>
      <c r="P13" s="103"/>
      <c r="Q13" s="103"/>
      <c r="R13" s="103"/>
      <c r="S13" s="103"/>
      <c r="T13" s="103"/>
      <c r="U13" s="103"/>
      <c r="V13" s="103"/>
      <c r="W13" s="103"/>
    </row>
    <row r="14" spans="1:23" ht="72">
      <c r="A14" s="24" t="str">
        <v>K273</v>
      </c>
      <c r="B14" s="25" t="str">
        <v>NY</v>
      </c>
      <c r="C14" s="25" t="str">
        <f>Sites[[#This Row],[SOL'#]]</f>
        <v>SOL-10367</v>
      </c>
      <c r="D14" s="142">
        <v>15821.375</v>
      </c>
      <c r="E14" s="141" t="s">
        <v>661</v>
      </c>
      <c r="F14" s="10" t="str">
        <f t="shared" si="0"/>
        <v/>
      </c>
      <c r="G14" s="11" t="str">
        <f t="shared" si="3"/>
        <v/>
      </c>
      <c r="H14" s="146">
        <v>31080</v>
      </c>
      <c r="I14" s="132">
        <f t="shared" si="1"/>
        <v>-15258.625</v>
      </c>
      <c r="J14" s="13">
        <f t="shared" si="2"/>
        <v>-0.49094675032175034</v>
      </c>
      <c r="K14" s="53" t="s">
        <v>1666</v>
      </c>
      <c r="L14" s="98" t="s">
        <v>1667</v>
      </c>
      <c r="M14" s="102" t="s">
        <v>911</v>
      </c>
      <c r="N14" s="102" t="s">
        <v>1434</v>
      </c>
      <c r="O14" s="102" t="s">
        <v>1668</v>
      </c>
      <c r="P14" s="103"/>
      <c r="Q14" s="103"/>
      <c r="R14" s="103"/>
      <c r="S14" s="103"/>
      <c r="T14" s="103"/>
      <c r="U14" s="103"/>
      <c r="V14" s="103"/>
      <c r="W14" s="103"/>
    </row>
    <row r="15" spans="1:23" ht="28.9">
      <c r="A15" s="26" t="str">
        <v>K287</v>
      </c>
      <c r="B15" s="27" t="str">
        <v>NY</v>
      </c>
      <c r="C15" s="140" t="str">
        <f>Sites[[#This Row],[SOL'#]]</f>
        <v>SOL-10919</v>
      </c>
      <c r="D15" s="143">
        <v>20571.75</v>
      </c>
      <c r="E15" s="14">
        <v>17766.419999999998</v>
      </c>
      <c r="F15" s="14">
        <f t="shared" si="0"/>
        <v>2805.3300000000017</v>
      </c>
      <c r="G15" s="15">
        <f t="shared" si="3"/>
        <v>0.15790069130415707</v>
      </c>
      <c r="H15" s="125">
        <v>19892</v>
      </c>
      <c r="I15" s="133">
        <f t="shared" si="1"/>
        <v>679.75</v>
      </c>
      <c r="J15" s="15">
        <f t="shared" si="2"/>
        <v>3.417202895636437E-2</v>
      </c>
      <c r="K15" s="51" t="s">
        <v>1669</v>
      </c>
      <c r="L15" s="51"/>
      <c r="M15" s="103"/>
      <c r="N15" s="103"/>
      <c r="O15" s="103"/>
      <c r="P15" s="103"/>
      <c r="Q15" s="103"/>
      <c r="R15" s="103"/>
      <c r="S15" s="103"/>
      <c r="T15" s="103"/>
      <c r="U15" s="103"/>
      <c r="V15" s="103"/>
      <c r="W15" s="103"/>
    </row>
    <row r="16" spans="1:23" ht="15.6">
      <c r="A16" s="24" t="str">
        <v>K298</v>
      </c>
      <c r="B16" s="25" t="str">
        <v>NY</v>
      </c>
      <c r="C16" s="25" t="str">
        <f>Sites[[#This Row],[SOL'#]]</f>
        <v>SOL-10368</v>
      </c>
      <c r="D16" s="142">
        <v>22554.125</v>
      </c>
      <c r="E16" s="141">
        <v>23679.06</v>
      </c>
      <c r="F16" s="10">
        <f t="shared" si="0"/>
        <v>-1124.9350000000013</v>
      </c>
      <c r="G16" s="11">
        <f t="shared" si="3"/>
        <v>-4.7507586872114066E-2</v>
      </c>
      <c r="H16" s="146">
        <v>22900</v>
      </c>
      <c r="I16" s="132">
        <f t="shared" si="1"/>
        <v>-345.875</v>
      </c>
      <c r="J16" s="13">
        <f t="shared" si="2"/>
        <v>-1.5103711790393014E-2</v>
      </c>
      <c r="K16" s="53"/>
      <c r="L16" s="53"/>
      <c r="M16" s="103"/>
      <c r="N16" s="103"/>
      <c r="O16" s="103"/>
      <c r="P16" s="103"/>
      <c r="Q16" s="103"/>
      <c r="R16" s="103"/>
      <c r="S16" s="103"/>
      <c r="T16" s="103"/>
      <c r="U16" s="103"/>
      <c r="V16" s="103"/>
      <c r="W16" s="103"/>
    </row>
    <row r="17" spans="1:23" ht="28.9">
      <c r="A17" s="26" t="str">
        <v>K335</v>
      </c>
      <c r="B17" s="27" t="str">
        <v>NY</v>
      </c>
      <c r="C17" s="140" t="str">
        <f>Sites[[#This Row],[SOL'#]]</f>
        <v>SOL-10370</v>
      </c>
      <c r="D17" s="143">
        <v>23670.5625</v>
      </c>
      <c r="E17" s="14">
        <v>26153.439999999999</v>
      </c>
      <c r="F17" s="14">
        <f t="shared" si="0"/>
        <v>-2482.8774999999987</v>
      </c>
      <c r="G17" s="15">
        <f t="shared" si="3"/>
        <v>-9.4935025755694041E-2</v>
      </c>
      <c r="H17" s="125">
        <v>25730</v>
      </c>
      <c r="I17" s="133">
        <f t="shared" si="1"/>
        <v>-2059.4375</v>
      </c>
      <c r="J17" s="15">
        <f t="shared" si="2"/>
        <v>-8.0040322580645168E-2</v>
      </c>
      <c r="K17" s="51" t="s">
        <v>1670</v>
      </c>
      <c r="L17" s="51"/>
      <c r="M17" s="103"/>
      <c r="N17" s="103"/>
      <c r="O17" s="103"/>
      <c r="P17" s="103"/>
      <c r="Q17" s="103"/>
      <c r="R17" s="103"/>
      <c r="S17" s="103"/>
      <c r="T17" s="103"/>
      <c r="U17" s="103"/>
      <c r="V17" s="103"/>
      <c r="W17" s="103"/>
    </row>
    <row r="18" spans="1:23" ht="70.349999999999994" customHeight="1">
      <c r="A18" s="24" t="str">
        <v>K345</v>
      </c>
      <c r="B18" s="25" t="str">
        <v>NY</v>
      </c>
      <c r="C18" s="25" t="str">
        <f>Sites[[#This Row],[SOL'#]]</f>
        <v>SOL-10920</v>
      </c>
      <c r="D18" s="142">
        <v>27708.40625</v>
      </c>
      <c r="E18" s="141">
        <v>16063.37</v>
      </c>
      <c r="F18" s="10">
        <f t="shared" si="0"/>
        <v>11645.036249999999</v>
      </c>
      <c r="G18" s="11">
        <f t="shared" si="3"/>
        <v>0.7249435361322063</v>
      </c>
      <c r="H18" s="146">
        <v>26340</v>
      </c>
      <c r="I18" s="132">
        <f t="shared" ref="I18:I81" si="4">IF(AND(ISNUMBER(D18),ISNUMBER(H18)), D18-H18, "")</f>
        <v>1368.40625</v>
      </c>
      <c r="J18" s="13">
        <f t="shared" ref="J18:J81" si="5">IFERROR(I18/H18, "")</f>
        <v>5.195164198936978E-2</v>
      </c>
      <c r="K18" s="53" t="s">
        <v>1671</v>
      </c>
      <c r="L18" s="98" t="s">
        <v>1438</v>
      </c>
      <c r="M18" s="103"/>
      <c r="N18" s="103"/>
      <c r="O18" s="103"/>
      <c r="P18" s="103"/>
      <c r="Q18" s="103"/>
      <c r="R18" s="103"/>
      <c r="S18" s="103"/>
      <c r="T18" s="103"/>
      <c r="U18" s="103"/>
      <c r="V18" s="103"/>
      <c r="W18" s="103"/>
    </row>
    <row r="19" spans="1:23" ht="15.6">
      <c r="A19" s="26" t="str">
        <v>K445</v>
      </c>
      <c r="B19" s="27" t="str">
        <v>NY</v>
      </c>
      <c r="C19" s="140" t="str">
        <f>Sites[[#This Row],[SOL'#]]</f>
        <v>SOL-10373</v>
      </c>
      <c r="D19" s="143">
        <v>22595.343749999902</v>
      </c>
      <c r="E19" s="14">
        <v>24700.37</v>
      </c>
      <c r="F19" s="14">
        <f t="shared" si="0"/>
        <v>-2105.0262500000972</v>
      </c>
      <c r="G19" s="15">
        <f t="shared" si="3"/>
        <v>-8.5222458206095586E-2</v>
      </c>
      <c r="H19" s="125">
        <v>21831.14</v>
      </c>
      <c r="I19" s="133">
        <f t="shared" si="4"/>
        <v>764.20374999990236</v>
      </c>
      <c r="J19" s="15">
        <f t="shared" si="5"/>
        <v>3.5005215027703658E-2</v>
      </c>
      <c r="K19" s="51"/>
      <c r="L19" s="51"/>
      <c r="M19" s="103"/>
      <c r="N19" s="103"/>
      <c r="O19" s="103"/>
      <c r="P19" s="103"/>
      <c r="Q19" s="103"/>
      <c r="R19" s="103"/>
      <c r="S19" s="103"/>
      <c r="T19" s="103"/>
      <c r="U19" s="103"/>
      <c r="V19" s="103"/>
      <c r="W19" s="103"/>
    </row>
    <row r="20" spans="1:23" ht="72">
      <c r="A20" s="24" t="str">
        <v>K495</v>
      </c>
      <c r="B20" s="25" t="str">
        <v>NY</v>
      </c>
      <c r="C20" s="25" t="str">
        <f>Sites[[#This Row],[SOL'#]]</f>
        <v>SOL-10374</v>
      </c>
      <c r="D20" s="142">
        <v>92612.7795226132</v>
      </c>
      <c r="E20" s="141">
        <v>95773.440000000002</v>
      </c>
      <c r="F20" s="10">
        <f t="shared" si="0"/>
        <v>-3160.6604773868021</v>
      </c>
      <c r="G20" s="11">
        <f t="shared" si="3"/>
        <v>-3.3001430014279555E-2</v>
      </c>
      <c r="H20" s="146">
        <v>96093.38</v>
      </c>
      <c r="I20" s="132">
        <f t="shared" si="4"/>
        <v>-3480.6004773868044</v>
      </c>
      <c r="J20" s="13">
        <f t="shared" si="5"/>
        <v>-3.6221022482368755E-2</v>
      </c>
      <c r="K20" s="53" t="s">
        <v>915</v>
      </c>
      <c r="L20" s="98" t="s">
        <v>1672</v>
      </c>
      <c r="M20" s="102" t="s">
        <v>1673</v>
      </c>
      <c r="N20" s="103"/>
      <c r="O20" s="103"/>
      <c r="P20" s="103"/>
      <c r="Q20" s="103"/>
      <c r="R20" s="103"/>
      <c r="S20" s="103"/>
      <c r="T20" s="103"/>
      <c r="U20" s="103"/>
      <c r="V20" s="103"/>
      <c r="W20" s="103"/>
    </row>
    <row r="21" spans="1:23" ht="15.6">
      <c r="A21" s="26" t="str">
        <v>M020</v>
      </c>
      <c r="B21" s="27" t="str">
        <v>NY</v>
      </c>
      <c r="C21" s="140" t="str">
        <f>Sites[[#This Row],[SOL'#]]</f>
        <v>SOL-10380</v>
      </c>
      <c r="D21" s="143">
        <v>24930.84375</v>
      </c>
      <c r="E21" s="14">
        <v>25352.02</v>
      </c>
      <c r="F21" s="14">
        <f t="shared" si="0"/>
        <v>-421.17625000000044</v>
      </c>
      <c r="G21" s="15">
        <f t="shared" si="3"/>
        <v>-1.6613123924641919E-2</v>
      </c>
      <c r="H21" s="125">
        <v>25211</v>
      </c>
      <c r="I21" s="133">
        <f t="shared" si="4"/>
        <v>-280.15625</v>
      </c>
      <c r="J21" s="15">
        <f t="shared" si="5"/>
        <v>-1.1112460830589822E-2</v>
      </c>
      <c r="K21" s="51"/>
      <c r="L21" s="51"/>
      <c r="M21" s="103"/>
      <c r="N21" s="103"/>
      <c r="O21" s="103"/>
      <c r="P21" s="103"/>
      <c r="Q21" s="103"/>
      <c r="R21" s="103"/>
      <c r="S21" s="103"/>
      <c r="T21" s="103"/>
      <c r="U21" s="103"/>
      <c r="V21" s="103"/>
      <c r="W21" s="103"/>
    </row>
    <row r="22" spans="1:23" ht="15.6">
      <c r="A22" s="24" t="str">
        <v>M092</v>
      </c>
      <c r="B22" s="25" t="str">
        <v>NY</v>
      </c>
      <c r="C22" s="25" t="str">
        <f>Sites[[#This Row],[SOL'#]]</f>
        <v>SOL-10383</v>
      </c>
      <c r="D22" s="142">
        <v>24807.1875</v>
      </c>
      <c r="E22" s="141">
        <v>26333.54</v>
      </c>
      <c r="F22" s="10">
        <f t="shared" si="0"/>
        <v>-1526.3525000000009</v>
      </c>
      <c r="G22" s="11">
        <f t="shared" si="3"/>
        <v>-5.7962298270570568E-2</v>
      </c>
      <c r="H22" s="146">
        <v>23750.38</v>
      </c>
      <c r="I22" s="132">
        <f t="shared" si="4"/>
        <v>1056.807499999999</v>
      </c>
      <c r="J22" s="13">
        <f t="shared" si="5"/>
        <v>4.4496445951601571E-2</v>
      </c>
      <c r="K22" s="53"/>
      <c r="L22" s="53"/>
      <c r="M22" s="103"/>
      <c r="N22" s="103"/>
      <c r="O22" s="103"/>
      <c r="P22" s="103"/>
      <c r="Q22" s="103"/>
      <c r="R22" s="103"/>
      <c r="S22" s="103"/>
      <c r="T22" s="103"/>
      <c r="U22" s="103"/>
      <c r="V22" s="103"/>
      <c r="W22" s="103"/>
    </row>
    <row r="23" spans="1:23" ht="15.6">
      <c r="A23" s="26" t="str">
        <v>M143</v>
      </c>
      <c r="B23" s="27" t="str">
        <v>NY</v>
      </c>
      <c r="C23" s="140" t="str">
        <f>Sites[[#This Row],[SOL'#]]</f>
        <v>SOL-10384</v>
      </c>
      <c r="D23" s="143">
        <v>26852.374999999902</v>
      </c>
      <c r="E23" s="14">
        <v>32610.05</v>
      </c>
      <c r="F23" s="14">
        <f t="shared" si="0"/>
        <v>-5757.6750000000975</v>
      </c>
      <c r="G23" s="15">
        <f t="shared" si="3"/>
        <v>-0.17656136681790116</v>
      </c>
      <c r="H23" s="125">
        <v>25919.279999999999</v>
      </c>
      <c r="I23" s="133">
        <f t="shared" si="4"/>
        <v>933.09499999990294</v>
      </c>
      <c r="J23" s="15">
        <f t="shared" si="5"/>
        <v>3.6000035494809388E-2</v>
      </c>
      <c r="K23" s="51" t="s">
        <v>1188</v>
      </c>
      <c r="L23" s="99" t="s">
        <v>1439</v>
      </c>
      <c r="M23" s="103"/>
      <c r="N23" s="103"/>
      <c r="O23" s="103"/>
      <c r="P23" s="103"/>
      <c r="Q23" s="103"/>
      <c r="R23" s="103"/>
      <c r="S23" s="103"/>
      <c r="T23" s="103"/>
      <c r="U23" s="103"/>
      <c r="V23" s="103"/>
      <c r="W23" s="103"/>
    </row>
    <row r="24" spans="1:23" ht="15.6">
      <c r="A24" s="24" t="str">
        <v>M144</v>
      </c>
      <c r="B24" s="25" t="str">
        <v>NY</v>
      </c>
      <c r="C24" s="25" t="str">
        <f>Sites[[#This Row],[SOL'#]]</f>
        <v>SOL-10385</v>
      </c>
      <c r="D24" s="142">
        <v>40468.5625</v>
      </c>
      <c r="E24" s="141">
        <v>44100.43</v>
      </c>
      <c r="F24" s="10">
        <f t="shared" si="0"/>
        <v>-3631.8675000000003</v>
      </c>
      <c r="G24" s="11">
        <f t="shared" si="3"/>
        <v>-8.2354469106083558E-2</v>
      </c>
      <c r="H24" s="146">
        <v>43639.62</v>
      </c>
      <c r="I24" s="132">
        <f t="shared" si="4"/>
        <v>-3171.0575000000026</v>
      </c>
      <c r="J24" s="13">
        <f t="shared" si="5"/>
        <v>-7.2664645109192114E-2</v>
      </c>
      <c r="K24" s="53"/>
      <c r="L24" s="53"/>
      <c r="M24" s="103"/>
      <c r="N24" s="103"/>
      <c r="O24" s="103"/>
      <c r="P24" s="103"/>
      <c r="Q24" s="103"/>
      <c r="R24" s="103"/>
      <c r="S24" s="103"/>
      <c r="T24" s="103"/>
      <c r="U24" s="103"/>
      <c r="V24" s="103"/>
      <c r="W24" s="103"/>
    </row>
    <row r="25" spans="1:23" ht="28.9">
      <c r="A25" s="26" t="str">
        <v>M167</v>
      </c>
      <c r="B25" s="27" t="str">
        <v>NY</v>
      </c>
      <c r="C25" s="140" t="str">
        <f>Sites[[#This Row],[SOL'#]]</f>
        <v>SOL-10386</v>
      </c>
      <c r="D25" s="143">
        <v>29635.59375</v>
      </c>
      <c r="E25" s="14">
        <v>22915.599999999999</v>
      </c>
      <c r="F25" s="14">
        <f t="shared" si="0"/>
        <v>6719.9937500000015</v>
      </c>
      <c r="G25" s="15">
        <f t="shared" si="3"/>
        <v>0.29324974035155099</v>
      </c>
      <c r="H25" s="125">
        <v>31794.959999999999</v>
      </c>
      <c r="I25" s="133">
        <f t="shared" si="4"/>
        <v>-2159.3662499999991</v>
      </c>
      <c r="J25" s="15">
        <f t="shared" si="5"/>
        <v>-6.791536300092843E-2</v>
      </c>
      <c r="K25" s="51" t="s">
        <v>1674</v>
      </c>
      <c r="L25" s="51"/>
      <c r="M25" s="103"/>
      <c r="N25" s="103"/>
      <c r="O25" s="103"/>
      <c r="P25" s="103"/>
      <c r="Q25" s="103"/>
      <c r="R25" s="103"/>
      <c r="S25" s="103"/>
      <c r="T25" s="103"/>
      <c r="U25" s="103"/>
      <c r="V25" s="103"/>
      <c r="W25" s="103"/>
    </row>
    <row r="26" spans="1:23" ht="15.6">
      <c r="A26" s="24" t="str">
        <v>M188</v>
      </c>
      <c r="B26" s="25" t="str">
        <v>NY</v>
      </c>
      <c r="C26" s="25" t="str">
        <f>Sites[[#This Row],[SOL'#]]</f>
        <v>SOL-10387</v>
      </c>
      <c r="D26" s="142">
        <v>20889.40625</v>
      </c>
      <c r="E26" s="141">
        <v>21532.78</v>
      </c>
      <c r="F26" s="10">
        <f t="shared" si="0"/>
        <v>-643.37374999999884</v>
      </c>
      <c r="G26" s="11">
        <f t="shared" si="3"/>
        <v>-2.9878805709248824E-2</v>
      </c>
      <c r="H26" s="146">
        <v>22453.19</v>
      </c>
      <c r="I26" s="132">
        <f t="shared" si="4"/>
        <v>-1563.7837499999987</v>
      </c>
      <c r="J26" s="13">
        <f t="shared" si="5"/>
        <v>-6.9646395456503002E-2</v>
      </c>
      <c r="K26" s="53"/>
      <c r="L26" s="53"/>
      <c r="M26" s="103"/>
      <c r="N26" s="103"/>
      <c r="O26" s="103"/>
      <c r="P26" s="103"/>
      <c r="Q26" s="103"/>
      <c r="R26" s="103"/>
      <c r="S26" s="103"/>
      <c r="T26" s="103"/>
      <c r="U26" s="103"/>
      <c r="V26" s="103"/>
      <c r="W26" s="103"/>
    </row>
    <row r="27" spans="1:23" ht="43.15">
      <c r="A27" s="26" t="str">
        <v>EMHC</v>
      </c>
      <c r="B27" s="27" t="str">
        <v>NY</v>
      </c>
      <c r="C27" s="144" t="str">
        <f>Sites[[#This Row],[SOL'#]]</f>
        <v>SOL-10351</v>
      </c>
      <c r="D27" s="143">
        <v>9480.9921875</v>
      </c>
      <c r="E27" s="14">
        <v>6968.1949999999997</v>
      </c>
      <c r="F27" s="14">
        <f t="shared" si="0"/>
        <v>2512.7971875000003</v>
      </c>
      <c r="G27" s="15">
        <f t="shared" si="3"/>
        <v>0.36060948172374629</v>
      </c>
      <c r="H27" s="125">
        <v>10404.48</v>
      </c>
      <c r="I27" s="133">
        <f t="shared" si="4"/>
        <v>-923.48781249999956</v>
      </c>
      <c r="J27" s="15">
        <f t="shared" si="5"/>
        <v>-8.8758670543842608E-2</v>
      </c>
      <c r="K27" s="51" t="s">
        <v>1675</v>
      </c>
      <c r="L27" s="99" t="s">
        <v>1676</v>
      </c>
      <c r="M27" s="103"/>
      <c r="N27" s="103"/>
      <c r="O27" s="103"/>
      <c r="P27" s="103"/>
      <c r="Q27" s="103"/>
      <c r="R27" s="103"/>
      <c r="S27" s="103"/>
      <c r="T27" s="103"/>
      <c r="U27" s="103"/>
      <c r="V27" s="103"/>
      <c r="W27" s="103"/>
    </row>
    <row r="28" spans="1:23" ht="28.9">
      <c r="A28" s="24" t="str">
        <v>Q008</v>
      </c>
      <c r="B28" s="25" t="str">
        <v>NY</v>
      </c>
      <c r="C28" s="25" t="str">
        <f>Sites[[#This Row],[SOL'#]]</f>
        <v>SOL-10397</v>
      </c>
      <c r="D28" s="142">
        <v>4112.8746403309597</v>
      </c>
      <c r="E28" s="141">
        <v>4516.5820000000003</v>
      </c>
      <c r="F28" s="10">
        <f t="shared" si="0"/>
        <v>-403.70735966904067</v>
      </c>
      <c r="G28" s="11">
        <f t="shared" si="3"/>
        <v>-8.9383378773825128E-2</v>
      </c>
      <c r="H28" s="146">
        <v>31495</v>
      </c>
      <c r="I28" s="132">
        <f t="shared" si="4"/>
        <v>-27382.12535966904</v>
      </c>
      <c r="J28" s="13">
        <f t="shared" si="5"/>
        <v>-0.86941182281851215</v>
      </c>
      <c r="K28" s="53" t="s">
        <v>1677</v>
      </c>
      <c r="L28" s="98" t="s">
        <v>1678</v>
      </c>
      <c r="M28" s="102" t="s">
        <v>1679</v>
      </c>
      <c r="N28" s="103"/>
      <c r="O28" s="103"/>
      <c r="P28" s="103"/>
      <c r="Q28" s="103"/>
      <c r="R28" s="103"/>
      <c r="S28" s="103"/>
      <c r="T28" s="103"/>
      <c r="U28" s="103"/>
      <c r="V28" s="103"/>
      <c r="W28" s="103"/>
    </row>
    <row r="29" spans="1:23" ht="15.6">
      <c r="A29" s="26" t="str">
        <v>Q018</v>
      </c>
      <c r="B29" s="27" t="str">
        <v>NY</v>
      </c>
      <c r="C29" s="140" t="str">
        <f>Sites[[#This Row],[SOL'#]]</f>
        <v>SOL-10398</v>
      </c>
      <c r="D29" s="143">
        <v>21744.125</v>
      </c>
      <c r="E29" s="14">
        <v>23671.38</v>
      </c>
      <c r="F29" s="14">
        <f t="shared" si="0"/>
        <v>-1927.255000000001</v>
      </c>
      <c r="G29" s="15">
        <f t="shared" si="3"/>
        <v>-8.1417095243285387E-2</v>
      </c>
      <c r="H29" s="125">
        <v>20045.95</v>
      </c>
      <c r="I29" s="133">
        <f t="shared" si="4"/>
        <v>1698.1749999999993</v>
      </c>
      <c r="J29" s="15">
        <f t="shared" si="5"/>
        <v>8.4714119310883212E-2</v>
      </c>
      <c r="K29" s="51"/>
      <c r="L29" s="51"/>
      <c r="M29" s="103"/>
      <c r="N29" s="103"/>
      <c r="O29" s="103"/>
      <c r="P29" s="103"/>
      <c r="Q29" s="103"/>
      <c r="R29" s="103"/>
      <c r="S29" s="103"/>
      <c r="T29" s="103"/>
      <c r="U29" s="103"/>
      <c r="V29" s="103"/>
      <c r="W29" s="103"/>
    </row>
    <row r="30" spans="1:23" ht="15.6">
      <c r="A30" s="24" t="str">
        <v>Q021</v>
      </c>
      <c r="B30" s="25" t="str">
        <v>NY</v>
      </c>
      <c r="C30" s="25" t="str">
        <f>Sites[[#This Row],[SOL'#]]</f>
        <v>SOL-10399</v>
      </c>
      <c r="D30" s="142">
        <v>17483.25</v>
      </c>
      <c r="E30" s="141">
        <v>17280.21</v>
      </c>
      <c r="F30" s="10">
        <f t="shared" si="0"/>
        <v>203.04000000000087</v>
      </c>
      <c r="G30" s="11">
        <f t="shared" si="3"/>
        <v>1.1749857206596499E-2</v>
      </c>
      <c r="H30" s="146">
        <v>16869.41</v>
      </c>
      <c r="I30" s="132">
        <f t="shared" si="4"/>
        <v>613.84000000000015</v>
      </c>
      <c r="J30" s="13">
        <f t="shared" si="5"/>
        <v>3.6387757485294395E-2</v>
      </c>
      <c r="K30" s="53"/>
      <c r="L30" s="53"/>
      <c r="M30" s="103"/>
      <c r="N30" s="103"/>
      <c r="O30" s="103"/>
      <c r="P30" s="103"/>
      <c r="Q30" s="103"/>
      <c r="R30" s="103"/>
      <c r="S30" s="103"/>
      <c r="T30" s="103"/>
      <c r="U30" s="103"/>
      <c r="V30" s="103"/>
      <c r="W30" s="103"/>
    </row>
    <row r="31" spans="1:23" ht="28.9">
      <c r="A31" s="26" t="str">
        <v>Q025</v>
      </c>
      <c r="B31" s="27" t="str">
        <v>NY</v>
      </c>
      <c r="C31" s="140" t="str">
        <f>Sites[[#This Row],[SOL'#]]</f>
        <v>SOL-10400</v>
      </c>
      <c r="D31" s="143">
        <v>29830.5625</v>
      </c>
      <c r="E31" s="14">
        <v>29222.12</v>
      </c>
      <c r="F31" s="14">
        <f t="shared" si="0"/>
        <v>608.44250000000102</v>
      </c>
      <c r="G31" s="15">
        <f t="shared" si="3"/>
        <v>2.082129907070401E-2</v>
      </c>
      <c r="H31" s="125">
        <v>14697</v>
      </c>
      <c r="I31" s="133">
        <f t="shared" si="4"/>
        <v>15133.5625</v>
      </c>
      <c r="J31" s="15">
        <f t="shared" si="5"/>
        <v>1.0297041913315643</v>
      </c>
      <c r="K31" s="51" t="s">
        <v>1680</v>
      </c>
      <c r="L31" s="51"/>
      <c r="M31" s="103"/>
      <c r="N31" s="103"/>
      <c r="O31" s="103"/>
      <c r="P31" s="103"/>
      <c r="Q31" s="103"/>
      <c r="R31" s="103"/>
      <c r="S31" s="103"/>
      <c r="T31" s="103"/>
      <c r="U31" s="103"/>
      <c r="V31" s="103"/>
      <c r="W31" s="103"/>
    </row>
    <row r="32" spans="1:23" ht="15.6">
      <c r="A32" s="24" t="str">
        <v>Q074</v>
      </c>
      <c r="B32" s="25" t="str">
        <v>NY</v>
      </c>
      <c r="C32" s="25" t="str">
        <f>Sites[[#This Row],[SOL'#]]</f>
        <v>SOL-10402</v>
      </c>
      <c r="D32" s="142">
        <v>19681.4375</v>
      </c>
      <c r="E32" s="141">
        <v>19392.61</v>
      </c>
      <c r="F32" s="10">
        <f t="shared" si="0"/>
        <v>288.82749999999942</v>
      </c>
      <c r="G32" s="11">
        <f t="shared" si="3"/>
        <v>1.4893688884580229E-2</v>
      </c>
      <c r="H32" s="146">
        <v>19027.009999999998</v>
      </c>
      <c r="I32" s="132">
        <f t="shared" si="4"/>
        <v>654.4275000000016</v>
      </c>
      <c r="J32" s="13">
        <f t="shared" si="5"/>
        <v>3.439465790999225E-2</v>
      </c>
      <c r="K32" s="53"/>
      <c r="L32" s="53"/>
      <c r="M32" s="103"/>
      <c r="N32" s="103"/>
      <c r="O32" s="103"/>
      <c r="P32" s="103"/>
      <c r="Q32" s="103"/>
      <c r="R32" s="103"/>
      <c r="S32" s="103"/>
      <c r="T32" s="103"/>
      <c r="U32" s="103"/>
      <c r="V32" s="103"/>
      <c r="W32" s="103"/>
    </row>
    <row r="33" spans="1:23" ht="15.6">
      <c r="A33" s="26" t="str">
        <v>Q115</v>
      </c>
      <c r="B33" s="27" t="str">
        <v>NY</v>
      </c>
      <c r="C33" s="140" t="str">
        <f>Sites[[#This Row],[SOL'#]]</f>
        <v>SOL-10872</v>
      </c>
      <c r="D33" s="143">
        <v>25297.812499999902</v>
      </c>
      <c r="E33" s="14">
        <v>27092.84</v>
      </c>
      <c r="F33" s="14">
        <f t="shared" si="0"/>
        <v>-1795.0275000000984</v>
      </c>
      <c r="G33" s="15">
        <f t="shared" si="3"/>
        <v>-6.6254682048840149E-2</v>
      </c>
      <c r="H33" s="125">
        <v>25304.7</v>
      </c>
      <c r="I33" s="133">
        <f t="shared" si="4"/>
        <v>-6.887500000098953</v>
      </c>
      <c r="J33" s="15">
        <f t="shared" si="5"/>
        <v>-2.7218263801186945E-4</v>
      </c>
      <c r="K33" s="51"/>
      <c r="L33" s="51"/>
      <c r="M33" s="103"/>
      <c r="N33" s="103"/>
      <c r="O33" s="103"/>
      <c r="P33" s="103"/>
      <c r="Q33" s="103"/>
      <c r="R33" s="103"/>
      <c r="S33" s="103"/>
      <c r="T33" s="103"/>
      <c r="U33" s="103"/>
      <c r="V33" s="103"/>
      <c r="W33" s="103"/>
    </row>
    <row r="34" spans="1:23" ht="28.9">
      <c r="A34" s="24" t="str">
        <v>Q139</v>
      </c>
      <c r="B34" s="25" t="str">
        <v>NY</v>
      </c>
      <c r="C34" s="25" t="str">
        <f>Sites[[#This Row],[SOL'#]]</f>
        <v>SOL-10403</v>
      </c>
      <c r="D34" s="142">
        <v>15065.78125</v>
      </c>
      <c r="E34" s="141">
        <v>16401.54</v>
      </c>
      <c r="F34" s="10">
        <f t="shared" si="0"/>
        <v>-1335.7587500000009</v>
      </c>
      <c r="G34" s="11">
        <f t="shared" si="3"/>
        <v>-8.1441056754426769E-2</v>
      </c>
      <c r="H34" s="146">
        <v>15998</v>
      </c>
      <c r="I34" s="132">
        <f t="shared" si="4"/>
        <v>-932.21875</v>
      </c>
      <c r="J34" s="13">
        <f t="shared" si="5"/>
        <v>-5.8270955744468056E-2</v>
      </c>
      <c r="K34" s="53" t="s">
        <v>1445</v>
      </c>
      <c r="L34" s="98" t="s">
        <v>1446</v>
      </c>
      <c r="M34" s="103"/>
      <c r="N34" s="103"/>
      <c r="O34" s="103"/>
      <c r="P34" s="103"/>
      <c r="Q34" s="103"/>
      <c r="R34" s="103"/>
      <c r="S34" s="103"/>
      <c r="T34" s="103"/>
      <c r="U34" s="103"/>
      <c r="V34" s="103"/>
      <c r="W34" s="103"/>
    </row>
    <row r="35" spans="1:23" ht="43.15">
      <c r="A35" s="26" t="str">
        <v>Q157</v>
      </c>
      <c r="B35" s="27" t="str">
        <v>NY</v>
      </c>
      <c r="C35" s="140" t="str">
        <f>Sites[[#This Row],[SOL'#]]</f>
        <v>SOL-10404</v>
      </c>
      <c r="D35" s="143">
        <v>23352.1875</v>
      </c>
      <c r="E35" s="14">
        <v>30752.33</v>
      </c>
      <c r="F35" s="14">
        <f t="shared" si="0"/>
        <v>-7400.1425000000017</v>
      </c>
      <c r="G35" s="15">
        <f t="shared" si="3"/>
        <v>-0.24063680703218265</v>
      </c>
      <c r="H35" s="125">
        <v>28355.47</v>
      </c>
      <c r="I35" s="133">
        <f t="shared" si="4"/>
        <v>-5003.2825000000012</v>
      </c>
      <c r="J35" s="15">
        <f t="shared" si="5"/>
        <v>-0.17644858293655513</v>
      </c>
      <c r="K35" s="51" t="s">
        <v>1681</v>
      </c>
      <c r="L35" s="99" t="s">
        <v>1682</v>
      </c>
      <c r="M35" s="103"/>
      <c r="N35" s="103"/>
      <c r="O35" s="103"/>
      <c r="P35" s="103"/>
      <c r="Q35" s="103"/>
      <c r="R35" s="103"/>
      <c r="S35" s="103"/>
      <c r="T35" s="103"/>
      <c r="U35" s="103"/>
      <c r="V35" s="103"/>
      <c r="W35" s="103"/>
    </row>
    <row r="36" spans="1:23" ht="15.6">
      <c r="A36" s="24" t="str">
        <v>Q192</v>
      </c>
      <c r="B36" s="25" t="str">
        <v>NY</v>
      </c>
      <c r="C36" s="25" t="str">
        <f>Sites[[#This Row],[SOL'#]]</f>
        <v>SOL-10406</v>
      </c>
      <c r="D36" s="142">
        <v>41920.249999999804</v>
      </c>
      <c r="E36" s="141">
        <v>46029.85</v>
      </c>
      <c r="F36" s="10">
        <f t="shared" si="0"/>
        <v>-4109.600000000195</v>
      </c>
      <c r="G36" s="11">
        <f t="shared" si="3"/>
        <v>-8.9281194703006744E-2</v>
      </c>
      <c r="H36" s="146">
        <v>41191.199999999997</v>
      </c>
      <c r="I36" s="132">
        <f t="shared" si="4"/>
        <v>729.04999999980646</v>
      </c>
      <c r="J36" s="13">
        <f t="shared" si="5"/>
        <v>1.7699168754486554E-2</v>
      </c>
      <c r="K36" s="53"/>
      <c r="L36" s="53"/>
      <c r="M36" s="103"/>
      <c r="N36" s="103"/>
      <c r="O36" s="103"/>
      <c r="P36" s="103"/>
      <c r="Q36" s="103"/>
      <c r="R36" s="103"/>
      <c r="S36" s="103"/>
      <c r="T36" s="103"/>
      <c r="U36" s="103"/>
      <c r="V36" s="103"/>
      <c r="W36" s="103"/>
    </row>
    <row r="37" spans="1:23" ht="25.15" customHeight="1">
      <c r="A37" s="26" t="str">
        <v>Q210</v>
      </c>
      <c r="B37" s="27" t="str">
        <v>NY</v>
      </c>
      <c r="C37" s="140" t="str">
        <f>Sites[[#This Row],[SOL'#]]</f>
        <v>SOL-10407</v>
      </c>
      <c r="D37" s="143">
        <v>33990.125</v>
      </c>
      <c r="E37" s="14">
        <v>34065.25</v>
      </c>
      <c r="F37" s="14">
        <f t="shared" si="0"/>
        <v>-75.125</v>
      </c>
      <c r="G37" s="15">
        <f t="shared" si="3"/>
        <v>-2.2053265424442797E-3</v>
      </c>
      <c r="H37" s="125">
        <v>34388</v>
      </c>
      <c r="I37" s="133">
        <f t="shared" si="4"/>
        <v>-397.875</v>
      </c>
      <c r="J37" s="15">
        <f t="shared" si="5"/>
        <v>-1.1570169826683727E-2</v>
      </c>
      <c r="K37" s="51"/>
      <c r="L37" s="51"/>
      <c r="M37" s="103"/>
      <c r="N37" s="103"/>
      <c r="O37" s="103"/>
      <c r="P37" s="103"/>
      <c r="Q37" s="103"/>
      <c r="R37" s="103"/>
      <c r="S37" s="103"/>
      <c r="T37" s="103"/>
      <c r="U37" s="103"/>
      <c r="V37" s="103"/>
      <c r="W37" s="103"/>
    </row>
    <row r="38" spans="1:23" ht="28.9">
      <c r="A38" s="24" t="str">
        <v>Q229</v>
      </c>
      <c r="B38" s="25" t="str">
        <v>NY</v>
      </c>
      <c r="C38" s="25" t="str">
        <f>Sites[[#This Row],[SOL'#]]</f>
        <v>SOL-10408</v>
      </c>
      <c r="D38" s="142">
        <v>14682.608313106801</v>
      </c>
      <c r="E38" s="141">
        <v>16629.88</v>
      </c>
      <c r="F38" s="10">
        <f t="shared" si="0"/>
        <v>-1947.2716868932002</v>
      </c>
      <c r="G38" s="11">
        <f t="shared" si="3"/>
        <v>-0.11709475275186593</v>
      </c>
      <c r="H38" s="146">
        <v>14688.96</v>
      </c>
      <c r="I38" s="132">
        <f t="shared" si="4"/>
        <v>-6.3516868931983481</v>
      </c>
      <c r="J38" s="13">
        <f t="shared" si="5"/>
        <v>-4.3241229421268413E-4</v>
      </c>
      <c r="K38" s="53" t="s">
        <v>932</v>
      </c>
      <c r="L38" s="98" t="s">
        <v>677</v>
      </c>
      <c r="M38" s="103"/>
      <c r="N38" s="103"/>
      <c r="O38" s="103"/>
      <c r="P38" s="103"/>
      <c r="Q38" s="103"/>
      <c r="R38" s="103"/>
      <c r="S38" s="103"/>
      <c r="T38" s="103"/>
      <c r="U38" s="103"/>
      <c r="V38" s="103"/>
      <c r="W38" s="103"/>
    </row>
    <row r="39" spans="1:23" ht="72">
      <c r="A39" s="26" t="str">
        <v>Q231</v>
      </c>
      <c r="B39" s="27" t="str">
        <v>NY</v>
      </c>
      <c r="C39" s="144" t="str">
        <f>Sites[[#This Row],[SOL'#]]</f>
        <v>SOL-10870</v>
      </c>
      <c r="D39" s="143">
        <v>52444.25</v>
      </c>
      <c r="E39" s="14">
        <v>58605.91</v>
      </c>
      <c r="F39" s="14">
        <f t="shared" si="0"/>
        <v>-6161.6600000000035</v>
      </c>
      <c r="G39" s="15">
        <f t="shared" si="3"/>
        <v>-0.10513717814466157</v>
      </c>
      <c r="H39" s="125">
        <v>53954</v>
      </c>
      <c r="I39" s="133">
        <f t="shared" si="4"/>
        <v>-1509.75</v>
      </c>
      <c r="J39" s="15">
        <f t="shared" si="5"/>
        <v>-2.7982169996663826E-2</v>
      </c>
      <c r="K39" s="51" t="s">
        <v>1683</v>
      </c>
      <c r="L39" s="99" t="s">
        <v>1684</v>
      </c>
      <c r="M39" s="103"/>
      <c r="N39" s="103"/>
      <c r="O39" s="103"/>
      <c r="P39" s="103"/>
      <c r="Q39" s="103"/>
      <c r="R39" s="103"/>
      <c r="S39" s="103"/>
      <c r="T39" s="103"/>
      <c r="U39" s="103"/>
      <c r="V39" s="103"/>
      <c r="W39" s="103"/>
    </row>
    <row r="40" spans="1:23" ht="28.9">
      <c r="A40" s="24" t="str">
        <v>Q405</v>
      </c>
      <c r="B40" s="25" t="str">
        <v>NY</v>
      </c>
      <c r="C40" s="25" t="str">
        <f>Sites[[#This Row],[SOL'#]]</f>
        <v>SOL-10409</v>
      </c>
      <c r="D40" s="142">
        <v>62369.25</v>
      </c>
      <c r="E40" s="141">
        <v>69200.429999999993</v>
      </c>
      <c r="F40" s="10">
        <f t="shared" si="0"/>
        <v>-6831.179999999993</v>
      </c>
      <c r="G40" s="11">
        <f t="shared" si="3"/>
        <v>-9.8715860580635029E-2</v>
      </c>
      <c r="H40" s="146">
        <v>61404.24</v>
      </c>
      <c r="I40" s="132">
        <f t="shared" si="4"/>
        <v>965.01000000000204</v>
      </c>
      <c r="J40" s="13">
        <f t="shared" si="5"/>
        <v>1.5715689991440365E-2</v>
      </c>
      <c r="K40" s="53" t="s">
        <v>1453</v>
      </c>
      <c r="L40" s="98" t="s">
        <v>679</v>
      </c>
      <c r="M40" s="103"/>
      <c r="N40" s="103"/>
      <c r="O40" s="103"/>
      <c r="P40" s="103"/>
      <c r="Q40" s="103"/>
      <c r="R40" s="103"/>
      <c r="S40" s="103"/>
      <c r="T40" s="103"/>
      <c r="U40" s="103"/>
      <c r="V40" s="103"/>
      <c r="W40" s="103"/>
    </row>
    <row r="41" spans="1:23" ht="43.15">
      <c r="A41" s="26" t="str">
        <v>Q435</v>
      </c>
      <c r="B41" s="27" t="str">
        <v>NY</v>
      </c>
      <c r="C41" s="144" t="str">
        <f>Sites[[#This Row],[SOL'#]]</f>
        <v>SOL-10923</v>
      </c>
      <c r="D41" s="143">
        <v>53191.584999999999</v>
      </c>
      <c r="E41" s="14">
        <v>63905.8</v>
      </c>
      <c r="F41" s="14">
        <f t="shared" si="0"/>
        <v>-10714.215000000004</v>
      </c>
      <c r="G41" s="15">
        <f t="shared" si="3"/>
        <v>-0.16765637860726262</v>
      </c>
      <c r="H41" s="125">
        <v>75413</v>
      </c>
      <c r="I41" s="133">
        <f t="shared" si="4"/>
        <v>-22221.415000000001</v>
      </c>
      <c r="J41" s="15">
        <f t="shared" si="5"/>
        <v>-0.29466292283823747</v>
      </c>
      <c r="K41" s="51" t="s">
        <v>1685</v>
      </c>
      <c r="L41" s="99" t="s">
        <v>1686</v>
      </c>
      <c r="M41" s="103"/>
      <c r="N41" s="103"/>
      <c r="O41" s="103"/>
      <c r="P41" s="103"/>
      <c r="Q41" s="103"/>
      <c r="R41" s="103"/>
      <c r="S41" s="103"/>
      <c r="T41" s="103"/>
      <c r="U41" s="103"/>
      <c r="V41" s="103"/>
      <c r="W41" s="103"/>
    </row>
    <row r="42" spans="1:23" ht="72">
      <c r="A42" s="24" t="str">
        <v>Q485</v>
      </c>
      <c r="B42" s="25" t="str">
        <v>NY</v>
      </c>
      <c r="C42" s="25" t="str">
        <f>Sites[[#This Row],[SOL'#]]</f>
        <v>SOL-10869</v>
      </c>
      <c r="D42" s="142">
        <v>73485.062500000102</v>
      </c>
      <c r="E42" s="141">
        <v>58334.67</v>
      </c>
      <c r="F42" s="10">
        <f t="shared" si="0"/>
        <v>15150.392500000104</v>
      </c>
      <c r="G42" s="11">
        <f t="shared" si="3"/>
        <v>0.25971506310055587</v>
      </c>
      <c r="H42" s="146">
        <v>71188.38</v>
      </c>
      <c r="I42" s="132">
        <f t="shared" si="4"/>
        <v>2296.6825000000972</v>
      </c>
      <c r="J42" s="13">
        <f t="shared" si="5"/>
        <v>3.2262041923135448E-2</v>
      </c>
      <c r="K42" s="53" t="s">
        <v>1687</v>
      </c>
      <c r="L42" s="98" t="s">
        <v>1688</v>
      </c>
      <c r="M42" s="102" t="s">
        <v>1689</v>
      </c>
      <c r="N42" s="103"/>
      <c r="O42" s="103"/>
      <c r="P42" s="103"/>
      <c r="Q42" s="103"/>
      <c r="R42" s="103"/>
      <c r="S42" s="103"/>
      <c r="T42" s="103"/>
      <c r="U42" s="103"/>
      <c r="V42" s="103"/>
      <c r="W42" s="103"/>
    </row>
    <row r="43" spans="1:23" ht="43.15">
      <c r="A43" s="26" t="str">
        <v>Q490</v>
      </c>
      <c r="B43" s="27" t="str">
        <v>NY</v>
      </c>
      <c r="C43" s="144" t="str">
        <f>Sites[[#This Row],[SOL'#]]</f>
        <v>SOL-10411</v>
      </c>
      <c r="D43" s="143">
        <v>53147.5</v>
      </c>
      <c r="E43" s="14" t="s">
        <v>661</v>
      </c>
      <c r="F43" s="14" t="str">
        <f t="shared" si="0"/>
        <v/>
      </c>
      <c r="G43" s="15" t="str">
        <f t="shared" si="3"/>
        <v/>
      </c>
      <c r="H43" s="125">
        <v>53310.720000000001</v>
      </c>
      <c r="I43" s="133">
        <f t="shared" si="4"/>
        <v>-163.22000000000116</v>
      </c>
      <c r="J43" s="15">
        <f t="shared" si="5"/>
        <v>-3.0616731494153737E-3</v>
      </c>
      <c r="K43" s="51" t="s">
        <v>1205</v>
      </c>
      <c r="L43" s="99" t="s">
        <v>231</v>
      </c>
      <c r="M43" s="103"/>
      <c r="N43" s="103"/>
      <c r="O43" s="103"/>
      <c r="P43" s="103"/>
      <c r="Q43" s="103"/>
      <c r="R43" s="103"/>
      <c r="S43" s="103"/>
      <c r="T43" s="103"/>
      <c r="U43" s="103"/>
      <c r="V43" s="103"/>
      <c r="W43" s="103"/>
    </row>
    <row r="44" spans="1:23" ht="15.6">
      <c r="A44" s="24" t="str">
        <v>Q620</v>
      </c>
      <c r="B44" s="25" t="str">
        <v>NY</v>
      </c>
      <c r="C44" s="25" t="str">
        <f>Sites[[#This Row],[SOL'#]]</f>
        <v>SOL-10867</v>
      </c>
      <c r="D44" s="142">
        <v>81466.9698067633</v>
      </c>
      <c r="E44" s="141">
        <v>82633.919999999998</v>
      </c>
      <c r="F44" s="10">
        <f t="shared" si="0"/>
        <v>-1166.9501932366984</v>
      </c>
      <c r="G44" s="11">
        <f t="shared" si="3"/>
        <v>-1.412192708801299E-2</v>
      </c>
      <c r="H44" s="146">
        <v>75574.259999999995</v>
      </c>
      <c r="I44" s="132">
        <f t="shared" si="4"/>
        <v>5892.7098067633051</v>
      </c>
      <c r="J44" s="13">
        <f t="shared" si="5"/>
        <v>7.7972444675783861E-2</v>
      </c>
      <c r="K44" s="53"/>
      <c r="L44" s="53"/>
      <c r="M44" s="103"/>
      <c r="N44" s="103"/>
      <c r="O44" s="103"/>
      <c r="P44" s="103"/>
      <c r="Q44" s="103"/>
      <c r="R44" s="103"/>
      <c r="S44" s="103"/>
      <c r="T44" s="103"/>
      <c r="U44" s="103"/>
      <c r="V44" s="103"/>
      <c r="W44" s="103"/>
    </row>
    <row r="45" spans="1:23" ht="15.6">
      <c r="A45" s="26" t="str">
        <v>QMOA</v>
      </c>
      <c r="B45" s="27" t="str">
        <v>NY</v>
      </c>
      <c r="C45" s="140" t="str">
        <f>Sites[[#This Row],[SOL'#]]</f>
        <v>SOL-10415</v>
      </c>
      <c r="D45" s="143">
        <v>6866.2</v>
      </c>
      <c r="E45" s="14"/>
      <c r="F45" s="14" t="str">
        <f t="shared" si="0"/>
        <v/>
      </c>
      <c r="G45" s="15" t="str">
        <f t="shared" si="3"/>
        <v/>
      </c>
      <c r="H45" s="125">
        <v>6860.4539999999997</v>
      </c>
      <c r="I45" s="133">
        <f t="shared" si="4"/>
        <v>5.7460000000000946</v>
      </c>
      <c r="J45" s="15">
        <f t="shared" si="5"/>
        <v>8.3755389949412892E-4</v>
      </c>
      <c r="K45" s="51"/>
      <c r="L45" s="51"/>
      <c r="M45" s="103"/>
      <c r="N45" s="103"/>
      <c r="O45" s="103"/>
      <c r="P45" s="103"/>
      <c r="Q45" s="103"/>
      <c r="R45" s="103"/>
      <c r="S45" s="103"/>
      <c r="T45" s="103"/>
      <c r="U45" s="103"/>
      <c r="V45" s="103"/>
      <c r="W45" s="103"/>
    </row>
    <row r="46" spans="1:23" ht="15.6">
      <c r="A46" s="24" t="str">
        <v>X024</v>
      </c>
      <c r="B46" s="25" t="str">
        <v>NY</v>
      </c>
      <c r="C46" s="25" t="str">
        <f>Sites[[#This Row],[SOL'#]]</f>
        <v>SOL-10419</v>
      </c>
      <c r="D46" s="142">
        <v>31611.156249999902</v>
      </c>
      <c r="E46" s="141">
        <v>31815.599999999999</v>
      </c>
      <c r="F46" s="10">
        <f t="shared" si="0"/>
        <v>-204.44375000009677</v>
      </c>
      <c r="G46" s="11">
        <f t="shared" si="3"/>
        <v>-6.4258964155979072E-3</v>
      </c>
      <c r="H46" s="146">
        <v>28668</v>
      </c>
      <c r="I46" s="132">
        <f t="shared" si="4"/>
        <v>2943.1562499999018</v>
      </c>
      <c r="J46" s="13">
        <f t="shared" si="5"/>
        <v>0.10266346623412521</v>
      </c>
      <c r="K46" s="53"/>
      <c r="L46" s="53"/>
      <c r="M46" s="103"/>
      <c r="N46" s="103"/>
      <c r="O46" s="103"/>
      <c r="P46" s="103"/>
      <c r="Q46" s="103"/>
      <c r="R46" s="103"/>
      <c r="S46" s="103"/>
      <c r="T46" s="103"/>
      <c r="U46" s="103"/>
      <c r="V46" s="103"/>
      <c r="W46" s="103"/>
    </row>
    <row r="47" spans="1:23" ht="28.9">
      <c r="A47" s="26" t="str">
        <v>X026</v>
      </c>
      <c r="B47" s="27" t="str">
        <v>NY</v>
      </c>
      <c r="C47" s="140" t="str">
        <f>Sites[[#This Row],[SOL'#]]</f>
        <v>SOL-10420</v>
      </c>
      <c r="D47" s="143">
        <v>27837.3</v>
      </c>
      <c r="E47" s="14">
        <v>26063.155999999999</v>
      </c>
      <c r="F47" s="14">
        <f t="shared" si="0"/>
        <v>1774.1440000000002</v>
      </c>
      <c r="G47" s="15">
        <f t="shared" si="3"/>
        <v>6.8070958098858034E-2</v>
      </c>
      <c r="H47" s="125">
        <v>39147</v>
      </c>
      <c r="I47" s="133">
        <f t="shared" si="4"/>
        <v>-11309.7</v>
      </c>
      <c r="J47" s="15">
        <f t="shared" si="5"/>
        <v>-0.28890336424247071</v>
      </c>
      <c r="K47" s="51" t="s">
        <v>1690</v>
      </c>
      <c r="L47" s="99" t="s">
        <v>1691</v>
      </c>
      <c r="M47" s="103"/>
      <c r="N47" s="103"/>
      <c r="O47" s="103"/>
      <c r="P47" s="103"/>
      <c r="Q47" s="103"/>
      <c r="R47" s="103"/>
      <c r="S47" s="103"/>
      <c r="T47" s="103"/>
      <c r="U47" s="103"/>
      <c r="V47" s="103"/>
      <c r="W47" s="103"/>
    </row>
    <row r="48" spans="1:23" ht="15.6">
      <c r="A48" s="24" t="str">
        <v>X090</v>
      </c>
      <c r="B48" s="25" t="str">
        <v>NY</v>
      </c>
      <c r="C48" s="25" t="str">
        <f>Sites[[#This Row],[SOL'#]]</f>
        <v>SOL-10925</v>
      </c>
      <c r="D48" s="142">
        <v>23964.405999999999</v>
      </c>
      <c r="E48" s="141">
        <v>21033.108</v>
      </c>
      <c r="F48" s="10">
        <f t="shared" si="0"/>
        <v>2931.2979999999989</v>
      </c>
      <c r="G48" s="11">
        <f t="shared" si="3"/>
        <v>0.13936589875352701</v>
      </c>
      <c r="H48" s="146">
        <v>22204</v>
      </c>
      <c r="I48" s="132">
        <f t="shared" si="4"/>
        <v>1760.405999999999</v>
      </c>
      <c r="J48" s="13">
        <f t="shared" si="5"/>
        <v>7.9283282291478976E-2</v>
      </c>
      <c r="K48" s="53"/>
      <c r="L48" s="53"/>
      <c r="M48" s="103"/>
      <c r="N48" s="103"/>
      <c r="O48" s="103"/>
      <c r="P48" s="103"/>
      <c r="Q48" s="103"/>
      <c r="R48" s="103"/>
      <c r="S48" s="103"/>
      <c r="T48" s="103"/>
      <c r="U48" s="103"/>
      <c r="V48" s="103"/>
      <c r="W48" s="103"/>
    </row>
    <row r="49" spans="1:23" ht="15.6">
      <c r="A49" s="26" t="str">
        <v>X117</v>
      </c>
      <c r="B49" s="27" t="str">
        <v>NY</v>
      </c>
      <c r="C49" s="140" t="str">
        <f>Sites[[#This Row],[SOL'#]]</f>
        <v>SOL-10422</v>
      </c>
      <c r="D49" s="143">
        <v>20148.2</v>
      </c>
      <c r="E49" s="14">
        <v>22042.705000000002</v>
      </c>
      <c r="F49" s="14">
        <f t="shared" si="0"/>
        <v>-1894.505000000001</v>
      </c>
      <c r="G49" s="15">
        <f t="shared" si="3"/>
        <v>-8.5947028733542499E-2</v>
      </c>
      <c r="H49" s="125">
        <v>20981</v>
      </c>
      <c r="I49" s="133">
        <f t="shared" si="4"/>
        <v>-832.79999999999927</v>
      </c>
      <c r="J49" s="15">
        <f t="shared" si="5"/>
        <v>-3.969305562175298E-2</v>
      </c>
      <c r="K49" s="51"/>
      <c r="L49" s="51"/>
      <c r="M49" s="103"/>
      <c r="N49" s="103"/>
      <c r="O49" s="103"/>
      <c r="P49" s="103"/>
      <c r="Q49" s="103"/>
      <c r="R49" s="103"/>
      <c r="S49" s="103"/>
      <c r="T49" s="103"/>
      <c r="U49" s="103"/>
      <c r="V49" s="103"/>
      <c r="W49" s="103"/>
    </row>
    <row r="50" spans="1:23" ht="15.6">
      <c r="A50" s="24" t="str">
        <v>X125</v>
      </c>
      <c r="B50" s="25" t="str">
        <v>NY</v>
      </c>
      <c r="C50" s="25" t="str">
        <f>Sites[[#This Row],[SOL'#]]</f>
        <v>SOL-10423</v>
      </c>
      <c r="D50" s="142">
        <v>36752.25</v>
      </c>
      <c r="E50" s="141">
        <v>37712.455000000002</v>
      </c>
      <c r="F50" s="10">
        <f t="shared" si="0"/>
        <v>-960.20500000000175</v>
      </c>
      <c r="G50" s="11">
        <f t="shared" si="3"/>
        <v>-2.5461216990514186E-2</v>
      </c>
      <c r="H50" s="146">
        <v>34285</v>
      </c>
      <c r="I50" s="132">
        <f t="shared" si="4"/>
        <v>2467.25</v>
      </c>
      <c r="J50" s="13">
        <f t="shared" si="5"/>
        <v>7.1962957561615873E-2</v>
      </c>
      <c r="K50" s="53"/>
      <c r="L50" s="53"/>
      <c r="M50" s="103"/>
      <c r="N50" s="103"/>
      <c r="O50" s="103"/>
      <c r="P50" s="103"/>
      <c r="Q50" s="103"/>
      <c r="R50" s="103"/>
      <c r="S50" s="103"/>
      <c r="T50" s="103"/>
      <c r="U50" s="103"/>
      <c r="V50" s="103"/>
      <c r="W50" s="103"/>
    </row>
    <row r="51" spans="1:23" ht="28.9">
      <c r="A51" s="26" t="str">
        <v>X134</v>
      </c>
      <c r="B51" s="27" t="str">
        <v>NY</v>
      </c>
      <c r="C51" s="140" t="str">
        <f>Sites[[#This Row],[SOL'#]]</f>
        <v>SOL-10424</v>
      </c>
      <c r="D51" s="143">
        <v>35656.938000000002</v>
      </c>
      <c r="E51" s="14">
        <v>7290.89</v>
      </c>
      <c r="F51" s="14">
        <f t="shared" si="0"/>
        <v>28366.048000000003</v>
      </c>
      <c r="G51" s="15">
        <f t="shared" si="3"/>
        <v>3.8906152746784004</v>
      </c>
      <c r="H51" s="125">
        <v>33773</v>
      </c>
      <c r="I51" s="133">
        <f t="shared" si="4"/>
        <v>1883.9380000000019</v>
      </c>
      <c r="J51" s="15">
        <f t="shared" si="5"/>
        <v>5.5782370532674083E-2</v>
      </c>
      <c r="K51" s="51" t="s">
        <v>1692</v>
      </c>
      <c r="L51" s="99" t="s">
        <v>1693</v>
      </c>
      <c r="M51" s="103"/>
      <c r="N51" s="103"/>
      <c r="O51" s="103"/>
      <c r="P51" s="103"/>
      <c r="Q51" s="103"/>
      <c r="R51" s="103"/>
      <c r="S51" s="103"/>
      <c r="T51" s="103"/>
      <c r="U51" s="103"/>
      <c r="V51" s="103"/>
      <c r="W51" s="103"/>
    </row>
    <row r="52" spans="1:23" ht="28.9">
      <c r="A52" s="24" t="str">
        <v>X135</v>
      </c>
      <c r="B52" s="25" t="str">
        <v>NY</v>
      </c>
      <c r="C52" s="25" t="str">
        <f>Sites[[#This Row],[SOL'#]]</f>
        <v>SOL-10425</v>
      </c>
      <c r="D52" s="142">
        <v>28076.75</v>
      </c>
      <c r="E52" s="141">
        <v>34094.175999999999</v>
      </c>
      <c r="F52" s="10">
        <f t="shared" si="0"/>
        <v>-6017.4259999999995</v>
      </c>
      <c r="G52" s="11">
        <f t="shared" si="3"/>
        <v>-0.17649424934041519</v>
      </c>
      <c r="H52" s="146">
        <v>26680</v>
      </c>
      <c r="I52" s="132">
        <f t="shared" si="4"/>
        <v>1396.75</v>
      </c>
      <c r="J52" s="13">
        <f t="shared" si="5"/>
        <v>5.2351949025487253E-2</v>
      </c>
      <c r="K52" s="53" t="s">
        <v>1694</v>
      </c>
      <c r="L52" s="98" t="s">
        <v>1464</v>
      </c>
      <c r="M52" s="103"/>
      <c r="N52" s="103"/>
      <c r="O52" s="103"/>
      <c r="P52" s="103"/>
      <c r="Q52" s="103"/>
      <c r="R52" s="103"/>
      <c r="S52" s="103"/>
      <c r="T52" s="103"/>
      <c r="U52" s="103"/>
      <c r="V52" s="103"/>
      <c r="W52" s="103"/>
    </row>
    <row r="53" spans="1:23" ht="28.9">
      <c r="A53" s="26" t="str">
        <v>X139 JHS 222</v>
      </c>
      <c r="B53" s="27" t="str">
        <v>NY</v>
      </c>
      <c r="C53" s="144" t="str">
        <f>Sites[[#This Row],[SOL'#]]</f>
        <v>SOL-10426</v>
      </c>
      <c r="D53" s="143">
        <v>42297.89</v>
      </c>
      <c r="E53" s="14">
        <v>47616.438999999998</v>
      </c>
      <c r="F53" s="14">
        <f t="shared" si="0"/>
        <v>-5318.5489999999991</v>
      </c>
      <c r="G53" s="15">
        <f t="shared" si="3"/>
        <v>-0.11169564779928208</v>
      </c>
      <c r="H53" s="125">
        <v>43069</v>
      </c>
      <c r="I53" s="133">
        <f t="shared" si="4"/>
        <v>-771.11000000000058</v>
      </c>
      <c r="J53" s="15">
        <f t="shared" si="5"/>
        <v>-1.7904060925491665E-2</v>
      </c>
      <c r="K53" s="51" t="s">
        <v>1695</v>
      </c>
      <c r="L53" s="99" t="s">
        <v>1696</v>
      </c>
      <c r="M53" s="103"/>
      <c r="N53" s="103"/>
      <c r="O53" s="103"/>
      <c r="P53" s="103"/>
      <c r="Q53" s="103"/>
      <c r="R53" s="103"/>
      <c r="S53" s="103"/>
      <c r="T53" s="103"/>
      <c r="U53" s="103"/>
      <c r="V53" s="103"/>
      <c r="W53" s="103"/>
    </row>
    <row r="54" spans="1:23" ht="72">
      <c r="A54" s="24" t="str">
        <v>X140</v>
      </c>
      <c r="B54" s="25" t="str">
        <v>NY</v>
      </c>
      <c r="C54" s="25" t="str">
        <f>Sites[[#This Row],[SOL'#]]</f>
        <v>SOL-10926</v>
      </c>
      <c r="D54" s="142">
        <v>24351.8125</v>
      </c>
      <c r="E54" s="141">
        <v>21025.03</v>
      </c>
      <c r="F54" s="10">
        <f t="shared" si="0"/>
        <v>3326.7825000000012</v>
      </c>
      <c r="G54" s="11">
        <f t="shared" si="3"/>
        <v>0.15822961964858082</v>
      </c>
      <c r="H54" s="146">
        <v>22757</v>
      </c>
      <c r="I54" s="132">
        <f t="shared" si="4"/>
        <v>1594.8125</v>
      </c>
      <c r="J54" s="13">
        <f t="shared" si="5"/>
        <v>7.0080085248494975E-2</v>
      </c>
      <c r="K54" s="53" t="s">
        <v>1697</v>
      </c>
      <c r="L54" s="98" t="s">
        <v>1698</v>
      </c>
      <c r="M54" s="102" t="s">
        <v>1699</v>
      </c>
      <c r="N54" s="103"/>
      <c r="O54" s="103"/>
      <c r="P54" s="103"/>
      <c r="Q54" s="103"/>
      <c r="R54" s="103"/>
      <c r="S54" s="103"/>
      <c r="T54" s="103"/>
      <c r="U54" s="103"/>
      <c r="V54" s="103"/>
      <c r="W54" s="103"/>
    </row>
    <row r="55" spans="1:23" ht="21" customHeight="1">
      <c r="A55" s="26" t="str">
        <v>X166</v>
      </c>
      <c r="B55" s="27" t="str">
        <v>NY</v>
      </c>
      <c r="C55" s="140" t="str">
        <f>Sites[[#This Row],[SOL'#]]</f>
        <v>SOL-10427</v>
      </c>
      <c r="D55" s="143">
        <v>26016.5</v>
      </c>
      <c r="E55" s="14">
        <v>25940.26</v>
      </c>
      <c r="F55" s="14">
        <f t="shared" si="0"/>
        <v>76.240000000001601</v>
      </c>
      <c r="G55" s="15">
        <f t="shared" si="3"/>
        <v>2.9390607495839135E-3</v>
      </c>
      <c r="H55" s="125">
        <v>25236</v>
      </c>
      <c r="I55" s="133">
        <f t="shared" si="4"/>
        <v>780.5</v>
      </c>
      <c r="J55" s="15">
        <f t="shared" si="5"/>
        <v>3.0928039308923759E-2</v>
      </c>
      <c r="K55" s="51"/>
      <c r="L55" s="51"/>
      <c r="M55" s="103"/>
      <c r="N55" s="103"/>
      <c r="O55" s="103"/>
      <c r="P55" s="103"/>
      <c r="Q55" s="103"/>
      <c r="R55" s="103"/>
      <c r="S55" s="103"/>
      <c r="T55" s="103"/>
      <c r="U55" s="103"/>
      <c r="V55" s="103"/>
      <c r="W55" s="103"/>
    </row>
    <row r="56" spans="1:23" ht="57.6">
      <c r="A56" s="24" t="str">
        <v>Murphy</v>
      </c>
      <c r="B56" s="25" t="str">
        <v>MN</v>
      </c>
      <c r="C56" s="25" t="str">
        <f>Sites[[#This Row],[SOL'#]]</f>
        <v>SOL-10094</v>
      </c>
      <c r="D56" s="142">
        <v>945100</v>
      </c>
      <c r="E56" s="141">
        <v>994462.4</v>
      </c>
      <c r="F56" s="10">
        <f t="shared" si="0"/>
        <v>-49362.400000000023</v>
      </c>
      <c r="G56" s="11">
        <f t="shared" si="3"/>
        <v>-4.9637271353849099E-2</v>
      </c>
      <c r="H56" s="146">
        <v>991358.7</v>
      </c>
      <c r="I56" s="132">
        <f t="shared" si="4"/>
        <v>-46258.699999999953</v>
      </c>
      <c r="J56" s="13">
        <f t="shared" si="5"/>
        <v>-4.6661919646239003E-2</v>
      </c>
      <c r="K56" s="53" t="s">
        <v>1700</v>
      </c>
      <c r="L56" s="98" t="s">
        <v>1701</v>
      </c>
      <c r="M56" s="102" t="s">
        <v>1702</v>
      </c>
      <c r="N56" s="103"/>
      <c r="O56" s="103"/>
      <c r="P56" s="103"/>
      <c r="Q56" s="103"/>
      <c r="R56" s="103"/>
      <c r="S56" s="103"/>
      <c r="T56" s="103"/>
      <c r="U56" s="103"/>
      <c r="V56" s="103"/>
      <c r="W56" s="103"/>
    </row>
    <row r="57" spans="1:23" ht="15.6">
      <c r="A57" s="26" t="str">
        <v>Terning</v>
      </c>
      <c r="B57" s="27" t="str">
        <v>MN</v>
      </c>
      <c r="C57" s="140" t="str">
        <f>Sites[[#This Row],[SOL'#]]</f>
        <v>SOL-10093</v>
      </c>
      <c r="D57" s="143">
        <v>967929.31334170699</v>
      </c>
      <c r="E57" s="14">
        <v>1034158</v>
      </c>
      <c r="F57" s="14">
        <f t="shared" si="0"/>
        <v>-66228.686658293009</v>
      </c>
      <c r="G57" s="15">
        <f t="shared" si="3"/>
        <v>-6.4041168427158138E-2</v>
      </c>
      <c r="H57" s="125">
        <v>973544.6</v>
      </c>
      <c r="I57" s="133">
        <f t="shared" si="4"/>
        <v>-5615.2866582929855</v>
      </c>
      <c r="J57" s="15">
        <f t="shared" si="5"/>
        <v>-5.7678781827694234E-3</v>
      </c>
      <c r="K57" s="51"/>
      <c r="L57" s="51"/>
      <c r="M57" s="103"/>
      <c r="N57" s="103"/>
      <c r="O57" s="103"/>
      <c r="P57" s="103"/>
      <c r="Q57" s="103"/>
      <c r="R57" s="103"/>
      <c r="S57" s="103"/>
      <c r="T57" s="103"/>
      <c r="U57" s="103"/>
      <c r="V57" s="103"/>
      <c r="W57" s="103"/>
    </row>
    <row r="58" spans="1:23" ht="72" customHeight="1">
      <c r="A58" s="24" t="str">
        <v>Boas Road 04</v>
      </c>
      <c r="B58" s="25" t="str">
        <v>NY</v>
      </c>
      <c r="C58" s="25" t="str">
        <f>Sites[[#This Row],[SOL'#]]</f>
        <v>SOL-10908</v>
      </c>
      <c r="D58" s="142">
        <v>0</v>
      </c>
      <c r="E58" s="141">
        <v>563.26</v>
      </c>
      <c r="F58" s="10">
        <f t="shared" si="0"/>
        <v>-563.26</v>
      </c>
      <c r="G58" s="11">
        <f t="shared" si="3"/>
        <v>-1</v>
      </c>
      <c r="H58" s="146">
        <v>366693.53100000002</v>
      </c>
      <c r="I58" s="132">
        <f t="shared" si="4"/>
        <v>-366693.53100000002</v>
      </c>
      <c r="J58" s="13">
        <f t="shared" si="5"/>
        <v>-1</v>
      </c>
      <c r="K58" s="53" t="s">
        <v>1703</v>
      </c>
      <c r="L58" s="98" t="s">
        <v>1704</v>
      </c>
      <c r="M58" s="102" t="s">
        <v>427</v>
      </c>
      <c r="N58" s="103"/>
      <c r="O58" s="103"/>
      <c r="P58" s="103"/>
      <c r="Q58" s="103"/>
      <c r="R58" s="103"/>
      <c r="S58" s="103"/>
      <c r="T58" s="103"/>
      <c r="U58" s="103"/>
      <c r="V58" s="103"/>
      <c r="W58" s="103"/>
    </row>
    <row r="59" spans="1:23" ht="28.9">
      <c r="A59" s="26" t="str">
        <v>Kelly Bridge Farm</v>
      </c>
      <c r="B59" s="27" t="str">
        <v>NY</v>
      </c>
      <c r="C59" s="140" t="str">
        <f>Sites[[#This Row],[SOL'#]]</f>
        <v>SOL-10911</v>
      </c>
      <c r="D59" s="143">
        <v>279986</v>
      </c>
      <c r="E59" s="14">
        <v>291537.2</v>
      </c>
      <c r="F59" s="14">
        <f t="shared" si="0"/>
        <v>-11551.200000000012</v>
      </c>
      <c r="G59" s="15">
        <f t="shared" si="3"/>
        <v>-3.9621701793115978E-2</v>
      </c>
      <c r="H59" s="125">
        <v>367668.78</v>
      </c>
      <c r="I59" s="133">
        <f t="shared" si="4"/>
        <v>-87682.780000000028</v>
      </c>
      <c r="J59" s="15">
        <f t="shared" si="5"/>
        <v>-0.23848307163855473</v>
      </c>
      <c r="K59" s="51" t="s">
        <v>1705</v>
      </c>
      <c r="L59" s="99" t="s">
        <v>1706</v>
      </c>
      <c r="M59" s="102" t="s">
        <v>427</v>
      </c>
      <c r="N59" s="103"/>
      <c r="O59" s="103"/>
      <c r="P59" s="103"/>
      <c r="Q59" s="103"/>
      <c r="R59" s="103"/>
      <c r="S59" s="103"/>
      <c r="T59" s="103"/>
      <c r="U59" s="103"/>
      <c r="V59" s="103"/>
      <c r="W59" s="103"/>
    </row>
    <row r="60" spans="1:23" ht="57.6">
      <c r="A60" s="24" t="str">
        <v>Pool Brook Road</v>
      </c>
      <c r="B60" s="25" t="str">
        <v>NY</v>
      </c>
      <c r="C60" s="25" t="str">
        <f>Sites[[#This Row],[SOL'#]]</f>
        <v>SOL-10909</v>
      </c>
      <c r="D60" s="142">
        <v>314912</v>
      </c>
      <c r="E60" s="141">
        <v>314914</v>
      </c>
      <c r="F60" s="10">
        <f t="shared" si="0"/>
        <v>-2</v>
      </c>
      <c r="G60" s="11">
        <f t="shared" si="3"/>
        <v>-6.350940256705005E-6</v>
      </c>
      <c r="H60" s="146">
        <v>367442.20699999999</v>
      </c>
      <c r="I60" s="132">
        <f t="shared" si="4"/>
        <v>-52530.206999999995</v>
      </c>
      <c r="J60" s="13">
        <f t="shared" si="5"/>
        <v>-0.14296182093201937</v>
      </c>
      <c r="K60" s="53" t="s">
        <v>1707</v>
      </c>
      <c r="L60" s="98" t="s">
        <v>1708</v>
      </c>
      <c r="M60" s="102" t="s">
        <v>1709</v>
      </c>
      <c r="N60" s="102" t="s">
        <v>1480</v>
      </c>
      <c r="O60" s="103"/>
      <c r="P60" s="103"/>
      <c r="Q60" s="103"/>
      <c r="R60" s="103"/>
      <c r="S60" s="103"/>
      <c r="T60" s="103"/>
      <c r="U60" s="103"/>
      <c r="V60" s="103"/>
      <c r="W60" s="103"/>
    </row>
    <row r="61" spans="1:23" ht="28.9">
      <c r="A61" s="26" t="str">
        <v>Sackett Lake</v>
      </c>
      <c r="B61" s="27" t="str">
        <v>NY</v>
      </c>
      <c r="C61" s="140" t="str">
        <f>Sites[[#This Row],[SOL'#]]</f>
        <v>SOL-10910</v>
      </c>
      <c r="D61" s="143">
        <v>269810</v>
      </c>
      <c r="E61" s="14">
        <v>0</v>
      </c>
      <c r="F61" s="14">
        <f t="shared" si="0"/>
        <v>269810</v>
      </c>
      <c r="G61" s="15" t="str">
        <f t="shared" si="3"/>
        <v/>
      </c>
      <c r="H61" s="125">
        <v>368427.30699999997</v>
      </c>
      <c r="I61" s="133">
        <f t="shared" si="4"/>
        <v>-98617.306999999972</v>
      </c>
      <c r="J61" s="15">
        <f t="shared" si="5"/>
        <v>-0.26767100355023354</v>
      </c>
      <c r="K61" s="51" t="s">
        <v>1710</v>
      </c>
      <c r="L61" s="99" t="s">
        <v>1711</v>
      </c>
      <c r="M61" s="102" t="s">
        <v>1712</v>
      </c>
      <c r="N61" s="103"/>
      <c r="O61" s="103"/>
      <c r="P61" s="103"/>
      <c r="Q61" s="103"/>
      <c r="R61" s="103"/>
      <c r="S61" s="103"/>
      <c r="T61" s="103"/>
      <c r="U61" s="103"/>
      <c r="V61" s="103"/>
      <c r="W61" s="103"/>
    </row>
    <row r="62" spans="1:23" ht="15.6">
      <c r="A62" s="24" t="str">
        <v>Burritt Road</v>
      </c>
      <c r="B62" s="25" t="str">
        <v>NY</v>
      </c>
      <c r="C62" s="25" t="str">
        <f>Sites[[#This Row],[SOL'#]]</f>
        <v>SOL-10913</v>
      </c>
      <c r="D62" s="142">
        <v>398500</v>
      </c>
      <c r="E62" s="141">
        <v>430529.9</v>
      </c>
      <c r="F62" s="10">
        <f t="shared" si="0"/>
        <v>-32029.900000000023</v>
      </c>
      <c r="G62" s="11">
        <f t="shared" si="3"/>
        <v>-7.4396458875446325E-2</v>
      </c>
      <c r="H62" s="146">
        <v>378656.34299999999</v>
      </c>
      <c r="I62" s="146">
        <f t="shared" si="4"/>
        <v>19843.657000000007</v>
      </c>
      <c r="J62" s="64">
        <f t="shared" si="5"/>
        <v>5.2405452508159901E-2</v>
      </c>
      <c r="K62" s="73" t="s">
        <v>1713</v>
      </c>
      <c r="L62" s="100" t="s">
        <v>1714</v>
      </c>
      <c r="M62" s="103"/>
      <c r="N62" s="103"/>
      <c r="O62" s="103"/>
      <c r="P62" s="103"/>
      <c r="Q62" s="103"/>
      <c r="R62" s="103"/>
      <c r="S62" s="103"/>
      <c r="T62" s="103"/>
      <c r="U62" s="103"/>
      <c r="V62" s="103"/>
      <c r="W62" s="103"/>
    </row>
    <row r="63" spans="1:23" ht="28.9">
      <c r="A63" s="26" t="str">
        <v>Villa Roma 1</v>
      </c>
      <c r="B63" s="27" t="str">
        <v>NY</v>
      </c>
      <c r="C63" s="140" t="str">
        <f>Sites[[#This Row],[SOL'#]]</f>
        <v>SOL-10914</v>
      </c>
      <c r="D63" s="143">
        <v>347648</v>
      </c>
      <c r="E63" s="14">
        <v>235.4</v>
      </c>
      <c r="F63" s="14">
        <f t="shared" si="0"/>
        <v>347412.6</v>
      </c>
      <c r="G63" s="15">
        <f t="shared" si="3"/>
        <v>1475.8394222599829</v>
      </c>
      <c r="H63" s="125">
        <v>332963.71600000001</v>
      </c>
      <c r="I63" s="133">
        <f t="shared" si="4"/>
        <v>14684.283999999985</v>
      </c>
      <c r="J63" s="15">
        <f t="shared" si="5"/>
        <v>4.4101754318479507E-2</v>
      </c>
      <c r="K63" s="51" t="s">
        <v>967</v>
      </c>
      <c r="L63" s="99" t="s">
        <v>716</v>
      </c>
      <c r="M63" s="103"/>
      <c r="N63" s="103"/>
      <c r="O63" s="103"/>
      <c r="P63" s="103"/>
      <c r="Q63" s="103"/>
      <c r="R63" s="103"/>
      <c r="S63" s="103"/>
      <c r="T63" s="103"/>
      <c r="U63" s="103"/>
      <c r="V63" s="103"/>
      <c r="W63" s="103"/>
    </row>
    <row r="64" spans="1:23" ht="15.6">
      <c r="A64" s="24" t="str">
        <v>Villa Roma 2</v>
      </c>
      <c r="B64" s="25" t="str">
        <v>NY</v>
      </c>
      <c r="C64" s="25" t="str">
        <f>Sites[[#This Row],[SOL'#]]</f>
        <v>SOL-10915</v>
      </c>
      <c r="D64" s="142">
        <v>328208</v>
      </c>
      <c r="E64" s="141">
        <v>363593.2</v>
      </c>
      <c r="F64" s="10">
        <f t="shared" si="0"/>
        <v>-35385.200000000012</v>
      </c>
      <c r="G64" s="11">
        <f t="shared" si="3"/>
        <v>-9.7320851985130657E-2</v>
      </c>
      <c r="H64" s="146">
        <v>323112.71799999999</v>
      </c>
      <c r="I64" s="132">
        <f t="shared" si="4"/>
        <v>5095.2820000000065</v>
      </c>
      <c r="J64" s="13">
        <f t="shared" si="5"/>
        <v>1.5769363804491305E-2</v>
      </c>
      <c r="K64" s="53"/>
      <c r="L64" s="53"/>
      <c r="M64" s="103"/>
      <c r="N64" s="103"/>
      <c r="O64" s="103"/>
      <c r="P64" s="103"/>
      <c r="Q64" s="103"/>
      <c r="R64" s="103"/>
      <c r="S64" s="103"/>
      <c r="T64" s="103"/>
      <c r="U64" s="103"/>
      <c r="V64" s="103"/>
      <c r="W64" s="103"/>
    </row>
    <row r="65" spans="1:26" ht="43.15">
      <c r="A65" s="26" t="str">
        <v>Washington 1</v>
      </c>
      <c r="B65" s="27" t="str">
        <v>NY</v>
      </c>
      <c r="C65" s="140" t="str">
        <f>Sites[[#This Row],[SOL'#]]</f>
        <v>SOL-10912</v>
      </c>
      <c r="D65" s="143">
        <v>363420</v>
      </c>
      <c r="E65" s="14">
        <v>429002.3</v>
      </c>
      <c r="F65" s="14">
        <f t="shared" si="0"/>
        <v>-65582.299999999988</v>
      </c>
      <c r="G65" s="15">
        <f t="shared" si="3"/>
        <v>-0.15287167458076562</v>
      </c>
      <c r="H65" s="125">
        <v>374337.90500000003</v>
      </c>
      <c r="I65" s="133">
        <f t="shared" si="4"/>
        <v>-10917.905000000028</v>
      </c>
      <c r="J65" s="15">
        <f t="shared" si="5"/>
        <v>-2.9165908272099847E-2</v>
      </c>
      <c r="K65" s="51" t="s">
        <v>1715</v>
      </c>
      <c r="L65" s="99" t="s">
        <v>1716</v>
      </c>
      <c r="M65" s="103"/>
      <c r="N65" s="103"/>
      <c r="O65" s="103"/>
      <c r="P65" s="103"/>
      <c r="Q65" s="103"/>
      <c r="R65" s="103"/>
      <c r="S65" s="103"/>
      <c r="T65" s="103"/>
      <c r="U65" s="103"/>
      <c r="V65" s="103"/>
      <c r="W65" s="103"/>
    </row>
    <row r="66" spans="1:26" ht="57.6">
      <c r="A66" s="24" t="str">
        <v>Washington 3</v>
      </c>
      <c r="B66" s="25" t="str">
        <v>NY</v>
      </c>
      <c r="C66" s="25" t="str">
        <f>Sites[[#This Row],[SOL'#]]</f>
        <v>SOL-10828</v>
      </c>
      <c r="D66" s="142">
        <v>407946</v>
      </c>
      <c r="E66" s="141">
        <v>1087185.71</v>
      </c>
      <c r="F66" s="10">
        <f t="shared" si="0"/>
        <v>-679239.71</v>
      </c>
      <c r="G66" s="11">
        <f t="shared" si="3"/>
        <v>-0.62476879869953406</v>
      </c>
      <c r="H66" s="146">
        <v>457165.092</v>
      </c>
      <c r="I66" s="132">
        <f t="shared" si="4"/>
        <v>-49219.092000000004</v>
      </c>
      <c r="J66" s="13">
        <f t="shared" si="5"/>
        <v>-0.10766152722789256</v>
      </c>
      <c r="K66" s="53" t="s">
        <v>1717</v>
      </c>
      <c r="L66" s="98" t="s">
        <v>1718</v>
      </c>
      <c r="M66" s="103"/>
      <c r="N66" s="103"/>
      <c r="O66" s="103"/>
      <c r="P66" s="103"/>
      <c r="Q66" s="103"/>
      <c r="R66" s="103"/>
      <c r="S66" s="103"/>
      <c r="T66" s="103"/>
      <c r="U66" s="103"/>
      <c r="V66" s="103"/>
      <c r="W66" s="103"/>
    </row>
    <row r="67" spans="1:26" ht="15.6">
      <c r="A67" s="26" t="str">
        <v>Washington 4</v>
      </c>
      <c r="B67" s="27" t="str">
        <v>NY</v>
      </c>
      <c r="C67" s="140" t="str">
        <f>Sites[[#This Row],[SOL'#]]</f>
        <v>SOL-10829</v>
      </c>
      <c r="D67" s="143">
        <v>475165</v>
      </c>
      <c r="E67" s="14">
        <v>509908.8</v>
      </c>
      <c r="F67" s="14">
        <f t="shared" si="0"/>
        <v>-34743.799999999988</v>
      </c>
      <c r="G67" s="15">
        <f t="shared" si="3"/>
        <v>-6.8137282588572684E-2</v>
      </c>
      <c r="H67" s="125">
        <v>458187.62599999999</v>
      </c>
      <c r="I67" s="133">
        <f t="shared" si="4"/>
        <v>16977.374000000011</v>
      </c>
      <c r="J67" s="15">
        <f t="shared" si="5"/>
        <v>3.7053322780043849E-2</v>
      </c>
      <c r="K67" s="51"/>
      <c r="L67" s="51"/>
      <c r="M67" s="103"/>
      <c r="N67" s="103"/>
      <c r="O67" s="103"/>
      <c r="P67" s="103"/>
      <c r="Q67" s="103"/>
      <c r="R67" s="103"/>
      <c r="S67" s="103"/>
      <c r="T67" s="103"/>
      <c r="U67" s="103"/>
      <c r="V67" s="103"/>
      <c r="W67" s="103"/>
    </row>
    <row r="68" spans="1:26" ht="15.6">
      <c r="A68" s="24" t="str">
        <v>Big Tree</v>
      </c>
      <c r="B68" s="25" t="str">
        <v>NY</v>
      </c>
      <c r="C68" s="25" t="str">
        <f>Sites[[#This Row],[SOL'#]]</f>
        <v>SOL-10966</v>
      </c>
      <c r="D68" s="142">
        <v>406110</v>
      </c>
      <c r="E68" s="141">
        <v>405140</v>
      </c>
      <c r="F68" s="10">
        <f t="shared" si="0"/>
        <v>970</v>
      </c>
      <c r="G68" s="11">
        <f t="shared" si="3"/>
        <v>2.3942340919188431E-3</v>
      </c>
      <c r="H68" s="146">
        <v>378199.1</v>
      </c>
      <c r="I68" s="132">
        <f t="shared" si="4"/>
        <v>27910.900000000023</v>
      </c>
      <c r="J68" s="13">
        <f t="shared" si="5"/>
        <v>7.3799488153197687E-2</v>
      </c>
      <c r="K68" s="53"/>
      <c r="L68" s="53"/>
      <c r="M68" s="103"/>
      <c r="N68" s="103"/>
      <c r="O68" s="103"/>
      <c r="P68" s="103"/>
      <c r="Q68" s="103"/>
      <c r="R68" s="103"/>
      <c r="S68" s="103"/>
      <c r="T68" s="103"/>
      <c r="U68" s="103"/>
      <c r="V68" s="103"/>
      <c r="W68" s="103"/>
    </row>
    <row r="69" spans="1:26" ht="28.9">
      <c r="A69" s="26" t="str">
        <v>Canoga</v>
      </c>
      <c r="B69" s="27" t="str">
        <v>NY</v>
      </c>
      <c r="C69" s="140" t="str">
        <f>Sites[[#This Row],[SOL'#]]</f>
        <v>SOL-10965</v>
      </c>
      <c r="D69" s="143">
        <v>1069950</v>
      </c>
      <c r="E69" s="14" t="s">
        <v>661</v>
      </c>
      <c r="F69" s="14" t="str">
        <f t="shared" ref="F69:F132" si="6">IF(AND(ISNUMBER(D69),ISNUMBER(E69)), D69-E69, "")</f>
        <v/>
      </c>
      <c r="G69" s="15" t="str">
        <f t="shared" si="3"/>
        <v/>
      </c>
      <c r="H69" s="125">
        <v>0</v>
      </c>
      <c r="I69" s="133">
        <f t="shared" si="4"/>
        <v>1069950</v>
      </c>
      <c r="J69" s="15" t="str">
        <f t="shared" si="5"/>
        <v/>
      </c>
      <c r="K69" s="51" t="s">
        <v>1719</v>
      </c>
      <c r="L69" s="99" t="s">
        <v>1720</v>
      </c>
      <c r="M69" s="102" t="s">
        <v>1721</v>
      </c>
      <c r="N69" s="103"/>
      <c r="O69" s="103"/>
      <c r="P69" s="103"/>
      <c r="Q69" s="103"/>
      <c r="R69" s="103"/>
      <c r="S69" s="103"/>
      <c r="T69" s="103"/>
      <c r="U69" s="103"/>
      <c r="V69" s="103"/>
      <c r="W69" s="103"/>
    </row>
    <row r="70" spans="1:26" ht="43.15">
      <c r="A70" s="24" t="str">
        <v>County Route 84</v>
      </c>
      <c r="B70" s="25" t="str">
        <v>NY</v>
      </c>
      <c r="C70" s="25" t="str">
        <f>Sites[[#This Row],[SOL'#]]</f>
        <v>SOL-10967</v>
      </c>
      <c r="D70" s="142">
        <v>1025200</v>
      </c>
      <c r="E70" s="141">
        <v>944680</v>
      </c>
      <c r="F70" s="10">
        <f t="shared" si="6"/>
        <v>80520</v>
      </c>
      <c r="G70" s="11">
        <f t="shared" ref="G70:G133" si="7">IFERROR(F70/E70, "")</f>
        <v>8.5235211923614343E-2</v>
      </c>
      <c r="H70" s="146">
        <v>965891.88399999996</v>
      </c>
      <c r="I70" s="132">
        <f t="shared" si="4"/>
        <v>59308.116000000038</v>
      </c>
      <c r="J70" s="13">
        <f t="shared" si="5"/>
        <v>6.1402437459553226E-2</v>
      </c>
      <c r="K70" s="53" t="s">
        <v>1722</v>
      </c>
      <c r="L70" s="98" t="s">
        <v>1723</v>
      </c>
      <c r="M70" s="103"/>
      <c r="N70" s="103"/>
      <c r="O70" s="103"/>
      <c r="P70" s="103"/>
      <c r="Q70" s="103"/>
      <c r="R70" s="103"/>
      <c r="S70" s="103"/>
      <c r="T70" s="103"/>
      <c r="U70" s="103"/>
      <c r="V70" s="103"/>
      <c r="W70" s="103"/>
    </row>
    <row r="71" spans="1:26" ht="28.9">
      <c r="A71" s="26" t="str">
        <v>Donati</v>
      </c>
      <c r="B71" s="27" t="str">
        <v>NY</v>
      </c>
      <c r="C71" s="140" t="str">
        <f>Sites[[#This Row],[SOL'#]]</f>
        <v>SOL-10968</v>
      </c>
      <c r="D71" s="143">
        <v>351070</v>
      </c>
      <c r="E71" s="14" t="s">
        <v>661</v>
      </c>
      <c r="F71" s="14" t="str">
        <f t="shared" si="6"/>
        <v/>
      </c>
      <c r="G71" s="15" t="str">
        <f t="shared" si="7"/>
        <v/>
      </c>
      <c r="H71" s="125">
        <v>486664.69099999999</v>
      </c>
      <c r="I71" s="133">
        <f t="shared" si="4"/>
        <v>-135594.69099999999</v>
      </c>
      <c r="J71" s="15">
        <f t="shared" si="5"/>
        <v>-0.27862035916634847</v>
      </c>
      <c r="K71" s="51" t="s">
        <v>1724</v>
      </c>
      <c r="L71" s="99" t="s">
        <v>1725</v>
      </c>
      <c r="M71" s="102" t="s">
        <v>728</v>
      </c>
      <c r="N71" s="103"/>
      <c r="O71" s="103"/>
      <c r="P71" s="103"/>
      <c r="Q71" s="103"/>
      <c r="R71" s="103"/>
      <c r="S71" s="103"/>
      <c r="T71" s="103"/>
      <c r="U71" s="103"/>
      <c r="V71" s="103"/>
      <c r="W71" s="103"/>
    </row>
    <row r="72" spans="1:26" ht="43.15">
      <c r="A72" s="24" t="str">
        <v>Henrietta</v>
      </c>
      <c r="B72" s="25" t="str">
        <v>NY</v>
      </c>
      <c r="C72" s="25" t="str">
        <f>Sites[[#This Row],[SOL'#]]</f>
        <v>SOL-10972</v>
      </c>
      <c r="D72" s="142">
        <v>1061840</v>
      </c>
      <c r="E72" s="141">
        <v>1060120</v>
      </c>
      <c r="F72" s="10">
        <f t="shared" si="6"/>
        <v>1720</v>
      </c>
      <c r="G72" s="11">
        <f t="shared" si="7"/>
        <v>1.6224578349620798E-3</v>
      </c>
      <c r="H72" s="146">
        <v>1004776.373</v>
      </c>
      <c r="I72" s="132">
        <f t="shared" si="4"/>
        <v>57063.626999999979</v>
      </c>
      <c r="J72" s="13">
        <f t="shared" si="5"/>
        <v>5.6792365478920331E-2</v>
      </c>
      <c r="K72" s="53" t="s">
        <v>1726</v>
      </c>
      <c r="L72" s="98" t="s">
        <v>1727</v>
      </c>
      <c r="M72" s="102" t="s">
        <v>1728</v>
      </c>
      <c r="N72" s="103"/>
      <c r="O72" s="103"/>
      <c r="P72" s="103"/>
      <c r="Q72" s="103"/>
      <c r="R72" s="103"/>
      <c r="S72" s="103"/>
      <c r="T72" s="103"/>
      <c r="U72" s="103"/>
      <c r="V72" s="103"/>
      <c r="W72" s="103"/>
    </row>
    <row r="73" spans="1:26" ht="86.45">
      <c r="A73" s="26" t="str">
        <v>NY 70</v>
      </c>
      <c r="B73" s="27" t="str">
        <v>NY</v>
      </c>
      <c r="C73" s="140" t="str">
        <f>Sites[[#This Row],[SOL'#]]</f>
        <v>SOL-10970</v>
      </c>
      <c r="D73" s="143">
        <v>1145390</v>
      </c>
      <c r="E73" s="14">
        <v>1142500</v>
      </c>
      <c r="F73" s="14">
        <f t="shared" si="6"/>
        <v>2890</v>
      </c>
      <c r="G73" s="15">
        <f t="shared" si="7"/>
        <v>2.5295404814004376E-3</v>
      </c>
      <c r="H73" s="125">
        <v>1091441.21</v>
      </c>
      <c r="I73" s="133">
        <f t="shared" si="4"/>
        <v>53948.790000000037</v>
      </c>
      <c r="J73" s="15">
        <f t="shared" si="5"/>
        <v>4.9428947254062397E-2</v>
      </c>
      <c r="K73" s="51" t="s">
        <v>1729</v>
      </c>
      <c r="L73" s="99" t="s">
        <v>1730</v>
      </c>
      <c r="M73" s="102" t="s">
        <v>1731</v>
      </c>
      <c r="N73" s="102" t="s">
        <v>1732</v>
      </c>
      <c r="O73" s="102" t="s">
        <v>1733</v>
      </c>
      <c r="P73" s="103"/>
      <c r="Q73" s="103"/>
      <c r="R73" s="103"/>
      <c r="S73" s="103"/>
      <c r="T73" s="103"/>
      <c r="U73" s="103"/>
      <c r="V73" s="103"/>
      <c r="W73" s="103"/>
    </row>
    <row r="74" spans="1:26" ht="351.75" customHeight="1">
      <c r="A74" s="24" t="str">
        <v>Reid</v>
      </c>
      <c r="B74" s="25" t="str">
        <v>NY</v>
      </c>
      <c r="C74" s="25" t="str">
        <f>Sites[[#This Row],[SOL'#]]</f>
        <v>SOL-10991</v>
      </c>
      <c r="D74" s="142">
        <v>892282.99835616001</v>
      </c>
      <c r="E74" s="141">
        <v>914463.5</v>
      </c>
      <c r="F74" s="10">
        <f t="shared" si="6"/>
        <v>-22180.501643839991</v>
      </c>
      <c r="G74" s="11">
        <f t="shared" si="7"/>
        <v>-2.4255207172117849E-2</v>
      </c>
      <c r="H74" s="146">
        <v>880052</v>
      </c>
      <c r="I74" s="132">
        <f t="shared" si="4"/>
        <v>12230.998356160009</v>
      </c>
      <c r="J74" s="13">
        <f t="shared" si="5"/>
        <v>1.3898040520514708E-2</v>
      </c>
      <c r="K74" s="53" t="s">
        <v>1734</v>
      </c>
      <c r="L74" s="98" t="s">
        <v>1735</v>
      </c>
      <c r="M74" s="102" t="s">
        <v>1736</v>
      </c>
      <c r="N74" s="102" t="s">
        <v>1737</v>
      </c>
      <c r="O74" s="102" t="s">
        <v>1738</v>
      </c>
      <c r="P74" s="102" t="s">
        <v>1739</v>
      </c>
      <c r="Q74" s="102" t="s">
        <v>1740</v>
      </c>
      <c r="R74" s="102" t="s">
        <v>1737</v>
      </c>
      <c r="S74" s="102" t="s">
        <v>1741</v>
      </c>
      <c r="T74" s="102" t="s">
        <v>1737</v>
      </c>
      <c r="U74" s="102" t="s">
        <v>1742</v>
      </c>
      <c r="V74" s="102" t="s">
        <v>1743</v>
      </c>
      <c r="W74" s="102" t="s">
        <v>1744</v>
      </c>
      <c r="X74" s="111" t="s">
        <v>1745</v>
      </c>
      <c r="Y74" s="111" t="s">
        <v>1737</v>
      </c>
      <c r="Z74" s="111" t="s">
        <v>1746</v>
      </c>
    </row>
    <row r="75" spans="1:26" ht="24.75" customHeight="1">
      <c r="A75" s="26" t="str">
        <v>Sangolqui</v>
      </c>
      <c r="B75" s="27" t="str">
        <v>NY</v>
      </c>
      <c r="C75" s="140" t="str">
        <f>Sites[[#This Row],[SOL'#]]</f>
        <v>SOL-10975</v>
      </c>
      <c r="D75" s="143">
        <v>516940</v>
      </c>
      <c r="E75" s="14">
        <v>464570</v>
      </c>
      <c r="F75" s="14">
        <f t="shared" si="6"/>
        <v>52370</v>
      </c>
      <c r="G75" s="15">
        <f t="shared" si="7"/>
        <v>0.11272789891727834</v>
      </c>
      <c r="H75" s="125">
        <v>474404.41499999998</v>
      </c>
      <c r="I75" s="133">
        <f t="shared" si="4"/>
        <v>42535.585000000021</v>
      </c>
      <c r="J75" s="15">
        <f t="shared" si="5"/>
        <v>8.9661022653003811E-2</v>
      </c>
      <c r="K75" s="51" t="s">
        <v>1747</v>
      </c>
      <c r="L75" s="99" t="s">
        <v>1748</v>
      </c>
      <c r="M75" s="103"/>
      <c r="N75" s="103"/>
      <c r="O75" s="103"/>
      <c r="P75" s="103"/>
      <c r="Q75" s="103"/>
      <c r="R75" s="103"/>
      <c r="S75" s="103"/>
      <c r="T75" s="103"/>
      <c r="U75" s="103"/>
      <c r="V75" s="103"/>
      <c r="W75" s="103"/>
    </row>
    <row r="76" spans="1:26" ht="28.9">
      <c r="A76" s="24" t="str">
        <v>State Highway 17B</v>
      </c>
      <c r="B76" s="25" t="str">
        <v>NY</v>
      </c>
      <c r="C76" s="25" t="str">
        <f>Sites[[#This Row],[SOL'#]]</f>
        <v>SOL-10988</v>
      </c>
      <c r="D76" s="142">
        <v>895960</v>
      </c>
      <c r="E76" s="141"/>
      <c r="F76" s="10" t="str">
        <f t="shared" si="6"/>
        <v/>
      </c>
      <c r="G76" s="11" t="str">
        <f t="shared" si="7"/>
        <v/>
      </c>
      <c r="H76" s="146"/>
      <c r="I76" s="132" t="str">
        <f t="shared" si="4"/>
        <v/>
      </c>
      <c r="J76" s="13" t="str">
        <f t="shared" si="5"/>
        <v/>
      </c>
      <c r="K76" s="53" t="s">
        <v>1749</v>
      </c>
      <c r="L76" s="98" t="s">
        <v>1750</v>
      </c>
      <c r="M76" s="103"/>
      <c r="N76" s="103"/>
      <c r="O76" s="103"/>
      <c r="P76" s="103"/>
      <c r="Q76" s="103"/>
      <c r="R76" s="103"/>
      <c r="S76" s="103"/>
      <c r="T76" s="103"/>
      <c r="U76" s="103"/>
      <c r="V76" s="103"/>
      <c r="W76" s="103"/>
    </row>
    <row r="77" spans="1:26" ht="86.45">
      <c r="A77" s="26" t="str">
        <v>State Route 14A</v>
      </c>
      <c r="B77" s="27" t="str">
        <v>NY</v>
      </c>
      <c r="C77" s="140" t="str">
        <f>Sites[[#This Row],[SOL'#]]</f>
        <v>SOL-10997</v>
      </c>
      <c r="D77" s="143">
        <v>0</v>
      </c>
      <c r="E77" s="14">
        <v>0</v>
      </c>
      <c r="F77" s="14">
        <f t="shared" si="6"/>
        <v>0</v>
      </c>
      <c r="G77" s="15" t="str">
        <f t="shared" si="7"/>
        <v/>
      </c>
      <c r="H77" s="125">
        <v>983561.84</v>
      </c>
      <c r="I77" s="133">
        <f t="shared" si="4"/>
        <v>-983561.84</v>
      </c>
      <c r="J77" s="15">
        <f t="shared" si="5"/>
        <v>-1</v>
      </c>
      <c r="K77" s="51" t="s">
        <v>1510</v>
      </c>
      <c r="L77" s="99" t="s">
        <v>1751</v>
      </c>
      <c r="M77" s="102" t="s">
        <v>999</v>
      </c>
      <c r="N77" s="102" t="s">
        <v>1512</v>
      </c>
      <c r="O77" s="103"/>
      <c r="P77" s="103"/>
      <c r="Q77" s="103"/>
      <c r="R77" s="103"/>
      <c r="S77" s="103"/>
      <c r="T77" s="103"/>
      <c r="U77" s="103"/>
      <c r="V77" s="103"/>
      <c r="W77" s="103"/>
    </row>
    <row r="78" spans="1:26" ht="61.5" customHeight="1">
      <c r="A78" s="24" t="str">
        <v>West Creek</v>
      </c>
      <c r="B78" s="25" t="str">
        <v>NY</v>
      </c>
      <c r="C78" s="25" t="str">
        <f>Sites[[#This Row],[SOL'#]]</f>
        <v>SOL-10995</v>
      </c>
      <c r="D78" s="142">
        <v>961630</v>
      </c>
      <c r="E78" s="141">
        <v>793500</v>
      </c>
      <c r="F78" s="10">
        <f t="shared" si="6"/>
        <v>168130</v>
      </c>
      <c r="G78" s="11">
        <f t="shared" si="7"/>
        <v>0.21188405797101451</v>
      </c>
      <c r="H78" s="146">
        <v>976026.25399999996</v>
      </c>
      <c r="I78" s="132">
        <f t="shared" si="4"/>
        <v>-14396.253999999957</v>
      </c>
      <c r="J78" s="13">
        <f t="shared" si="5"/>
        <v>-1.4749863480618993E-2</v>
      </c>
      <c r="K78" s="53" t="s">
        <v>1752</v>
      </c>
      <c r="L78" s="98" t="s">
        <v>1753</v>
      </c>
      <c r="M78" s="102" t="s">
        <v>1754</v>
      </c>
      <c r="N78" s="102" t="s">
        <v>1755</v>
      </c>
      <c r="O78" s="103"/>
      <c r="P78" s="103"/>
      <c r="Q78" s="103"/>
      <c r="R78" s="103"/>
      <c r="S78" s="103"/>
      <c r="T78" s="103"/>
      <c r="U78" s="103"/>
      <c r="V78" s="103"/>
      <c r="W78" s="103"/>
    </row>
    <row r="79" spans="1:26" ht="90.75" customHeight="1">
      <c r="A79" s="26" t="str">
        <v>Wildflower</v>
      </c>
      <c r="B79" s="27" t="str">
        <v>NY</v>
      </c>
      <c r="C79" s="140" t="str">
        <f>Sites[[#This Row],[SOL'#]]</f>
        <v>SOL-10982</v>
      </c>
      <c r="D79" s="143">
        <v>877224</v>
      </c>
      <c r="E79" s="14">
        <v>874959</v>
      </c>
      <c r="F79" s="14">
        <f t="shared" si="6"/>
        <v>2265</v>
      </c>
      <c r="G79" s="15">
        <f t="shared" si="7"/>
        <v>2.5886927273163656E-3</v>
      </c>
      <c r="H79" s="125">
        <v>939540.5</v>
      </c>
      <c r="I79" s="133">
        <f t="shared" si="4"/>
        <v>-62316.5</v>
      </c>
      <c r="J79" s="15">
        <f t="shared" si="5"/>
        <v>-6.6326571339926269E-2</v>
      </c>
      <c r="K79" s="51" t="s">
        <v>1756</v>
      </c>
      <c r="L79" s="99" t="s">
        <v>1757</v>
      </c>
      <c r="M79" s="102" t="s">
        <v>1758</v>
      </c>
      <c r="N79" s="103"/>
      <c r="O79" s="103"/>
      <c r="P79" s="103"/>
      <c r="Q79" s="103"/>
      <c r="R79" s="103"/>
      <c r="S79" s="103"/>
      <c r="T79" s="103"/>
      <c r="U79" s="103"/>
      <c r="V79" s="103"/>
      <c r="W79" s="103"/>
    </row>
    <row r="80" spans="1:26" ht="28.9">
      <c r="A80" s="24" t="str">
        <v>Glen Mary 1</v>
      </c>
      <c r="B80" s="25" t="str">
        <v>NY</v>
      </c>
      <c r="C80" s="25" t="str">
        <f>Sites[[#This Row],[SOL'#]]</f>
        <v>SOL-10993</v>
      </c>
      <c r="D80" s="142">
        <v>971890</v>
      </c>
      <c r="E80" s="141">
        <v>968460</v>
      </c>
      <c r="F80" s="10">
        <f t="shared" si="6"/>
        <v>3430</v>
      </c>
      <c r="G80" s="11">
        <f t="shared" si="7"/>
        <v>3.5417053879354854E-3</v>
      </c>
      <c r="H80" s="146">
        <v>977485.50899999996</v>
      </c>
      <c r="I80" s="132">
        <f t="shared" si="4"/>
        <v>-5595.5089999999618</v>
      </c>
      <c r="J80" s="13">
        <f t="shared" si="5"/>
        <v>-5.7243907438836129E-3</v>
      </c>
      <c r="K80" s="53" t="s">
        <v>1759</v>
      </c>
      <c r="L80" s="98" t="s">
        <v>1760</v>
      </c>
      <c r="M80" s="103"/>
      <c r="N80" s="103"/>
      <c r="O80" s="103"/>
      <c r="P80" s="103"/>
      <c r="Q80" s="103"/>
      <c r="R80" s="103"/>
      <c r="S80" s="103"/>
      <c r="T80" s="103"/>
      <c r="U80" s="103"/>
      <c r="V80" s="103"/>
      <c r="W80" s="103"/>
    </row>
    <row r="81" spans="1:23" ht="66" customHeight="1">
      <c r="A81" s="26" t="str">
        <v>Glen Mary 2</v>
      </c>
      <c r="B81" s="27" t="str">
        <v>NY</v>
      </c>
      <c r="C81" s="140" t="str">
        <f>Sites[[#This Row],[SOL'#]]</f>
        <v>SOL-10994</v>
      </c>
      <c r="D81" s="143">
        <v>423580</v>
      </c>
      <c r="E81" s="14">
        <v>256240</v>
      </c>
      <c r="F81" s="14">
        <f t="shared" si="6"/>
        <v>167340</v>
      </c>
      <c r="G81" s="68">
        <f t="shared" si="7"/>
        <v>0.65305963159537939</v>
      </c>
      <c r="H81" s="125">
        <v>416453.55800000002</v>
      </c>
      <c r="I81" s="125">
        <f t="shared" si="4"/>
        <v>7126.4419999999809</v>
      </c>
      <c r="J81" s="68">
        <f t="shared" si="5"/>
        <v>1.7112213026164086E-2</v>
      </c>
      <c r="K81" s="51" t="s">
        <v>1761</v>
      </c>
      <c r="L81" s="99" t="s">
        <v>1762</v>
      </c>
      <c r="M81" s="102" t="s">
        <v>1763</v>
      </c>
      <c r="N81" s="102" t="s">
        <v>1764</v>
      </c>
      <c r="O81" s="103"/>
      <c r="P81" s="103"/>
      <c r="Q81" s="103"/>
      <c r="R81" s="103"/>
      <c r="S81" s="103"/>
      <c r="T81" s="103"/>
      <c r="U81" s="103"/>
      <c r="V81" s="103"/>
      <c r="W81" s="103"/>
    </row>
    <row r="82" spans="1:23" ht="57.75" customHeight="1">
      <c r="A82" s="24" t="str">
        <v>Telegraph 1</v>
      </c>
      <c r="B82" s="25" t="str">
        <v>NY</v>
      </c>
      <c r="C82" s="25" t="str">
        <f>Sites[[#This Row],[SOL'#]]</f>
        <v>SOL-11003</v>
      </c>
      <c r="D82" s="142">
        <v>718090</v>
      </c>
      <c r="E82" s="141" t="s">
        <v>661</v>
      </c>
      <c r="F82" s="10" t="str">
        <f t="shared" si="6"/>
        <v/>
      </c>
      <c r="G82" s="11" t="str">
        <f t="shared" si="7"/>
        <v/>
      </c>
      <c r="H82" s="146">
        <v>685999.96699999995</v>
      </c>
      <c r="I82" s="132">
        <f t="shared" ref="I82:I145" si="8">IF(AND(ISNUMBER(D82),ISNUMBER(H82)), D82-H82, "")</f>
        <v>32090.033000000054</v>
      </c>
      <c r="J82" s="13">
        <f t="shared" ref="J82:J145" si="9">IFERROR(I82/H82, "")</f>
        <v>4.6778476011209567E-2</v>
      </c>
      <c r="K82" s="53" t="s">
        <v>1765</v>
      </c>
      <c r="L82" s="98" t="s">
        <v>1766</v>
      </c>
      <c r="M82" s="102" t="s">
        <v>1767</v>
      </c>
      <c r="N82" s="102" t="s">
        <v>1768</v>
      </c>
      <c r="O82" s="103"/>
      <c r="P82" s="103"/>
      <c r="Q82" s="103"/>
      <c r="R82" s="103"/>
      <c r="S82" s="103"/>
      <c r="T82" s="103"/>
      <c r="U82" s="103"/>
      <c r="V82" s="103"/>
      <c r="W82" s="103"/>
    </row>
    <row r="83" spans="1:23" ht="59.45" customHeight="1">
      <c r="A83" s="26" t="str">
        <v>Telegraph 2</v>
      </c>
      <c r="B83" s="27" t="str">
        <v>NY</v>
      </c>
      <c r="C83" s="140" t="str">
        <f>Sites[[#This Row],[SOL'#]]</f>
        <v>SOL-11004</v>
      </c>
      <c r="D83" s="143">
        <v>352930</v>
      </c>
      <c r="E83" s="14" t="s">
        <v>661</v>
      </c>
      <c r="F83" s="14" t="str">
        <f t="shared" si="6"/>
        <v/>
      </c>
      <c r="G83" s="15" t="str">
        <f t="shared" si="7"/>
        <v/>
      </c>
      <c r="H83" s="125">
        <v>357075.71600000001</v>
      </c>
      <c r="I83" s="133">
        <f t="shared" si="8"/>
        <v>-4145.7160000000149</v>
      </c>
      <c r="J83" s="15">
        <f t="shared" si="9"/>
        <v>-1.1610187459513531E-2</v>
      </c>
      <c r="K83" s="51" t="s">
        <v>1769</v>
      </c>
      <c r="L83" s="99" t="s">
        <v>1770</v>
      </c>
      <c r="M83" s="102" t="s">
        <v>1771</v>
      </c>
      <c r="N83" s="102" t="s">
        <v>1772</v>
      </c>
      <c r="O83" s="103"/>
      <c r="P83" s="103"/>
      <c r="Q83" s="103"/>
      <c r="R83" s="103"/>
      <c r="S83" s="103"/>
      <c r="T83" s="103"/>
      <c r="U83" s="103"/>
      <c r="V83" s="103"/>
      <c r="W83" s="103"/>
    </row>
    <row r="84" spans="1:23" ht="15.6">
      <c r="A84" s="24" t="str">
        <v>Cafferty Hill</v>
      </c>
      <c r="B84" s="25" t="str">
        <v>NY</v>
      </c>
      <c r="C84" s="25" t="str">
        <f>Sites[[#This Row],[SOL'#]]</f>
        <v>SOL-10996</v>
      </c>
      <c r="D84" s="142">
        <v>1036120</v>
      </c>
      <c r="E84" s="141">
        <v>1073271.7</v>
      </c>
      <c r="F84" s="10">
        <f t="shared" si="6"/>
        <v>-37151.699999999953</v>
      </c>
      <c r="G84" s="11">
        <f t="shared" si="7"/>
        <v>-3.461537278957412E-2</v>
      </c>
      <c r="H84" s="146">
        <v>938020.13699999999</v>
      </c>
      <c r="I84" s="132">
        <f t="shared" si="8"/>
        <v>98099.863000000012</v>
      </c>
      <c r="J84" s="13">
        <f t="shared" si="9"/>
        <v>0.10458183052844207</v>
      </c>
      <c r="K84" s="53"/>
      <c r="L84" s="53"/>
      <c r="M84" s="103"/>
      <c r="N84" s="103"/>
      <c r="O84" s="103"/>
      <c r="P84" s="103"/>
      <c r="Q84" s="103"/>
      <c r="R84" s="103"/>
      <c r="S84" s="103"/>
      <c r="T84" s="103"/>
      <c r="U84" s="103"/>
      <c r="V84" s="103"/>
      <c r="W84" s="103"/>
    </row>
    <row r="85" spans="1:23" ht="15.6">
      <c r="A85" s="26" t="str">
        <v>Dunkleman</v>
      </c>
      <c r="B85" s="27" t="str">
        <v>NY</v>
      </c>
      <c r="C85" s="140" t="str">
        <f>Sites[[#This Row],[SOL'#]]</f>
        <v>SOL-11008</v>
      </c>
      <c r="D85" s="143">
        <v>1233230</v>
      </c>
      <c r="E85" s="14">
        <v>1230210</v>
      </c>
      <c r="F85" s="14">
        <f t="shared" si="6"/>
        <v>3020</v>
      </c>
      <c r="G85" s="15">
        <f t="shared" si="7"/>
        <v>2.4548654294795197E-3</v>
      </c>
      <c r="H85" s="125">
        <v>1151573.6040000001</v>
      </c>
      <c r="I85" s="133">
        <f t="shared" si="8"/>
        <v>81656.39599999995</v>
      </c>
      <c r="J85" s="15">
        <f t="shared" si="9"/>
        <v>7.0908533954204767E-2</v>
      </c>
      <c r="K85" s="51"/>
      <c r="L85" s="51"/>
      <c r="M85" s="103"/>
      <c r="N85" s="103"/>
      <c r="O85" s="103"/>
      <c r="P85" s="103"/>
      <c r="Q85" s="103"/>
      <c r="R85" s="103"/>
      <c r="S85" s="103"/>
      <c r="T85" s="103"/>
      <c r="U85" s="103"/>
      <c r="V85" s="103"/>
      <c r="W85" s="103"/>
    </row>
    <row r="86" spans="1:23" ht="57.6">
      <c r="A86" s="24" t="str">
        <v>Route 19 1</v>
      </c>
      <c r="B86" s="25" t="str">
        <v>NY</v>
      </c>
      <c r="C86" s="25" t="str">
        <f>Sites[[#This Row],[SOL'#]]</f>
        <v>SOL-11001</v>
      </c>
      <c r="D86" s="142">
        <v>477750</v>
      </c>
      <c r="E86" s="141">
        <v>474670</v>
      </c>
      <c r="F86" s="10">
        <f t="shared" si="6"/>
        <v>3080</v>
      </c>
      <c r="G86" s="11">
        <f t="shared" si="7"/>
        <v>6.4887184781005748E-3</v>
      </c>
      <c r="H86" s="146">
        <v>470708.47200000001</v>
      </c>
      <c r="I86" s="132">
        <f t="shared" si="8"/>
        <v>7041.5279999999912</v>
      </c>
      <c r="J86" s="13">
        <f t="shared" si="9"/>
        <v>1.4959424822079665E-2</v>
      </c>
      <c r="K86" s="53" t="s">
        <v>1773</v>
      </c>
      <c r="L86" s="98" t="s">
        <v>1774</v>
      </c>
      <c r="M86" s="102" t="s">
        <v>1775</v>
      </c>
      <c r="N86" s="102" t="s">
        <v>1776</v>
      </c>
      <c r="O86" s="103"/>
      <c r="P86" s="103"/>
      <c r="Q86" s="103"/>
      <c r="R86" s="103"/>
      <c r="S86" s="103"/>
      <c r="T86" s="103"/>
      <c r="U86" s="103"/>
      <c r="V86" s="103"/>
      <c r="W86" s="103"/>
    </row>
    <row r="87" spans="1:23" ht="49.5" customHeight="1">
      <c r="A87" s="26" t="str">
        <v>Route 19 2</v>
      </c>
      <c r="B87" s="27" t="str">
        <v>NY</v>
      </c>
      <c r="C87" s="140" t="str">
        <f>Sites[[#This Row],[SOL'#]]</f>
        <v>SOL-11002</v>
      </c>
      <c r="D87" s="143">
        <v>1221980</v>
      </c>
      <c r="E87" s="14">
        <v>1218200</v>
      </c>
      <c r="F87" s="14">
        <f t="shared" si="6"/>
        <v>3780</v>
      </c>
      <c r="G87" s="15">
        <f t="shared" si="7"/>
        <v>3.1029387621080281E-3</v>
      </c>
      <c r="H87" s="125">
        <v>1157576.844</v>
      </c>
      <c r="I87" s="133">
        <f t="shared" si="8"/>
        <v>64403.155999999959</v>
      </c>
      <c r="J87" s="15">
        <f t="shared" si="9"/>
        <v>5.563618202438745E-2</v>
      </c>
      <c r="K87" s="51" t="s">
        <v>1777</v>
      </c>
      <c r="L87" s="99" t="s">
        <v>1778</v>
      </c>
      <c r="M87" s="102" t="s">
        <v>1779</v>
      </c>
      <c r="N87" s="103"/>
      <c r="O87" s="103"/>
      <c r="P87" s="103"/>
      <c r="Q87" s="103"/>
      <c r="R87" s="103"/>
      <c r="S87" s="103"/>
      <c r="T87" s="103"/>
      <c r="U87" s="103"/>
      <c r="V87" s="103"/>
      <c r="W87" s="103"/>
    </row>
    <row r="88" spans="1:23" ht="15.6">
      <c r="A88" s="24" t="str">
        <v>Yellow Mills 1</v>
      </c>
      <c r="B88" s="25" t="str">
        <v>NY</v>
      </c>
      <c r="C88" s="25" t="str">
        <f>Sites[[#This Row],[SOL'#]]</f>
        <v>SOL-11006</v>
      </c>
      <c r="D88" s="142">
        <v>444762</v>
      </c>
      <c r="E88" s="141">
        <v>442702</v>
      </c>
      <c r="F88" s="10">
        <f t="shared" si="6"/>
        <v>2060</v>
      </c>
      <c r="G88" s="11">
        <f t="shared" si="7"/>
        <v>4.6532430393357157E-3</v>
      </c>
      <c r="H88" s="146">
        <v>398351.76799999998</v>
      </c>
      <c r="I88" s="132">
        <f t="shared" si="8"/>
        <v>46410.232000000018</v>
      </c>
      <c r="J88" s="13">
        <f t="shared" si="9"/>
        <v>0.11650565085479932</v>
      </c>
      <c r="K88" s="53"/>
      <c r="L88" s="53"/>
      <c r="M88" s="103"/>
      <c r="N88" s="103"/>
      <c r="O88" s="103"/>
      <c r="P88" s="103"/>
      <c r="Q88" s="103"/>
      <c r="R88" s="103"/>
      <c r="S88" s="103"/>
      <c r="T88" s="103"/>
      <c r="U88" s="103"/>
      <c r="V88" s="103"/>
      <c r="W88" s="103"/>
    </row>
    <row r="89" spans="1:23" ht="15.6">
      <c r="A89" s="26" t="str">
        <v>Yellow Mills 2</v>
      </c>
      <c r="B89" s="27" t="str">
        <v>NY</v>
      </c>
      <c r="C89" s="140" t="str">
        <f>Sites[[#This Row],[SOL'#]]</f>
        <v>SOL-11005</v>
      </c>
      <c r="D89" s="143">
        <v>439886</v>
      </c>
      <c r="E89" s="14" t="s">
        <v>661</v>
      </c>
      <c r="F89" s="14" t="str">
        <f t="shared" si="6"/>
        <v/>
      </c>
      <c r="G89" s="15" t="str">
        <f t="shared" si="7"/>
        <v/>
      </c>
      <c r="H89" s="125">
        <v>413553.44300000003</v>
      </c>
      <c r="I89" s="133">
        <f t="shared" si="8"/>
        <v>26332.556999999972</v>
      </c>
      <c r="J89" s="15">
        <f t="shared" si="9"/>
        <v>6.3673891357253112E-2</v>
      </c>
      <c r="K89" s="51" t="s">
        <v>1780</v>
      </c>
      <c r="L89" s="99" t="s">
        <v>1781</v>
      </c>
      <c r="M89" s="103"/>
      <c r="N89" s="103"/>
      <c r="O89" s="103"/>
      <c r="P89" s="103"/>
      <c r="Q89" s="103"/>
      <c r="R89" s="103"/>
      <c r="S89" s="103"/>
      <c r="T89" s="103"/>
      <c r="U89" s="103"/>
      <c r="V89" s="103"/>
      <c r="W89" s="103"/>
    </row>
    <row r="90" spans="1:23" ht="15.6">
      <c r="A90" s="24" t="str">
        <v>Yellow Mills 3</v>
      </c>
      <c r="B90" s="25" t="str">
        <v>NY</v>
      </c>
      <c r="C90" s="25" t="str">
        <f>Sites[[#This Row],[SOL'#]]</f>
        <v>SOL-11007</v>
      </c>
      <c r="D90" s="142">
        <v>417387</v>
      </c>
      <c r="E90" s="141">
        <v>415519</v>
      </c>
      <c r="F90" s="10">
        <f t="shared" si="6"/>
        <v>1868</v>
      </c>
      <c r="G90" s="11">
        <f t="shared" si="7"/>
        <v>4.4955826328037952E-3</v>
      </c>
      <c r="H90" s="146">
        <v>393360.93300000002</v>
      </c>
      <c r="I90" s="132">
        <f t="shared" si="8"/>
        <v>24026.066999999981</v>
      </c>
      <c r="J90" s="13">
        <f t="shared" si="9"/>
        <v>6.1078935360365287E-2</v>
      </c>
      <c r="K90" s="53"/>
      <c r="L90" s="53"/>
      <c r="M90" s="103"/>
      <c r="N90" s="103"/>
      <c r="O90" s="103"/>
      <c r="P90" s="103"/>
      <c r="Q90" s="103"/>
      <c r="R90" s="103"/>
      <c r="S90" s="103"/>
      <c r="T90" s="103"/>
      <c r="U90" s="103"/>
      <c r="V90" s="103"/>
      <c r="W90" s="103"/>
    </row>
    <row r="91" spans="1:23" ht="126.75" customHeight="1">
      <c r="A91" s="26" t="str">
        <v>Catskill</v>
      </c>
      <c r="B91" s="27" t="str">
        <v>NY</v>
      </c>
      <c r="C91" s="140" t="str">
        <f>Sites[[#This Row],[SOL'#]]</f>
        <v>SOL-11021</v>
      </c>
      <c r="D91" s="143">
        <v>444125</v>
      </c>
      <c r="E91" s="14"/>
      <c r="F91" s="14" t="str">
        <f t="shared" si="6"/>
        <v/>
      </c>
      <c r="G91" s="15" t="str">
        <f t="shared" si="7"/>
        <v/>
      </c>
      <c r="H91" s="125">
        <v>723755.75399999996</v>
      </c>
      <c r="I91" s="133">
        <f t="shared" si="8"/>
        <v>-279630.75399999996</v>
      </c>
      <c r="J91" s="15">
        <f t="shared" si="9"/>
        <v>-0.3863606644293428</v>
      </c>
      <c r="K91" s="51" t="s">
        <v>1782</v>
      </c>
      <c r="L91" s="99" t="s">
        <v>1783</v>
      </c>
      <c r="M91" s="102" t="s">
        <v>1784</v>
      </c>
      <c r="N91" s="102" t="s">
        <v>1785</v>
      </c>
      <c r="O91" s="102" t="s">
        <v>1786</v>
      </c>
      <c r="P91" s="102" t="s">
        <v>1787</v>
      </c>
      <c r="Q91" s="103"/>
      <c r="R91" s="103"/>
      <c r="S91" s="103"/>
      <c r="T91" s="103"/>
      <c r="U91" s="103"/>
      <c r="V91" s="103"/>
      <c r="W91" s="103"/>
    </row>
    <row r="92" spans="1:23" ht="15.6">
      <c r="A92" s="24" t="str">
        <v>Eddy Ridge</v>
      </c>
      <c r="B92" s="25" t="str">
        <v>NY</v>
      </c>
      <c r="C92" s="25" t="str">
        <f>Sites[[#This Row],[SOL'#]]</f>
        <v>SOL-11054</v>
      </c>
      <c r="D92" s="142">
        <v>545135</v>
      </c>
      <c r="E92" s="141">
        <v>543196</v>
      </c>
      <c r="F92" s="10">
        <f t="shared" si="6"/>
        <v>1939</v>
      </c>
      <c r="G92" s="11">
        <f t="shared" si="7"/>
        <v>3.5696139146827294E-3</v>
      </c>
      <c r="H92" s="146">
        <v>569140</v>
      </c>
      <c r="I92" s="132">
        <f t="shared" si="8"/>
        <v>-24005</v>
      </c>
      <c r="J92" s="13">
        <f t="shared" si="9"/>
        <v>-4.2177671574656496E-2</v>
      </c>
      <c r="K92" s="53" t="s">
        <v>1788</v>
      </c>
      <c r="L92" s="98" t="s">
        <v>1789</v>
      </c>
      <c r="M92" s="103"/>
      <c r="N92" s="103"/>
      <c r="O92" s="103"/>
      <c r="P92" s="103"/>
      <c r="Q92" s="103"/>
      <c r="R92" s="103"/>
      <c r="S92" s="103"/>
      <c r="T92" s="103"/>
      <c r="U92" s="103"/>
      <c r="V92" s="103"/>
      <c r="W92" s="103"/>
    </row>
    <row r="93" spans="1:23" ht="86.45">
      <c r="A93" s="26" t="str">
        <v>Ridgeway #1</v>
      </c>
      <c r="B93" s="27" t="str">
        <v>NY</v>
      </c>
      <c r="C93" s="140" t="str">
        <f>Sites[[#This Row],[SOL'#]]</f>
        <v>SOL-11018</v>
      </c>
      <c r="D93" s="143">
        <v>1299305</v>
      </c>
      <c r="E93" s="14">
        <v>1294543</v>
      </c>
      <c r="F93" s="14">
        <f t="shared" si="6"/>
        <v>4762</v>
      </c>
      <c r="G93" s="15">
        <f t="shared" si="7"/>
        <v>3.6785182106735736E-3</v>
      </c>
      <c r="H93" s="125">
        <v>1207231.49</v>
      </c>
      <c r="I93" s="133">
        <f t="shared" si="8"/>
        <v>92073.510000000009</v>
      </c>
      <c r="J93" s="15">
        <f t="shared" si="9"/>
        <v>7.6268313710073962E-2</v>
      </c>
      <c r="K93" s="51" t="s">
        <v>1790</v>
      </c>
      <c r="L93" s="99" t="s">
        <v>1791</v>
      </c>
      <c r="M93" s="102" t="s">
        <v>1792</v>
      </c>
      <c r="N93" s="102" t="s">
        <v>1793</v>
      </c>
      <c r="O93" s="102" t="s">
        <v>1794</v>
      </c>
      <c r="P93" s="103"/>
      <c r="Q93" s="103"/>
      <c r="R93" s="103"/>
      <c r="S93" s="103"/>
      <c r="T93" s="103"/>
      <c r="U93" s="103"/>
      <c r="V93" s="103"/>
      <c r="W93" s="103"/>
    </row>
    <row r="94" spans="1:23" ht="15.6">
      <c r="A94" s="24" t="str">
        <v>Rivard 1</v>
      </c>
      <c r="B94" s="25" t="str">
        <v>NY</v>
      </c>
      <c r="C94" s="25" t="str">
        <f>Sites[[#This Row],[SOL'#]]</f>
        <v>SOL-11011</v>
      </c>
      <c r="D94" s="142">
        <v>1066472.45</v>
      </c>
      <c r="E94" s="141">
        <v>1106229</v>
      </c>
      <c r="F94" s="10">
        <f t="shared" si="6"/>
        <v>-39756.550000000047</v>
      </c>
      <c r="G94" s="11">
        <f t="shared" si="7"/>
        <v>-3.5938806521976958E-2</v>
      </c>
      <c r="H94" s="146">
        <v>935669.4</v>
      </c>
      <c r="I94" s="132">
        <f t="shared" si="8"/>
        <v>130803.04999999993</v>
      </c>
      <c r="J94" s="13">
        <f t="shared" si="9"/>
        <v>0.13979622503418401</v>
      </c>
      <c r="K94" s="53"/>
      <c r="L94" s="53"/>
      <c r="M94" s="103"/>
      <c r="N94" s="103"/>
      <c r="O94" s="103"/>
      <c r="P94" s="103"/>
      <c r="Q94" s="103"/>
      <c r="R94" s="103"/>
      <c r="S94" s="103"/>
      <c r="T94" s="103"/>
      <c r="U94" s="103"/>
      <c r="V94" s="103"/>
      <c r="W94" s="103"/>
    </row>
    <row r="95" spans="1:23" ht="28.9">
      <c r="A95" s="26" t="str">
        <v>Rivard 2</v>
      </c>
      <c r="B95" s="27" t="str">
        <v>NY</v>
      </c>
      <c r="C95" s="140" t="str">
        <f>Sites[[#This Row],[SOL'#]]</f>
        <v>SOL-11012</v>
      </c>
      <c r="D95" s="143">
        <v>1031069.23895522</v>
      </c>
      <c r="E95" s="14">
        <v>1013938</v>
      </c>
      <c r="F95" s="14">
        <f t="shared" si="6"/>
        <v>17131.238955219975</v>
      </c>
      <c r="G95" s="15">
        <f t="shared" si="7"/>
        <v>1.6895746046819406E-2</v>
      </c>
      <c r="H95" s="125">
        <v>899150.6</v>
      </c>
      <c r="I95" s="133">
        <f t="shared" si="8"/>
        <v>131918.63895522</v>
      </c>
      <c r="J95" s="15">
        <f t="shared" si="9"/>
        <v>0.14671473160916537</v>
      </c>
      <c r="K95" s="51" t="s">
        <v>1795</v>
      </c>
      <c r="L95" s="99" t="s">
        <v>1796</v>
      </c>
      <c r="M95" s="103"/>
      <c r="N95" s="103"/>
      <c r="O95" s="103"/>
      <c r="P95" s="103"/>
      <c r="Q95" s="103"/>
      <c r="R95" s="103"/>
      <c r="S95" s="103"/>
      <c r="T95" s="103"/>
      <c r="U95" s="103"/>
      <c r="V95" s="103"/>
      <c r="W95" s="103"/>
    </row>
    <row r="96" spans="1:23" ht="15.6">
      <c r="A96" s="24" t="str">
        <v>Ridgeway #2</v>
      </c>
      <c r="B96" s="25" t="str">
        <v>NY</v>
      </c>
      <c r="C96" s="25" t="str">
        <f>Sites[[#This Row],[SOL'#]]</f>
        <v>SOL-11027</v>
      </c>
      <c r="D96" s="142">
        <v>664930</v>
      </c>
      <c r="E96" s="141">
        <v>662501</v>
      </c>
      <c r="F96" s="10">
        <f t="shared" si="6"/>
        <v>2429</v>
      </c>
      <c r="G96" s="11">
        <f t="shared" si="7"/>
        <v>3.6664095601365129E-3</v>
      </c>
      <c r="H96" s="146">
        <v>615124.07999999996</v>
      </c>
      <c r="I96" s="132">
        <f t="shared" si="8"/>
        <v>49805.920000000042</v>
      </c>
      <c r="J96" s="13">
        <f t="shared" si="9"/>
        <v>8.0968899803109715E-2</v>
      </c>
      <c r="K96" s="53"/>
      <c r="L96" s="53"/>
      <c r="M96" s="103"/>
      <c r="N96" s="103"/>
      <c r="O96" s="103"/>
      <c r="P96" s="103"/>
      <c r="Q96" s="103"/>
      <c r="R96" s="103"/>
      <c r="S96" s="103"/>
      <c r="T96" s="103"/>
      <c r="U96" s="103"/>
      <c r="V96" s="103"/>
      <c r="W96" s="103"/>
    </row>
    <row r="97" spans="1:23" ht="15.6">
      <c r="A97" s="26" t="str">
        <v>Spencer</v>
      </c>
      <c r="B97" s="27" t="str">
        <v>NY</v>
      </c>
      <c r="C97" s="140" t="str">
        <f>Sites[[#This Row],[SOL'#]]</f>
        <v>SOL-11017</v>
      </c>
      <c r="D97" s="143">
        <v>1330141</v>
      </c>
      <c r="E97" s="14">
        <v>1327536</v>
      </c>
      <c r="F97" s="14">
        <f t="shared" si="6"/>
        <v>2605</v>
      </c>
      <c r="G97" s="15">
        <f t="shared" si="7"/>
        <v>1.9622820021453278E-3</v>
      </c>
      <c r="H97" s="125">
        <v>1194000</v>
      </c>
      <c r="I97" s="133">
        <f t="shared" si="8"/>
        <v>136141</v>
      </c>
      <c r="J97" s="15">
        <f t="shared" si="9"/>
        <v>0.11402093802345059</v>
      </c>
      <c r="K97" s="51" t="s">
        <v>1797</v>
      </c>
      <c r="L97" s="99" t="s">
        <v>1038</v>
      </c>
      <c r="M97" s="103"/>
      <c r="N97" s="103"/>
      <c r="O97" s="103"/>
      <c r="P97" s="103"/>
      <c r="Q97" s="103"/>
      <c r="R97" s="103"/>
      <c r="S97" s="103"/>
      <c r="T97" s="103"/>
      <c r="U97" s="103"/>
      <c r="V97" s="103"/>
      <c r="W97" s="103"/>
    </row>
    <row r="98" spans="1:23" ht="15.6">
      <c r="A98" s="24" t="str">
        <v>Reisender</v>
      </c>
      <c r="B98" s="25" t="str">
        <v>NY</v>
      </c>
      <c r="C98" s="25" t="str">
        <f>Sites[[#This Row],[SOL'#]]</f>
        <v>SOL-10886</v>
      </c>
      <c r="D98" s="142">
        <v>404190</v>
      </c>
      <c r="E98" s="141">
        <v>404110</v>
      </c>
      <c r="F98" s="10">
        <f t="shared" si="6"/>
        <v>80</v>
      </c>
      <c r="G98" s="11">
        <f t="shared" si="7"/>
        <v>1.9796590037366064E-4</v>
      </c>
      <c r="H98" s="146">
        <v>375809.64</v>
      </c>
      <c r="I98" s="132">
        <f t="shared" si="8"/>
        <v>28380.359999999986</v>
      </c>
      <c r="J98" s="13">
        <f t="shared" si="9"/>
        <v>7.5517913803381909E-2</v>
      </c>
      <c r="K98" s="53"/>
      <c r="L98" s="53"/>
      <c r="M98" s="103"/>
      <c r="N98" s="103"/>
      <c r="O98" s="103"/>
      <c r="P98" s="103"/>
      <c r="Q98" s="103"/>
      <c r="R98" s="103"/>
      <c r="S98" s="103"/>
      <c r="T98" s="103"/>
      <c r="U98" s="103"/>
      <c r="V98" s="103"/>
      <c r="W98" s="103"/>
    </row>
    <row r="99" spans="1:23" ht="72">
      <c r="A99" s="26" t="str">
        <v>Finney</v>
      </c>
      <c r="B99" s="27" t="str">
        <v>NY</v>
      </c>
      <c r="C99" s="140" t="str">
        <f>Sites[[#This Row],[SOL'#]]</f>
        <v>SOL-10999</v>
      </c>
      <c r="D99" s="143">
        <v>982830</v>
      </c>
      <c r="E99" s="14">
        <v>981420</v>
      </c>
      <c r="F99" s="14">
        <f t="shared" si="6"/>
        <v>1410</v>
      </c>
      <c r="G99" s="15">
        <f t="shared" si="7"/>
        <v>1.4366937702512685E-3</v>
      </c>
      <c r="H99" s="125">
        <v>1213585.291</v>
      </c>
      <c r="I99" s="133">
        <f t="shared" si="8"/>
        <v>-230755.29099999997</v>
      </c>
      <c r="J99" s="15">
        <f t="shared" si="9"/>
        <v>-0.19014344744559036</v>
      </c>
      <c r="K99" s="51" t="s">
        <v>1798</v>
      </c>
      <c r="L99" s="99" t="s">
        <v>1799</v>
      </c>
      <c r="M99" s="102" t="s">
        <v>1800</v>
      </c>
      <c r="N99" s="102" t="s">
        <v>1801</v>
      </c>
      <c r="O99" s="103"/>
      <c r="P99" s="103"/>
      <c r="Q99" s="103"/>
      <c r="R99" s="103"/>
      <c r="S99" s="103"/>
      <c r="T99" s="103"/>
      <c r="U99" s="103"/>
      <c r="V99" s="103"/>
      <c r="W99" s="103"/>
    </row>
    <row r="100" spans="1:23" ht="28.9">
      <c r="A100" s="24" t="str">
        <v>Davis Solar</v>
      </c>
      <c r="B100" s="25" t="str">
        <v>NY</v>
      </c>
      <c r="C100" s="25" t="str">
        <f>Sites[[#This Row],[SOL'#]]</f>
        <v>SOL-10958</v>
      </c>
      <c r="D100" s="142">
        <v>415510</v>
      </c>
      <c r="E100" s="141">
        <v>442179.7</v>
      </c>
      <c r="F100" s="10">
        <f t="shared" si="6"/>
        <v>-26669.700000000012</v>
      </c>
      <c r="G100" s="11">
        <f t="shared" si="7"/>
        <v>-6.0314166389818465E-2</v>
      </c>
      <c r="H100" s="146">
        <v>433878</v>
      </c>
      <c r="I100" s="132">
        <f t="shared" si="8"/>
        <v>-18368</v>
      </c>
      <c r="J100" s="13">
        <f t="shared" si="9"/>
        <v>-4.2334481121421227E-2</v>
      </c>
      <c r="K100" s="53" t="s">
        <v>1802</v>
      </c>
      <c r="L100" s="98" t="s">
        <v>1803</v>
      </c>
      <c r="M100" s="103"/>
      <c r="N100" s="103"/>
      <c r="O100" s="103"/>
      <c r="P100" s="103"/>
      <c r="Q100" s="103"/>
      <c r="R100" s="103"/>
      <c r="S100" s="103"/>
      <c r="T100" s="103"/>
      <c r="U100" s="103"/>
      <c r="V100" s="103"/>
      <c r="W100" s="103"/>
    </row>
    <row r="101" spans="1:23" ht="15.6">
      <c r="A101" s="26" t="str">
        <v>Genesee</v>
      </c>
      <c r="B101" s="27" t="str">
        <v>NY</v>
      </c>
      <c r="C101" s="140" t="str">
        <f>Sites[[#This Row],[SOL'#]]</f>
        <v>SOL-10951</v>
      </c>
      <c r="D101" s="143">
        <v>812550.8</v>
      </c>
      <c r="E101" s="14">
        <v>480122.63</v>
      </c>
      <c r="F101" s="14">
        <f t="shared" si="6"/>
        <v>332428.17000000004</v>
      </c>
      <c r="G101" s="15">
        <f t="shared" si="7"/>
        <v>0.69238179837513603</v>
      </c>
      <c r="H101" s="125">
        <v>925244.37</v>
      </c>
      <c r="I101" s="133">
        <f t="shared" si="8"/>
        <v>-112693.56999999995</v>
      </c>
      <c r="J101" s="15">
        <f t="shared" si="9"/>
        <v>-0.12179870924261874</v>
      </c>
      <c r="K101" s="51" t="s">
        <v>1804</v>
      </c>
      <c r="L101" s="99" t="s">
        <v>1805</v>
      </c>
      <c r="M101" s="103"/>
      <c r="N101" s="103"/>
      <c r="O101" s="103"/>
      <c r="P101" s="103"/>
      <c r="Q101" s="103"/>
      <c r="R101" s="103"/>
      <c r="S101" s="103"/>
      <c r="T101" s="103"/>
      <c r="U101" s="103"/>
      <c r="V101" s="103"/>
      <c r="W101" s="103"/>
    </row>
    <row r="102" spans="1:23" ht="15.6">
      <c r="A102" s="24" t="str">
        <v>Landau I</v>
      </c>
      <c r="B102" s="25" t="str">
        <v>NY</v>
      </c>
      <c r="C102" s="25" t="str">
        <f>Sites[[#This Row],[SOL'#]]</f>
        <v>SOL-10891</v>
      </c>
      <c r="D102" s="142">
        <v>428570</v>
      </c>
      <c r="E102" s="141" t="s">
        <v>661</v>
      </c>
      <c r="F102" s="10" t="str">
        <f t="shared" si="6"/>
        <v/>
      </c>
      <c r="G102" s="11" t="str">
        <f t="shared" si="7"/>
        <v/>
      </c>
      <c r="H102" s="146">
        <v>408213.17300000001</v>
      </c>
      <c r="I102" s="132">
        <f t="shared" si="8"/>
        <v>20356.82699999999</v>
      </c>
      <c r="J102" s="13">
        <f t="shared" si="9"/>
        <v>4.986812858192597E-2</v>
      </c>
      <c r="K102" s="53"/>
      <c r="L102" s="53"/>
      <c r="M102" s="103"/>
      <c r="N102" s="103"/>
      <c r="O102" s="103"/>
      <c r="P102" s="103"/>
      <c r="Q102" s="103"/>
      <c r="R102" s="103"/>
      <c r="S102" s="103"/>
      <c r="T102" s="103"/>
      <c r="U102" s="103"/>
      <c r="V102" s="103"/>
      <c r="W102" s="103"/>
    </row>
    <row r="103" spans="1:23" ht="168.75" customHeight="1">
      <c r="A103" s="26" t="str">
        <v>Landau II</v>
      </c>
      <c r="B103" s="27" t="str">
        <v>NY</v>
      </c>
      <c r="C103" s="140" t="str">
        <f>Sites[[#This Row],[SOL'#]]</f>
        <v>SOL-10895</v>
      </c>
      <c r="D103" s="143">
        <v>730570</v>
      </c>
      <c r="E103" s="14" t="s">
        <v>661</v>
      </c>
      <c r="F103" s="14" t="str">
        <f t="shared" si="6"/>
        <v/>
      </c>
      <c r="G103" s="15" t="str">
        <f t="shared" si="7"/>
        <v/>
      </c>
      <c r="H103" s="125" t="s">
        <v>661</v>
      </c>
      <c r="I103" s="133" t="str">
        <f t="shared" si="8"/>
        <v/>
      </c>
      <c r="J103" s="15" t="str">
        <f t="shared" si="9"/>
        <v/>
      </c>
      <c r="K103" s="51" t="s">
        <v>1806</v>
      </c>
      <c r="L103" s="99" t="s">
        <v>1807</v>
      </c>
      <c r="M103" s="102" t="s">
        <v>1808</v>
      </c>
      <c r="N103" s="103"/>
      <c r="O103" s="103"/>
      <c r="P103" s="103"/>
      <c r="Q103" s="103"/>
      <c r="R103" s="103"/>
      <c r="S103" s="103"/>
      <c r="T103" s="103"/>
      <c r="U103" s="103"/>
      <c r="V103" s="103"/>
      <c r="W103" s="103"/>
    </row>
    <row r="104" spans="1:23" ht="15.6">
      <c r="A104" s="24" t="str">
        <v>New Beginnings</v>
      </c>
      <c r="B104" s="25" t="str">
        <v>NY</v>
      </c>
      <c r="C104" s="25" t="str">
        <f>Sites[[#This Row],[SOL'#]]</f>
        <v>SOL-10890</v>
      </c>
      <c r="D104" s="142">
        <v>428040</v>
      </c>
      <c r="E104" s="141">
        <v>428030</v>
      </c>
      <c r="F104" s="10">
        <f t="shared" si="6"/>
        <v>10</v>
      </c>
      <c r="G104" s="11">
        <f t="shared" si="7"/>
        <v>2.3362848398476744E-5</v>
      </c>
      <c r="H104" s="146">
        <v>396674.288</v>
      </c>
      <c r="I104" s="132">
        <f t="shared" si="8"/>
        <v>31365.712</v>
      </c>
      <c r="J104" s="13">
        <f t="shared" si="9"/>
        <v>7.907170428954044E-2</v>
      </c>
      <c r="K104" s="53"/>
      <c r="L104" s="53"/>
      <c r="M104" s="103"/>
      <c r="N104" s="103"/>
      <c r="O104" s="103"/>
      <c r="P104" s="103"/>
      <c r="Q104" s="103"/>
      <c r="R104" s="103"/>
      <c r="S104" s="103"/>
      <c r="T104" s="103"/>
      <c r="U104" s="103"/>
      <c r="V104" s="103"/>
      <c r="W104" s="103"/>
    </row>
    <row r="105" spans="1:23" ht="28.9">
      <c r="A105" s="26" t="str">
        <v>Bullitt Farm Solar, LLC</v>
      </c>
      <c r="B105" s="27" t="str">
        <v>NY</v>
      </c>
      <c r="C105" s="140" t="str">
        <f>Sites[[#This Row],[SOL'#]]</f>
        <v>SOL-10998</v>
      </c>
      <c r="D105" s="143">
        <v>1070595</v>
      </c>
      <c r="E105" s="14">
        <v>1105629.977</v>
      </c>
      <c r="F105" s="14"/>
      <c r="G105" s="15">
        <f t="shared" si="7"/>
        <v>0</v>
      </c>
      <c r="H105" s="125">
        <v>1113535.5900000001</v>
      </c>
      <c r="I105" s="133">
        <f t="shared" si="8"/>
        <v>-42940.590000000084</v>
      </c>
      <c r="J105" s="15">
        <f t="shared" si="9"/>
        <v>-3.8562386676837229E-2</v>
      </c>
      <c r="K105" s="51" t="s">
        <v>1809</v>
      </c>
      <c r="L105" s="99" t="s">
        <v>1810</v>
      </c>
      <c r="M105" s="103"/>
      <c r="N105" s="103"/>
      <c r="O105" s="103"/>
      <c r="P105" s="103"/>
      <c r="Q105" s="103"/>
      <c r="R105" s="103"/>
      <c r="S105" s="103"/>
      <c r="T105" s="103"/>
      <c r="U105" s="103"/>
      <c r="V105" s="103"/>
      <c r="W105" s="103"/>
    </row>
    <row r="106" spans="1:23" ht="15.6">
      <c r="A106" s="24" t="str">
        <v>Brodhead Solar, LLC</v>
      </c>
      <c r="B106" s="25" t="str">
        <v>NY</v>
      </c>
      <c r="C106" s="25" t="str">
        <f>Sites[[#This Row],[SOL'#]]</f>
        <v>SOL-10899</v>
      </c>
      <c r="D106" s="142">
        <v>451438</v>
      </c>
      <c r="E106" s="141">
        <v>465571.51799999998</v>
      </c>
      <c r="F106" s="10">
        <f t="shared" si="6"/>
        <v>-14133.517999999982</v>
      </c>
      <c r="G106" s="11">
        <f t="shared" si="7"/>
        <v>-3.0357351026786786E-2</v>
      </c>
      <c r="H106" s="146">
        <v>489955.64</v>
      </c>
      <c r="I106" s="132">
        <f t="shared" si="8"/>
        <v>-38517.640000000014</v>
      </c>
      <c r="J106" s="13">
        <f t="shared" si="9"/>
        <v>-7.8614545594372615E-2</v>
      </c>
      <c r="K106" s="53" t="s">
        <v>1811</v>
      </c>
      <c r="L106" s="98" t="s">
        <v>1812</v>
      </c>
      <c r="M106" s="103"/>
      <c r="N106" s="103"/>
      <c r="O106" s="103"/>
      <c r="P106" s="103"/>
      <c r="Q106" s="103"/>
      <c r="R106" s="103"/>
      <c r="S106" s="103"/>
      <c r="T106" s="103"/>
      <c r="U106" s="103"/>
      <c r="V106" s="103"/>
      <c r="W106" s="103"/>
    </row>
    <row r="107" spans="1:23" ht="15.6">
      <c r="A107" s="26" t="str">
        <v>Svenski</v>
      </c>
      <c r="B107" s="27" t="str">
        <v>NY</v>
      </c>
      <c r="C107" s="140" t="str">
        <f>Sites[[#This Row],[SOL'#]]</f>
        <v>SOL-10894</v>
      </c>
      <c r="D107" s="143">
        <v>427100</v>
      </c>
      <c r="E107" s="14" t="s">
        <v>661</v>
      </c>
      <c r="F107" s="14" t="str">
        <f t="shared" si="6"/>
        <v/>
      </c>
      <c r="G107" s="15" t="str">
        <f t="shared" si="7"/>
        <v/>
      </c>
      <c r="H107" s="125">
        <v>413086.07500000001</v>
      </c>
      <c r="I107" s="133">
        <f t="shared" si="8"/>
        <v>14013.924999999988</v>
      </c>
      <c r="J107" s="15">
        <f t="shared" si="9"/>
        <v>3.3924951355477156E-2</v>
      </c>
      <c r="K107" s="51"/>
      <c r="L107" s="51"/>
      <c r="M107" s="103"/>
      <c r="N107" s="103"/>
      <c r="O107" s="103"/>
      <c r="P107" s="103"/>
      <c r="Q107" s="103"/>
      <c r="R107" s="103"/>
      <c r="S107" s="103"/>
      <c r="T107" s="103"/>
      <c r="U107" s="103"/>
      <c r="V107" s="103"/>
      <c r="W107" s="103"/>
    </row>
    <row r="108" spans="1:23" ht="72">
      <c r="A108" s="24" t="str">
        <v>Bantam</v>
      </c>
      <c r="B108" s="25" t="str">
        <v>NY</v>
      </c>
      <c r="C108" s="25" t="str">
        <f>Sites[[#This Row],[SOL'#]]</f>
        <v>SOL-10986</v>
      </c>
      <c r="D108" s="142">
        <v>58580</v>
      </c>
      <c r="E108" s="141">
        <v>466200</v>
      </c>
      <c r="F108" s="10">
        <f t="shared" si="6"/>
        <v>-407620</v>
      </c>
      <c r="G108" s="11">
        <f t="shared" si="7"/>
        <v>-0.87434577434577432</v>
      </c>
      <c r="H108" s="146">
        <v>1170207.33</v>
      </c>
      <c r="I108" s="132">
        <f t="shared" si="8"/>
        <v>-1111627.33</v>
      </c>
      <c r="J108" s="13">
        <f t="shared" si="9"/>
        <v>-0.94994049473267272</v>
      </c>
      <c r="K108" s="53" t="s">
        <v>1813</v>
      </c>
      <c r="L108" s="98" t="s">
        <v>1814</v>
      </c>
      <c r="M108" s="102" t="s">
        <v>1815</v>
      </c>
      <c r="N108" s="103"/>
      <c r="O108" s="103"/>
      <c r="P108" s="103"/>
      <c r="Q108" s="103"/>
      <c r="R108" s="103"/>
      <c r="S108" s="103"/>
      <c r="T108" s="103"/>
      <c r="U108" s="103"/>
      <c r="V108" s="103"/>
      <c r="W108" s="103"/>
    </row>
    <row r="109" spans="1:23" ht="28.9">
      <c r="A109" s="26" t="str">
        <v>Bogart</v>
      </c>
      <c r="B109" s="27" t="str">
        <v>NY</v>
      </c>
      <c r="C109" s="140" t="str">
        <f>Sites[[#This Row],[SOL'#]]</f>
        <v>SOL-10887</v>
      </c>
      <c r="D109" s="143">
        <v>329160</v>
      </c>
      <c r="E109" s="14">
        <v>327850</v>
      </c>
      <c r="F109" s="14">
        <f t="shared" si="6"/>
        <v>1310</v>
      </c>
      <c r="G109" s="15">
        <f t="shared" si="7"/>
        <v>3.9957297544608817E-3</v>
      </c>
      <c r="H109" s="125">
        <v>389805.55</v>
      </c>
      <c r="I109" s="133">
        <f t="shared" si="8"/>
        <v>-60645.549999999988</v>
      </c>
      <c r="J109" s="15">
        <f t="shared" si="9"/>
        <v>-0.15557898034032608</v>
      </c>
      <c r="K109" s="51" t="s">
        <v>1816</v>
      </c>
      <c r="L109" s="99" t="s">
        <v>1326</v>
      </c>
      <c r="M109" s="103"/>
      <c r="N109" s="103"/>
      <c r="O109" s="103"/>
      <c r="P109" s="103"/>
      <c r="Q109" s="103"/>
      <c r="R109" s="103"/>
      <c r="S109" s="103"/>
      <c r="T109" s="103"/>
      <c r="U109" s="103"/>
      <c r="V109" s="103"/>
      <c r="W109" s="103"/>
    </row>
    <row r="110" spans="1:23" ht="26.45">
      <c r="A110" s="24" t="str">
        <v>Dubois</v>
      </c>
      <c r="B110" s="25" t="str">
        <v>NY</v>
      </c>
      <c r="C110" s="25" t="str">
        <f>Sites[[#This Row],[SOL'#]]</f>
        <v>SOL-10892</v>
      </c>
      <c r="D110" s="142">
        <v>129520</v>
      </c>
      <c r="E110" s="141">
        <v>129539.39</v>
      </c>
      <c r="F110" s="10">
        <f t="shared" si="6"/>
        <v>-19.389999999999418</v>
      </c>
      <c r="G110" s="11">
        <f t="shared" si="7"/>
        <v>-1.4968420030385675E-4</v>
      </c>
      <c r="H110" s="146" t="s">
        <v>661</v>
      </c>
      <c r="I110" s="132" t="str">
        <f t="shared" si="8"/>
        <v/>
      </c>
      <c r="J110" s="13" t="str">
        <f t="shared" si="9"/>
        <v/>
      </c>
      <c r="K110" s="53" t="s">
        <v>1817</v>
      </c>
      <c r="L110" s="98" t="s">
        <v>1818</v>
      </c>
      <c r="M110" s="102" t="s">
        <v>1819</v>
      </c>
      <c r="N110" s="103"/>
      <c r="O110" s="103"/>
      <c r="P110" s="103"/>
      <c r="Q110" s="103"/>
      <c r="R110" s="103"/>
      <c r="S110" s="103"/>
      <c r="T110" s="103"/>
      <c r="U110" s="103"/>
      <c r="V110" s="103"/>
      <c r="W110" s="103"/>
    </row>
    <row r="111" spans="1:23" ht="152.25" customHeight="1">
      <c r="A111" s="26" t="str">
        <v>Salt Point</v>
      </c>
      <c r="B111" s="27" t="str">
        <v>NY</v>
      </c>
      <c r="C111" s="140" t="str">
        <f>Sites[[#This Row],[SOL'#]]</f>
        <v>SOL-10888</v>
      </c>
      <c r="D111" s="143">
        <v>407890</v>
      </c>
      <c r="E111" s="14">
        <v>407890</v>
      </c>
      <c r="F111" s="14">
        <f t="shared" si="6"/>
        <v>0</v>
      </c>
      <c r="G111" s="15">
        <f t="shared" si="7"/>
        <v>0</v>
      </c>
      <c r="H111" s="125">
        <v>453414.96399999998</v>
      </c>
      <c r="I111" s="133">
        <f t="shared" si="8"/>
        <v>-45524.963999999978</v>
      </c>
      <c r="J111" s="15">
        <f t="shared" si="9"/>
        <v>-0.10040463507948974</v>
      </c>
      <c r="K111" s="51" t="s">
        <v>1820</v>
      </c>
      <c r="L111" s="99" t="s">
        <v>1821</v>
      </c>
      <c r="M111" s="102" t="s">
        <v>1822</v>
      </c>
      <c r="N111" s="102" t="s">
        <v>1823</v>
      </c>
      <c r="O111" s="102" t="s">
        <v>1824</v>
      </c>
      <c r="P111" s="102" t="s">
        <v>1825</v>
      </c>
      <c r="Q111" s="103"/>
      <c r="R111" s="103"/>
      <c r="S111" s="103"/>
      <c r="T111" s="103"/>
      <c r="U111" s="103"/>
      <c r="V111" s="103"/>
      <c r="W111" s="103"/>
    </row>
    <row r="112" spans="1:23" ht="43.15">
      <c r="A112" s="24" t="str">
        <v>Wheatland 2A</v>
      </c>
      <c r="B112" s="25" t="str">
        <v>NY</v>
      </c>
      <c r="C112" s="25" t="str">
        <f>Sites[[#This Row],[SOL'#]]</f>
        <v>SOL-10971</v>
      </c>
      <c r="D112" s="142">
        <v>1060290</v>
      </c>
      <c r="E112" s="141">
        <v>1058220</v>
      </c>
      <c r="F112" s="10">
        <f t="shared" si="6"/>
        <v>2070</v>
      </c>
      <c r="G112" s="11">
        <f t="shared" si="7"/>
        <v>1.956114985541759E-3</v>
      </c>
      <c r="H112" s="146">
        <v>1030493.057</v>
      </c>
      <c r="I112" s="132">
        <f t="shared" si="8"/>
        <v>29796.94299999997</v>
      </c>
      <c r="J112" s="13">
        <f t="shared" si="9"/>
        <v>2.8915229265828978E-2</v>
      </c>
      <c r="K112" s="53" t="s">
        <v>1826</v>
      </c>
      <c r="L112" s="98" t="s">
        <v>1827</v>
      </c>
      <c r="M112" s="103"/>
      <c r="N112" s="103"/>
      <c r="O112" s="103"/>
      <c r="P112" s="103"/>
      <c r="Q112" s="103"/>
      <c r="R112" s="103"/>
      <c r="S112" s="103"/>
      <c r="T112" s="103"/>
      <c r="U112" s="103"/>
      <c r="V112" s="103"/>
      <c r="W112" s="103"/>
    </row>
    <row r="113" spans="1:23" ht="28.9">
      <c r="A113" s="26" t="str">
        <v>Wheatland 2B</v>
      </c>
      <c r="B113" s="27" t="str">
        <v>NY</v>
      </c>
      <c r="C113" s="140" t="str">
        <f>Sites[[#This Row],[SOL'#]]</f>
        <v>SOL-10961</v>
      </c>
      <c r="D113" s="143">
        <v>1068130</v>
      </c>
      <c r="E113" s="14">
        <v>1066040</v>
      </c>
      <c r="F113" s="14">
        <f t="shared" si="6"/>
        <v>2090</v>
      </c>
      <c r="G113" s="15">
        <f t="shared" si="7"/>
        <v>1.9605268095005818E-3</v>
      </c>
      <c r="H113" s="125">
        <v>1019707.76</v>
      </c>
      <c r="I113" s="133">
        <f t="shared" si="8"/>
        <v>48422.239999999991</v>
      </c>
      <c r="J113" s="15">
        <f t="shared" si="9"/>
        <v>4.748638962990729E-2</v>
      </c>
      <c r="K113" s="51" t="s">
        <v>1828</v>
      </c>
      <c r="L113" s="99" t="s">
        <v>1089</v>
      </c>
      <c r="M113" s="103"/>
      <c r="N113" s="103"/>
      <c r="O113" s="103"/>
      <c r="P113" s="103"/>
      <c r="Q113" s="103"/>
      <c r="R113" s="103"/>
      <c r="S113" s="103"/>
      <c r="T113" s="103"/>
      <c r="U113" s="103"/>
      <c r="V113" s="103"/>
      <c r="W113" s="103"/>
    </row>
    <row r="114" spans="1:23" ht="93" customHeight="1">
      <c r="A114" s="24" t="str">
        <v>Brickchurch</v>
      </c>
      <c r="B114" s="25" t="str">
        <v>NY</v>
      </c>
      <c r="C114" s="25" t="str">
        <f>Sites[[#This Row],[SOL'#]]</f>
        <v>SOL-10889</v>
      </c>
      <c r="D114" s="142">
        <v>0</v>
      </c>
      <c r="E114" s="141">
        <v>0</v>
      </c>
      <c r="F114" s="10">
        <f t="shared" si="6"/>
        <v>0</v>
      </c>
      <c r="G114" s="11" t="str">
        <f t="shared" si="7"/>
        <v/>
      </c>
      <c r="H114" s="146">
        <v>474590.73700000002</v>
      </c>
      <c r="I114" s="132">
        <f t="shared" si="8"/>
        <v>-474590.73700000002</v>
      </c>
      <c r="J114" s="13">
        <f t="shared" si="9"/>
        <v>-1</v>
      </c>
      <c r="K114" s="53" t="s">
        <v>1829</v>
      </c>
      <c r="L114" s="98" t="s">
        <v>1830</v>
      </c>
      <c r="M114" s="102" t="s">
        <v>1831</v>
      </c>
      <c r="N114" s="102" t="s">
        <v>1832</v>
      </c>
      <c r="O114" s="103"/>
      <c r="P114" s="103"/>
      <c r="Q114" s="103"/>
      <c r="R114" s="103"/>
      <c r="S114" s="103"/>
      <c r="T114" s="103"/>
      <c r="U114" s="103"/>
      <c r="V114" s="103"/>
      <c r="W114" s="103"/>
    </row>
    <row r="115" spans="1:23" ht="15.6">
      <c r="A115" s="26" t="str">
        <v>McCarthy Solar</v>
      </c>
      <c r="B115" s="27" t="str">
        <v>NY</v>
      </c>
      <c r="C115" s="140" t="str">
        <f>Sites[[#This Row],[SOL'#]]</f>
        <v>SOL-10992</v>
      </c>
      <c r="D115" s="143">
        <v>52900</v>
      </c>
      <c r="E115" s="14">
        <v>0</v>
      </c>
      <c r="F115" s="14">
        <f t="shared" si="6"/>
        <v>52900</v>
      </c>
      <c r="G115" s="15" t="str">
        <f t="shared" si="7"/>
        <v/>
      </c>
      <c r="H115" s="125">
        <v>411227</v>
      </c>
      <c r="I115" s="133">
        <f t="shared" si="8"/>
        <v>-358327</v>
      </c>
      <c r="J115" s="15">
        <f t="shared" si="9"/>
        <v>-0.87136058673190231</v>
      </c>
      <c r="K115" s="51" t="s">
        <v>1833</v>
      </c>
      <c r="L115" s="99" t="s">
        <v>1834</v>
      </c>
      <c r="M115" s="103"/>
      <c r="N115" s="103"/>
      <c r="O115" s="103"/>
      <c r="P115" s="103"/>
      <c r="Q115" s="103"/>
      <c r="R115" s="103"/>
      <c r="S115" s="103"/>
      <c r="T115" s="103"/>
      <c r="U115" s="103"/>
      <c r="V115" s="103"/>
      <c r="W115" s="103"/>
    </row>
    <row r="116" spans="1:23" ht="115.15">
      <c r="A116" s="24" t="str">
        <v>Costanza</v>
      </c>
      <c r="B116" s="25" t="str">
        <v>NY</v>
      </c>
      <c r="C116" s="25" t="str">
        <f>Sites[[#This Row],[SOL'#]]</f>
        <v>SOL-10907</v>
      </c>
      <c r="D116" s="142">
        <v>398520</v>
      </c>
      <c r="E116" s="141">
        <v>398745.4</v>
      </c>
      <c r="F116" s="10">
        <f t="shared" si="6"/>
        <v>-225.40000000002328</v>
      </c>
      <c r="G116" s="11">
        <f t="shared" si="7"/>
        <v>-5.6527297869774363E-4</v>
      </c>
      <c r="H116" s="146">
        <v>404374.04100000003</v>
      </c>
      <c r="I116" s="132">
        <f t="shared" si="8"/>
        <v>-5854.0410000000265</v>
      </c>
      <c r="J116" s="13">
        <f t="shared" si="9"/>
        <v>-1.4476797238327239E-2</v>
      </c>
      <c r="K116" s="53" t="s">
        <v>1835</v>
      </c>
      <c r="L116" s="98" t="s">
        <v>1836</v>
      </c>
      <c r="M116" s="102" t="s">
        <v>1837</v>
      </c>
      <c r="N116" s="102" t="s">
        <v>1838</v>
      </c>
      <c r="O116" s="102" t="s">
        <v>1839</v>
      </c>
      <c r="P116" s="102" t="s">
        <v>1840</v>
      </c>
      <c r="Q116" s="103"/>
      <c r="R116" s="103"/>
      <c r="S116" s="103"/>
      <c r="T116" s="103"/>
      <c r="U116" s="103"/>
      <c r="V116" s="103"/>
      <c r="W116" s="103"/>
    </row>
    <row r="117" spans="1:23" ht="43.15">
      <c r="A117" s="26" t="str">
        <v>Lockenhurst Pond</v>
      </c>
      <c r="B117" s="27" t="str">
        <v>NY</v>
      </c>
      <c r="C117" s="140" t="str">
        <f>Sites[[#This Row],[SOL'#]]</f>
        <v>SOL-11000</v>
      </c>
      <c r="D117" s="143">
        <v>473563</v>
      </c>
      <c r="E117" s="14">
        <v>531616.30000000005</v>
      </c>
      <c r="F117" s="14">
        <f t="shared" si="6"/>
        <v>-58053.300000000047</v>
      </c>
      <c r="G117" s="15">
        <f t="shared" si="7"/>
        <v>-0.10920150491999595</v>
      </c>
      <c r="H117" s="69">
        <v>491418</v>
      </c>
      <c r="I117" s="16">
        <f t="shared" si="8"/>
        <v>-17855</v>
      </c>
      <c r="J117" s="15">
        <f t="shared" si="9"/>
        <v>-3.6333630432747684E-2</v>
      </c>
      <c r="K117" s="51" t="s">
        <v>1841</v>
      </c>
      <c r="L117" s="99" t="s">
        <v>1842</v>
      </c>
      <c r="M117" s="103"/>
      <c r="N117" s="103"/>
      <c r="O117" s="103"/>
      <c r="P117" s="103"/>
      <c r="Q117" s="103"/>
      <c r="R117" s="103"/>
      <c r="S117" s="103"/>
      <c r="T117" s="103"/>
      <c r="U117" s="103"/>
      <c r="V117" s="103"/>
      <c r="W117" s="103"/>
    </row>
    <row r="118" spans="1:23" ht="15.6">
      <c r="A118" s="24" t="str">
        <v>Drinkwater</v>
      </c>
      <c r="B118" s="25" t="str">
        <v>NY</v>
      </c>
      <c r="C118" s="25" t="str">
        <f>Sites[[#This Row],[SOL'#]]</f>
        <v>SOL-10896</v>
      </c>
      <c r="D118" s="77">
        <v>472030</v>
      </c>
      <c r="E118" s="78">
        <v>470980</v>
      </c>
      <c r="F118" s="10">
        <f t="shared" si="6"/>
        <v>1050</v>
      </c>
      <c r="G118" s="11">
        <f t="shared" si="7"/>
        <v>2.229394029470466E-3</v>
      </c>
      <c r="H118" s="67">
        <v>425241.18699999998</v>
      </c>
      <c r="I118" s="12">
        <f t="shared" si="8"/>
        <v>46788.813000000024</v>
      </c>
      <c r="J118" s="13">
        <f t="shared" si="9"/>
        <v>0.1100288834439737</v>
      </c>
      <c r="K118" s="53"/>
      <c r="L118" s="53"/>
      <c r="M118" s="103"/>
      <c r="N118" s="103"/>
      <c r="O118" s="103"/>
      <c r="P118" s="103"/>
      <c r="Q118" s="103"/>
      <c r="R118" s="103"/>
      <c r="S118" s="103"/>
      <c r="T118" s="103"/>
      <c r="U118" s="103"/>
      <c r="V118" s="103"/>
      <c r="W118" s="103"/>
    </row>
    <row r="119" spans="1:23" ht="15.6">
      <c r="A119" s="26" t="str">
        <v>Altamont</v>
      </c>
      <c r="B119" s="27" t="str">
        <v>NY</v>
      </c>
      <c r="C119" s="140" t="str">
        <f>Sites[[#This Row],[SOL'#]]</f>
        <v>SOL-11085</v>
      </c>
      <c r="D119" s="72">
        <v>902582</v>
      </c>
      <c r="E119" s="79">
        <v>934730.4</v>
      </c>
      <c r="F119" s="14">
        <f t="shared" si="6"/>
        <v>-32148.400000000023</v>
      </c>
      <c r="G119" s="15">
        <f t="shared" si="7"/>
        <v>-3.4393232529935931E-2</v>
      </c>
      <c r="H119" s="69">
        <v>675235.9</v>
      </c>
      <c r="I119" s="16">
        <f t="shared" si="8"/>
        <v>227346.09999999998</v>
      </c>
      <c r="J119" s="15">
        <f t="shared" si="9"/>
        <v>0.33669136963837376</v>
      </c>
      <c r="K119" s="51"/>
      <c r="L119" s="51"/>
      <c r="M119" s="103"/>
      <c r="N119" s="103"/>
      <c r="O119" s="103"/>
      <c r="P119" s="103"/>
      <c r="Q119" s="103"/>
      <c r="R119" s="103"/>
      <c r="S119" s="103"/>
      <c r="T119" s="103"/>
      <c r="U119" s="103"/>
      <c r="V119" s="103"/>
      <c r="W119" s="103"/>
    </row>
    <row r="120" spans="1:23" ht="15.6">
      <c r="A120" s="24" t="str">
        <v>Krumkill North</v>
      </c>
      <c r="B120" s="25" t="str">
        <v>NY</v>
      </c>
      <c r="C120" s="25" t="str">
        <f>Sites[[#This Row],[SOL'#]]</f>
        <v>SOL-11086</v>
      </c>
      <c r="D120" s="77">
        <v>753529</v>
      </c>
      <c r="E120" s="78">
        <v>949033.7</v>
      </c>
      <c r="F120" s="10">
        <f t="shared" si="6"/>
        <v>-195504.69999999995</v>
      </c>
      <c r="G120" s="11">
        <f t="shared" si="7"/>
        <v>-0.20600395960649234</v>
      </c>
      <c r="H120" s="67">
        <v>791744.9</v>
      </c>
      <c r="I120" s="12">
        <f t="shared" si="8"/>
        <v>-38215.900000000023</v>
      </c>
      <c r="J120" s="13">
        <f t="shared" si="9"/>
        <v>-4.8267945900251484E-2</v>
      </c>
      <c r="K120" s="53" t="s">
        <v>1843</v>
      </c>
      <c r="L120" s="98" t="s">
        <v>1844</v>
      </c>
      <c r="M120" s="103"/>
      <c r="N120" s="103"/>
      <c r="O120" s="103"/>
      <c r="P120" s="103"/>
      <c r="Q120" s="103"/>
      <c r="R120" s="103"/>
      <c r="S120" s="103"/>
      <c r="T120" s="103"/>
      <c r="U120" s="103"/>
      <c r="V120" s="103"/>
      <c r="W120" s="103"/>
    </row>
    <row r="121" spans="1:23" ht="15.6">
      <c r="A121" s="26" t="str">
        <v>Krumkill South</v>
      </c>
      <c r="B121" s="27" t="str">
        <v>NY</v>
      </c>
      <c r="C121" s="140" t="str">
        <f>Sites[[#This Row],[SOL'#]]</f>
        <v>SOL-11087</v>
      </c>
      <c r="D121" s="72">
        <v>632808</v>
      </c>
      <c r="E121" s="79">
        <v>746375.2</v>
      </c>
      <c r="F121" s="14">
        <f t="shared" si="6"/>
        <v>-113567.19999999995</v>
      </c>
      <c r="G121" s="15">
        <f t="shared" si="7"/>
        <v>-0.15215832466030485</v>
      </c>
      <c r="H121" s="69">
        <v>620704.30000000005</v>
      </c>
      <c r="I121" s="16">
        <f t="shared" si="8"/>
        <v>12103.699999999953</v>
      </c>
      <c r="J121" s="15">
        <f t="shared" si="9"/>
        <v>1.9499945465175531E-2</v>
      </c>
      <c r="K121" s="51" t="s">
        <v>1843</v>
      </c>
      <c r="L121" s="99" t="s">
        <v>1845</v>
      </c>
      <c r="M121" s="103"/>
      <c r="N121" s="103"/>
      <c r="O121" s="103"/>
      <c r="P121" s="103"/>
      <c r="Q121" s="103"/>
      <c r="R121" s="103"/>
      <c r="S121" s="103"/>
      <c r="T121" s="103"/>
      <c r="U121" s="103"/>
      <c r="V121" s="103"/>
      <c r="W121" s="103"/>
    </row>
    <row r="122" spans="1:23" ht="15.6">
      <c r="A122" s="24" t="str">
        <v>X092</v>
      </c>
      <c r="B122" s="25" t="str">
        <v>NY</v>
      </c>
      <c r="C122" s="25" t="str">
        <f>Sites[[#This Row],[SOL'#]]</f>
        <v>SOL-11189</v>
      </c>
      <c r="D122" s="77">
        <v>21515.4</v>
      </c>
      <c r="E122" s="78">
        <v>21675.78</v>
      </c>
      <c r="F122" s="10">
        <f t="shared" si="6"/>
        <v>-160.37999999999738</v>
      </c>
      <c r="G122" s="11">
        <f t="shared" si="7"/>
        <v>-7.3990416953852358E-3</v>
      </c>
      <c r="H122" s="67">
        <v>20398</v>
      </c>
      <c r="I122" s="12">
        <f t="shared" si="8"/>
        <v>1117.4000000000015</v>
      </c>
      <c r="J122" s="13">
        <f t="shared" si="9"/>
        <v>5.4779880380429524E-2</v>
      </c>
      <c r="K122" s="53"/>
      <c r="L122" s="53"/>
      <c r="M122" s="103"/>
      <c r="N122" s="103"/>
      <c r="O122" s="103"/>
      <c r="P122" s="103"/>
      <c r="Q122" s="103"/>
      <c r="R122" s="103"/>
      <c r="S122" s="103"/>
      <c r="T122" s="103"/>
      <c r="U122" s="103"/>
      <c r="V122" s="103"/>
      <c r="W122" s="103"/>
    </row>
    <row r="123" spans="1:23" ht="15.6">
      <c r="A123" s="26" t="str">
        <v>X093</v>
      </c>
      <c r="B123" s="27" t="str">
        <v>NY</v>
      </c>
      <c r="C123" s="140" t="str">
        <f>Sites[[#This Row],[SOL'#]]</f>
        <v>SOL-10932</v>
      </c>
      <c r="D123" s="72">
        <v>16320.060703125</v>
      </c>
      <c r="E123" s="79">
        <v>15183.08</v>
      </c>
      <c r="F123" s="14">
        <f t="shared" si="6"/>
        <v>1136.9807031250002</v>
      </c>
      <c r="G123" s="15">
        <f t="shared" si="7"/>
        <v>7.4884720565590132E-2</v>
      </c>
      <c r="H123" s="69">
        <v>14577</v>
      </c>
      <c r="I123" s="16">
        <f t="shared" si="8"/>
        <v>1743.0607031250001</v>
      </c>
      <c r="J123" s="15">
        <f t="shared" si="9"/>
        <v>0.11957609268882487</v>
      </c>
      <c r="K123" s="51"/>
      <c r="L123" s="51"/>
      <c r="M123" s="103"/>
      <c r="N123" s="103"/>
      <c r="O123" s="103"/>
      <c r="P123" s="103"/>
      <c r="Q123" s="103"/>
      <c r="R123" s="103"/>
      <c r="S123" s="103"/>
      <c r="T123" s="103"/>
      <c r="U123" s="103"/>
      <c r="V123" s="103"/>
      <c r="W123" s="103"/>
    </row>
    <row r="124" spans="1:23" ht="15.6">
      <c r="A124" s="24" t="str">
        <v>X095</v>
      </c>
      <c r="B124" s="25" t="str">
        <v>NY</v>
      </c>
      <c r="C124" s="25" t="str">
        <f>Sites[[#This Row],[SOL'#]]</f>
        <v>SOL-10929</v>
      </c>
      <c r="D124" s="77">
        <v>21548.5234375</v>
      </c>
      <c r="E124" s="78">
        <v>20519.349999999999</v>
      </c>
      <c r="F124" s="10">
        <f t="shared" si="6"/>
        <v>1029.1734375000015</v>
      </c>
      <c r="G124" s="11">
        <f t="shared" si="7"/>
        <v>5.0156239720069183E-2</v>
      </c>
      <c r="H124" s="67">
        <v>19827</v>
      </c>
      <c r="I124" s="12">
        <f t="shared" si="8"/>
        <v>1721.5234375</v>
      </c>
      <c r="J124" s="13">
        <f t="shared" si="9"/>
        <v>8.6827227391940279E-2</v>
      </c>
      <c r="K124" s="53"/>
      <c r="L124" s="53"/>
      <c r="M124" s="103"/>
      <c r="N124" s="103"/>
      <c r="O124" s="103"/>
      <c r="P124" s="103"/>
      <c r="Q124" s="103"/>
      <c r="R124" s="103"/>
      <c r="S124" s="103"/>
      <c r="T124" s="103"/>
      <c r="U124" s="103"/>
      <c r="V124" s="103"/>
      <c r="W124" s="103"/>
    </row>
    <row r="125" spans="1:23" ht="43.15">
      <c r="A125" s="26" t="str">
        <v>X181</v>
      </c>
      <c r="B125" s="27" t="str">
        <v>NY</v>
      </c>
      <c r="C125" s="140" t="str">
        <f>Sites[[#This Row],[SOL'#]]</f>
        <v>SOL-10428</v>
      </c>
      <c r="D125" s="143">
        <v>38662.234375</v>
      </c>
      <c r="E125" s="14">
        <v>34110.07</v>
      </c>
      <c r="F125" s="14">
        <f t="shared" si="6"/>
        <v>4552.1643750000003</v>
      </c>
      <c r="G125" s="15">
        <f t="shared" si="7"/>
        <v>0.13345514609028947</v>
      </c>
      <c r="H125" s="69">
        <v>36480</v>
      </c>
      <c r="I125" s="16">
        <f>IF(AND(ISNUMBER(D125),ISNUMBER(H125)), D125-H125, "")</f>
        <v>2182.234375</v>
      </c>
      <c r="J125" s="15">
        <f t="shared" si="9"/>
        <v>5.9820021244517546E-2</v>
      </c>
      <c r="K125" s="51" t="s">
        <v>1846</v>
      </c>
      <c r="L125" s="99" t="s">
        <v>1847</v>
      </c>
      <c r="M125" s="103"/>
      <c r="N125" s="103"/>
      <c r="O125" s="103"/>
      <c r="P125" s="103"/>
      <c r="Q125" s="103"/>
      <c r="R125" s="103"/>
      <c r="S125" s="103"/>
      <c r="T125" s="103"/>
      <c r="U125" s="103"/>
      <c r="V125" s="103"/>
      <c r="W125" s="103"/>
    </row>
    <row r="126" spans="1:23" ht="15" customHeight="1">
      <c r="A126" s="24" t="str">
        <v>X415</v>
      </c>
      <c r="B126" s="25" t="str">
        <v>NY</v>
      </c>
      <c r="C126" s="25" t="str">
        <f>Sites[[#This Row],[SOL'#]]</f>
        <v>SOL-10429</v>
      </c>
      <c r="D126" s="77">
        <v>25028.6953125</v>
      </c>
      <c r="E126" s="78">
        <v>21501.05</v>
      </c>
      <c r="F126" s="10">
        <f t="shared" si="6"/>
        <v>3527.6453125000007</v>
      </c>
      <c r="G126" s="11">
        <f t="shared" si="7"/>
        <v>0.16406851351445631</v>
      </c>
      <c r="H126" s="67">
        <v>21338</v>
      </c>
      <c r="I126" s="12">
        <f t="shared" si="8"/>
        <v>3690.6953125</v>
      </c>
      <c r="J126" s="13">
        <f t="shared" si="9"/>
        <v>0.17296350700627988</v>
      </c>
      <c r="K126" s="53"/>
      <c r="L126" s="53"/>
      <c r="M126" s="103"/>
      <c r="N126" s="103"/>
      <c r="O126" s="103"/>
      <c r="P126" s="103"/>
      <c r="Q126" s="103"/>
      <c r="R126" s="103"/>
      <c r="S126" s="103"/>
      <c r="T126" s="103"/>
      <c r="U126" s="103"/>
      <c r="V126" s="103"/>
      <c r="W126" s="103"/>
    </row>
    <row r="127" spans="1:23" ht="15.6">
      <c r="A127" s="26" t="str">
        <v>K198</v>
      </c>
      <c r="B127" s="27" t="str">
        <v>NY</v>
      </c>
      <c r="C127" s="140" t="str">
        <f>Sites[[#This Row],[SOL'#]]</f>
        <v>SOL-10930</v>
      </c>
      <c r="D127" s="72">
        <v>18123.5546875</v>
      </c>
      <c r="E127" s="79">
        <v>17490.82</v>
      </c>
      <c r="F127" s="14">
        <f t="shared" si="6"/>
        <v>632.73468750000029</v>
      </c>
      <c r="G127" s="15">
        <f t="shared" si="7"/>
        <v>3.6175244356754017E-2</v>
      </c>
      <c r="H127" s="69">
        <v>16970</v>
      </c>
      <c r="I127" s="16">
        <f t="shared" si="8"/>
        <v>1153.5546875</v>
      </c>
      <c r="J127" s="15">
        <f t="shared" si="9"/>
        <v>6.797611593989393E-2</v>
      </c>
      <c r="K127" s="51"/>
      <c r="L127" s="51"/>
      <c r="M127" s="103"/>
      <c r="N127" s="103"/>
      <c r="O127" s="103"/>
      <c r="P127" s="103"/>
      <c r="Q127" s="103"/>
      <c r="R127" s="103"/>
      <c r="S127" s="103"/>
      <c r="T127" s="103"/>
      <c r="U127" s="103"/>
      <c r="V127" s="103"/>
      <c r="W127" s="103"/>
    </row>
    <row r="128" spans="1:23" ht="15.6">
      <c r="A128" s="24" t="str">
        <v>K203</v>
      </c>
      <c r="B128" s="25" t="str">
        <v>NY</v>
      </c>
      <c r="C128" s="25" t="str">
        <f>Sites[[#This Row],[SOL'#]]</f>
        <v>SOL-11190</v>
      </c>
      <c r="D128" s="77">
        <v>23166.5</v>
      </c>
      <c r="E128" s="78">
        <v>20780.64</v>
      </c>
      <c r="F128" s="10">
        <f t="shared" si="6"/>
        <v>2385.8600000000006</v>
      </c>
      <c r="G128" s="11">
        <f t="shared" si="7"/>
        <v>0.11481167086288009</v>
      </c>
      <c r="H128" s="67">
        <v>22817</v>
      </c>
      <c r="I128" s="12">
        <f t="shared" si="8"/>
        <v>349.5</v>
      </c>
      <c r="J128" s="13">
        <f t="shared" si="9"/>
        <v>1.5317526405750098E-2</v>
      </c>
      <c r="K128" s="53"/>
      <c r="L128" s="53"/>
      <c r="M128" s="103"/>
      <c r="N128" s="103"/>
      <c r="O128" s="103"/>
      <c r="P128" s="103"/>
      <c r="Q128" s="103"/>
      <c r="R128" s="103"/>
      <c r="S128" s="103"/>
      <c r="T128" s="103"/>
      <c r="U128" s="103"/>
      <c r="V128" s="103"/>
      <c r="W128" s="103"/>
    </row>
    <row r="129" spans="1:23" ht="15.6">
      <c r="A129" s="26" t="str">
        <v>K213</v>
      </c>
      <c r="B129" s="27" t="str">
        <v>NY</v>
      </c>
      <c r="C129" s="140" t="str">
        <f>Sites[[#This Row],[SOL'#]]</f>
        <v>SOL-11191</v>
      </c>
      <c r="D129" s="72">
        <v>26129.5</v>
      </c>
      <c r="E129" s="79">
        <v>27518.5</v>
      </c>
      <c r="F129" s="14">
        <f t="shared" si="6"/>
        <v>-1389</v>
      </c>
      <c r="G129" s="15">
        <f t="shared" si="7"/>
        <v>-5.0475134909242873E-2</v>
      </c>
      <c r="H129" s="69">
        <v>23876</v>
      </c>
      <c r="I129" s="16">
        <f t="shared" si="8"/>
        <v>2253.5</v>
      </c>
      <c r="J129" s="15">
        <f t="shared" si="9"/>
        <v>9.4383481320154131E-2</v>
      </c>
      <c r="K129" s="51"/>
      <c r="L129" s="51"/>
      <c r="M129" s="103"/>
      <c r="N129" s="103"/>
      <c r="O129" s="103"/>
      <c r="P129" s="103"/>
      <c r="Q129" s="103"/>
      <c r="R129" s="103"/>
      <c r="S129" s="103"/>
      <c r="T129" s="103"/>
      <c r="U129" s="103"/>
      <c r="V129" s="103"/>
      <c r="W129" s="103"/>
    </row>
    <row r="130" spans="1:23" ht="15.6">
      <c r="A130" s="24" t="str">
        <v>K217</v>
      </c>
      <c r="B130" s="25" t="str">
        <v>NY</v>
      </c>
      <c r="C130" s="25" t="str">
        <f>Sites[[#This Row],[SOL'#]]</f>
        <v>SOL-10933</v>
      </c>
      <c r="D130" s="77">
        <v>14145.7890625</v>
      </c>
      <c r="E130" s="78">
        <v>13313.86</v>
      </c>
      <c r="F130" s="10">
        <f t="shared" si="6"/>
        <v>831.92906249999942</v>
      </c>
      <c r="G130" s="11">
        <f t="shared" si="7"/>
        <v>6.2485940403459207E-2</v>
      </c>
      <c r="H130" s="67">
        <v>12983</v>
      </c>
      <c r="I130" s="12">
        <f t="shared" si="8"/>
        <v>1162.7890625</v>
      </c>
      <c r="J130" s="13">
        <f t="shared" si="9"/>
        <v>8.9562432604174694E-2</v>
      </c>
      <c r="K130" s="53"/>
      <c r="L130" s="53"/>
      <c r="M130" s="103"/>
      <c r="N130" s="103"/>
      <c r="O130" s="103"/>
      <c r="P130" s="103"/>
      <c r="Q130" s="103"/>
      <c r="R130" s="103"/>
      <c r="S130" s="103"/>
      <c r="T130" s="103"/>
      <c r="U130" s="103"/>
      <c r="V130" s="103"/>
      <c r="W130" s="103"/>
    </row>
    <row r="131" spans="1:23" ht="15.6">
      <c r="A131" s="26" t="str">
        <v>K307</v>
      </c>
      <c r="B131" s="27" t="str">
        <v>NY</v>
      </c>
      <c r="C131" s="140" t="str">
        <f>Sites[[#This Row],[SOL'#]]</f>
        <v>SOL-10876</v>
      </c>
      <c r="D131" s="72">
        <v>29099.328125</v>
      </c>
      <c r="E131" s="79">
        <v>29912.22</v>
      </c>
      <c r="F131" s="14">
        <f t="shared" si="6"/>
        <v>-812.89187500000116</v>
      </c>
      <c r="G131" s="15">
        <f t="shared" si="7"/>
        <v>-2.7175912553464809E-2</v>
      </c>
      <c r="H131" s="69">
        <v>27002</v>
      </c>
      <c r="I131" s="16">
        <f t="shared" si="8"/>
        <v>2097.328125</v>
      </c>
      <c r="J131" s="15">
        <f t="shared" si="9"/>
        <v>7.7673065884008588E-2</v>
      </c>
      <c r="K131" s="51"/>
      <c r="L131" s="51"/>
      <c r="M131" s="103"/>
      <c r="N131" s="103"/>
      <c r="O131" s="103"/>
      <c r="P131" s="103"/>
      <c r="Q131" s="103"/>
      <c r="R131" s="103"/>
      <c r="S131" s="103"/>
      <c r="T131" s="103"/>
      <c r="U131" s="103"/>
      <c r="V131" s="103"/>
      <c r="W131" s="103"/>
    </row>
    <row r="132" spans="1:23" ht="43.15">
      <c r="A132" s="24" t="str">
        <v>K610</v>
      </c>
      <c r="B132" s="25" t="str">
        <v>NY</v>
      </c>
      <c r="C132" s="25" t="str">
        <f>Sites[[#This Row],[SOL'#]]</f>
        <v>SOL-11158</v>
      </c>
      <c r="D132" s="142">
        <v>24809.1</v>
      </c>
      <c r="E132" s="141">
        <v>33741.06</v>
      </c>
      <c r="F132" s="10">
        <f t="shared" si="6"/>
        <v>-8931.9599999999991</v>
      </c>
      <c r="G132" s="11">
        <f t="shared" si="7"/>
        <v>-0.26472078826213519</v>
      </c>
      <c r="H132" s="67">
        <v>31771</v>
      </c>
      <c r="I132" s="12">
        <f t="shared" si="8"/>
        <v>-6961.9000000000015</v>
      </c>
      <c r="J132" s="13">
        <f t="shared" si="9"/>
        <v>-0.21912750621636087</v>
      </c>
      <c r="K132" s="53" t="s">
        <v>1609</v>
      </c>
      <c r="L132" s="98" t="s">
        <v>1610</v>
      </c>
      <c r="M132" s="103"/>
      <c r="N132" s="103"/>
      <c r="O132" s="103"/>
      <c r="P132" s="103"/>
      <c r="Q132" s="103"/>
      <c r="R132" s="103"/>
      <c r="S132" s="103"/>
      <c r="T132" s="103"/>
      <c r="U132" s="103"/>
      <c r="V132" s="103"/>
      <c r="W132" s="103"/>
    </row>
    <row r="133" spans="1:23" ht="115.15">
      <c r="A133" s="26" t="str">
        <v>M025</v>
      </c>
      <c r="B133" s="27" t="str">
        <v>NY</v>
      </c>
      <c r="C133" s="140" t="str">
        <f>Sites[[#This Row],[SOL'#]]</f>
        <v>SOL-10392</v>
      </c>
      <c r="D133" s="143">
        <v>24718.78125</v>
      </c>
      <c r="E133" s="14">
        <v>30789.33</v>
      </c>
      <c r="F133" s="14">
        <f t="shared" ref="F133:F164" si="10">IF(AND(ISNUMBER(D133),ISNUMBER(E133)), D133-E133, "")</f>
        <v>-6070.5487500000017</v>
      </c>
      <c r="G133" s="15">
        <f t="shared" si="7"/>
        <v>-0.19716404189373402</v>
      </c>
      <c r="H133" s="69">
        <v>27850</v>
      </c>
      <c r="I133" s="16">
        <f t="shared" si="8"/>
        <v>-3131.21875</v>
      </c>
      <c r="J133" s="15">
        <f t="shared" si="9"/>
        <v>-0.11243155296229802</v>
      </c>
      <c r="K133" s="51" t="s">
        <v>1848</v>
      </c>
      <c r="L133" s="99" t="s">
        <v>1849</v>
      </c>
      <c r="M133" s="102" t="s">
        <v>1613</v>
      </c>
      <c r="N133" s="103"/>
      <c r="O133" s="103"/>
      <c r="P133" s="103"/>
      <c r="Q133" s="103"/>
      <c r="R133" s="103"/>
      <c r="S133" s="103"/>
      <c r="T133" s="103"/>
      <c r="U133" s="103"/>
      <c r="V133" s="103"/>
      <c r="W133" s="103"/>
    </row>
    <row r="134" spans="1:23" ht="15.6">
      <c r="A134" s="24" t="str">
        <v>M028</v>
      </c>
      <c r="B134" s="25" t="str">
        <v>NY</v>
      </c>
      <c r="C134" s="25" t="str">
        <f>Sites[[#This Row],[SOL'#]]</f>
        <v>SOL-10381</v>
      </c>
      <c r="D134" s="142">
        <v>24147.6953125</v>
      </c>
      <c r="E134" s="141">
        <v>22986.880000000001</v>
      </c>
      <c r="F134" s="10">
        <f t="shared" si="10"/>
        <v>1160.815312499999</v>
      </c>
      <c r="G134" s="11">
        <f t="shared" ref="G134:G164" si="11">IFERROR(F134/E134, "")</f>
        <v>5.0499037385673871E-2</v>
      </c>
      <c r="H134" s="146">
        <v>21408</v>
      </c>
      <c r="I134" s="132">
        <f t="shared" si="8"/>
        <v>2739.6953125</v>
      </c>
      <c r="J134" s="13">
        <f t="shared" si="9"/>
        <v>0.12797530420870704</v>
      </c>
      <c r="K134" s="53"/>
      <c r="L134" s="53"/>
      <c r="M134" s="103"/>
      <c r="N134" s="103"/>
      <c r="O134" s="103"/>
      <c r="P134" s="103"/>
      <c r="Q134" s="103"/>
      <c r="R134" s="103"/>
      <c r="S134" s="103"/>
      <c r="T134" s="103"/>
      <c r="U134" s="103"/>
      <c r="V134" s="103"/>
      <c r="W134" s="103"/>
    </row>
    <row r="135" spans="1:23" ht="15.6">
      <c r="A135" s="26" t="str">
        <v>Q030</v>
      </c>
      <c r="B135" s="27" t="str">
        <v>NY</v>
      </c>
      <c r="C135" s="140" t="str">
        <f>Sites[[#This Row],[SOL'#]]</f>
        <v>SOL-10878</v>
      </c>
      <c r="D135" s="143">
        <v>28121.203125</v>
      </c>
      <c r="E135" s="14">
        <v>27692.87</v>
      </c>
      <c r="F135" s="14">
        <f t="shared" si="10"/>
        <v>428.33312500000102</v>
      </c>
      <c r="G135" s="15">
        <f t="shared" si="11"/>
        <v>1.5467270997913941E-2</v>
      </c>
      <c r="H135" s="125">
        <v>25556</v>
      </c>
      <c r="I135" s="133">
        <f t="shared" si="8"/>
        <v>2565.203125</v>
      </c>
      <c r="J135" s="15">
        <f t="shared" si="9"/>
        <v>0.10037576792142745</v>
      </c>
      <c r="K135" s="51"/>
      <c r="L135" s="51"/>
      <c r="M135" s="103"/>
      <c r="N135" s="103"/>
      <c r="O135" s="103"/>
      <c r="P135" s="103"/>
      <c r="Q135" s="103"/>
      <c r="R135" s="103"/>
      <c r="S135" s="103"/>
      <c r="T135" s="103"/>
      <c r="U135" s="103"/>
      <c r="V135" s="103"/>
      <c r="W135" s="103"/>
    </row>
    <row r="136" spans="1:23" ht="15.6">
      <c r="A136" s="24" t="str">
        <v>Q130</v>
      </c>
      <c r="B136" s="25" t="str">
        <v>NY</v>
      </c>
      <c r="C136" s="25" t="str">
        <f>Sites[[#This Row],[SOL'#]]</f>
        <v>SOL-10877</v>
      </c>
      <c r="D136" s="142">
        <v>15751.1484375</v>
      </c>
      <c r="E136" s="141">
        <v>14699.77</v>
      </c>
      <c r="F136" s="10">
        <f t="shared" si="10"/>
        <v>1051.3784374999996</v>
      </c>
      <c r="G136" s="11">
        <f t="shared" si="11"/>
        <v>7.1523461761646576E-2</v>
      </c>
      <c r="H136" s="146">
        <v>14803.11</v>
      </c>
      <c r="I136" s="132">
        <f t="shared" si="8"/>
        <v>948.03843749999942</v>
      </c>
      <c r="J136" s="13">
        <f t="shared" si="9"/>
        <v>6.4043193457320749E-2</v>
      </c>
      <c r="K136" s="53"/>
      <c r="L136" s="53"/>
      <c r="M136" s="103"/>
      <c r="N136" s="103"/>
      <c r="O136" s="103"/>
      <c r="P136" s="103"/>
      <c r="Q136" s="103"/>
      <c r="R136" s="103"/>
      <c r="S136" s="103"/>
      <c r="T136" s="103"/>
      <c r="U136" s="103"/>
      <c r="V136" s="103"/>
      <c r="W136" s="103"/>
    </row>
    <row r="137" spans="1:23" ht="15.6">
      <c r="A137" s="26" t="str">
        <v>Q196</v>
      </c>
      <c r="B137" s="27" t="str">
        <v>NY</v>
      </c>
      <c r="C137" s="140" t="str">
        <f>Sites[[#This Row],[SOL'#]]</f>
        <v>SOL-10879</v>
      </c>
      <c r="D137" s="143">
        <v>20805.482835591101</v>
      </c>
      <c r="E137" s="14">
        <v>21379.83</v>
      </c>
      <c r="F137" s="14">
        <f t="shared" si="10"/>
        <v>-574.34716440890043</v>
      </c>
      <c r="G137" s="15">
        <f t="shared" si="11"/>
        <v>-2.686397246418238E-2</v>
      </c>
      <c r="H137" s="125">
        <v>19108</v>
      </c>
      <c r="I137" s="133">
        <f t="shared" si="8"/>
        <v>1697.4828355911013</v>
      </c>
      <c r="J137" s="15">
        <f t="shared" si="9"/>
        <v>8.8836237994091544E-2</v>
      </c>
      <c r="K137" s="51"/>
      <c r="L137" s="51"/>
      <c r="M137" s="103"/>
      <c r="N137" s="103"/>
      <c r="O137" s="103"/>
      <c r="P137" s="103"/>
      <c r="Q137" s="103"/>
      <c r="R137" s="103"/>
      <c r="S137" s="103"/>
      <c r="T137" s="103"/>
      <c r="U137" s="103"/>
      <c r="V137" s="103"/>
      <c r="W137" s="103"/>
    </row>
    <row r="138" spans="1:23" ht="15.6">
      <c r="A138" s="24" t="str">
        <v>Q220</v>
      </c>
      <c r="B138" s="25" t="str">
        <v>NY</v>
      </c>
      <c r="C138" s="25" t="str">
        <f>Sites[[#This Row],[SOL'#]]</f>
        <v>SOL-10873</v>
      </c>
      <c r="D138" s="142">
        <v>24446</v>
      </c>
      <c r="E138" s="141">
        <v>28043.91</v>
      </c>
      <c r="F138" s="10">
        <f t="shared" si="10"/>
        <v>-3597.91</v>
      </c>
      <c r="G138" s="11">
        <f t="shared" si="11"/>
        <v>-0.1282955907360992</v>
      </c>
      <c r="H138" s="146">
        <v>21931</v>
      </c>
      <c r="I138" s="132">
        <f t="shared" si="8"/>
        <v>2515</v>
      </c>
      <c r="J138" s="13">
        <f t="shared" si="9"/>
        <v>0.11467785326706488</v>
      </c>
      <c r="K138" s="53" t="s">
        <v>1364</v>
      </c>
      <c r="L138" s="98" t="s">
        <v>1850</v>
      </c>
      <c r="M138" s="103"/>
      <c r="N138" s="103"/>
      <c r="O138" s="103"/>
      <c r="P138" s="103"/>
      <c r="Q138" s="103"/>
      <c r="R138" s="103"/>
      <c r="S138" s="103"/>
      <c r="T138" s="103"/>
      <c r="U138" s="103"/>
      <c r="V138" s="103"/>
      <c r="W138" s="103"/>
    </row>
    <row r="139" spans="1:23" ht="15.6">
      <c r="A139" s="26" t="str">
        <v>Q205</v>
      </c>
      <c r="B139" s="27" t="str">
        <v>NY</v>
      </c>
      <c r="C139" s="140" t="str">
        <f>Sites[[#This Row],[SOL'#]]</f>
        <v>SOL-10922</v>
      </c>
      <c r="D139" s="143">
        <v>26670.46875</v>
      </c>
      <c r="E139" s="14">
        <v>34551.760000000002</v>
      </c>
      <c r="F139" s="14">
        <f t="shared" si="10"/>
        <v>-7881.291250000002</v>
      </c>
      <c r="G139" s="15">
        <f t="shared" si="11"/>
        <v>-0.22810100701093089</v>
      </c>
      <c r="H139" s="125">
        <v>26035</v>
      </c>
      <c r="I139" s="133">
        <f t="shared" si="8"/>
        <v>635.46875</v>
      </c>
      <c r="J139" s="15">
        <f t="shared" si="9"/>
        <v>2.4408248511618973E-2</v>
      </c>
      <c r="K139" s="51" t="s">
        <v>1851</v>
      </c>
      <c r="L139" s="99" t="s">
        <v>1852</v>
      </c>
      <c r="M139" s="103"/>
      <c r="N139" s="103"/>
      <c r="O139" s="103"/>
      <c r="P139" s="103"/>
      <c r="Q139" s="103"/>
      <c r="R139" s="103"/>
      <c r="S139" s="103"/>
      <c r="T139" s="103"/>
      <c r="U139" s="103"/>
      <c r="V139" s="103"/>
      <c r="W139" s="103"/>
    </row>
    <row r="140" spans="1:23" ht="158.44999999999999">
      <c r="A140" s="28" t="str">
        <v>Q400</v>
      </c>
      <c r="B140" s="25" t="str">
        <v>NY</v>
      </c>
      <c r="C140" s="25" t="str">
        <f>Sites[[#This Row],[SOL'#]]</f>
        <v>SOL-10871</v>
      </c>
      <c r="D140" s="142">
        <v>27564.71875</v>
      </c>
      <c r="E140" s="141" t="s">
        <v>661</v>
      </c>
      <c r="F140" s="10" t="str">
        <f t="shared" si="10"/>
        <v/>
      </c>
      <c r="G140" s="11" t="str">
        <f t="shared" si="11"/>
        <v/>
      </c>
      <c r="H140" s="146">
        <v>42213</v>
      </c>
      <c r="I140" s="132">
        <f t="shared" si="8"/>
        <v>-14648.28125</v>
      </c>
      <c r="J140" s="13">
        <f t="shared" si="9"/>
        <v>-0.34700877099471727</v>
      </c>
      <c r="K140" s="53" t="s">
        <v>1853</v>
      </c>
      <c r="L140" s="98" t="s">
        <v>1854</v>
      </c>
      <c r="M140" s="102" t="s">
        <v>1855</v>
      </c>
      <c r="N140" s="102" t="s">
        <v>1856</v>
      </c>
      <c r="O140" s="102" t="s">
        <v>1857</v>
      </c>
      <c r="P140" s="103"/>
      <c r="Q140" s="103"/>
      <c r="R140" s="103"/>
      <c r="S140" s="103"/>
      <c r="T140" s="103"/>
      <c r="U140" s="103"/>
      <c r="V140" s="103"/>
      <c r="W140" s="103"/>
    </row>
    <row r="141" spans="1:23" ht="28.9">
      <c r="A141" s="26" t="str">
        <v>R003</v>
      </c>
      <c r="B141" s="27" t="str">
        <v>NY</v>
      </c>
      <c r="C141" s="140" t="str">
        <f>Sites[[#This Row],[SOL'#]]</f>
        <v>SOL-10416</v>
      </c>
      <c r="D141" s="153">
        <v>35994.71875</v>
      </c>
      <c r="E141" s="14">
        <v>40860.949999999997</v>
      </c>
      <c r="F141" s="14">
        <f t="shared" si="10"/>
        <v>-4866.2312499999971</v>
      </c>
      <c r="G141" s="15">
        <f t="shared" si="11"/>
        <v>-0.1190924648105342</v>
      </c>
      <c r="H141" s="125">
        <v>39191</v>
      </c>
      <c r="I141" s="133">
        <f t="shared" si="8"/>
        <v>-3196.28125</v>
      </c>
      <c r="J141" s="15">
        <f t="shared" si="9"/>
        <v>-8.1556511699114598E-2</v>
      </c>
      <c r="K141" s="51" t="s">
        <v>1374</v>
      </c>
      <c r="L141" s="99" t="s">
        <v>1858</v>
      </c>
      <c r="M141" s="103"/>
      <c r="N141" s="103"/>
      <c r="O141" s="103"/>
      <c r="P141" s="103"/>
      <c r="Q141" s="103"/>
      <c r="R141" s="103"/>
      <c r="S141" s="103"/>
      <c r="T141" s="103"/>
      <c r="U141" s="103"/>
      <c r="V141" s="103"/>
      <c r="W141" s="103"/>
    </row>
    <row r="142" spans="1:23" ht="15.6">
      <c r="A142" s="28" t="str">
        <v>R007</v>
      </c>
      <c r="B142" s="25" t="str">
        <v>NY</v>
      </c>
      <c r="C142" s="25" t="str">
        <f>Sites[[#This Row],[SOL'#]]</f>
        <v>SOL-10417</v>
      </c>
      <c r="D142" s="154">
        <v>44587.8125</v>
      </c>
      <c r="E142" s="145">
        <v>44275.8</v>
      </c>
      <c r="F142" s="10">
        <f t="shared" si="10"/>
        <v>312.01249999999709</v>
      </c>
      <c r="G142" s="11">
        <f t="shared" si="11"/>
        <v>7.0470211718364675E-3</v>
      </c>
      <c r="H142" s="146">
        <v>43538.53</v>
      </c>
      <c r="I142" s="132">
        <f t="shared" si="8"/>
        <v>1049.2825000000012</v>
      </c>
      <c r="J142" s="13">
        <f t="shared" si="9"/>
        <v>2.4100090195971275E-2</v>
      </c>
      <c r="K142" s="53"/>
      <c r="L142" s="53"/>
      <c r="M142" s="103"/>
      <c r="N142" s="103"/>
      <c r="O142" s="103"/>
      <c r="P142" s="103"/>
      <c r="Q142" s="103"/>
      <c r="R142" s="103"/>
      <c r="S142" s="103"/>
      <c r="T142" s="103"/>
      <c r="U142" s="103"/>
      <c r="V142" s="103"/>
      <c r="W142" s="103"/>
    </row>
    <row r="143" spans="1:23" ht="15.6">
      <c r="A143" s="26" t="str">
        <v>BK16</v>
      </c>
      <c r="B143" s="27" t="str">
        <v>NY</v>
      </c>
      <c r="C143" s="140" t="str">
        <f>Sites[[#This Row],[SOL'#]]</f>
        <v>SOL-11093</v>
      </c>
      <c r="D143" s="143">
        <v>45382.796875</v>
      </c>
      <c r="E143" s="14">
        <v>44880.84</v>
      </c>
      <c r="F143" s="14">
        <f t="shared" si="10"/>
        <v>501.95687500000349</v>
      </c>
      <c r="G143" s="15">
        <f t="shared" si="11"/>
        <v>1.1184213018294744E-2</v>
      </c>
      <c r="H143" s="125">
        <v>41908</v>
      </c>
      <c r="I143" s="133">
        <f t="shared" si="8"/>
        <v>3474.796875</v>
      </c>
      <c r="J143" s="15">
        <f t="shared" si="9"/>
        <v>8.2914882003436094E-2</v>
      </c>
      <c r="K143" s="51"/>
      <c r="L143" s="51"/>
      <c r="M143" s="103"/>
      <c r="N143" s="103"/>
      <c r="O143" s="103"/>
      <c r="P143" s="103"/>
      <c r="Q143" s="103"/>
      <c r="R143" s="103"/>
      <c r="S143" s="103"/>
      <c r="T143" s="103"/>
      <c r="U143" s="103"/>
      <c r="V143" s="103"/>
      <c r="W143" s="103"/>
    </row>
    <row r="144" spans="1:23" ht="115.15">
      <c r="A144" s="24" t="str">
        <v>Trenton - Trenton East</v>
      </c>
      <c r="B144" s="25" t="str">
        <v>IL</v>
      </c>
      <c r="C144" s="25" t="str">
        <f>Sites[[#This Row],[SOL'#]]</f>
        <v>SOL-11060</v>
      </c>
      <c r="D144" s="142">
        <v>437519</v>
      </c>
      <c r="E144" s="141">
        <v>471397.7</v>
      </c>
      <c r="F144" s="10">
        <f t="shared" si="10"/>
        <v>-33878.700000000012</v>
      </c>
      <c r="G144" s="11">
        <f t="shared" si="11"/>
        <v>-7.1868615396299157E-2</v>
      </c>
      <c r="H144" s="146">
        <v>510301</v>
      </c>
      <c r="I144" s="132">
        <f t="shared" si="8"/>
        <v>-72782</v>
      </c>
      <c r="J144" s="13">
        <f t="shared" si="9"/>
        <v>-0.14262562683592625</v>
      </c>
      <c r="K144" s="53" t="s">
        <v>1859</v>
      </c>
      <c r="L144" s="98" t="s">
        <v>1860</v>
      </c>
      <c r="M144" s="102" t="s">
        <v>1861</v>
      </c>
      <c r="N144" s="103"/>
      <c r="O144" s="103"/>
      <c r="P144" s="103"/>
      <c r="Q144" s="103"/>
      <c r="R144" s="103"/>
      <c r="S144" s="103"/>
      <c r="T144" s="103"/>
      <c r="U144" s="103"/>
      <c r="V144" s="103"/>
      <c r="W144" s="103"/>
    </row>
    <row r="145" spans="1:23" ht="28.9">
      <c r="A145" s="26" t="str">
        <v>Trenton - Trenton West</v>
      </c>
      <c r="B145" s="27" t="str">
        <v>IL</v>
      </c>
      <c r="C145" s="140" t="str">
        <f>Sites[[#This Row],[SOL'#]]</f>
        <v>SOL-11061</v>
      </c>
      <c r="D145" s="143">
        <v>277637</v>
      </c>
      <c r="E145" s="14">
        <v>402211.7</v>
      </c>
      <c r="F145" s="14">
        <f t="shared" si="10"/>
        <v>-124574.70000000001</v>
      </c>
      <c r="G145" s="15">
        <f t="shared" si="11"/>
        <v>-0.3097242074260893</v>
      </c>
      <c r="H145" s="125">
        <v>512464</v>
      </c>
      <c r="I145" s="133">
        <f t="shared" si="8"/>
        <v>-234827</v>
      </c>
      <c r="J145" s="15">
        <f t="shared" si="9"/>
        <v>-0.45823121233881797</v>
      </c>
      <c r="K145" s="51" t="s">
        <v>1862</v>
      </c>
      <c r="L145" s="99" t="s">
        <v>1863</v>
      </c>
      <c r="M145" s="103"/>
      <c r="N145" s="103"/>
      <c r="O145" s="103"/>
      <c r="P145" s="103"/>
      <c r="Q145" s="103"/>
      <c r="R145" s="103"/>
      <c r="S145" s="103"/>
      <c r="T145" s="103"/>
      <c r="U145" s="103"/>
      <c r="V145" s="103"/>
      <c r="W145" s="103"/>
    </row>
    <row r="146" spans="1:23" ht="57.6">
      <c r="A146" s="24" t="str">
        <v>Dakota - Dakota Solar 1</v>
      </c>
      <c r="B146" s="25" t="str">
        <v>IL</v>
      </c>
      <c r="C146" s="25" t="str">
        <f>Sites[[#This Row],[SOL'#]]</f>
        <v>SOL-11113</v>
      </c>
      <c r="D146" s="142">
        <v>498585</v>
      </c>
      <c r="E146" s="141">
        <v>531606.80000000005</v>
      </c>
      <c r="F146" s="10">
        <f t="shared" si="10"/>
        <v>-33021.800000000047</v>
      </c>
      <c r="G146" s="11">
        <f t="shared" si="11"/>
        <v>-6.2116963138921559E-2</v>
      </c>
      <c r="H146" s="146">
        <v>386240</v>
      </c>
      <c r="I146" s="132">
        <f t="shared" ref="I146:I164" si="12">IF(AND(ISNUMBER(D146),ISNUMBER(H146)), D146-H146, "")</f>
        <v>112345</v>
      </c>
      <c r="J146" s="13">
        <f t="shared" ref="J146:J164" si="13">IFERROR(I146/H146, "")</f>
        <v>0.29086837199668603</v>
      </c>
      <c r="K146" s="53" t="s">
        <v>1864</v>
      </c>
      <c r="L146" s="98" t="s">
        <v>1865</v>
      </c>
      <c r="M146" s="102" t="s">
        <v>1866</v>
      </c>
      <c r="N146" s="102" t="s">
        <v>1867</v>
      </c>
      <c r="O146" s="103"/>
      <c r="P146" s="103"/>
      <c r="Q146" s="103"/>
      <c r="R146" s="103"/>
      <c r="S146" s="103"/>
      <c r="T146" s="103"/>
      <c r="U146" s="103"/>
      <c r="V146" s="103"/>
      <c r="W146" s="103"/>
    </row>
    <row r="147" spans="1:23" ht="43.15">
      <c r="A147" s="26" t="str">
        <v>X018</v>
      </c>
      <c r="B147" s="27" t="str">
        <v>NY</v>
      </c>
      <c r="C147" s="140" t="str">
        <f>Sites[[#This Row],[SOL'#]]</f>
        <v>SOL-10418</v>
      </c>
      <c r="D147" s="143">
        <v>22069.125</v>
      </c>
      <c r="E147" s="14">
        <v>12142.44</v>
      </c>
      <c r="F147" s="14">
        <f t="shared" si="10"/>
        <v>9926.6849999999995</v>
      </c>
      <c r="G147" s="15">
        <f t="shared" si="11"/>
        <v>0.81751979009161246</v>
      </c>
      <c r="H147" s="125">
        <v>20832</v>
      </c>
      <c r="I147" s="133">
        <f t="shared" si="12"/>
        <v>1237.125</v>
      </c>
      <c r="J147" s="15">
        <f t="shared" si="13"/>
        <v>5.9385800691244238E-2</v>
      </c>
      <c r="K147" s="51" t="s">
        <v>1868</v>
      </c>
      <c r="L147" s="99" t="s">
        <v>1869</v>
      </c>
      <c r="M147" s="102" t="s">
        <v>1870</v>
      </c>
      <c r="N147" s="103"/>
      <c r="O147" s="103"/>
      <c r="P147" s="103"/>
      <c r="Q147" s="103"/>
      <c r="R147" s="103"/>
      <c r="S147" s="103"/>
      <c r="T147" s="103"/>
      <c r="U147" s="103"/>
      <c r="V147" s="103"/>
      <c r="W147" s="103"/>
    </row>
    <row r="148" spans="1:23" ht="15.6">
      <c r="A148" s="24" t="str">
        <v>Janiak Solar</v>
      </c>
      <c r="B148" s="25" t="str">
        <v>NY</v>
      </c>
      <c r="C148" s="25" t="str">
        <f>Sites[[#This Row],[SOL'#]]</f>
        <v>SOL-10898</v>
      </c>
      <c r="D148" s="154">
        <v>410322</v>
      </c>
      <c r="E148" s="145">
        <v>429489.1</v>
      </c>
      <c r="F148" s="10">
        <f t="shared" si="10"/>
        <v>-19167.099999999977</v>
      </c>
      <c r="G148" s="11">
        <f t="shared" si="11"/>
        <v>-4.4627675067888749E-2</v>
      </c>
      <c r="H148" s="146">
        <v>413602</v>
      </c>
      <c r="I148" s="132">
        <f t="shared" si="12"/>
        <v>-3280</v>
      </c>
      <c r="J148" s="13">
        <f t="shared" si="13"/>
        <v>-7.9303291570156816E-3</v>
      </c>
      <c r="K148" s="53" t="s">
        <v>1871</v>
      </c>
      <c r="L148" s="98" t="s">
        <v>1872</v>
      </c>
      <c r="M148" s="103"/>
      <c r="N148" s="103"/>
      <c r="O148" s="103"/>
      <c r="P148" s="103"/>
      <c r="Q148" s="103"/>
      <c r="R148" s="103"/>
      <c r="S148" s="103"/>
      <c r="T148" s="103"/>
      <c r="U148" s="103"/>
      <c r="V148" s="103"/>
      <c r="W148" s="103"/>
    </row>
    <row r="149" spans="1:23" ht="72">
      <c r="A149" s="26" t="str">
        <v>County Route 11B</v>
      </c>
      <c r="B149" s="27" t="str">
        <v>NY</v>
      </c>
      <c r="C149" s="140" t="str">
        <f>Sites[[#This Row],[SOL'#]]</f>
        <v>SOL-10983</v>
      </c>
      <c r="D149" s="143">
        <v>1379609</v>
      </c>
      <c r="E149" s="14">
        <v>1375713</v>
      </c>
      <c r="F149" s="14">
        <f t="shared" si="10"/>
        <v>3896</v>
      </c>
      <c r="G149" s="15">
        <f t="shared" si="11"/>
        <v>2.8319860319703312E-3</v>
      </c>
      <c r="H149" s="125" t="s">
        <v>661</v>
      </c>
      <c r="I149" s="133" t="str">
        <f t="shared" si="12"/>
        <v/>
      </c>
      <c r="J149" s="15" t="str">
        <f t="shared" si="13"/>
        <v/>
      </c>
      <c r="K149" s="51" t="s">
        <v>1873</v>
      </c>
      <c r="L149" s="99" t="s">
        <v>1874</v>
      </c>
      <c r="M149" s="103"/>
      <c r="N149" s="103"/>
      <c r="O149" s="103"/>
      <c r="P149" s="103"/>
      <c r="Q149" s="103"/>
      <c r="R149" s="103"/>
      <c r="S149" s="103"/>
      <c r="T149" s="103"/>
      <c r="U149" s="103"/>
      <c r="V149" s="103"/>
      <c r="W149" s="103"/>
    </row>
    <row r="150" spans="1:23" ht="15.6">
      <c r="A150" s="24" t="str">
        <v>Barone</v>
      </c>
      <c r="B150" s="25" t="str">
        <v>NY</v>
      </c>
      <c r="C150" s="25" t="str">
        <f>Sites[[#This Row],[SOL'#]]</f>
        <v>SOL-11034</v>
      </c>
      <c r="D150" s="154">
        <v>742933</v>
      </c>
      <c r="E150" s="145">
        <v>740175</v>
      </c>
      <c r="F150" s="10">
        <f t="shared" si="10"/>
        <v>2758</v>
      </c>
      <c r="G150" s="11">
        <f t="shared" si="11"/>
        <v>3.7261458438882697E-3</v>
      </c>
      <c r="H150" s="146">
        <v>675605</v>
      </c>
      <c r="I150" s="132">
        <f t="shared" si="12"/>
        <v>67328</v>
      </c>
      <c r="J150" s="13">
        <f t="shared" si="13"/>
        <v>9.9655864003374756E-2</v>
      </c>
      <c r="K150" s="53"/>
      <c r="L150" s="53"/>
      <c r="M150" s="103"/>
      <c r="N150" s="103"/>
      <c r="O150" s="103"/>
      <c r="P150" s="103"/>
      <c r="Q150" s="103"/>
      <c r="R150" s="103"/>
      <c r="S150" s="103"/>
      <c r="T150" s="103"/>
      <c r="U150" s="103"/>
      <c r="V150" s="103"/>
      <c r="W150" s="103"/>
    </row>
    <row r="151" spans="1:23" ht="78.75" customHeight="1">
      <c r="A151" s="26" t="str">
        <v>Cedarville</v>
      </c>
      <c r="B151" s="27" t="str">
        <v>IL</v>
      </c>
      <c r="C151" s="140" t="str">
        <f>Sites[[#This Row],[SOL'#]]</f>
        <v>SOL-11069</v>
      </c>
      <c r="D151" s="143">
        <v>417515</v>
      </c>
      <c r="E151" s="14">
        <v>416555.5</v>
      </c>
      <c r="F151" s="14">
        <f t="shared" si="10"/>
        <v>959.5</v>
      </c>
      <c r="G151" s="15">
        <f t="shared" si="11"/>
        <v>2.3034145510022076E-3</v>
      </c>
      <c r="H151" s="125">
        <v>502198.2</v>
      </c>
      <c r="I151" s="133">
        <f t="shared" si="12"/>
        <v>-84683.200000000012</v>
      </c>
      <c r="J151" s="15">
        <f t="shared" si="13"/>
        <v>-0.16862505680028325</v>
      </c>
      <c r="K151" s="51" t="s">
        <v>1875</v>
      </c>
      <c r="L151" s="99" t="s">
        <v>1876</v>
      </c>
      <c r="M151" s="102" t="s">
        <v>1877</v>
      </c>
      <c r="N151" s="102" t="s">
        <v>1878</v>
      </c>
      <c r="O151" s="103"/>
      <c r="P151" s="103"/>
      <c r="Q151" s="103"/>
      <c r="R151" s="103"/>
      <c r="S151" s="103"/>
      <c r="T151" s="103"/>
      <c r="U151" s="103"/>
      <c r="V151" s="103"/>
      <c r="W151" s="103"/>
    </row>
    <row r="152" spans="1:23" ht="26.25" customHeight="1">
      <c r="A152" s="24" t="str">
        <v xml:space="preserve"> O'Brien Hill #1</v>
      </c>
      <c r="B152" s="25" t="str">
        <v>NY</v>
      </c>
      <c r="C152" s="25" t="str">
        <f>Sites[[#This Row],[SOL'#]]</f>
        <v>SOL-11098</v>
      </c>
      <c r="D152" s="142">
        <v>0</v>
      </c>
      <c r="E152" s="141">
        <v>0</v>
      </c>
      <c r="F152" s="10">
        <f t="shared" si="10"/>
        <v>0</v>
      </c>
      <c r="G152" s="11" t="str">
        <f t="shared" si="11"/>
        <v/>
      </c>
      <c r="H152" s="146" t="s">
        <v>661</v>
      </c>
      <c r="I152" s="132" t="str">
        <f t="shared" si="12"/>
        <v/>
      </c>
      <c r="J152" s="13" t="str">
        <f t="shared" si="13"/>
        <v/>
      </c>
      <c r="K152" s="53" t="s">
        <v>1390</v>
      </c>
      <c r="L152" s="98" t="s">
        <v>1391</v>
      </c>
      <c r="M152" s="102" t="s">
        <v>877</v>
      </c>
      <c r="N152" s="103"/>
      <c r="O152" s="103"/>
      <c r="P152" s="103"/>
      <c r="Q152" s="103"/>
      <c r="R152" s="103"/>
      <c r="S152" s="103"/>
      <c r="T152" s="103"/>
      <c r="U152" s="103"/>
      <c r="V152" s="103"/>
      <c r="W152" s="103"/>
    </row>
    <row r="153" spans="1:23" ht="57.6">
      <c r="A153" s="26" t="str">
        <v xml:space="preserve"> O'Brien Hill #2</v>
      </c>
      <c r="B153" s="27" t="str">
        <v>NY</v>
      </c>
      <c r="C153" s="140" t="str">
        <f>Sites[[#This Row],[SOL'#]]</f>
        <v>SOL-11099</v>
      </c>
      <c r="D153" s="143">
        <v>1128495</v>
      </c>
      <c r="E153" s="14">
        <v>1128378</v>
      </c>
      <c r="F153" s="14">
        <f t="shared" si="10"/>
        <v>117</v>
      </c>
      <c r="G153" s="15">
        <f t="shared" si="11"/>
        <v>1.0368865752434025E-4</v>
      </c>
      <c r="H153" s="125" t="s">
        <v>661</v>
      </c>
      <c r="I153" s="133" t="str">
        <f t="shared" si="12"/>
        <v/>
      </c>
      <c r="J153" s="15" t="str">
        <f t="shared" si="13"/>
        <v/>
      </c>
      <c r="K153" s="51" t="s">
        <v>1879</v>
      </c>
      <c r="L153" s="99" t="s">
        <v>1880</v>
      </c>
      <c r="M153" s="102" t="s">
        <v>1881</v>
      </c>
      <c r="N153" s="102" t="s">
        <v>1882</v>
      </c>
      <c r="O153" s="103"/>
      <c r="P153" s="103"/>
      <c r="Q153" s="103"/>
      <c r="R153" s="103"/>
      <c r="S153" s="103"/>
      <c r="T153" s="103"/>
      <c r="U153" s="103"/>
      <c r="V153" s="103"/>
      <c r="W153" s="103"/>
    </row>
    <row r="154" spans="1:23" ht="28.9">
      <c r="A154" s="24" t="str">
        <v>Trinity - Freeport</v>
      </c>
      <c r="B154" s="25" t="str">
        <v>IL</v>
      </c>
      <c r="C154" s="25" t="str">
        <f>Sites[[#This Row],[SOL'#]]</f>
        <v>SOL-11057</v>
      </c>
      <c r="D154" s="142">
        <v>477281</v>
      </c>
      <c r="E154" s="141">
        <v>555388.9</v>
      </c>
      <c r="F154" s="10">
        <f t="shared" si="10"/>
        <v>-78107.900000000023</v>
      </c>
      <c r="G154" s="11">
        <f t="shared" si="11"/>
        <v>-0.14063640810970479</v>
      </c>
      <c r="H154" s="146">
        <v>510656</v>
      </c>
      <c r="I154" s="132">
        <f t="shared" si="12"/>
        <v>-33375</v>
      </c>
      <c r="J154" s="13">
        <f t="shared" si="13"/>
        <v>-6.535710928687806E-2</v>
      </c>
      <c r="K154" s="53" t="s">
        <v>1883</v>
      </c>
      <c r="L154" s="98" t="s">
        <v>1884</v>
      </c>
      <c r="M154" s="103"/>
      <c r="N154" s="103"/>
      <c r="O154" s="103"/>
      <c r="P154" s="103"/>
      <c r="Q154" s="103"/>
      <c r="R154" s="103"/>
      <c r="S154" s="103"/>
      <c r="T154" s="103"/>
      <c r="U154" s="103"/>
      <c r="V154" s="103"/>
      <c r="W154" s="103"/>
    </row>
    <row r="155" spans="1:23" ht="15.6">
      <c r="A155" s="26" t="str">
        <v>Ransom</v>
      </c>
      <c r="B155" s="27" t="str">
        <v>NY</v>
      </c>
      <c r="C155" s="140" t="str">
        <f>Sites[[#This Row],[SOL'#]]</f>
        <v>SOL-11157</v>
      </c>
      <c r="D155" s="143">
        <v>1140073</v>
      </c>
      <c r="E155" s="14">
        <v>1136262</v>
      </c>
      <c r="F155" s="14">
        <f t="shared" si="10"/>
        <v>3811</v>
      </c>
      <c r="G155" s="15">
        <f t="shared" si="11"/>
        <v>3.3539799799694086E-3</v>
      </c>
      <c r="H155" s="125" t="s">
        <v>661</v>
      </c>
      <c r="I155" s="133" t="str">
        <f t="shared" si="12"/>
        <v/>
      </c>
      <c r="J155" s="15" t="str">
        <f t="shared" si="13"/>
        <v/>
      </c>
      <c r="K155" s="51"/>
      <c r="L155" s="51"/>
      <c r="M155" s="103"/>
      <c r="N155" s="103"/>
      <c r="O155" s="103"/>
      <c r="P155" s="103"/>
      <c r="Q155" s="103"/>
      <c r="R155" s="103"/>
      <c r="S155" s="103"/>
      <c r="T155" s="103"/>
      <c r="U155" s="103"/>
      <c r="V155" s="103"/>
      <c r="W155" s="103"/>
    </row>
    <row r="156" spans="1:23" ht="28.9">
      <c r="A156" s="24" t="str">
        <v>Horseheads - Wedge</v>
      </c>
      <c r="B156" s="25" t="str">
        <v>NY</v>
      </c>
      <c r="C156" s="25" t="str">
        <f>Sites[[#This Row],[SOL'#]]</f>
        <v>SOL-11160</v>
      </c>
      <c r="D156" s="142">
        <v>706301</v>
      </c>
      <c r="E156" s="141">
        <v>704786</v>
      </c>
      <c r="F156" s="10">
        <f t="shared" si="10"/>
        <v>1515</v>
      </c>
      <c r="G156" s="11">
        <f t="shared" si="11"/>
        <v>2.1495886694684629E-3</v>
      </c>
      <c r="H156" s="146" t="s">
        <v>661</v>
      </c>
      <c r="I156" s="132" t="str">
        <f t="shared" si="12"/>
        <v/>
      </c>
      <c r="J156" s="13" t="str">
        <f t="shared" si="13"/>
        <v/>
      </c>
      <c r="K156" s="53" t="s">
        <v>1885</v>
      </c>
      <c r="L156" s="98" t="s">
        <v>1886</v>
      </c>
      <c r="M156" s="103"/>
      <c r="N156" s="103"/>
      <c r="O156" s="103"/>
      <c r="P156" s="103"/>
      <c r="Q156" s="103"/>
      <c r="R156" s="103"/>
      <c r="S156" s="103"/>
      <c r="T156" s="103"/>
      <c r="U156" s="103"/>
      <c r="V156" s="103"/>
      <c r="W156" s="103"/>
    </row>
    <row r="157" spans="1:23" ht="28.9">
      <c r="A157" s="26" t="str">
        <v>Otisville - Shoddy Hollow</v>
      </c>
      <c r="B157" s="27" t="str">
        <v>NY</v>
      </c>
      <c r="C157" s="140" t="str">
        <f>Sites[[#This Row],[SOL'#]]</f>
        <v>SOL-11185</v>
      </c>
      <c r="D157" s="143">
        <v>1152646</v>
      </c>
      <c r="E157" s="14">
        <v>1148442</v>
      </c>
      <c r="F157" s="14">
        <f t="shared" si="10"/>
        <v>4204</v>
      </c>
      <c r="G157" s="15">
        <f t="shared" si="11"/>
        <v>3.6606115067195381E-3</v>
      </c>
      <c r="H157" s="125" t="s">
        <v>661</v>
      </c>
      <c r="I157" s="133" t="str">
        <f t="shared" si="12"/>
        <v/>
      </c>
      <c r="J157" s="15" t="str">
        <f t="shared" si="13"/>
        <v/>
      </c>
      <c r="K157" s="51" t="s">
        <v>1887</v>
      </c>
      <c r="L157" s="99" t="s">
        <v>1888</v>
      </c>
      <c r="M157" s="103"/>
      <c r="N157" s="103"/>
      <c r="O157" s="103"/>
      <c r="P157" s="103"/>
      <c r="Q157" s="103"/>
      <c r="R157" s="103"/>
      <c r="S157" s="103"/>
      <c r="T157" s="103"/>
      <c r="U157" s="103"/>
      <c r="V157" s="103"/>
      <c r="W157" s="103"/>
    </row>
    <row r="158" spans="1:23" ht="45.75" customHeight="1">
      <c r="A158" s="24" t="str">
        <v>Wellsville - Chenunda Creek</v>
      </c>
      <c r="B158" s="25" t="str">
        <v>NY</v>
      </c>
      <c r="C158" s="25" t="str">
        <f>Sites[[#This Row],[SOL'#]]</f>
        <v>SOL-11187</v>
      </c>
      <c r="D158" s="142">
        <v>506741</v>
      </c>
      <c r="E158" s="141">
        <v>505549</v>
      </c>
      <c r="F158" s="10">
        <f t="shared" si="10"/>
        <v>1192</v>
      </c>
      <c r="G158" s="11">
        <f t="shared" si="11"/>
        <v>2.3578327718974819E-3</v>
      </c>
      <c r="H158" s="146" t="s">
        <v>661</v>
      </c>
      <c r="I158" s="132" t="str">
        <f t="shared" si="12"/>
        <v/>
      </c>
      <c r="J158" s="13" t="str">
        <f t="shared" si="13"/>
        <v/>
      </c>
      <c r="K158" s="53" t="s">
        <v>1889</v>
      </c>
      <c r="L158" s="98" t="s">
        <v>1890</v>
      </c>
      <c r="M158" s="102" t="s">
        <v>1891</v>
      </c>
      <c r="N158" s="103"/>
      <c r="O158" s="103"/>
      <c r="P158" s="103"/>
      <c r="Q158" s="103"/>
      <c r="R158" s="103"/>
      <c r="S158" s="103"/>
      <c r="T158" s="103"/>
      <c r="U158" s="103"/>
      <c r="V158" s="103"/>
      <c r="W158" s="103"/>
    </row>
    <row r="159" spans="1:23" ht="19.5" customHeight="1">
      <c r="A159" s="26" t="str">
        <v>DC: Washington - Essex Condominium</v>
      </c>
      <c r="B159" s="27" t="str">
        <v>DC</v>
      </c>
      <c r="C159" s="144" t="str">
        <f>Sites[[#This Row],[SOL'#]]</f>
        <v>SOL-10036</v>
      </c>
      <c r="D159" s="143">
        <v>4135</v>
      </c>
      <c r="E159" s="14">
        <v>5246.241</v>
      </c>
      <c r="F159" s="14">
        <f t="shared" si="10"/>
        <v>-1111.241</v>
      </c>
      <c r="G159" s="15">
        <f t="shared" si="11"/>
        <v>-0.21181661307591473</v>
      </c>
      <c r="H159" s="125">
        <v>4946.6059999999998</v>
      </c>
      <c r="I159" s="133">
        <f t="shared" si="12"/>
        <v>-811.60599999999977</v>
      </c>
      <c r="J159" s="15">
        <f t="shared" si="13"/>
        <v>-0.16407330602032985</v>
      </c>
      <c r="K159" s="51" t="s">
        <v>1892</v>
      </c>
      <c r="L159" s="51"/>
      <c r="M159" s="103"/>
      <c r="N159" s="103"/>
      <c r="O159" s="103"/>
      <c r="P159" s="103"/>
      <c r="Q159" s="103"/>
      <c r="R159" s="103"/>
      <c r="S159" s="103"/>
      <c r="T159" s="103"/>
      <c r="U159" s="103"/>
      <c r="V159" s="103"/>
      <c r="W159" s="103"/>
    </row>
    <row r="160" spans="1:23" ht="28.9">
      <c r="A160" s="24" t="str">
        <v>HI: Waipahu - 94-246 Leoku St - E.F.G.</v>
      </c>
      <c r="B160" s="25" t="str">
        <v>HI</v>
      </c>
      <c r="C160" s="25" t="str">
        <f>Sites[[#This Row],[SOL'#]]</f>
        <v>SOL-10071</v>
      </c>
      <c r="D160" s="142">
        <v>12597</v>
      </c>
      <c r="E160" s="141">
        <v>11777.15</v>
      </c>
      <c r="F160" s="10">
        <f t="shared" si="10"/>
        <v>819.85000000000036</v>
      </c>
      <c r="G160" s="11">
        <f t="shared" si="11"/>
        <v>6.9613616197467157E-2</v>
      </c>
      <c r="H160" s="146">
        <v>12293.69</v>
      </c>
      <c r="I160" s="132">
        <f t="shared" si="12"/>
        <v>303.30999999999949</v>
      </c>
      <c r="J160" s="13">
        <f t="shared" si="13"/>
        <v>2.4672006533432964E-2</v>
      </c>
      <c r="K160" s="53" t="s">
        <v>1893</v>
      </c>
      <c r="L160" s="98" t="s">
        <v>1894</v>
      </c>
      <c r="M160" s="102" t="s">
        <v>1895</v>
      </c>
      <c r="N160" s="103"/>
      <c r="O160" s="103"/>
      <c r="P160" s="103"/>
      <c r="Q160" s="103"/>
      <c r="R160" s="103"/>
      <c r="S160" s="103"/>
      <c r="T160" s="103"/>
      <c r="U160" s="103"/>
      <c r="V160" s="103"/>
      <c r="W160" s="103"/>
    </row>
    <row r="161" spans="1:23" s="148" customFormat="1" ht="15.6">
      <c r="A161" s="149" t="str">
        <v>HI: Waipahu - 94-099 Waipahu St - PV</v>
      </c>
      <c r="B161" s="150" t="str">
        <v>HI</v>
      </c>
      <c r="C161" s="151" t="str">
        <f>Sites[[#This Row],[SOL'#]]</f>
        <v>SOL-10068</v>
      </c>
      <c r="D161" s="155">
        <v>13869</v>
      </c>
      <c r="E161" s="43">
        <v>10867.52</v>
      </c>
      <c r="F161" s="43">
        <f t="shared" si="10"/>
        <v>3001.4799999999996</v>
      </c>
      <c r="G161" s="147">
        <f t="shared" si="11"/>
        <v>0.27618812755808125</v>
      </c>
      <c r="H161" s="156">
        <v>12294.02</v>
      </c>
      <c r="I161" s="157">
        <f t="shared" si="12"/>
        <v>1574.9799999999996</v>
      </c>
      <c r="J161" s="147">
        <f t="shared" si="13"/>
        <v>0.12810943857257426</v>
      </c>
      <c r="K161" s="152"/>
      <c r="L161" s="152"/>
      <c r="M161" s="117"/>
      <c r="N161" s="117"/>
      <c r="O161" s="117"/>
      <c r="P161" s="117"/>
      <c r="Q161" s="117"/>
      <c r="R161" s="117"/>
      <c r="S161" s="117"/>
      <c r="T161" s="117"/>
      <c r="U161" s="117"/>
      <c r="V161" s="117"/>
      <c r="W161" s="117"/>
    </row>
    <row r="162" spans="1:23" ht="72">
      <c r="A162" s="24" t="str">
        <v>IL: Prophetstown - 5170 Yager Road (PW)</v>
      </c>
      <c r="B162" s="25" t="str">
        <v>IL</v>
      </c>
      <c r="C162" s="25" t="str">
        <f>Sites[[#This Row],[SOL'#]]</f>
        <v>SOL-11149</v>
      </c>
      <c r="D162" s="142">
        <v>442807</v>
      </c>
      <c r="E162" s="141">
        <v>542577.69999999995</v>
      </c>
      <c r="F162" s="10">
        <f t="shared" si="10"/>
        <v>-99770.699999999953</v>
      </c>
      <c r="G162" s="11">
        <f t="shared" si="11"/>
        <v>-0.1838827876634074</v>
      </c>
      <c r="H162" s="146">
        <v>561204</v>
      </c>
      <c r="I162" s="132">
        <f t="shared" si="12"/>
        <v>-118397</v>
      </c>
      <c r="J162" s="13">
        <f t="shared" si="13"/>
        <v>-0.21096962958211274</v>
      </c>
      <c r="K162" s="53" t="s">
        <v>1896</v>
      </c>
      <c r="L162" s="98" t="s">
        <v>1897</v>
      </c>
      <c r="M162" s="102" t="s">
        <v>1898</v>
      </c>
      <c r="N162" s="102" t="s">
        <v>1899</v>
      </c>
      <c r="O162" s="103"/>
      <c r="P162" s="103"/>
      <c r="Q162" s="103"/>
      <c r="R162" s="103"/>
      <c r="S162" s="103"/>
      <c r="T162" s="103"/>
      <c r="U162" s="103"/>
      <c r="V162" s="103"/>
      <c r="W162" s="103"/>
    </row>
    <row r="163" spans="1:23" ht="15.6">
      <c r="A163" s="26" t="str">
        <v>IL: Viola - Goldenrod - (PW)</v>
      </c>
      <c r="B163" s="27" t="str">
        <v>IL</v>
      </c>
      <c r="C163" s="140" t="str">
        <f>Sites[[#This Row],[SOL'#]]</f>
        <v>SOL-11132</v>
      </c>
      <c r="D163" s="143">
        <v>1239495</v>
      </c>
      <c r="E163" s="14">
        <v>1259795.19</v>
      </c>
      <c r="F163" s="14">
        <f t="shared" si="10"/>
        <v>-20300.189999999944</v>
      </c>
      <c r="G163" s="15">
        <f t="shared" si="11"/>
        <v>-1.6113881177780925E-2</v>
      </c>
      <c r="H163" s="125">
        <v>1339153.7</v>
      </c>
      <c r="I163" s="133">
        <f t="shared" si="12"/>
        <v>-99658.699999999953</v>
      </c>
      <c r="J163" s="15">
        <f t="shared" si="13"/>
        <v>-7.4419164880028296E-2</v>
      </c>
      <c r="K163" s="51"/>
      <c r="L163" s="51"/>
      <c r="M163" s="163"/>
      <c r="N163" s="103"/>
      <c r="O163" s="103"/>
      <c r="P163" s="103"/>
      <c r="Q163" s="103"/>
      <c r="R163" s="103"/>
      <c r="S163" s="103"/>
      <c r="T163" s="103"/>
      <c r="U163" s="103"/>
      <c r="V163" s="103"/>
      <c r="W163" s="103"/>
    </row>
    <row r="164" spans="1:23" ht="15.6">
      <c r="A164" s="24" t="str">
        <v>IL: Marengo - Grant - (PW)</v>
      </c>
      <c r="B164" s="25" t="str">
        <v>IL</v>
      </c>
      <c r="C164" s="25" t="str">
        <f>Sites[[#This Row],[SOL'#]]</f>
        <v>SOL-11147</v>
      </c>
      <c r="D164" s="142">
        <v>499196</v>
      </c>
      <c r="E164" s="141">
        <v>520375.83100000001</v>
      </c>
      <c r="F164" s="10">
        <f t="shared" si="10"/>
        <v>-21179.831000000006</v>
      </c>
      <c r="G164" s="11">
        <f t="shared" si="11"/>
        <v>-4.0701027484883336E-2</v>
      </c>
      <c r="H164" s="146">
        <v>569975.15</v>
      </c>
      <c r="I164" s="132">
        <f t="shared" si="12"/>
        <v>-70779.150000000023</v>
      </c>
      <c r="J164" s="13">
        <f t="shared" si="13"/>
        <v>-0.12417936115285029</v>
      </c>
      <c r="K164" s="53" t="s">
        <v>1900</v>
      </c>
      <c r="L164" s="98" t="s">
        <v>1901</v>
      </c>
      <c r="M164" s="103"/>
      <c r="N164" s="103"/>
      <c r="O164" s="103"/>
      <c r="P164" s="103"/>
      <c r="Q164" s="103"/>
      <c r="R164" s="103"/>
      <c r="S164" s="103"/>
      <c r="T164" s="103"/>
      <c r="U164" s="103"/>
      <c r="V164" s="103"/>
      <c r="W164" s="103"/>
    </row>
    <row r="165" spans="1:23" ht="14.45">
      <c r="A165" s="17" t="str">
        <v>NY: Cambridge - Cambridge (PW)</v>
      </c>
      <c r="B165" s="29" t="str">
        <v>NY</v>
      </c>
      <c r="C165" s="29"/>
      <c r="D165" s="17"/>
      <c r="E165" s="17"/>
      <c r="F165" s="17"/>
      <c r="G165" s="160"/>
      <c r="H165" s="17"/>
      <c r="I165" s="17"/>
      <c r="J165" s="18"/>
      <c r="K165" s="17"/>
      <c r="L165" s="17"/>
    </row>
    <row r="166" spans="1:23" ht="14.45">
      <c r="A166" s="17" t="str">
        <v>NY: Whitesville - Independence North</v>
      </c>
      <c r="B166" s="29" t="str">
        <v>NY</v>
      </c>
      <c r="C166" s="29"/>
      <c r="D166" s="17"/>
      <c r="E166" s="17"/>
      <c r="F166" s="17"/>
      <c r="G166" s="160"/>
      <c r="H166" s="17"/>
      <c r="I166" s="17"/>
      <c r="J166" s="18"/>
      <c r="K166" s="17"/>
      <c r="L166" s="17"/>
    </row>
    <row r="167" spans="1:23" ht="14.45">
      <c r="A167" s="17" t="str">
        <v>IL: Beecher - Cottage Grove North (PW)</v>
      </c>
      <c r="B167" s="29" t="str">
        <v>IL</v>
      </c>
      <c r="C167" s="29"/>
      <c r="D167" s="17"/>
      <c r="E167" s="17"/>
      <c r="F167" s="17"/>
      <c r="G167" s="160"/>
      <c r="H167" s="17"/>
      <c r="I167" s="17"/>
      <c r="J167" s="18"/>
      <c r="K167" s="17"/>
      <c r="L167" s="17"/>
    </row>
    <row r="168" spans="1:23" ht="14.45">
      <c r="A168" s="17" t="str">
        <v>IL: Beecher - Cottage Grove South (PW)</v>
      </c>
      <c r="B168" s="29" t="str">
        <v>IL</v>
      </c>
      <c r="C168" s="29"/>
      <c r="D168" s="17"/>
      <c r="E168" s="17"/>
      <c r="F168" s="17"/>
      <c r="G168" s="160"/>
      <c r="H168" s="17"/>
      <c r="I168" s="17"/>
      <c r="J168" s="18"/>
      <c r="K168" s="17"/>
      <c r="L168" s="17"/>
    </row>
    <row r="169" spans="1:23" ht="14.45">
      <c r="A169" s="17" t="str">
        <v>IL: Harvard - 9618 US HWY 14 (PW)</v>
      </c>
      <c r="B169" s="29" t="str">
        <v>IL</v>
      </c>
      <c r="C169" s="29"/>
      <c r="D169" s="17"/>
      <c r="E169" s="17"/>
      <c r="F169" s="17"/>
      <c r="G169" s="160"/>
      <c r="H169" s="17"/>
      <c r="I169" s="17"/>
      <c r="J169" s="18"/>
      <c r="K169" s="17"/>
      <c r="L169" s="17"/>
    </row>
    <row r="170" spans="1:23" ht="14.45">
      <c r="A170" s="17" t="str">
        <v>IL: Beecher - 701 E Goodenow Rd (PW)</v>
      </c>
      <c r="B170" s="29" t="str">
        <v>IL</v>
      </c>
      <c r="C170" s="29"/>
      <c r="D170" s="17"/>
      <c r="E170" s="17"/>
      <c r="F170" s="17"/>
      <c r="G170" s="160"/>
      <c r="H170" s="17"/>
      <c r="I170" s="17"/>
      <c r="J170" s="18"/>
      <c r="K170" s="17"/>
      <c r="L170" s="17"/>
    </row>
    <row r="171" spans="1:23" ht="14.45">
      <c r="A171" s="17" t="str">
        <v>NY: Stormville - Green Haven - (IRA)</v>
      </c>
      <c r="B171" s="29" t="str">
        <v>NY</v>
      </c>
      <c r="C171" s="29"/>
      <c r="D171" s="17"/>
      <c r="E171" s="17"/>
      <c r="F171" s="17"/>
      <c r="G171" s="160"/>
      <c r="H171" s="17"/>
      <c r="I171" s="17"/>
      <c r="J171" s="18"/>
      <c r="K171" s="17"/>
      <c r="L171" s="17"/>
    </row>
    <row r="172" spans="1:23" ht="14.45">
      <c r="A172" s="17" t="str">
        <v>IL: Hillsboro - Anacott (PW)</v>
      </c>
      <c r="B172" s="29" t="str">
        <v>IL</v>
      </c>
      <c r="C172" s="29"/>
      <c r="D172" s="17"/>
      <c r="E172" s="17"/>
      <c r="F172" s="17"/>
      <c r="G172" s="160"/>
      <c r="H172" s="17"/>
      <c r="I172" s="17"/>
      <c r="J172" s="18"/>
      <c r="K172" s="17"/>
      <c r="L172" s="17"/>
    </row>
    <row r="173" spans="1:23" ht="14.45">
      <c r="A173" s="17" t="str">
        <v>IL: Manhattan - Gougar (PW)</v>
      </c>
      <c r="B173" s="29" t="str">
        <v>IL</v>
      </c>
      <c r="C173" s="29"/>
      <c r="D173" s="17"/>
      <c r="E173" s="17"/>
      <c r="F173" s="17"/>
      <c r="G173" s="160"/>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hyperlinks>
    <hyperlink ref="L4" r:id="rId1" display="https://us3.assetplanner.com/service_request?ID=102152" xr:uid="{E869B4BF-7559-4274-A399-B1566256461F}"/>
    <hyperlink ref="L6" r:id="rId2" display="https://us3.assetplanner.com/service_request?ID=103360" xr:uid="{E29ED3E4-2478-4121-AF7B-9760BADD4456}"/>
    <hyperlink ref="L7" r:id="rId3" display="https://us3.assetplanner.com/service_request?ID=097569" xr:uid="{1CBD3055-2D2F-4CD5-9237-4C53384204B5}"/>
    <hyperlink ref="M7" r:id="rId4" display="https://us3.assetplanner.com/service_request?ID=102535" xr:uid="{901DFC81-2F78-4770-85CC-73003528486E}"/>
    <hyperlink ref="L8" r:id="rId5" display="https://us3.assetplanner.com/service_request?ID=093291" xr:uid="{4E3E216D-7CB9-43D7-8135-27C925818957}"/>
    <hyperlink ref="L12" r:id="rId6" display="https://us3.assetplanner.com/service_request?ID=093633" xr:uid="{26306036-A3A2-4373-80E0-04A68B233825}"/>
    <hyperlink ref="M12" r:id="rId7" display="https://us3.assetplanner.com/service_request?ID=093292" xr:uid="{6364C14A-AF95-4A7F-A0DB-B3E1058837E0}"/>
    <hyperlink ref="L14" r:id="rId8" display="https://us3.assetplanner.com/service_request?ID=093294" xr:uid="{0F62810A-4FDF-4DC5-8FF7-DA9832FBF67C}"/>
    <hyperlink ref="M14" r:id="rId9" display="https://us3.assetplanner.com/service_request?ID=086842" xr:uid="{0F948EE8-CFD2-4264-8B47-16173A7CA54B}"/>
    <hyperlink ref="N14" r:id="rId10" display="https://us3.assetplanner.com/service_request?ID=104856" xr:uid="{28C9F15B-6944-40E5-8A58-9621F3CDC905}"/>
    <hyperlink ref="O14" r:id="rId11" display="https://us3.assetplanner.com/service_request?ID=103245" xr:uid="{2FAF9C71-D135-4A58-963C-503CDA98348F}"/>
    <hyperlink ref="L18" r:id="rId12" display="https://us3.assetplanner.com/service_request?ID=103259" xr:uid="{07C2D304-AEC7-4285-A861-19F67E0F9A3C}"/>
    <hyperlink ref="L20" r:id="rId13" display="https://us3.assetplanner.com/service_request?ID=101786" xr:uid="{DD941538-A2E6-43BF-9D29-4C1C402274AF}"/>
    <hyperlink ref="M20" r:id="rId14" display="https://us3.assetplanner.com/service_request?ID=102902" xr:uid="{397E1329-7B6E-4761-9064-64E2A6B9338F}"/>
    <hyperlink ref="L23" r:id="rId15" display="https://us3.assetplanner.com/service_request?ID=102672" xr:uid="{D1E52BAD-7F94-4C27-A4DF-958B6984B8B3}"/>
    <hyperlink ref="L27" r:id="rId16" display="https://us3.assetplanner.com/service_request?ID=093236" xr:uid="{45E78B42-2D02-471A-82F6-8FC2436D473E}"/>
    <hyperlink ref="L28" r:id="rId17" display="https://us3.assetplanner.com/service_request?ID=102532" xr:uid="{F216C6A3-FD8C-4F7C-B5E6-04963CE0A34F}"/>
    <hyperlink ref="M28" r:id="rId18" display="https://us3.assetplanner.com/service_request?ID=102532" xr:uid="{C03F3AE4-8915-44E3-9483-4FD4DD956A4D}"/>
    <hyperlink ref="L34" r:id="rId19" display="https://us3.assetplanner.com/service_request?ID=088282" xr:uid="{B3067B90-725E-4418-8974-C3A8700FFD2B}"/>
    <hyperlink ref="L35" r:id="rId20" display="https://us3.assetplanner.com/service_request?ID=105502" xr:uid="{0C55BBBE-D66E-4EBE-9C75-48ECA3C26169}"/>
    <hyperlink ref="L38" r:id="rId21" display="https://us3.assetplanner.com/service_request?ID=088813" xr:uid="{8B5B8A8C-FBEC-4A10-BA47-71AD312172A4}"/>
    <hyperlink ref="L39" r:id="rId22" display="https://us3.assetplanner.com/service_request?ID=105544" xr:uid="{B2069B30-0EB1-4390-819D-64CEB411771B}"/>
    <hyperlink ref="L40" r:id="rId23" display="https://us3.assetplanner.com/service_request?ID=093324" xr:uid="{33BA02DB-5632-4ED7-960F-CBC187B7EF24}"/>
    <hyperlink ref="L41" r:id="rId24" display="https://us3.assetplanner.com/service_request?ID=107329" xr:uid="{7175A80A-4CE1-4CEF-B9BE-42FAAA5BEA3C}"/>
    <hyperlink ref="L42" r:id="rId25" display="https://us3.assetplanner.com/service_request?ID=106170" xr:uid="{D273085F-19EC-4521-9074-D1FB5A2C911E}"/>
    <hyperlink ref="M42" r:id="rId26" display="https://us3.assetplanner.com/service_request?ID=106173" xr:uid="{7A56F214-BF4A-4A54-AE44-0DCEF7FB4E3C}"/>
    <hyperlink ref="L43" r:id="rId27" display="https://us3.assetplanner.com/service_request?ID=093326" xr:uid="{B7929F54-F2AC-4362-945D-D1C0D6FC7A5A}"/>
    <hyperlink ref="L47" r:id="rId28" display="https://us3.assetplanner.com/service_request?ID=095662" xr:uid="{AC5DE7F3-D872-450E-B9A7-D3A6382ECCD1}"/>
    <hyperlink ref="L51" r:id="rId29" display="https://us3.assetplanner.com/service_request?ID=105932" xr:uid="{8B73590A-A727-4CC0-BA2C-0CF077B86BE7}"/>
    <hyperlink ref="L52" r:id="rId30" display="https://us3.assetplanner.com/service_request?ID=104744" xr:uid="{A63E02D4-A358-453E-ABB4-E40414D1ACA4}"/>
    <hyperlink ref="L53" r:id="rId31" display="https://us3.assetplanner.com/service_request?ID=105933" xr:uid="{CD1C761B-C979-4E54-873D-18ABACF2F028}"/>
    <hyperlink ref="L54" r:id="rId32" display="https://us3.assetplanner.com/service_request?ID=105525" xr:uid="{981A0355-9DAF-481B-B93F-6B25BAB23DC1}"/>
    <hyperlink ref="M54" r:id="rId33" display="https://us3.assetplanner.com/service_request?ID=106721" xr:uid="{57B93DEB-973A-4404-BE47-C38B9D535BED}"/>
    <hyperlink ref="L56" r:id="rId34" display="https://us3.assetplanner.com/service_request?ID=104403" xr:uid="{43163CF3-3A3A-4DE6-B8EC-71A545ACD18F}"/>
    <hyperlink ref="M56" r:id="rId35" display="https://us3.assetplanner.com/service_request?ID=107039" xr:uid="{184483EE-C0FC-4C9C-83E0-EDB85F4DEBEF}"/>
    <hyperlink ref="L58" r:id="rId36" display="https://us3.assetplanner.com/service_request?ID=105772" xr:uid="{ADE8ADA8-A1D0-416D-B188-05045E064B3C}"/>
    <hyperlink ref="M58" r:id="rId37" display="https://us3.assetplanner.com/service_request?ID=098641" xr:uid="{365A1E17-CD36-4770-A0F6-3687AA9B7F57}"/>
    <hyperlink ref="L59" r:id="rId38" display="https://us3.assetplanner.com/service_request?ID=106726" xr:uid="{8CC78C0B-B1B2-44AE-AD90-F9B93A4DB1D4}"/>
    <hyperlink ref="M59" r:id="rId39" display="https://us3.assetplanner.com/service_request?ID=098641" xr:uid="{A81270F2-FA9F-47DC-B68A-679FCDB2B3A3}"/>
    <hyperlink ref="L60" r:id="rId40" display="https://us3.assetplanner.com/service_request?ID=104724" xr:uid="{A233E939-D386-4543-8DAC-52646E722B5E}"/>
    <hyperlink ref="M60" r:id="rId41" display="https://us3.assetplanner.com/service_request?ID=106386" xr:uid="{45275473-9DA6-456F-8365-0B33ADEA60A0}"/>
    <hyperlink ref="N60" r:id="rId42" display="https://us3.assetplanner.com/service_request?ID=105002" xr:uid="{FFA7A098-2863-4C1A-B45C-4BEF5E17FDE1}"/>
    <hyperlink ref="L61" r:id="rId43" display="https://us3.assetplanner.com/service_request?ID=106732" xr:uid="{AD49F8ED-A49F-49CE-8110-014DE1FDDDE0}"/>
    <hyperlink ref="M61" r:id="rId44" display="https://us3.assetplanner.com/service_request?ID=106732" xr:uid="{F5B0571D-F803-4013-9E91-41E2813E5238}"/>
    <hyperlink ref="L62" r:id="rId45" display="https://us3.assetplanner.com/service_request?ID=105660" xr:uid="{1511C0A5-A14B-46DC-970F-598E3882ED58}"/>
    <hyperlink ref="L63" r:id="rId46" display="https://us3.assetplanner.com/service_request?ID=099403" xr:uid="{3ED9AF45-4005-4513-BC6C-8C00197873F3}"/>
    <hyperlink ref="L65" r:id="rId47" display="https://us3.assetplanner.com/service_request?ID=105475" xr:uid="{E6300EE5-FB8D-4B87-A70C-A8FD7CABF5DC}"/>
    <hyperlink ref="L66" r:id="rId48" display="https://us3.assetplanner.com/service_request?ID=093024" xr:uid="{593EB507-3186-45D0-8098-62A4FB686BA7}"/>
    <hyperlink ref="L69" r:id="rId49" display="https://us3.assetplanner.com/service_request?ID=106735" xr:uid="{D8C2300A-5A3F-46FB-ADD3-330FC75AC1CA}"/>
    <hyperlink ref="M69" r:id="rId50" display="https://us3.assetplanner.com/service_request?ID=105776" xr:uid="{23F1083A-DDE9-4BE7-91D0-11ECFF18CFF3}"/>
    <hyperlink ref="L70" r:id="rId51" display="https://us3.assetplanner.com/service_request?ID=105777" xr:uid="{78960E4C-ACF1-488C-9558-A04D28AA9C24}"/>
    <hyperlink ref="L71" r:id="rId52" display="https://us3.assetplanner.com/service_request?ID=095253" xr:uid="{E9A8CD06-A68C-4FC2-884F-E3749973993A}"/>
    <hyperlink ref="M71" r:id="rId53" display="https://us3.assetplanner.com/service_request?ID=098877" xr:uid="{11901095-8A0D-4E99-8E76-099F32EAE7EE}"/>
    <hyperlink ref="L72" r:id="rId54" display="https://us3.assetplanner.com/service_request?ID=105778" xr:uid="{C56B96CA-2896-43C6-8970-1F878913E936}"/>
    <hyperlink ref="M72" r:id="rId55" display="https://us3.assetplanner.com/service_request?ID=106622" xr:uid="{2FBDECC6-413F-455C-815B-E196D492F252}"/>
    <hyperlink ref="L73" r:id="rId56" display="https://us3.assetplanner.com/service_request?ID=107254" xr:uid="{37028915-A4D4-4CE5-A41D-2ED5439EBCB0}"/>
    <hyperlink ref="M73" r:id="rId57" display="https://us3.assetplanner.com/service_request?ID=107042" xr:uid="{DB24A3B5-73B2-4015-935B-E04841E7DB12}"/>
    <hyperlink ref="N73" r:id="rId58" display="https://us3.assetplanner.com/service_request?ID=106503" xr:uid="{18D4892B-4BE5-476A-A09D-638201A6A0D2}"/>
    <hyperlink ref="O73" r:id="rId59" display="https://us3.assetplanner.com/service_request?ID=105775" xr:uid="{D7301AC3-EB98-4FBA-9D08-BF618605D975}"/>
    <hyperlink ref="L74" r:id="rId60" display="https://us3.assetplanner.com/service_request?ID=107253" xr:uid="{1FEA44E2-9DB6-4B85-9D64-1E985B699679}"/>
    <hyperlink ref="M74" r:id="rId61" display="https://us3.assetplanner.com/service_request?ID=105960" xr:uid="{81FDDE21-9019-455D-A064-3BC5D6069839}"/>
    <hyperlink ref="N74" r:id="rId62" display="https://us3.assetplanner.com/service_request?ID=106340" xr:uid="{24A96736-216B-4B95-A2D2-DEDDF25B9E88}"/>
    <hyperlink ref="O74" r:id="rId63" display="https://us3.assetplanner.com/service_request?ID=107147" xr:uid="{EEA4C324-F8DB-432D-8833-2777C24F508B}"/>
    <hyperlink ref="P74" r:id="rId64" display="https://us3.assetplanner.com/service_request?ID=106786" xr:uid="{91C61938-8AEA-4FF3-BBEB-3638AC6F96DE}"/>
    <hyperlink ref="Q74" r:id="rId65" display="https://us3.assetplanner.com/service_request?ID=105526" xr:uid="{EA650032-5C38-445D-9D3F-5996DC56F380}"/>
    <hyperlink ref="R74" r:id="rId66" display="https://us3.assetplanner.com/service_request?ID=106340" xr:uid="{70891D30-2115-4A6C-A6A4-FF9414A8C1EF}"/>
    <hyperlink ref="S74" r:id="rId67" display="https://us3.assetplanner.com/service_request?ID=106755" xr:uid="{D9C53511-0533-4A19-8CC8-FEE69DBE3608}"/>
    <hyperlink ref="T74" r:id="rId68" display="https://us3.assetplanner.com/service_request?ID=106340" xr:uid="{D8BD57BF-D0E8-4AEC-B47A-FFA7BBE6BDE4}"/>
    <hyperlink ref="U74" r:id="rId69" display="https://us3.assetplanner.com/service_request?ID=106662" xr:uid="{DD0E2218-7B8B-424E-B4C1-2DC5F9367B61}"/>
    <hyperlink ref="V74" r:id="rId70" display="https://us3.assetplanner.com/service_request?ID=106271" xr:uid="{1D1D5C49-5F9C-497A-A11D-F105863665AA}"/>
    <hyperlink ref="W74" r:id="rId71" display="https://us3.assetplanner.com/service_request?ID=106031" xr:uid="{2E32FD7A-C038-4422-9BAE-E00A21DF772D}"/>
    <hyperlink ref="X74" r:id="rId72" display="https://us3.assetplanner.com/service_request?ID=105923" xr:uid="{BBD623B5-7D34-4325-9225-826937C3DC8B}"/>
    <hyperlink ref="Y74" r:id="rId73" display="https://us3.assetplanner.com/service_request?ID=106340" xr:uid="{09ECDCC2-A6D2-43B6-89DB-74098247EEEA}"/>
    <hyperlink ref="Z74" r:id="rId74" display="https://us3.assetplanner.com/service_request?ID=105423" xr:uid="{E12B2FA5-2037-44DB-99FC-E4A0B9E2C918}"/>
    <hyperlink ref="L75" r:id="rId75" display="https://us3.assetplanner.com/service_request?ID=105799" xr:uid="{F5436E35-924D-4A8C-AFA5-EF6E07F81842}"/>
    <hyperlink ref="L76" r:id="rId76" display="https://us3.assetplanner.com/service_request?ID=106209" xr:uid="{E5E29596-86D4-4D84-84E2-DF7CF77A91A1}"/>
    <hyperlink ref="L77" r:id="rId77" display="https://us3.assetplanner.com/service_request?ID=099347" xr:uid="{B168B6C7-8BDA-4147-A8A2-F8A980497E3B}"/>
    <hyperlink ref="M77" r:id="rId78" display="https://us3.assetplanner.com/service_request?ID=101820" xr:uid="{8D18FE59-41DA-4151-A958-FF6F4880B066}"/>
    <hyperlink ref="N77" r:id="rId79" display="https://us3.assetplanner.com/service_request?ID=103655" xr:uid="{65C7809A-CB2C-4574-8819-62B45799AE0F}"/>
    <hyperlink ref="L78" r:id="rId80" display="https://us3.assetplanner.com/service_request?ID=105915" xr:uid="{BF17004B-3DA7-49C3-AF93-6A6D9FC91C0A}"/>
    <hyperlink ref="M78" r:id="rId81" display="https://us3.assetplanner.com/service_request?ID=106037" xr:uid="{608F3DF5-0A99-4B2B-9DA3-010FE61FA683}"/>
    <hyperlink ref="N78" r:id="rId82" display="https://us3.assetplanner.com/service_request?ID=106926" xr:uid="{E76724EB-B80A-485A-A467-1CB8339595B3}"/>
    <hyperlink ref="L79" r:id="rId83" display="https://us3.assetplanner.com/service_request?ID=105775" xr:uid="{A1E4DDBC-EA5A-4A38-A2F0-1AC81EBA414D}"/>
    <hyperlink ref="M79" r:id="rId84" display="https://us3.assetplanner.com/service_request?ID=104674" xr:uid="{B3A810EC-9525-46FC-B0A4-B87015192F27}"/>
    <hyperlink ref="L80" r:id="rId85" display="https://us3.assetplanner.com/service_request?ID=105048" xr:uid="{30442E08-980D-43C5-BFB8-B9900D920840}"/>
    <hyperlink ref="L81" r:id="rId86" display="https://us3.assetplanner.com/service_request?ID=105049" xr:uid="{52506854-9F93-46AE-806C-29CBCDE9E634}"/>
    <hyperlink ref="M81" r:id="rId87" display="https://us3.assetplanner.com/service_request?ID=106574" xr:uid="{8674A393-5AF3-4755-B07E-F6A63323F191}"/>
    <hyperlink ref="N81" r:id="rId88" display="https://us3.assetplanner.com/service_request?ID=105649" xr:uid="{F37D35F1-A771-49CD-91CC-DD039D6F058B}"/>
    <hyperlink ref="L82" r:id="rId89" display="https://us3.assetplanner.com/service_request?ID=106194" xr:uid="{7184AE9E-B199-4BD1-88AB-67E824B2EC18}"/>
    <hyperlink ref="M82" r:id="rId90" display="https://us3.assetplanner.com/service_request?ID=106923" xr:uid="{A6D72D78-E605-424D-956E-EF096FC8B3D3}"/>
    <hyperlink ref="N82" r:id="rId91" display="https://us3.assetplanner.com/service_request?ID=107234" xr:uid="{AC81D35C-7491-4D9E-96EC-F62C2B5A3198}"/>
    <hyperlink ref="L83" r:id="rId92" display="https://us3.assetplanner.com/service_request?ID=106924" xr:uid="{FC853867-33DF-4852-9A3A-A09D506EDAFE}"/>
    <hyperlink ref="M83" r:id="rId93" display="https://us3.assetplanner.com/service_request?ID=107236" xr:uid="{7A5571A8-4B46-47A6-ABD9-3D2700B16470}"/>
    <hyperlink ref="N83" r:id="rId94" display="https://us3.assetplanner.com/service_request?ID=106195" xr:uid="{40B362C3-C0E1-40BE-856A-0D51433ED321}"/>
    <hyperlink ref="L86" r:id="rId95" display="https://us3.assetplanner.com/service_request?ID=106192" xr:uid="{E6C3F1C6-EBF7-440A-9A7C-64713D4705AF}"/>
    <hyperlink ref="M86" r:id="rId96" display="https://us3.assetplanner.com/service_request?ID=106797" xr:uid="{09CBDFFE-4D0F-4D9C-B086-861442DC54F0}"/>
    <hyperlink ref="N86" r:id="rId97" display="https://us3.assetplanner.com/service_request?ID=107188" xr:uid="{E377893E-6276-47C7-B3F7-6C5A109A5FE5}"/>
    <hyperlink ref="L87" r:id="rId98" display="https://us3.assetplanner.com/service_request?ID=106193" xr:uid="{BE202800-103B-4CB9-BE27-2415FA6DA439}"/>
    <hyperlink ref="M87" r:id="rId99" display="https://us3.assetplanner.com/service_request?ID=106920" xr:uid="{84FE4F2C-87BE-4467-A0FB-05927EE44F29}"/>
    <hyperlink ref="L89" r:id="rId100" display="https://us3.assetplanner.com/service_request?ID=105728" xr:uid="{88C08B2C-DF8A-4AD8-8758-6E5FF6C11E27}"/>
    <hyperlink ref="L91" r:id="rId101" display="https://us3.assetplanner.com/service_request?ID=104383" xr:uid="{EF3DD9B1-B719-4D72-9207-6A01707520B5}"/>
    <hyperlink ref="M91" r:id="rId102" display="https://us3.assetplanner.com/service_request?ID=105857" xr:uid="{B41D3D38-21AB-426F-977B-1E6D7A66A2D7}"/>
    <hyperlink ref="N91" r:id="rId103" display="https://us3.assetplanner.com/service_request?ID=106643" xr:uid="{7940AF56-84FD-4923-AA1C-C19369730760}"/>
    <hyperlink ref="O91" r:id="rId104" display="https://us3.assetplanner.com/service_request?ID=106843" xr:uid="{A1A94E2F-D33C-45C0-9C8D-AC2CC791AE88}"/>
    <hyperlink ref="P91" r:id="rId105" display="https://us3.assetplanner.com/service_request?ID=106934" xr:uid="{06571447-E6F3-4D82-943B-9CA025D8814B}"/>
    <hyperlink ref="L92" r:id="rId106" display="https://us3.assetplanner.com/service_request?ID=105180" xr:uid="{FBE683B9-2BAA-4BDF-948E-C5B789FA2D76}"/>
    <hyperlink ref="L93" r:id="rId107" display="https://us3.assetplanner.com/service_request?ID=105779" xr:uid="{6BEB816B-D2ED-42FB-AC41-5AB86CF17884}"/>
    <hyperlink ref="M93" r:id="rId108" display="https://us3.assetplanner.com/service_request?ID=106925" xr:uid="{0F6CB6E2-D822-4BEC-B42E-AEB1DE8D4808}"/>
    <hyperlink ref="N93" r:id="rId109" display="https://us3.assetplanner.com/service_request?ID=107064" xr:uid="{448A3D7D-4037-4AF6-BA39-2C0DA15318F3}"/>
    <hyperlink ref="O93" r:id="rId110" display="https://us3.assetplanner.com/service_request?ID=107142" xr:uid="{54476570-59AD-4F1E-8027-3C9C6F4C8185}"/>
    <hyperlink ref="L95" r:id="rId111" display="https://us3.assetplanner.com/service_request?ID=105938" xr:uid="{B50005AF-C0F4-468A-BCFF-096006A37B52}"/>
    <hyperlink ref="L97" r:id="rId112" display="https://us3.assetplanner.com/service_request?ID=101152" xr:uid="{65DFCB6C-5D9F-46C9-859D-BC3BDD9C9BDE}"/>
    <hyperlink ref="L99" r:id="rId113" display="https://us3.assetplanner.com/service_request?ID=105450" xr:uid="{8820B8FC-6893-4ED2-800F-842C9642EFCB}"/>
    <hyperlink ref="M99" r:id="rId114" display="https://us3.assetplanner.com/service_request?ID=106428" xr:uid="{915B3A17-A279-46DB-85FF-16043FF0A961}"/>
    <hyperlink ref="N99" r:id="rId115" display="https://us3.assetplanner.com/service_request?ID=106658" xr:uid="{A393C940-04C3-4830-80A6-57867969089B}"/>
    <hyperlink ref="L100" r:id="rId116" display="https://us3.assetplanner.com/service_request?ID=104691" xr:uid="{DFC5714D-810A-495B-8011-5E7B7A0DFE0F}"/>
    <hyperlink ref="L101" r:id="rId117" display="https://us3.assetplanner.com/service_request?ID=102328" xr:uid="{DFB2D443-5C41-4242-973D-8DAAA9DD1F08}"/>
    <hyperlink ref="L103" r:id="rId118" display="https://us3.assetplanner.com/service_request?ID=105474" xr:uid="{68FBE88A-BEEE-457B-BE51-2C4CC352F3E7}"/>
    <hyperlink ref="M103" r:id="rId119" display="https://us3.assetplanner.com/service_request?ID=106767" xr:uid="{CA5F1A4F-0E38-4CFC-8F33-079EED7191E2}"/>
    <hyperlink ref="L105" r:id="rId120" display="https://us3.assetplanner.com/service_request?ID=106794" xr:uid="{5B35A437-B811-42FE-8041-F4C16BD438FC}"/>
    <hyperlink ref="L106" r:id="rId121" display="https://us3.assetplanner.com/service_request?ID=104075" xr:uid="{EFE3DD68-F74A-45D8-B1D5-32D533CF872C}"/>
    <hyperlink ref="L108" r:id="rId122" display="https://us3.assetplanner.com/service_request?ID=105283" xr:uid="{0298C5FB-2758-4817-A010-6A8D8CD114E3}"/>
    <hyperlink ref="M108" r:id="rId123" display="https://us3.assetplanner.com/service_request?ID=106058" xr:uid="{A7A6BB66-7CDF-4B9A-88E3-9F354F78A2A5}"/>
    <hyperlink ref="L109" r:id="rId124" display="https://us3.assetplanner.com/service_request?ID=103685" xr:uid="{D6BFA5DC-0800-47E1-9546-287A42BAAB4D}"/>
    <hyperlink ref="L110" r:id="rId125" display="https://us3.assetplanner.com/service_request?ID=105964" xr:uid="{063B9726-ED3B-4F1B-9CA1-13CA3E5FB80D}"/>
    <hyperlink ref="M110" r:id="rId126" display="https://us3.assetplanner.com/service_request?ID=106921" xr:uid="{D0B67AFA-4725-430F-8B67-C032FDC06554}"/>
    <hyperlink ref="L111" r:id="rId127" display="https://us3.assetplanner.com/service_request?ID=105637" xr:uid="{1BDFAAF0-A6A5-4221-BFF6-B3C2D5D050F4}"/>
    <hyperlink ref="M111" r:id="rId128" display="https://us3.assetplanner.com/service_request?ID=106985" xr:uid="{3CFF2352-E708-4EC2-9D53-7C72B3C0138A}"/>
    <hyperlink ref="N111" r:id="rId129" display="https://us3.assetplanner.com/service_request?ID=105305" xr:uid="{DFDF6757-7A20-4B6B-A02D-9F465042ABCF}"/>
    <hyperlink ref="O111" r:id="rId130" display="https://us3.assetplanner.com/service_request?ID=106002" xr:uid="{50BC8735-E5EB-4508-85FA-0C33BAE24F6E}"/>
    <hyperlink ref="P111" r:id="rId131" display="https://us3.assetplanner.com/service_request?ID=106164" xr:uid="{1B580970-0D99-4DBC-9CCF-7822208719C0}"/>
    <hyperlink ref="L112" r:id="rId132" display="https://us3.assetplanner.com/service_request?ID=099686" xr:uid="{9056C5CE-B077-4F71-A217-7A4DDA061EE9}"/>
    <hyperlink ref="L113" r:id="rId133" display="https://us3.assetplanner.com/service_request?ID=098860" xr:uid="{59E88A0B-190B-467A-8864-BE1B6F001367}"/>
    <hyperlink ref="L114" r:id="rId134" display="https://us3.assetplanner.com/service_request?ID=097454" xr:uid="{4115A9C0-ABF7-404E-920B-B42CF6F65388}"/>
    <hyperlink ref="M114" r:id="rId135" display="https://us3.assetplanner.com/service_request?ID=106501" xr:uid="{BBE96BBC-26C1-4C66-A33E-1A8526D4432E}"/>
    <hyperlink ref="N114" r:id="rId136" display="https://us3.assetplanner.com/service_request?ID=103824" xr:uid="{2C20561F-DDD1-4E99-8B24-3B1265FD4AE1}"/>
    <hyperlink ref="L115" r:id="rId137" display="https://us3.assetplanner.com/service_request?ID=104633" xr:uid="{238B247B-77EA-4335-BB4F-4286CBC81CD1}"/>
    <hyperlink ref="L116" r:id="rId138" display="https://us3.assetplanner.com/service_request?ID=105543" xr:uid="{A73BDA20-DB4F-4AFA-BAB7-9FA762845B26}"/>
    <hyperlink ref="M116" r:id="rId139" display="https://us3.assetplanner.com/service_request?ID=106211" xr:uid="{929D3D76-D0E5-4A1A-85BB-BB96DA59F349}"/>
    <hyperlink ref="N116" r:id="rId140" display="https://us3.assetplanner.com/service_request?ID=106418" xr:uid="{2163696D-69A1-4859-B862-309E682C90A1}"/>
    <hyperlink ref="O116" r:id="rId141" display="https://us3.assetplanner.com/service_request?ID=106495" xr:uid="{AEC2ADD2-8758-43FB-BB9F-0852700CDCB7}"/>
    <hyperlink ref="P116" r:id="rId142" display="https://us3.assetplanner.com/service_request?ID=107013" xr:uid="{FC2499E0-491B-4222-90CD-59CB594844C8}"/>
    <hyperlink ref="L117" r:id="rId143" display="https://us3.assetplanner.com/service_request?ID=106766" xr:uid="{1D17D484-D64B-4E3C-8D66-C8D7507182A6}"/>
    <hyperlink ref="L120" r:id="rId144" display="https://us3.assetplanner.com/service_request?ID=105304" xr:uid="{9165844E-0447-4828-A307-CDA323688D4B}"/>
    <hyperlink ref="L121" r:id="rId145" display="https://us3.assetplanner.com/service_request?ID=105307" xr:uid="{435CDB25-618A-4E78-9692-C8FFB1E197D4}"/>
    <hyperlink ref="L125" r:id="rId146" display="https://us3.assetplanner.com/service_request?ID=105865" xr:uid="{1B81CC2D-44F7-43B2-8311-A47691A91248}"/>
    <hyperlink ref="L132" r:id="rId147" display="https://us3.assetplanner.com/service_request?ID=103141" xr:uid="{F3044ACA-DC41-4AFF-8D78-A12F2CA7AC60}"/>
    <hyperlink ref="L133" r:id="rId148" display="https://us3.assetplanner.com/service_request?ID=103710" xr:uid="{12A4EBBA-0C34-473E-B660-65038ABE2290}"/>
    <hyperlink ref="M133" r:id="rId149" display="https://us3.assetplanner.com/service_request?ID=103871" xr:uid="{DCC64329-5DCA-481C-8528-7605E5192577}"/>
    <hyperlink ref="L138" r:id="rId150" display="https://us3.assetplanner.com/service_request?ID=103361" xr:uid="{F8F6A7C6-2677-4E6B-A4F6-7B86405CEC87}"/>
    <hyperlink ref="L139" r:id="rId151" display="https://us3.assetplanner.com/service_request?ID=106530" xr:uid="{729FDEDA-348F-40A8-B5D3-A4EA4DDAAACF}"/>
    <hyperlink ref="L140" r:id="rId152" display="https://us3.assetplanner.com/service_request?ID=103641" xr:uid="{62FF02A8-381C-4017-8005-76AE0D69B43E}"/>
    <hyperlink ref="M140" r:id="rId153" display="https://us3.assetplanner.com/service_request?ID=105731" xr:uid="{B9CD8E75-7398-4B34-BCA1-64027A048E90}"/>
    <hyperlink ref="N140" r:id="rId154" display="https://us3.assetplanner.com/service_request?ID=105732" xr:uid="{DB3395F8-C9BD-4531-80D3-2DEE2BACBCD2}"/>
    <hyperlink ref="O140" r:id="rId155" display="https://us3.assetplanner.com/service_request?ID=106387" xr:uid="{959CDCA2-4F7C-4943-9F0F-44DE5B4C3B4D}"/>
    <hyperlink ref="L141" r:id="rId156" display="https://us3.assetplanner.com/service_request?ID=103246" xr:uid="{71D0E875-F837-4F0E-962A-14B7A077029E}"/>
    <hyperlink ref="L144" r:id="rId157" display="https://us3.assetplanner.com/service_request?ID=100220" xr:uid="{5BC3751B-227D-45BD-B350-CA80985C6338}"/>
    <hyperlink ref="M144" r:id="rId158" display="https://us3.assetplanner.com/service_request?ID=106493" xr:uid="{2379ADA0-BC23-4B69-A8C3-988588E92E10}"/>
    <hyperlink ref="L145" r:id="rId159" display="https://us3.assetplanner.com/service_request?ID=107059" xr:uid="{165D3C47-7261-4411-9D25-6CBCB40181DE}"/>
    <hyperlink ref="L146" r:id="rId160" display="https://us3.assetplanner.com/service_request?ID=105922" xr:uid="{2F9F7921-CB21-4798-AD46-9D27CBF233D1}"/>
    <hyperlink ref="M146" r:id="rId161" display="https://us3.assetplanner.com/service_request?ID=106486" xr:uid="{E751479A-DE1B-4DB4-848F-EC17CBF5FC7A}"/>
    <hyperlink ref="N146" r:id="rId162" display="https://us3.assetplanner.com/service_request?ID=106986" xr:uid="{084DF751-2272-4164-A42F-7BC5D8966FAC}"/>
    <hyperlink ref="L147" r:id="rId163" display="https://us3.assetplanner.com/service_request?ID=104292" xr:uid="{448A11DE-7E42-433A-BE2E-4BCD2E54F978}"/>
    <hyperlink ref="M147" r:id="rId164" display="https://us3.assetplanner.com/service_request?ID=107019" xr:uid="{81F4159D-AF1D-4603-B3C8-67513994963C}"/>
    <hyperlink ref="L148" r:id="rId165" display="https://us3.assetplanner.com/service_request?ID=106630" xr:uid="{A81B7531-535A-456A-BEC9-2B6E4F97F1BE}"/>
    <hyperlink ref="L149" r:id="rId166" display="https://us3.assetplanner.com/service_request?ID=105531" xr:uid="{9CF7E4AE-C8FC-46B4-9223-48B2EA5C33D1}"/>
    <hyperlink ref="L151" r:id="rId167" display="https://us3.assetplanner.com/service_request?ID=101228" xr:uid="{E2CFC66F-7A00-4700-A2EB-ECD9DDAD275E}"/>
    <hyperlink ref="M151" r:id="rId168" display="https://us3.assetplanner.com/service_request?ID=106480" xr:uid="{8D928F87-A964-47A4-BB30-A24C765A6222}"/>
    <hyperlink ref="N151" r:id="rId169" display="https://us3.assetplanner.com/service_request?ID=106626" xr:uid="{8B612EBB-7988-46AB-855C-E44B9F077FE4}"/>
    <hyperlink ref="L152" r:id="rId170" display="https://us3.assetplanner.com/service_request?ID=098278" xr:uid="{F25CB50F-64AE-4DB3-BA6A-DAEDE9C90307}"/>
    <hyperlink ref="M152" r:id="rId171" display="https://us3.assetplanner.com/service_request?ID=098670" xr:uid="{A98B265A-3783-4A3A-8E74-8614F743FFF9}"/>
    <hyperlink ref="L153" r:id="rId172" display="https://us3.assetplanner.com/service_request?ID=105354" xr:uid="{EBBBBA64-664A-4515-B33A-3489D82BDEA8}"/>
    <hyperlink ref="M153" r:id="rId173" display="https://us3.assetplanner.com/service_request?ID=105433" xr:uid="{BCDD7EF4-FB49-4343-AB56-23B8E7F70D36}"/>
    <hyperlink ref="N153" r:id="rId174" display="https://us3.assetplanner.com/service_request?ID=105530" xr:uid="{F1C657A7-30E3-498D-8DB2-62CC07D101C3}"/>
    <hyperlink ref="L154" r:id="rId175" display="https://us3.assetplanner.com/service_request?ID=106471" xr:uid="{1EBF46C2-31E2-41B2-80FD-20853E94C19D}"/>
    <hyperlink ref="L156" r:id="rId176" display="https://us3.assetplanner.com/service_request?ID=105284" xr:uid="{9765BA83-E01B-404E-B145-44E2E3B4614E}"/>
    <hyperlink ref="L157" r:id="rId177" display="https://us3.assetplanner.com/service_request?ID=106448" xr:uid="{47D57285-3CE1-4A65-B9BC-0EC4BE15C54C}"/>
    <hyperlink ref="L158" r:id="rId178" display="https://us3.assetplanner.com/service_request?ID=105769" xr:uid="{6534DBFA-8166-4D92-947F-A47B1673F5C5}"/>
    <hyperlink ref="M158" r:id="rId179" display="https://us3.assetplanner.com/service_request?ID=106769" xr:uid="{E86351A8-970A-424D-9DB4-A6744BED62B6}"/>
    <hyperlink ref="L160" r:id="rId180" display="https://us3.assetplanner.com/service_request?ID=100771" xr:uid="{1B4E6F14-5A8F-4442-B714-92EEB8C5E516}"/>
    <hyperlink ref="M160" r:id="rId181" display="https://us3.assetplanner.com/service_request?ID=107263" xr:uid="{A1CB789F-59ED-4DC0-BB68-789C62A9A7DB}"/>
    <hyperlink ref="L162" r:id="rId182" display="https://us3.assetplanner.com/service_request?ID=106749" xr:uid="{43304AB5-76A7-42CC-86A7-9504D1F41D81}"/>
    <hyperlink ref="M162" r:id="rId183" display="https://us3.assetplanner.com/service_request?ID=106773" xr:uid="{9532A612-039F-4235-BEB3-C1E79FE87A9B}"/>
    <hyperlink ref="N162" r:id="rId184" display="https://us3.assetplanner.com/service_request?ID=107225" xr:uid="{56F77FA5-1765-4D0B-9E9A-B018D7AFD0B5}"/>
    <hyperlink ref="L164" r:id="rId185" display="https://us3.assetplanner.com/service_request?ID=107245" xr:uid="{0E408221-2ECD-429B-AD12-26D564AFA0BF}"/>
  </hyperlinks>
  <pageMargins left="0.4" right="0.7" top="0.25" bottom="0.25" header="0.3" footer="0.3"/>
  <pageSetup fitToHeight="99" orientation="landscape" r:id="rId18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3"/>
  <sheetViews>
    <sheetView zoomScale="60" zoomScaleNormal="60" workbookViewId="0">
      <pane xSplit="2" ySplit="3" topLeftCell="K158" activePane="bottomRight" state="frozen"/>
      <selection pane="bottomRight" activeCell="A4" sqref="A4:A16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3" customWidth="1"/>
    <col min="12" max="12" width="20.5703125" style="103" bestFit="1" customWidth="1"/>
    <col min="13" max="28" width="8.85546875" style="103"/>
  </cols>
  <sheetData>
    <row r="1" spans="1:15" ht="19.5" customHeight="1">
      <c r="A1" s="192" t="str" cm="1">
        <f t="array" ref="A1">portfolio</f>
        <v>Generate Capital</v>
      </c>
      <c r="B1" s="192"/>
      <c r="C1" s="192"/>
      <c r="D1" s="192"/>
      <c r="E1" s="193" t="s">
        <v>1902</v>
      </c>
      <c r="F1" s="193"/>
      <c r="G1" s="193"/>
      <c r="H1" s="191" t="s">
        <v>1903</v>
      </c>
      <c r="I1" s="191"/>
      <c r="J1" s="191"/>
      <c r="K1" s="168"/>
      <c r="L1" s="168"/>
    </row>
    <row r="2" spans="1:15" ht="19.5" customHeight="1">
      <c r="A2" s="194" t="s">
        <v>2</v>
      </c>
      <c r="B2" s="194"/>
      <c r="C2" s="57"/>
      <c r="D2" s="5">
        <f>SUM(D4:D272)</f>
        <v>46243954.249999993</v>
      </c>
      <c r="E2" s="5">
        <f>SUM(E4:E200)</f>
        <v>40838857.247999996</v>
      </c>
      <c r="F2" s="5">
        <f>D2-E2</f>
        <v>5405097.0019999966</v>
      </c>
      <c r="G2" s="6">
        <f>IFERROR(F2/E2, 0)</f>
        <v>0.13235181800452314</v>
      </c>
      <c r="H2" s="5">
        <f>SUM(H4:H172)</f>
        <v>41547617.911999993</v>
      </c>
      <c r="I2" s="7">
        <f>D2-H2</f>
        <v>4696336.3379999995</v>
      </c>
      <c r="J2" s="6">
        <f>IFERROR(I2/H2, 0)</f>
        <v>0.11303503242826299</v>
      </c>
      <c r="K2" s="169"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68"/>
    </row>
    <row r="3" spans="1:15" ht="14.25" customHeight="1">
      <c r="A3" s="8" t="s">
        <v>3</v>
      </c>
      <c r="B3" s="8" t="s">
        <v>4</v>
      </c>
      <c r="C3" s="8" t="s">
        <v>5</v>
      </c>
      <c r="D3" s="19" t="s">
        <v>6</v>
      </c>
      <c r="E3" s="31" t="s">
        <v>7</v>
      </c>
      <c r="F3" s="31" t="s">
        <v>8</v>
      </c>
      <c r="G3" s="32" t="s">
        <v>9</v>
      </c>
      <c r="H3" s="33" t="s">
        <v>10</v>
      </c>
      <c r="I3" s="34" t="s">
        <v>8</v>
      </c>
      <c r="J3" s="35" t="s">
        <v>9</v>
      </c>
      <c r="K3" s="170" t="s">
        <v>21</v>
      </c>
      <c r="L3" s="170" t="s">
        <v>22</v>
      </c>
    </row>
    <row r="4" spans="1:15" ht="15.6">
      <c r="A4" s="28" t="str" cm="1">
        <f t="array" ref="A4:A173">Sites[Site]</f>
        <v>K026</v>
      </c>
      <c r="B4" s="25" t="str" cm="1">
        <f t="array" ref="B4:B173">Sites[State]</f>
        <v>NY</v>
      </c>
      <c r="C4" s="25" t="str">
        <f>Sites[[#This Row],[SOL'#]]</f>
        <v>SOL-10356</v>
      </c>
      <c r="D4" s="20">
        <v>20034</v>
      </c>
      <c r="E4" s="10">
        <v>32719.934000000001</v>
      </c>
      <c r="F4" s="10">
        <f>IF(AND(ISNUMBER(D4),ISNUMBER(E4)), D4-E4, "")</f>
        <v>-12685.934000000001</v>
      </c>
      <c r="G4" s="11">
        <f>IFERROR(F4/E4, "")</f>
        <v>-0.3877127013764759</v>
      </c>
      <c r="H4" s="12">
        <v>29140.105</v>
      </c>
      <c r="I4" s="12">
        <f>IF(AND(ISNUMBER(D4),ISNUMBER(H4)), D4-H4, "")</f>
        <v>-9106.1049999999996</v>
      </c>
      <c r="J4" s="13">
        <f>IFERROR(I4/H4, "")</f>
        <v>-0.3124938980144375</v>
      </c>
      <c r="K4" s="53" t="s">
        <v>1904</v>
      </c>
      <c r="L4" s="98" t="s">
        <v>1905</v>
      </c>
    </row>
    <row r="5" spans="1:15" ht="15.6">
      <c r="A5" s="26" t="str">
        <v>K041</v>
      </c>
      <c r="B5" s="27" t="str">
        <v>NY</v>
      </c>
      <c r="C5" s="27" t="str">
        <f>Sites[[#This Row],[SOL'#]]</f>
        <v>SOL-10357</v>
      </c>
      <c r="D5" s="9">
        <v>22897.875</v>
      </c>
      <c r="E5" s="14">
        <v>26147.875</v>
      </c>
      <c r="F5" s="14">
        <f t="shared" ref="F5:F68" si="0">IF(AND(ISNUMBER(D5),ISNUMBER(E5)), D5-E5, "")</f>
        <v>-3250</v>
      </c>
      <c r="G5" s="15">
        <f>IFERROR(F5/E5, "")</f>
        <v>-0.12429308308992605</v>
      </c>
      <c r="H5" s="16">
        <v>23136</v>
      </c>
      <c r="I5" s="16">
        <f t="shared" ref="I5:I68" si="1">IF(AND(ISNUMBER(D5),ISNUMBER(H5)), D5-H5, "")</f>
        <v>-238.125</v>
      </c>
      <c r="J5" s="15">
        <f t="shared" ref="J5:J68" si="2">IFERROR(I5/H5, "")</f>
        <v>-1.0292401452282158E-2</v>
      </c>
      <c r="K5" s="51"/>
      <c r="L5" s="51"/>
    </row>
    <row r="6" spans="1:15" ht="43.15">
      <c r="A6" s="24" t="str">
        <v>K043</v>
      </c>
      <c r="B6" s="25" t="str">
        <v>NY</v>
      </c>
      <c r="C6" s="25" t="str">
        <f>Sites[[#This Row],[SOL'#]]</f>
        <v>SOL-10358</v>
      </c>
      <c r="D6" s="20">
        <v>28120.125</v>
      </c>
      <c r="E6" s="10">
        <v>29339.769</v>
      </c>
      <c r="F6" s="10">
        <f t="shared" si="0"/>
        <v>-1219.6440000000002</v>
      </c>
      <c r="G6" s="11">
        <f t="shared" ref="G6:G17" si="3">IFERROR(F6/E6, "")</f>
        <v>-4.1569652440003879E-2</v>
      </c>
      <c r="H6" s="12">
        <v>5129</v>
      </c>
      <c r="I6" s="12">
        <f t="shared" si="1"/>
        <v>22991.125</v>
      </c>
      <c r="J6" s="13">
        <f t="shared" si="2"/>
        <v>4.4825745759407294</v>
      </c>
      <c r="K6" s="53" t="s">
        <v>1906</v>
      </c>
      <c r="L6" s="98" t="s">
        <v>1907</v>
      </c>
    </row>
    <row r="7" spans="1:15" ht="15.6">
      <c r="A7" s="26" t="str">
        <v>K058</v>
      </c>
      <c r="B7" s="27" t="str">
        <v>NY</v>
      </c>
      <c r="C7" s="27" t="str">
        <f>Sites[[#This Row],[SOL'#]]</f>
        <v>SOL-10360</v>
      </c>
      <c r="D7" s="9">
        <v>22120.812999999998</v>
      </c>
      <c r="E7" s="14">
        <v>22796.144</v>
      </c>
      <c r="F7" s="14">
        <f t="shared" si="0"/>
        <v>-675.33100000000195</v>
      </c>
      <c r="G7" s="15">
        <f t="shared" si="3"/>
        <v>-2.9624790929553786E-2</v>
      </c>
      <c r="H7" s="16">
        <v>21889.192999999999</v>
      </c>
      <c r="I7" s="16">
        <f t="shared" si="1"/>
        <v>231.61999999999898</v>
      </c>
      <c r="J7" s="15">
        <f t="shared" si="2"/>
        <v>1.0581477352773991E-2</v>
      </c>
      <c r="K7" s="51"/>
      <c r="L7" s="52"/>
    </row>
    <row r="8" spans="1:15" ht="28.9">
      <c r="A8" s="24" t="str">
        <v>K115</v>
      </c>
      <c r="B8" s="25" t="str">
        <v>NY</v>
      </c>
      <c r="C8" s="25" t="str">
        <f>Sites[[#This Row],[SOL'#]]</f>
        <v>SOL-10361</v>
      </c>
      <c r="D8" s="20">
        <v>12486.703</v>
      </c>
      <c r="E8" s="10">
        <v>14691.922</v>
      </c>
      <c r="F8" s="10">
        <f t="shared" si="0"/>
        <v>-2205.219000000001</v>
      </c>
      <c r="G8" s="11">
        <f t="shared" si="3"/>
        <v>-0.15009738004326464</v>
      </c>
      <c r="H8" s="12">
        <v>13101.525</v>
      </c>
      <c r="I8" s="12">
        <f t="shared" si="1"/>
        <v>-614.82200000000012</v>
      </c>
      <c r="J8" s="13">
        <f t="shared" si="2"/>
        <v>-4.6927514163427553E-2</v>
      </c>
      <c r="K8" s="53" t="s">
        <v>1908</v>
      </c>
      <c r="L8" s="98" t="s">
        <v>25</v>
      </c>
    </row>
    <row r="9" spans="1:15" ht="15.6">
      <c r="A9" s="26" t="str">
        <v>K152</v>
      </c>
      <c r="B9" s="27" t="str">
        <v>NY</v>
      </c>
      <c r="C9" s="27" t="str">
        <f>Sites[[#This Row],[SOL'#]]</f>
        <v>SOL-10362</v>
      </c>
      <c r="D9" s="9">
        <v>8545.1880000000001</v>
      </c>
      <c r="E9" s="14">
        <v>8860.98</v>
      </c>
      <c r="F9" s="14">
        <f t="shared" si="0"/>
        <v>-315.79199999999946</v>
      </c>
      <c r="G9" s="15">
        <f t="shared" si="3"/>
        <v>-3.5638495967714574E-2</v>
      </c>
      <c r="H9" s="16">
        <v>8454</v>
      </c>
      <c r="I9" s="16">
        <f t="shared" si="1"/>
        <v>91.188000000000102</v>
      </c>
      <c r="J9" s="15">
        <f t="shared" si="2"/>
        <v>1.0786373314407393E-2</v>
      </c>
      <c r="K9" s="51"/>
      <c r="L9" s="52"/>
    </row>
    <row r="10" spans="1:15" ht="15.6">
      <c r="A10" s="24" t="str">
        <v>K166</v>
      </c>
      <c r="B10" s="25" t="str">
        <v>NY</v>
      </c>
      <c r="C10" s="25" t="str">
        <f>Sites[[#This Row],[SOL'#]]</f>
        <v>SOL-10363</v>
      </c>
      <c r="D10" s="20">
        <v>26930.25</v>
      </c>
      <c r="E10" s="10">
        <v>33458.021000000001</v>
      </c>
      <c r="F10" s="10">
        <f t="shared" si="0"/>
        <v>-6527.7710000000006</v>
      </c>
      <c r="G10" s="11">
        <f t="shared" si="3"/>
        <v>-0.19510332066561858</v>
      </c>
      <c r="H10" s="12">
        <v>30858.886999999999</v>
      </c>
      <c r="I10" s="12">
        <f t="shared" si="1"/>
        <v>-3928.6369999999988</v>
      </c>
      <c r="J10" s="13">
        <f t="shared" si="2"/>
        <v>-0.12730974386730146</v>
      </c>
      <c r="K10" s="53" t="s">
        <v>1909</v>
      </c>
      <c r="L10" s="98" t="s">
        <v>1910</v>
      </c>
    </row>
    <row r="11" spans="1:15" ht="15.6">
      <c r="A11" s="26" t="str">
        <v>K206</v>
      </c>
      <c r="B11" s="27" t="str">
        <v>NY</v>
      </c>
      <c r="C11" s="27" t="str">
        <f>Sites[[#This Row],[SOL'#]]</f>
        <v>SOL-10927</v>
      </c>
      <c r="D11" s="9">
        <v>18832.75</v>
      </c>
      <c r="E11" s="14">
        <v>17073.18</v>
      </c>
      <c r="F11" s="14">
        <f t="shared" si="0"/>
        <v>1759.5699999999997</v>
      </c>
      <c r="G11" s="15">
        <f t="shared" si="3"/>
        <v>0.10306047262431484</v>
      </c>
      <c r="H11" s="16">
        <v>17056</v>
      </c>
      <c r="I11" s="16">
        <f t="shared" si="1"/>
        <v>1776.75</v>
      </c>
      <c r="J11" s="15">
        <f t="shared" si="2"/>
        <v>0.10417155253283301</v>
      </c>
      <c r="K11" s="51"/>
      <c r="L11" s="51"/>
    </row>
    <row r="12" spans="1:15" ht="43.15">
      <c r="A12" s="24" t="str">
        <v>K251</v>
      </c>
      <c r="B12" s="25" t="str">
        <v>NY</v>
      </c>
      <c r="C12" s="25" t="str">
        <f>Sites[[#This Row],[SOL'#]]</f>
        <v>SOL-10365</v>
      </c>
      <c r="D12" s="20">
        <v>20008.375</v>
      </c>
      <c r="E12" s="10">
        <v>0</v>
      </c>
      <c r="F12" s="10">
        <f t="shared" si="0"/>
        <v>20008.375</v>
      </c>
      <c r="G12" s="11" t="str">
        <f t="shared" si="3"/>
        <v/>
      </c>
      <c r="H12" s="12">
        <v>19826.177</v>
      </c>
      <c r="I12" s="12">
        <f t="shared" si="1"/>
        <v>182.19800000000032</v>
      </c>
      <c r="J12" s="13">
        <f t="shared" si="2"/>
        <v>9.189769666638219E-3</v>
      </c>
      <c r="K12" s="53" t="s">
        <v>1664</v>
      </c>
      <c r="L12" s="98" t="s">
        <v>1911</v>
      </c>
      <c r="M12" s="102" t="s">
        <v>1177</v>
      </c>
    </row>
    <row r="13" spans="1:15" ht="28.9">
      <c r="A13" s="26" t="str">
        <v>K269</v>
      </c>
      <c r="B13" s="27" t="str">
        <v>NY</v>
      </c>
      <c r="C13" s="27" t="str">
        <f>Sites[[#This Row],[SOL'#]]</f>
        <v>SOL-10366</v>
      </c>
      <c r="D13" s="9">
        <v>18597.062999999998</v>
      </c>
      <c r="E13" s="14">
        <v>22080.492999999999</v>
      </c>
      <c r="F13" s="14">
        <f t="shared" si="0"/>
        <v>-3483.4300000000003</v>
      </c>
      <c r="G13" s="15">
        <f t="shared" si="3"/>
        <v>-0.15776051739424479</v>
      </c>
      <c r="H13" s="16">
        <v>18330.395</v>
      </c>
      <c r="I13" s="16">
        <f t="shared" si="1"/>
        <v>266.66799999999785</v>
      </c>
      <c r="J13" s="15">
        <f t="shared" si="2"/>
        <v>1.4547858897748676E-2</v>
      </c>
      <c r="K13" s="51" t="s">
        <v>1179</v>
      </c>
      <c r="L13" s="52"/>
    </row>
    <row r="14" spans="1:15" ht="57.6">
      <c r="A14" s="24" t="str">
        <v>K273</v>
      </c>
      <c r="B14" s="25" t="str">
        <v>NY</v>
      </c>
      <c r="C14" s="25" t="str">
        <f>Sites[[#This Row],[SOL'#]]</f>
        <v>SOL-10367</v>
      </c>
      <c r="D14" s="20">
        <v>12091</v>
      </c>
      <c r="E14" s="10">
        <v>0</v>
      </c>
      <c r="F14" s="10">
        <f t="shared" si="0"/>
        <v>12091</v>
      </c>
      <c r="G14" s="11" t="str">
        <f t="shared" si="3"/>
        <v/>
      </c>
      <c r="H14" s="132" t="s">
        <v>1912</v>
      </c>
      <c r="I14" s="12" t="str">
        <f t="shared" si="1"/>
        <v/>
      </c>
      <c r="J14" s="13" t="str">
        <f t="shared" si="2"/>
        <v/>
      </c>
      <c r="K14" s="53" t="s">
        <v>1913</v>
      </c>
      <c r="L14" s="98" t="s">
        <v>1914</v>
      </c>
      <c r="M14" s="102" t="s">
        <v>1915</v>
      </c>
      <c r="N14" s="102" t="s">
        <v>911</v>
      </c>
      <c r="O14" s="102" t="s">
        <v>1668</v>
      </c>
    </row>
    <row r="15" spans="1:15" ht="28.9">
      <c r="A15" s="26" t="str">
        <v>K287</v>
      </c>
      <c r="B15" s="27" t="str">
        <v>NY</v>
      </c>
      <c r="C15" s="27" t="str">
        <f>Sites[[#This Row],[SOL'#]]</f>
        <v>SOL-10919</v>
      </c>
      <c r="D15" s="9">
        <v>16091.063</v>
      </c>
      <c r="E15" s="14">
        <v>14086.846</v>
      </c>
      <c r="F15" s="14">
        <f t="shared" si="0"/>
        <v>2004.2170000000006</v>
      </c>
      <c r="G15" s="15">
        <f t="shared" si="3"/>
        <v>0.14227577983034673</v>
      </c>
      <c r="H15" s="16">
        <v>15813</v>
      </c>
      <c r="I15" s="16">
        <f t="shared" si="1"/>
        <v>278.0630000000001</v>
      </c>
      <c r="J15" s="15">
        <f t="shared" si="2"/>
        <v>1.7584455827483723E-2</v>
      </c>
      <c r="K15" s="51" t="s">
        <v>1669</v>
      </c>
      <c r="L15" s="52"/>
    </row>
    <row r="16" spans="1:15" ht="15.6">
      <c r="A16" s="24" t="str">
        <v>K298</v>
      </c>
      <c r="B16" s="25" t="str">
        <v>NY</v>
      </c>
      <c r="C16" s="25" t="str">
        <f>Sites[[#This Row],[SOL'#]]</f>
        <v>SOL-10368</v>
      </c>
      <c r="D16" s="20">
        <v>17325.437999999998</v>
      </c>
      <c r="E16" s="10">
        <v>18788.527999999998</v>
      </c>
      <c r="F16" s="10">
        <f t="shared" si="0"/>
        <v>-1463.0900000000001</v>
      </c>
      <c r="G16" s="11">
        <f t="shared" si="3"/>
        <v>-7.787145432574602E-2</v>
      </c>
      <c r="H16" s="12">
        <v>17581</v>
      </c>
      <c r="I16" s="12">
        <f t="shared" si="1"/>
        <v>-255.56200000000172</v>
      </c>
      <c r="J16" s="13">
        <f t="shared" si="2"/>
        <v>-1.453626073602194E-2</v>
      </c>
      <c r="K16" s="53"/>
      <c r="L16" s="53"/>
    </row>
    <row r="17" spans="1:15" ht="15.6">
      <c r="A17" s="26" t="str">
        <v>K335</v>
      </c>
      <c r="B17" s="27" t="str">
        <v>NY</v>
      </c>
      <c r="C17" s="27" t="str">
        <f>Sites[[#This Row],[SOL'#]]</f>
        <v>SOL-10370</v>
      </c>
      <c r="D17" s="9">
        <v>18447.875</v>
      </c>
      <c r="E17" s="14">
        <v>20337.054</v>
      </c>
      <c r="F17" s="14">
        <f t="shared" si="0"/>
        <v>-1889.1790000000001</v>
      </c>
      <c r="G17" s="15">
        <f t="shared" si="3"/>
        <v>-9.2893444645424067E-2</v>
      </c>
      <c r="H17" s="16">
        <v>19788.5</v>
      </c>
      <c r="I17" s="16">
        <f t="shared" si="1"/>
        <v>-1340.625</v>
      </c>
      <c r="J17" s="15">
        <f t="shared" si="2"/>
        <v>-6.7747681734340648E-2</v>
      </c>
      <c r="K17" s="51"/>
      <c r="L17" s="51"/>
    </row>
    <row r="18" spans="1:15" ht="63" customHeight="1">
      <c r="A18" s="24" t="str">
        <v>K345</v>
      </c>
      <c r="B18" s="25" t="str">
        <v>NY</v>
      </c>
      <c r="C18" s="25" t="str">
        <f>Sites[[#This Row],[SOL'#]]</f>
        <v>SOL-10920</v>
      </c>
      <c r="D18" s="20">
        <v>21438.75</v>
      </c>
      <c r="E18" s="10">
        <v>12870.767</v>
      </c>
      <c r="F18" s="10">
        <f t="shared" si="0"/>
        <v>8567.9830000000002</v>
      </c>
      <c r="G18" s="11">
        <f t="shared" ref="G18:G50" si="4">IFERROR(F18/E18, "")</f>
        <v>0.66569327220359131</v>
      </c>
      <c r="H18" s="12">
        <v>20845.5</v>
      </c>
      <c r="I18" s="12">
        <f t="shared" si="1"/>
        <v>593.25</v>
      </c>
      <c r="J18" s="13">
        <f t="shared" si="2"/>
        <v>2.845937972224221E-2</v>
      </c>
      <c r="K18" s="53" t="s">
        <v>1671</v>
      </c>
      <c r="L18" s="98" t="s">
        <v>1186</v>
      </c>
    </row>
    <row r="19" spans="1:15" ht="15.6">
      <c r="A19" s="26" t="str">
        <v>K445</v>
      </c>
      <c r="B19" s="27" t="str">
        <v>NY</v>
      </c>
      <c r="C19" s="27" t="str">
        <f>Sites[[#This Row],[SOL'#]]</f>
        <v>SOL-10373</v>
      </c>
      <c r="D19" s="9">
        <v>17136.844000000001</v>
      </c>
      <c r="E19" s="14">
        <v>19679.905999999999</v>
      </c>
      <c r="F19" s="14">
        <f t="shared" si="0"/>
        <v>-2543.0619999999981</v>
      </c>
      <c r="G19" s="15">
        <f t="shared" si="4"/>
        <v>-0.12922124729660794</v>
      </c>
      <c r="H19" s="16">
        <v>16981.73</v>
      </c>
      <c r="I19" s="16">
        <f t="shared" si="1"/>
        <v>155.1140000000014</v>
      </c>
      <c r="J19" s="15">
        <f t="shared" si="2"/>
        <v>9.1341694868544848E-3</v>
      </c>
      <c r="K19" s="51"/>
      <c r="L19" s="52"/>
    </row>
    <row r="20" spans="1:15" ht="72">
      <c r="A20" s="24" t="str">
        <v>K495</v>
      </c>
      <c r="B20" s="25" t="str">
        <v>NY</v>
      </c>
      <c r="C20" s="25" t="str">
        <f>Sites[[#This Row],[SOL'#]]</f>
        <v>SOL-10374</v>
      </c>
      <c r="D20" s="20">
        <v>70875.75</v>
      </c>
      <c r="E20" s="10">
        <v>77150.45</v>
      </c>
      <c r="F20" s="10">
        <f t="shared" si="0"/>
        <v>-6274.6999999999971</v>
      </c>
      <c r="G20" s="11">
        <f t="shared" si="4"/>
        <v>-8.1330698654382402E-2</v>
      </c>
      <c r="H20" s="12">
        <v>79570.816000000006</v>
      </c>
      <c r="I20" s="12">
        <f t="shared" si="1"/>
        <v>-8695.0660000000062</v>
      </c>
      <c r="J20" s="13">
        <f t="shared" si="2"/>
        <v>-0.10927456116574204</v>
      </c>
      <c r="K20" s="53" t="s">
        <v>1916</v>
      </c>
      <c r="L20" s="98" t="s">
        <v>1917</v>
      </c>
      <c r="M20" s="102" t="s">
        <v>1918</v>
      </c>
      <c r="N20" s="102" t="s">
        <v>1919</v>
      </c>
      <c r="O20" s="102" t="s">
        <v>1673</v>
      </c>
    </row>
    <row r="21" spans="1:15" ht="15.6">
      <c r="A21" s="26" t="str">
        <v>M020</v>
      </c>
      <c r="B21" s="27" t="str">
        <v>NY</v>
      </c>
      <c r="C21" s="27" t="str">
        <f>Sites[[#This Row],[SOL'#]]</f>
        <v>SOL-10380</v>
      </c>
      <c r="D21" s="9">
        <v>19863.530999999999</v>
      </c>
      <c r="E21" s="14">
        <v>20320.192999999999</v>
      </c>
      <c r="F21" s="14">
        <f t="shared" si="0"/>
        <v>-456.66200000000026</v>
      </c>
      <c r="G21" s="15">
        <f t="shared" si="4"/>
        <v>-2.2473310169839444E-2</v>
      </c>
      <c r="H21" s="16">
        <v>19905.5</v>
      </c>
      <c r="I21" s="16">
        <f t="shared" si="1"/>
        <v>-41.96900000000096</v>
      </c>
      <c r="J21" s="15">
        <f t="shared" si="2"/>
        <v>-2.1084122478712396E-3</v>
      </c>
      <c r="K21" s="51"/>
      <c r="L21" s="51"/>
    </row>
    <row r="22" spans="1:15" ht="15.6">
      <c r="A22" s="24" t="str">
        <v>M092</v>
      </c>
      <c r="B22" s="25" t="str">
        <v>NY</v>
      </c>
      <c r="C22" s="25" t="str">
        <f>Sites[[#This Row],[SOL'#]]</f>
        <v>SOL-10383</v>
      </c>
      <c r="D22" s="20">
        <v>19248.5</v>
      </c>
      <c r="E22" s="10">
        <v>20469.432000000001</v>
      </c>
      <c r="F22" s="10">
        <f t="shared" si="0"/>
        <v>-1220.9320000000007</v>
      </c>
      <c r="G22" s="11">
        <f t="shared" si="4"/>
        <v>-5.9646598889505124E-2</v>
      </c>
      <c r="H22" s="12">
        <v>18463.289000000001</v>
      </c>
      <c r="I22" s="12">
        <f t="shared" si="1"/>
        <v>785.21099999999933</v>
      </c>
      <c r="J22" s="13">
        <f t="shared" si="2"/>
        <v>4.252822993779707E-2</v>
      </c>
      <c r="K22" s="53"/>
      <c r="L22" s="53"/>
    </row>
    <row r="23" spans="1:15" ht="15.6">
      <c r="A23" s="26" t="str">
        <v>M143</v>
      </c>
      <c r="B23" s="27" t="str">
        <v>NY</v>
      </c>
      <c r="C23" s="27" t="str">
        <f>Sites[[#This Row],[SOL'#]]</f>
        <v>SOL-10384</v>
      </c>
      <c r="D23" s="9">
        <v>21054.937999999998</v>
      </c>
      <c r="E23" s="14">
        <v>24875.928</v>
      </c>
      <c r="F23" s="14">
        <f t="shared" si="0"/>
        <v>-3820.9900000000016</v>
      </c>
      <c r="G23" s="15">
        <f t="shared" si="4"/>
        <v>-0.15360190783636299</v>
      </c>
      <c r="H23" s="16">
        <v>20535.715</v>
      </c>
      <c r="I23" s="16">
        <f t="shared" si="1"/>
        <v>519.22299999999814</v>
      </c>
      <c r="J23" s="15">
        <f t="shared" si="2"/>
        <v>2.5283901729255501E-2</v>
      </c>
      <c r="K23" s="51" t="s">
        <v>1188</v>
      </c>
      <c r="L23" s="99" t="s">
        <v>1920</v>
      </c>
    </row>
    <row r="24" spans="1:15" ht="86.45">
      <c r="A24" s="24" t="str">
        <v>M144</v>
      </c>
      <c r="B24" s="25" t="str">
        <v>NY</v>
      </c>
      <c r="C24" s="25" t="str">
        <f>Sites[[#This Row],[SOL'#]]</f>
        <v>SOL-10385</v>
      </c>
      <c r="D24" s="20">
        <v>31845.75</v>
      </c>
      <c r="E24" s="10">
        <v>35186.455000000002</v>
      </c>
      <c r="F24" s="10">
        <f t="shared" si="0"/>
        <v>-3340.7050000000017</v>
      </c>
      <c r="G24" s="11">
        <f t="shared" si="4"/>
        <v>-9.4942926191342703E-2</v>
      </c>
      <c r="H24" s="12">
        <v>37663.851000000002</v>
      </c>
      <c r="I24" s="12">
        <f t="shared" si="1"/>
        <v>-5818.1010000000024</v>
      </c>
      <c r="J24" s="13">
        <f t="shared" si="2"/>
        <v>-0.15447440571066412</v>
      </c>
      <c r="K24" s="53" t="s">
        <v>1346</v>
      </c>
      <c r="L24" s="53"/>
    </row>
    <row r="25" spans="1:15" ht="35.25" customHeight="1">
      <c r="A25" s="26" t="str">
        <v>M167</v>
      </c>
      <c r="B25" s="27" t="str">
        <v>NY</v>
      </c>
      <c r="C25" s="27" t="str">
        <f>Sites[[#This Row],[SOL'#]]</f>
        <v>SOL-10386</v>
      </c>
      <c r="D25" s="9">
        <v>22903.437999999998</v>
      </c>
      <c r="E25" s="14">
        <v>17813.538</v>
      </c>
      <c r="F25" s="14">
        <f t="shared" si="0"/>
        <v>5089.8999999999978</v>
      </c>
      <c r="G25" s="15">
        <f t="shared" si="4"/>
        <v>0.28573212126642095</v>
      </c>
      <c r="H25" s="16">
        <v>25249.074000000001</v>
      </c>
      <c r="I25" s="16">
        <f t="shared" si="1"/>
        <v>-2345.6360000000022</v>
      </c>
      <c r="J25" s="15">
        <f t="shared" si="2"/>
        <v>-9.2899882189739005E-2</v>
      </c>
      <c r="K25" s="51" t="s">
        <v>1674</v>
      </c>
      <c r="L25" s="51"/>
    </row>
    <row r="26" spans="1:15" ht="86.45">
      <c r="A26" s="24" t="str">
        <v>M188</v>
      </c>
      <c r="B26" s="25" t="str">
        <v>NY</v>
      </c>
      <c r="C26" s="25" t="str">
        <f>Sites[[#This Row],[SOL'#]]</f>
        <v>SOL-10387</v>
      </c>
      <c r="D26" s="20">
        <v>16372.875</v>
      </c>
      <c r="E26" s="10">
        <v>17248.113000000001</v>
      </c>
      <c r="F26" s="10">
        <f>IF(AND(ISNUMBER(D26),ISNUMBER(E26)), D26-E26, "")</f>
        <v>-875.23800000000119</v>
      </c>
      <c r="G26" s="11">
        <f t="shared" si="4"/>
        <v>-5.0743985733395947E-2</v>
      </c>
      <c r="H26" s="12">
        <v>19189.208999999999</v>
      </c>
      <c r="I26" s="12">
        <f>IF(AND(ISNUMBER(D26),ISNUMBER(H26)), D26-H26, "")</f>
        <v>-2816.3339999999989</v>
      </c>
      <c r="J26" s="13">
        <f t="shared" si="2"/>
        <v>-0.14676654988749141</v>
      </c>
      <c r="K26" s="53" t="s">
        <v>1346</v>
      </c>
      <c r="L26" s="53"/>
    </row>
    <row r="27" spans="1:15" ht="43.15">
      <c r="A27" s="26" t="str">
        <v>EMHC</v>
      </c>
      <c r="B27" s="27" t="str">
        <v>NY</v>
      </c>
      <c r="C27" s="27" t="str">
        <f>Sites[[#This Row],[SOL'#]]</f>
        <v>SOL-10351</v>
      </c>
      <c r="D27" s="9">
        <v>7118.8280000000004</v>
      </c>
      <c r="E27" s="14">
        <v>5168.558</v>
      </c>
      <c r="F27" s="14">
        <f>IF(AND(ISNUMBER(D27),ISNUMBER(E27)), D27-E27, "")</f>
        <v>1950.2700000000004</v>
      </c>
      <c r="G27" s="15">
        <f t="shared" si="4"/>
        <v>0.37733348450380172</v>
      </c>
      <c r="H27" s="16">
        <v>7595.8429999999998</v>
      </c>
      <c r="I27" s="16">
        <f>IF(AND(ISNUMBER(D27),ISNUMBER(H27)), D27-H27, "")</f>
        <v>-477.01499999999942</v>
      </c>
      <c r="J27" s="15">
        <f t="shared" si="2"/>
        <v>-6.2799481242569052E-2</v>
      </c>
      <c r="K27" s="61" t="s">
        <v>1921</v>
      </c>
      <c r="L27" s="99" t="s">
        <v>669</v>
      </c>
    </row>
    <row r="28" spans="1:15" ht="28.9">
      <c r="A28" s="24" t="str">
        <v>Q008</v>
      </c>
      <c r="B28" s="25" t="str">
        <v>NY</v>
      </c>
      <c r="C28" s="25" t="str">
        <f>Sites[[#This Row],[SOL'#]]</f>
        <v>SOL-10397</v>
      </c>
      <c r="D28" s="20">
        <v>22429.155999999999</v>
      </c>
      <c r="E28" s="10">
        <v>26778.116999999998</v>
      </c>
      <c r="F28" s="10">
        <f t="shared" si="0"/>
        <v>-4348.9609999999993</v>
      </c>
      <c r="G28" s="11">
        <f t="shared" si="4"/>
        <v>-0.16240727456676657</v>
      </c>
      <c r="H28" s="12">
        <v>25128</v>
      </c>
      <c r="I28" s="12">
        <f t="shared" si="1"/>
        <v>-2698.844000000001</v>
      </c>
      <c r="J28" s="13">
        <f t="shared" si="2"/>
        <v>-0.10740385227634515</v>
      </c>
      <c r="K28" s="53" t="s">
        <v>1922</v>
      </c>
      <c r="L28" s="98" t="s">
        <v>1923</v>
      </c>
    </row>
    <row r="29" spans="1:15" ht="15.6">
      <c r="A29" s="26" t="str">
        <v>Q018</v>
      </c>
      <c r="B29" s="27" t="str">
        <v>NY</v>
      </c>
      <c r="C29" s="27" t="str">
        <f>Sites[[#This Row],[SOL'#]]</f>
        <v>SOL-10398</v>
      </c>
      <c r="D29" s="9">
        <v>16961.875</v>
      </c>
      <c r="E29" s="14">
        <v>18599.815999999999</v>
      </c>
      <c r="F29" s="14">
        <f t="shared" si="0"/>
        <v>-1637.9409999999989</v>
      </c>
      <c r="G29" s="15">
        <f t="shared" si="4"/>
        <v>-8.8062215239118447E-2</v>
      </c>
      <c r="H29" s="16">
        <v>11166</v>
      </c>
      <c r="I29" s="16">
        <f t="shared" si="1"/>
        <v>5795.875</v>
      </c>
      <c r="J29" s="15">
        <f t="shared" si="2"/>
        <v>0.51906457101916537</v>
      </c>
      <c r="K29" s="51" t="s">
        <v>908</v>
      </c>
      <c r="L29" s="51"/>
    </row>
    <row r="30" spans="1:15" ht="15.6">
      <c r="A30" s="24" t="str">
        <v>Q021</v>
      </c>
      <c r="B30" s="25" t="str">
        <v>NY</v>
      </c>
      <c r="C30" s="25" t="str">
        <f>Sites[[#This Row],[SOL'#]]</f>
        <v>SOL-10399</v>
      </c>
      <c r="D30" s="20">
        <v>13777.063</v>
      </c>
      <c r="E30" s="10">
        <v>14090.446</v>
      </c>
      <c r="F30" s="10">
        <f t="shared" si="0"/>
        <v>-313.38299999999981</v>
      </c>
      <c r="G30" s="11">
        <f t="shared" si="4"/>
        <v>-2.2240814804584598E-2</v>
      </c>
      <c r="H30" s="12">
        <v>12908.234</v>
      </c>
      <c r="I30" s="12">
        <f t="shared" si="1"/>
        <v>868.82899999999972</v>
      </c>
      <c r="J30" s="13">
        <f t="shared" si="2"/>
        <v>6.7308122861733044E-2</v>
      </c>
      <c r="K30" s="53"/>
      <c r="L30" s="53"/>
    </row>
    <row r="31" spans="1:15" ht="28.9">
      <c r="A31" s="26" t="str">
        <v>Q025</v>
      </c>
      <c r="B31" s="27" t="str">
        <v>NY</v>
      </c>
      <c r="C31" s="27" t="str">
        <f>Sites[[#This Row],[SOL'#]]</f>
        <v>SOL-10400</v>
      </c>
      <c r="D31" s="9">
        <v>23244.125</v>
      </c>
      <c r="E31" s="14">
        <v>23357.883000000002</v>
      </c>
      <c r="F31" s="14">
        <f t="shared" si="0"/>
        <v>-113.75800000000163</v>
      </c>
      <c r="G31" s="15">
        <f t="shared" si="4"/>
        <v>-4.8702187608355438E-3</v>
      </c>
      <c r="H31" s="16">
        <v>12092.5</v>
      </c>
      <c r="I31" s="16">
        <f t="shared" si="1"/>
        <v>11151.625</v>
      </c>
      <c r="J31" s="15">
        <f t="shared" si="2"/>
        <v>0.92219350837295844</v>
      </c>
      <c r="K31" s="51" t="s">
        <v>1680</v>
      </c>
      <c r="L31" s="52"/>
    </row>
    <row r="32" spans="1:15" ht="15.6">
      <c r="A32" s="24" t="str">
        <v>Q074</v>
      </c>
      <c r="B32" s="25" t="str">
        <v>NY</v>
      </c>
      <c r="C32" s="25" t="str">
        <f>Sites[[#This Row],[SOL'#]]</f>
        <v>SOL-10402</v>
      </c>
      <c r="D32" s="20">
        <v>11384.75</v>
      </c>
      <c r="E32" s="10">
        <v>11141.717000000001</v>
      </c>
      <c r="F32" s="10">
        <f t="shared" si="0"/>
        <v>243.03299999999945</v>
      </c>
      <c r="G32" s="11">
        <f t="shared" si="4"/>
        <v>2.1812885751810018E-2</v>
      </c>
      <c r="H32" s="12">
        <v>14623.434999999999</v>
      </c>
      <c r="I32" s="12">
        <f t="shared" si="1"/>
        <v>-3238.6849999999995</v>
      </c>
      <c r="J32" s="13">
        <f t="shared" si="2"/>
        <v>-0.22147224643184038</v>
      </c>
      <c r="K32" s="53" t="s">
        <v>1924</v>
      </c>
      <c r="L32" s="98" t="s">
        <v>1925</v>
      </c>
    </row>
    <row r="33" spans="1:13" ht="15.6">
      <c r="A33" s="26" t="str">
        <v>Q115</v>
      </c>
      <c r="B33" s="27" t="str">
        <v>NY</v>
      </c>
      <c r="C33" s="27" t="str">
        <f>Sites[[#This Row],[SOL'#]]</f>
        <v>SOL-10872</v>
      </c>
      <c r="D33" s="9">
        <v>19770.812999999998</v>
      </c>
      <c r="E33" s="14">
        <v>21410.148000000001</v>
      </c>
      <c r="F33" s="14">
        <f t="shared" si="0"/>
        <v>-1639.3350000000028</v>
      </c>
      <c r="G33" s="15">
        <f t="shared" si="4"/>
        <v>-7.6568130215634314E-2</v>
      </c>
      <c r="H33" s="16">
        <v>19479.758999999998</v>
      </c>
      <c r="I33" s="16">
        <f t="shared" si="1"/>
        <v>291.05400000000009</v>
      </c>
      <c r="J33" s="15">
        <f t="shared" si="2"/>
        <v>1.4941355280627452E-2</v>
      </c>
      <c r="K33" s="51"/>
      <c r="L33" s="52"/>
    </row>
    <row r="34" spans="1:13" ht="28.9">
      <c r="A34" s="24" t="str">
        <v>Q139</v>
      </c>
      <c r="B34" s="25" t="str">
        <v>NY</v>
      </c>
      <c r="C34" s="25" t="str">
        <f>Sites[[#This Row],[SOL'#]]</f>
        <v>SOL-10403</v>
      </c>
      <c r="D34" s="20">
        <v>11696.875</v>
      </c>
      <c r="E34" s="10">
        <v>11986.462</v>
      </c>
      <c r="F34" s="10">
        <f t="shared" si="0"/>
        <v>-289.58699999999953</v>
      </c>
      <c r="G34" s="11">
        <f t="shared" si="4"/>
        <v>-2.4159505949295092E-2</v>
      </c>
      <c r="H34" s="12">
        <v>12223</v>
      </c>
      <c r="I34" s="12">
        <f t="shared" si="1"/>
        <v>-526.125</v>
      </c>
      <c r="J34" s="13">
        <f t="shared" si="2"/>
        <v>-4.3043851754888326E-2</v>
      </c>
      <c r="K34" s="73" t="s">
        <v>1445</v>
      </c>
      <c r="L34" s="98" t="s">
        <v>1926</v>
      </c>
    </row>
    <row r="35" spans="1:13" ht="15.6">
      <c r="A35" s="26" t="str">
        <v>Q157</v>
      </c>
      <c r="B35" s="27" t="str">
        <v>NY</v>
      </c>
      <c r="C35" s="27" t="str">
        <f>Sites[[#This Row],[SOL'#]]</f>
        <v>SOL-10404</v>
      </c>
      <c r="D35" s="9">
        <v>19666.562999999998</v>
      </c>
      <c r="E35" s="14">
        <v>24651.896000000001</v>
      </c>
      <c r="F35" s="14">
        <f t="shared" si="0"/>
        <v>-4985.3330000000024</v>
      </c>
      <c r="G35" s="15">
        <f t="shared" si="4"/>
        <v>-0.20222919162079875</v>
      </c>
      <c r="H35" s="16">
        <v>18871.047999999999</v>
      </c>
      <c r="I35" s="16">
        <f t="shared" si="1"/>
        <v>795.51499999999942</v>
      </c>
      <c r="J35" s="15">
        <f t="shared" si="2"/>
        <v>4.215531644029518E-2</v>
      </c>
      <c r="K35" s="51" t="s">
        <v>1927</v>
      </c>
      <c r="L35" s="99" t="s">
        <v>1682</v>
      </c>
    </row>
    <row r="36" spans="1:13" ht="15.6">
      <c r="A36" s="24" t="str">
        <v>Q192</v>
      </c>
      <c r="B36" s="25" t="str">
        <v>NY</v>
      </c>
      <c r="C36" s="25" t="str">
        <f>Sites[[#This Row],[SOL'#]]</f>
        <v>SOL-10406</v>
      </c>
      <c r="D36" s="165">
        <v>32135</v>
      </c>
      <c r="E36" s="10">
        <v>36121.082000000002</v>
      </c>
      <c r="F36" s="10">
        <f t="shared" si="0"/>
        <v>-3986.0820000000022</v>
      </c>
      <c r="G36" s="55">
        <f t="shared" si="4"/>
        <v>-0.1103533388064068</v>
      </c>
      <c r="H36" s="67">
        <v>31753.191999999999</v>
      </c>
      <c r="I36" s="67">
        <f t="shared" si="1"/>
        <v>381.8080000000009</v>
      </c>
      <c r="J36" s="64">
        <f t="shared" si="2"/>
        <v>1.2024239956726268E-2</v>
      </c>
      <c r="K36" s="73" t="s">
        <v>1928</v>
      </c>
      <c r="L36" s="100" t="s">
        <v>1929</v>
      </c>
    </row>
    <row r="37" spans="1:13" ht="28.9" customHeight="1">
      <c r="A37" s="26" t="str">
        <v>Q210</v>
      </c>
      <c r="B37" s="27" t="str">
        <v>NY</v>
      </c>
      <c r="C37" s="27" t="str">
        <f>Sites[[#This Row],[SOL'#]]</f>
        <v>SOL-10407</v>
      </c>
      <c r="D37" s="9">
        <v>26615.125</v>
      </c>
      <c r="E37" s="14">
        <v>26548.079000000002</v>
      </c>
      <c r="F37" s="14">
        <f t="shared" si="0"/>
        <v>67.045999999998457</v>
      </c>
      <c r="G37" s="15">
        <f t="shared" si="4"/>
        <v>2.5254557966321576E-3</v>
      </c>
      <c r="H37" s="16">
        <v>26544</v>
      </c>
      <c r="I37" s="16">
        <f t="shared" si="1"/>
        <v>71.125</v>
      </c>
      <c r="J37" s="15">
        <f t="shared" si="2"/>
        <v>2.6795132610006028E-3</v>
      </c>
      <c r="K37" s="51"/>
      <c r="L37" s="51"/>
    </row>
    <row r="38" spans="1:13" ht="15.6">
      <c r="A38" s="24" t="str">
        <v>Q229</v>
      </c>
      <c r="B38" s="25" t="str">
        <v>NY</v>
      </c>
      <c r="C38" s="25" t="str">
        <f>Sites[[#This Row],[SOL'#]]</f>
        <v>SOL-10408</v>
      </c>
      <c r="D38" s="54">
        <v>11342.875</v>
      </c>
      <c r="E38" s="10">
        <v>13057.554</v>
      </c>
      <c r="F38" s="10">
        <f t="shared" si="0"/>
        <v>-1714.6790000000001</v>
      </c>
      <c r="G38" s="55">
        <f t="shared" si="4"/>
        <v>-0.13131701389096304</v>
      </c>
      <c r="H38" s="67">
        <v>9846.1370000000006</v>
      </c>
      <c r="I38" s="67">
        <f t="shared" si="1"/>
        <v>1496.7379999999994</v>
      </c>
      <c r="J38" s="64">
        <f t="shared" si="2"/>
        <v>0.15201271320925144</v>
      </c>
      <c r="K38" s="73" t="s">
        <v>932</v>
      </c>
      <c r="L38" s="100" t="s">
        <v>1199</v>
      </c>
    </row>
    <row r="39" spans="1:13" ht="28.9">
      <c r="A39" s="26" t="str">
        <v>Q231</v>
      </c>
      <c r="B39" s="27" t="str">
        <v>NY</v>
      </c>
      <c r="C39" s="27" t="str">
        <f>Sites[[#This Row],[SOL'#]]</f>
        <v>SOL-10870</v>
      </c>
      <c r="D39" s="9">
        <v>39584.75</v>
      </c>
      <c r="E39" s="14">
        <v>45767.991000000002</v>
      </c>
      <c r="F39" s="14">
        <f t="shared" si="0"/>
        <v>-6183.2410000000018</v>
      </c>
      <c r="G39" s="15">
        <f t="shared" si="4"/>
        <v>-0.13509968134716688</v>
      </c>
      <c r="H39" s="16">
        <v>42636.5</v>
      </c>
      <c r="I39" s="16">
        <f t="shared" si="1"/>
        <v>-3051.75</v>
      </c>
      <c r="J39" s="15">
        <f t="shared" si="2"/>
        <v>-7.1575997091693738E-2</v>
      </c>
      <c r="K39" s="51" t="s">
        <v>1930</v>
      </c>
      <c r="L39" s="99" t="s">
        <v>1684</v>
      </c>
    </row>
    <row r="40" spans="1:13" ht="43.15">
      <c r="A40" s="24" t="str">
        <v>Q405</v>
      </c>
      <c r="B40" s="25" t="str">
        <v>NY</v>
      </c>
      <c r="C40" s="25" t="str">
        <f>Sites[[#This Row],[SOL'#]]</f>
        <v>SOL-10409</v>
      </c>
      <c r="D40" s="54">
        <v>48143.5</v>
      </c>
      <c r="E40" s="10">
        <v>54005.925000000003</v>
      </c>
      <c r="F40" s="10">
        <f t="shared" si="0"/>
        <v>-5862.4250000000029</v>
      </c>
      <c r="G40" s="55">
        <f t="shared" si="4"/>
        <v>-0.10855151541242933</v>
      </c>
      <c r="H40" s="67">
        <v>47283.572</v>
      </c>
      <c r="I40" s="67">
        <f t="shared" si="1"/>
        <v>859.92799999999988</v>
      </c>
      <c r="J40" s="64">
        <f t="shared" si="2"/>
        <v>1.8186612466587759E-2</v>
      </c>
      <c r="K40" s="73" t="s">
        <v>1931</v>
      </c>
      <c r="L40" s="100" t="s">
        <v>1932</v>
      </c>
      <c r="M40" s="102" t="s">
        <v>1933</v>
      </c>
    </row>
    <row r="41" spans="1:13" ht="28.9">
      <c r="A41" s="26" t="str">
        <v>Q435</v>
      </c>
      <c r="B41" s="27" t="str">
        <v>NY</v>
      </c>
      <c r="C41" s="27" t="str">
        <f>Sites[[#This Row],[SOL'#]]</f>
        <v>SOL-10923</v>
      </c>
      <c r="D41" s="9">
        <v>57195.29</v>
      </c>
      <c r="E41" s="14">
        <v>47737.006999999998</v>
      </c>
      <c r="F41" s="14">
        <f t="shared" si="0"/>
        <v>9458.2830000000031</v>
      </c>
      <c r="G41" s="15">
        <f t="shared" si="4"/>
        <v>0.19813313809137645</v>
      </c>
      <c r="H41" s="16">
        <v>60533.5</v>
      </c>
      <c r="I41" s="16">
        <f t="shared" si="1"/>
        <v>-3338.2099999999991</v>
      </c>
      <c r="J41" s="15">
        <f t="shared" si="2"/>
        <v>-5.5146489134115809E-2</v>
      </c>
      <c r="K41" s="51" t="s">
        <v>1934</v>
      </c>
      <c r="L41" s="99" t="s">
        <v>1935</v>
      </c>
    </row>
    <row r="42" spans="1:13" ht="28.9">
      <c r="A42" s="24" t="str">
        <v>Q485</v>
      </c>
      <c r="B42" s="25" t="str">
        <v>NY</v>
      </c>
      <c r="C42" s="25" t="str">
        <f>Sites[[#This Row],[SOL'#]]</f>
        <v>SOL-10869</v>
      </c>
      <c r="D42" s="54">
        <v>58657.75</v>
      </c>
      <c r="E42" s="10">
        <v>48085.235999999997</v>
      </c>
      <c r="F42" s="10">
        <f t="shared" si="0"/>
        <v>10572.514000000003</v>
      </c>
      <c r="G42" s="55">
        <f t="shared" si="4"/>
        <v>0.21987027369481982</v>
      </c>
      <c r="H42" s="67">
        <v>57296.478999999999</v>
      </c>
      <c r="I42" s="67">
        <f t="shared" si="1"/>
        <v>1361.2710000000006</v>
      </c>
      <c r="J42" s="64">
        <f t="shared" si="2"/>
        <v>2.3758370911413258E-2</v>
      </c>
      <c r="K42" s="73" t="s">
        <v>1936</v>
      </c>
      <c r="L42" s="73"/>
    </row>
    <row r="43" spans="1:13" ht="72">
      <c r="A43" s="26" t="str">
        <v>Q490</v>
      </c>
      <c r="B43" s="27" t="str">
        <v>NY</v>
      </c>
      <c r="C43" s="27" t="str">
        <f>Sites[[#This Row],[SOL'#]]</f>
        <v>SOL-10411</v>
      </c>
      <c r="D43" s="9">
        <v>39358.5</v>
      </c>
      <c r="E43" s="14">
        <v>0</v>
      </c>
      <c r="F43" s="14">
        <f t="shared" si="0"/>
        <v>39358.5</v>
      </c>
      <c r="G43" s="15" t="str">
        <f t="shared" si="4"/>
        <v/>
      </c>
      <c r="H43" s="16">
        <v>41167.805</v>
      </c>
      <c r="I43" s="16">
        <f t="shared" si="1"/>
        <v>-1809.3050000000003</v>
      </c>
      <c r="J43" s="15">
        <f t="shared" si="2"/>
        <v>-4.3949513460822119E-2</v>
      </c>
      <c r="K43" s="51" t="s">
        <v>1937</v>
      </c>
      <c r="L43" s="99" t="s">
        <v>1938</v>
      </c>
      <c r="M43" s="102" t="s">
        <v>1939</v>
      </c>
    </row>
    <row r="44" spans="1:13" ht="28.9">
      <c r="A44" s="24" t="str">
        <v>Q620</v>
      </c>
      <c r="B44" s="25" t="str">
        <v>NY</v>
      </c>
      <c r="C44" s="25" t="str">
        <f>Sites[[#This Row],[SOL'#]]</f>
        <v>SOL-10867</v>
      </c>
      <c r="D44" s="54">
        <v>63311.78</v>
      </c>
      <c r="E44" s="10">
        <v>64228.413</v>
      </c>
      <c r="F44" s="10">
        <f t="shared" si="0"/>
        <v>-916.63300000000163</v>
      </c>
      <c r="G44" s="55">
        <f t="shared" si="4"/>
        <v>-1.4271456465847937E-2</v>
      </c>
      <c r="H44" s="67">
        <v>60821.093000000001</v>
      </c>
      <c r="I44" s="67">
        <f t="shared" si="1"/>
        <v>2490.6869999999981</v>
      </c>
      <c r="J44" s="64">
        <f t="shared" si="2"/>
        <v>4.0951039797985839E-2</v>
      </c>
      <c r="K44" s="73" t="s">
        <v>1940</v>
      </c>
      <c r="L44" s="100" t="s">
        <v>1941</v>
      </c>
    </row>
    <row r="45" spans="1:13" ht="15.6">
      <c r="A45" s="26" t="str">
        <v>QMOA</v>
      </c>
      <c r="B45" s="27" t="str">
        <v>NY</v>
      </c>
      <c r="C45" s="27" t="str">
        <f>Sites[[#This Row],[SOL'#]]</f>
        <v>SOL-10415</v>
      </c>
      <c r="D45" s="9">
        <v>5473.6</v>
      </c>
      <c r="E45" s="14"/>
      <c r="F45" s="14" t="str">
        <f t="shared" si="0"/>
        <v/>
      </c>
      <c r="G45" s="15" t="str">
        <f t="shared" si="4"/>
        <v/>
      </c>
      <c r="H45" s="16">
        <v>5544.8980000000001</v>
      </c>
      <c r="I45" s="16">
        <f t="shared" si="1"/>
        <v>-71.297999999999774</v>
      </c>
      <c r="J45" s="15">
        <f t="shared" si="2"/>
        <v>-1.2858306861550884E-2</v>
      </c>
      <c r="K45" s="51"/>
      <c r="L45" s="52"/>
    </row>
    <row r="46" spans="1:13" ht="15.6">
      <c r="A46" s="24" t="str">
        <v>X024</v>
      </c>
      <c r="B46" s="25" t="str">
        <v>NY</v>
      </c>
      <c r="C46" s="25" t="str">
        <f>Sites[[#This Row],[SOL'#]]</f>
        <v>SOL-10419</v>
      </c>
      <c r="D46" s="54">
        <v>25082.030999999999</v>
      </c>
      <c r="E46" s="10">
        <v>24457.917000000001</v>
      </c>
      <c r="F46" s="10">
        <f t="shared" si="0"/>
        <v>624.11399999999776</v>
      </c>
      <c r="G46" s="55">
        <f t="shared" si="4"/>
        <v>2.5517872188379646E-2</v>
      </c>
      <c r="H46" s="67">
        <v>21695</v>
      </c>
      <c r="I46" s="67">
        <f t="shared" si="1"/>
        <v>3387.030999999999</v>
      </c>
      <c r="J46" s="64">
        <f t="shared" si="2"/>
        <v>0.15612035031113156</v>
      </c>
      <c r="K46" s="73"/>
      <c r="L46" s="73"/>
    </row>
    <row r="47" spans="1:13" ht="28.9">
      <c r="A47" s="26" t="str">
        <v>X026</v>
      </c>
      <c r="B47" s="27" t="str">
        <v>NY</v>
      </c>
      <c r="C47" s="27" t="str">
        <f>Sites[[#This Row],[SOL'#]]</f>
        <v>SOL-10420</v>
      </c>
      <c r="D47" s="9">
        <v>21192.799999999999</v>
      </c>
      <c r="E47" s="14">
        <v>20624.916000000001</v>
      </c>
      <c r="F47" s="14">
        <f t="shared" si="0"/>
        <v>567.8839999999982</v>
      </c>
      <c r="G47" s="15">
        <f t="shared" si="4"/>
        <v>2.7533881834961083E-2</v>
      </c>
      <c r="H47" s="16">
        <v>29182.126</v>
      </c>
      <c r="I47" s="16">
        <f t="shared" si="1"/>
        <v>-7989.3260000000009</v>
      </c>
      <c r="J47" s="15">
        <f t="shared" si="2"/>
        <v>-0.27377463862639756</v>
      </c>
      <c r="K47" s="51" t="s">
        <v>1690</v>
      </c>
      <c r="L47" s="99" t="s">
        <v>690</v>
      </c>
    </row>
    <row r="48" spans="1:13" ht="15.6">
      <c r="A48" s="24" t="str">
        <v>X090</v>
      </c>
      <c r="B48" s="25" t="str">
        <v>NY</v>
      </c>
      <c r="C48" s="25" t="str">
        <f>Sites[[#This Row],[SOL'#]]</f>
        <v>SOL-10925</v>
      </c>
      <c r="D48" s="54">
        <v>18101.812999999998</v>
      </c>
      <c r="E48" s="10">
        <v>15022.557000000001</v>
      </c>
      <c r="F48" s="10">
        <f t="shared" si="0"/>
        <v>3079.2559999999976</v>
      </c>
      <c r="G48" s="55">
        <f t="shared" si="4"/>
        <v>0.20497549118968211</v>
      </c>
      <c r="H48" s="67">
        <v>17858</v>
      </c>
      <c r="I48" s="67">
        <f t="shared" si="1"/>
        <v>243.81299999999828</v>
      </c>
      <c r="J48" s="64">
        <f t="shared" si="2"/>
        <v>1.3652872662112122E-2</v>
      </c>
      <c r="K48" s="73"/>
      <c r="L48" s="73"/>
    </row>
    <row r="49" spans="1:14" ht="15.6">
      <c r="A49" s="26" t="str">
        <v>X117</v>
      </c>
      <c r="B49" s="27" t="str">
        <v>NY</v>
      </c>
      <c r="C49" s="27" t="str">
        <f>Sites[[#This Row],[SOL'#]]</f>
        <v>SOL-10422</v>
      </c>
      <c r="D49" s="9">
        <v>15410.1</v>
      </c>
      <c r="E49" s="14">
        <v>17247.805</v>
      </c>
      <c r="F49" s="14">
        <f t="shared" si="0"/>
        <v>-1837.7049999999999</v>
      </c>
      <c r="G49" s="15">
        <f t="shared" si="4"/>
        <v>-0.10654718093113877</v>
      </c>
      <c r="H49" s="16">
        <v>15770.38</v>
      </c>
      <c r="I49" s="16">
        <f t="shared" si="1"/>
        <v>-360.27999999999884</v>
      </c>
      <c r="J49" s="15">
        <f t="shared" si="2"/>
        <v>-2.2845359465022329E-2</v>
      </c>
      <c r="K49" s="51" t="s">
        <v>1942</v>
      </c>
      <c r="L49" s="52"/>
    </row>
    <row r="50" spans="1:14" ht="15.6">
      <c r="A50" s="24" t="str">
        <v>X125</v>
      </c>
      <c r="B50" s="25" t="str">
        <v>NY</v>
      </c>
      <c r="C50" s="25" t="str">
        <f>Sites[[#This Row],[SOL'#]]</f>
        <v>SOL-10423</v>
      </c>
      <c r="D50" s="54">
        <v>28874.625</v>
      </c>
      <c r="E50" s="10">
        <v>30335.623</v>
      </c>
      <c r="F50" s="10">
        <f t="shared" si="0"/>
        <v>-1460.9979999999996</v>
      </c>
      <c r="G50" s="15">
        <f t="shared" si="4"/>
        <v>-4.8161133859027705E-2</v>
      </c>
      <c r="H50" s="67">
        <v>26767.069</v>
      </c>
      <c r="I50" s="67">
        <f t="shared" si="1"/>
        <v>2107.5560000000005</v>
      </c>
      <c r="J50" s="64">
        <f t="shared" si="2"/>
        <v>7.8736898686964957E-2</v>
      </c>
      <c r="K50" s="73"/>
      <c r="L50" s="73"/>
    </row>
    <row r="51" spans="1:14" ht="141" customHeight="1">
      <c r="A51" s="26" t="str">
        <v>X134</v>
      </c>
      <c r="B51" s="27" t="str">
        <v>NY</v>
      </c>
      <c r="C51" s="27" t="str">
        <f>Sites[[#This Row],[SOL'#]]</f>
        <v>SOL-10424</v>
      </c>
      <c r="D51" s="9">
        <v>27962.187999999998</v>
      </c>
      <c r="E51" s="14">
        <v>7766.6239999999998</v>
      </c>
      <c r="F51" s="14">
        <f t="shared" si="0"/>
        <v>20195.563999999998</v>
      </c>
      <c r="G51" s="15">
        <f t="shared" ref="G51:G81" si="5">IFERROR(F51/E51, "")</f>
        <v>2.6003014952185142</v>
      </c>
      <c r="H51" s="16">
        <v>26554</v>
      </c>
      <c r="I51" s="16">
        <f t="shared" si="1"/>
        <v>1408.1879999999983</v>
      </c>
      <c r="J51" s="15">
        <f t="shared" si="2"/>
        <v>5.3031106424644057E-2</v>
      </c>
      <c r="K51" s="51" t="s">
        <v>1943</v>
      </c>
      <c r="L51" s="99" t="s">
        <v>1944</v>
      </c>
      <c r="M51" s="102" t="s">
        <v>1945</v>
      </c>
      <c r="N51" s="102" t="s">
        <v>1946</v>
      </c>
    </row>
    <row r="52" spans="1:14" ht="28.9">
      <c r="A52" s="24" t="str">
        <v>X135</v>
      </c>
      <c r="B52" s="25" t="str">
        <v>NY</v>
      </c>
      <c r="C52" s="25" t="str">
        <f>Sites[[#This Row],[SOL'#]]</f>
        <v>SOL-10425</v>
      </c>
      <c r="D52" s="54">
        <v>22733.562999999998</v>
      </c>
      <c r="E52" s="10">
        <v>27306.838</v>
      </c>
      <c r="F52" s="10">
        <f t="shared" si="0"/>
        <v>-4573.2750000000015</v>
      </c>
      <c r="G52" s="55">
        <f t="shared" si="5"/>
        <v>-0.16747728169771986</v>
      </c>
      <c r="H52" s="67">
        <v>21711</v>
      </c>
      <c r="I52" s="67">
        <f t="shared" si="1"/>
        <v>1022.5629999999983</v>
      </c>
      <c r="J52" s="64">
        <f t="shared" si="2"/>
        <v>4.7098843904011714E-2</v>
      </c>
      <c r="K52" s="73" t="s">
        <v>1947</v>
      </c>
      <c r="L52" s="73"/>
    </row>
    <row r="53" spans="1:14" ht="28.9">
      <c r="A53" s="26" t="str">
        <v>X139 JHS 222</v>
      </c>
      <c r="B53" s="27" t="str">
        <v>NY</v>
      </c>
      <c r="C53" s="27" t="str">
        <f>Sites[[#This Row],[SOL'#]]</f>
        <v>SOL-10426</v>
      </c>
      <c r="D53" s="9">
        <v>28952.608</v>
      </c>
      <c r="E53" s="14">
        <v>37791.582000000002</v>
      </c>
      <c r="F53" s="14">
        <f t="shared" si="0"/>
        <v>-8838.974000000002</v>
      </c>
      <c r="G53" s="15">
        <f t="shared" si="5"/>
        <v>-0.23388737735297774</v>
      </c>
      <c r="H53" s="16">
        <v>32926.5</v>
      </c>
      <c r="I53" s="16">
        <f t="shared" si="1"/>
        <v>-3973.8919999999998</v>
      </c>
      <c r="J53" s="15">
        <f t="shared" si="2"/>
        <v>-0.12068977874963935</v>
      </c>
      <c r="K53" s="51" t="s">
        <v>1948</v>
      </c>
      <c r="L53" s="99" t="s">
        <v>1949</v>
      </c>
      <c r="M53" s="102" t="s">
        <v>1950</v>
      </c>
    </row>
    <row r="54" spans="1:14" ht="28.9">
      <c r="A54" s="24" t="str">
        <v>X140</v>
      </c>
      <c r="B54" s="25" t="str">
        <v>NY</v>
      </c>
      <c r="C54" s="25" t="str">
        <f>Sites[[#This Row],[SOL'#]]</f>
        <v>SOL-10926</v>
      </c>
      <c r="D54" s="54">
        <v>19931.187999999998</v>
      </c>
      <c r="E54" s="10">
        <v>16423.797999999999</v>
      </c>
      <c r="F54" s="10">
        <f t="shared" si="0"/>
        <v>3507.3899999999994</v>
      </c>
      <c r="G54" s="55">
        <f t="shared" si="5"/>
        <v>0.21355535424875535</v>
      </c>
      <c r="H54" s="67">
        <v>18287</v>
      </c>
      <c r="I54" s="67">
        <f t="shared" si="1"/>
        <v>1644.1879999999983</v>
      </c>
      <c r="J54" s="64">
        <f t="shared" si="2"/>
        <v>8.9910209438398767E-2</v>
      </c>
      <c r="K54" s="73" t="s">
        <v>1951</v>
      </c>
      <c r="L54" s="100" t="s">
        <v>1952</v>
      </c>
    </row>
    <row r="55" spans="1:14" ht="15.6">
      <c r="A55" s="26" t="str">
        <v>X166</v>
      </c>
      <c r="B55" s="27" t="str">
        <v>NY</v>
      </c>
      <c r="C55" s="27" t="str">
        <f>Sites[[#This Row],[SOL'#]]</f>
        <v>SOL-10427</v>
      </c>
      <c r="D55" s="9">
        <v>20321.599999999999</v>
      </c>
      <c r="E55" s="14">
        <v>21154.850999999999</v>
      </c>
      <c r="F55" s="14">
        <f t="shared" si="0"/>
        <v>-833.2510000000002</v>
      </c>
      <c r="G55" s="15">
        <f t="shared" si="5"/>
        <v>-3.9388176262739938E-2</v>
      </c>
      <c r="H55" s="16">
        <v>20083</v>
      </c>
      <c r="I55" s="16">
        <f t="shared" si="1"/>
        <v>238.59999999999854</v>
      </c>
      <c r="J55" s="15">
        <f t="shared" si="2"/>
        <v>1.1880695115271551E-2</v>
      </c>
      <c r="K55" s="51"/>
      <c r="L55" s="96"/>
    </row>
    <row r="56" spans="1:14" ht="57.6">
      <c r="A56" s="24" t="str">
        <v>Murphy</v>
      </c>
      <c r="B56" s="25" t="str">
        <v>MN</v>
      </c>
      <c r="C56" s="25" t="str">
        <f>Sites[[#This Row],[SOL'#]]</f>
        <v>SOL-10094</v>
      </c>
      <c r="D56" s="54">
        <v>786990</v>
      </c>
      <c r="E56" s="10">
        <v>882687.63399999996</v>
      </c>
      <c r="F56" s="10">
        <f t="shared" si="0"/>
        <v>-95697.633999999962</v>
      </c>
      <c r="G56" s="55">
        <f t="shared" si="5"/>
        <v>-0.10841619426153642</v>
      </c>
      <c r="H56" s="67">
        <v>811622.1</v>
      </c>
      <c r="I56" s="67">
        <f t="shared" si="1"/>
        <v>-24632.099999999977</v>
      </c>
      <c r="J56" s="64">
        <f t="shared" si="2"/>
        <v>-3.0349222871087392E-2</v>
      </c>
      <c r="K56" s="73" t="s">
        <v>1953</v>
      </c>
      <c r="L56" s="100" t="s">
        <v>1954</v>
      </c>
      <c r="M56" s="102" t="s">
        <v>1955</v>
      </c>
      <c r="N56" s="102" t="s">
        <v>1956</v>
      </c>
    </row>
    <row r="57" spans="1:14" ht="15.6">
      <c r="A57" s="26" t="str">
        <v>Terning</v>
      </c>
      <c r="B57" s="27" t="str">
        <v>MN</v>
      </c>
      <c r="C57" s="27" t="str">
        <f>Sites[[#This Row],[SOL'#]]</f>
        <v>SOL-10093</v>
      </c>
      <c r="D57" s="9">
        <v>852315.35499999998</v>
      </c>
      <c r="E57" s="14">
        <v>908127.66700000002</v>
      </c>
      <c r="F57" s="14">
        <f t="shared" si="0"/>
        <v>-55812.312000000034</v>
      </c>
      <c r="G57" s="15">
        <f t="shared" si="5"/>
        <v>-6.1458662727869554E-2</v>
      </c>
      <c r="H57" s="16">
        <v>794890.25</v>
      </c>
      <c r="I57" s="16">
        <f t="shared" si="1"/>
        <v>57425.104999999981</v>
      </c>
      <c r="J57" s="15">
        <f t="shared" si="2"/>
        <v>7.2242809620573389E-2</v>
      </c>
      <c r="K57" s="51"/>
      <c r="L57" s="52"/>
    </row>
    <row r="58" spans="1:14" ht="15.6">
      <c r="A58" s="24" t="str">
        <v>Boas Road 04</v>
      </c>
      <c r="B58" s="25" t="str">
        <v>NY</v>
      </c>
      <c r="C58" s="25" t="str">
        <f>Sites[[#This Row],[SOL'#]]</f>
        <v>SOL-10908</v>
      </c>
      <c r="D58" s="54">
        <v>0</v>
      </c>
      <c r="E58" s="10">
        <v>0</v>
      </c>
      <c r="F58" s="10">
        <f t="shared" si="0"/>
        <v>0</v>
      </c>
      <c r="G58" s="55" t="str">
        <f t="shared" si="5"/>
        <v/>
      </c>
      <c r="H58" s="67">
        <v>318906.342</v>
      </c>
      <c r="I58" s="67">
        <f t="shared" si="1"/>
        <v>-318906.342</v>
      </c>
      <c r="J58" s="64">
        <f t="shared" si="2"/>
        <v>-1</v>
      </c>
      <c r="K58" s="73" t="s">
        <v>1957</v>
      </c>
      <c r="L58" s="100" t="s">
        <v>701</v>
      </c>
    </row>
    <row r="59" spans="1:14" ht="28.9">
      <c r="A59" s="26" t="str">
        <v>Kelly Bridge Farm</v>
      </c>
      <c r="B59" s="27" t="str">
        <v>NY</v>
      </c>
      <c r="C59" s="27" t="str">
        <f>Sites[[#This Row],[SOL'#]]</f>
        <v>SOL-10911</v>
      </c>
      <c r="D59" s="9">
        <v>0</v>
      </c>
      <c r="E59" s="14">
        <v>0</v>
      </c>
      <c r="F59" s="14">
        <f t="shared" si="0"/>
        <v>0</v>
      </c>
      <c r="G59" s="15" t="str">
        <f t="shared" si="5"/>
        <v/>
      </c>
      <c r="H59" s="16">
        <v>321832.08899999998</v>
      </c>
      <c r="I59" s="16">
        <f t="shared" si="1"/>
        <v>-321832.08899999998</v>
      </c>
      <c r="J59" s="15">
        <f t="shared" si="2"/>
        <v>-1</v>
      </c>
      <c r="K59" s="51" t="s">
        <v>1958</v>
      </c>
      <c r="L59" s="99" t="s">
        <v>1959</v>
      </c>
    </row>
    <row r="60" spans="1:14" ht="43.15">
      <c r="A60" s="24" t="str">
        <v>Pool Brook Road</v>
      </c>
      <c r="B60" s="25" t="str">
        <v>NY</v>
      </c>
      <c r="C60" s="25" t="str">
        <f>Sites[[#This Row],[SOL'#]]</f>
        <v>SOL-10909</v>
      </c>
      <c r="D60" s="54">
        <v>269516</v>
      </c>
      <c r="E60" s="10">
        <v>269514</v>
      </c>
      <c r="F60" s="10">
        <f>IF(AND(ISNUMBER(D60),ISNUMBER(E60)), D60-E60, "")</f>
        <v>2</v>
      </c>
      <c r="G60" s="55">
        <f t="shared" si="5"/>
        <v>7.420764784018641E-6</v>
      </c>
      <c r="H60" s="67">
        <v>306366.022</v>
      </c>
      <c r="I60" s="67">
        <f t="shared" si="1"/>
        <v>-36850.021999999997</v>
      </c>
      <c r="J60" s="64">
        <f t="shared" si="2"/>
        <v>-0.12028103429824864</v>
      </c>
      <c r="K60" s="73" t="s">
        <v>1960</v>
      </c>
      <c r="L60" s="100" t="s">
        <v>1961</v>
      </c>
    </row>
    <row r="61" spans="1:14" ht="28.9">
      <c r="A61" s="26" t="str">
        <v>Sackett Lake</v>
      </c>
      <c r="B61" s="27" t="str">
        <v>NY</v>
      </c>
      <c r="C61" s="27" t="str">
        <f>Sites[[#This Row],[SOL'#]]</f>
        <v>SOL-10910</v>
      </c>
      <c r="D61" s="9">
        <v>445918</v>
      </c>
      <c r="E61" s="14">
        <v>0</v>
      </c>
      <c r="F61" s="14">
        <f t="shared" si="0"/>
        <v>445918</v>
      </c>
      <c r="G61" s="15" t="str">
        <f t="shared" si="5"/>
        <v/>
      </c>
      <c r="H61" s="16">
        <v>318187.21899999998</v>
      </c>
      <c r="I61" s="16">
        <f t="shared" si="1"/>
        <v>127730.78100000002</v>
      </c>
      <c r="J61" s="15">
        <f t="shared" si="2"/>
        <v>0.40143278350850425</v>
      </c>
      <c r="K61" s="51" t="s">
        <v>1962</v>
      </c>
      <c r="L61" s="99" t="s">
        <v>1963</v>
      </c>
      <c r="M61" s="102" t="s">
        <v>1964</v>
      </c>
    </row>
    <row r="62" spans="1:14" ht="15.6">
      <c r="A62" s="24" t="str">
        <v>Burritt Road</v>
      </c>
      <c r="B62" s="25" t="str">
        <v>NY</v>
      </c>
      <c r="C62" s="25" t="str">
        <f>Sites[[#This Row],[SOL'#]]</f>
        <v>SOL-10913</v>
      </c>
      <c r="D62" s="54">
        <v>360510</v>
      </c>
      <c r="E62" s="10">
        <v>0</v>
      </c>
      <c r="F62" s="10">
        <f t="shared" si="0"/>
        <v>360510</v>
      </c>
      <c r="G62" s="55" t="str">
        <f t="shared" si="5"/>
        <v/>
      </c>
      <c r="H62" s="67">
        <v>331204.76</v>
      </c>
      <c r="I62" s="67">
        <f t="shared" si="1"/>
        <v>29305.239999999991</v>
      </c>
      <c r="J62" s="64">
        <f t="shared" si="2"/>
        <v>8.8480733187530247E-2</v>
      </c>
      <c r="K62" s="73"/>
      <c r="L62" s="73"/>
    </row>
    <row r="63" spans="1:14" ht="43.15">
      <c r="A63" s="26" t="str">
        <v>Villa Roma 1</v>
      </c>
      <c r="B63" s="27" t="str">
        <v>NY</v>
      </c>
      <c r="C63" s="27" t="str">
        <f>Sites[[#This Row],[SOL'#]]</f>
        <v>SOL-10914</v>
      </c>
      <c r="D63" s="66">
        <v>293402</v>
      </c>
      <c r="E63" s="14">
        <v>0</v>
      </c>
      <c r="F63" s="14">
        <f t="shared" si="0"/>
        <v>293402</v>
      </c>
      <c r="G63" s="68" t="str">
        <f t="shared" si="5"/>
        <v/>
      </c>
      <c r="H63" s="69">
        <v>278783.22899999999</v>
      </c>
      <c r="I63" s="69">
        <f t="shared" si="1"/>
        <v>14618.771000000008</v>
      </c>
      <c r="J63" s="68">
        <f t="shared" si="2"/>
        <v>5.2437770566177093E-2</v>
      </c>
      <c r="K63" s="51" t="s">
        <v>1965</v>
      </c>
      <c r="L63" s="99" t="s">
        <v>1966</v>
      </c>
      <c r="M63" s="102" t="s">
        <v>440</v>
      </c>
    </row>
    <row r="64" spans="1:14" ht="15.6">
      <c r="A64" s="24" t="str">
        <v>Villa Roma 2</v>
      </c>
      <c r="B64" s="25" t="str">
        <v>NY</v>
      </c>
      <c r="C64" s="25" t="str">
        <f>Sites[[#This Row],[SOL'#]]</f>
        <v>SOL-10915</v>
      </c>
      <c r="D64" s="54">
        <v>274880</v>
      </c>
      <c r="E64" s="10">
        <v>312522.5</v>
      </c>
      <c r="F64" s="10">
        <f t="shared" si="0"/>
        <v>-37642.5</v>
      </c>
      <c r="G64" s="55">
        <f t="shared" si="5"/>
        <v>-0.12044732779239894</v>
      </c>
      <c r="H64" s="67">
        <v>269917.33199999999</v>
      </c>
      <c r="I64" s="67">
        <f t="shared" si="1"/>
        <v>4962.6680000000051</v>
      </c>
      <c r="J64" s="64">
        <f t="shared" si="2"/>
        <v>1.8385881200100204E-2</v>
      </c>
      <c r="K64" s="73" t="s">
        <v>1967</v>
      </c>
      <c r="L64" s="73"/>
    </row>
    <row r="65" spans="1:169" ht="15.6">
      <c r="A65" s="26" t="str">
        <v>Washington 1</v>
      </c>
      <c r="B65" s="27" t="str">
        <v>NY</v>
      </c>
      <c r="C65" s="27" t="str">
        <f>Sites[[#This Row],[SOL'#]]</f>
        <v>SOL-10912</v>
      </c>
      <c r="D65" s="9">
        <v>336020</v>
      </c>
      <c r="E65" s="14">
        <v>373089.69</v>
      </c>
      <c r="F65" s="14">
        <f t="shared" si="0"/>
        <v>-37069.69</v>
      </c>
      <c r="G65" s="15">
        <f t="shared" si="5"/>
        <v>-9.9358655555451023E-2</v>
      </c>
      <c r="H65" s="16">
        <v>326068.01699999999</v>
      </c>
      <c r="I65" s="16">
        <f t="shared" si="1"/>
        <v>9951.9830000000075</v>
      </c>
      <c r="J65" s="15">
        <f t="shared" si="2"/>
        <v>3.0521187240513711E-2</v>
      </c>
      <c r="K65" s="51" t="s">
        <v>1968</v>
      </c>
      <c r="L65" s="99" t="s">
        <v>1969</v>
      </c>
    </row>
    <row r="66" spans="1:169" ht="129.6">
      <c r="A66" s="24" t="str">
        <v>Washington 3</v>
      </c>
      <c r="B66" s="25" t="str">
        <v>NY</v>
      </c>
      <c r="C66" s="25" t="str">
        <f>Sites[[#This Row],[SOL'#]]</f>
        <v>SOL-10828</v>
      </c>
      <c r="D66" s="20">
        <v>257026</v>
      </c>
      <c r="E66" s="10">
        <v>850868</v>
      </c>
      <c r="F66" s="10">
        <f t="shared" si="0"/>
        <v>-593842</v>
      </c>
      <c r="G66" s="55">
        <f t="shared" si="5"/>
        <v>-0.69792494252927595</v>
      </c>
      <c r="H66" s="12">
        <v>398744.73700000002</v>
      </c>
      <c r="I66" s="67">
        <f t="shared" si="1"/>
        <v>-141718.73700000002</v>
      </c>
      <c r="J66" s="64">
        <f t="shared" si="2"/>
        <v>-0.35541218190423418</v>
      </c>
      <c r="K66" s="53" t="s">
        <v>1970</v>
      </c>
      <c r="L66" s="98" t="s">
        <v>1971</v>
      </c>
      <c r="M66" s="102" t="s">
        <v>1972</v>
      </c>
      <c r="N66" s="102" t="s">
        <v>1973</v>
      </c>
      <c r="O66" s="102" t="s">
        <v>719</v>
      </c>
    </row>
    <row r="67" spans="1:169" ht="43.15">
      <c r="A67" s="26" t="str">
        <v>Washington 4</v>
      </c>
      <c r="B67" s="27" t="str">
        <v>NY</v>
      </c>
      <c r="C67" s="27" t="str">
        <f>Sites[[#This Row],[SOL'#]]</f>
        <v>SOL-10829</v>
      </c>
      <c r="D67" s="9">
        <v>351554</v>
      </c>
      <c r="E67" s="14">
        <v>394430.9</v>
      </c>
      <c r="F67" s="14">
        <f t="shared" si="0"/>
        <v>-42876.900000000023</v>
      </c>
      <c r="G67" s="15">
        <f t="shared" si="5"/>
        <v>-0.10870573274051303</v>
      </c>
      <c r="H67" s="16">
        <v>399610.63900000002</v>
      </c>
      <c r="I67" s="16">
        <f t="shared" si="1"/>
        <v>-48056.639000000025</v>
      </c>
      <c r="J67" s="15">
        <f t="shared" si="2"/>
        <v>-0.12025865757793305</v>
      </c>
      <c r="K67" s="51" t="s">
        <v>1974</v>
      </c>
      <c r="L67" s="99" t="s">
        <v>1975</v>
      </c>
      <c r="M67" s="102" t="s">
        <v>1976</v>
      </c>
      <c r="N67" s="102" t="s">
        <v>1977</v>
      </c>
    </row>
    <row r="68" spans="1:169" ht="15.6">
      <c r="A68" s="24" t="str">
        <v>Big Tree</v>
      </c>
      <c r="B68" s="25" t="str">
        <v>NY</v>
      </c>
      <c r="C68" s="25" t="str">
        <f>Sites[[#This Row],[SOL'#]]</f>
        <v>SOL-10966</v>
      </c>
      <c r="D68" s="20">
        <v>366820</v>
      </c>
      <c r="E68" s="10">
        <v>365800</v>
      </c>
      <c r="F68" s="10">
        <f t="shared" si="0"/>
        <v>1020</v>
      </c>
      <c r="G68" s="55">
        <f t="shared" si="5"/>
        <v>2.7884089666484419E-3</v>
      </c>
      <c r="H68" s="12">
        <v>308895.59999999998</v>
      </c>
      <c r="I68" s="67">
        <f t="shared" si="1"/>
        <v>57924.400000000023</v>
      </c>
      <c r="J68" s="64">
        <f t="shared" si="2"/>
        <v>0.18752096177478744</v>
      </c>
      <c r="K68" s="53" t="s">
        <v>1978</v>
      </c>
      <c r="L68" s="98" t="s">
        <v>1979</v>
      </c>
    </row>
    <row r="69" spans="1:169" ht="15.6">
      <c r="A69" s="26" t="str">
        <v>Canoga</v>
      </c>
      <c r="B69" s="27" t="str">
        <v>NY</v>
      </c>
      <c r="C69" s="27" t="str">
        <f>Sites[[#This Row],[SOL'#]]</f>
        <v>SOL-10965</v>
      </c>
      <c r="D69" s="9">
        <v>924320</v>
      </c>
      <c r="E69" s="14" t="s">
        <v>661</v>
      </c>
      <c r="F69" s="14" t="str">
        <f t="shared" ref="F69:F131" si="6">IF(AND(ISNUMBER(D69),ISNUMBER(E69)), D69-E69, "")</f>
        <v/>
      </c>
      <c r="G69" s="15" t="str">
        <f t="shared" si="5"/>
        <v/>
      </c>
      <c r="H69" s="16">
        <v>0</v>
      </c>
      <c r="I69" s="16">
        <f t="shared" ref="I69:I132" si="7">IF(AND(ISNUMBER(D69),ISNUMBER(H69)), D69-H69, "")</f>
        <v>924320</v>
      </c>
      <c r="J69" s="15" t="str">
        <f t="shared" ref="J69:J132" si="8">IFERROR(I69/H69, "")</f>
        <v/>
      </c>
      <c r="K69" s="51"/>
      <c r="L69" s="51"/>
    </row>
    <row r="70" spans="1:169" ht="28.9">
      <c r="A70" s="24" t="str">
        <v>County Route 84</v>
      </c>
      <c r="B70" s="25" t="str">
        <v>NY</v>
      </c>
      <c r="C70" s="25" t="str">
        <f>Sites[[#This Row],[SOL'#]]</f>
        <v>SOL-10967</v>
      </c>
      <c r="D70" s="20">
        <v>926220</v>
      </c>
      <c r="E70" s="10">
        <v>923630</v>
      </c>
      <c r="F70" s="10">
        <f t="shared" si="6"/>
        <v>2590</v>
      </c>
      <c r="G70" s="55">
        <f t="shared" si="5"/>
        <v>2.8041531782207162E-3</v>
      </c>
      <c r="H70" s="12">
        <v>806605.68400000001</v>
      </c>
      <c r="I70" s="67">
        <f t="shared" si="7"/>
        <v>119614.31599999999</v>
      </c>
      <c r="J70" s="64">
        <f t="shared" si="8"/>
        <v>0.14829342065484377</v>
      </c>
      <c r="K70" s="53" t="s">
        <v>1980</v>
      </c>
      <c r="L70" s="98" t="s">
        <v>1981</v>
      </c>
    </row>
    <row r="71" spans="1:169" s="164" customFormat="1" ht="28.9">
      <c r="A71" s="26" t="str">
        <v>Donati</v>
      </c>
      <c r="B71" s="27" t="str">
        <v>NY</v>
      </c>
      <c r="C71" s="27" t="str">
        <f>Sites[[#This Row],[SOL'#]]</f>
        <v>SOL-10968</v>
      </c>
      <c r="D71" s="66">
        <v>458000</v>
      </c>
      <c r="E71" s="14" t="s">
        <v>661</v>
      </c>
      <c r="F71" s="14" t="str">
        <f t="shared" si="6"/>
        <v/>
      </c>
      <c r="G71" s="68" t="str">
        <f t="shared" si="5"/>
        <v/>
      </c>
      <c r="H71" s="69">
        <v>393379.84600000002</v>
      </c>
      <c r="I71" s="69">
        <f t="shared" si="7"/>
        <v>64620.15399999998</v>
      </c>
      <c r="J71" s="68">
        <f t="shared" si="8"/>
        <v>0.16426910187971341</v>
      </c>
      <c r="K71" s="51" t="s">
        <v>1982</v>
      </c>
      <c r="L71" s="99" t="s">
        <v>1983</v>
      </c>
      <c r="M71" s="102" t="s">
        <v>1984</v>
      </c>
      <c r="N71" s="103"/>
      <c r="O71" s="103"/>
      <c r="P71" s="103"/>
      <c r="Q71" s="103"/>
      <c r="R71" s="103"/>
      <c r="S71" s="103"/>
      <c r="T71" s="103"/>
      <c r="U71" s="103"/>
      <c r="V71" s="103"/>
      <c r="W71" s="103"/>
      <c r="X71" s="103"/>
      <c r="Y71" s="103"/>
      <c r="Z71" s="103"/>
      <c r="AA71" s="103"/>
      <c r="AB71" s="103"/>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28.9">
      <c r="A72" s="24" t="str">
        <v>Henrietta</v>
      </c>
      <c r="B72" s="25" t="str">
        <v>NY</v>
      </c>
      <c r="C72" s="25" t="str">
        <f>Sites[[#This Row],[SOL'#]]</f>
        <v>SOL-10972</v>
      </c>
      <c r="D72" s="20">
        <v>838690</v>
      </c>
      <c r="E72" s="10">
        <v>836970</v>
      </c>
      <c r="F72" s="10">
        <f t="shared" si="6"/>
        <v>1720</v>
      </c>
      <c r="G72" s="55">
        <f t="shared" si="5"/>
        <v>2.0550318410456768E-3</v>
      </c>
      <c r="H72" s="12">
        <v>793970.34900000005</v>
      </c>
      <c r="I72" s="67">
        <f t="shared" si="7"/>
        <v>44719.650999999954</v>
      </c>
      <c r="J72" s="64">
        <f t="shared" si="8"/>
        <v>5.6324081946289344E-2</v>
      </c>
      <c r="K72" s="53" t="s">
        <v>1985</v>
      </c>
      <c r="L72" s="98" t="s">
        <v>1986</v>
      </c>
      <c r="M72" s="102" t="s">
        <v>1728</v>
      </c>
    </row>
    <row r="73" spans="1:169" ht="72">
      <c r="A73" s="26" t="str">
        <v>NY 70</v>
      </c>
      <c r="B73" s="27" t="str">
        <v>NY</v>
      </c>
      <c r="C73" s="27" t="str">
        <f>Sites[[#This Row],[SOL'#]]</f>
        <v>SOL-10970</v>
      </c>
      <c r="D73" s="9">
        <v>943650</v>
      </c>
      <c r="E73" s="14">
        <v>941250</v>
      </c>
      <c r="F73" s="14">
        <f t="shared" si="6"/>
        <v>2400</v>
      </c>
      <c r="G73" s="15">
        <f t="shared" si="5"/>
        <v>2.5498007968127491E-3</v>
      </c>
      <c r="H73" s="16">
        <v>820222.13600000006</v>
      </c>
      <c r="I73" s="16">
        <f t="shared" si="7"/>
        <v>123427.86399999994</v>
      </c>
      <c r="J73" s="15">
        <f t="shared" si="8"/>
        <v>0.15048102042444747</v>
      </c>
      <c r="K73" s="51" t="s">
        <v>1987</v>
      </c>
      <c r="L73" s="99" t="s">
        <v>1988</v>
      </c>
      <c r="M73" s="102" t="s">
        <v>1989</v>
      </c>
      <c r="N73" s="102" t="s">
        <v>1732</v>
      </c>
      <c r="O73" s="102" t="s">
        <v>1990</v>
      </c>
    </row>
    <row r="74" spans="1:169" ht="172.9">
      <c r="A74" s="24" t="str">
        <v>Reid</v>
      </c>
      <c r="B74" s="25" t="str">
        <v>NY</v>
      </c>
      <c r="C74" s="25" t="str">
        <f>Sites[[#This Row],[SOL'#]]</f>
        <v>SOL-10991</v>
      </c>
      <c r="D74" s="20">
        <v>755783.02099999995</v>
      </c>
      <c r="E74" s="10">
        <v>407513.82400000002</v>
      </c>
      <c r="F74" s="10">
        <f t="shared" si="6"/>
        <v>348269.19699999993</v>
      </c>
      <c r="G74" s="55">
        <f t="shared" si="5"/>
        <v>0.85461934415260454</v>
      </c>
      <c r="H74" s="12">
        <v>700567.5</v>
      </c>
      <c r="I74" s="67">
        <f t="shared" si="7"/>
        <v>55215.52099999995</v>
      </c>
      <c r="J74" s="64">
        <f t="shared" si="8"/>
        <v>7.881541892822598E-2</v>
      </c>
      <c r="K74" s="53" t="s">
        <v>1991</v>
      </c>
      <c r="L74" s="98" t="s">
        <v>1992</v>
      </c>
      <c r="M74" s="102" t="s">
        <v>1993</v>
      </c>
      <c r="N74" s="102" t="s">
        <v>1994</v>
      </c>
      <c r="O74" s="102" t="s">
        <v>1995</v>
      </c>
      <c r="P74" s="102" t="s">
        <v>1742</v>
      </c>
      <c r="Q74" s="102" t="s">
        <v>1741</v>
      </c>
      <c r="R74" s="102" t="s">
        <v>1996</v>
      </c>
      <c r="S74" s="102" t="s">
        <v>1997</v>
      </c>
      <c r="T74" s="102" t="s">
        <v>1998</v>
      </c>
      <c r="U74" s="102" t="s">
        <v>1739</v>
      </c>
      <c r="V74" s="102" t="s">
        <v>1995</v>
      </c>
    </row>
    <row r="75" spans="1:169" ht="57.6">
      <c r="A75" s="26" t="str">
        <v>Sangolqui</v>
      </c>
      <c r="B75" s="27" t="str">
        <v>NY</v>
      </c>
      <c r="C75" s="27" t="str">
        <f>Sites[[#This Row],[SOL'#]]</f>
        <v>SOL-10975</v>
      </c>
      <c r="D75" s="9">
        <v>66500</v>
      </c>
      <c r="E75" s="14">
        <v>48130</v>
      </c>
      <c r="F75" s="14">
        <f t="shared" si="6"/>
        <v>18370</v>
      </c>
      <c r="G75" s="15">
        <f t="shared" si="5"/>
        <v>0.38167463120714729</v>
      </c>
      <c r="H75" s="16">
        <v>383539.73599999998</v>
      </c>
      <c r="I75" s="16">
        <f t="shared" si="7"/>
        <v>-317039.73599999998</v>
      </c>
      <c r="J75" s="15">
        <f t="shared" si="8"/>
        <v>-0.82661509679925316</v>
      </c>
      <c r="K75" s="51" t="s">
        <v>1999</v>
      </c>
      <c r="L75" s="99" t="s">
        <v>2000</v>
      </c>
      <c r="M75" s="102" t="s">
        <v>2001</v>
      </c>
      <c r="N75" s="102" t="s">
        <v>2002</v>
      </c>
    </row>
    <row r="76" spans="1:169" ht="28.9">
      <c r="A76" s="24" t="str">
        <v>State Highway 17B</v>
      </c>
      <c r="B76" s="25" t="str">
        <v>NY</v>
      </c>
      <c r="C76" s="25" t="str">
        <f>Sites[[#This Row],[SOL'#]]</f>
        <v>SOL-10988</v>
      </c>
      <c r="D76" s="20">
        <v>744680</v>
      </c>
      <c r="E76" s="10">
        <v>715450</v>
      </c>
      <c r="F76" s="10">
        <f t="shared" si="6"/>
        <v>29230</v>
      </c>
      <c r="G76" s="55">
        <f t="shared" si="5"/>
        <v>4.0855405688727371E-2</v>
      </c>
      <c r="H76" s="167" t="s">
        <v>661</v>
      </c>
      <c r="I76" s="67" t="str">
        <f t="shared" si="7"/>
        <v/>
      </c>
      <c r="J76" s="64" t="str">
        <f t="shared" si="8"/>
        <v/>
      </c>
      <c r="K76" s="53" t="s">
        <v>2003</v>
      </c>
      <c r="L76" s="98" t="s">
        <v>2004</v>
      </c>
    </row>
    <row r="77" spans="1:169" ht="72">
      <c r="A77" s="26" t="str">
        <v>State Route 14A</v>
      </c>
      <c r="B77" s="27" t="str">
        <v>NY</v>
      </c>
      <c r="C77" s="27" t="str">
        <f>Sites[[#This Row],[SOL'#]]</f>
        <v>SOL-10997</v>
      </c>
      <c r="D77" s="9">
        <v>0</v>
      </c>
      <c r="E77" s="14">
        <v>0</v>
      </c>
      <c r="F77" s="14">
        <f t="shared" si="6"/>
        <v>0</v>
      </c>
      <c r="G77" s="15" t="str">
        <f t="shared" si="5"/>
        <v/>
      </c>
      <c r="H77" s="16">
        <v>831585.98100000003</v>
      </c>
      <c r="I77" s="16">
        <f t="shared" si="7"/>
        <v>-831585.98100000003</v>
      </c>
      <c r="J77" s="15">
        <f t="shared" si="8"/>
        <v>-1</v>
      </c>
      <c r="K77" s="51" t="s">
        <v>1510</v>
      </c>
      <c r="L77" s="99" t="s">
        <v>2005</v>
      </c>
    </row>
    <row r="78" spans="1:169" ht="28.9">
      <c r="A78" s="24" t="str">
        <v>West Creek</v>
      </c>
      <c r="B78" s="25" t="str">
        <v>NY</v>
      </c>
      <c r="C78" s="25" t="str">
        <f>Sites[[#This Row],[SOL'#]]</f>
        <v>SOL-10995</v>
      </c>
      <c r="D78" s="20">
        <v>986880</v>
      </c>
      <c r="E78" s="10">
        <v>844610</v>
      </c>
      <c r="F78" s="10">
        <f t="shared" si="6"/>
        <v>142270</v>
      </c>
      <c r="G78" s="55">
        <f t="shared" si="5"/>
        <v>0.16844460757035792</v>
      </c>
      <c r="H78" s="12">
        <v>803415.52099999995</v>
      </c>
      <c r="I78" s="67">
        <f t="shared" si="7"/>
        <v>183464.47900000005</v>
      </c>
      <c r="J78" s="64">
        <f t="shared" si="8"/>
        <v>0.22835565682331405</v>
      </c>
      <c r="K78" s="53" t="s">
        <v>2006</v>
      </c>
      <c r="L78" s="53"/>
    </row>
    <row r="79" spans="1:169" ht="28.9">
      <c r="A79" s="26" t="str">
        <v>Wildflower</v>
      </c>
      <c r="B79" s="27" t="str">
        <v>NY</v>
      </c>
      <c r="C79" s="27" t="str">
        <f>Sites[[#This Row],[SOL'#]]</f>
        <v>SOL-10982</v>
      </c>
      <c r="D79" s="9">
        <v>747029</v>
      </c>
      <c r="E79" s="14">
        <v>745204</v>
      </c>
      <c r="F79" s="14">
        <f t="shared" si="6"/>
        <v>1825</v>
      </c>
      <c r="G79" s="15">
        <f t="shared" si="5"/>
        <v>2.4489938325612851E-3</v>
      </c>
      <c r="H79" s="16">
        <v>779828.53</v>
      </c>
      <c r="I79" s="16">
        <f t="shared" si="7"/>
        <v>-32799.530000000028</v>
      </c>
      <c r="J79" s="15">
        <f t="shared" si="8"/>
        <v>-4.2059925660837293E-2</v>
      </c>
      <c r="K79" s="51" t="s">
        <v>2007</v>
      </c>
      <c r="L79" s="99" t="s">
        <v>2008</v>
      </c>
    </row>
    <row r="80" spans="1:169" ht="44.25" customHeight="1">
      <c r="A80" s="24" t="str">
        <v>Glen Mary 1</v>
      </c>
      <c r="B80" s="25" t="str">
        <v>NY</v>
      </c>
      <c r="C80" s="25" t="str">
        <f>Sites[[#This Row],[SOL'#]]</f>
        <v>SOL-10993</v>
      </c>
      <c r="D80" s="20">
        <v>879050</v>
      </c>
      <c r="E80" s="10">
        <v>874930</v>
      </c>
      <c r="F80" s="10">
        <f t="shared" si="6"/>
        <v>4120</v>
      </c>
      <c r="G80" s="55">
        <f t="shared" si="5"/>
        <v>4.7089481444229824E-3</v>
      </c>
      <c r="H80" s="12">
        <v>817647.65700000001</v>
      </c>
      <c r="I80" s="67">
        <f t="shared" si="7"/>
        <v>61402.342999999993</v>
      </c>
      <c r="J80" s="64">
        <f t="shared" si="8"/>
        <v>7.5096335780241816E-2</v>
      </c>
      <c r="K80" s="53"/>
      <c r="L80" s="53"/>
    </row>
    <row r="81" spans="1:15" ht="47.25" customHeight="1">
      <c r="A81" s="26" t="str">
        <v>Glen Mary 2</v>
      </c>
      <c r="B81" s="27" t="str">
        <v>NY</v>
      </c>
      <c r="C81" s="27" t="str">
        <f>Sites[[#This Row],[SOL'#]]</f>
        <v>SOL-10994</v>
      </c>
      <c r="D81" s="9">
        <v>379830</v>
      </c>
      <c r="E81" s="14">
        <v>0</v>
      </c>
      <c r="F81" s="14">
        <f t="shared" si="6"/>
        <v>379830</v>
      </c>
      <c r="G81" s="15" t="str">
        <f t="shared" si="5"/>
        <v/>
      </c>
      <c r="H81" s="16">
        <v>346254.48800000001</v>
      </c>
      <c r="I81" s="16">
        <f t="shared" si="7"/>
        <v>33575.511999999988</v>
      </c>
      <c r="J81" s="15">
        <f t="shared" si="8"/>
        <v>9.696773085580912E-2</v>
      </c>
      <c r="K81" s="51" t="s">
        <v>2009</v>
      </c>
      <c r="L81" s="99" t="s">
        <v>2010</v>
      </c>
    </row>
    <row r="82" spans="1:15" ht="43.15">
      <c r="A82" s="24" t="str">
        <v>Telegraph 1</v>
      </c>
      <c r="B82" s="25" t="str">
        <v>NY</v>
      </c>
      <c r="C82" s="25" t="str">
        <f>Sites[[#This Row],[SOL'#]]</f>
        <v>SOL-11003</v>
      </c>
      <c r="D82" s="54">
        <v>671379</v>
      </c>
      <c r="E82" s="10" t="s">
        <v>661</v>
      </c>
      <c r="F82" s="10" t="str">
        <f t="shared" si="6"/>
        <v/>
      </c>
      <c r="G82" s="55" t="str">
        <f t="shared" ref="G82:G113" si="9">IFERROR(F82/E82, "")</f>
        <v/>
      </c>
      <c r="H82" s="67">
        <v>561734.44700000004</v>
      </c>
      <c r="I82" s="67">
        <f t="shared" si="7"/>
        <v>109644.55299999996</v>
      </c>
      <c r="J82" s="64">
        <f t="shared" si="8"/>
        <v>0.195189299117346</v>
      </c>
      <c r="K82" s="73" t="s">
        <v>2011</v>
      </c>
      <c r="L82" s="100" t="s">
        <v>2012</v>
      </c>
      <c r="M82" s="102" t="s">
        <v>2013</v>
      </c>
    </row>
    <row r="83" spans="1:15" ht="60.75" customHeight="1">
      <c r="A83" s="26" t="str">
        <v>Telegraph 2</v>
      </c>
      <c r="B83" s="27" t="str">
        <v>NY</v>
      </c>
      <c r="C83" s="27" t="str">
        <f>Sites[[#This Row],[SOL'#]]</f>
        <v>SOL-11004</v>
      </c>
      <c r="D83" s="9">
        <v>358560</v>
      </c>
      <c r="E83" s="14" t="s">
        <v>661</v>
      </c>
      <c r="F83" s="14" t="str">
        <f t="shared" si="6"/>
        <v/>
      </c>
      <c r="G83" s="15" t="str">
        <f t="shared" si="9"/>
        <v/>
      </c>
      <c r="H83" s="16">
        <v>291844.72700000001</v>
      </c>
      <c r="I83" s="16">
        <f t="shared" si="7"/>
        <v>66715.272999999986</v>
      </c>
      <c r="J83" s="15">
        <f t="shared" si="8"/>
        <v>0.2285985211581362</v>
      </c>
      <c r="K83" s="51" t="s">
        <v>2014</v>
      </c>
      <c r="L83" s="99" t="s">
        <v>2015</v>
      </c>
      <c r="M83" s="102" t="s">
        <v>1771</v>
      </c>
      <c r="N83" s="102" t="s">
        <v>2016</v>
      </c>
      <c r="O83" s="102" t="s">
        <v>2017</v>
      </c>
    </row>
    <row r="84" spans="1:15" ht="15.6">
      <c r="A84" s="24" t="str">
        <v>Cafferty Hill</v>
      </c>
      <c r="B84" s="25" t="str">
        <v>NY</v>
      </c>
      <c r="C84" s="25" t="str">
        <f>Sites[[#This Row],[SOL'#]]</f>
        <v>SOL-10996</v>
      </c>
      <c r="D84" s="54">
        <v>876020</v>
      </c>
      <c r="E84" s="10">
        <v>906739.44</v>
      </c>
      <c r="F84" s="10">
        <f t="shared" si="6"/>
        <v>-30719.439999999944</v>
      </c>
      <c r="G84" s="55">
        <f t="shared" si="9"/>
        <v>-3.3879016004862372E-2</v>
      </c>
      <c r="H84" s="67">
        <v>793235.02599999995</v>
      </c>
      <c r="I84" s="67">
        <f t="shared" si="7"/>
        <v>82784.974000000046</v>
      </c>
      <c r="J84" s="64">
        <f t="shared" si="8"/>
        <v>0.10436373998442178</v>
      </c>
      <c r="K84" s="73"/>
      <c r="L84" s="73"/>
    </row>
    <row r="85" spans="1:15" ht="43.15">
      <c r="A85" s="26" t="str">
        <v>Dunkleman</v>
      </c>
      <c r="B85" s="27" t="str">
        <v>NY</v>
      </c>
      <c r="C85" s="27" t="str">
        <f>Sites[[#This Row],[SOL'#]]</f>
        <v>SOL-11008</v>
      </c>
      <c r="D85" s="9">
        <v>1056180</v>
      </c>
      <c r="E85" s="14">
        <v>1052940</v>
      </c>
      <c r="F85" s="14">
        <f t="shared" si="6"/>
        <v>3240</v>
      </c>
      <c r="G85" s="15">
        <f t="shared" si="9"/>
        <v>3.0770984101658213E-3</v>
      </c>
      <c r="H85" s="16">
        <v>883883.24899999995</v>
      </c>
      <c r="I85" s="16">
        <f t="shared" si="7"/>
        <v>172296.75100000005</v>
      </c>
      <c r="J85" s="15">
        <f t="shared" si="8"/>
        <v>0.19493157178273446</v>
      </c>
      <c r="K85" s="51" t="s">
        <v>2018</v>
      </c>
      <c r="L85" s="99" t="s">
        <v>2019</v>
      </c>
    </row>
    <row r="86" spans="1:15" ht="57.6">
      <c r="A86" s="24" t="str">
        <v>Route 19 1</v>
      </c>
      <c r="B86" s="25" t="str">
        <v>NY</v>
      </c>
      <c r="C86" s="25" t="str">
        <f>Sites[[#This Row],[SOL'#]]</f>
        <v>SOL-11001</v>
      </c>
      <c r="D86" s="54">
        <v>226090</v>
      </c>
      <c r="E86" s="10">
        <v>225640</v>
      </c>
      <c r="F86" s="10">
        <f t="shared" si="6"/>
        <v>450</v>
      </c>
      <c r="G86" s="55">
        <f t="shared" si="9"/>
        <v>1.9943272469420317E-3</v>
      </c>
      <c r="H86" s="67">
        <v>358017.67200000002</v>
      </c>
      <c r="I86" s="67">
        <f t="shared" si="7"/>
        <v>-131927.67200000002</v>
      </c>
      <c r="J86" s="64">
        <f t="shared" si="8"/>
        <v>-0.36849486022019612</v>
      </c>
      <c r="K86" s="73" t="s">
        <v>2020</v>
      </c>
      <c r="L86" s="100" t="s">
        <v>2021</v>
      </c>
      <c r="M86" s="102" t="s">
        <v>2022</v>
      </c>
    </row>
    <row r="87" spans="1:15" ht="39" customHeight="1">
      <c r="A87" s="26" t="str">
        <v>Route 19 2</v>
      </c>
      <c r="B87" s="27" t="str">
        <v>NY</v>
      </c>
      <c r="C87" s="27" t="str">
        <f>Sites[[#This Row],[SOL'#]]</f>
        <v>SOL-11002</v>
      </c>
      <c r="D87" s="9">
        <v>1022560</v>
      </c>
      <c r="E87" s="14">
        <v>1019080</v>
      </c>
      <c r="F87" s="14">
        <f t="shared" si="6"/>
        <v>3480</v>
      </c>
      <c r="G87" s="15">
        <f t="shared" si="9"/>
        <v>3.4148447619421437E-3</v>
      </c>
      <c r="H87" s="16">
        <v>888708.56400000001</v>
      </c>
      <c r="I87" s="16">
        <f t="shared" si="7"/>
        <v>133851.43599999999</v>
      </c>
      <c r="J87" s="15">
        <f t="shared" si="8"/>
        <v>0.15061341976670767</v>
      </c>
      <c r="K87" s="51" t="s">
        <v>2023</v>
      </c>
      <c r="L87" s="99" t="s">
        <v>2024</v>
      </c>
    </row>
    <row r="88" spans="1:15" ht="28.9">
      <c r="A88" s="24" t="str">
        <v>Yellow Mills 1</v>
      </c>
      <c r="B88" s="25" t="str">
        <v>NY</v>
      </c>
      <c r="C88" s="25" t="str">
        <f>Sites[[#This Row],[SOL'#]]</f>
        <v>SOL-11006</v>
      </c>
      <c r="D88" s="20">
        <v>107931</v>
      </c>
      <c r="E88" s="10">
        <v>106753</v>
      </c>
      <c r="F88" s="10">
        <f t="shared" si="6"/>
        <v>1178</v>
      </c>
      <c r="G88" s="55">
        <f t="shared" si="9"/>
        <v>1.1034818693619851E-2</v>
      </c>
      <c r="H88" s="12">
        <v>329702.79800000001</v>
      </c>
      <c r="I88" s="67">
        <f t="shared" si="7"/>
        <v>-221771.79800000001</v>
      </c>
      <c r="J88" s="64">
        <f t="shared" si="8"/>
        <v>-0.67264154063988257</v>
      </c>
      <c r="K88" s="73" t="s">
        <v>2025</v>
      </c>
      <c r="L88" s="98" t="s">
        <v>2026</v>
      </c>
    </row>
    <row r="89" spans="1:15" ht="43.15">
      <c r="A89" s="26" t="str">
        <v>Yellow Mills 2</v>
      </c>
      <c r="B89" s="27" t="str">
        <v>NY</v>
      </c>
      <c r="C89" s="27" t="str">
        <f>Sites[[#This Row],[SOL'#]]</f>
        <v>SOL-11005</v>
      </c>
      <c r="D89" s="9">
        <v>105779</v>
      </c>
      <c r="E89" s="14" t="s">
        <v>661</v>
      </c>
      <c r="F89" s="14" t="str">
        <f t="shared" si="6"/>
        <v/>
      </c>
      <c r="G89" s="15" t="str">
        <f t="shared" si="9"/>
        <v/>
      </c>
      <c r="H89" s="16">
        <v>342267.64299999998</v>
      </c>
      <c r="I89" s="16">
        <f t="shared" si="7"/>
        <v>-236488.64299999998</v>
      </c>
      <c r="J89" s="15">
        <f t="shared" si="8"/>
        <v>-0.69094653799921135</v>
      </c>
      <c r="K89" s="51" t="s">
        <v>2027</v>
      </c>
      <c r="L89" s="99" t="s">
        <v>2028</v>
      </c>
      <c r="M89" s="102" t="s">
        <v>2029</v>
      </c>
    </row>
    <row r="90" spans="1:15" ht="28.9">
      <c r="A90" s="24" t="str">
        <v>Yellow Mills 3</v>
      </c>
      <c r="B90" s="25" t="str">
        <v>NY</v>
      </c>
      <c r="C90" s="25" t="str">
        <f>Sites[[#This Row],[SOL'#]]</f>
        <v>SOL-11007</v>
      </c>
      <c r="D90" s="54">
        <v>101186</v>
      </c>
      <c r="E90" s="10">
        <v>84818</v>
      </c>
      <c r="F90" s="10">
        <f>IF(AND(ISNUMBER(D90),ISNUMBER(E90)), D90-E90, "")</f>
        <v>16368</v>
      </c>
      <c r="G90" s="55">
        <f t="shared" si="9"/>
        <v>0.19297790563323822</v>
      </c>
      <c r="H90" s="67">
        <v>326250.23800000001</v>
      </c>
      <c r="I90" s="67">
        <f t="shared" si="7"/>
        <v>-225064.23800000001</v>
      </c>
      <c r="J90" s="64">
        <f t="shared" si="8"/>
        <v>-0.68985156725004448</v>
      </c>
      <c r="K90" s="73" t="s">
        <v>2025</v>
      </c>
      <c r="L90" s="100" t="s">
        <v>2030</v>
      </c>
    </row>
    <row r="91" spans="1:15" ht="15.6">
      <c r="A91" s="26" t="str">
        <v>Catskill</v>
      </c>
      <c r="B91" s="27" t="str">
        <v>NY</v>
      </c>
      <c r="C91" s="27" t="str">
        <f>Sites[[#This Row],[SOL'#]]</f>
        <v>SOL-11021</v>
      </c>
      <c r="D91" s="9">
        <v>471584</v>
      </c>
      <c r="E91" s="14" t="s">
        <v>661</v>
      </c>
      <c r="F91" s="14" t="str">
        <f t="shared" si="6"/>
        <v/>
      </c>
      <c r="G91" s="15" t="str">
        <f t="shared" si="9"/>
        <v/>
      </c>
      <c r="H91" s="16">
        <v>627325.80799999996</v>
      </c>
      <c r="I91" s="16">
        <f t="shared" si="7"/>
        <v>-155741.80799999996</v>
      </c>
      <c r="J91" s="15">
        <f t="shared" si="8"/>
        <v>-0.24826303336144584</v>
      </c>
      <c r="K91" s="51" t="s">
        <v>2031</v>
      </c>
      <c r="L91" s="99" t="s">
        <v>2032</v>
      </c>
    </row>
    <row r="92" spans="1:15" ht="15.6">
      <c r="A92" s="24" t="str">
        <v>Eddy Ridge</v>
      </c>
      <c r="B92" s="25" t="str">
        <v>NY</v>
      </c>
      <c r="C92" s="25" t="str">
        <f>Sites[[#This Row],[SOL'#]]</f>
        <v>SOL-11054</v>
      </c>
      <c r="D92" s="20">
        <v>427871</v>
      </c>
      <c r="E92" s="10">
        <v>425818</v>
      </c>
      <c r="F92" s="10">
        <f t="shared" si="6"/>
        <v>2053</v>
      </c>
      <c r="G92" s="55">
        <f t="shared" si="9"/>
        <v>4.8213086342052238E-3</v>
      </c>
      <c r="H92" s="12">
        <v>447750</v>
      </c>
      <c r="I92" s="67">
        <f t="shared" si="7"/>
        <v>-19879</v>
      </c>
      <c r="J92" s="64">
        <f t="shared" si="8"/>
        <v>-4.4397543271915134E-2</v>
      </c>
      <c r="K92" s="53" t="s">
        <v>1788</v>
      </c>
      <c r="L92" s="98" t="s">
        <v>2033</v>
      </c>
    </row>
    <row r="93" spans="1:15" ht="45" customHeight="1">
      <c r="A93" s="26" t="str">
        <v>Ridgeway #1</v>
      </c>
      <c r="B93" s="27" t="str">
        <v>NY</v>
      </c>
      <c r="C93" s="27" t="str">
        <f>Sites[[#This Row],[SOL'#]]</f>
        <v>SOL-11018</v>
      </c>
      <c r="D93" s="9">
        <v>1147207</v>
      </c>
      <c r="E93" s="14">
        <v>1142921</v>
      </c>
      <c r="F93" s="14">
        <f t="shared" si="6"/>
        <v>4286</v>
      </c>
      <c r="G93" s="15">
        <f t="shared" si="9"/>
        <v>3.7500404664889348E-3</v>
      </c>
      <c r="H93" s="16">
        <v>1142921</v>
      </c>
      <c r="I93" s="16">
        <f t="shared" si="7"/>
        <v>4286</v>
      </c>
      <c r="J93" s="15">
        <f t="shared" si="8"/>
        <v>3.7500404664889348E-3</v>
      </c>
      <c r="K93" s="51" t="s">
        <v>2034</v>
      </c>
      <c r="L93" s="99" t="s">
        <v>2035</v>
      </c>
    </row>
    <row r="94" spans="1:15" ht="15.6">
      <c r="A94" s="24" t="str">
        <v>Rivard 1</v>
      </c>
      <c r="B94" s="25" t="str">
        <v>NY</v>
      </c>
      <c r="C94" s="25" t="str">
        <f>Sites[[#This Row],[SOL'#]]</f>
        <v>SOL-11011</v>
      </c>
      <c r="D94" s="20">
        <v>854070.36499999999</v>
      </c>
      <c r="E94" s="10">
        <v>928806.68</v>
      </c>
      <c r="F94" s="10">
        <f t="shared" si="6"/>
        <v>-74736.315000000061</v>
      </c>
      <c r="G94" s="55">
        <f t="shared" si="9"/>
        <v>-8.0464876716864323E-2</v>
      </c>
      <c r="H94" s="12">
        <v>724471.91</v>
      </c>
      <c r="I94" s="67">
        <f t="shared" si="7"/>
        <v>129598.45499999996</v>
      </c>
      <c r="J94" s="64">
        <f t="shared" si="8"/>
        <v>0.17888679079358641</v>
      </c>
      <c r="K94" s="53"/>
      <c r="L94" s="53"/>
    </row>
    <row r="95" spans="1:15" ht="15.6">
      <c r="A95" s="26" t="str">
        <v>Rivard 2</v>
      </c>
      <c r="B95" s="27" t="str">
        <v>NY</v>
      </c>
      <c r="C95" s="27" t="str">
        <f>Sites[[#This Row],[SOL'#]]</f>
        <v>SOL-11012</v>
      </c>
      <c r="D95" s="9">
        <v>876610.97</v>
      </c>
      <c r="E95" s="14">
        <v>857273.84</v>
      </c>
      <c r="F95" s="14">
        <f t="shared" si="6"/>
        <v>19337.130000000005</v>
      </c>
      <c r="G95" s="15">
        <f t="shared" si="9"/>
        <v>2.2556538060230561E-2</v>
      </c>
      <c r="H95" s="16">
        <v>693618.81</v>
      </c>
      <c r="I95" s="16">
        <f t="shared" si="7"/>
        <v>182992.15999999992</v>
      </c>
      <c r="J95" s="15">
        <f t="shared" si="8"/>
        <v>0.26382237240653827</v>
      </c>
      <c r="K95" s="51"/>
      <c r="L95" s="52"/>
    </row>
    <row r="96" spans="1:15" ht="15.6">
      <c r="A96" s="24" t="str">
        <v>Ridgeway #2</v>
      </c>
      <c r="B96" s="25" t="str">
        <v>NY</v>
      </c>
      <c r="C96" s="25" t="str">
        <f>Sites[[#This Row],[SOL'#]]</f>
        <v>SOL-11027</v>
      </c>
      <c r="D96" s="20">
        <v>576344</v>
      </c>
      <c r="E96" s="10">
        <v>574553</v>
      </c>
      <c r="F96" s="10">
        <f t="shared" si="6"/>
        <v>1791</v>
      </c>
      <c r="G96" s="55">
        <f t="shared" si="9"/>
        <v>3.1172058974541948E-3</v>
      </c>
      <c r="H96" s="12">
        <v>492013.43</v>
      </c>
      <c r="I96" s="67">
        <f t="shared" si="7"/>
        <v>84330.57</v>
      </c>
      <c r="J96" s="64">
        <f t="shared" si="8"/>
        <v>0.17139891892788375</v>
      </c>
      <c r="K96" s="53"/>
      <c r="L96" s="53"/>
    </row>
    <row r="97" spans="1:76" ht="28.9">
      <c r="A97" s="26" t="str">
        <v>Spencer</v>
      </c>
      <c r="B97" s="27" t="str">
        <v>NY</v>
      </c>
      <c r="C97" s="27" t="str">
        <f>Sites[[#This Row],[SOL'#]]</f>
        <v>SOL-11017</v>
      </c>
      <c r="D97" s="9">
        <v>675104.05</v>
      </c>
      <c r="E97" s="14">
        <v>672343.15</v>
      </c>
      <c r="F97" s="14">
        <f t="shared" si="6"/>
        <v>2760.9000000000233</v>
      </c>
      <c r="G97" s="15">
        <f t="shared" si="9"/>
        <v>4.1063852587774905E-3</v>
      </c>
      <c r="H97" s="16">
        <v>936295</v>
      </c>
      <c r="I97" s="16">
        <f t="shared" si="7"/>
        <v>-261190.94999999995</v>
      </c>
      <c r="J97" s="15">
        <f t="shared" si="8"/>
        <v>-0.27896223946512577</v>
      </c>
      <c r="K97" s="51" t="s">
        <v>2036</v>
      </c>
      <c r="L97" s="99" t="s">
        <v>2037</v>
      </c>
    </row>
    <row r="98" spans="1:76" ht="15.6">
      <c r="A98" s="24" t="str">
        <v>Reisender</v>
      </c>
      <c r="B98" s="25" t="str">
        <v>NY</v>
      </c>
      <c r="C98" s="25" t="str">
        <f>Sites[[#This Row],[SOL'#]]</f>
        <v>SOL-10886</v>
      </c>
      <c r="D98" s="20">
        <v>334820</v>
      </c>
      <c r="E98" s="10">
        <v>334730</v>
      </c>
      <c r="F98" s="10">
        <f t="shared" si="6"/>
        <v>90</v>
      </c>
      <c r="G98" s="55">
        <f t="shared" si="9"/>
        <v>2.6887342036865534E-4</v>
      </c>
      <c r="H98" s="12">
        <v>325840.16700000002</v>
      </c>
      <c r="I98" s="67">
        <f t="shared" si="7"/>
        <v>8979.8329999999842</v>
      </c>
      <c r="J98" s="64">
        <f t="shared" si="8"/>
        <v>2.7559011777697696E-2</v>
      </c>
      <c r="K98" s="53"/>
      <c r="L98" s="53"/>
    </row>
    <row r="99" spans="1:76" ht="57.6">
      <c r="A99" s="26" t="str">
        <v>Finney</v>
      </c>
      <c r="B99" s="27" t="str">
        <v>NY</v>
      </c>
      <c r="C99" s="27" t="str">
        <f>Sites[[#This Row],[SOL'#]]</f>
        <v>SOL-10999</v>
      </c>
      <c r="D99" s="9">
        <v>297560</v>
      </c>
      <c r="E99" s="14">
        <v>285270</v>
      </c>
      <c r="F99" s="14">
        <f t="shared" si="6"/>
        <v>12290</v>
      </c>
      <c r="G99" s="15">
        <f t="shared" si="9"/>
        <v>4.3081992498334908E-2</v>
      </c>
      <c r="H99" s="16">
        <v>962613.79</v>
      </c>
      <c r="I99" s="16">
        <f t="shared" si="7"/>
        <v>-665053.79</v>
      </c>
      <c r="J99" s="15">
        <f t="shared" si="8"/>
        <v>-0.69088329806702642</v>
      </c>
      <c r="K99" s="51" t="s">
        <v>2038</v>
      </c>
      <c r="L99" s="99" t="s">
        <v>2039</v>
      </c>
      <c r="M99" s="102" t="s">
        <v>2040</v>
      </c>
      <c r="N99" s="102" t="s">
        <v>2041</v>
      </c>
    </row>
    <row r="100" spans="1:76" ht="57.6">
      <c r="A100" s="24" t="str">
        <v>Davis Solar</v>
      </c>
      <c r="B100" s="25" t="str">
        <v>NY</v>
      </c>
      <c r="C100" s="25" t="str">
        <f>Sites[[#This Row],[SOL'#]]</f>
        <v>SOL-10958</v>
      </c>
      <c r="D100" s="20">
        <v>350384</v>
      </c>
      <c r="E100" s="10">
        <v>374766.43</v>
      </c>
      <c r="F100" s="10">
        <f t="shared" si="6"/>
        <v>-24382.429999999993</v>
      </c>
      <c r="G100" s="55">
        <f t="shared" si="9"/>
        <v>-6.506033638071583E-2</v>
      </c>
      <c r="H100" s="12">
        <v>368671</v>
      </c>
      <c r="I100" s="67">
        <f t="shared" si="7"/>
        <v>-18287</v>
      </c>
      <c r="J100" s="64">
        <f t="shared" si="8"/>
        <v>-4.9602491109959831E-2</v>
      </c>
      <c r="K100" s="53" t="s">
        <v>2042</v>
      </c>
      <c r="L100" s="98" t="s">
        <v>2043</v>
      </c>
    </row>
    <row r="101" spans="1:76" ht="15.6">
      <c r="A101" s="26" t="str">
        <v>Genesee</v>
      </c>
      <c r="B101" s="27" t="str">
        <v>NY</v>
      </c>
      <c r="C101" s="27" t="str">
        <f>Sites[[#This Row],[SOL'#]]</f>
        <v>SOL-10951</v>
      </c>
      <c r="D101" s="9">
        <v>745988</v>
      </c>
      <c r="E101" s="14">
        <v>744584.55</v>
      </c>
      <c r="F101" s="14">
        <f t="shared" si="6"/>
        <v>1403.4499999999534</v>
      </c>
      <c r="G101" s="15">
        <f t="shared" si="9"/>
        <v>1.8848766066928912E-3</v>
      </c>
      <c r="H101" s="16">
        <v>725375.63800000004</v>
      </c>
      <c r="I101" s="16">
        <f t="shared" si="7"/>
        <v>20612.361999999965</v>
      </c>
      <c r="J101" s="15">
        <f t="shared" si="8"/>
        <v>2.8416121138052287E-2</v>
      </c>
      <c r="K101" s="51" t="s">
        <v>1804</v>
      </c>
      <c r="L101" s="99" t="s">
        <v>2044</v>
      </c>
    </row>
    <row r="102" spans="1:76" ht="15.6">
      <c r="A102" s="24" t="str">
        <v>Landau I</v>
      </c>
      <c r="B102" s="25" t="str">
        <v>NY</v>
      </c>
      <c r="C102" s="25" t="str">
        <f>Sites[[#This Row],[SOL'#]]</f>
        <v>SOL-10891</v>
      </c>
      <c r="D102" s="20">
        <v>349600</v>
      </c>
      <c r="E102" s="10" t="s">
        <v>661</v>
      </c>
      <c r="F102" s="10" t="str">
        <f t="shared" si="6"/>
        <v/>
      </c>
      <c r="G102" s="55" t="str">
        <f t="shared" si="9"/>
        <v/>
      </c>
      <c r="H102" s="12">
        <v>351386.53700000001</v>
      </c>
      <c r="I102" s="67">
        <f t="shared" si="7"/>
        <v>-1786.5370000000112</v>
      </c>
      <c r="J102" s="64">
        <f t="shared" si="8"/>
        <v>-5.0842499978876856E-3</v>
      </c>
      <c r="K102" s="53"/>
      <c r="L102" s="53"/>
    </row>
    <row r="103" spans="1:76" s="164" customFormat="1" ht="15.6">
      <c r="A103" s="26" t="str">
        <v>Landau II</v>
      </c>
      <c r="B103" s="27" t="str">
        <v>NY</v>
      </c>
      <c r="C103" s="27" t="str">
        <f>Sites[[#This Row],[SOL'#]]</f>
        <v>SOL-10895</v>
      </c>
      <c r="D103" s="66">
        <v>540650</v>
      </c>
      <c r="E103" s="14" t="s">
        <v>661</v>
      </c>
      <c r="F103" s="14" t="str">
        <f t="shared" si="6"/>
        <v/>
      </c>
      <c r="G103" s="68" t="str">
        <f t="shared" si="9"/>
        <v/>
      </c>
      <c r="H103" s="166" t="s">
        <v>661</v>
      </c>
      <c r="I103" s="69" t="str">
        <f t="shared" si="7"/>
        <v/>
      </c>
      <c r="J103" s="68" t="str">
        <f t="shared" si="8"/>
        <v/>
      </c>
      <c r="K103" s="51"/>
      <c r="L103" s="51"/>
      <c r="M103" s="103"/>
      <c r="N103" s="103"/>
      <c r="O103" s="103"/>
      <c r="P103" s="103"/>
      <c r="Q103" s="103"/>
      <c r="R103" s="103"/>
      <c r="S103" s="103"/>
      <c r="T103" s="103"/>
      <c r="U103" s="103"/>
      <c r="V103" s="103"/>
      <c r="W103" s="103"/>
      <c r="X103" s="103"/>
      <c r="Y103" s="103"/>
      <c r="Z103" s="103"/>
      <c r="AA103" s="103"/>
      <c r="AB103" s="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v>344350</v>
      </c>
      <c r="E104" s="10">
        <v>344300</v>
      </c>
      <c r="F104" s="10">
        <f t="shared" si="6"/>
        <v>50</v>
      </c>
      <c r="G104" s="55">
        <f t="shared" si="9"/>
        <v>1.4522218995062446E-4</v>
      </c>
      <c r="H104" s="12">
        <v>343001.80699999997</v>
      </c>
      <c r="I104" s="67">
        <f t="shared" si="7"/>
        <v>1348.1930000000284</v>
      </c>
      <c r="J104" s="64">
        <f t="shared" si="8"/>
        <v>3.9305711296151527E-3</v>
      </c>
      <c r="K104" s="53"/>
      <c r="L104" s="53"/>
    </row>
    <row r="105" spans="1:76" ht="15.6">
      <c r="A105" s="26" t="str">
        <v>Bullitt Farm Solar, LLC</v>
      </c>
      <c r="B105" s="27" t="str">
        <v>NY</v>
      </c>
      <c r="C105" s="27" t="str">
        <f>Sites[[#This Row],[SOL'#]]</f>
        <v>SOL-10998</v>
      </c>
      <c r="D105" s="9">
        <v>365107</v>
      </c>
      <c r="E105" s="14">
        <v>383050.13400000002</v>
      </c>
      <c r="F105" s="14">
        <f t="shared" si="6"/>
        <v>-17943.13400000002</v>
      </c>
      <c r="G105" s="15">
        <f t="shared" si="9"/>
        <v>-4.6842782203543147E-2</v>
      </c>
      <c r="H105" s="16">
        <v>403105.53</v>
      </c>
      <c r="I105" s="16">
        <f t="shared" si="7"/>
        <v>-37998.530000000028</v>
      </c>
      <c r="J105" s="15">
        <f t="shared" si="8"/>
        <v>-9.4264472134629421E-2</v>
      </c>
      <c r="K105" s="51"/>
      <c r="L105" s="52"/>
    </row>
    <row r="106" spans="1:76" ht="15.6">
      <c r="A106" s="24" t="str">
        <v>Brodhead Solar, LLC</v>
      </c>
      <c r="B106" s="25" t="str">
        <v>NY</v>
      </c>
      <c r="C106" s="25" t="str">
        <f>Sites[[#This Row],[SOL'#]]</f>
        <v>SOL-10899</v>
      </c>
      <c r="D106" s="20">
        <v>977279</v>
      </c>
      <c r="E106" s="10">
        <v>1028065.607</v>
      </c>
      <c r="F106" s="10">
        <f t="shared" si="6"/>
        <v>-50786.60699999996</v>
      </c>
      <c r="G106" s="55">
        <f t="shared" si="9"/>
        <v>-4.9400161482106623E-2</v>
      </c>
      <c r="H106" s="12">
        <v>871698.31</v>
      </c>
      <c r="I106" s="67">
        <f t="shared" si="7"/>
        <v>105580.68999999994</v>
      </c>
      <c r="J106" s="64">
        <f t="shared" si="8"/>
        <v>0.12112067763444435</v>
      </c>
      <c r="K106" s="53"/>
      <c r="L106" s="53"/>
    </row>
    <row r="107" spans="1:76" ht="15.6">
      <c r="A107" s="26" t="str">
        <v>Svenski</v>
      </c>
      <c r="B107" s="27" t="str">
        <v>NY</v>
      </c>
      <c r="C107" s="27" t="str">
        <f>Sites[[#This Row],[SOL'#]]</f>
        <v>SOL-10894</v>
      </c>
      <c r="D107" s="9">
        <v>360081</v>
      </c>
      <c r="E107" s="14" t="s">
        <v>661</v>
      </c>
      <c r="F107" s="14" t="str">
        <f t="shared" si="6"/>
        <v/>
      </c>
      <c r="G107" s="15" t="str">
        <f t="shared" si="9"/>
        <v/>
      </c>
      <c r="H107" s="16">
        <v>351104.11099999998</v>
      </c>
      <c r="I107" s="16">
        <f t="shared" si="7"/>
        <v>8976.8890000000247</v>
      </c>
      <c r="J107" s="15">
        <f t="shared" si="8"/>
        <v>2.5567598665912589E-2</v>
      </c>
      <c r="K107" s="51"/>
      <c r="L107" s="96"/>
    </row>
    <row r="108" spans="1:76" ht="86.45">
      <c r="A108" s="24" t="str">
        <v>Bantam</v>
      </c>
      <c r="B108" s="25" t="str">
        <v>NY</v>
      </c>
      <c r="C108" s="25" t="str">
        <f>Sites[[#This Row],[SOL'#]]</f>
        <v>SOL-10986</v>
      </c>
      <c r="D108" s="20">
        <v>32790</v>
      </c>
      <c r="E108" s="10">
        <v>689420</v>
      </c>
      <c r="F108" s="10">
        <f t="shared" si="6"/>
        <v>-656630</v>
      </c>
      <c r="G108" s="55">
        <f t="shared" si="9"/>
        <v>-0.9524382814539758</v>
      </c>
      <c r="H108" s="12">
        <v>926335.49300000002</v>
      </c>
      <c r="I108" s="67">
        <f t="shared" si="7"/>
        <v>-893545.49300000002</v>
      </c>
      <c r="J108" s="64">
        <f t="shared" si="8"/>
        <v>-0.96460245748135232</v>
      </c>
      <c r="K108" s="53" t="s">
        <v>2045</v>
      </c>
      <c r="L108" s="98" t="s">
        <v>2046</v>
      </c>
      <c r="M108" s="102" t="s">
        <v>2047</v>
      </c>
      <c r="N108" s="102" t="s">
        <v>2048</v>
      </c>
    </row>
    <row r="109" spans="1:76" ht="15.6">
      <c r="A109" s="26" t="str">
        <v>Bogart</v>
      </c>
      <c r="B109" s="27" t="str">
        <v>NY</v>
      </c>
      <c r="C109" s="27" t="str">
        <f>Sites[[#This Row],[SOL'#]]</f>
        <v>SOL-10887</v>
      </c>
      <c r="D109" s="9">
        <v>349730</v>
      </c>
      <c r="E109" s="14">
        <v>348570</v>
      </c>
      <c r="F109" s="14">
        <f t="shared" si="6"/>
        <v>1160</v>
      </c>
      <c r="G109" s="15">
        <f t="shared" si="9"/>
        <v>3.3278824913216859E-3</v>
      </c>
      <c r="H109" s="16">
        <v>340590.93900000001</v>
      </c>
      <c r="I109" s="16">
        <f t="shared" si="7"/>
        <v>9139.060999999987</v>
      </c>
      <c r="J109" s="15">
        <f t="shared" si="8"/>
        <v>2.6832954002924861E-2</v>
      </c>
      <c r="K109" s="51"/>
      <c r="L109" s="96"/>
    </row>
    <row r="110" spans="1:76" ht="26.45">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t="s">
        <v>1817</v>
      </c>
      <c r="L110" s="98" t="s">
        <v>1818</v>
      </c>
      <c r="M110" s="102" t="s">
        <v>1819</v>
      </c>
    </row>
    <row r="111" spans="1:76" ht="86.45">
      <c r="A111" s="26" t="str">
        <v>Salt Point</v>
      </c>
      <c r="B111" s="27" t="str">
        <v>NY</v>
      </c>
      <c r="C111" s="27" t="str">
        <f>Sites[[#This Row],[SOL'#]]</f>
        <v>SOL-10888</v>
      </c>
      <c r="D111" s="9">
        <v>288960</v>
      </c>
      <c r="E111" s="14">
        <v>288960</v>
      </c>
      <c r="F111" s="14">
        <f t="shared" si="6"/>
        <v>0</v>
      </c>
      <c r="G111" s="15">
        <f t="shared" si="9"/>
        <v>0</v>
      </c>
      <c r="H111" s="16">
        <v>373365.48700000002</v>
      </c>
      <c r="I111" s="16">
        <f t="shared" si="7"/>
        <v>-84405.487000000023</v>
      </c>
      <c r="J111" s="15">
        <f t="shared" si="8"/>
        <v>-0.22606665570028978</v>
      </c>
      <c r="K111" s="51" t="s">
        <v>2049</v>
      </c>
      <c r="L111" s="99" t="s">
        <v>2050</v>
      </c>
      <c r="M111" s="102" t="s">
        <v>2051</v>
      </c>
      <c r="N111" s="102" t="s">
        <v>2052</v>
      </c>
      <c r="O111" s="102" t="s">
        <v>2053</v>
      </c>
      <c r="P111" s="102" t="s">
        <v>2054</v>
      </c>
      <c r="Q111" s="102" t="s">
        <v>2055</v>
      </c>
    </row>
    <row r="112" spans="1:76" ht="57.6">
      <c r="A112" s="24" t="str">
        <v>Wheatland 2A</v>
      </c>
      <c r="B112" s="25" t="str">
        <v>NY</v>
      </c>
      <c r="C112" s="25" t="str">
        <f>Sites[[#This Row],[SOL'#]]</f>
        <v>SOL-10971</v>
      </c>
      <c r="D112" s="20">
        <v>777430</v>
      </c>
      <c r="E112" s="10">
        <v>775310</v>
      </c>
      <c r="F112" s="10">
        <f t="shared" si="6"/>
        <v>2120</v>
      </c>
      <c r="G112" s="55">
        <f t="shared" si="9"/>
        <v>2.7343901149217732E-3</v>
      </c>
      <c r="H112" s="12">
        <v>814850.22499999998</v>
      </c>
      <c r="I112" s="67">
        <f t="shared" si="7"/>
        <v>-37420.224999999977</v>
      </c>
      <c r="J112" s="64">
        <f t="shared" si="8"/>
        <v>-4.5922825878829419E-2</v>
      </c>
      <c r="K112" s="53" t="s">
        <v>2056</v>
      </c>
      <c r="L112" s="98" t="s">
        <v>2057</v>
      </c>
      <c r="M112" s="102" t="s">
        <v>2058</v>
      </c>
    </row>
    <row r="113" spans="1:14" ht="15.6">
      <c r="A113" s="26" t="str">
        <v>Wheatland 2B</v>
      </c>
      <c r="B113" s="27" t="str">
        <v>NY</v>
      </c>
      <c r="C113" s="27" t="str">
        <f>Sites[[#This Row],[SOL'#]]</f>
        <v>SOL-10961</v>
      </c>
      <c r="D113" s="9">
        <v>877860</v>
      </c>
      <c r="E113" s="14">
        <v>875560</v>
      </c>
      <c r="F113" s="14">
        <f t="shared" si="6"/>
        <v>2300</v>
      </c>
      <c r="G113" s="15">
        <f t="shared" si="9"/>
        <v>2.6268902188313764E-3</v>
      </c>
      <c r="H113" s="16">
        <v>804178.799</v>
      </c>
      <c r="I113" s="16">
        <f t="shared" si="7"/>
        <v>73681.201000000001</v>
      </c>
      <c r="J113" s="15">
        <f t="shared" si="8"/>
        <v>9.1622909098850791E-2</v>
      </c>
      <c r="K113" s="51"/>
      <c r="L113" s="51"/>
    </row>
    <row r="114" spans="1:14" ht="72">
      <c r="A114" s="24" t="str">
        <v>Brickchurch</v>
      </c>
      <c r="B114" s="25" t="str">
        <v>NY</v>
      </c>
      <c r="C114" s="25" t="str">
        <f>Sites[[#This Row],[SOL'#]]</f>
        <v>SOL-10889</v>
      </c>
      <c r="D114" s="20">
        <v>0</v>
      </c>
      <c r="E114" s="10">
        <v>0</v>
      </c>
      <c r="F114" s="10">
        <f t="shared" si="6"/>
        <v>0</v>
      </c>
      <c r="G114" s="55" t="str">
        <f t="shared" ref="G114:G145" si="10">IFERROR(F114/E114, "")</f>
        <v/>
      </c>
      <c r="H114" s="12">
        <v>374561.07900000003</v>
      </c>
      <c r="I114" s="67">
        <f t="shared" si="7"/>
        <v>-374561.07900000003</v>
      </c>
      <c r="J114" s="64">
        <f t="shared" si="8"/>
        <v>-1</v>
      </c>
      <c r="K114" s="53" t="s">
        <v>2059</v>
      </c>
      <c r="L114" s="98" t="s">
        <v>2060</v>
      </c>
      <c r="M114" s="102" t="s">
        <v>343</v>
      </c>
    </row>
    <row r="115" spans="1:14" ht="15.6">
      <c r="A115" s="26" t="str">
        <v>McCarthy Solar</v>
      </c>
      <c r="B115" s="27" t="str">
        <v>NY</v>
      </c>
      <c r="C115" s="27" t="str">
        <f>Sites[[#This Row],[SOL'#]]</f>
        <v>SOL-10992</v>
      </c>
      <c r="D115" s="9">
        <v>364240</v>
      </c>
      <c r="E115" s="14">
        <v>0</v>
      </c>
      <c r="F115" s="14">
        <f t="shared" si="6"/>
        <v>364240</v>
      </c>
      <c r="G115" s="15" t="str">
        <f t="shared" si="10"/>
        <v/>
      </c>
      <c r="H115" s="16">
        <v>350611.85</v>
      </c>
      <c r="I115" s="16">
        <f t="shared" si="7"/>
        <v>13628.150000000023</v>
      </c>
      <c r="J115" s="15">
        <f t="shared" si="8"/>
        <v>3.8869621776902362E-2</v>
      </c>
      <c r="K115" s="51"/>
      <c r="L115" s="52"/>
    </row>
    <row r="116" spans="1:14" ht="43.15">
      <c r="A116" s="24" t="str">
        <v>Costanza</v>
      </c>
      <c r="B116" s="25" t="str">
        <v>NY</v>
      </c>
      <c r="C116" s="25" t="str">
        <f>Sites[[#This Row],[SOL'#]]</f>
        <v>SOL-10907</v>
      </c>
      <c r="D116" s="20">
        <v>381550</v>
      </c>
      <c r="E116" s="10">
        <v>366527.32</v>
      </c>
      <c r="F116" s="10">
        <f t="shared" si="6"/>
        <v>15022.679999999993</v>
      </c>
      <c r="G116" s="55">
        <f t="shared" si="10"/>
        <v>4.0986521823257245E-2</v>
      </c>
      <c r="H116" s="12">
        <v>350492.93</v>
      </c>
      <c r="I116" s="67">
        <f t="shared" si="7"/>
        <v>31057.070000000007</v>
      </c>
      <c r="J116" s="64">
        <f t="shared" si="8"/>
        <v>8.860969035809084E-2</v>
      </c>
      <c r="K116" s="53" t="s">
        <v>2061</v>
      </c>
      <c r="L116" s="98" t="s">
        <v>2062</v>
      </c>
      <c r="M116" s="102" t="s">
        <v>2063</v>
      </c>
      <c r="N116" s="102" t="s">
        <v>2064</v>
      </c>
    </row>
    <row r="117" spans="1:14" ht="15.6">
      <c r="A117" s="26" t="str">
        <v>Lockenhurst Pond</v>
      </c>
      <c r="B117" s="27" t="str">
        <v>NY</v>
      </c>
      <c r="C117" s="27" t="str">
        <f>Sites[[#This Row],[SOL'#]]</f>
        <v>SOL-11000</v>
      </c>
      <c r="D117" s="9">
        <v>382747</v>
      </c>
      <c r="E117" s="14">
        <v>410378.17800000001</v>
      </c>
      <c r="F117" s="14">
        <f t="shared" si="6"/>
        <v>-27631.178000000014</v>
      </c>
      <c r="G117" s="15">
        <f t="shared" si="10"/>
        <v>-6.7331011933095555E-2</v>
      </c>
      <c r="H117" s="16">
        <v>382545</v>
      </c>
      <c r="I117" s="16">
        <f t="shared" si="7"/>
        <v>202</v>
      </c>
      <c r="J117" s="15">
        <f t="shared" si="8"/>
        <v>5.2804245252192547E-4</v>
      </c>
      <c r="K117" s="51"/>
      <c r="L117" s="52"/>
    </row>
    <row r="118" spans="1:14" ht="15.6">
      <c r="A118" s="24" t="str">
        <v>Drinkwater</v>
      </c>
      <c r="B118" s="25" t="str">
        <v>NY</v>
      </c>
      <c r="C118" s="25" t="str">
        <f>Sites[[#This Row],[SOL'#]]</f>
        <v>SOL-10896</v>
      </c>
      <c r="D118" s="20">
        <v>402780</v>
      </c>
      <c r="E118" s="10">
        <v>401580</v>
      </c>
      <c r="F118" s="10">
        <f t="shared" si="6"/>
        <v>1200</v>
      </c>
      <c r="G118" s="55">
        <f t="shared" si="10"/>
        <v>2.9881966233378156E-3</v>
      </c>
      <c r="H118" s="12">
        <v>353111.54</v>
      </c>
      <c r="I118" s="67">
        <f t="shared" si="7"/>
        <v>49668.460000000021</v>
      </c>
      <c r="J118" s="64">
        <f t="shared" si="8"/>
        <v>0.14065940750619485</v>
      </c>
      <c r="K118" s="53"/>
      <c r="L118" s="53"/>
    </row>
    <row r="119" spans="1:14" ht="15.6">
      <c r="A119" s="26" t="str">
        <v>Altamont</v>
      </c>
      <c r="B119" s="27" t="str">
        <v>NY</v>
      </c>
      <c r="C119" s="27" t="str">
        <f>Sites[[#This Row],[SOL'#]]</f>
        <v>SOL-11085</v>
      </c>
      <c r="D119" s="9">
        <v>771306</v>
      </c>
      <c r="E119" s="14">
        <v>808528.37300000002</v>
      </c>
      <c r="F119" s="14">
        <f t="shared" si="6"/>
        <v>-37222.373000000021</v>
      </c>
      <c r="G119" s="15">
        <f t="shared" si="10"/>
        <v>-4.6037188357272427E-2</v>
      </c>
      <c r="H119" s="16">
        <v>565272.03</v>
      </c>
      <c r="I119" s="16">
        <f t="shared" si="7"/>
        <v>206033.96999999997</v>
      </c>
      <c r="J119" s="15">
        <f t="shared" si="8"/>
        <v>0.36448640489075668</v>
      </c>
      <c r="K119" s="51"/>
      <c r="L119" s="96"/>
    </row>
    <row r="120" spans="1:14" ht="15.6">
      <c r="A120" s="24" t="str">
        <v>Krumkill North</v>
      </c>
      <c r="B120" s="25" t="str">
        <v>NY</v>
      </c>
      <c r="C120" s="25" t="str">
        <f>Sites[[#This Row],[SOL'#]]</f>
        <v>SOL-11086</v>
      </c>
      <c r="D120" s="20">
        <v>705400</v>
      </c>
      <c r="E120" s="10">
        <v>804517.54</v>
      </c>
      <c r="F120" s="10">
        <f t="shared" si="6"/>
        <v>-99117.540000000037</v>
      </c>
      <c r="G120" s="55">
        <f t="shared" si="10"/>
        <v>-0.12320121696787373</v>
      </c>
      <c r="H120" s="12">
        <v>657287.14</v>
      </c>
      <c r="I120" s="67">
        <f t="shared" si="7"/>
        <v>48112.859999999986</v>
      </c>
      <c r="J120" s="64">
        <f t="shared" si="8"/>
        <v>7.3199150070089591E-2</v>
      </c>
      <c r="K120" s="53" t="s">
        <v>2065</v>
      </c>
      <c r="L120" s="53"/>
    </row>
    <row r="121" spans="1:14" ht="15.6">
      <c r="A121" s="26" t="str">
        <v>Krumkill South</v>
      </c>
      <c r="B121" s="27" t="str">
        <v>NY</v>
      </c>
      <c r="C121" s="27" t="str">
        <f>Sites[[#This Row],[SOL'#]]</f>
        <v>SOL-11087</v>
      </c>
      <c r="D121" s="9">
        <v>617530</v>
      </c>
      <c r="E121" s="14">
        <v>639693.76100000006</v>
      </c>
      <c r="F121" s="14">
        <f t="shared" si="6"/>
        <v>-22163.761000000057</v>
      </c>
      <c r="G121" s="15">
        <f>IFERROR(F121/E121, "")</f>
        <v>-3.4647455315732018E-2</v>
      </c>
      <c r="H121" s="16">
        <v>515283.25</v>
      </c>
      <c r="I121" s="16">
        <f t="shared" si="7"/>
        <v>102246.75</v>
      </c>
      <c r="J121" s="15">
        <f t="shared" si="8"/>
        <v>0.1984282431070678</v>
      </c>
      <c r="K121" s="51"/>
      <c r="L121" s="52"/>
    </row>
    <row r="122" spans="1:14" ht="15.6">
      <c r="A122" s="24" t="str">
        <v>X092</v>
      </c>
      <c r="B122" s="25" t="str">
        <v>NY</v>
      </c>
      <c r="C122" s="25" t="str">
        <f>Sites[[#This Row],[SOL'#]]</f>
        <v>SOL-11189</v>
      </c>
      <c r="D122" s="20">
        <v>16742.8</v>
      </c>
      <c r="E122" s="10">
        <v>16770.178</v>
      </c>
      <c r="F122" s="10">
        <f t="shared" si="6"/>
        <v>-27.378000000000611</v>
      </c>
      <c r="G122" s="55">
        <f t="shared" si="10"/>
        <v>-1.6325408114332843E-3</v>
      </c>
      <c r="H122" s="12">
        <v>16607.5</v>
      </c>
      <c r="I122" s="67">
        <f t="shared" si="7"/>
        <v>135.29999999999927</v>
      </c>
      <c r="J122" s="64">
        <f t="shared" si="8"/>
        <v>8.1469215715790615E-3</v>
      </c>
      <c r="K122" s="53"/>
      <c r="L122" s="53"/>
    </row>
    <row r="123" spans="1:14" ht="15.6">
      <c r="A123" s="26" t="str">
        <v>X093</v>
      </c>
      <c r="B123" s="27" t="str">
        <v>NY</v>
      </c>
      <c r="C123" s="27" t="str">
        <f>Sites[[#This Row],[SOL'#]]</f>
        <v>SOL-10932</v>
      </c>
      <c r="D123" s="9">
        <v>12987.717000000001</v>
      </c>
      <c r="E123" s="14">
        <v>12203.745000000001</v>
      </c>
      <c r="F123" s="14">
        <f t="shared" si="6"/>
        <v>783.97199999999975</v>
      </c>
      <c r="G123" s="15">
        <f t="shared" si="10"/>
        <v>6.4240280340174247E-2</v>
      </c>
      <c r="H123" s="16">
        <v>11630</v>
      </c>
      <c r="I123" s="16">
        <f t="shared" si="7"/>
        <v>1357.7170000000006</v>
      </c>
      <c r="J123" s="15">
        <f t="shared" si="8"/>
        <v>0.11674264832330185</v>
      </c>
      <c r="K123" s="51"/>
      <c r="L123" s="52"/>
    </row>
    <row r="124" spans="1:14" ht="15.6">
      <c r="A124" s="24" t="str">
        <v>X095</v>
      </c>
      <c r="B124" s="25" t="str">
        <v>NY</v>
      </c>
      <c r="C124" s="25" t="str">
        <f>Sites[[#This Row],[SOL'#]]</f>
        <v>SOL-10929</v>
      </c>
      <c r="D124" s="54">
        <v>16558.437999999998</v>
      </c>
      <c r="E124" s="10">
        <v>16975.633000000002</v>
      </c>
      <c r="F124" s="10">
        <f t="shared" si="6"/>
        <v>-417.19500000000335</v>
      </c>
      <c r="G124" s="55">
        <f t="shared" si="10"/>
        <v>-2.4576108590472198E-2</v>
      </c>
      <c r="H124" s="67">
        <v>15647</v>
      </c>
      <c r="I124" s="67">
        <f t="shared" si="7"/>
        <v>911.43799999999828</v>
      </c>
      <c r="J124" s="64">
        <f t="shared" si="8"/>
        <v>5.8250015977503566E-2</v>
      </c>
      <c r="K124" s="73"/>
      <c r="L124" s="73"/>
    </row>
    <row r="125" spans="1:14" ht="15.6">
      <c r="A125" s="26" t="str">
        <v>X181</v>
      </c>
      <c r="B125" s="27" t="str">
        <v>NY</v>
      </c>
      <c r="C125" s="27" t="str">
        <f>Sites[[#This Row],[SOL'#]]</f>
        <v>SOL-10428</v>
      </c>
      <c r="D125" s="9">
        <v>31569.219000000001</v>
      </c>
      <c r="E125" s="14">
        <v>27160.68</v>
      </c>
      <c r="F125" s="14">
        <f t="shared" si="6"/>
        <v>4408.5390000000007</v>
      </c>
      <c r="G125" s="15">
        <f t="shared" si="10"/>
        <v>0.16231327787080443</v>
      </c>
      <c r="H125" s="16">
        <v>28857</v>
      </c>
      <c r="I125" s="16">
        <f t="shared" si="7"/>
        <v>2712.219000000001</v>
      </c>
      <c r="J125" s="15">
        <f t="shared" si="8"/>
        <v>9.3988252417091203E-2</v>
      </c>
      <c r="K125" s="51"/>
      <c r="L125" s="51"/>
    </row>
    <row r="126" spans="1:14" ht="15.6">
      <c r="A126" s="24" t="str">
        <v>X415</v>
      </c>
      <c r="B126" s="25" t="str">
        <v>NY</v>
      </c>
      <c r="C126" s="25" t="str">
        <f>Sites[[#This Row],[SOL'#]]</f>
        <v>SOL-10429</v>
      </c>
      <c r="D126" s="20">
        <v>19582.921999999999</v>
      </c>
      <c r="E126" s="10">
        <v>16711.879000000001</v>
      </c>
      <c r="F126" s="10">
        <f t="shared" si="6"/>
        <v>2871.0429999999978</v>
      </c>
      <c r="G126" s="55">
        <f t="shared" si="10"/>
        <v>0.1717965406523107</v>
      </c>
      <c r="H126" s="12">
        <v>16452.5</v>
      </c>
      <c r="I126" s="67">
        <f t="shared" si="7"/>
        <v>3130.4219999999987</v>
      </c>
      <c r="J126" s="64">
        <f t="shared" si="8"/>
        <v>0.19027029326850015</v>
      </c>
      <c r="K126" s="53"/>
      <c r="L126" s="53"/>
    </row>
    <row r="127" spans="1:14" ht="75" customHeight="1">
      <c r="A127" s="26" t="str">
        <v>K198</v>
      </c>
      <c r="B127" s="27" t="str">
        <v>NY</v>
      </c>
      <c r="C127" s="27" t="str">
        <f>Sites[[#This Row],[SOL'#]]</f>
        <v>SOL-10930</v>
      </c>
      <c r="D127" s="9">
        <v>14193.039000000001</v>
      </c>
      <c r="E127" s="14">
        <v>13846.802</v>
      </c>
      <c r="F127" s="14">
        <f t="shared" si="6"/>
        <v>346.23700000000099</v>
      </c>
      <c r="G127" s="15">
        <f t="shared" si="10"/>
        <v>2.500483505144372E-2</v>
      </c>
      <c r="H127" s="16">
        <v>13571.5</v>
      </c>
      <c r="I127" s="16">
        <f t="shared" si="7"/>
        <v>621.53900000000067</v>
      </c>
      <c r="J127" s="15">
        <f t="shared" si="8"/>
        <v>4.5797369487529063E-2</v>
      </c>
      <c r="K127" s="51"/>
      <c r="L127" s="96"/>
    </row>
    <row r="128" spans="1:14" ht="15.6">
      <c r="A128" s="24" t="str">
        <v>K203</v>
      </c>
      <c r="B128" s="25" t="str">
        <v>NY</v>
      </c>
      <c r="C128" s="25" t="str">
        <f>Sites[[#This Row],[SOL'#]]</f>
        <v>SOL-11190</v>
      </c>
      <c r="D128" s="20">
        <v>18451.900000000001</v>
      </c>
      <c r="E128" s="10">
        <v>16311.15</v>
      </c>
      <c r="F128" s="10">
        <f t="shared" si="6"/>
        <v>2140.7500000000018</v>
      </c>
      <c r="G128" s="55">
        <f t="shared" si="10"/>
        <v>0.13124457809535206</v>
      </c>
      <c r="H128" s="12">
        <v>18078.5</v>
      </c>
      <c r="I128" s="67">
        <f t="shared" si="7"/>
        <v>373.40000000000146</v>
      </c>
      <c r="J128" s="64">
        <f t="shared" si="8"/>
        <v>2.0654368448709874E-2</v>
      </c>
      <c r="K128" s="53"/>
      <c r="L128" s="53"/>
    </row>
    <row r="129" spans="1:15" ht="15.6">
      <c r="A129" s="26" t="str">
        <v>K213</v>
      </c>
      <c r="B129" s="27" t="str">
        <v>NY</v>
      </c>
      <c r="C129" s="27" t="str">
        <f>Sites[[#This Row],[SOL'#]]</f>
        <v>SOL-11191</v>
      </c>
      <c r="D129" s="9">
        <v>20538.400000000001</v>
      </c>
      <c r="E129" s="14">
        <v>22358.421999999999</v>
      </c>
      <c r="F129" s="14">
        <f t="shared" si="6"/>
        <v>-1820.0219999999972</v>
      </c>
      <c r="G129" s="15">
        <f t="shared" si="10"/>
        <v>-8.1402077481138757E-2</v>
      </c>
      <c r="H129" s="16">
        <v>19254.5</v>
      </c>
      <c r="I129" s="16">
        <f t="shared" si="7"/>
        <v>1283.9000000000015</v>
      </c>
      <c r="J129" s="15">
        <f t="shared" si="8"/>
        <v>6.6680516242956261E-2</v>
      </c>
      <c r="K129" s="51"/>
      <c r="L129" s="52"/>
    </row>
    <row r="130" spans="1:15" ht="15.6">
      <c r="A130" s="24" t="str">
        <v>K217</v>
      </c>
      <c r="B130" s="25" t="str">
        <v>NY</v>
      </c>
      <c r="C130" s="25" t="str">
        <f>Sites[[#This Row],[SOL'#]]</f>
        <v>SOL-10933</v>
      </c>
      <c r="D130" s="20">
        <v>10837.977000000001</v>
      </c>
      <c r="E130" s="10">
        <v>10607.657999999999</v>
      </c>
      <c r="F130" s="10">
        <f t="shared" si="6"/>
        <v>230.31900000000132</v>
      </c>
      <c r="G130" s="55">
        <f t="shared" si="10"/>
        <v>2.1712521274724481E-2</v>
      </c>
      <c r="H130" s="12">
        <v>10100.5</v>
      </c>
      <c r="I130" s="67">
        <f t="shared" si="7"/>
        <v>737.47700000000077</v>
      </c>
      <c r="J130" s="64">
        <f t="shared" si="8"/>
        <v>7.3013910202465296E-2</v>
      </c>
      <c r="K130" s="53"/>
      <c r="L130" s="53"/>
    </row>
    <row r="131" spans="1:15" ht="15.6">
      <c r="A131" s="26" t="str">
        <v>K307</v>
      </c>
      <c r="B131" s="27" t="str">
        <v>NY</v>
      </c>
      <c r="C131" s="27" t="str">
        <f>Sites[[#This Row],[SOL'#]]</f>
        <v>SOL-10876</v>
      </c>
      <c r="D131" s="9">
        <v>22645.766</v>
      </c>
      <c r="E131" s="14">
        <v>25851.781999999999</v>
      </c>
      <c r="F131" s="14">
        <f t="shared" si="6"/>
        <v>-3206.0159999999996</v>
      </c>
      <c r="G131" s="15">
        <f t="shared" si="10"/>
        <v>-0.12401528064873825</v>
      </c>
      <c r="H131" s="16">
        <v>20995</v>
      </c>
      <c r="I131" s="16">
        <f t="shared" si="7"/>
        <v>1650.7659999999996</v>
      </c>
      <c r="J131" s="15">
        <f t="shared" si="8"/>
        <v>7.8626625386996885E-2</v>
      </c>
      <c r="K131" s="51" t="s">
        <v>2066</v>
      </c>
      <c r="L131" s="52"/>
    </row>
    <row r="132" spans="1:15" ht="43.15">
      <c r="A132" s="24" t="str">
        <v>K610</v>
      </c>
      <c r="B132" s="25" t="str">
        <v>NY</v>
      </c>
      <c r="C132" s="25" t="str">
        <f>Sites[[#This Row],[SOL'#]]</f>
        <v>SOL-11158</v>
      </c>
      <c r="D132" s="20">
        <v>20083.400000000001</v>
      </c>
      <c r="E132" s="10">
        <v>26649.621999999999</v>
      </c>
      <c r="F132" s="10">
        <f>IF(AND(ISNUMBER(D132),ISNUMBER(E132)), D132-E132, "")</f>
        <v>-6566.2219999999979</v>
      </c>
      <c r="G132" s="55">
        <f t="shared" si="10"/>
        <v>-0.24639081184716233</v>
      </c>
      <c r="H132" s="12">
        <v>25554</v>
      </c>
      <c r="I132" s="67">
        <f t="shared" si="7"/>
        <v>-5470.5999999999985</v>
      </c>
      <c r="J132" s="64">
        <f t="shared" si="8"/>
        <v>-0.21407998747749857</v>
      </c>
      <c r="K132" s="53" t="s">
        <v>2067</v>
      </c>
      <c r="L132" s="98" t="s">
        <v>2068</v>
      </c>
    </row>
    <row r="133" spans="1:15" ht="59.25" customHeight="1">
      <c r="A133" s="26" t="str">
        <v>M025</v>
      </c>
      <c r="B133" s="27" t="str">
        <v>NY</v>
      </c>
      <c r="C133" s="27" t="str">
        <f>Sites[[#This Row],[SOL'#]]</f>
        <v>SOL-10392</v>
      </c>
      <c r="D133" s="9">
        <v>21902.109</v>
      </c>
      <c r="E133" s="14">
        <v>25290.633000000002</v>
      </c>
      <c r="F133" s="14">
        <f>IF(AND(ISNUMBER(D133),ISNUMBER(E133)), D133-E133, "")</f>
        <v>-3388.5240000000013</v>
      </c>
      <c r="G133" s="15">
        <f t="shared" si="10"/>
        <v>-0.13398336055882828</v>
      </c>
      <c r="H133" s="16">
        <v>22627.5</v>
      </c>
      <c r="I133" s="16">
        <f>IF(AND(ISNUMBER(D133),ISNUMBER(H133)), D133-H133, "")</f>
        <v>-725.39099999999962</v>
      </c>
      <c r="J133" s="15">
        <f t="shared" ref="J133:J158" si="11">IFERROR(I133/H133, "")</f>
        <v>-3.2057938349353644E-2</v>
      </c>
      <c r="K133" s="51" t="s">
        <v>2069</v>
      </c>
      <c r="L133" s="99" t="s">
        <v>2070</v>
      </c>
      <c r="M133" s="102" t="s">
        <v>1363</v>
      </c>
    </row>
    <row r="134" spans="1:15" ht="15.6">
      <c r="A134" s="24" t="str">
        <v>M028</v>
      </c>
      <c r="B134" s="25" t="str">
        <v>NY</v>
      </c>
      <c r="C134" s="25" t="str">
        <f>Sites[[#This Row],[SOL'#]]</f>
        <v>SOL-10381</v>
      </c>
      <c r="D134" s="20">
        <v>18832.828000000001</v>
      </c>
      <c r="E134" s="10">
        <v>18450.27</v>
      </c>
      <c r="F134" s="10">
        <f t="shared" ref="F134:F158" si="12">IF(AND(ISNUMBER(D134),ISNUMBER(E134)), D134-E134, "")</f>
        <v>382.5580000000009</v>
      </c>
      <c r="G134" s="55">
        <f t="shared" si="10"/>
        <v>2.0734547516106858E-2</v>
      </c>
      <c r="H134" s="12">
        <v>16699.5</v>
      </c>
      <c r="I134" s="67">
        <f t="shared" ref="I134:I158" si="13">IF(AND(ISNUMBER(D134),ISNUMBER(H134)), D134-H134, "")</f>
        <v>2133.3280000000013</v>
      </c>
      <c r="J134" s="64">
        <f t="shared" si="11"/>
        <v>0.12774801640767697</v>
      </c>
      <c r="K134" s="53"/>
      <c r="L134" s="53"/>
    </row>
    <row r="135" spans="1:15" ht="15.6">
      <c r="A135" s="26" t="str">
        <v>Q030</v>
      </c>
      <c r="B135" s="27" t="str">
        <v>NY</v>
      </c>
      <c r="C135" s="27" t="str">
        <f>Sites[[#This Row],[SOL'#]]</f>
        <v>SOL-10878</v>
      </c>
      <c r="D135" s="9">
        <v>21987.530999999999</v>
      </c>
      <c r="E135" s="14">
        <v>22008.785</v>
      </c>
      <c r="F135" s="14">
        <f t="shared" si="12"/>
        <v>-21.254000000000815</v>
      </c>
      <c r="G135" s="15">
        <f t="shared" si="10"/>
        <v>-9.6570528541220317E-4</v>
      </c>
      <c r="H135" s="16">
        <v>20328</v>
      </c>
      <c r="I135" s="16">
        <f t="shared" si="13"/>
        <v>1659.530999999999</v>
      </c>
      <c r="J135" s="15">
        <f t="shared" si="11"/>
        <v>8.1637691853600897E-2</v>
      </c>
      <c r="K135" s="51"/>
      <c r="L135" s="52"/>
    </row>
    <row r="136" spans="1:15" ht="15.6">
      <c r="A136" s="24" t="str">
        <v>Q130</v>
      </c>
      <c r="B136" s="25" t="str">
        <v>NY</v>
      </c>
      <c r="C136" s="25" t="str">
        <f>Sites[[#This Row],[SOL'#]]</f>
        <v>SOL-10877</v>
      </c>
      <c r="D136" s="20">
        <v>12071.445</v>
      </c>
      <c r="E136" s="10">
        <v>11539.963</v>
      </c>
      <c r="F136" s="10">
        <f t="shared" si="12"/>
        <v>531.48199999999997</v>
      </c>
      <c r="G136" s="55">
        <f t="shared" si="10"/>
        <v>4.6055780248168907E-2</v>
      </c>
      <c r="H136" s="12">
        <v>11688.512000000001</v>
      </c>
      <c r="I136" s="67">
        <f>IF(AND(ISNUMBER(D136),ISNUMBER(H136)), D136-H136, "")</f>
        <v>382.93299999999908</v>
      </c>
      <c r="J136" s="64">
        <f t="shared" si="11"/>
        <v>3.2761484096521361E-2</v>
      </c>
      <c r="K136" s="53"/>
      <c r="L136" s="53"/>
    </row>
    <row r="137" spans="1:15" ht="15.6">
      <c r="A137" s="26" t="str">
        <v>Q196</v>
      </c>
      <c r="B137" s="27" t="str">
        <v>NY</v>
      </c>
      <c r="C137" s="27" t="str">
        <f>Sites[[#This Row],[SOL'#]]</f>
        <v>SOL-10879</v>
      </c>
      <c r="D137" s="9">
        <v>15831.259</v>
      </c>
      <c r="E137" s="14">
        <v>16625.3</v>
      </c>
      <c r="F137" s="14">
        <f t="shared" si="12"/>
        <v>-794.04099999999926</v>
      </c>
      <c r="G137" s="15">
        <f t="shared" si="10"/>
        <v>-4.7761002808971824E-2</v>
      </c>
      <c r="H137" s="16">
        <v>15117</v>
      </c>
      <c r="I137" s="16">
        <f t="shared" si="13"/>
        <v>714.25900000000001</v>
      </c>
      <c r="J137" s="15">
        <f t="shared" si="11"/>
        <v>4.7248726599192964E-2</v>
      </c>
      <c r="K137" s="51"/>
      <c r="L137" s="52"/>
    </row>
    <row r="138" spans="1:15" ht="15.6">
      <c r="A138" s="24" t="str">
        <v>Q220</v>
      </c>
      <c r="B138" s="25" t="str">
        <v>NY</v>
      </c>
      <c r="C138" s="25" t="str">
        <f>Sites[[#This Row],[SOL'#]]</f>
        <v>SOL-10873</v>
      </c>
      <c r="D138" s="20">
        <v>18870.905999999999</v>
      </c>
      <c r="E138" s="10">
        <v>22142.483</v>
      </c>
      <c r="F138" s="10">
        <f>IF(AND(ISNUMBER(D138),ISNUMBER(E138)), D138-E138, "")</f>
        <v>-3271.5770000000011</v>
      </c>
      <c r="G138" s="55">
        <f t="shared" si="10"/>
        <v>-0.14775113522724626</v>
      </c>
      <c r="H138" s="12">
        <v>17206</v>
      </c>
      <c r="I138" s="67">
        <f t="shared" si="13"/>
        <v>1664.905999999999</v>
      </c>
      <c r="J138" s="64">
        <f t="shared" si="11"/>
        <v>9.6763105893292983E-2</v>
      </c>
      <c r="K138" s="53" t="s">
        <v>1364</v>
      </c>
      <c r="L138" s="53"/>
    </row>
    <row r="139" spans="1:15" ht="15.6">
      <c r="A139" s="26" t="str">
        <v>Q205</v>
      </c>
      <c r="B139" s="27" t="str">
        <v>NY</v>
      </c>
      <c r="C139" s="27" t="str">
        <f>Sites[[#This Row],[SOL'#]]</f>
        <v>SOL-10922</v>
      </c>
      <c r="D139" s="9">
        <v>19051.905999999999</v>
      </c>
      <c r="E139" s="14">
        <v>27873.992999999999</v>
      </c>
      <c r="F139" s="14">
        <f t="shared" si="12"/>
        <v>-8822.0869999999995</v>
      </c>
      <c r="G139" s="15">
        <f t="shared" si="10"/>
        <v>-0.31649885970768521</v>
      </c>
      <c r="H139" s="16">
        <v>20799</v>
      </c>
      <c r="I139" s="16">
        <f t="shared" si="13"/>
        <v>-1747.094000000001</v>
      </c>
      <c r="J139" s="15">
        <f t="shared" si="11"/>
        <v>-8.3998942256839321E-2</v>
      </c>
      <c r="K139" s="51" t="s">
        <v>2071</v>
      </c>
      <c r="L139" s="99" t="s">
        <v>1852</v>
      </c>
    </row>
    <row r="140" spans="1:15" ht="84.75" customHeight="1">
      <c r="A140" s="24" t="str">
        <v>Q400</v>
      </c>
      <c r="B140" s="25" t="str">
        <v>NY</v>
      </c>
      <c r="C140" s="25" t="str">
        <f>Sites[[#This Row],[SOL'#]]</f>
        <v>SOL-10871</v>
      </c>
      <c r="D140" s="54">
        <v>24972.609</v>
      </c>
      <c r="E140" s="10" t="s">
        <v>661</v>
      </c>
      <c r="F140" s="10" t="str">
        <f t="shared" si="12"/>
        <v/>
      </c>
      <c r="G140" s="55" t="str">
        <f t="shared" si="10"/>
        <v/>
      </c>
      <c r="H140" s="67">
        <v>32920</v>
      </c>
      <c r="I140" s="67">
        <f t="shared" si="13"/>
        <v>-7947.3909999999996</v>
      </c>
      <c r="J140" s="64">
        <f t="shared" si="11"/>
        <v>-0.24141527946537059</v>
      </c>
      <c r="K140" s="73" t="s">
        <v>2072</v>
      </c>
      <c r="L140" s="98" t="s">
        <v>2073</v>
      </c>
      <c r="M140" s="102" t="s">
        <v>1857</v>
      </c>
      <c r="N140" s="102" t="s">
        <v>2074</v>
      </c>
      <c r="O140" s="102" t="s">
        <v>1372</v>
      </c>
    </row>
    <row r="141" spans="1:15" ht="28.9">
      <c r="A141" s="26" t="str">
        <v>R003</v>
      </c>
      <c r="B141" s="27" t="str">
        <v>NY</v>
      </c>
      <c r="C141" s="27" t="str">
        <f>Sites[[#This Row],[SOL'#]]</f>
        <v>SOL-10416</v>
      </c>
      <c r="D141" s="66">
        <v>31126.136999999999</v>
      </c>
      <c r="E141" s="14">
        <v>32647.877</v>
      </c>
      <c r="F141" s="14">
        <f t="shared" si="12"/>
        <v>-1521.7400000000016</v>
      </c>
      <c r="G141" s="68">
        <f t="shared" si="10"/>
        <v>-4.6610687733233055E-2</v>
      </c>
      <c r="H141" s="69">
        <v>31715</v>
      </c>
      <c r="I141" s="16">
        <f t="shared" si="13"/>
        <v>-588.86300000000119</v>
      </c>
      <c r="J141" s="15">
        <f t="shared" si="11"/>
        <v>-1.8567334069052536E-2</v>
      </c>
      <c r="K141" s="51" t="s">
        <v>2075</v>
      </c>
      <c r="L141" s="102" t="s">
        <v>1618</v>
      </c>
    </row>
    <row r="142" spans="1:15" ht="15.6">
      <c r="A142" s="24" t="str">
        <v>R007</v>
      </c>
      <c r="B142" s="25" t="str">
        <v>NY</v>
      </c>
      <c r="C142" s="25" t="str">
        <f>Sites[[#This Row],[SOL'#]]</f>
        <v>SOL-10417</v>
      </c>
      <c r="D142" s="54">
        <v>33838.343999999997</v>
      </c>
      <c r="E142" s="10">
        <v>35931.705999999998</v>
      </c>
      <c r="F142" s="10">
        <f t="shared" si="12"/>
        <v>-2093.362000000001</v>
      </c>
      <c r="G142" s="55">
        <f t="shared" si="10"/>
        <v>-5.8259465887870759E-2</v>
      </c>
      <c r="H142" s="67">
        <v>37087.146999999997</v>
      </c>
      <c r="I142" s="67">
        <f t="shared" si="13"/>
        <v>-3248.8029999999999</v>
      </c>
      <c r="J142" s="64">
        <f t="shared" si="11"/>
        <v>-8.7599162049321291E-2</v>
      </c>
      <c r="K142" s="73" t="s">
        <v>2076</v>
      </c>
      <c r="L142" s="98" t="s">
        <v>2077</v>
      </c>
    </row>
    <row r="143" spans="1:15" ht="15.6">
      <c r="A143" s="26" t="str">
        <v>BK16</v>
      </c>
      <c r="B143" s="27" t="str">
        <v>NY</v>
      </c>
      <c r="C143" s="27" t="str">
        <f>Sites[[#This Row],[SOL'#]]</f>
        <v>SOL-11093</v>
      </c>
      <c r="D143" s="66">
        <v>35419.531000000003</v>
      </c>
      <c r="E143" s="14">
        <v>35684.722000000002</v>
      </c>
      <c r="F143" s="14">
        <f t="shared" si="12"/>
        <v>-265.19099999999889</v>
      </c>
      <c r="G143" s="68">
        <f t="shared" si="10"/>
        <v>-7.4314996765282035E-3</v>
      </c>
      <c r="H143" s="69">
        <v>33985</v>
      </c>
      <c r="I143" s="16">
        <f t="shared" si="13"/>
        <v>1434.5310000000027</v>
      </c>
      <c r="J143" s="15">
        <f t="shared" si="11"/>
        <v>4.2210710607621091E-2</v>
      </c>
      <c r="K143" s="51"/>
      <c r="L143" s="74"/>
    </row>
    <row r="144" spans="1:15" ht="72">
      <c r="A144" s="24" t="str">
        <v>Trenton - Trenton East</v>
      </c>
      <c r="B144" s="25" t="str">
        <v>IL</v>
      </c>
      <c r="C144" s="25" t="str">
        <f>Sites[[#This Row],[SOL'#]]</f>
        <v>SOL-11060</v>
      </c>
      <c r="D144" s="54">
        <v>385246</v>
      </c>
      <c r="E144" s="10">
        <v>370788.592</v>
      </c>
      <c r="F144" s="10">
        <f t="shared" si="12"/>
        <v>14457.407999999996</v>
      </c>
      <c r="G144" s="55">
        <f t="shared" si="10"/>
        <v>3.8990973055611146E-2</v>
      </c>
      <c r="H144" s="67">
        <v>414731</v>
      </c>
      <c r="I144" s="67"/>
      <c r="J144" s="64">
        <f t="shared" si="11"/>
        <v>0</v>
      </c>
      <c r="K144" s="73" t="s">
        <v>2078</v>
      </c>
      <c r="L144" s="98" t="s">
        <v>2079</v>
      </c>
      <c r="M144" s="102" t="s">
        <v>856</v>
      </c>
    </row>
    <row r="145" spans="1:15" ht="127.5" customHeight="1">
      <c r="A145" s="26" t="str">
        <v>Trenton - Trenton West</v>
      </c>
      <c r="B145" s="27" t="str">
        <v>IL</v>
      </c>
      <c r="C145" s="27" t="str">
        <f>Sites[[#This Row],[SOL'#]]</f>
        <v>SOL-11061</v>
      </c>
      <c r="D145" s="66">
        <v>200204</v>
      </c>
      <c r="E145" s="14">
        <v>314115.89799999999</v>
      </c>
      <c r="F145" s="14">
        <f t="shared" si="12"/>
        <v>-113911.89799999999</v>
      </c>
      <c r="G145" s="68">
        <f t="shared" si="10"/>
        <v>-0.36264289303816133</v>
      </c>
      <c r="H145" s="69">
        <v>418327.5</v>
      </c>
      <c r="I145" s="16">
        <f t="shared" si="13"/>
        <v>-218123.5</v>
      </c>
      <c r="J145" s="15">
        <f t="shared" si="11"/>
        <v>-0.52141802774142265</v>
      </c>
      <c r="K145" s="51" t="s">
        <v>2080</v>
      </c>
      <c r="L145" s="101" t="s">
        <v>2081</v>
      </c>
      <c r="M145" s="102" t="s">
        <v>2082</v>
      </c>
      <c r="N145" s="102" t="s">
        <v>2083</v>
      </c>
      <c r="O145" s="102" t="s">
        <v>2084</v>
      </c>
    </row>
    <row r="146" spans="1:15" ht="28.9">
      <c r="A146" s="24" t="str">
        <v>Dakota - Dakota Solar 1</v>
      </c>
      <c r="B146" s="25" t="str">
        <v>IL</v>
      </c>
      <c r="C146" s="25" t="str">
        <f>Sites[[#This Row],[SOL'#]]</f>
        <v>SOL-11113</v>
      </c>
      <c r="D146" s="54">
        <v>453465</v>
      </c>
      <c r="E146" s="10">
        <v>466964.15899999999</v>
      </c>
      <c r="F146" s="10">
        <f t="shared" si="12"/>
        <v>-13499.158999999985</v>
      </c>
      <c r="G146" s="55">
        <f t="shared" ref="G146:G158" si="14">IFERROR(F146/E146, "")</f>
        <v>-2.8908340693444924E-2</v>
      </c>
      <c r="H146" s="67">
        <v>338951</v>
      </c>
      <c r="I146" s="67">
        <f t="shared" si="13"/>
        <v>114514</v>
      </c>
      <c r="J146" s="64">
        <f t="shared" si="11"/>
        <v>0.33784824355142778</v>
      </c>
      <c r="K146" s="73" t="s">
        <v>2085</v>
      </c>
      <c r="L146" s="98" t="s">
        <v>2086</v>
      </c>
      <c r="M146" s="102" t="s">
        <v>1866</v>
      </c>
    </row>
    <row r="147" spans="1:15" ht="15.6">
      <c r="A147" s="26" t="str">
        <v>X018</v>
      </c>
      <c r="B147" s="27" t="str">
        <v>NY</v>
      </c>
      <c r="C147" s="27" t="str">
        <f>Sites[[#This Row],[SOL'#]]</f>
        <v>SOL-10418</v>
      </c>
      <c r="D147" s="66">
        <v>17922.437999999998</v>
      </c>
      <c r="E147" s="14">
        <v>17687.560000000001</v>
      </c>
      <c r="F147" s="14"/>
      <c r="G147" s="68">
        <f t="shared" si="14"/>
        <v>0</v>
      </c>
      <c r="H147" s="69">
        <v>18838.5</v>
      </c>
      <c r="I147" s="16">
        <f t="shared" si="13"/>
        <v>-916.06200000000172</v>
      </c>
      <c r="J147" s="15">
        <f t="shared" si="11"/>
        <v>-4.8627119993630161E-2</v>
      </c>
      <c r="K147" s="51"/>
      <c r="L147" s="74"/>
    </row>
    <row r="148" spans="1:15" ht="15.6">
      <c r="A148" s="24" t="str">
        <v>Janiak Solar</v>
      </c>
      <c r="B148" s="25" t="str">
        <v>NY</v>
      </c>
      <c r="C148" s="25" t="str">
        <f>Sites[[#This Row],[SOL'#]]</f>
        <v>SOL-10898</v>
      </c>
      <c r="D148" s="54">
        <v>364927</v>
      </c>
      <c r="E148" s="10">
        <v>388586.723</v>
      </c>
      <c r="F148" s="10">
        <f t="shared" si="12"/>
        <v>-23659.722999999998</v>
      </c>
      <c r="G148" s="55">
        <f t="shared" si="14"/>
        <v>-6.0886596477975903E-2</v>
      </c>
      <c r="H148" s="67">
        <v>348105</v>
      </c>
      <c r="I148" s="67">
        <f t="shared" si="13"/>
        <v>16822</v>
      </c>
      <c r="J148" s="64">
        <f t="shared" si="11"/>
        <v>4.8324499791729508E-2</v>
      </c>
      <c r="K148" s="73"/>
      <c r="L148" s="53"/>
    </row>
    <row r="149" spans="1:15" ht="15.6">
      <c r="A149" s="26" t="str">
        <v>County Route 11B</v>
      </c>
      <c r="B149" s="27" t="str">
        <v>NY</v>
      </c>
      <c r="C149" s="27" t="str">
        <f>Sites[[#This Row],[SOL'#]]</f>
        <v>SOL-10983</v>
      </c>
      <c r="D149" s="66">
        <v>1158494.01</v>
      </c>
      <c r="E149" s="14">
        <v>1155494.0900000001</v>
      </c>
      <c r="F149" s="14">
        <f t="shared" si="12"/>
        <v>2999.9199999999255</v>
      </c>
      <c r="G149" s="68">
        <f t="shared" si="14"/>
        <v>2.5962227119655152E-3</v>
      </c>
      <c r="H149" s="166" t="s">
        <v>661</v>
      </c>
      <c r="I149" s="16" t="str">
        <f t="shared" si="13"/>
        <v/>
      </c>
      <c r="J149" s="15" t="str">
        <f t="shared" si="11"/>
        <v/>
      </c>
      <c r="K149" s="51"/>
      <c r="L149" s="82"/>
    </row>
    <row r="150" spans="1:15" ht="43.15">
      <c r="A150" s="24" t="str">
        <v>Barone</v>
      </c>
      <c r="B150" s="25" t="str">
        <v>NY</v>
      </c>
      <c r="C150" s="25" t="str">
        <f>Sites[[#This Row],[SOL'#]]</f>
        <v>SOL-11034</v>
      </c>
      <c r="D150" s="54">
        <v>509899</v>
      </c>
      <c r="E150" s="10">
        <v>507654</v>
      </c>
      <c r="F150" s="10">
        <f t="shared" si="12"/>
        <v>2245</v>
      </c>
      <c r="G150" s="55">
        <f t="shared" si="14"/>
        <v>4.4223033798610869E-3</v>
      </c>
      <c r="H150" s="67">
        <v>553220</v>
      </c>
      <c r="I150" s="67">
        <f t="shared" si="13"/>
        <v>-43321</v>
      </c>
      <c r="J150" s="64">
        <f t="shared" si="11"/>
        <v>-7.830700263909475E-2</v>
      </c>
      <c r="K150" s="73" t="s">
        <v>2087</v>
      </c>
      <c r="L150" s="98" t="s">
        <v>2088</v>
      </c>
      <c r="M150" s="102" t="s">
        <v>2089</v>
      </c>
    </row>
    <row r="151" spans="1:15" ht="15.6">
      <c r="A151" s="26" t="str">
        <v>Cedarville</v>
      </c>
      <c r="B151" s="27" t="str">
        <v>IL</v>
      </c>
      <c r="C151" s="27" t="str">
        <f>Sites[[#This Row],[SOL'#]]</f>
        <v>SOL-11069</v>
      </c>
      <c r="D151" s="66">
        <v>401966</v>
      </c>
      <c r="E151" s="14">
        <v>398283.63900000002</v>
      </c>
      <c r="F151" s="14">
        <f t="shared" si="12"/>
        <v>3682.3609999999753</v>
      </c>
      <c r="G151" s="68">
        <f t="shared" si="14"/>
        <v>9.2455743581271611E-3</v>
      </c>
      <c r="H151" s="69">
        <v>406725.14</v>
      </c>
      <c r="I151" s="16">
        <f t="shared" si="13"/>
        <v>-4759.140000000014</v>
      </c>
      <c r="J151" s="15">
        <f t="shared" si="11"/>
        <v>-1.1701120810973263E-2</v>
      </c>
      <c r="K151" s="51"/>
      <c r="L151" s="74"/>
    </row>
    <row r="152" spans="1:15" ht="28.9">
      <c r="A152" s="24" t="str">
        <v xml:space="preserve"> O'Brien Hill #1</v>
      </c>
      <c r="B152" s="25" t="str">
        <v>NY</v>
      </c>
      <c r="C152" s="25" t="str">
        <f>Sites[[#This Row],[SOL'#]]</f>
        <v>SOL-11098</v>
      </c>
      <c r="D152" s="54">
        <v>0</v>
      </c>
      <c r="E152" s="10">
        <v>0</v>
      </c>
      <c r="F152" s="10">
        <f t="shared" si="12"/>
        <v>0</v>
      </c>
      <c r="G152" s="55" t="str">
        <f t="shared" si="14"/>
        <v/>
      </c>
      <c r="H152" s="126" t="s">
        <v>661</v>
      </c>
      <c r="I152" s="67" t="str">
        <f t="shared" si="13"/>
        <v/>
      </c>
      <c r="J152" s="64" t="str">
        <f t="shared" si="11"/>
        <v/>
      </c>
      <c r="K152" s="73" t="s">
        <v>1390</v>
      </c>
      <c r="L152" s="100" t="s">
        <v>1391</v>
      </c>
      <c r="M152" s="102" t="s">
        <v>877</v>
      </c>
    </row>
    <row r="153" spans="1:15" ht="15.6">
      <c r="A153" s="26" t="str">
        <v xml:space="preserve"> O'Brien Hill #2</v>
      </c>
      <c r="B153" s="27" t="str">
        <v>NY</v>
      </c>
      <c r="C153" s="27" t="str">
        <f>Sites[[#This Row],[SOL'#]]</f>
        <v>SOL-11099</v>
      </c>
      <c r="D153" s="66">
        <v>970564</v>
      </c>
      <c r="E153" s="14">
        <v>970445</v>
      </c>
      <c r="F153" s="14">
        <f t="shared" si="12"/>
        <v>119</v>
      </c>
      <c r="G153" s="68">
        <f t="shared" si="14"/>
        <v>1.226241569589209E-4</v>
      </c>
      <c r="H153" s="166" t="s">
        <v>661</v>
      </c>
      <c r="I153" s="16" t="str">
        <f t="shared" si="13"/>
        <v/>
      </c>
      <c r="J153" s="15" t="str">
        <f t="shared" si="11"/>
        <v/>
      </c>
      <c r="K153" s="186" t="s">
        <v>2090</v>
      </c>
      <c r="L153" s="102" t="s">
        <v>2091</v>
      </c>
      <c r="M153" s="102" t="s">
        <v>2092</v>
      </c>
    </row>
    <row r="154" spans="1:15" ht="72">
      <c r="A154" s="24" t="str">
        <v>Trinity - Freeport</v>
      </c>
      <c r="B154" s="25" t="str">
        <v>IL</v>
      </c>
      <c r="C154" s="25" t="str">
        <f>Sites[[#This Row],[SOL'#]]</f>
        <v>SOL-11057</v>
      </c>
      <c r="D154" s="54">
        <v>440093</v>
      </c>
      <c r="E154" s="10">
        <v>490266.228</v>
      </c>
      <c r="F154" s="10">
        <f t="shared" si="12"/>
        <v>-50173.228000000003</v>
      </c>
      <c r="G154" s="55">
        <f t="shared" si="14"/>
        <v>-0.10233873992234277</v>
      </c>
      <c r="H154" s="67">
        <v>417863.5</v>
      </c>
      <c r="I154" s="67">
        <f t="shared" si="13"/>
        <v>22229.5</v>
      </c>
      <c r="J154" s="64">
        <f t="shared" si="11"/>
        <v>5.3197994081799441E-2</v>
      </c>
      <c r="K154" s="73" t="s">
        <v>2093</v>
      </c>
      <c r="L154" s="98" t="s">
        <v>2094</v>
      </c>
      <c r="M154" s="102" t="s">
        <v>884</v>
      </c>
    </row>
    <row r="155" spans="1:15" ht="43.15">
      <c r="A155" s="26" t="str">
        <v>Ransom</v>
      </c>
      <c r="B155" s="27" t="str">
        <v>NY</v>
      </c>
      <c r="C155" s="27" t="str">
        <f>Sites[[#This Row],[SOL'#]]</f>
        <v>SOL-11157</v>
      </c>
      <c r="D155" s="66">
        <v>879502</v>
      </c>
      <c r="E155" s="14">
        <v>875614</v>
      </c>
      <c r="F155" s="14">
        <f t="shared" si="12"/>
        <v>3888</v>
      </c>
      <c r="G155" s="68">
        <f t="shared" si="14"/>
        <v>4.4403127405454913E-3</v>
      </c>
      <c r="H155" s="166" t="s">
        <v>661</v>
      </c>
      <c r="I155" s="16" t="str">
        <f t="shared" si="13"/>
        <v/>
      </c>
      <c r="J155" s="15" t="str">
        <f t="shared" si="11"/>
        <v/>
      </c>
      <c r="K155" s="51" t="s">
        <v>2095</v>
      </c>
      <c r="L155" s="102" t="s">
        <v>2096</v>
      </c>
    </row>
    <row r="156" spans="1:15" ht="28.9">
      <c r="A156" s="24" t="str">
        <v>Horseheads - Wedge</v>
      </c>
      <c r="B156" s="25" t="str">
        <v>NY</v>
      </c>
      <c r="C156" s="25" t="str">
        <f>Sites[[#This Row],[SOL'#]]</f>
        <v>SOL-11160</v>
      </c>
      <c r="D156" s="54">
        <v>538382</v>
      </c>
      <c r="E156" s="10">
        <v>536973</v>
      </c>
      <c r="F156" s="10">
        <f t="shared" si="12"/>
        <v>1409</v>
      </c>
      <c r="G156" s="55">
        <f t="shared" si="14"/>
        <v>2.6239680579842935E-3</v>
      </c>
      <c r="H156" s="126" t="s">
        <v>661</v>
      </c>
      <c r="I156" s="67" t="str">
        <f t="shared" si="13"/>
        <v/>
      </c>
      <c r="J156" s="64" t="str">
        <f t="shared" si="11"/>
        <v/>
      </c>
      <c r="K156" s="73" t="s">
        <v>2097</v>
      </c>
      <c r="L156" s="98" t="s">
        <v>2098</v>
      </c>
    </row>
    <row r="157" spans="1:15" ht="15.6">
      <c r="A157" s="26" t="str">
        <v>Otisville - Shoddy Hollow</v>
      </c>
      <c r="B157" s="27" t="str">
        <v>NY</v>
      </c>
      <c r="C157" s="27" t="str">
        <f>Sites[[#This Row],[SOL'#]]</f>
        <v>SOL-11185</v>
      </c>
      <c r="D157" s="66">
        <v>958525</v>
      </c>
      <c r="E157" s="14">
        <v>954010</v>
      </c>
      <c r="F157" s="14">
        <f t="shared" si="12"/>
        <v>4515</v>
      </c>
      <c r="G157" s="68">
        <f t="shared" si="14"/>
        <v>4.732654793974906E-3</v>
      </c>
      <c r="H157" s="166" t="s">
        <v>661</v>
      </c>
      <c r="I157" s="16" t="str">
        <f t="shared" si="13"/>
        <v/>
      </c>
      <c r="J157" s="15" t="str">
        <f t="shared" si="11"/>
        <v/>
      </c>
      <c r="L157" s="74"/>
    </row>
    <row r="158" spans="1:15" ht="39.6">
      <c r="A158" s="24" t="str">
        <v>Wellsville - Chenunda Creek</v>
      </c>
      <c r="B158" s="25" t="str">
        <v>NY</v>
      </c>
      <c r="C158" s="25" t="str">
        <f>Sites[[#This Row],[SOL'#]]</f>
        <v>SOL-11187</v>
      </c>
      <c r="D158" s="54">
        <v>429386</v>
      </c>
      <c r="E158" s="10">
        <v>428161</v>
      </c>
      <c r="F158" s="10">
        <f t="shared" si="12"/>
        <v>1225</v>
      </c>
      <c r="G158" s="55">
        <f t="shared" si="14"/>
        <v>2.8610732878519996E-3</v>
      </c>
      <c r="H158" s="126" t="s">
        <v>661</v>
      </c>
      <c r="I158" s="67" t="str">
        <f t="shared" si="13"/>
        <v/>
      </c>
      <c r="J158" s="64" t="str">
        <f t="shared" si="11"/>
        <v/>
      </c>
      <c r="K158" s="73" t="s">
        <v>2099</v>
      </c>
      <c r="L158" s="98" t="s">
        <v>2100</v>
      </c>
      <c r="M158" s="102" t="s">
        <v>2101</v>
      </c>
      <c r="N158" s="102" t="s">
        <v>2102</v>
      </c>
    </row>
    <row r="159" spans="1:15" ht="28.9">
      <c r="A159" s="26" t="str">
        <v>DC: Washington - Essex Condominium</v>
      </c>
      <c r="B159" s="27" t="str">
        <v>DC</v>
      </c>
      <c r="C159" s="27" t="str">
        <f>Sites[[#This Row],[SOL'#]]</f>
        <v>SOL-10036</v>
      </c>
      <c r="D159" s="66">
        <v>3165</v>
      </c>
      <c r="E159" s="14">
        <v>4005.1320000000001</v>
      </c>
      <c r="F159" s="14">
        <f t="shared" ref="F159:F166" si="15">IF(AND(ISNUMBER(D159),ISNUMBER(E159)), D159-E159, "")</f>
        <v>-840.13200000000006</v>
      </c>
      <c r="G159" s="68">
        <f t="shared" ref="G159:G166" si="16">IFERROR(F159/E159, "")</f>
        <v>-0.20976387295100388</v>
      </c>
      <c r="H159" s="69">
        <v>4042.779</v>
      </c>
      <c r="I159" s="69">
        <f t="shared" ref="I159:I166" si="17">IF(AND(ISNUMBER(D159),ISNUMBER(H159)), D159-H159, "")</f>
        <v>-877.779</v>
      </c>
      <c r="J159" s="68">
        <f t="shared" ref="J159:J166" si="18">IFERROR(I159/H159, "")</f>
        <v>-0.21712267724750722</v>
      </c>
      <c r="K159" s="51" t="s">
        <v>2103</v>
      </c>
      <c r="L159" s="74"/>
    </row>
    <row r="160" spans="1:15" ht="28.9">
      <c r="A160" s="24" t="str">
        <v>HI: Waipahu - 94-246 Leoku St - E.F.G.</v>
      </c>
      <c r="B160" s="25" t="str">
        <v>HI</v>
      </c>
      <c r="C160" s="25" t="str">
        <f>Sites[[#This Row],[SOL'#]]</f>
        <v>SOL-10071</v>
      </c>
      <c r="D160" s="54">
        <v>7461</v>
      </c>
      <c r="E160" s="10">
        <v>11389.513999999999</v>
      </c>
      <c r="F160" s="10">
        <f t="shared" si="15"/>
        <v>-3928.5139999999992</v>
      </c>
      <c r="G160" s="55">
        <f t="shared" si="16"/>
        <v>-0.34492376057485857</v>
      </c>
      <c r="H160" s="67">
        <v>12766.550999999999</v>
      </c>
      <c r="I160" s="67">
        <f t="shared" si="17"/>
        <v>-5305.5509999999995</v>
      </c>
      <c r="J160" s="64">
        <f t="shared" si="18"/>
        <v>-0.41558217250688928</v>
      </c>
      <c r="K160" s="73" t="s">
        <v>2104</v>
      </c>
      <c r="L160" s="100" t="s">
        <v>2105</v>
      </c>
      <c r="M160" s="102" t="s">
        <v>2106</v>
      </c>
    </row>
    <row r="161" spans="1:13" ht="15.6">
      <c r="A161" s="26" t="str">
        <v>HI: Waipahu - 94-099 Waipahu St - PV</v>
      </c>
      <c r="B161" s="27" t="str">
        <v>HI</v>
      </c>
      <c r="C161" s="27" t="str">
        <f>Sites[[#This Row],[SOL'#]]</f>
        <v>SOL-10068</v>
      </c>
      <c r="D161" s="66">
        <v>12995</v>
      </c>
      <c r="E161" s="14">
        <v>10270.552</v>
      </c>
      <c r="F161" s="14">
        <f t="shared" si="15"/>
        <v>2724.4480000000003</v>
      </c>
      <c r="G161" s="68">
        <f t="shared" si="16"/>
        <v>0.26526792328202031</v>
      </c>
      <c r="H161" s="69">
        <v>12759.718999999999</v>
      </c>
      <c r="I161" s="69">
        <f t="shared" si="17"/>
        <v>235.28100000000086</v>
      </c>
      <c r="J161" s="68">
        <f t="shared" si="18"/>
        <v>1.8439355913715722E-2</v>
      </c>
      <c r="L161" s="74"/>
    </row>
    <row r="162" spans="1:13" ht="15.6">
      <c r="A162" s="24" t="str">
        <v>IL: Prophetstown - 5170 Yager Road (PW)</v>
      </c>
      <c r="B162" s="25" t="str">
        <v>IL</v>
      </c>
      <c r="C162" s="25" t="str">
        <f>Sites[[#This Row],[SOL'#]]</f>
        <v>SOL-11149</v>
      </c>
      <c r="D162" s="54">
        <v>441656</v>
      </c>
      <c r="E162" s="10">
        <v>451979.62900000002</v>
      </c>
      <c r="F162" s="10">
        <f t="shared" si="15"/>
        <v>-10323.629000000015</v>
      </c>
      <c r="G162" s="55">
        <f t="shared" si="16"/>
        <v>-2.2840916575910582E-2</v>
      </c>
      <c r="H162" s="67">
        <v>467435.56</v>
      </c>
      <c r="I162" s="67">
        <f t="shared" si="17"/>
        <v>-25779.559999999998</v>
      </c>
      <c r="J162" s="64">
        <f t="shared" si="18"/>
        <v>-5.515104584683287E-2</v>
      </c>
      <c r="K162" s="73"/>
      <c r="L162" s="73"/>
    </row>
    <row r="163" spans="1:13" ht="15.6">
      <c r="A163" s="26" t="str">
        <v>IL: Viola - Goldenrod - (PW)</v>
      </c>
      <c r="B163" s="27" t="str">
        <v>IL</v>
      </c>
      <c r="C163" s="27" t="str">
        <f>Sites[[#This Row],[SOL'#]]</f>
        <v>SOL-11132</v>
      </c>
      <c r="D163" s="66">
        <v>867778</v>
      </c>
      <c r="E163" s="14">
        <v>1010152.24</v>
      </c>
      <c r="F163" s="14">
        <f t="shared" si="15"/>
        <v>-142374.24</v>
      </c>
      <c r="G163" s="68">
        <f t="shared" si="16"/>
        <v>-0.14094334929158797</v>
      </c>
      <c r="H163" s="69">
        <v>1121564</v>
      </c>
      <c r="I163" s="69">
        <f t="shared" si="17"/>
        <v>-253786</v>
      </c>
      <c r="J163" s="68">
        <f t="shared" si="18"/>
        <v>-0.2262786608699994</v>
      </c>
      <c r="K163" s="48" t="s">
        <v>2107</v>
      </c>
      <c r="L163" s="102" t="s">
        <v>2108</v>
      </c>
    </row>
    <row r="164" spans="1:13" ht="28.9">
      <c r="A164" s="24" t="str">
        <v>IL: Marengo - Grant - (PW)</v>
      </c>
      <c r="B164" s="25" t="str">
        <v>IL</v>
      </c>
      <c r="C164" s="25" t="str">
        <f>Sites[[#This Row],[SOL'#]]</f>
        <v>SOL-11147</v>
      </c>
      <c r="D164" s="54">
        <v>441290</v>
      </c>
      <c r="E164" s="10">
        <v>325978.842</v>
      </c>
      <c r="F164" s="10">
        <f t="shared" si="15"/>
        <v>115311.158</v>
      </c>
      <c r="G164" s="55">
        <f t="shared" si="16"/>
        <v>0.35373816684703724</v>
      </c>
      <c r="H164" s="67">
        <v>456126.23</v>
      </c>
      <c r="I164" s="67">
        <f t="shared" si="17"/>
        <v>-14836.229999999981</v>
      </c>
      <c r="J164" s="64">
        <f t="shared" si="18"/>
        <v>-3.2526588089441782E-2</v>
      </c>
      <c r="K164" s="73" t="s">
        <v>2109</v>
      </c>
      <c r="L164" s="100" t="s">
        <v>2110</v>
      </c>
      <c r="M164" s="102" t="s">
        <v>2111</v>
      </c>
    </row>
    <row r="165" spans="1:13" ht="15.6">
      <c r="A165" s="26" t="str">
        <v>NY: Cambridge - Cambridge (PW)</v>
      </c>
      <c r="B165" s="27" t="str">
        <v>NY</v>
      </c>
      <c r="C165" s="27" t="str">
        <f>Sites[[#This Row],[SOL'#]]</f>
        <v>SOL-11126</v>
      </c>
      <c r="D165" s="66">
        <v>859803.23</v>
      </c>
      <c r="E165" s="14">
        <v>883303.58</v>
      </c>
      <c r="F165" s="14">
        <f t="shared" si="15"/>
        <v>-23500.349999999977</v>
      </c>
      <c r="G165" s="68">
        <f t="shared" si="16"/>
        <v>-2.6605065950259115E-2</v>
      </c>
      <c r="H165" s="69">
        <v>839014.5</v>
      </c>
      <c r="I165" s="69"/>
      <c r="J165" s="68">
        <f t="shared" si="18"/>
        <v>0</v>
      </c>
      <c r="K165" s="48"/>
      <c r="L165" s="75"/>
    </row>
    <row r="166" spans="1:13" ht="15.6">
      <c r="A166" s="24" t="str">
        <v>NY: Whitesville - Independence North</v>
      </c>
      <c r="B166" s="25" t="str">
        <v>NY</v>
      </c>
      <c r="C166" s="25" t="str">
        <f>Sites[[#This Row],[SOL'#]]</f>
        <v>SOL-11186</v>
      </c>
      <c r="D166" s="54">
        <v>765233</v>
      </c>
      <c r="E166" s="10" t="s">
        <v>661</v>
      </c>
      <c r="F166" s="10" t="str">
        <f t="shared" si="15"/>
        <v/>
      </c>
      <c r="G166" s="55" t="str">
        <f t="shared" si="16"/>
        <v/>
      </c>
      <c r="H166" s="146" t="s">
        <v>661</v>
      </c>
      <c r="I166" s="67" t="str">
        <f t="shared" si="17"/>
        <v/>
      </c>
      <c r="J166" s="64" t="str">
        <f t="shared" si="18"/>
        <v/>
      </c>
      <c r="K166" s="73"/>
      <c r="L166" s="73"/>
    </row>
    <row r="167" spans="1:13" ht="14.45">
      <c r="A167" s="17" t="str">
        <v>IL: Beecher - Cottage Grove North (PW)</v>
      </c>
      <c r="B167" s="29" t="str">
        <v>IL</v>
      </c>
      <c r="C167" s="29"/>
      <c r="D167" s="17"/>
      <c r="E167" s="17"/>
      <c r="F167" s="17"/>
      <c r="G167" s="18"/>
      <c r="H167" s="17"/>
      <c r="I167" s="17"/>
      <c r="J167" s="18"/>
      <c r="K167" s="74"/>
      <c r="L167" s="74"/>
    </row>
    <row r="168" spans="1:13" ht="14.45">
      <c r="A168" s="17" t="str">
        <v>IL: Beecher - Cottage Grove South (PW)</v>
      </c>
      <c r="B168" s="29" t="str">
        <v>IL</v>
      </c>
      <c r="C168" s="29"/>
      <c r="D168" s="17"/>
      <c r="E168" s="17"/>
      <c r="F168" s="17"/>
      <c r="G168" s="18"/>
      <c r="H168" s="17"/>
      <c r="I168" s="17"/>
      <c r="J168" s="18"/>
      <c r="K168" s="74"/>
      <c r="L168" s="74"/>
    </row>
    <row r="169" spans="1:13" ht="14.45">
      <c r="A169" s="17" t="str">
        <v>IL: Harvard - 9618 US HWY 14 (PW)</v>
      </c>
      <c r="B169" s="29" t="str">
        <v>IL</v>
      </c>
      <c r="C169" s="29"/>
      <c r="D169" s="17"/>
      <c r="E169" s="17"/>
      <c r="F169" s="17"/>
      <c r="G169" s="18"/>
      <c r="H169" s="17"/>
      <c r="I169" s="17"/>
      <c r="J169" s="18"/>
      <c r="K169" s="74"/>
      <c r="L169" s="74"/>
    </row>
    <row r="170" spans="1:13" ht="14.45">
      <c r="A170" s="17" t="str">
        <v>IL: Beecher - 701 E Goodenow Rd (PW)</v>
      </c>
      <c r="B170" s="29" t="str">
        <v>IL</v>
      </c>
      <c r="C170" s="29"/>
      <c r="D170" s="17"/>
      <c r="E170" s="17"/>
      <c r="F170" s="17"/>
      <c r="G170" s="18"/>
      <c r="H170" s="17"/>
      <c r="I170" s="17"/>
      <c r="J170" s="18"/>
      <c r="K170" s="74"/>
      <c r="L170" s="74"/>
    </row>
    <row r="171" spans="1:13" ht="14.45">
      <c r="A171" s="17" t="str">
        <v>NY: Stormville - Green Haven - (IRA)</v>
      </c>
      <c r="B171" s="29" t="str">
        <v>NY</v>
      </c>
      <c r="C171" s="29"/>
      <c r="D171" s="17"/>
      <c r="E171" s="17"/>
      <c r="F171" s="17"/>
      <c r="G171" s="18"/>
      <c r="H171" s="17"/>
      <c r="I171" s="17"/>
      <c r="J171" s="18"/>
      <c r="K171" s="74"/>
      <c r="L171" s="74"/>
    </row>
    <row r="172" spans="1:13" ht="14.45">
      <c r="A172" s="17" t="str">
        <v>IL: Hillsboro - Anacott (PW)</v>
      </c>
      <c r="B172" s="29" t="str">
        <v>IL</v>
      </c>
      <c r="C172" s="29"/>
      <c r="D172" s="17"/>
      <c r="E172" s="17"/>
      <c r="F172" s="17"/>
      <c r="G172" s="18"/>
      <c r="H172" s="17"/>
      <c r="I172" s="17"/>
      <c r="J172" s="18"/>
      <c r="K172" s="74"/>
      <c r="L172" s="74"/>
    </row>
    <row r="173" spans="1:13">
      <c r="A173" t="str">
        <v>IL: Manhattan - Gougar (PW)</v>
      </c>
      <c r="B173" s="30" t="str">
        <v>IL</v>
      </c>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hyperlinks>
    <hyperlink ref="L4" r:id="rId1" display="https://us3.assetplanner.com/service_request?ID=107464" xr:uid="{7370A6B1-7CBA-4210-8B85-EAACEA7B9545}"/>
    <hyperlink ref="L6" r:id="rId2" display="https://us3.assetplanner.com/service_request?ID=108295" xr:uid="{1599CD2E-9D9C-43E7-9EDC-BBDF6E0D0298}"/>
    <hyperlink ref="L8" r:id="rId3" display="https://us3.assetplanner.com/service_request?ID=093291" xr:uid="{13D4154A-4CD4-4928-8D58-1454C70EED20}"/>
    <hyperlink ref="L10" r:id="rId4" display="https://us3.assetplanner.com/service_request?ID=095666" xr:uid="{BBC4BE35-0494-40D6-8945-5EEF940A0E45}"/>
    <hyperlink ref="L12" r:id="rId5" display="https://us3.assetplanner.com/service_request?ID=093633" xr:uid="{960C12E6-4684-47DB-A294-D00F231B46C8}"/>
    <hyperlink ref="M12" r:id="rId6" display="https://us3.assetplanner.com/service_request?ID=093292" xr:uid="{9267C166-2F14-4C57-8BB8-62AE36998E61}"/>
    <hyperlink ref="L14" r:id="rId7" display="https://us3.assetplanner.com/service_request?ID=104856" xr:uid="{A45965EB-D9DC-452F-83F6-7773314BAD0A}"/>
    <hyperlink ref="M14" r:id="rId8" display="https://us3.assetplanner.com/service_request?ID=093924" xr:uid="{D0445F22-8A3B-4401-8BF7-C5B000B29FDB}"/>
    <hyperlink ref="N14" r:id="rId9" display="https://us3.assetplanner.com/service_request?ID=086842" xr:uid="{F613B9FD-195A-42B4-8836-82CDB8E731FE}"/>
    <hyperlink ref="O14" r:id="rId10" display="https://us3.assetplanner.com/service_request?ID=103245" xr:uid="{A3FD0BA5-4BC9-4373-9A7F-CC14C064DEB0}"/>
    <hyperlink ref="L18" r:id="rId11" display="https://us3.assetplanner.com/service_request?ID=103259" xr:uid="{64B92779-99B2-4A66-AE59-1C94E338B6AA}"/>
    <hyperlink ref="L20" r:id="rId12" display="https://us3.assetplanner.com/service_request?ID=108228" xr:uid="{EB1C6B4E-34D6-40F1-A099-6D82C9ABE43D}"/>
    <hyperlink ref="M20" r:id="rId13" display="https://us3.assetplanner.com/service_request?ID=107240" xr:uid="{60BA210B-2CB9-4B73-ACF9-2E77C4C807E5}"/>
    <hyperlink ref="N20" r:id="rId14" display="https://us3.assetplanner.com/service_request?ID=101786" xr:uid="{1D55D456-FE11-4BBC-8FE9-B4C46E33D0B9}"/>
    <hyperlink ref="O20" r:id="rId15" display="https://us3.assetplanner.com/service_request?ID=102902" xr:uid="{53D2298C-713B-4C43-9271-DC9D82420DE4}"/>
    <hyperlink ref="L23" r:id="rId16" display="https://us3.assetplanner.com/service_request?ID=102672" xr:uid="{5B194EAE-C2FB-434C-8E29-7D4192BFC42D}"/>
    <hyperlink ref="L27" r:id="rId17" display="https://us3.assetplanner.com/service_request?ID=093236" xr:uid="{B0847869-142F-4D8E-811E-4A43FE7C1172}"/>
    <hyperlink ref="L28" r:id="rId18" display="https://us3.assetplanner.com/service_request?ID=107361" xr:uid="{BE855188-991F-4510-8A3F-EC34D106BB7E}"/>
    <hyperlink ref="L32" r:id="rId19" display="https://us3.assetplanner.com/service_request?ID=102529" xr:uid="{7DEE25ED-7CB4-4B1D-89D2-8D7B738C2D97}"/>
    <hyperlink ref="L34" r:id="rId20" display="https://us3.assetplanner.com/service_request?ID=088282" xr:uid="{80185229-749C-4179-A6B4-8BE97DBF1F8D}"/>
    <hyperlink ref="L35" r:id="rId21" display="https://us3.assetplanner.com/service_request?ID=105502" xr:uid="{9C03EDD4-D7F4-454E-B40F-E7DC1D515149}"/>
    <hyperlink ref="L36" r:id="rId22" display="https://us3.assetplanner.com/service_request?ID=108939" xr:uid="{BFD194B7-BC60-4C77-AA8C-D77411FE8ED8}"/>
    <hyperlink ref="L38" r:id="rId23" display="https://us3.assetplanner.com/service_request?ID=088813" xr:uid="{BB497665-AA5D-46DE-9E6A-F31113A32CE4}"/>
    <hyperlink ref="L39" r:id="rId24" display="https://us3.assetplanner.com/service_request?ID=105544" xr:uid="{6EEA07C6-14D2-44A5-AA51-0913F1FB0BA0}"/>
    <hyperlink ref="L40" r:id="rId25" display="https://us3.assetplanner.com/service_request?ID=107242" xr:uid="{AF2C3CA1-8B2A-4C9D-B6FF-0BB611126D87}"/>
    <hyperlink ref="M40" r:id="rId26" display="https://us3.assetplanner.com/service_request?ID=093324" xr:uid="{C53D6E75-91A6-47C8-81A6-167270AF0006}"/>
    <hyperlink ref="L41" r:id="rId27" display="https://us3.assetplanner.com/service_request?ID=107329" xr:uid="{7D213F27-B9D1-4B46-8AD2-CB7E8D573BBB}"/>
    <hyperlink ref="L43" r:id="rId28" display="https://us3.assetplanner.com/service_request?ID=093326" xr:uid="{321C6E01-2D18-46CF-910C-45A2A543F2BB}"/>
    <hyperlink ref="M43" r:id="rId29" display="https://us3.assetplanner.com/service_request?ID=107164" xr:uid="{07B18070-16D7-4978-AD9D-56821FF9E899}"/>
    <hyperlink ref="L44" r:id="rId30" display="https://us3.assetplanner.com/service_request?ID=093327" xr:uid="{D7DB1E60-FE36-40B3-ADE0-6A800CEDEB1B}"/>
    <hyperlink ref="L47" r:id="rId31" display="https://us3.assetplanner.com/service_request?ID=095662" xr:uid="{BD5189E2-DFC2-4EDD-9603-348BE02DC170}"/>
    <hyperlink ref="L51" r:id="rId32" display="https://us3.assetplanner.com/service_request?ID=105932" xr:uid="{6ED0C127-6779-4C26-91A2-27E36D2DA345}"/>
    <hyperlink ref="M51" r:id="rId33" display="https://us3.assetplanner.com/service_request?ID=098241" xr:uid="{1F3F71A0-9CBC-46DF-83F5-9FDF50644E1B}"/>
    <hyperlink ref="N51" r:id="rId34" display="https://us3.assetplanner.com/service_request?ID=105932" xr:uid="{700AAD5C-5647-4579-8F11-9CD4D7BCCD78}"/>
    <hyperlink ref="L53" r:id="rId35" display="https://us3.assetplanner.com/service_request?ID=107934" xr:uid="{3FC4B2DB-3ADD-43B5-9E7E-AA344E10DDBB}"/>
    <hyperlink ref="M53" r:id="rId36" display="https://us3.assetplanner.com/service_request?ID=105933" xr:uid="{8531819B-6451-469B-A1DB-4BC89F1D90FC}"/>
    <hyperlink ref="L54" r:id="rId37" display="https://us3.assetplanner.com/service_request?ID=106721" xr:uid="{4763D776-BA60-43F8-ABE1-52985289232D}"/>
    <hyperlink ref="L56" r:id="rId38" display="https://us3.assetplanner.com/service_request?ID=108007" xr:uid="{4A08A02F-D5A8-4750-A611-1EFBF767A219}"/>
    <hyperlink ref="M56" r:id="rId39" display="https://us3.assetplanner.com/service_request?ID=108411" xr:uid="{DF793B32-9B05-41BE-BAD9-01D502139924}"/>
    <hyperlink ref="N56" r:id="rId40" display="https://us3.assetplanner.com/service_request?ID=104403" xr:uid="{B56B76C1-2877-471E-B421-5ADBF448C80D}"/>
    <hyperlink ref="L58" r:id="rId41" display="https://us3.assetplanner.com/service_request?ID=098641" xr:uid="{909FAF85-D346-4472-9D0F-A19473F10524}"/>
    <hyperlink ref="L59" r:id="rId42" display="https://us3.assetplanner.com/service_request?ID=106726" xr:uid="{FF2AE7EB-504D-4ABD-B5A4-7FCF0CE615EC}"/>
    <hyperlink ref="L60" r:id="rId43" display="https://us3.assetplanner.com/service_request?ID=107702" xr:uid="{A479B421-F7F1-4C3A-BCCE-5596179A10A5}"/>
    <hyperlink ref="L61" r:id="rId44" display="https://us3.assetplanner.com/service_request?ID=107603" xr:uid="{48D3F033-20FE-4FC5-931F-C19AF22DA769}"/>
    <hyperlink ref="M61" r:id="rId45" display="https://us3.assetplanner.com/service_request?ID=107011" xr:uid="{12BFD7CC-CB55-4D81-B9D1-6A499DAFE907}"/>
    <hyperlink ref="L63" r:id="rId46" display="https://us3.assetplanner.com/service_request?ID=108390" xr:uid="{43804A5A-00B0-4EE7-8ED3-F92D585D5EFB}"/>
    <hyperlink ref="M63" r:id="rId47" display="https://us3.assetplanner.com/service_request?ID=099403" xr:uid="{C36CDAF3-9B17-4F28-A04D-5E70511EAF62}"/>
    <hyperlink ref="L65" r:id="rId48" display="https://us3.assetplanner.com/service_request?ID=107750" xr:uid="{E342625D-94EC-4C72-BC6F-A5E8573A4380}"/>
    <hyperlink ref="L66" r:id="rId49" display="https://us3.assetplanner.com/service_request?ID=107751" xr:uid="{F5AED1C2-07D3-4318-8427-A8A5E2E04F9B}"/>
    <hyperlink ref="M66" r:id="rId50" display="https://us3.assetplanner.com/service_request?ID=105816" xr:uid="{BC994CC7-BB5E-42BC-8060-3C2502162013}"/>
    <hyperlink ref="N66" r:id="rId51" display="https://us3.assetplanner.com/service_request?ID=107490" xr:uid="{DDBCB53F-C573-469D-8E67-7602EA9D02DD}"/>
    <hyperlink ref="O66" r:id="rId52" display="https://us3.assetplanner.com/service_request?ID=093024" xr:uid="{4E7B74A7-C50B-472A-8E0C-B4692BAE13D8}"/>
    <hyperlink ref="L67" r:id="rId53" display="https://us3.assetplanner.com/service_request?ID=107758" xr:uid="{DFEE27F2-BE74-4D75-8E88-ACA1F37FE8A0}"/>
    <hyperlink ref="M67" r:id="rId54" display="https://us3.assetplanner.com/service_request?ID=107491" xr:uid="{051A6D03-C2B2-4939-96AE-F6F945F4DCE1}"/>
    <hyperlink ref="N67" r:id="rId55" display="https://us3.assetplanner.com/service_request?ID=108045" xr:uid="{7780AAA4-304A-4581-A792-8F983BE918FF}"/>
    <hyperlink ref="L68" r:id="rId56" display="https://us3.assetplanner.com/service_request?ID=107780" xr:uid="{DE520446-13A1-4D46-ABC1-5633E82862EB}"/>
    <hyperlink ref="L70" r:id="rId57" display="https://us3.assetplanner.com/service_request?ID=108277" xr:uid="{99F8AE75-71B6-4818-9496-6293BED73E7D}"/>
    <hyperlink ref="L71" r:id="rId58" display="https://us3.assetplanner.com/service_request?ID=108456" xr:uid="{D759C16A-5A29-4034-9A52-2932CB854A17}"/>
    <hyperlink ref="M71" r:id="rId59" display="https://us3.assetplanner.com/service_request?ID=107506" xr:uid="{9B6188BF-E09F-465D-899F-0EAE26C37788}"/>
    <hyperlink ref="L72" r:id="rId60" display="https://us3.assetplanner.com/service_request?ID=108486" xr:uid="{D3696F29-A6EA-40B0-80D2-3FC01C26B232}"/>
    <hyperlink ref="M72" r:id="rId61" display="https://us3.assetplanner.com/service_request?ID=106622" xr:uid="{0D599B4F-2A6E-4EEE-8E18-BA6E5D57036D}"/>
    <hyperlink ref="L73" r:id="rId62" display="https://us3.assetplanner.com/service_request?ID=107254" xr:uid="{1B0122E8-4A46-45CC-948F-DE12EDE4E30F}"/>
    <hyperlink ref="M73" r:id="rId63" display="https://us3.assetplanner.com/service_request?ID=108118" xr:uid="{5E7DA26B-1244-4067-9576-7957818EE294}"/>
    <hyperlink ref="N73" r:id="rId64" display="https://us3.assetplanner.com/service_request?ID=106503" xr:uid="{C2DE922D-E5A2-47B8-AB78-AC190A17B2E1}"/>
    <hyperlink ref="O73" r:id="rId65" display="https://us3.assetplanner.com/service_request?ID=105774" xr:uid="{22C529D9-7AD2-4D19-8380-F963C7D80240}"/>
    <hyperlink ref="L74" r:id="rId66" display="https://us3.assetplanner.com/service_request?ID=107267" xr:uid="{69880A76-7D61-4802-9F10-4C65EE3BDF02}"/>
    <hyperlink ref="M74" r:id="rId67" display="https://us3.assetplanner.com/service_request?ID=108310" xr:uid="{D51DCF4A-3F3D-4F09-BDBD-7BF33495CD06}"/>
    <hyperlink ref="N74" r:id="rId68" display="https://us3.assetplanner.com/service_request?ID=107323" xr:uid="{9F576889-7C27-468E-BB7A-99F4F8C4F0FC}"/>
    <hyperlink ref="O74" r:id="rId69" display="https://us3.assetplanner.com/service_request?ID=108010" xr:uid="{FDBEEA2A-FF96-41CB-A028-7F719E647855}"/>
    <hyperlink ref="P74" r:id="rId70" display="https://us3.assetplanner.com/service_request?ID=106662" xr:uid="{9B618850-F97E-470B-B5BA-5F5D7AFF79FB}"/>
    <hyperlink ref="Q74" r:id="rId71" display="https://us3.assetplanner.com/service_request?ID=106755" xr:uid="{11491098-140B-4F69-8EC3-20C43E7CA9E7}"/>
    <hyperlink ref="R74" r:id="rId72" display="https://us3.assetplanner.com/service_request?ID=107706" xr:uid="{972DED96-8B59-4F6D-9DBD-FBC1F9987F5E}"/>
    <hyperlink ref="S74" r:id="rId73" display="https://us3.assetplanner.com/service_request?ID=107651" xr:uid="{09920105-B76A-4AEE-874C-2865E8F8D4E3}"/>
    <hyperlink ref="T74" r:id="rId74" display="https://us3.assetplanner.com/service_request?ID=107331" xr:uid="{4A24163A-D156-4E67-89B5-B84BF73653B4}"/>
    <hyperlink ref="U74" r:id="rId75" display="https://us3.assetplanner.com/service_request?ID=106786" xr:uid="{070CB0F7-B7CB-4452-8207-55C597093AD1}"/>
    <hyperlink ref="V74" r:id="rId76" display="https://us3.assetplanner.com/service_request?ID=108010" xr:uid="{E40F5EA0-4364-4CB3-B1A0-E8822514D85B}"/>
    <hyperlink ref="L75" r:id="rId77" display="https://us3.assetplanner.com/service_request?ID=108338" xr:uid="{845BC03A-AB62-4C2F-8846-8BFDA6BCB61E}"/>
    <hyperlink ref="M75" r:id="rId78" display="https://us3.assetplanner.com/service_request?ID=107449" xr:uid="{45B0CBBA-7A7F-40EA-BC82-B2F29897C00D}"/>
    <hyperlink ref="N75" r:id="rId79" display="https://us3.assetplanner.com/service_request?ID=108470" xr:uid="{082E7733-9E8B-41FF-97C1-0D56086F9111}"/>
    <hyperlink ref="L76" r:id="rId80" display="https://us3.assetplanner.com/service_request?ID=108139" xr:uid="{AC32BA36-FBBA-4B67-B295-CE90FF16BB0A}"/>
    <hyperlink ref="L77" r:id="rId81" display="https://us3.assetplanner.com/service_request?ID=101820" xr:uid="{F7772FE9-C5A5-434B-9902-C323CDD0F320}"/>
    <hyperlink ref="L79" r:id="rId82" display="https://us3.assetplanner.com/service_request?ID=105775" xr:uid="{3F0CD0A2-BE0A-474D-A5BD-64A34B6F34E3}"/>
    <hyperlink ref="L81" r:id="rId83" display="https://us3.assetplanner.com/service_request?ID=105649" xr:uid="{726444C5-95A1-4978-8034-792CE381E79E}"/>
    <hyperlink ref="L82" r:id="rId84" display="https://us3.assetplanner.com/service_request?ID=107234" xr:uid="{EDCCB894-9019-4581-A974-B64DFDE26E22}"/>
    <hyperlink ref="M82" r:id="rId85" display="https://us3.assetplanner.com/service_request?ID=108143" xr:uid="{5CF1503E-D623-41C0-83DE-05F1CE44FE73}"/>
    <hyperlink ref="L83" r:id="rId86" display="https://us3.assetplanner.com/service_request?ID=108145" xr:uid="{0EA4426A-B017-4AB2-8362-FF1C4CFBDCDC}"/>
    <hyperlink ref="M83" r:id="rId87" display="https://us3.assetplanner.com/service_request?ID=107236" xr:uid="{22E15D74-5AAA-4443-8DAF-21C8A40E2546}"/>
    <hyperlink ref="N83" r:id="rId88" display="https://us3.assetplanner.com/service_request?ID=105659" xr:uid="{D21AA40B-4C7E-4C18-B38B-B326C76F43CB}"/>
    <hyperlink ref="O83" r:id="rId89" display="https://us3.assetplanner.com/service_request?ID=108266" xr:uid="{B3E5492E-7BFF-48E4-B85B-410CDC1F98B2}"/>
    <hyperlink ref="L85" r:id="rId90" display="https://us3.assetplanner.com/service_request?ID=107585" xr:uid="{A4956E45-7977-4D97-8D8C-0535CF53DA74}"/>
    <hyperlink ref="L86" r:id="rId91" display="https://us3.assetplanner.com/service_request?ID=106797" xr:uid="{EA37553E-D444-4A03-916D-58429E570EE8}"/>
    <hyperlink ref="M86" r:id="rId92" display="https://us3.assetplanner.com/service_request?ID=108023" xr:uid="{FD8DB488-DD7E-46F1-8207-FDD865C33FBD}"/>
    <hyperlink ref="L87" r:id="rId93" display="https://us3.assetplanner.com/service_request?ID=108111" xr:uid="{49182905-CA61-4C8D-84C2-7328EBE5ECDD}"/>
    <hyperlink ref="L88" r:id="rId94" display="https://us3.assetplanner.com/service_request?ID=107665" xr:uid="{C3DB3DFA-60D0-46C2-AD2F-2F12A96EE694}"/>
    <hyperlink ref="L89" r:id="rId95" display="https://us3.assetplanner.com/service_request?ID=107450" xr:uid="{13142F65-98DA-4639-A2E8-E1D9A8456270}"/>
    <hyperlink ref="M89" r:id="rId96" display="https://us3.assetplanner.com/service_request?ID=107667" xr:uid="{550B1BCD-FACE-47F6-B9EA-4DCE1140715C}"/>
    <hyperlink ref="L90" r:id="rId97" display="https://us3.assetplanner.com/service_request?ID=107666" xr:uid="{1D4C4193-A2A9-4881-AD31-5978EB2EB65B}"/>
    <hyperlink ref="L91" r:id="rId98" display="https://us3.assetplanner.com/service_request?ID=106843" xr:uid="{938395CA-2F20-4147-B6FE-3FABCB68FC4D}"/>
    <hyperlink ref="L92" r:id="rId99" display="https://us3.assetplanner.com/service_request?ID=105180" xr:uid="{0050504D-AF77-4C40-A53B-6194EA02E334}"/>
    <hyperlink ref="L93" r:id="rId100" display="https://us3.assetplanner.com/service_request?ID=107142" xr:uid="{08868AC3-AC49-4337-8A5C-05471E3BA746}"/>
    <hyperlink ref="L97" r:id="rId101" display="https://us3.assetplanner.com/service_request?ID=107955" xr:uid="{F35B73E5-B7F1-4BF2-B242-32A7EBB6EE50}"/>
    <hyperlink ref="L99" r:id="rId102" display="https://us3.assetplanner.com/service_request?ID=107478" xr:uid="{BD05A548-A53A-433C-9488-5BAAB70609CC}"/>
    <hyperlink ref="M99" r:id="rId103" display="https://us3.assetplanner.com/service_request?ID=107493" xr:uid="{DF539288-D287-496B-8889-E0C8CD5B7792}"/>
    <hyperlink ref="N99" r:id="rId104" display="https://us3.assetplanner.com/service_request?ID=107781" xr:uid="{1FF4DA1E-D22B-4D40-9202-C7CA5C14E924}"/>
    <hyperlink ref="L100" r:id="rId105" display="https://us3.assetplanner.com/service_request?ID=107090" xr:uid="{FF61674F-500A-4CC0-8672-4524DFE9D498}"/>
    <hyperlink ref="L101" r:id="rId106" display="https://us3.assetplanner.com/service_request?ID=102328" xr:uid="{184065AF-40C8-44F7-9210-AF5BEAB511C3}"/>
    <hyperlink ref="L108" r:id="rId107" display="https://us3.assetplanner.com/service_request?ID=106058" xr:uid="{81633A10-AD09-4AE2-96DB-61DCEC004183}"/>
    <hyperlink ref="M108" r:id="rId108" display="https://us3.assetplanner.com/service_request?ID=106176" xr:uid="{B0DC3F17-D929-4CDD-B068-B17C52E97480}"/>
    <hyperlink ref="N108" r:id="rId109" display="https://us3.assetplanner.com/service_request?ID=108248" xr:uid="{9B26AD05-A0D8-4143-A198-D7A70B5CE60D}"/>
    <hyperlink ref="L110" r:id="rId110" display="https://us3.assetplanner.com/service_request?ID=105964" xr:uid="{DA4EBC61-510E-4DCE-846E-B60251D2F6D4}"/>
    <hyperlink ref="M110" r:id="rId111" display="https://us3.assetplanner.com/service_request?ID=106921" xr:uid="{9BFFC367-267D-4906-BA5F-153EB2DB7616}"/>
    <hyperlink ref="L111" r:id="rId112" display="https://us3.assetplanner.com/service_request?ID=107313" xr:uid="{35BAF010-FA76-447D-89F2-C0C21D4E8B6A}"/>
    <hyperlink ref="M111" r:id="rId113" display="https://us3.assetplanner.com/service_request?ID=107939" xr:uid="{8AE0409E-3959-44FC-8285-4E2A45A2812D}"/>
    <hyperlink ref="N111" r:id="rId114" display="https://us3.assetplanner.com/service_request?ID=108225" xr:uid="{548ADBBA-A9C6-4A18-ACC7-CDC2860934D7}"/>
    <hyperlink ref="O111" r:id="rId115" display="https://us3.assetplanner.com/service_request?ID=108330" xr:uid="{998494F0-93DA-4F9C-8167-FB3790030E56}"/>
    <hyperlink ref="P111" r:id="rId116" display="https://us3.assetplanner.com/service_request?ID=108395" xr:uid="{62D98FAF-38C6-438E-856A-EA2765C0E633}"/>
    <hyperlink ref="Q111" r:id="rId117" display="https://us3.assetplanner.com/service_request?ID=108400" xr:uid="{464D4833-7BDF-48F7-8E59-A90FE97709E7}"/>
    <hyperlink ref="L112" r:id="rId118" display="https://us3.assetplanner.com/service_request?ID=107376" xr:uid="{2EA13BDB-D0F0-4FB8-BCA5-CD3D7275343A}"/>
    <hyperlink ref="M112" r:id="rId119" display="https://us3.assetplanner.com/service_request?ID=107937" xr:uid="{DFC4B292-0AC3-4B7F-8388-A85908E77ACE}"/>
    <hyperlink ref="L114" r:id="rId120" display="https://us3.assetplanner.com/service_request?ID=106501" xr:uid="{6BDD3F55-A961-4A8D-9416-E28E3E2E450C}"/>
    <hyperlink ref="M114" r:id="rId121" display="https://us3.assetplanner.com/service_request?ID=097454" xr:uid="{F4DE27E8-1DD5-420B-9577-FFFCC4D95E89}"/>
    <hyperlink ref="L116" r:id="rId122" display="https://us3.assetplanner.com/service_request?ID=107556" xr:uid="{B5515286-2799-4DEA-AE94-7BB74596BA36}"/>
    <hyperlink ref="M116" r:id="rId123" display="https://us3.assetplanner.com/service_request?ID=107893" xr:uid="{54EED91A-A267-42DF-959C-876DBCEED563}"/>
    <hyperlink ref="N116" r:id="rId124" display="https://us3.assetplanner.com/service_request?ID=108334" xr:uid="{E51A09F2-1C3E-479D-A55A-8A97D2DD5CDA}"/>
    <hyperlink ref="L132" r:id="rId125" display="https://us3.assetplanner.com/service_request?ID=103141" xr:uid="{6FDB23C1-4D0A-4A6D-B950-812594B2405A}"/>
    <hyperlink ref="L133" r:id="rId126" display="https://us3.assetplanner.com/service_request?ID=103871" xr:uid="{8C09EBB0-0DA9-422C-A343-B79A7E8DF9A9}"/>
    <hyperlink ref="M133" r:id="rId127" display="https://us3.assetplanner.com/service_request?ID=103710" xr:uid="{79ECF2D8-C2F4-45C7-8EFE-9D07C58D8414}"/>
    <hyperlink ref="L139" r:id="rId128" display="https://us3.assetplanner.com/service_request?ID=106530" xr:uid="{0038DD38-DD89-4B04-AF73-1595B8BEC16D}"/>
    <hyperlink ref="L140" r:id="rId129" display="https://us3.assetplanner.com/service_request?ID=107411" xr:uid="{0AE2D005-00B0-485E-B133-47A1CE3D3912}"/>
    <hyperlink ref="M140" r:id="rId130" display="https://us3.assetplanner.com/service_request?ID=106387" xr:uid="{B4D9E7F0-719B-47DB-96C5-BC49D314B857}"/>
    <hyperlink ref="N140" r:id="rId131" display="https://us3.assetplanner.com/service_request?ID=107805" xr:uid="{74D44069-1576-4CF6-A26E-EF7FBB3FF2BF}"/>
    <hyperlink ref="O140" r:id="rId132" display="https://us3.assetplanner.com/service_request?ID=103641" xr:uid="{48094B1D-04DC-4CD9-9031-0F8147ED065D}"/>
    <hyperlink ref="L141" r:id="rId133" display="https://us3.assetplanner.com/service_request?ID=103246" xr:uid="{30864666-4264-4690-9B5F-A1F5901C7F11}"/>
    <hyperlink ref="L142" r:id="rId134" display="https://us3.assetplanner.com/service_request?ID=108093" xr:uid="{6A624DF6-5EEA-4E12-9157-18094F52B882}"/>
    <hyperlink ref="L144" r:id="rId135" display="https://us3.assetplanner.com/service_request?ID=107495" xr:uid="{A200F455-787F-4ED3-BA3C-920FF45F280F}"/>
    <hyperlink ref="M144" r:id="rId136" display="https://us3.assetplanner.com/service_request?ID=100220" xr:uid="{4A9C86C7-661F-48E4-A309-B860CC3B70A1}"/>
    <hyperlink ref="L145" r:id="rId137" display="https://us3.assetplanner.com/service_request?ID=108427" xr:uid="{9A66924D-F0B4-4A68-94FB-B6CBB296DDC7}"/>
    <hyperlink ref="M145" r:id="rId138" display="https://us3.assetplanner.com/service_request?ID=108396" xr:uid="{88417FF1-4A89-4603-B376-5A1786A822DE}"/>
    <hyperlink ref="N145" r:id="rId139" display="https://us3.assetplanner.com/service_request?ID=107295" xr:uid="{7602448B-94F8-4161-99AD-61805BFA6564}"/>
    <hyperlink ref="O145" r:id="rId140" display="https://us3.assetplanner.com/service_request?ID=107059" xr:uid="{DEB10D25-BB8E-4DCE-8F48-765FCF4C52CE}"/>
    <hyperlink ref="L146" r:id="rId141" display="https://us3.assetplanner.com/service_request?ID=105922" xr:uid="{BACD6BD6-0B6E-4FDB-8F06-BC40C51DCBAC}"/>
    <hyperlink ref="M146" r:id="rId142" display="https://us3.assetplanner.com/service_request?ID=106486" xr:uid="{D6EF4C6F-4202-4FEE-9DC2-8A981DC63808}"/>
    <hyperlink ref="L150" r:id="rId143" display="https://us3.assetplanner.com/service_request?ID=107368" xr:uid="{4D2C1A0A-D9AB-4B79-9EFE-323F510792BB}"/>
    <hyperlink ref="M150" r:id="rId144" display="https://us3.assetplanner.com/service_request?ID=107988" xr:uid="{6A7CAABB-CCFB-4CBE-BE33-E6F6BFA39773}"/>
    <hyperlink ref="L152" r:id="rId145" display="https://us3.assetplanner.com/service_request?ID=098278" xr:uid="{440F69F5-2756-42F4-9443-24C653DD90CE}"/>
    <hyperlink ref="M152" r:id="rId146" display="https://us3.assetplanner.com/service_request?ID=098670" xr:uid="{8FF89DF2-2F6A-4E16-AA5C-0F6C80DE1456}"/>
    <hyperlink ref="L153" r:id="rId147" display="https://us3.assetplanner.com/service_request?ID=105354" xr:uid="{1AA2050C-FA9C-4C00-89E3-E14FDA9E3086}"/>
    <hyperlink ref="M153" r:id="rId148" display="https://us3.assetplanner.com/service_request?ID=106824" xr:uid="{62075BC8-7329-41A3-86BD-A23E76296462}"/>
    <hyperlink ref="L154" r:id="rId149" display="https://us3.assetplanner.com/service_request?ID=098066" xr:uid="{C1CA938D-D00A-4C49-B98E-520B778DB014}"/>
    <hyperlink ref="M154" r:id="rId150" display="https://us3.assetplanner.com/service_request?ID=099545" xr:uid="{E55AEA54-65A6-4069-9DFC-07A5AE3389C1}"/>
    <hyperlink ref="L155" r:id="rId151" display="https://us3.assetplanner.com/service_request?ID=107641" xr:uid="{E2719DF1-0956-4D18-872A-92DA4E51623A}"/>
    <hyperlink ref="L156" r:id="rId152" display="https://us3.assetplanner.com/service_request?ID=105284" xr:uid="{E619EBCD-67C4-48BE-9BD5-81C1E078D036}"/>
    <hyperlink ref="L158" r:id="rId153" display="https://us3.assetplanner.com/service_request?ID=107529" xr:uid="{DB7660B6-5930-4E52-9A8C-AA6F915787B3}"/>
    <hyperlink ref="M158" r:id="rId154" display="https://us3.assetplanner.com/service_request?ID=107809" xr:uid="{352ADE25-BE2D-442D-8D5C-F34A22FD2D3D}"/>
    <hyperlink ref="N158" r:id="rId155" display="https://us3.assetplanner.com/service_request?ID=107813" xr:uid="{8F25A781-1958-4F91-AA7B-7862F7F0E9CB}"/>
    <hyperlink ref="L160" r:id="rId156" display="https://us3.assetplanner.com/service_request?ID=107263" xr:uid="{EBE15DCF-A8A5-4B75-B100-38B89C0093D5}"/>
    <hyperlink ref="M160" r:id="rId157" display="https://us3.assetplanner.com/service_request?ID=100771" xr:uid="{690F4A0B-10C1-4D54-B736-0D3671A15F06}"/>
    <hyperlink ref="L163" r:id="rId158" display="https://us3.assetplanner.com/service_request?ID=108424" xr:uid="{B8C24F04-101A-477A-B2CD-FB4A0F6B6291}"/>
    <hyperlink ref="L164" r:id="rId159" display="https://us3.assetplanner.com/service_request?ID=107245" xr:uid="{3DEBE924-A503-4D95-97D6-7FC2A6047DFE}"/>
    <hyperlink ref="M164" r:id="rId160" display="https://us3.assetplanner.com/service_request?ID=108392" xr:uid="{CAC1ACB3-1102-46C5-8FE1-29FEC1E3ED23}"/>
  </hyperlinks>
  <pageMargins left="0.4" right="0.7" top="0.25" bottom="0.25" header="0.3" footer="0.3"/>
  <pageSetup scale="45" fitToHeight="99" orientation="landscape" r:id="rId16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173"/>
  <sheetViews>
    <sheetView zoomScale="60" zoomScaleNormal="60" workbookViewId="0">
      <pane xSplit="2" ySplit="3" topLeftCell="C91" activePane="bottomRight" state="frozen"/>
      <selection pane="bottomRight" activeCell="K74" sqref="K74"/>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 min="13" max="13" width="13.42578125" style="103" customWidth="1"/>
    <col min="14" max="19" width="9.140625" style="103"/>
  </cols>
  <sheetData>
    <row r="1" spans="1:16" ht="19.5" customHeight="1">
      <c r="A1" s="192" t="str" cm="1">
        <f t="array" ref="A1">portfolio</f>
        <v>Generate Capital</v>
      </c>
      <c r="B1" s="192"/>
      <c r="C1" s="192"/>
      <c r="D1" s="192"/>
      <c r="E1" s="193" t="s">
        <v>2112</v>
      </c>
      <c r="F1" s="193"/>
      <c r="G1" s="193"/>
      <c r="H1" s="191" t="s">
        <v>2113</v>
      </c>
      <c r="I1" s="191"/>
      <c r="J1" s="191"/>
      <c r="K1" s="4"/>
      <c r="L1" s="4"/>
    </row>
    <row r="2" spans="1:16" ht="19.5" customHeight="1">
      <c r="A2" s="194" t="s">
        <v>2</v>
      </c>
      <c r="B2" s="194"/>
      <c r="C2" s="57"/>
      <c r="D2" s="5">
        <f>SUM(D4:D172)</f>
        <v>39009950.094405837</v>
      </c>
      <c r="E2" s="5">
        <f>SUM(E4:E100)</f>
        <v>14999937.290999999</v>
      </c>
      <c r="F2" s="5">
        <f>D2-E2</f>
        <v>24010012.803405836</v>
      </c>
      <c r="G2" s="6">
        <f>IFERROR(F2/E2, 0)</f>
        <v>1.6006742120056665</v>
      </c>
      <c r="H2" s="5">
        <f>SUM(H4:H172)</f>
        <v>32192167.075000007</v>
      </c>
      <c r="I2" s="7">
        <f>D2-H2</f>
        <v>6817783.0194058307</v>
      </c>
      <c r="J2" s="6">
        <f>IFERROR(I2/H2, 0)</f>
        <v>0.21178391015187129</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6" ht="14.25" customHeight="1">
      <c r="A3" s="8" t="s">
        <v>3</v>
      </c>
      <c r="B3" s="8" t="s">
        <v>4</v>
      </c>
      <c r="C3" s="8" t="s">
        <v>5</v>
      </c>
      <c r="D3" s="19" t="s">
        <v>6</v>
      </c>
      <c r="E3" s="31" t="s">
        <v>7</v>
      </c>
      <c r="F3" s="31" t="s">
        <v>8</v>
      </c>
      <c r="G3" s="32" t="s">
        <v>9</v>
      </c>
      <c r="H3" s="33" t="s">
        <v>10</v>
      </c>
      <c r="I3" s="34" t="s">
        <v>8</v>
      </c>
      <c r="J3" s="35" t="s">
        <v>9</v>
      </c>
      <c r="K3" s="21" t="s">
        <v>21</v>
      </c>
      <c r="L3" s="21" t="s">
        <v>22</v>
      </c>
      <c r="M3" s="170" t="s">
        <v>2114</v>
      </c>
    </row>
    <row r="4" spans="1:16" ht="15.6">
      <c r="A4" s="28" t="str" cm="1">
        <f t="array" ref="A4:A173">Sites[Site]</f>
        <v>K026</v>
      </c>
      <c r="B4" s="25" t="str" cm="1">
        <f t="array" ref="B4:B173">Sites[State]</f>
        <v>NY</v>
      </c>
      <c r="C4" s="25" t="str">
        <f>Sites[[#This Row],[SOL'#]]</f>
        <v>SOL-10356</v>
      </c>
      <c r="D4" s="20">
        <v>15322.125</v>
      </c>
      <c r="E4" s="10">
        <v>25865.84</v>
      </c>
      <c r="F4" s="10">
        <f>IF(AND(ISNUMBER(D4),ISNUMBER(E4)), D4-E4, "")</f>
        <v>-10543.715</v>
      </c>
      <c r="G4" s="11">
        <f>IFERROR(F4/E4, "")</f>
        <v>-0.40763087531663383</v>
      </c>
      <c r="H4" s="12">
        <v>24623.61</v>
      </c>
      <c r="I4" s="12">
        <f>IF(AND(ISNUMBER(D4),ISNUMBER(H4)), D4-H4, "")</f>
        <v>-9301.4850000000006</v>
      </c>
      <c r="J4" s="13">
        <f>IFERROR(I4/H4, "")</f>
        <v>-0.37774660173711327</v>
      </c>
      <c r="K4" s="53" t="s">
        <v>2115</v>
      </c>
      <c r="L4" s="98" t="s">
        <v>1905</v>
      </c>
      <c r="M4" s="103" t="s">
        <v>2116</v>
      </c>
    </row>
    <row r="5" spans="1:16" ht="15.6">
      <c r="A5" s="26" t="str">
        <v>K041</v>
      </c>
      <c r="B5" s="27" t="str">
        <v>NY</v>
      </c>
      <c r="C5" s="27" t="str">
        <f>Sites[[#This Row],[SOL'#]]</f>
        <v>SOL-10357</v>
      </c>
      <c r="D5" s="9">
        <v>17728.15625</v>
      </c>
      <c r="E5" s="14">
        <v>20661.97</v>
      </c>
      <c r="F5" s="14">
        <f t="shared" ref="F5:F17" si="0">IF(AND(ISNUMBER(D5),ISNUMBER(E5)), D5-E5, "")</f>
        <v>-2933.8137500000012</v>
      </c>
      <c r="G5" s="15">
        <f>IFERROR(F5/E5, "")</f>
        <v>-0.14199099843819349</v>
      </c>
      <c r="H5" s="16">
        <v>17613</v>
      </c>
      <c r="I5" s="16">
        <f t="shared" ref="I5:I17" si="1">IF(AND(ISNUMBER(D5),ISNUMBER(H5)), D5-H5, "")</f>
        <v>115.15625</v>
      </c>
      <c r="J5" s="15">
        <f t="shared" ref="J5:J17" si="2">IFERROR(I5/H5, "")</f>
        <v>6.5381394424572758E-3</v>
      </c>
      <c r="K5" s="51" t="s">
        <v>2117</v>
      </c>
      <c r="L5" s="186"/>
      <c r="M5"/>
    </row>
    <row r="6" spans="1:16" ht="63.75" customHeight="1">
      <c r="A6" s="24" t="str">
        <v>K043</v>
      </c>
      <c r="B6" s="25" t="str">
        <v>NY</v>
      </c>
      <c r="C6" s="25" t="str">
        <f>Sites[[#This Row],[SOL'#]]</f>
        <v>SOL-10358</v>
      </c>
      <c r="D6" s="20">
        <v>20883.78313</v>
      </c>
      <c r="E6" s="10">
        <v>22521.48</v>
      </c>
      <c r="F6" s="10">
        <f t="shared" si="0"/>
        <v>-1637.6968699999998</v>
      </c>
      <c r="G6" s="11">
        <f t="shared" ref="G6:G17" si="3">IFERROR(F6/E6, "")</f>
        <v>-7.2717106957446834E-2</v>
      </c>
      <c r="H6" s="12">
        <v>3897</v>
      </c>
      <c r="I6" s="12">
        <f t="shared" si="1"/>
        <v>16986.78313</v>
      </c>
      <c r="J6" s="13">
        <f t="shared" si="2"/>
        <v>4.3589384475237365</v>
      </c>
      <c r="K6" s="53" t="s">
        <v>2118</v>
      </c>
      <c r="L6" s="98" t="s">
        <v>1907</v>
      </c>
      <c r="M6" s="103" t="s">
        <v>2119</v>
      </c>
    </row>
    <row r="7" spans="1:16" ht="15.6">
      <c r="A7" s="26" t="str">
        <v>K058</v>
      </c>
      <c r="B7" s="27" t="str">
        <v>NY</v>
      </c>
      <c r="C7" s="27" t="str">
        <f>Sites[[#This Row],[SOL'#]]</f>
        <v>SOL-10360</v>
      </c>
      <c r="D7" s="9">
        <v>17473.1875</v>
      </c>
      <c r="E7" s="14">
        <v>18255.689999999999</v>
      </c>
      <c r="F7" s="14">
        <f t="shared" si="0"/>
        <v>-782.50249999999869</v>
      </c>
      <c r="G7" s="15">
        <f t="shared" si="3"/>
        <v>-4.2863485302390585E-2</v>
      </c>
      <c r="H7" s="16">
        <v>19098.849999999999</v>
      </c>
      <c r="I7" s="16">
        <f t="shared" si="1"/>
        <v>-1625.6624999999985</v>
      </c>
      <c r="J7" s="15">
        <f t="shared" si="2"/>
        <v>-8.5118344821808578E-2</v>
      </c>
      <c r="K7" s="51"/>
      <c r="L7" s="186"/>
    </row>
    <row r="8" spans="1:16" ht="28.9">
      <c r="A8" s="24" t="str">
        <v>K115</v>
      </c>
      <c r="B8" s="25" t="str">
        <v>NY</v>
      </c>
      <c r="C8" s="25" t="str">
        <f>Sites[[#This Row],[SOL'#]]</f>
        <v>SOL-10361</v>
      </c>
      <c r="D8" s="20">
        <v>10477.875</v>
      </c>
      <c r="E8" s="10">
        <v>11459.6</v>
      </c>
      <c r="F8" s="10">
        <f t="shared" si="0"/>
        <v>-981.72500000000036</v>
      </c>
      <c r="G8" s="11">
        <f t="shared" si="3"/>
        <v>-8.5668347935355535E-2</v>
      </c>
      <c r="H8" s="12">
        <v>9801.6679999999997</v>
      </c>
      <c r="I8" s="12">
        <f t="shared" si="1"/>
        <v>676.20700000000033</v>
      </c>
      <c r="J8" s="13">
        <f t="shared" si="2"/>
        <v>6.8988972081078487E-2</v>
      </c>
      <c r="K8" s="53" t="s">
        <v>1908</v>
      </c>
      <c r="L8" s="98" t="s">
        <v>25</v>
      </c>
      <c r="M8" s="103" t="s">
        <v>2120</v>
      </c>
    </row>
    <row r="9" spans="1:16" ht="15.6">
      <c r="A9" s="26" t="str">
        <v>K152</v>
      </c>
      <c r="B9" s="27" t="str">
        <v>NY</v>
      </c>
      <c r="C9" s="27" t="str">
        <f>Sites[[#This Row],[SOL'#]]</f>
        <v>SOL-10362</v>
      </c>
      <c r="D9" s="9">
        <v>6524.75</v>
      </c>
      <c r="E9" s="14">
        <v>6954.5709999999999</v>
      </c>
      <c r="F9" s="14">
        <f t="shared" si="0"/>
        <v>-429.82099999999991</v>
      </c>
      <c r="G9" s="15">
        <f t="shared" si="3"/>
        <v>-6.1804099778404724E-2</v>
      </c>
      <c r="H9" s="16">
        <v>7441</v>
      </c>
      <c r="I9" s="16">
        <f t="shared" si="1"/>
        <v>-916.25</v>
      </c>
      <c r="J9" s="15">
        <f t="shared" si="2"/>
        <v>-0.12313533127267841</v>
      </c>
      <c r="K9" s="51" t="s">
        <v>2121</v>
      </c>
      <c r="L9" s="85"/>
    </row>
    <row r="10" spans="1:16" ht="15.6">
      <c r="A10" s="24" t="str">
        <v>K166</v>
      </c>
      <c r="B10" s="25" t="str">
        <v>NY</v>
      </c>
      <c r="C10" s="25" t="str">
        <f>Sites[[#This Row],[SOL'#]]</f>
        <v>SOL-10363</v>
      </c>
      <c r="D10" s="20">
        <v>19095.625</v>
      </c>
      <c r="E10" s="10">
        <v>25560.51</v>
      </c>
      <c r="F10" s="10">
        <f t="shared" si="0"/>
        <v>-6464.8849999999984</v>
      </c>
      <c r="G10" s="11">
        <f t="shared" si="3"/>
        <v>-0.25292472646281311</v>
      </c>
      <c r="H10" s="12">
        <v>26412.32</v>
      </c>
      <c r="I10" s="12">
        <f t="shared" si="1"/>
        <v>-7316.6949999999997</v>
      </c>
      <c r="J10" s="13">
        <f t="shared" si="2"/>
        <v>-0.27701826268953278</v>
      </c>
      <c r="K10" s="53" t="s">
        <v>1909</v>
      </c>
      <c r="L10" s="98" t="s">
        <v>1910</v>
      </c>
      <c r="M10" s="103" t="s">
        <v>2116</v>
      </c>
    </row>
    <row r="11" spans="1:16" ht="15.6">
      <c r="A11" s="26" t="str">
        <v>K206</v>
      </c>
      <c r="B11" s="27" t="str">
        <v>NY</v>
      </c>
      <c r="C11" s="27" t="str">
        <f>Sites[[#This Row],[SOL'#]]</f>
        <v>SOL-10927</v>
      </c>
      <c r="D11" s="9">
        <v>13546.15625</v>
      </c>
      <c r="E11" s="14">
        <v>12440.67</v>
      </c>
      <c r="F11" s="14">
        <f t="shared" si="0"/>
        <v>1105.4862499999999</v>
      </c>
      <c r="G11" s="15">
        <f t="shared" si="3"/>
        <v>8.8860668275904747E-2</v>
      </c>
      <c r="H11" s="16">
        <v>12467</v>
      </c>
      <c r="I11" s="16">
        <f t="shared" si="1"/>
        <v>1079.15625</v>
      </c>
      <c r="J11" s="15">
        <f t="shared" si="2"/>
        <v>8.6561021095692622E-2</v>
      </c>
      <c r="K11" s="51"/>
      <c r="L11" s="86"/>
    </row>
    <row r="12" spans="1:16" ht="57.6">
      <c r="A12" s="24" t="str">
        <v>K251</v>
      </c>
      <c r="B12" s="25" t="str">
        <v>NY</v>
      </c>
      <c r="C12" s="25" t="str">
        <f>Sites[[#This Row],[SOL'#]]</f>
        <v>SOL-10365</v>
      </c>
      <c r="D12" s="20">
        <v>15420.4375</v>
      </c>
      <c r="E12" s="10">
        <v>0</v>
      </c>
      <c r="F12" s="10">
        <f t="shared" si="0"/>
        <v>15420.4375</v>
      </c>
      <c r="G12" s="11" t="str">
        <f t="shared" si="3"/>
        <v/>
      </c>
      <c r="H12" s="12">
        <v>17427.71</v>
      </c>
      <c r="I12" s="12">
        <f t="shared" si="1"/>
        <v>-2007.2724999999991</v>
      </c>
      <c r="J12" s="13">
        <f t="shared" si="2"/>
        <v>-0.11517706571890393</v>
      </c>
      <c r="K12" s="53" t="s">
        <v>2122</v>
      </c>
      <c r="L12" s="98" t="s">
        <v>1911</v>
      </c>
      <c r="M12" s="65" t="s">
        <v>2123</v>
      </c>
      <c r="N12" s="102" t="s">
        <v>1177</v>
      </c>
    </row>
    <row r="13" spans="1:16" ht="28.9">
      <c r="A13" s="26" t="str">
        <v>K269</v>
      </c>
      <c r="B13" s="27" t="str">
        <v>NY</v>
      </c>
      <c r="C13" s="27" t="str">
        <f>Sites[[#This Row],[SOL'#]]</f>
        <v>SOL-10366</v>
      </c>
      <c r="D13" s="9">
        <v>14114.0625</v>
      </c>
      <c r="E13" s="14">
        <v>17502.91</v>
      </c>
      <c r="F13" s="14">
        <f t="shared" si="0"/>
        <v>-3388.8474999999999</v>
      </c>
      <c r="G13" s="15">
        <f t="shared" si="3"/>
        <v>-0.19361623295783387</v>
      </c>
      <c r="H13" s="16">
        <v>13588.61</v>
      </c>
      <c r="I13" s="16">
        <f t="shared" si="1"/>
        <v>525.45249999999942</v>
      </c>
      <c r="J13" s="15">
        <f t="shared" si="2"/>
        <v>3.8668598186275077E-2</v>
      </c>
      <c r="K13" s="51" t="s">
        <v>1179</v>
      </c>
      <c r="L13" s="186"/>
    </row>
    <row r="14" spans="1:16" ht="86.45">
      <c r="A14" s="24" t="str">
        <v>K273</v>
      </c>
      <c r="B14" s="25" t="str">
        <v>NY</v>
      </c>
      <c r="C14" s="25" t="str">
        <f>Sites[[#This Row],[SOL'#]]</f>
        <v>SOL-10367</v>
      </c>
      <c r="D14" s="20">
        <v>10509.4375</v>
      </c>
      <c r="E14" s="10">
        <v>0</v>
      </c>
      <c r="F14" s="10">
        <f t="shared" si="0"/>
        <v>10509.4375</v>
      </c>
      <c r="G14" s="11" t="str">
        <f t="shared" si="3"/>
        <v/>
      </c>
      <c r="H14" s="12">
        <v>20518</v>
      </c>
      <c r="I14" s="12">
        <f t="shared" si="1"/>
        <v>-10008.5625</v>
      </c>
      <c r="J14" s="13">
        <f t="shared" si="2"/>
        <v>-0.48779425382590896</v>
      </c>
      <c r="K14" s="53" t="s">
        <v>2124</v>
      </c>
      <c r="L14" s="98" t="s">
        <v>1914</v>
      </c>
      <c r="M14" s="65" t="s">
        <v>2125</v>
      </c>
      <c r="N14" s="102" t="s">
        <v>1915</v>
      </c>
      <c r="O14" s="102" t="s">
        <v>911</v>
      </c>
      <c r="P14" s="102" t="s">
        <v>1668</v>
      </c>
    </row>
    <row r="15" spans="1:16" ht="28.9">
      <c r="A15" s="26" t="str">
        <v>K287</v>
      </c>
      <c r="B15" s="27" t="str">
        <v>NY</v>
      </c>
      <c r="C15" s="27" t="str">
        <f>Sites[[#This Row],[SOL'#]]</f>
        <v>SOL-10919</v>
      </c>
      <c r="D15" s="9">
        <v>12717.28125</v>
      </c>
      <c r="E15" s="14">
        <v>11438.47</v>
      </c>
      <c r="F15" s="14">
        <f t="shared" si="0"/>
        <v>1278.8112500000007</v>
      </c>
      <c r="G15" s="15">
        <f t="shared" si="3"/>
        <v>0.11179915233418462</v>
      </c>
      <c r="H15" s="16">
        <v>11897</v>
      </c>
      <c r="I15" s="16">
        <f t="shared" si="1"/>
        <v>820.28125</v>
      </c>
      <c r="J15" s="15">
        <f t="shared" si="2"/>
        <v>6.8948579473816926E-2</v>
      </c>
      <c r="K15" s="51" t="s">
        <v>1669</v>
      </c>
      <c r="L15" s="186"/>
    </row>
    <row r="16" spans="1:16" ht="15.6">
      <c r="A16" s="24" t="str">
        <v>K298</v>
      </c>
      <c r="B16" s="25" t="str">
        <v>NY</v>
      </c>
      <c r="C16" s="25" t="str">
        <f>Sites[[#This Row],[SOL'#]]</f>
        <v>SOL-10368</v>
      </c>
      <c r="D16" s="20">
        <v>12865.3125</v>
      </c>
      <c r="E16" s="10">
        <v>14909.92</v>
      </c>
      <c r="F16" s="10">
        <f t="shared" si="0"/>
        <v>-2044.6075000000001</v>
      </c>
      <c r="G16" s="11">
        <f t="shared" si="3"/>
        <v>-0.13713068212304291</v>
      </c>
      <c r="H16" s="12">
        <v>12316</v>
      </c>
      <c r="I16" s="12">
        <f t="shared" si="1"/>
        <v>549.3125</v>
      </c>
      <c r="J16" s="13">
        <f t="shared" si="2"/>
        <v>4.4601534589152322E-2</v>
      </c>
      <c r="K16" s="53" t="s">
        <v>2126</v>
      </c>
      <c r="L16" s="98" t="s">
        <v>2127</v>
      </c>
      <c r="M16" s="171" t="s">
        <v>2128</v>
      </c>
    </row>
    <row r="17" spans="1:13" ht="15.6">
      <c r="A17" s="26" t="str">
        <v>K335</v>
      </c>
      <c r="B17" s="27" t="str">
        <v>NY</v>
      </c>
      <c r="C17" s="27" t="str">
        <f>Sites[[#This Row],[SOL'#]]</f>
        <v>SOL-10370</v>
      </c>
      <c r="D17" s="9">
        <v>13563.0625</v>
      </c>
      <c r="E17" s="14">
        <v>15975.83</v>
      </c>
      <c r="F17" s="14">
        <f t="shared" si="0"/>
        <v>-2412.7674999999999</v>
      </c>
      <c r="G17" s="15">
        <f t="shared" si="3"/>
        <v>-0.15102611257130302</v>
      </c>
      <c r="H17" s="16">
        <v>17347</v>
      </c>
      <c r="I17" s="16">
        <f t="shared" si="1"/>
        <v>-3783.9375</v>
      </c>
      <c r="J17" s="15">
        <f t="shared" si="2"/>
        <v>-0.2181320977690667</v>
      </c>
      <c r="K17" s="51" t="s">
        <v>2129</v>
      </c>
      <c r="L17" s="186"/>
      <c r="M17"/>
    </row>
    <row r="18" spans="1:13" ht="63.75" customHeight="1">
      <c r="A18" s="24" t="str">
        <v>K345</v>
      </c>
      <c r="B18" s="25" t="str">
        <v>NY</v>
      </c>
      <c r="C18" s="25" t="str">
        <f>Sites[[#This Row],[SOL'#]]</f>
        <v>SOL-10920</v>
      </c>
      <c r="D18" s="20">
        <v>16271.78125</v>
      </c>
      <c r="E18" s="10">
        <v>10617.07</v>
      </c>
      <c r="F18" s="10">
        <f t="shared" ref="F18:F81" si="4">IF(AND(ISNUMBER(D18),ISNUMBER(E18)), D18-E18, "")</f>
        <v>5654.7112500000003</v>
      </c>
      <c r="G18" s="11">
        <f t="shared" ref="G18:G81" si="5">IFERROR(F18/E18, "")</f>
        <v>0.5326056294250674</v>
      </c>
      <c r="H18" s="12">
        <v>15094</v>
      </c>
      <c r="I18" s="12">
        <f t="shared" ref="I18:I81" si="6">IF(AND(ISNUMBER(D18),ISNUMBER(H18)), D18-H18, "")</f>
        <v>1177.78125</v>
      </c>
      <c r="J18" s="13">
        <f t="shared" ref="J18:J81" si="7">IFERROR(I18/H18, "")</f>
        <v>7.8029763482178355E-2</v>
      </c>
      <c r="K18" s="53" t="s">
        <v>1671</v>
      </c>
      <c r="L18" s="98" t="s">
        <v>1186</v>
      </c>
      <c r="M18" s="103" t="s">
        <v>2119</v>
      </c>
    </row>
    <row r="19" spans="1:13" ht="28.9">
      <c r="A19" s="26" t="str">
        <v>K445</v>
      </c>
      <c r="B19" s="27" t="str">
        <v>NY</v>
      </c>
      <c r="C19" s="27" t="str">
        <f>Sites[[#This Row],[SOL'#]]</f>
        <v>SOL-10373</v>
      </c>
      <c r="D19" s="9">
        <v>9833.2862251244405</v>
      </c>
      <c r="E19" s="14">
        <v>15889.4</v>
      </c>
      <c r="F19" s="14">
        <f t="shared" si="4"/>
        <v>-6056.1137748755591</v>
      </c>
      <c r="G19" s="15">
        <f t="shared" si="5"/>
        <v>-0.38114175329940458</v>
      </c>
      <c r="H19" s="16">
        <v>12274.88</v>
      </c>
      <c r="I19" s="16">
        <f t="shared" si="6"/>
        <v>-2441.5937748755587</v>
      </c>
      <c r="J19" s="15">
        <f t="shared" si="7"/>
        <v>-0.19890978770265444</v>
      </c>
      <c r="K19" s="51" t="s">
        <v>2130</v>
      </c>
      <c r="L19" s="99" t="s">
        <v>2131</v>
      </c>
      <c r="M19" s="51" t="s">
        <v>2132</v>
      </c>
    </row>
    <row r="20" spans="1:13" ht="15.6">
      <c r="A20" s="24" t="str">
        <v>K495</v>
      </c>
      <c r="B20" s="25" t="str">
        <v>NY</v>
      </c>
      <c r="C20" s="25" t="str">
        <f>Sites[[#This Row],[SOL'#]]</f>
        <v>SOL-10374</v>
      </c>
      <c r="D20" s="20">
        <v>57601.625</v>
      </c>
      <c r="E20" s="10">
        <v>63443.040000000001</v>
      </c>
      <c r="F20" s="10">
        <f t="shared" si="4"/>
        <v>-5841.4150000000009</v>
      </c>
      <c r="G20" s="11">
        <f t="shared" si="5"/>
        <v>-9.2073377946580132E-2</v>
      </c>
      <c r="H20" s="12">
        <v>63000.45</v>
      </c>
      <c r="I20" s="12">
        <f t="shared" si="6"/>
        <v>-5398.8249999999971</v>
      </c>
      <c r="J20" s="13">
        <f t="shared" si="7"/>
        <v>-8.5695022813329066E-2</v>
      </c>
      <c r="K20" s="53" t="s">
        <v>2133</v>
      </c>
      <c r="L20" s="98" t="s">
        <v>2134</v>
      </c>
      <c r="M20" s="103" t="s">
        <v>2135</v>
      </c>
    </row>
    <row r="21" spans="1:13" ht="15.6">
      <c r="A21" s="26" t="str">
        <v>M020</v>
      </c>
      <c r="B21" s="27" t="str">
        <v>NY</v>
      </c>
      <c r="C21" s="27" t="str">
        <f>Sites[[#This Row],[SOL'#]]</f>
        <v>SOL-10380</v>
      </c>
      <c r="D21" s="9">
        <v>15019.9375</v>
      </c>
      <c r="E21" s="14">
        <v>15837.73</v>
      </c>
      <c r="F21" s="14">
        <f t="shared" si="4"/>
        <v>-817.79249999999956</v>
      </c>
      <c r="G21" s="15">
        <f t="shared" si="5"/>
        <v>-5.1635714209043823E-2</v>
      </c>
      <c r="H21" s="16">
        <v>15061</v>
      </c>
      <c r="I21" s="16">
        <f t="shared" si="6"/>
        <v>-41.0625</v>
      </c>
      <c r="J21" s="15">
        <f t="shared" si="7"/>
        <v>-2.7264125888055244E-3</v>
      </c>
      <c r="K21" s="51"/>
      <c r="L21" s="85"/>
    </row>
    <row r="22" spans="1:13" ht="15.6">
      <c r="A22" s="24" t="str">
        <v>M092</v>
      </c>
      <c r="B22" s="25" t="str">
        <v>NY</v>
      </c>
      <c r="C22" s="25" t="str">
        <f>Sites[[#This Row],[SOL'#]]</f>
        <v>SOL-10383</v>
      </c>
      <c r="D22" s="20">
        <v>14068.1875000001</v>
      </c>
      <c r="E22" s="10">
        <v>15915.89</v>
      </c>
      <c r="F22" s="10">
        <f t="shared" si="4"/>
        <v>-1847.7024999998994</v>
      </c>
      <c r="G22" s="11">
        <f t="shared" si="5"/>
        <v>-0.11609168573041781</v>
      </c>
      <c r="H22" s="12">
        <v>13368.61</v>
      </c>
      <c r="I22" s="12">
        <f t="shared" si="6"/>
        <v>699.57750000009946</v>
      </c>
      <c r="J22" s="13">
        <f t="shared" si="7"/>
        <v>5.232986077087292E-2</v>
      </c>
      <c r="K22" s="53" t="s">
        <v>2121</v>
      </c>
      <c r="L22" s="47"/>
    </row>
    <row r="23" spans="1:13" ht="43.15">
      <c r="A23" s="26" t="str">
        <v>M143</v>
      </c>
      <c r="B23" s="27" t="str">
        <v>NY</v>
      </c>
      <c r="C23" s="27" t="str">
        <f>Sites[[#This Row],[SOL'#]]</f>
        <v>SOL-10384</v>
      </c>
      <c r="D23" s="9">
        <v>16474.625</v>
      </c>
      <c r="E23" s="14">
        <v>18416.57</v>
      </c>
      <c r="F23" s="14">
        <f t="shared" si="4"/>
        <v>-1941.9449999999997</v>
      </c>
      <c r="G23" s="15">
        <f t="shared" si="5"/>
        <v>-0.10544553084532025</v>
      </c>
      <c r="H23" s="16">
        <v>15146.07</v>
      </c>
      <c r="I23" s="16">
        <f t="shared" si="6"/>
        <v>1328.5550000000003</v>
      </c>
      <c r="J23" s="15">
        <f t="shared" si="7"/>
        <v>8.7716153431220134E-2</v>
      </c>
      <c r="K23" s="51" t="s">
        <v>2136</v>
      </c>
      <c r="L23" s="99" t="s">
        <v>1920</v>
      </c>
      <c r="M23" s="103" t="s">
        <v>2128</v>
      </c>
    </row>
    <row r="24" spans="1:13" ht="15.6">
      <c r="A24" s="24" t="str">
        <v>M144</v>
      </c>
      <c r="B24" s="25" t="str">
        <v>NY</v>
      </c>
      <c r="C24" s="25" t="str">
        <f>Sites[[#This Row],[SOL'#]]</f>
        <v>SOL-10385</v>
      </c>
      <c r="D24" s="20">
        <v>23735.437500000098</v>
      </c>
      <c r="E24" s="10">
        <v>27682.29</v>
      </c>
      <c r="F24" s="10">
        <f t="shared" si="4"/>
        <v>-3946.8524999999026</v>
      </c>
      <c r="G24" s="11">
        <f t="shared" si="5"/>
        <v>-0.1425768063263517</v>
      </c>
      <c r="H24" s="12">
        <v>30843.31</v>
      </c>
      <c r="I24" s="12">
        <f t="shared" si="6"/>
        <v>-7107.8724999999031</v>
      </c>
      <c r="J24" s="13">
        <f t="shared" si="7"/>
        <v>-0.23045102811598051</v>
      </c>
      <c r="K24" s="53" t="s">
        <v>2117</v>
      </c>
      <c r="L24" s="47"/>
    </row>
    <row r="25" spans="1:13" ht="28.9">
      <c r="A25" s="26" t="str">
        <v>M167</v>
      </c>
      <c r="B25" s="27" t="str">
        <v>NY</v>
      </c>
      <c r="C25" s="27" t="str">
        <f>Sites[[#This Row],[SOL'#]]</f>
        <v>SOL-10386</v>
      </c>
      <c r="D25" s="9">
        <v>16164.40625</v>
      </c>
      <c r="E25" s="14">
        <v>14225.12</v>
      </c>
      <c r="F25" s="14">
        <f t="shared" si="4"/>
        <v>1939.2862499999992</v>
      </c>
      <c r="G25" s="15">
        <f t="shared" si="5"/>
        <v>0.13632828756453366</v>
      </c>
      <c r="H25" s="16">
        <v>17650.07</v>
      </c>
      <c r="I25" s="16">
        <f t="shared" si="6"/>
        <v>-1485.6637499999997</v>
      </c>
      <c r="J25" s="15">
        <f t="shared" si="7"/>
        <v>-8.4173249737819728E-2</v>
      </c>
      <c r="K25" s="51" t="s">
        <v>1674</v>
      </c>
      <c r="L25" s="85"/>
    </row>
    <row r="26" spans="1:13" ht="15.6">
      <c r="A26" s="24" t="str">
        <v>M188</v>
      </c>
      <c r="B26" s="25" t="str">
        <v>NY</v>
      </c>
      <c r="C26" s="25" t="str">
        <f>Sites[[#This Row],[SOL'#]]</f>
        <v>SOL-10387</v>
      </c>
      <c r="D26" s="20">
        <v>12373.6875</v>
      </c>
      <c r="E26" s="10">
        <v>13753.56</v>
      </c>
      <c r="F26" s="10">
        <f t="shared" si="4"/>
        <v>-1379.8724999999995</v>
      </c>
      <c r="G26" s="11">
        <f t="shared" si="5"/>
        <v>-0.1003283877047106</v>
      </c>
      <c r="H26" s="12">
        <v>16022.87</v>
      </c>
      <c r="I26" s="12">
        <f t="shared" si="6"/>
        <v>-3649.1825000000008</v>
      </c>
      <c r="J26" s="13">
        <f t="shared" si="7"/>
        <v>-0.22774836842588128</v>
      </c>
      <c r="K26" s="53" t="s">
        <v>2137</v>
      </c>
      <c r="L26" s="47"/>
    </row>
    <row r="27" spans="1:13" ht="15.6">
      <c r="A27" s="26" t="str">
        <v>EMHC</v>
      </c>
      <c r="B27" s="27" t="str">
        <v>NY</v>
      </c>
      <c r="C27" s="27" t="str">
        <f>Sites[[#This Row],[SOL'#]]</f>
        <v>SOL-10351</v>
      </c>
      <c r="D27" s="9">
        <v>5036.59375</v>
      </c>
      <c r="E27" s="14">
        <v>3712.4760000000001</v>
      </c>
      <c r="F27" s="14">
        <f t="shared" si="4"/>
        <v>1324.1177499999999</v>
      </c>
      <c r="G27" s="15">
        <f t="shared" si="5"/>
        <v>0.35666701953090063</v>
      </c>
      <c r="H27" s="16">
        <v>4938.8329999999996</v>
      </c>
      <c r="I27" s="16">
        <f t="shared" si="6"/>
        <v>97.760750000000371</v>
      </c>
      <c r="J27" s="15">
        <f t="shared" si="7"/>
        <v>1.9794301609307376E-2</v>
      </c>
      <c r="K27" s="51" t="s">
        <v>668</v>
      </c>
      <c r="L27" s="99" t="s">
        <v>669</v>
      </c>
      <c r="M27" s="103" t="s">
        <v>2138</v>
      </c>
    </row>
    <row r="28" spans="1:13" ht="28.9">
      <c r="A28" s="24" t="str">
        <v>Q008</v>
      </c>
      <c r="B28" s="25" t="str">
        <v>NY</v>
      </c>
      <c r="C28" s="25" t="str">
        <f>Sites[[#This Row],[SOL'#]]</f>
        <v>SOL-10397</v>
      </c>
      <c r="D28" s="20">
        <v>19059.5625</v>
      </c>
      <c r="E28" s="10">
        <v>21709.07</v>
      </c>
      <c r="F28" s="10">
        <f t="shared" si="4"/>
        <v>-2649.5074999999997</v>
      </c>
      <c r="G28" s="11">
        <f t="shared" si="5"/>
        <v>-0.1220461079171056</v>
      </c>
      <c r="H28" s="12">
        <v>18843</v>
      </c>
      <c r="I28" s="12">
        <f t="shared" si="6"/>
        <v>216.5625</v>
      </c>
      <c r="J28" s="13">
        <f t="shared" si="7"/>
        <v>1.1492994746059545E-2</v>
      </c>
      <c r="K28" s="53" t="s">
        <v>2139</v>
      </c>
      <c r="L28" s="100" t="s">
        <v>2140</v>
      </c>
      <c r="M28" s="103" t="s">
        <v>2120</v>
      </c>
    </row>
    <row r="29" spans="1:13" ht="15.6">
      <c r="A29" s="26" t="str">
        <v>Q018</v>
      </c>
      <c r="B29" s="27" t="str">
        <v>NY</v>
      </c>
      <c r="C29" s="27" t="str">
        <f>Sites[[#This Row],[SOL'#]]</f>
        <v>SOL-10398</v>
      </c>
      <c r="D29" s="9">
        <v>13329.5625</v>
      </c>
      <c r="E29" s="14">
        <v>14739.7</v>
      </c>
      <c r="F29" s="14">
        <f t="shared" si="4"/>
        <v>-1410.1375000000007</v>
      </c>
      <c r="G29" s="15">
        <f t="shared" si="5"/>
        <v>-9.5669348765578727E-2</v>
      </c>
      <c r="H29" s="16">
        <v>13629.77</v>
      </c>
      <c r="I29" s="16">
        <f t="shared" si="6"/>
        <v>-300.20750000000044</v>
      </c>
      <c r="J29" s="15">
        <f t="shared" si="7"/>
        <v>-2.2025866907512043E-2</v>
      </c>
      <c r="K29" s="51"/>
      <c r="L29" s="186"/>
    </row>
    <row r="30" spans="1:13" ht="15.6">
      <c r="A30" s="24" t="str">
        <v>Q021</v>
      </c>
      <c r="B30" s="25" t="str">
        <v>NY</v>
      </c>
      <c r="C30" s="25" t="str">
        <f>Sites[[#This Row],[SOL'#]]</f>
        <v>SOL-10399</v>
      </c>
      <c r="D30" s="20">
        <v>10328.3125</v>
      </c>
      <c r="E30" s="10">
        <v>11597.72</v>
      </c>
      <c r="F30" s="10">
        <f t="shared" si="4"/>
        <v>-1269.4074999999993</v>
      </c>
      <c r="G30" s="11">
        <f t="shared" si="5"/>
        <v>-0.10945319424852466</v>
      </c>
      <c r="H30" s="12">
        <v>11279.66</v>
      </c>
      <c r="I30" s="12">
        <f t="shared" si="6"/>
        <v>-951.34749999999985</v>
      </c>
      <c r="J30" s="13">
        <f t="shared" si="7"/>
        <v>-8.4341859595058702E-2</v>
      </c>
      <c r="K30" s="53" t="s">
        <v>2121</v>
      </c>
      <c r="L30" s="47"/>
    </row>
    <row r="31" spans="1:13" ht="28.9">
      <c r="A31" s="26" t="str">
        <v>Q025</v>
      </c>
      <c r="B31" s="27" t="str">
        <v>NY</v>
      </c>
      <c r="C31" s="27" t="str">
        <f>Sites[[#This Row],[SOL'#]]</f>
        <v>SOL-10400</v>
      </c>
      <c r="D31" s="9">
        <v>17661.375</v>
      </c>
      <c r="E31" s="14">
        <v>18436.689999999999</v>
      </c>
      <c r="F31" s="14">
        <f t="shared" si="4"/>
        <v>-775.31499999999869</v>
      </c>
      <c r="G31" s="15">
        <f t="shared" si="5"/>
        <v>-4.2052830524351104E-2</v>
      </c>
      <c r="H31" s="16">
        <v>9900</v>
      </c>
      <c r="I31" s="16">
        <f t="shared" si="6"/>
        <v>7761.375</v>
      </c>
      <c r="J31" s="15">
        <f t="shared" si="7"/>
        <v>0.78397727272727269</v>
      </c>
      <c r="K31" s="51" t="s">
        <v>2141</v>
      </c>
      <c r="L31" s="186"/>
    </row>
    <row r="32" spans="1:13" ht="15.6">
      <c r="A32" s="24" t="str">
        <v>Q074</v>
      </c>
      <c r="B32" s="25" t="str">
        <v>NY</v>
      </c>
      <c r="C32" s="25" t="str">
        <f>Sites[[#This Row],[SOL'#]]</f>
        <v>SOL-10402</v>
      </c>
      <c r="D32" s="20">
        <v>0</v>
      </c>
      <c r="E32" s="10">
        <v>0</v>
      </c>
      <c r="F32" s="10">
        <f t="shared" si="4"/>
        <v>0</v>
      </c>
      <c r="G32" s="11" t="str">
        <f t="shared" si="5"/>
        <v/>
      </c>
      <c r="H32" s="12">
        <v>13063</v>
      </c>
      <c r="I32" s="12">
        <f t="shared" si="6"/>
        <v>-13063</v>
      </c>
      <c r="J32" s="13">
        <f t="shared" si="7"/>
        <v>-1</v>
      </c>
      <c r="K32" s="53" t="s">
        <v>1924</v>
      </c>
      <c r="L32" s="98" t="s">
        <v>1925</v>
      </c>
      <c r="M32" s="103" t="s">
        <v>2138</v>
      </c>
    </row>
    <row r="33" spans="1:14" ht="15.6">
      <c r="A33" s="26" t="str">
        <v>Q115</v>
      </c>
      <c r="B33" s="27" t="str">
        <v>NY</v>
      </c>
      <c r="C33" s="27" t="str">
        <f>Sites[[#This Row],[SOL'#]]</f>
        <v>SOL-10872</v>
      </c>
      <c r="D33" s="9">
        <v>15241.9375</v>
      </c>
      <c r="E33" s="14">
        <v>17179.18</v>
      </c>
      <c r="F33" s="14">
        <f t="shared" si="4"/>
        <v>-1937.2425000000003</v>
      </c>
      <c r="G33" s="15">
        <f t="shared" si="5"/>
        <v>-0.11276687827940567</v>
      </c>
      <c r="H33" s="16">
        <v>17055.62</v>
      </c>
      <c r="I33" s="16">
        <f t="shared" si="6"/>
        <v>-1813.682499999999</v>
      </c>
      <c r="J33" s="15">
        <f t="shared" si="7"/>
        <v>-0.10633928875057014</v>
      </c>
      <c r="K33" s="51" t="s">
        <v>2142</v>
      </c>
      <c r="L33" s="99" t="s">
        <v>2143</v>
      </c>
      <c r="M33" t="s">
        <v>2138</v>
      </c>
    </row>
    <row r="34" spans="1:14" ht="28.9">
      <c r="A34" s="24" t="str">
        <v>Q139</v>
      </c>
      <c r="B34" s="25" t="str">
        <v>NY</v>
      </c>
      <c r="C34" s="25" t="str">
        <f>Sites[[#This Row],[SOL'#]]</f>
        <v>SOL-10403</v>
      </c>
      <c r="D34" s="20">
        <v>8826.8125</v>
      </c>
      <c r="E34" s="10">
        <v>9185.8240000000005</v>
      </c>
      <c r="F34" s="10">
        <f t="shared" si="4"/>
        <v>-359.01150000000052</v>
      </c>
      <c r="G34" s="11">
        <f t="shared" si="5"/>
        <v>-3.9083211261178148E-2</v>
      </c>
      <c r="H34" s="12">
        <v>10659</v>
      </c>
      <c r="I34" s="12">
        <f t="shared" si="6"/>
        <v>-1832.1875</v>
      </c>
      <c r="J34" s="13">
        <f t="shared" si="7"/>
        <v>-0.17189112487100103</v>
      </c>
      <c r="K34" s="53" t="s">
        <v>1445</v>
      </c>
      <c r="L34" s="98" t="s">
        <v>1926</v>
      </c>
      <c r="M34" s="103" t="s">
        <v>2138</v>
      </c>
    </row>
    <row r="35" spans="1:14" ht="15.6">
      <c r="A35" s="26" t="str">
        <v>Q157</v>
      </c>
      <c r="B35" s="27" t="str">
        <v>NY</v>
      </c>
      <c r="C35" s="27" t="str">
        <f>Sites[[#This Row],[SOL'#]]</f>
        <v>SOL-10404</v>
      </c>
      <c r="D35" s="9">
        <v>15808.375</v>
      </c>
      <c r="E35" s="14">
        <v>20001.04</v>
      </c>
      <c r="F35" s="14">
        <f t="shared" si="4"/>
        <v>-4192.6650000000009</v>
      </c>
      <c r="G35" s="15">
        <f t="shared" si="5"/>
        <v>-0.20962234963781887</v>
      </c>
      <c r="H35" s="16">
        <v>19280</v>
      </c>
      <c r="I35" s="16">
        <f t="shared" si="6"/>
        <v>-3471.625</v>
      </c>
      <c r="J35" s="15">
        <f t="shared" si="7"/>
        <v>-0.18006353734439834</v>
      </c>
      <c r="K35" s="51" t="s">
        <v>2144</v>
      </c>
      <c r="L35" s="85"/>
      <c r="M35"/>
    </row>
    <row r="36" spans="1:14" ht="15.6">
      <c r="A36" s="24" t="str">
        <v>Q192</v>
      </c>
      <c r="B36" s="25" t="str">
        <v>NY</v>
      </c>
      <c r="C36" s="25" t="str">
        <f>Sites[[#This Row],[SOL'#]]</f>
        <v>SOL-10406</v>
      </c>
      <c r="D36" s="20">
        <v>20984.75</v>
      </c>
      <c r="E36" s="10">
        <v>28074.19</v>
      </c>
      <c r="F36" s="10">
        <f t="shared" si="4"/>
        <v>-7089.4399999999987</v>
      </c>
      <c r="G36" s="11">
        <f t="shared" si="5"/>
        <v>-0.25252518416381736</v>
      </c>
      <c r="H36" s="12">
        <v>27986.62</v>
      </c>
      <c r="I36" s="12">
        <f t="shared" si="6"/>
        <v>-7001.869999999999</v>
      </c>
      <c r="J36" s="13">
        <f t="shared" si="7"/>
        <v>-0.2501863390434429</v>
      </c>
      <c r="K36" s="53" t="s">
        <v>2145</v>
      </c>
      <c r="L36" s="98" t="s">
        <v>1929</v>
      </c>
      <c r="M36" t="s">
        <v>2138</v>
      </c>
    </row>
    <row r="37" spans="1:14" ht="15.6">
      <c r="A37" s="26" t="str">
        <v>Q210</v>
      </c>
      <c r="B37" s="27" t="str">
        <v>NY</v>
      </c>
      <c r="C37" s="27" t="str">
        <f>Sites[[#This Row],[SOL'#]]</f>
        <v>SOL-10407</v>
      </c>
      <c r="D37" s="9">
        <v>20535.375</v>
      </c>
      <c r="E37" s="14">
        <v>20691.099999999999</v>
      </c>
      <c r="F37" s="14">
        <f t="shared" si="4"/>
        <v>-155.72499999999854</v>
      </c>
      <c r="G37" s="15">
        <f t="shared" si="5"/>
        <v>-7.5261827549042131E-3</v>
      </c>
      <c r="H37" s="16">
        <v>23419</v>
      </c>
      <c r="I37" s="16">
        <f t="shared" si="6"/>
        <v>-2883.625</v>
      </c>
      <c r="J37" s="15">
        <f t="shared" si="7"/>
        <v>-0.1231318587471711</v>
      </c>
      <c r="K37" s="51" t="s">
        <v>2146</v>
      </c>
      <c r="L37" s="99" t="s">
        <v>2147</v>
      </c>
      <c r="M37" t="s">
        <v>2120</v>
      </c>
    </row>
    <row r="38" spans="1:14" ht="28.9">
      <c r="A38" s="24" t="str">
        <v>Q229</v>
      </c>
      <c r="B38" s="25" t="str">
        <v>NY</v>
      </c>
      <c r="C38" s="25" t="str">
        <f>Sites[[#This Row],[SOL'#]]</f>
        <v>SOL-10408</v>
      </c>
      <c r="D38" s="20">
        <v>8171.6875</v>
      </c>
      <c r="E38" s="10">
        <v>10096.77</v>
      </c>
      <c r="F38" s="10">
        <f t="shared" si="4"/>
        <v>-1925.0825000000004</v>
      </c>
      <c r="G38" s="11">
        <f t="shared" si="5"/>
        <v>-0.19066320219238433</v>
      </c>
      <c r="H38" s="12">
        <v>8650</v>
      </c>
      <c r="I38" s="12">
        <f t="shared" si="6"/>
        <v>-478.3125</v>
      </c>
      <c r="J38" s="13">
        <f t="shared" si="7"/>
        <v>-5.5296242774566476E-2</v>
      </c>
      <c r="K38" s="53" t="s">
        <v>932</v>
      </c>
      <c r="L38" s="98" t="s">
        <v>1199</v>
      </c>
      <c r="M38" t="s">
        <v>2138</v>
      </c>
    </row>
    <row r="39" spans="1:14" ht="15.6">
      <c r="A39" s="26" t="str">
        <v>Q231</v>
      </c>
      <c r="B39" s="27" t="str">
        <v>NY</v>
      </c>
      <c r="C39" s="27" t="str">
        <f>Sites[[#This Row],[SOL'#]]</f>
        <v>SOL-10870</v>
      </c>
      <c r="D39" s="9">
        <v>33472.625</v>
      </c>
      <c r="E39" s="14">
        <v>39024.29</v>
      </c>
      <c r="F39" s="14">
        <f t="shared" si="4"/>
        <v>-5551.6650000000009</v>
      </c>
      <c r="G39" s="15">
        <f t="shared" si="5"/>
        <v>-0.1422617810599501</v>
      </c>
      <c r="H39" s="16">
        <v>30569</v>
      </c>
      <c r="I39" s="16">
        <f t="shared" si="6"/>
        <v>2903.625</v>
      </c>
      <c r="J39" s="15">
        <f t="shared" si="7"/>
        <v>9.4985933462003985E-2</v>
      </c>
      <c r="K39" s="51" t="s">
        <v>2148</v>
      </c>
      <c r="L39" s="99" t="s">
        <v>2149</v>
      </c>
      <c r="M39" t="s">
        <v>2120</v>
      </c>
    </row>
    <row r="40" spans="1:14" ht="28.9">
      <c r="A40" s="24" t="str">
        <v>Q405</v>
      </c>
      <c r="B40" s="25" t="str">
        <v>NY</v>
      </c>
      <c r="C40" s="25" t="str">
        <f>Sites[[#This Row],[SOL'#]]</f>
        <v>SOL-10409</v>
      </c>
      <c r="D40" s="20">
        <v>38302.75</v>
      </c>
      <c r="E40" s="10">
        <v>43609.51</v>
      </c>
      <c r="F40" s="10">
        <f t="shared" si="4"/>
        <v>-5306.760000000002</v>
      </c>
      <c r="G40" s="11">
        <f t="shared" si="5"/>
        <v>-0.12168813637208953</v>
      </c>
      <c r="H40" s="12">
        <v>41663.050000000003</v>
      </c>
      <c r="I40" s="12">
        <f t="shared" si="6"/>
        <v>-3360.3000000000029</v>
      </c>
      <c r="J40" s="13">
        <f t="shared" si="7"/>
        <v>-8.0654200784628163E-2</v>
      </c>
      <c r="K40" s="53" t="s">
        <v>2150</v>
      </c>
      <c r="L40" s="98" t="s">
        <v>1932</v>
      </c>
      <c r="M40" t="s">
        <v>2151</v>
      </c>
      <c r="N40" s="102" t="s">
        <v>1933</v>
      </c>
    </row>
    <row r="41" spans="1:14" ht="15.6">
      <c r="A41" s="26" t="str">
        <v>Q435</v>
      </c>
      <c r="B41" s="27" t="str">
        <v>NY</v>
      </c>
      <c r="C41" s="27" t="str">
        <f>Sites[[#This Row],[SOL'#]]</f>
        <v>SOL-10923</v>
      </c>
      <c r="D41" s="9">
        <v>50565.5</v>
      </c>
      <c r="E41" s="14">
        <v>36680.839999999997</v>
      </c>
      <c r="F41" s="14">
        <f t="shared" si="4"/>
        <v>13884.660000000003</v>
      </c>
      <c r="G41" s="15">
        <f t="shared" si="5"/>
        <v>0.37852622786173939</v>
      </c>
      <c r="H41" s="16">
        <v>44849</v>
      </c>
      <c r="I41" s="16">
        <f t="shared" si="6"/>
        <v>5716.5</v>
      </c>
      <c r="J41" s="15">
        <f t="shared" si="7"/>
        <v>0.12746103592053334</v>
      </c>
      <c r="K41" s="51" t="s">
        <v>2152</v>
      </c>
      <c r="L41" s="186"/>
      <c r="M41"/>
    </row>
    <row r="42" spans="1:14" ht="28.9">
      <c r="A42" s="24" t="str">
        <v>Q485</v>
      </c>
      <c r="B42" s="25" t="str">
        <v>NY</v>
      </c>
      <c r="C42" s="25" t="str">
        <f>Sites[[#This Row],[SOL'#]]</f>
        <v>SOL-10869</v>
      </c>
      <c r="D42" s="20">
        <v>43347.25</v>
      </c>
      <c r="E42" s="10">
        <v>38010.839999999997</v>
      </c>
      <c r="F42" s="10">
        <f t="shared" si="4"/>
        <v>5336.4100000000035</v>
      </c>
      <c r="G42" s="11">
        <f t="shared" si="5"/>
        <v>0.14039179349890726</v>
      </c>
      <c r="H42" s="12">
        <v>42385.08</v>
      </c>
      <c r="I42" s="12">
        <f t="shared" si="6"/>
        <v>962.16999999999825</v>
      </c>
      <c r="J42" s="13">
        <f t="shared" si="7"/>
        <v>2.2700676747572451E-2</v>
      </c>
      <c r="K42" s="53" t="s">
        <v>2153</v>
      </c>
      <c r="L42" s="47"/>
    </row>
    <row r="43" spans="1:14" ht="72">
      <c r="A43" s="26" t="str">
        <v>Q490</v>
      </c>
      <c r="B43" s="27" t="str">
        <v>NY</v>
      </c>
      <c r="C43" s="27" t="str">
        <f>Sites[[#This Row],[SOL'#]]</f>
        <v>SOL-10411</v>
      </c>
      <c r="D43" s="9">
        <v>30568</v>
      </c>
      <c r="E43" s="14">
        <v>0</v>
      </c>
      <c r="F43" s="14">
        <f t="shared" si="4"/>
        <v>30568</v>
      </c>
      <c r="G43" s="15" t="str">
        <f t="shared" si="5"/>
        <v/>
      </c>
      <c r="H43" s="16">
        <v>36013.56</v>
      </c>
      <c r="I43" s="16">
        <f t="shared" si="6"/>
        <v>-5445.5599999999977</v>
      </c>
      <c r="J43" s="15">
        <f t="shared" si="7"/>
        <v>-0.15120860031610311</v>
      </c>
      <c r="K43" s="51" t="s">
        <v>2154</v>
      </c>
      <c r="L43" s="99" t="s">
        <v>1938</v>
      </c>
      <c r="M43" s="65" t="s">
        <v>2155</v>
      </c>
      <c r="N43" s="102" t="s">
        <v>1939</v>
      </c>
    </row>
    <row r="44" spans="1:14" ht="28.9">
      <c r="A44" s="24" t="str">
        <v>Q620</v>
      </c>
      <c r="B44" s="25" t="str">
        <v>NY</v>
      </c>
      <c r="C44" s="25" t="str">
        <f>Sites[[#This Row],[SOL'#]]</f>
        <v>SOL-10867</v>
      </c>
      <c r="D44" s="20">
        <v>49130</v>
      </c>
      <c r="E44" s="10">
        <v>50485.440000000002</v>
      </c>
      <c r="F44" s="10">
        <f t="shared" si="4"/>
        <v>-1355.4400000000023</v>
      </c>
      <c r="G44" s="11">
        <f t="shared" si="5"/>
        <v>-2.6848136809345471E-2</v>
      </c>
      <c r="H44" s="12">
        <v>46090.57</v>
      </c>
      <c r="I44" s="12">
        <f t="shared" si="6"/>
        <v>3039.4300000000003</v>
      </c>
      <c r="J44" s="13">
        <f t="shared" si="7"/>
        <v>6.5944725786641401E-2</v>
      </c>
      <c r="K44" s="53" t="s">
        <v>1940</v>
      </c>
      <c r="L44" s="98" t="s">
        <v>1941</v>
      </c>
      <c r="M44" s="103" t="s">
        <v>2138</v>
      </c>
    </row>
    <row r="45" spans="1:14" ht="15.6">
      <c r="A45" s="26" t="str">
        <v>QMOA</v>
      </c>
      <c r="B45" s="27" t="str">
        <v>NY</v>
      </c>
      <c r="C45" s="27" t="str">
        <f>Sites[[#This Row],[SOL'#]]</f>
        <v>SOL-10415</v>
      </c>
      <c r="D45" s="9">
        <v>4287.8999999999896</v>
      </c>
      <c r="E45" s="14" t="s">
        <v>661</v>
      </c>
      <c r="F45" s="14" t="str">
        <f t="shared" si="4"/>
        <v/>
      </c>
      <c r="G45" s="15" t="str">
        <f t="shared" si="5"/>
        <v/>
      </c>
      <c r="H45" s="16">
        <v>4127.0389999999998</v>
      </c>
      <c r="I45" s="16">
        <f t="shared" si="6"/>
        <v>160.86099999998987</v>
      </c>
      <c r="J45" s="15">
        <f t="shared" si="7"/>
        <v>3.8977339443603487E-2</v>
      </c>
      <c r="K45" s="51"/>
      <c r="L45" s="85"/>
    </row>
    <row r="46" spans="1:14" ht="15.6">
      <c r="A46" s="24" t="str">
        <v>X024</v>
      </c>
      <c r="B46" s="25" t="str">
        <v>NY</v>
      </c>
      <c r="C46" s="25" t="str">
        <f>Sites[[#This Row],[SOL'#]]</f>
        <v>SOL-10419</v>
      </c>
      <c r="D46" s="20">
        <v>19157.625</v>
      </c>
      <c r="E46" s="10">
        <v>19462.55</v>
      </c>
      <c r="F46" s="10">
        <f t="shared" si="4"/>
        <v>-304.92499999999927</v>
      </c>
      <c r="G46" s="11">
        <f t="shared" si="5"/>
        <v>-1.566726867753708E-2</v>
      </c>
      <c r="H46" s="12">
        <v>18573</v>
      </c>
      <c r="I46" s="12">
        <f t="shared" si="6"/>
        <v>584.625</v>
      </c>
      <c r="J46" s="13">
        <f t="shared" si="7"/>
        <v>3.1477144241641095E-2</v>
      </c>
      <c r="K46" s="53"/>
      <c r="L46" s="47"/>
    </row>
    <row r="47" spans="1:14" ht="28.9">
      <c r="A47" s="26" t="str">
        <v>X026</v>
      </c>
      <c r="B47" s="27" t="str">
        <v>NY</v>
      </c>
      <c r="C47" s="27" t="str">
        <f>Sites[[#This Row],[SOL'#]]</f>
        <v>SOL-10420</v>
      </c>
      <c r="D47" s="9">
        <v>15160.7</v>
      </c>
      <c r="E47" s="14">
        <v>16267.21</v>
      </c>
      <c r="F47" s="14">
        <f t="shared" si="4"/>
        <v>-1106.5099999999984</v>
      </c>
      <c r="G47" s="15">
        <f t="shared" si="5"/>
        <v>-6.8020883728678636E-2</v>
      </c>
      <c r="H47" s="16">
        <v>24659.119999999999</v>
      </c>
      <c r="I47" s="16">
        <f t="shared" si="6"/>
        <v>-9498.4199999999983</v>
      </c>
      <c r="J47" s="15">
        <f t="shared" si="7"/>
        <v>-0.38518892807204791</v>
      </c>
      <c r="K47" s="51" t="s">
        <v>1690</v>
      </c>
      <c r="L47" s="99" t="s">
        <v>2156</v>
      </c>
      <c r="M47" s="103" t="s">
        <v>2138</v>
      </c>
    </row>
    <row r="48" spans="1:14" ht="28.9">
      <c r="A48" s="24" t="str">
        <v>X090</v>
      </c>
      <c r="B48" s="25" t="str">
        <v>NY</v>
      </c>
      <c r="C48" s="25" t="str">
        <f>Sites[[#This Row],[SOL'#]]</f>
        <v>SOL-10925</v>
      </c>
      <c r="D48" s="20">
        <v>7869.71875</v>
      </c>
      <c r="E48" s="10">
        <v>10452.049999999999</v>
      </c>
      <c r="F48" s="10">
        <f t="shared" si="4"/>
        <v>-2582.3312499999993</v>
      </c>
      <c r="G48" s="11">
        <f t="shared" si="5"/>
        <v>-0.24706457106500634</v>
      </c>
      <c r="H48" s="12">
        <v>12975</v>
      </c>
      <c r="I48" s="12">
        <f t="shared" si="6"/>
        <v>-5105.28125</v>
      </c>
      <c r="J48" s="13">
        <f t="shared" si="7"/>
        <v>-0.39347061657032756</v>
      </c>
      <c r="K48" s="53" t="s">
        <v>2157</v>
      </c>
      <c r="L48" s="98" t="s">
        <v>2158</v>
      </c>
      <c r="M48" s="103" t="s">
        <v>2159</v>
      </c>
    </row>
    <row r="49" spans="1:17" ht="15.6">
      <c r="A49" s="26" t="str">
        <v>X117</v>
      </c>
      <c r="B49" s="27" t="str">
        <v>NY</v>
      </c>
      <c r="C49" s="27" t="str">
        <f>Sites[[#This Row],[SOL'#]]</f>
        <v>SOL-10422</v>
      </c>
      <c r="D49" s="9">
        <v>11156.7</v>
      </c>
      <c r="E49" s="14">
        <v>13548.14</v>
      </c>
      <c r="F49" s="14">
        <f t="shared" si="4"/>
        <v>-2391.4399999999987</v>
      </c>
      <c r="G49" s="15">
        <f t="shared" si="5"/>
        <v>-0.17651426690305819</v>
      </c>
      <c r="H49" s="16">
        <v>13801.31</v>
      </c>
      <c r="I49" s="16">
        <f t="shared" si="6"/>
        <v>-2644.6099999999988</v>
      </c>
      <c r="J49" s="15">
        <f t="shared" si="7"/>
        <v>-0.19162021576212684</v>
      </c>
      <c r="K49" s="51" t="s">
        <v>1942</v>
      </c>
      <c r="L49" s="85"/>
    </row>
    <row r="50" spans="1:17" ht="15.6">
      <c r="A50" s="24" t="str">
        <v>X125</v>
      </c>
      <c r="B50" s="25" t="str">
        <v>NY</v>
      </c>
      <c r="C50" s="25" t="str">
        <f>Sites[[#This Row],[SOL'#]]</f>
        <v>SOL-10423</v>
      </c>
      <c r="D50" s="20">
        <v>21704.0625</v>
      </c>
      <c r="E50" s="10">
        <v>23787.01</v>
      </c>
      <c r="F50" s="10">
        <f t="shared" si="4"/>
        <v>-2082.9474999999984</v>
      </c>
      <c r="G50" s="11">
        <f t="shared" si="5"/>
        <v>-8.7566596222055593E-2</v>
      </c>
      <c r="H50" s="12">
        <v>20245.09</v>
      </c>
      <c r="I50" s="12">
        <f t="shared" si="6"/>
        <v>1458.9724999999999</v>
      </c>
      <c r="J50" s="13">
        <f t="shared" si="7"/>
        <v>7.2065498350464233E-2</v>
      </c>
      <c r="K50" s="53"/>
      <c r="L50" s="47"/>
    </row>
    <row r="51" spans="1:17" ht="144">
      <c r="A51" s="26" t="str">
        <v>X134</v>
      </c>
      <c r="B51" s="27" t="str">
        <v>NY</v>
      </c>
      <c r="C51" s="27" t="str">
        <f>Sites[[#This Row],[SOL'#]]</f>
        <v>SOL-10424</v>
      </c>
      <c r="D51" s="9">
        <v>20769.875</v>
      </c>
      <c r="E51" s="14">
        <v>16055.73</v>
      </c>
      <c r="F51" s="14">
        <f t="shared" si="4"/>
        <v>4714.1450000000004</v>
      </c>
      <c r="G51" s="15">
        <f t="shared" si="5"/>
        <v>0.29361137737119397</v>
      </c>
      <c r="H51" s="16">
        <v>19866</v>
      </c>
      <c r="I51" s="16">
        <f t="shared" si="6"/>
        <v>903.875</v>
      </c>
      <c r="J51" s="15">
        <f t="shared" si="7"/>
        <v>4.5498590556730091E-2</v>
      </c>
      <c r="K51" s="51" t="s">
        <v>1943</v>
      </c>
      <c r="L51" s="99" t="s">
        <v>1944</v>
      </c>
      <c r="M51" s="65" t="s">
        <v>2160</v>
      </c>
      <c r="N51" s="102" t="s">
        <v>1945</v>
      </c>
      <c r="O51" s="102" t="s">
        <v>1946</v>
      </c>
    </row>
    <row r="52" spans="1:17" ht="28.9">
      <c r="A52" s="24" t="str">
        <v>X135</v>
      </c>
      <c r="B52" s="25" t="str">
        <v>NY</v>
      </c>
      <c r="C52" s="25" t="str">
        <f>Sites[[#This Row],[SOL'#]]</f>
        <v>SOL-10425</v>
      </c>
      <c r="D52" s="20">
        <v>17511.8125</v>
      </c>
      <c r="E52" s="10">
        <v>22283.25</v>
      </c>
      <c r="F52" s="10">
        <f t="shared" si="4"/>
        <v>-4771.4375</v>
      </c>
      <c r="G52" s="11">
        <f t="shared" si="5"/>
        <v>-0.21412664220883398</v>
      </c>
      <c r="H52" s="12">
        <v>16253</v>
      </c>
      <c r="I52" s="12">
        <f t="shared" si="6"/>
        <v>1258.8125</v>
      </c>
      <c r="J52" s="13">
        <f t="shared" si="7"/>
        <v>7.7451085953362461E-2</v>
      </c>
      <c r="K52" s="73" t="s">
        <v>1947</v>
      </c>
      <c r="L52" s="107"/>
    </row>
    <row r="53" spans="1:17" ht="15.6">
      <c r="A53" s="26" t="str">
        <v>X139 JHS 222</v>
      </c>
      <c r="B53" s="27" t="str">
        <v>NY</v>
      </c>
      <c r="C53" s="27" t="str">
        <f>Sites[[#This Row],[SOL'#]]</f>
        <v>SOL-10426</v>
      </c>
      <c r="D53" s="9">
        <v>26151.516449999999</v>
      </c>
      <c r="E53" s="14">
        <v>27313.86</v>
      </c>
      <c r="F53" s="14">
        <f t="shared" si="4"/>
        <v>-1162.3435500000014</v>
      </c>
      <c r="G53" s="15">
        <f t="shared" si="5"/>
        <v>-4.2555081925440101E-2</v>
      </c>
      <c r="H53" s="16">
        <v>23270</v>
      </c>
      <c r="I53" s="16">
        <f t="shared" si="6"/>
        <v>2881.5164499999992</v>
      </c>
      <c r="J53" s="15">
        <f t="shared" si="7"/>
        <v>0.12382967125053713</v>
      </c>
      <c r="K53" s="51"/>
      <c r="L53" s="186"/>
    </row>
    <row r="54" spans="1:17" ht="28.9">
      <c r="A54" s="24" t="str">
        <v>X140</v>
      </c>
      <c r="B54" s="25" t="str">
        <v>NY</v>
      </c>
      <c r="C54" s="25" t="str">
        <f>Sites[[#This Row],[SOL'#]]</f>
        <v>SOL-10926</v>
      </c>
      <c r="D54" s="20">
        <v>15207.125</v>
      </c>
      <c r="E54" s="10">
        <v>12538.88</v>
      </c>
      <c r="F54" s="10">
        <f t="shared" si="4"/>
        <v>2668.2450000000008</v>
      </c>
      <c r="G54" s="11">
        <f t="shared" si="5"/>
        <v>0.21279771399040431</v>
      </c>
      <c r="H54" s="12">
        <v>13726</v>
      </c>
      <c r="I54" s="12">
        <f t="shared" si="6"/>
        <v>1481.125</v>
      </c>
      <c r="J54" s="13">
        <f t="shared" si="7"/>
        <v>0.10790652775754044</v>
      </c>
      <c r="K54" s="53" t="s">
        <v>2161</v>
      </c>
      <c r="L54" s="47"/>
      <c r="M54"/>
    </row>
    <row r="55" spans="1:17" ht="15.6">
      <c r="A55" s="26" t="str">
        <v>X166</v>
      </c>
      <c r="B55" s="27" t="str">
        <v>NY</v>
      </c>
      <c r="C55" s="27" t="str">
        <f>Sites[[#This Row],[SOL'#]]</f>
        <v>SOL-10427</v>
      </c>
      <c r="D55" s="9">
        <v>15296.6</v>
      </c>
      <c r="E55" s="14">
        <v>17519.310000000001</v>
      </c>
      <c r="F55" s="14">
        <f t="shared" si="4"/>
        <v>-2222.7100000000009</v>
      </c>
      <c r="G55" s="15">
        <f t="shared" si="5"/>
        <v>-0.12687200580388158</v>
      </c>
      <c r="H55" s="16">
        <v>14295</v>
      </c>
      <c r="I55" s="16">
        <f t="shared" si="6"/>
        <v>1001.6000000000004</v>
      </c>
      <c r="J55" s="15">
        <f t="shared" si="7"/>
        <v>7.006645680307802E-2</v>
      </c>
      <c r="K55" s="51" t="s">
        <v>2117</v>
      </c>
      <c r="L55" s="85"/>
      <c r="M55"/>
    </row>
    <row r="56" spans="1:17" ht="28.9">
      <c r="A56" s="24" t="str">
        <v>Murphy</v>
      </c>
      <c r="B56" s="25" t="str">
        <v>MN</v>
      </c>
      <c r="C56" s="25" t="str">
        <f>Sites[[#This Row],[SOL'#]]</f>
        <v>SOL-10094</v>
      </c>
      <c r="D56" s="20">
        <v>561770</v>
      </c>
      <c r="E56" s="10">
        <v>691938.9</v>
      </c>
      <c r="F56" s="10">
        <f t="shared" si="4"/>
        <v>-130168.90000000002</v>
      </c>
      <c r="G56" s="11">
        <f t="shared" si="5"/>
        <v>-0.1881219570109442</v>
      </c>
      <c r="H56" s="12">
        <v>663600.4</v>
      </c>
      <c r="I56" s="12">
        <f t="shared" si="6"/>
        <v>-101830.40000000002</v>
      </c>
      <c r="J56" s="13">
        <f t="shared" si="7"/>
        <v>-0.15345138429693536</v>
      </c>
      <c r="K56" s="53" t="s">
        <v>2162</v>
      </c>
      <c r="L56" s="98" t="s">
        <v>2163</v>
      </c>
      <c r="M56" s="103" t="s">
        <v>2135</v>
      </c>
    </row>
    <row r="57" spans="1:17" ht="15.6">
      <c r="A57" s="26" t="str">
        <v>Terning</v>
      </c>
      <c r="B57" s="27" t="str">
        <v>MN</v>
      </c>
      <c r="C57" s="27" t="str">
        <f>Sites[[#This Row],[SOL'#]]</f>
        <v>SOL-10093</v>
      </c>
      <c r="D57" s="9">
        <v>663259.99999999802</v>
      </c>
      <c r="E57" s="14">
        <v>709175.4</v>
      </c>
      <c r="F57" s="14">
        <f t="shared" si="4"/>
        <v>-45915.400000002002</v>
      </c>
      <c r="G57" s="15">
        <f t="shared" si="5"/>
        <v>-6.4744772590817443E-2</v>
      </c>
      <c r="H57" s="16">
        <v>637880.69999999995</v>
      </c>
      <c r="I57" s="16">
        <f t="shared" si="6"/>
        <v>25379.299999998068</v>
      </c>
      <c r="J57" s="15">
        <f t="shared" si="7"/>
        <v>3.9786906862048138E-2</v>
      </c>
      <c r="K57" s="51"/>
      <c r="L57" s="85"/>
    </row>
    <row r="58" spans="1:17" ht="43.15">
      <c r="A58" s="24" t="str">
        <v>Boas Road 04</v>
      </c>
      <c r="B58" s="25" t="str">
        <v>NY</v>
      </c>
      <c r="C58" s="25" t="str">
        <f>Sites[[#This Row],[SOL'#]]</f>
        <v>SOL-10908</v>
      </c>
      <c r="D58" s="20">
        <v>0</v>
      </c>
      <c r="E58" s="10">
        <v>0</v>
      </c>
      <c r="F58" s="10">
        <f t="shared" si="4"/>
        <v>0</v>
      </c>
      <c r="G58" s="11" t="str">
        <f t="shared" si="5"/>
        <v/>
      </c>
      <c r="H58" s="12">
        <v>240886.44200000001</v>
      </c>
      <c r="I58" s="12">
        <f t="shared" si="6"/>
        <v>-240886.44200000001</v>
      </c>
      <c r="J58" s="13">
        <f t="shared" si="7"/>
        <v>-1</v>
      </c>
      <c r="K58" s="53" t="s">
        <v>2164</v>
      </c>
      <c r="L58" s="98" t="s">
        <v>2165</v>
      </c>
      <c r="M58" s="65" t="s">
        <v>2166</v>
      </c>
      <c r="N58" s="102" t="s">
        <v>427</v>
      </c>
    </row>
    <row r="59" spans="1:17" ht="57.6">
      <c r="A59" s="26" t="str">
        <v>Kelly Bridge Farm</v>
      </c>
      <c r="B59" s="27" t="str">
        <v>NY</v>
      </c>
      <c r="C59" s="27" t="str">
        <f>Sites[[#This Row],[SOL'#]]</f>
        <v>SOL-10911</v>
      </c>
      <c r="D59" s="9">
        <v>109520</v>
      </c>
      <c r="E59" s="14" t="s">
        <v>661</v>
      </c>
      <c r="F59" s="14" t="str">
        <f t="shared" si="4"/>
        <v/>
      </c>
      <c r="G59" s="15" t="str">
        <f t="shared" si="5"/>
        <v/>
      </c>
      <c r="H59" s="16">
        <v>250638.93</v>
      </c>
      <c r="I59" s="16">
        <f t="shared" si="6"/>
        <v>-141118.93</v>
      </c>
      <c r="J59" s="15">
        <f t="shared" si="7"/>
        <v>-0.5630367557027155</v>
      </c>
      <c r="K59" s="51" t="s">
        <v>2167</v>
      </c>
      <c r="L59" s="99" t="s">
        <v>1959</v>
      </c>
      <c r="M59" s="103" t="s">
        <v>2116</v>
      </c>
    </row>
    <row r="60" spans="1:17" ht="100.5" customHeight="1">
      <c r="A60" s="24" t="str">
        <v>Pool Brook Road</v>
      </c>
      <c r="B60" s="25" t="str">
        <v>NY</v>
      </c>
      <c r="C60" s="25" t="str">
        <f>Sites[[#This Row],[SOL'#]]</f>
        <v>SOL-10909</v>
      </c>
      <c r="D60" s="20">
        <v>225178</v>
      </c>
      <c r="E60" s="10">
        <v>225180</v>
      </c>
      <c r="F60" s="10">
        <f t="shared" si="4"/>
        <v>-2</v>
      </c>
      <c r="G60" s="11">
        <f t="shared" si="5"/>
        <v>-8.8817834621191942E-6</v>
      </c>
      <c r="H60" s="12">
        <v>241349.43900000001</v>
      </c>
      <c r="I60" s="12">
        <f t="shared" si="6"/>
        <v>-16171.439000000013</v>
      </c>
      <c r="J60" s="13">
        <f t="shared" si="7"/>
        <v>-6.7004253529671612E-2</v>
      </c>
      <c r="K60" s="53" t="s">
        <v>2168</v>
      </c>
      <c r="L60" s="98" t="s">
        <v>2169</v>
      </c>
      <c r="M60" s="65" t="s">
        <v>2170</v>
      </c>
      <c r="N60" s="102" t="s">
        <v>2171</v>
      </c>
    </row>
    <row r="61" spans="1:17" ht="115.15">
      <c r="A61" s="26" t="str">
        <v>Sackett Lake</v>
      </c>
      <c r="B61" s="27" t="str">
        <v>NY</v>
      </c>
      <c r="C61" s="27" t="str">
        <f>Sites[[#This Row],[SOL'#]]</f>
        <v>SOL-10910</v>
      </c>
      <c r="D61" s="9">
        <v>261090</v>
      </c>
      <c r="E61" s="14">
        <v>0</v>
      </c>
      <c r="F61" s="14">
        <f t="shared" si="4"/>
        <v>261090</v>
      </c>
      <c r="G61" s="15" t="str">
        <f t="shared" si="5"/>
        <v/>
      </c>
      <c r="H61" s="16">
        <v>255140.83499999999</v>
      </c>
      <c r="I61" s="16">
        <f t="shared" si="6"/>
        <v>5949.1650000000081</v>
      </c>
      <c r="J61" s="15">
        <f t="shared" si="7"/>
        <v>2.3317180881688375E-2</v>
      </c>
      <c r="K61" s="51" t="s">
        <v>2172</v>
      </c>
      <c r="L61" s="99" t="s">
        <v>2173</v>
      </c>
      <c r="M61" s="65" t="s">
        <v>2174</v>
      </c>
      <c r="N61" s="102" t="s">
        <v>2175</v>
      </c>
      <c r="O61" s="102" t="s">
        <v>2176</v>
      </c>
      <c r="P61" s="102" t="s">
        <v>2177</v>
      </c>
      <c r="Q61" s="102" t="s">
        <v>2178</v>
      </c>
    </row>
    <row r="62" spans="1:17" ht="15.6">
      <c r="A62" s="24" t="str">
        <v>Burritt Road</v>
      </c>
      <c r="B62" s="25" t="str">
        <v>NY</v>
      </c>
      <c r="C62" s="25" t="str">
        <f>Sites[[#This Row],[SOL'#]]</f>
        <v>SOL-10913</v>
      </c>
      <c r="D62" s="20">
        <v>266280</v>
      </c>
      <c r="E62" s="10">
        <v>0</v>
      </c>
      <c r="F62" s="10">
        <f t="shared" si="4"/>
        <v>266280</v>
      </c>
      <c r="G62" s="11" t="str">
        <f t="shared" si="5"/>
        <v/>
      </c>
      <c r="H62" s="12">
        <v>240156.51199999999</v>
      </c>
      <c r="I62" s="12">
        <f t="shared" si="6"/>
        <v>26123.488000000012</v>
      </c>
      <c r="J62" s="13">
        <f t="shared" si="7"/>
        <v>0.10877692960497366</v>
      </c>
      <c r="K62" s="53"/>
      <c r="L62" s="47"/>
    </row>
    <row r="63" spans="1:17" ht="28.9">
      <c r="A63" s="26" t="str">
        <v>Villa Roma 1</v>
      </c>
      <c r="B63" s="27" t="str">
        <v>NY</v>
      </c>
      <c r="C63" s="27" t="str">
        <f>Sites[[#This Row],[SOL'#]]</f>
        <v>SOL-10914</v>
      </c>
      <c r="D63" s="9">
        <v>255964</v>
      </c>
      <c r="E63" s="14">
        <v>0</v>
      </c>
      <c r="F63" s="14">
        <f t="shared" si="4"/>
        <v>255964</v>
      </c>
      <c r="G63" s="15" t="str">
        <f t="shared" si="5"/>
        <v/>
      </c>
      <c r="H63" s="16">
        <v>238394.14</v>
      </c>
      <c r="I63" s="16">
        <f t="shared" si="6"/>
        <v>17569.859999999986</v>
      </c>
      <c r="J63" s="15">
        <f t="shared" si="7"/>
        <v>7.3700888788625366E-2</v>
      </c>
      <c r="K63" s="51" t="s">
        <v>2179</v>
      </c>
      <c r="L63" s="99" t="s">
        <v>968</v>
      </c>
      <c r="M63" s="103" t="s">
        <v>2128</v>
      </c>
    </row>
    <row r="64" spans="1:17" ht="15.6">
      <c r="A64" s="24" t="str">
        <v>Villa Roma 2</v>
      </c>
      <c r="B64" s="25" t="str">
        <v>NY</v>
      </c>
      <c r="C64" s="25" t="str">
        <f>Sites[[#This Row],[SOL'#]]</f>
        <v>SOL-10915</v>
      </c>
      <c r="D64" s="20">
        <v>236611</v>
      </c>
      <c r="E64" s="10" t="s">
        <v>661</v>
      </c>
      <c r="F64" s="10" t="str">
        <f t="shared" si="4"/>
        <v/>
      </c>
      <c r="G64" s="11" t="str">
        <f t="shared" si="5"/>
        <v/>
      </c>
      <c r="H64" s="12">
        <v>230513.342</v>
      </c>
      <c r="I64" s="12">
        <f t="shared" si="6"/>
        <v>6097.6579999999958</v>
      </c>
      <c r="J64" s="13">
        <f t="shared" si="7"/>
        <v>2.6452516574940792E-2</v>
      </c>
      <c r="K64" s="53"/>
      <c r="L64" s="47"/>
    </row>
    <row r="65" spans="1:19" ht="15.6">
      <c r="A65" s="26" t="str">
        <v>Washington 1</v>
      </c>
      <c r="B65" s="27" t="str">
        <v>NY</v>
      </c>
      <c r="C65" s="27" t="str">
        <f>Sites[[#This Row],[SOL'#]]</f>
        <v>SOL-10912</v>
      </c>
      <c r="D65" s="9">
        <v>267410</v>
      </c>
      <c r="E65" s="14" t="s">
        <v>661</v>
      </c>
      <c r="F65" s="14" t="str">
        <f t="shared" si="4"/>
        <v/>
      </c>
      <c r="G65" s="15" t="str">
        <f t="shared" si="5"/>
        <v/>
      </c>
      <c r="H65" s="16">
        <v>235438.84</v>
      </c>
      <c r="I65" s="16">
        <f t="shared" si="6"/>
        <v>31971.160000000003</v>
      </c>
      <c r="J65" s="15">
        <f t="shared" si="7"/>
        <v>0.135793907241473</v>
      </c>
      <c r="K65" s="51"/>
      <c r="L65" s="186"/>
    </row>
    <row r="66" spans="1:19" ht="100.9">
      <c r="A66" s="24" t="str">
        <v>Washington 3</v>
      </c>
      <c r="B66" s="25" t="str">
        <v>NY</v>
      </c>
      <c r="C66" s="25" t="str">
        <f>Sites[[#This Row],[SOL'#]]</f>
        <v>SOL-10828</v>
      </c>
      <c r="D66" s="20">
        <v>0</v>
      </c>
      <c r="E66" s="10" t="s">
        <v>661</v>
      </c>
      <c r="F66" s="10" t="str">
        <f t="shared" si="4"/>
        <v/>
      </c>
      <c r="G66" s="11" t="str">
        <f t="shared" si="5"/>
        <v/>
      </c>
      <c r="H66" s="12">
        <v>287963.37400000001</v>
      </c>
      <c r="I66" s="12">
        <f t="shared" si="6"/>
        <v>-287963.37400000001</v>
      </c>
      <c r="J66" s="13">
        <f t="shared" si="7"/>
        <v>-1</v>
      </c>
      <c r="K66" s="53" t="s">
        <v>2180</v>
      </c>
      <c r="L66" s="98" t="s">
        <v>2181</v>
      </c>
      <c r="M66" s="65" t="s">
        <v>2174</v>
      </c>
      <c r="N66" s="102" t="s">
        <v>719</v>
      </c>
    </row>
    <row r="67" spans="1:19" ht="172.9">
      <c r="A67" s="26" t="str">
        <v>Washington 4</v>
      </c>
      <c r="B67" s="27" t="str">
        <v>NY</v>
      </c>
      <c r="C67" s="27" t="str">
        <f>Sites[[#This Row],[SOL'#]]</f>
        <v>SOL-10829</v>
      </c>
      <c r="D67" s="9">
        <v>311789</v>
      </c>
      <c r="E67" s="14" t="s">
        <v>661</v>
      </c>
      <c r="F67" s="14" t="str">
        <f t="shared" si="4"/>
        <v/>
      </c>
      <c r="G67" s="15" t="str">
        <f t="shared" si="5"/>
        <v/>
      </c>
      <c r="H67" s="16">
        <v>288480.55099999998</v>
      </c>
      <c r="I67" s="16">
        <f t="shared" si="6"/>
        <v>23308.449000000022</v>
      </c>
      <c r="J67" s="15">
        <f t="shared" si="7"/>
        <v>8.0797297839326515E-2</v>
      </c>
      <c r="K67" s="51" t="s">
        <v>2182</v>
      </c>
      <c r="L67" s="99" t="s">
        <v>2183</v>
      </c>
      <c r="M67" s="65" t="s">
        <v>2184</v>
      </c>
      <c r="N67" s="102" t="s">
        <v>2185</v>
      </c>
      <c r="O67" s="102" t="s">
        <v>2186</v>
      </c>
      <c r="P67" s="102" t="s">
        <v>2186</v>
      </c>
      <c r="Q67" s="102" t="s">
        <v>2187</v>
      </c>
    </row>
    <row r="68" spans="1:19" ht="15.6">
      <c r="A68" s="24" t="str">
        <v>Big Tree</v>
      </c>
      <c r="B68" s="25" t="str">
        <v>NY</v>
      </c>
      <c r="C68" s="25" t="str">
        <f>Sites[[#This Row],[SOL'#]]</f>
        <v>SOL-10966</v>
      </c>
      <c r="D68" s="20">
        <v>291940</v>
      </c>
      <c r="E68" s="10">
        <v>290390</v>
      </c>
      <c r="F68" s="10">
        <f t="shared" si="4"/>
        <v>1550</v>
      </c>
      <c r="G68" s="11">
        <f t="shared" si="5"/>
        <v>5.3376493680911876E-3</v>
      </c>
      <c r="H68" s="12">
        <v>233651.8</v>
      </c>
      <c r="I68" s="12">
        <f t="shared" si="6"/>
        <v>58288.200000000012</v>
      </c>
      <c r="J68" s="13">
        <f t="shared" si="7"/>
        <v>0.24946608585938571</v>
      </c>
      <c r="K68" s="53"/>
      <c r="L68" s="47"/>
    </row>
    <row r="69" spans="1:19" ht="43.15">
      <c r="A69" s="26" t="str">
        <v>Canoga</v>
      </c>
      <c r="B69" s="27" t="str">
        <v>NY</v>
      </c>
      <c r="C69" s="27" t="str">
        <f>Sites[[#This Row],[SOL'#]]</f>
        <v>SOL-10965</v>
      </c>
      <c r="D69" s="9">
        <v>713910</v>
      </c>
      <c r="E69" s="14" t="s">
        <v>661</v>
      </c>
      <c r="F69" s="14" t="str">
        <f t="shared" si="4"/>
        <v/>
      </c>
      <c r="G69" s="15" t="str">
        <f t="shared" si="5"/>
        <v/>
      </c>
      <c r="H69" s="174" t="s">
        <v>661</v>
      </c>
      <c r="I69" s="16" t="str">
        <f t="shared" si="6"/>
        <v/>
      </c>
      <c r="J69" s="15" t="str">
        <f t="shared" si="7"/>
        <v/>
      </c>
      <c r="K69" s="173" t="s">
        <v>2188</v>
      </c>
      <c r="L69" s="99" t="s">
        <v>2189</v>
      </c>
      <c r="M69" s="103" t="s">
        <v>2190</v>
      </c>
    </row>
    <row r="70" spans="1:19" ht="57.6">
      <c r="A70" s="24" t="str">
        <v>County Route 84</v>
      </c>
      <c r="B70" s="25" t="str">
        <v>NY</v>
      </c>
      <c r="C70" s="25" t="str">
        <f>Sites[[#This Row],[SOL'#]]</f>
        <v>SOL-10967</v>
      </c>
      <c r="D70" s="20">
        <v>745120</v>
      </c>
      <c r="E70" s="10">
        <v>730020</v>
      </c>
      <c r="F70" s="10">
        <f t="shared" si="4"/>
        <v>15100</v>
      </c>
      <c r="G70" s="11">
        <f t="shared" si="5"/>
        <v>2.068436481192296E-2</v>
      </c>
      <c r="H70" s="12">
        <v>598634.4</v>
      </c>
      <c r="I70" s="12">
        <f t="shared" si="6"/>
        <v>146485.59999999998</v>
      </c>
      <c r="J70" s="13">
        <f t="shared" si="7"/>
        <v>0.24469960296301044</v>
      </c>
      <c r="K70" s="53" t="s">
        <v>2191</v>
      </c>
      <c r="L70" s="98" t="s">
        <v>2192</v>
      </c>
      <c r="M70" s="65" t="s">
        <v>2193</v>
      </c>
      <c r="N70" s="102" t="s">
        <v>2194</v>
      </c>
    </row>
    <row r="71" spans="1:19" ht="72">
      <c r="A71" s="26" t="str">
        <v>Donati</v>
      </c>
      <c r="B71" s="27" t="str">
        <v>NY</v>
      </c>
      <c r="C71" s="27" t="str">
        <f>Sites[[#This Row],[SOL'#]]</f>
        <v>SOL-10968</v>
      </c>
      <c r="D71" s="9">
        <v>275810</v>
      </c>
      <c r="E71" s="14">
        <v>260880</v>
      </c>
      <c r="F71" s="14">
        <f t="shared" si="4"/>
        <v>14930</v>
      </c>
      <c r="G71" s="15">
        <f t="shared" si="5"/>
        <v>5.7229377491567007E-2</v>
      </c>
      <c r="H71" s="16">
        <v>254656.47399999999</v>
      </c>
      <c r="I71" s="16">
        <f t="shared" si="6"/>
        <v>21153.526000000013</v>
      </c>
      <c r="J71" s="15">
        <f t="shared" si="7"/>
        <v>8.3066908403043441E-2</v>
      </c>
      <c r="K71" s="51" t="s">
        <v>2195</v>
      </c>
      <c r="L71" s="99" t="s">
        <v>2196</v>
      </c>
      <c r="M71" s="65" t="s">
        <v>2197</v>
      </c>
      <c r="N71" s="102" t="s">
        <v>1984</v>
      </c>
    </row>
    <row r="72" spans="1:19" ht="15.6">
      <c r="A72" s="24" t="str">
        <v>Henrietta</v>
      </c>
      <c r="B72" s="25" t="str">
        <v>NY</v>
      </c>
      <c r="C72" s="25" t="str">
        <f>Sites[[#This Row],[SOL'#]]</f>
        <v>SOL-10972</v>
      </c>
      <c r="D72" s="20">
        <v>582710</v>
      </c>
      <c r="E72" s="10">
        <v>572670</v>
      </c>
      <c r="F72" s="10">
        <f t="shared" si="4"/>
        <v>10040</v>
      </c>
      <c r="G72" s="11">
        <f t="shared" si="5"/>
        <v>1.7531911921350864E-2</v>
      </c>
      <c r="H72" s="12">
        <v>501403.11099999998</v>
      </c>
      <c r="I72" s="12">
        <f t="shared" si="6"/>
        <v>81306.889000000025</v>
      </c>
      <c r="J72" s="13">
        <f t="shared" si="7"/>
        <v>0.16215872461948092</v>
      </c>
      <c r="K72" s="53"/>
      <c r="L72" s="47"/>
    </row>
    <row r="73" spans="1:19" ht="115.15">
      <c r="A73" s="26" t="str">
        <v>NY 70</v>
      </c>
      <c r="B73" s="27" t="str">
        <v>NY</v>
      </c>
      <c r="C73" s="27" t="str">
        <f>Sites[[#This Row],[SOL'#]]</f>
        <v>SOL-10970</v>
      </c>
      <c r="D73" s="9">
        <v>564940</v>
      </c>
      <c r="E73" s="14">
        <v>561130</v>
      </c>
      <c r="F73" s="14">
        <f t="shared" si="4"/>
        <v>3810</v>
      </c>
      <c r="G73" s="15">
        <f t="shared" si="5"/>
        <v>6.7898704400049898E-3</v>
      </c>
      <c r="H73" s="16">
        <v>612530.103</v>
      </c>
      <c r="I73" s="16">
        <f t="shared" si="6"/>
        <v>-47590.103000000003</v>
      </c>
      <c r="J73" s="15">
        <f t="shared" si="7"/>
        <v>-7.7694308846074797E-2</v>
      </c>
      <c r="K73" s="51" t="s">
        <v>2198</v>
      </c>
      <c r="L73" s="99" t="s">
        <v>2199</v>
      </c>
      <c r="M73" s="65" t="s">
        <v>2200</v>
      </c>
      <c r="N73" s="102" t="s">
        <v>1990</v>
      </c>
      <c r="O73" s="102" t="s">
        <v>2201</v>
      </c>
      <c r="P73" s="102" t="s">
        <v>2202</v>
      </c>
    </row>
    <row r="74" spans="1:19" ht="230.45">
      <c r="A74" s="24" t="str">
        <v>Reid</v>
      </c>
      <c r="B74" s="25" t="str">
        <v>NY</v>
      </c>
      <c r="C74" s="25" t="str">
        <f>Sites[[#This Row],[SOL'#]]</f>
        <v>SOL-10991</v>
      </c>
      <c r="D74" s="20">
        <v>583317.97902833996</v>
      </c>
      <c r="E74" s="10">
        <v>640176.30000000005</v>
      </c>
      <c r="F74" s="10">
        <f t="shared" si="4"/>
        <v>-56858.320971660083</v>
      </c>
      <c r="G74" s="11">
        <f t="shared" si="5"/>
        <v>-8.8816660303825803E-2</v>
      </c>
      <c r="H74" s="12">
        <v>540119</v>
      </c>
      <c r="I74" s="12">
        <f t="shared" si="6"/>
        <v>43198.979028339963</v>
      </c>
      <c r="J74" s="13">
        <f t="shared" si="7"/>
        <v>7.9980483982862963E-2</v>
      </c>
      <c r="K74" s="53" t="s">
        <v>2203</v>
      </c>
      <c r="L74" s="98" t="s">
        <v>2204</v>
      </c>
      <c r="M74" s="101" t="s">
        <v>2205</v>
      </c>
      <c r="N74" s="102" t="s">
        <v>1998</v>
      </c>
      <c r="O74" s="102" t="s">
        <v>2206</v>
      </c>
      <c r="P74" s="102" t="s">
        <v>2207</v>
      </c>
      <c r="Q74" s="102" t="s">
        <v>2208</v>
      </c>
      <c r="R74" s="102" t="s">
        <v>2209</v>
      </c>
      <c r="S74" s="102" t="s">
        <v>2205</v>
      </c>
    </row>
    <row r="75" spans="1:19" ht="72">
      <c r="A75" s="26" t="str">
        <v>Sangolqui</v>
      </c>
      <c r="B75" s="27" t="str">
        <v>NY</v>
      </c>
      <c r="C75" s="27" t="str">
        <f>Sites[[#This Row],[SOL'#]]</f>
        <v>SOL-10975</v>
      </c>
      <c r="D75" s="9">
        <v>188210</v>
      </c>
      <c r="E75" s="14">
        <v>129980</v>
      </c>
      <c r="F75" s="14">
        <f t="shared" si="4"/>
        <v>58230</v>
      </c>
      <c r="G75" s="15">
        <f t="shared" si="5"/>
        <v>0.44799199876904139</v>
      </c>
      <c r="H75" s="16">
        <v>245669.92300000001</v>
      </c>
      <c r="I75" s="16">
        <f t="shared" si="6"/>
        <v>-57459.92300000001</v>
      </c>
      <c r="J75" s="15">
        <f t="shared" si="7"/>
        <v>-0.23389075186057678</v>
      </c>
      <c r="K75" s="51" t="s">
        <v>2210</v>
      </c>
      <c r="L75" s="99" t="s">
        <v>2211</v>
      </c>
      <c r="M75" s="65" t="s">
        <v>2212</v>
      </c>
      <c r="N75" s="102" t="s">
        <v>2001</v>
      </c>
    </row>
    <row r="76" spans="1:19" ht="15.6">
      <c r="A76" s="24" t="str">
        <v>State Highway 17B</v>
      </c>
      <c r="B76" s="25" t="str">
        <v>NY</v>
      </c>
      <c r="C76" s="25" t="str">
        <f>Sites[[#This Row],[SOL'#]]</f>
        <v>SOL-10988</v>
      </c>
      <c r="D76" s="20">
        <v>691270</v>
      </c>
      <c r="E76" s="10">
        <v>678040</v>
      </c>
      <c r="F76" s="10">
        <f t="shared" si="4"/>
        <v>13230</v>
      </c>
      <c r="G76" s="11">
        <f t="shared" si="5"/>
        <v>1.9512123178573537E-2</v>
      </c>
      <c r="H76" s="12">
        <v>625045.87</v>
      </c>
      <c r="I76" s="12">
        <f t="shared" si="6"/>
        <v>66224.13</v>
      </c>
      <c r="J76" s="13">
        <f t="shared" si="7"/>
        <v>0.10595083205653372</v>
      </c>
      <c r="K76" s="53"/>
      <c r="L76" s="47"/>
    </row>
    <row r="77" spans="1:19" ht="94.5" customHeight="1">
      <c r="A77" s="26" t="str">
        <v>State Route 14A</v>
      </c>
      <c r="B77" s="27" t="str">
        <v>NY</v>
      </c>
      <c r="C77" s="27" t="str">
        <f>Sites[[#This Row],[SOL'#]]</f>
        <v>SOL-10997</v>
      </c>
      <c r="D77" s="9">
        <v>0</v>
      </c>
      <c r="E77" s="14">
        <v>0</v>
      </c>
      <c r="F77" s="14">
        <f t="shared" si="4"/>
        <v>0</v>
      </c>
      <c r="G77" s="15" t="str">
        <f t="shared" si="5"/>
        <v/>
      </c>
      <c r="H77" s="16">
        <v>620433.19099999999</v>
      </c>
      <c r="I77" s="16">
        <f t="shared" si="6"/>
        <v>-620433.19099999999</v>
      </c>
      <c r="J77" s="15">
        <f t="shared" si="7"/>
        <v>-1</v>
      </c>
      <c r="K77" s="51" t="s">
        <v>1510</v>
      </c>
      <c r="L77" s="99" t="s">
        <v>2213</v>
      </c>
      <c r="M77" s="103" t="s">
        <v>2116</v>
      </c>
    </row>
    <row r="78" spans="1:19" ht="15.6">
      <c r="A78" s="24" t="str">
        <v>West Creek</v>
      </c>
      <c r="B78" s="25" t="str">
        <v>NY</v>
      </c>
      <c r="C78" s="25" t="str">
        <f>Sites[[#This Row],[SOL'#]]</f>
        <v>SOL-10995</v>
      </c>
      <c r="D78" s="20">
        <v>745120</v>
      </c>
      <c r="E78" s="10">
        <v>709670</v>
      </c>
      <c r="F78" s="10">
        <f t="shared" si="4"/>
        <v>35450</v>
      </c>
      <c r="G78" s="11">
        <f t="shared" si="5"/>
        <v>4.995279496103823E-2</v>
      </c>
      <c r="H78" s="12">
        <v>587744.55799999996</v>
      </c>
      <c r="I78" s="12">
        <f t="shared" si="6"/>
        <v>157375.44200000004</v>
      </c>
      <c r="J78" s="13">
        <f t="shared" si="7"/>
        <v>0.26776163191629254</v>
      </c>
      <c r="K78" s="53"/>
      <c r="L78" s="47"/>
    </row>
    <row r="79" spans="1:19" ht="43.15">
      <c r="A79" s="26" t="str">
        <v>Wildflower</v>
      </c>
      <c r="B79" s="27" t="str">
        <v>NY</v>
      </c>
      <c r="C79" s="27" t="str">
        <f>Sites[[#This Row],[SOL'#]]</f>
        <v>SOL-10982</v>
      </c>
      <c r="D79" s="9">
        <v>619955</v>
      </c>
      <c r="E79" s="14">
        <v>592101</v>
      </c>
      <c r="F79" s="14">
        <f t="shared" si="4"/>
        <v>27854</v>
      </c>
      <c r="G79" s="15">
        <f t="shared" si="5"/>
        <v>4.70426498181898E-2</v>
      </c>
      <c r="H79" s="16">
        <v>627017.63</v>
      </c>
      <c r="I79" s="16">
        <f t="shared" si="6"/>
        <v>-7062.6300000000047</v>
      </c>
      <c r="J79" s="15">
        <f t="shared" si="7"/>
        <v>-1.126384596235357E-2</v>
      </c>
      <c r="K79" s="51" t="s">
        <v>2214</v>
      </c>
      <c r="L79" s="99" t="s">
        <v>2215</v>
      </c>
      <c r="M79" s="65" t="s">
        <v>2197</v>
      </c>
      <c r="N79" s="102" t="s">
        <v>2216</v>
      </c>
    </row>
    <row r="80" spans="1:19" ht="15.6">
      <c r="A80" s="24" t="str">
        <v>Glen Mary 1</v>
      </c>
      <c r="B80" s="25" t="str">
        <v>NY</v>
      </c>
      <c r="C80" s="25" t="str">
        <f>Sites[[#This Row],[SOL'#]]</f>
        <v>SOL-10993</v>
      </c>
      <c r="D80" s="20">
        <v>743960</v>
      </c>
      <c r="E80" s="10">
        <v>705610</v>
      </c>
      <c r="F80" s="10">
        <f t="shared" si="4"/>
        <v>38350</v>
      </c>
      <c r="G80" s="11">
        <f t="shared" si="5"/>
        <v>5.4350136761100322E-2</v>
      </c>
      <c r="H80" s="12">
        <v>677715.86399999994</v>
      </c>
      <c r="I80" s="12">
        <f t="shared" si="6"/>
        <v>66244.136000000057</v>
      </c>
      <c r="J80" s="13">
        <f t="shared" si="7"/>
        <v>9.7746178773232995E-2</v>
      </c>
      <c r="K80" s="53"/>
      <c r="L80" s="47"/>
    </row>
    <row r="81" spans="1:17" ht="94.5" customHeight="1">
      <c r="A81" s="26" t="str">
        <v>Glen Mary 2</v>
      </c>
      <c r="B81" s="27" t="str">
        <v>NY</v>
      </c>
      <c r="C81" s="27" t="str">
        <f>Sites[[#This Row],[SOL'#]]</f>
        <v>SOL-10994</v>
      </c>
      <c r="D81" s="9">
        <v>322050</v>
      </c>
      <c r="E81" s="14">
        <v>0</v>
      </c>
      <c r="F81" s="14">
        <f t="shared" si="4"/>
        <v>322050</v>
      </c>
      <c r="G81" s="15" t="str">
        <f t="shared" si="5"/>
        <v/>
      </c>
      <c r="H81" s="16">
        <v>284624.29100000003</v>
      </c>
      <c r="I81" s="16">
        <f t="shared" si="6"/>
        <v>37425.708999999973</v>
      </c>
      <c r="J81" s="15">
        <f t="shared" si="7"/>
        <v>0.13149161959616429</v>
      </c>
      <c r="K81" s="51" t="s">
        <v>2009</v>
      </c>
      <c r="L81" s="99" t="s">
        <v>2010</v>
      </c>
      <c r="M81" s="103" t="s">
        <v>2116</v>
      </c>
    </row>
    <row r="82" spans="1:17" ht="72">
      <c r="A82" s="24" t="str">
        <v>Telegraph 1</v>
      </c>
      <c r="B82" s="25" t="str">
        <v>NY</v>
      </c>
      <c r="C82" s="25" t="str">
        <f>Sites[[#This Row],[SOL'#]]</f>
        <v>SOL-11003</v>
      </c>
      <c r="D82" s="20">
        <v>498030</v>
      </c>
      <c r="E82" s="10" t="s">
        <v>661</v>
      </c>
      <c r="F82" s="10" t="str">
        <f t="shared" ref="F82:F145" si="8">IF(AND(ISNUMBER(D82),ISNUMBER(E82)), D82-E82, "")</f>
        <v/>
      </c>
      <c r="G82" s="11" t="str">
        <f t="shared" ref="G82:G145" si="9">IFERROR(F82/E82, "")</f>
        <v/>
      </c>
      <c r="H82" s="12">
        <v>443415.34299999999</v>
      </c>
      <c r="I82" s="12">
        <f t="shared" ref="I82:I145" si="10">IF(AND(ISNUMBER(D82),ISNUMBER(H82)), D82-H82, "")</f>
        <v>54614.657000000007</v>
      </c>
      <c r="J82" s="13">
        <f t="shared" ref="J82:J145" si="11">IFERROR(I82/H82, "")</f>
        <v>0.12316817147213602</v>
      </c>
      <c r="K82" s="53" t="s">
        <v>2217</v>
      </c>
      <c r="L82" s="98" t="s">
        <v>2218</v>
      </c>
      <c r="M82" s="65" t="s">
        <v>2219</v>
      </c>
      <c r="N82" s="102" t="s">
        <v>2220</v>
      </c>
      <c r="O82" s="102" t="s">
        <v>2221</v>
      </c>
    </row>
    <row r="83" spans="1:17" ht="121.5" customHeight="1">
      <c r="A83" s="26" t="str">
        <v>Telegraph 2</v>
      </c>
      <c r="B83" s="27" t="str">
        <v>NY</v>
      </c>
      <c r="C83" s="27" t="str">
        <f>Sites[[#This Row],[SOL'#]]</f>
        <v>SOL-11004</v>
      </c>
      <c r="D83" s="9">
        <v>258440</v>
      </c>
      <c r="E83" s="14" t="s">
        <v>661</v>
      </c>
      <c r="F83" s="14" t="str">
        <f t="shared" si="8"/>
        <v/>
      </c>
      <c r="G83" s="15" t="str">
        <f t="shared" si="9"/>
        <v/>
      </c>
      <c r="H83" s="16">
        <v>229927.77600000001</v>
      </c>
      <c r="I83" s="16">
        <f t="shared" si="10"/>
        <v>28512.223999999987</v>
      </c>
      <c r="J83" s="15">
        <f t="shared" si="11"/>
        <v>0.12400513107211539</v>
      </c>
      <c r="K83" s="51" t="s">
        <v>2222</v>
      </c>
      <c r="L83" s="99" t="s">
        <v>2223</v>
      </c>
      <c r="M83" s="65" t="s">
        <v>2224</v>
      </c>
      <c r="N83" s="102" t="s">
        <v>2225</v>
      </c>
      <c r="O83" s="102" t="s">
        <v>2225</v>
      </c>
      <c r="P83" s="102" t="s">
        <v>2226</v>
      </c>
      <c r="Q83" s="102" t="s">
        <v>2227</v>
      </c>
    </row>
    <row r="84" spans="1:17" ht="15.6">
      <c r="A84" s="24" t="str">
        <v>Cafferty Hill</v>
      </c>
      <c r="B84" s="25" t="str">
        <v>NY</v>
      </c>
      <c r="C84" s="25" t="str">
        <f>Sites[[#This Row],[SOL'#]]</f>
        <v>SOL-10996</v>
      </c>
      <c r="D84" s="20">
        <v>729450</v>
      </c>
      <c r="E84" s="10">
        <v>734715.78</v>
      </c>
      <c r="F84" s="10">
        <f t="shared" si="8"/>
        <v>-5265.7800000000279</v>
      </c>
      <c r="G84" s="11">
        <f t="shared" si="9"/>
        <v>-7.1670980035300558E-3</v>
      </c>
      <c r="H84" s="12">
        <v>608266.81999999995</v>
      </c>
      <c r="I84" s="12">
        <f t="shared" si="10"/>
        <v>121183.18000000005</v>
      </c>
      <c r="J84" s="13">
        <f t="shared" si="11"/>
        <v>0.19922701027815401</v>
      </c>
      <c r="K84" s="53"/>
      <c r="L84" s="47"/>
    </row>
    <row r="85" spans="1:17" ht="57.6">
      <c r="A85" s="26" t="str">
        <v>Dunkleman</v>
      </c>
      <c r="B85" s="27" t="str">
        <v>NY</v>
      </c>
      <c r="C85" s="27" t="str">
        <f>Sites[[#This Row],[SOL'#]]</f>
        <v>SOL-11008</v>
      </c>
      <c r="D85" s="9">
        <v>788740</v>
      </c>
      <c r="E85" s="14"/>
      <c r="F85" s="14" t="str">
        <f t="shared" si="8"/>
        <v/>
      </c>
      <c r="G85" s="15" t="str">
        <f t="shared" si="9"/>
        <v/>
      </c>
      <c r="H85" s="16">
        <v>681852.79200000002</v>
      </c>
      <c r="I85" s="16">
        <f t="shared" si="10"/>
        <v>106887.20799999998</v>
      </c>
      <c r="J85" s="15">
        <f t="shared" si="11"/>
        <v>0.15675994768090645</v>
      </c>
      <c r="K85" s="51" t="s">
        <v>2228</v>
      </c>
      <c r="L85" s="99" t="s">
        <v>2229</v>
      </c>
      <c r="M85" s="103" t="s">
        <v>2119</v>
      </c>
    </row>
    <row r="86" spans="1:17" ht="57.6">
      <c r="A86" s="24" t="str">
        <v>Route 19 1</v>
      </c>
      <c r="B86" s="25" t="str">
        <v>NY</v>
      </c>
      <c r="C86" s="25" t="str">
        <f>Sites[[#This Row],[SOL'#]]</f>
        <v>SOL-11001</v>
      </c>
      <c r="D86" s="20">
        <v>85381.1</v>
      </c>
      <c r="E86" s="10">
        <v>84652.17</v>
      </c>
      <c r="F86" s="10">
        <f t="shared" si="8"/>
        <v>728.93000000000757</v>
      </c>
      <c r="G86" s="11">
        <f t="shared" si="9"/>
        <v>8.6108838084127982E-3</v>
      </c>
      <c r="H86" s="12">
        <v>249315.92800000001</v>
      </c>
      <c r="I86" s="12">
        <f t="shared" si="10"/>
        <v>-163934.82800000001</v>
      </c>
      <c r="J86" s="13">
        <f t="shared" si="11"/>
        <v>-0.65753852678036684</v>
      </c>
      <c r="K86" s="53" t="s">
        <v>2230</v>
      </c>
      <c r="L86" s="98" t="s">
        <v>2231</v>
      </c>
      <c r="M86" s="65" t="s">
        <v>2232</v>
      </c>
      <c r="N86" s="102" t="s">
        <v>2233</v>
      </c>
      <c r="O86" s="102" t="s">
        <v>2234</v>
      </c>
    </row>
    <row r="87" spans="1:17" ht="72">
      <c r="A87" s="26" t="str">
        <v>Route 19 2</v>
      </c>
      <c r="B87" s="27" t="str">
        <v>NY</v>
      </c>
      <c r="C87" s="27" t="str">
        <f>Sites[[#This Row],[SOL'#]]</f>
        <v>SOL-11002</v>
      </c>
      <c r="D87" s="9">
        <v>688610</v>
      </c>
      <c r="E87" s="14">
        <v>684290</v>
      </c>
      <c r="F87" s="14">
        <f t="shared" si="8"/>
        <v>4320</v>
      </c>
      <c r="G87" s="15">
        <f t="shared" si="9"/>
        <v>6.313112861506087E-3</v>
      </c>
      <c r="H87" s="16">
        <v>630759.32400000002</v>
      </c>
      <c r="I87" s="16">
        <f t="shared" si="10"/>
        <v>57850.675999999978</v>
      </c>
      <c r="J87" s="15">
        <f t="shared" si="11"/>
        <v>9.1715926818388138E-2</v>
      </c>
      <c r="K87" s="51" t="s">
        <v>2217</v>
      </c>
      <c r="L87" s="99" t="s">
        <v>2235</v>
      </c>
      <c r="M87" s="65" t="s">
        <v>2219</v>
      </c>
      <c r="N87" s="102" t="s">
        <v>2236</v>
      </c>
      <c r="O87" s="102" t="s">
        <v>2237</v>
      </c>
    </row>
    <row r="88" spans="1:17" ht="15.6">
      <c r="A88" s="24" t="str">
        <v>Yellow Mills 1</v>
      </c>
      <c r="B88" s="25" t="str">
        <v>NY</v>
      </c>
      <c r="C88" s="25" t="str">
        <f>Sites[[#This Row],[SOL'#]]</f>
        <v>SOL-11006</v>
      </c>
      <c r="D88" s="20">
        <v>254545</v>
      </c>
      <c r="E88" s="10">
        <v>251901</v>
      </c>
      <c r="F88" s="10">
        <f t="shared" si="8"/>
        <v>2644</v>
      </c>
      <c r="G88" s="11">
        <f t="shared" si="9"/>
        <v>1.0496186994096888E-2</v>
      </c>
      <c r="H88" s="12">
        <v>228051.99</v>
      </c>
      <c r="I88" s="12">
        <f t="shared" si="10"/>
        <v>26493.010000000009</v>
      </c>
      <c r="J88" s="13">
        <f t="shared" si="11"/>
        <v>0.11617092225329852</v>
      </c>
      <c r="K88" s="53" t="s">
        <v>2238</v>
      </c>
      <c r="L88" s="98" t="s">
        <v>2026</v>
      </c>
      <c r="M88" s="103" t="s">
        <v>2239</v>
      </c>
    </row>
    <row r="89" spans="1:17" ht="43.15">
      <c r="A89" s="26" t="str">
        <v>Yellow Mills 2</v>
      </c>
      <c r="B89" s="27" t="str">
        <v>NY</v>
      </c>
      <c r="C89" s="27" t="str">
        <f>Sites[[#This Row],[SOL'#]]</f>
        <v>SOL-11005</v>
      </c>
      <c r="D89" s="9">
        <v>160545</v>
      </c>
      <c r="E89" s="14" t="s">
        <v>661</v>
      </c>
      <c r="F89" s="14" t="str">
        <f t="shared" si="8"/>
        <v/>
      </c>
      <c r="G89" s="15" t="str">
        <f t="shared" si="9"/>
        <v/>
      </c>
      <c r="H89" s="16">
        <v>236588.97399999999</v>
      </c>
      <c r="I89" s="16">
        <f t="shared" si="10"/>
        <v>-76043.973999999987</v>
      </c>
      <c r="J89" s="15">
        <f t="shared" si="11"/>
        <v>-0.32141808096264024</v>
      </c>
      <c r="K89" s="51" t="s">
        <v>2240</v>
      </c>
      <c r="L89" s="99" t="s">
        <v>2028</v>
      </c>
      <c r="M89" s="65" t="s">
        <v>2155</v>
      </c>
      <c r="N89" s="102" t="s">
        <v>2029</v>
      </c>
    </row>
    <row r="90" spans="1:17" ht="15.6">
      <c r="A90" s="24" t="str">
        <v>Yellow Mills 3</v>
      </c>
      <c r="B90" s="25" t="str">
        <v>NY</v>
      </c>
      <c r="C90" s="25" t="str">
        <f>Sites[[#This Row],[SOL'#]]</f>
        <v>SOL-11007</v>
      </c>
      <c r="D90" s="20">
        <v>240148</v>
      </c>
      <c r="E90" s="10">
        <v>238031</v>
      </c>
      <c r="F90" s="10">
        <f t="shared" si="8"/>
        <v>2117</v>
      </c>
      <c r="G90" s="11">
        <f t="shared" si="9"/>
        <v>8.893799547117812E-3</v>
      </c>
      <c r="H90" s="12">
        <v>225149.685</v>
      </c>
      <c r="I90" s="12">
        <f t="shared" si="10"/>
        <v>14998.315000000002</v>
      </c>
      <c r="J90" s="13">
        <f t="shared" si="11"/>
        <v>6.6614861131162592E-2</v>
      </c>
      <c r="K90" s="53" t="s">
        <v>2238</v>
      </c>
      <c r="L90" s="98" t="s">
        <v>2030</v>
      </c>
      <c r="M90" s="103" t="s">
        <v>2239</v>
      </c>
    </row>
    <row r="91" spans="1:17" ht="48.75" customHeight="1">
      <c r="A91" s="26" t="str">
        <v>Catskill</v>
      </c>
      <c r="B91" s="27" t="str">
        <v>NY</v>
      </c>
      <c r="C91" s="27" t="str">
        <f>Sites[[#This Row],[SOL'#]]</f>
        <v>SOL-11021</v>
      </c>
      <c r="D91" s="9">
        <v>520918</v>
      </c>
      <c r="E91" s="14">
        <v>0</v>
      </c>
      <c r="F91" s="14">
        <f t="shared" si="8"/>
        <v>520918</v>
      </c>
      <c r="G91" s="15" t="str">
        <f t="shared" si="9"/>
        <v/>
      </c>
      <c r="H91" s="16">
        <v>472047.37599999999</v>
      </c>
      <c r="I91" s="16">
        <f t="shared" si="10"/>
        <v>48870.624000000011</v>
      </c>
      <c r="J91" s="15">
        <f t="shared" si="11"/>
        <v>0.10352906611644848</v>
      </c>
      <c r="K91" s="51" t="s">
        <v>2241</v>
      </c>
      <c r="L91" s="99" t="s">
        <v>2242</v>
      </c>
      <c r="M91" s="65" t="s">
        <v>2155</v>
      </c>
      <c r="N91" s="102" t="s">
        <v>2243</v>
      </c>
    </row>
    <row r="92" spans="1:17" ht="15.6">
      <c r="A92" s="24" t="str">
        <v>Eddy Ridge</v>
      </c>
      <c r="B92" s="25" t="str">
        <v>NY</v>
      </c>
      <c r="C92" s="25" t="str">
        <f>Sites[[#This Row],[SOL'#]]</f>
        <v>SOL-11054</v>
      </c>
      <c r="D92" s="20">
        <v>287315</v>
      </c>
      <c r="E92" s="10">
        <v>284895</v>
      </c>
      <c r="F92" s="10">
        <f t="shared" si="8"/>
        <v>2420</v>
      </c>
      <c r="G92" s="11">
        <f t="shared" si="9"/>
        <v>8.4943575703329294E-3</v>
      </c>
      <c r="H92" s="12">
        <v>303475</v>
      </c>
      <c r="I92" s="12">
        <f t="shared" si="10"/>
        <v>-16160</v>
      </c>
      <c r="J92" s="13">
        <f t="shared" si="11"/>
        <v>-5.3249855836559848E-2</v>
      </c>
      <c r="K92" s="53" t="s">
        <v>1788</v>
      </c>
      <c r="L92" s="98" t="s">
        <v>2244</v>
      </c>
      <c r="M92" s="103" t="s">
        <v>2138</v>
      </c>
    </row>
    <row r="93" spans="1:17" ht="54" customHeight="1">
      <c r="A93" s="26" t="str">
        <v>Ridgeway #1</v>
      </c>
      <c r="B93" s="27" t="str">
        <v>NY</v>
      </c>
      <c r="C93" s="27" t="str">
        <f>Sites[[#This Row],[SOL'#]]</f>
        <v>SOL-11018</v>
      </c>
      <c r="D93" s="9">
        <v>787103</v>
      </c>
      <c r="E93" s="14">
        <v>779465</v>
      </c>
      <c r="F93" s="14">
        <f t="shared" si="8"/>
        <v>7638</v>
      </c>
      <c r="G93" s="15">
        <f t="shared" si="9"/>
        <v>9.7990288210503367E-3</v>
      </c>
      <c r="H93" s="16">
        <v>635692.43000000005</v>
      </c>
      <c r="I93" s="16">
        <f t="shared" si="10"/>
        <v>151410.56999999995</v>
      </c>
      <c r="J93" s="15">
        <f t="shared" si="11"/>
        <v>0.23818211898480518</v>
      </c>
      <c r="K93" s="51"/>
      <c r="L93" s="186"/>
    </row>
    <row r="94" spans="1:17" ht="15.6">
      <c r="A94" s="24" t="str">
        <v>Rivard 1</v>
      </c>
      <c r="B94" s="25" t="str">
        <v>NY</v>
      </c>
      <c r="C94" s="25" t="str">
        <f>Sites[[#This Row],[SOL'#]]</f>
        <v>SOL-11011</v>
      </c>
      <c r="D94" s="20">
        <v>610444.00000000198</v>
      </c>
      <c r="E94" s="10">
        <v>639127</v>
      </c>
      <c r="F94" s="10">
        <f t="shared" si="8"/>
        <v>-28682.999999998021</v>
      </c>
      <c r="G94" s="11">
        <f t="shared" si="9"/>
        <v>-4.4878404448565029E-2</v>
      </c>
      <c r="H94" s="12">
        <v>507876.1</v>
      </c>
      <c r="I94" s="12">
        <f t="shared" si="10"/>
        <v>102567.900000002</v>
      </c>
      <c r="J94" s="13">
        <f t="shared" si="11"/>
        <v>0.20195457120349236</v>
      </c>
      <c r="K94" s="73"/>
      <c r="L94" s="47"/>
    </row>
    <row r="95" spans="1:17" ht="15.6">
      <c r="A95" s="26" t="str">
        <v>Rivard 2</v>
      </c>
      <c r="B95" s="27" t="str">
        <v>NY</v>
      </c>
      <c r="C95" s="27" t="str">
        <f>Sites[[#This Row],[SOL'#]]</f>
        <v>SOL-11012</v>
      </c>
      <c r="D95" s="9">
        <v>586380.92000000004</v>
      </c>
      <c r="E95" s="14">
        <v>579785.1</v>
      </c>
      <c r="F95" s="14">
        <f t="shared" si="8"/>
        <v>6595.8200000000652</v>
      </c>
      <c r="G95" s="15">
        <f t="shared" si="9"/>
        <v>1.137631857044975E-2</v>
      </c>
      <c r="H95" s="16">
        <v>484208.1</v>
      </c>
      <c r="I95" s="16">
        <f t="shared" si="10"/>
        <v>102172.82000000007</v>
      </c>
      <c r="J95" s="15">
        <f t="shared" si="11"/>
        <v>0.21101014212690797</v>
      </c>
      <c r="K95" s="51"/>
      <c r="L95" s="87"/>
    </row>
    <row r="96" spans="1:17" ht="15.6">
      <c r="A96" s="24" t="str">
        <v>Ridgeway #2</v>
      </c>
      <c r="B96" s="25" t="str">
        <v>NY</v>
      </c>
      <c r="C96" s="25" t="str">
        <f>Sites[[#This Row],[SOL'#]]</f>
        <v>SOL-11027</v>
      </c>
      <c r="D96" s="20">
        <v>407899</v>
      </c>
      <c r="E96" s="10">
        <v>404959</v>
      </c>
      <c r="F96" s="10">
        <f t="shared" si="8"/>
        <v>2940</v>
      </c>
      <c r="G96" s="11">
        <f t="shared" si="9"/>
        <v>7.2599942216372525E-3</v>
      </c>
      <c r="H96" s="12">
        <v>329308.82</v>
      </c>
      <c r="I96" s="12">
        <f t="shared" si="10"/>
        <v>78590.179999999993</v>
      </c>
      <c r="J96" s="13">
        <f t="shared" si="11"/>
        <v>0.23865191342278652</v>
      </c>
      <c r="K96" s="53"/>
      <c r="L96" s="47"/>
    </row>
    <row r="97" spans="1:16" ht="28.9">
      <c r="A97" s="26" t="str">
        <v>Spencer</v>
      </c>
      <c r="B97" s="27" t="str">
        <v>NY</v>
      </c>
      <c r="C97" s="27" t="str">
        <f>Sites[[#This Row],[SOL'#]]</f>
        <v>SOL-11017</v>
      </c>
      <c r="D97" s="9">
        <v>796809.53</v>
      </c>
      <c r="E97" s="14">
        <v>769468.24</v>
      </c>
      <c r="F97" s="14">
        <f t="shared" si="8"/>
        <v>27341.290000000037</v>
      </c>
      <c r="G97" s="15">
        <f t="shared" si="9"/>
        <v>3.5532707626763173E-2</v>
      </c>
      <c r="H97" s="16">
        <v>663665</v>
      </c>
      <c r="I97" s="16">
        <f t="shared" si="10"/>
        <v>133144.53000000003</v>
      </c>
      <c r="J97" s="15">
        <f t="shared" si="11"/>
        <v>0.20062008694145395</v>
      </c>
      <c r="K97" s="51" t="s">
        <v>2245</v>
      </c>
      <c r="L97" s="99" t="s">
        <v>2246</v>
      </c>
      <c r="M97" s="103" t="s">
        <v>2239</v>
      </c>
    </row>
    <row r="98" spans="1:16" ht="15.6">
      <c r="A98" s="24" t="str">
        <v>Reisender</v>
      </c>
      <c r="B98" s="25" t="str">
        <v>NY</v>
      </c>
      <c r="C98" s="25" t="str">
        <f>Sites[[#This Row],[SOL'#]]</f>
        <v>SOL-10886</v>
      </c>
      <c r="D98" s="20">
        <v>278720</v>
      </c>
      <c r="E98" s="10">
        <v>278640</v>
      </c>
      <c r="F98" s="10">
        <f t="shared" si="8"/>
        <v>80</v>
      </c>
      <c r="G98" s="11">
        <f t="shared" si="9"/>
        <v>2.871088142405972E-4</v>
      </c>
      <c r="H98" s="12">
        <v>255766.95600000001</v>
      </c>
      <c r="I98" s="12">
        <f t="shared" si="10"/>
        <v>22953.043999999994</v>
      </c>
      <c r="J98" s="13">
        <f t="shared" si="11"/>
        <v>8.9742022812360461E-2</v>
      </c>
      <c r="K98" s="53"/>
      <c r="L98" s="47"/>
    </row>
    <row r="99" spans="1:16" ht="43.15">
      <c r="A99" s="26" t="str">
        <v>Finney</v>
      </c>
      <c r="B99" s="27" t="str">
        <v>NY</v>
      </c>
      <c r="C99" s="27" t="str">
        <f>Sites[[#This Row],[SOL'#]]</f>
        <v>SOL-10999</v>
      </c>
      <c r="D99" s="9">
        <v>493630</v>
      </c>
      <c r="E99" s="14">
        <v>491240</v>
      </c>
      <c r="F99" s="14">
        <f t="shared" si="8"/>
        <v>2390</v>
      </c>
      <c r="G99" s="15">
        <f t="shared" si="9"/>
        <v>4.8652389870531719E-3</v>
      </c>
      <c r="H99" s="16">
        <v>617297.95600000001</v>
      </c>
      <c r="I99" s="16">
        <f t="shared" si="10"/>
        <v>-123667.95600000001</v>
      </c>
      <c r="J99" s="15">
        <f t="shared" si="11"/>
        <v>-0.2003375433175742</v>
      </c>
      <c r="K99" s="51" t="s">
        <v>2247</v>
      </c>
      <c r="L99" s="99" t="s">
        <v>2248</v>
      </c>
      <c r="M99" s="65" t="s">
        <v>2249</v>
      </c>
      <c r="N99" s="102" t="s">
        <v>2250</v>
      </c>
    </row>
    <row r="100" spans="1:16" ht="15.6">
      <c r="A100" s="24" t="str">
        <v>Davis Solar</v>
      </c>
      <c r="B100" s="25" t="str">
        <v>NY</v>
      </c>
      <c r="C100" s="25" t="str">
        <f>Sites[[#This Row],[SOL'#]]</f>
        <v>SOL-10958</v>
      </c>
      <c r="D100" s="20">
        <v>294666</v>
      </c>
      <c r="E100" s="10">
        <v>320015.59999999998</v>
      </c>
      <c r="F100" s="10">
        <f t="shared" si="8"/>
        <v>-25349.599999999977</v>
      </c>
      <c r="G100" s="11">
        <f t="shared" si="9"/>
        <v>-7.9213638335131092E-2</v>
      </c>
      <c r="H100" s="12">
        <v>292669</v>
      </c>
      <c r="I100" s="12">
        <f t="shared" si="10"/>
        <v>1997</v>
      </c>
      <c r="J100" s="13">
        <f t="shared" si="11"/>
        <v>6.8234080138313245E-3</v>
      </c>
      <c r="K100" s="53"/>
      <c r="L100" s="47"/>
    </row>
    <row r="101" spans="1:16" ht="28.9">
      <c r="A101" s="26" t="str">
        <v>Genesee</v>
      </c>
      <c r="B101" s="27" t="str">
        <v>NY</v>
      </c>
      <c r="C101" s="27" t="str">
        <f>Sites[[#This Row],[SOL'#]]</f>
        <v>SOL-10951</v>
      </c>
      <c r="D101" s="9">
        <v>494011.2</v>
      </c>
      <c r="E101" s="14">
        <v>480122.63</v>
      </c>
      <c r="F101" s="14">
        <f t="shared" si="8"/>
        <v>13888.570000000007</v>
      </c>
      <c r="G101" s="15">
        <f t="shared" si="9"/>
        <v>2.8927130554125321E-2</v>
      </c>
      <c r="H101" s="16">
        <v>430901.36599999998</v>
      </c>
      <c r="I101" s="16">
        <f t="shared" si="10"/>
        <v>63109.834000000032</v>
      </c>
      <c r="J101" s="15">
        <f t="shared" si="11"/>
        <v>0.14646004626497294</v>
      </c>
      <c r="K101" s="51" t="s">
        <v>2251</v>
      </c>
      <c r="L101" s="99" t="s">
        <v>2044</v>
      </c>
      <c r="M101" s="103" t="s">
        <v>2120</v>
      </c>
    </row>
    <row r="102" spans="1:16" ht="15.6">
      <c r="A102" s="24" t="str">
        <v>Landau I</v>
      </c>
      <c r="B102" s="25" t="str">
        <v>NY</v>
      </c>
      <c r="C102" s="25" t="str">
        <f>Sites[[#This Row],[SOL'#]]</f>
        <v>SOL-10891</v>
      </c>
      <c r="D102" s="20">
        <v>275640</v>
      </c>
      <c r="E102" s="10" t="s">
        <v>661</v>
      </c>
      <c r="F102" s="10" t="str">
        <f t="shared" si="8"/>
        <v/>
      </c>
      <c r="G102" s="11" t="str">
        <f t="shared" si="9"/>
        <v/>
      </c>
      <c r="H102" s="12">
        <v>276046.64500000002</v>
      </c>
      <c r="I102" s="12">
        <f t="shared" si="10"/>
        <v>-406.64500000001863</v>
      </c>
      <c r="J102" s="13">
        <f t="shared" si="11"/>
        <v>-1.4731024896173564E-3</v>
      </c>
      <c r="K102" s="53"/>
      <c r="L102" s="47"/>
    </row>
    <row r="103" spans="1:16" ht="28.9">
      <c r="A103" s="26" t="str">
        <v>Landau II</v>
      </c>
      <c r="B103" s="27" t="str">
        <v>NY</v>
      </c>
      <c r="C103" s="27" t="str">
        <f>Sites[[#This Row],[SOL'#]]</f>
        <v>SOL-10895</v>
      </c>
      <c r="D103" s="9">
        <v>541660</v>
      </c>
      <c r="E103" s="14" t="s">
        <v>661</v>
      </c>
      <c r="F103" s="14" t="str">
        <f t="shared" si="8"/>
        <v/>
      </c>
      <c r="G103" s="15" t="str">
        <f t="shared" si="9"/>
        <v/>
      </c>
      <c r="H103" s="174" t="s">
        <v>661</v>
      </c>
      <c r="I103" s="16" t="str">
        <f t="shared" si="10"/>
        <v/>
      </c>
      <c r="J103" s="15" t="str">
        <f t="shared" si="11"/>
        <v/>
      </c>
      <c r="K103" s="51" t="s">
        <v>2252</v>
      </c>
      <c r="L103" s="99" t="s">
        <v>2253</v>
      </c>
      <c r="M103" s="65" t="s">
        <v>2254</v>
      </c>
      <c r="N103" s="102" t="s">
        <v>2255</v>
      </c>
    </row>
    <row r="104" spans="1:16" ht="42" customHeight="1">
      <c r="A104" s="24" t="str">
        <v>New Beginnings</v>
      </c>
      <c r="B104" s="25" t="str">
        <v>NY</v>
      </c>
      <c r="C104" s="25" t="str">
        <f>Sites[[#This Row],[SOL'#]]</f>
        <v>SOL-10890</v>
      </c>
      <c r="D104" s="20">
        <v>72340</v>
      </c>
      <c r="E104" s="10">
        <v>72320</v>
      </c>
      <c r="F104" s="10">
        <f t="shared" si="8"/>
        <v>20</v>
      </c>
      <c r="G104" s="11">
        <f t="shared" si="9"/>
        <v>2.7654867256637168E-4</v>
      </c>
      <c r="H104" s="12">
        <v>278665.03399999999</v>
      </c>
      <c r="I104" s="12">
        <f t="shared" si="10"/>
        <v>-206325.03399999999</v>
      </c>
      <c r="J104" s="13">
        <f t="shared" si="11"/>
        <v>-0.74040517763703351</v>
      </c>
      <c r="K104" s="53" t="s">
        <v>2256</v>
      </c>
      <c r="L104" s="98" t="s">
        <v>2257</v>
      </c>
      <c r="M104" s="103" t="s">
        <v>2138</v>
      </c>
    </row>
    <row r="105" spans="1:16" ht="15.6">
      <c r="A105" s="26" t="str">
        <v>Bullitt Farm Solar, LLC</v>
      </c>
      <c r="B105" s="27" t="str">
        <v>NY</v>
      </c>
      <c r="C105" s="27" t="str">
        <f>Sites[[#This Row],[SOL'#]]</f>
        <v>SOL-10998</v>
      </c>
      <c r="D105" s="9">
        <v>648453.06519999995</v>
      </c>
      <c r="E105" s="14">
        <v>714320.9</v>
      </c>
      <c r="F105" s="14">
        <f t="shared" si="8"/>
        <v>-65867.83480000007</v>
      </c>
      <c r="G105" s="15">
        <f t="shared" si="9"/>
        <v>-9.2210426434393936E-2</v>
      </c>
      <c r="H105" s="16">
        <v>553668.30000000005</v>
      </c>
      <c r="I105" s="16">
        <f t="shared" si="10"/>
        <v>94784.765199999907</v>
      </c>
      <c r="J105" s="15">
        <f t="shared" si="11"/>
        <v>0.17119413410520323</v>
      </c>
      <c r="K105" s="51" t="s">
        <v>2258</v>
      </c>
      <c r="L105" s="99" t="s">
        <v>2259</v>
      </c>
      <c r="M105" s="103" t="s">
        <v>2120</v>
      </c>
    </row>
    <row r="106" spans="1:16" ht="15.6">
      <c r="A106" s="24" t="str">
        <v>Brodhead Solar, LLC</v>
      </c>
      <c r="B106" s="25" t="str">
        <v>NY</v>
      </c>
      <c r="C106" s="25" t="str">
        <f>Sites[[#This Row],[SOL'#]]</f>
        <v>SOL-10899</v>
      </c>
      <c r="D106" s="20">
        <v>320511</v>
      </c>
      <c r="E106" s="10">
        <v>352139</v>
      </c>
      <c r="F106" s="10">
        <f t="shared" si="8"/>
        <v>-31628</v>
      </c>
      <c r="G106" s="11">
        <f t="shared" si="9"/>
        <v>-8.9816805295636098E-2</v>
      </c>
      <c r="H106" s="12">
        <v>301492.2</v>
      </c>
      <c r="I106" s="12">
        <f t="shared" si="10"/>
        <v>19018.799999999988</v>
      </c>
      <c r="J106" s="13">
        <f t="shared" si="11"/>
        <v>6.3082228992988834E-2</v>
      </c>
      <c r="K106" s="53"/>
      <c r="L106" s="47"/>
    </row>
    <row r="107" spans="1:16" ht="129.6">
      <c r="A107" s="26" t="str">
        <v>Svenski</v>
      </c>
      <c r="B107" s="27" t="str">
        <v>NY</v>
      </c>
      <c r="C107" s="27" t="str">
        <f>Sites[[#This Row],[SOL'#]]</f>
        <v>SOL-10894</v>
      </c>
      <c r="D107" s="9">
        <v>277486</v>
      </c>
      <c r="E107" s="14" t="s">
        <v>661</v>
      </c>
      <c r="F107" s="14" t="str">
        <f t="shared" si="8"/>
        <v/>
      </c>
      <c r="G107" s="15" t="str">
        <f t="shared" si="9"/>
        <v/>
      </c>
      <c r="H107" s="16">
        <v>272117.891</v>
      </c>
      <c r="I107" s="16">
        <f t="shared" si="10"/>
        <v>5368.1089999999967</v>
      </c>
      <c r="J107" s="15">
        <f t="shared" si="11"/>
        <v>1.972714465878319E-2</v>
      </c>
      <c r="K107" s="51" t="s">
        <v>2260</v>
      </c>
      <c r="L107" s="99" t="s">
        <v>2261</v>
      </c>
      <c r="M107" s="65" t="s">
        <v>2262</v>
      </c>
      <c r="N107" s="102" t="s">
        <v>2263</v>
      </c>
      <c r="O107" s="102" t="s">
        <v>2264</v>
      </c>
      <c r="P107" s="102" t="s">
        <v>2265</v>
      </c>
    </row>
    <row r="108" spans="1:16" ht="108.75" customHeight="1">
      <c r="A108" s="24" t="str">
        <v>Bantam</v>
      </c>
      <c r="B108" s="25" t="str">
        <v>NY</v>
      </c>
      <c r="C108" s="25" t="str">
        <f>Sites[[#This Row],[SOL'#]]</f>
        <v>SOL-10986</v>
      </c>
      <c r="D108" s="20">
        <v>44580</v>
      </c>
      <c r="E108" s="10">
        <v>469320</v>
      </c>
      <c r="F108" s="10">
        <f t="shared" si="8"/>
        <v>-424740</v>
      </c>
      <c r="G108" s="11">
        <f t="shared" si="9"/>
        <v>-0.9050115060086934</v>
      </c>
      <c r="H108" s="12">
        <v>590709.679</v>
      </c>
      <c r="I108" s="12">
        <f t="shared" si="10"/>
        <v>-546129.679</v>
      </c>
      <c r="J108" s="13">
        <f t="shared" si="11"/>
        <v>-0.92453145498569023</v>
      </c>
      <c r="K108" s="53" t="s">
        <v>2266</v>
      </c>
      <c r="L108" s="98" t="s">
        <v>2267</v>
      </c>
      <c r="M108" s="65" t="s">
        <v>2268</v>
      </c>
      <c r="N108" s="102" t="s">
        <v>2047</v>
      </c>
      <c r="O108" s="102" t="s">
        <v>2269</v>
      </c>
      <c r="P108" s="102" t="s">
        <v>2270</v>
      </c>
    </row>
    <row r="109" spans="1:16" ht="15.6">
      <c r="A109" s="26" t="str">
        <v>Bogart</v>
      </c>
      <c r="B109" s="27" t="str">
        <v>NY</v>
      </c>
      <c r="C109" s="27" t="str">
        <f>Sites[[#This Row],[SOL'#]]</f>
        <v>SOL-10887</v>
      </c>
      <c r="D109" s="9">
        <v>289530</v>
      </c>
      <c r="E109" s="14">
        <v>217280</v>
      </c>
      <c r="F109" s="14">
        <f t="shared" si="8"/>
        <v>72250</v>
      </c>
      <c r="G109" s="15">
        <f t="shared" si="9"/>
        <v>0.3325202503681885</v>
      </c>
      <c r="H109" s="16">
        <v>265631.136</v>
      </c>
      <c r="I109" s="16">
        <f t="shared" si="10"/>
        <v>23898.864000000001</v>
      </c>
      <c r="J109" s="15">
        <f t="shared" si="11"/>
        <v>8.9970115551514268E-2</v>
      </c>
      <c r="K109" s="51"/>
      <c r="L109" s="87"/>
    </row>
    <row r="110" spans="1:16" ht="15.6">
      <c r="A110" s="24" t="str">
        <v>Dubois</v>
      </c>
      <c r="B110" s="25" t="str">
        <v>NY</v>
      </c>
      <c r="C110" s="25" t="str">
        <f>Sites[[#This Row],[SOL'#]]</f>
        <v>SOL-10892</v>
      </c>
      <c r="D110" s="20">
        <v>0</v>
      </c>
      <c r="E110" s="10">
        <v>0</v>
      </c>
      <c r="F110" s="10">
        <f t="shared" si="8"/>
        <v>0</v>
      </c>
      <c r="G110" s="11" t="str">
        <f t="shared" si="9"/>
        <v/>
      </c>
      <c r="H110" s="12"/>
      <c r="I110" s="12" t="str">
        <f t="shared" si="10"/>
        <v/>
      </c>
      <c r="J110" s="13" t="str">
        <f t="shared" si="11"/>
        <v/>
      </c>
      <c r="K110" s="53" t="s">
        <v>1817</v>
      </c>
      <c r="L110" s="98" t="s">
        <v>2271</v>
      </c>
      <c r="M110" s="103" t="s">
        <v>2138</v>
      </c>
    </row>
    <row r="111" spans="1:16" ht="63.75" customHeight="1">
      <c r="A111" s="26" t="str">
        <v>Salt Point</v>
      </c>
      <c r="B111" s="27" t="str">
        <v>NY</v>
      </c>
      <c r="C111" s="27" t="str">
        <f>Sites[[#This Row],[SOL'#]]</f>
        <v>SOL-10888</v>
      </c>
      <c r="D111" s="9">
        <v>274500</v>
      </c>
      <c r="E111" s="14">
        <v>266540</v>
      </c>
      <c r="F111" s="14">
        <f t="shared" si="8"/>
        <v>7960</v>
      </c>
      <c r="G111" s="15">
        <f t="shared" si="9"/>
        <v>2.9864185488106852E-2</v>
      </c>
      <c r="H111" s="16">
        <v>263654.78399999999</v>
      </c>
      <c r="I111" s="16">
        <f t="shared" si="10"/>
        <v>10845.216000000015</v>
      </c>
      <c r="J111" s="15">
        <f t="shared" si="11"/>
        <v>4.1134152149501738E-2</v>
      </c>
      <c r="K111" s="51" t="s">
        <v>2272</v>
      </c>
      <c r="L111" s="99" t="s">
        <v>2273</v>
      </c>
      <c r="M111" s="103" t="s">
        <v>2274</v>
      </c>
    </row>
    <row r="112" spans="1:16" ht="84.75" customHeight="1">
      <c r="A112" s="24" t="str">
        <v>Wheatland 2A</v>
      </c>
      <c r="B112" s="25" t="str">
        <v>NY</v>
      </c>
      <c r="C112" s="25" t="str">
        <f>Sites[[#This Row],[SOL'#]]</f>
        <v>SOL-10971</v>
      </c>
      <c r="D112" s="20">
        <v>582600</v>
      </c>
      <c r="E112" s="10">
        <v>580410</v>
      </c>
      <c r="F112" s="10">
        <f t="shared" si="8"/>
        <v>2190</v>
      </c>
      <c r="G112" s="11">
        <f t="shared" si="9"/>
        <v>3.7731948105649456E-3</v>
      </c>
      <c r="H112" s="12">
        <v>509021.59700000001</v>
      </c>
      <c r="I112" s="12">
        <f t="shared" si="10"/>
        <v>73578.402999999991</v>
      </c>
      <c r="J112" s="13">
        <f t="shared" si="11"/>
        <v>0.14454868601577231</v>
      </c>
      <c r="K112" s="53" t="s">
        <v>2275</v>
      </c>
      <c r="L112" s="98" t="s">
        <v>2276</v>
      </c>
      <c r="M112" s="103" t="s">
        <v>2120</v>
      </c>
    </row>
    <row r="113" spans="1:15" ht="43.15">
      <c r="A113" s="26" t="str">
        <v>Wheatland 2B</v>
      </c>
      <c r="B113" s="27" t="str">
        <v>NY</v>
      </c>
      <c r="C113" s="27" t="str">
        <f>Sites[[#This Row],[SOL'#]]</f>
        <v>SOL-10961</v>
      </c>
      <c r="D113" s="9">
        <v>608220</v>
      </c>
      <c r="E113" s="14">
        <v>605890</v>
      </c>
      <c r="F113" s="14">
        <f t="shared" si="8"/>
        <v>2330</v>
      </c>
      <c r="G113" s="15">
        <f t="shared" si="9"/>
        <v>3.8455825314826124E-3</v>
      </c>
      <c r="H113" s="16">
        <v>502325.85100000002</v>
      </c>
      <c r="I113" s="16">
        <f t="shared" si="10"/>
        <v>105894.14899999998</v>
      </c>
      <c r="J113" s="15">
        <f t="shared" si="11"/>
        <v>0.2108076834771539</v>
      </c>
      <c r="K113" s="51" t="s">
        <v>2277</v>
      </c>
      <c r="L113" s="99" t="s">
        <v>2278</v>
      </c>
      <c r="M113" s="65" t="s">
        <v>2279</v>
      </c>
      <c r="N113" s="102" t="s">
        <v>823</v>
      </c>
    </row>
    <row r="114" spans="1:15" ht="43.15">
      <c r="A114" s="24" t="str">
        <v>Brickchurch</v>
      </c>
      <c r="B114" s="25" t="str">
        <v>NY</v>
      </c>
      <c r="C114" s="25" t="str">
        <f>Sites[[#This Row],[SOL'#]]</f>
        <v>SOL-10889</v>
      </c>
      <c r="D114" s="20">
        <v>55150</v>
      </c>
      <c r="E114" s="10">
        <v>55040</v>
      </c>
      <c r="F114" s="10">
        <f t="shared" si="8"/>
        <v>110</v>
      </c>
      <c r="G114" s="11">
        <f t="shared" si="9"/>
        <v>1.9985465116279071E-3</v>
      </c>
      <c r="H114" s="12">
        <v>224030.44099999999</v>
      </c>
      <c r="I114" s="12">
        <f t="shared" si="10"/>
        <v>-168880.44099999999</v>
      </c>
      <c r="J114" s="13">
        <f t="shared" si="11"/>
        <v>-0.75382809695937703</v>
      </c>
      <c r="K114" s="53" t="s">
        <v>2280</v>
      </c>
      <c r="L114" s="98" t="s">
        <v>2281</v>
      </c>
      <c r="M114" s="65" t="s">
        <v>2282</v>
      </c>
      <c r="N114" s="102" t="s">
        <v>2283</v>
      </c>
    </row>
    <row r="115" spans="1:15" ht="60.75" customHeight="1">
      <c r="A115" s="26" t="str">
        <v>McCarthy Solar</v>
      </c>
      <c r="B115" s="27" t="str">
        <v>NY</v>
      </c>
      <c r="C115" s="27" t="str">
        <f>Sites[[#This Row],[SOL'#]]</f>
        <v>SOL-10992</v>
      </c>
      <c r="D115" s="9">
        <v>71190</v>
      </c>
      <c r="E115" s="14">
        <v>0</v>
      </c>
      <c r="F115" s="14">
        <f t="shared" si="8"/>
        <v>71190</v>
      </c>
      <c r="G115" s="15" t="str">
        <f t="shared" si="9"/>
        <v/>
      </c>
      <c r="H115" s="16">
        <v>276553.03000000003</v>
      </c>
      <c r="I115" s="16">
        <f t="shared" si="10"/>
        <v>-205363.03000000003</v>
      </c>
      <c r="J115" s="15">
        <f t="shared" si="11"/>
        <v>-0.74258101601707283</v>
      </c>
      <c r="K115" s="51" t="s">
        <v>2284</v>
      </c>
      <c r="L115" s="99" t="s">
        <v>2285</v>
      </c>
      <c r="M115" s="65" t="s">
        <v>2286</v>
      </c>
      <c r="N115" s="102" t="s">
        <v>2287</v>
      </c>
    </row>
    <row r="116" spans="1:15" ht="43.15">
      <c r="A116" s="24" t="str">
        <v>Costanza</v>
      </c>
      <c r="B116" s="25" t="str">
        <v>NY</v>
      </c>
      <c r="C116" s="25" t="str">
        <f>Sites[[#This Row],[SOL'#]]</f>
        <v>SOL-10907</v>
      </c>
      <c r="D116" s="20">
        <v>304060</v>
      </c>
      <c r="E116" s="10">
        <v>303984.25</v>
      </c>
      <c r="F116" s="10">
        <f t="shared" si="8"/>
        <v>75.75</v>
      </c>
      <c r="G116" s="11">
        <f t="shared" si="9"/>
        <v>2.4919054194419611E-4</v>
      </c>
      <c r="H116" s="12">
        <v>264626.717</v>
      </c>
      <c r="I116" s="12">
        <f t="shared" si="10"/>
        <v>39433.282999999996</v>
      </c>
      <c r="J116" s="13">
        <f t="shared" si="11"/>
        <v>0.14901474592982988</v>
      </c>
      <c r="K116" s="53" t="s">
        <v>2288</v>
      </c>
      <c r="L116" s="98" t="s">
        <v>2289</v>
      </c>
      <c r="M116" s="65" t="s">
        <v>2219</v>
      </c>
      <c r="N116" s="102" t="s">
        <v>2290</v>
      </c>
      <c r="O116" s="102" t="s">
        <v>2291</v>
      </c>
    </row>
    <row r="117" spans="1:15" ht="15.6">
      <c r="A117" s="26" t="str">
        <v>Lockenhurst Pond</v>
      </c>
      <c r="B117" s="27" t="str">
        <v>NY</v>
      </c>
      <c r="C117" s="27" t="str">
        <f>Sites[[#This Row],[SOL'#]]</f>
        <v>SOL-11000</v>
      </c>
      <c r="D117" s="9">
        <v>318818</v>
      </c>
      <c r="E117" s="14">
        <v>345078.9</v>
      </c>
      <c r="F117" s="14">
        <f t="shared" si="8"/>
        <v>-26260.900000000023</v>
      </c>
      <c r="G117" s="15">
        <f t="shared" si="9"/>
        <v>-7.6101146723256685E-2</v>
      </c>
      <c r="H117" s="16">
        <v>287759</v>
      </c>
      <c r="I117" s="16">
        <f t="shared" si="10"/>
        <v>31059</v>
      </c>
      <c r="J117" s="15">
        <f t="shared" si="11"/>
        <v>0.10793406982926686</v>
      </c>
      <c r="K117" s="51" t="s">
        <v>2292</v>
      </c>
      <c r="L117" s="99" t="s">
        <v>2293</v>
      </c>
      <c r="M117" s="103" t="s">
        <v>2294</v>
      </c>
    </row>
    <row r="118" spans="1:15" ht="15.6">
      <c r="A118" s="24" t="str">
        <v>Drinkwater</v>
      </c>
      <c r="B118" s="25" t="str">
        <v>NY</v>
      </c>
      <c r="C118" s="25" t="str">
        <f>Sites[[#This Row],[SOL'#]]</f>
        <v>SOL-10896</v>
      </c>
      <c r="D118" s="20">
        <v>332380</v>
      </c>
      <c r="E118" s="10">
        <v>331060</v>
      </c>
      <c r="F118" s="10">
        <f t="shared" si="8"/>
        <v>1320</v>
      </c>
      <c r="G118" s="11">
        <f t="shared" si="9"/>
        <v>3.9871926538995956E-3</v>
      </c>
      <c r="H118" s="12">
        <v>250301.454</v>
      </c>
      <c r="I118" s="12">
        <f t="shared" si="10"/>
        <v>82078.546000000002</v>
      </c>
      <c r="J118" s="13">
        <f t="shared" si="11"/>
        <v>0.3279187742952544</v>
      </c>
      <c r="K118" s="53"/>
      <c r="L118" s="47"/>
    </row>
    <row r="119" spans="1:15" ht="15.6">
      <c r="A119" s="26" t="str">
        <v>Altamont</v>
      </c>
      <c r="B119" s="27" t="str">
        <v>NY</v>
      </c>
      <c r="C119" s="27" t="str">
        <f>Sites[[#This Row],[SOL'#]]</f>
        <v>SOL-11085</v>
      </c>
      <c r="D119" s="9">
        <v>616338</v>
      </c>
      <c r="E119" s="14">
        <v>665783.1</v>
      </c>
      <c r="F119" s="14">
        <f t="shared" si="8"/>
        <v>-49445.099999999977</v>
      </c>
      <c r="G119" s="15">
        <f t="shared" si="9"/>
        <v>-7.4266078547202505E-2</v>
      </c>
      <c r="H119" s="16">
        <v>420982.6</v>
      </c>
      <c r="I119" s="16">
        <f t="shared" si="10"/>
        <v>195355.40000000002</v>
      </c>
      <c r="J119" s="15">
        <f t="shared" si="11"/>
        <v>0.46404625749377776</v>
      </c>
      <c r="K119" s="51"/>
      <c r="L119" s="186"/>
    </row>
    <row r="120" spans="1:15" ht="15.6">
      <c r="A120" s="24" t="str">
        <v>Krumkill North</v>
      </c>
      <c r="B120" s="25" t="str">
        <v>NY</v>
      </c>
      <c r="C120" s="25" t="str">
        <f>Sites[[#This Row],[SOL'#]]</f>
        <v>SOL-11086</v>
      </c>
      <c r="D120" s="20">
        <v>515455</v>
      </c>
      <c r="E120" s="10">
        <v>636140.4</v>
      </c>
      <c r="F120" s="10">
        <f t="shared" si="8"/>
        <v>-120685.40000000002</v>
      </c>
      <c r="G120" s="11">
        <f t="shared" si="9"/>
        <v>-0.18971503774952828</v>
      </c>
      <c r="H120" s="12">
        <v>530658.80000000005</v>
      </c>
      <c r="I120" s="12">
        <f t="shared" si="10"/>
        <v>-15203.800000000047</v>
      </c>
      <c r="J120" s="13">
        <f t="shared" si="11"/>
        <v>-2.8650801607360596E-2</v>
      </c>
      <c r="K120" s="53" t="s">
        <v>2065</v>
      </c>
      <c r="L120" s="47"/>
    </row>
    <row r="121" spans="1:15" ht="15.6">
      <c r="A121" s="26" t="str">
        <v>Krumkill South</v>
      </c>
      <c r="B121" s="27" t="str">
        <v>NY</v>
      </c>
      <c r="C121" s="27" t="str">
        <f>Sites[[#This Row],[SOL'#]]</f>
        <v>SOL-11087</v>
      </c>
      <c r="D121" s="9">
        <v>466720</v>
      </c>
      <c r="E121" s="14">
        <v>508822.7</v>
      </c>
      <c r="F121" s="14">
        <f t="shared" si="8"/>
        <v>-42102.700000000012</v>
      </c>
      <c r="G121" s="15">
        <f t="shared" si="9"/>
        <v>-8.2745325631108854E-2</v>
      </c>
      <c r="H121" s="16">
        <v>416020</v>
      </c>
      <c r="I121" s="16">
        <f t="shared" si="10"/>
        <v>50700</v>
      </c>
      <c r="J121" s="15">
        <f t="shared" si="11"/>
        <v>0.12186914090668718</v>
      </c>
      <c r="K121" s="51" t="s">
        <v>2295</v>
      </c>
      <c r="L121" s="99" t="s">
        <v>2296</v>
      </c>
      <c r="M121" s="103" t="s">
        <v>2239</v>
      </c>
    </row>
    <row r="122" spans="1:15" ht="15.6">
      <c r="A122" s="24" t="str">
        <v>X092</v>
      </c>
      <c r="B122" s="25" t="str">
        <v>NY</v>
      </c>
      <c r="C122" s="25" t="str">
        <f>Sites[[#This Row],[SOL'#]]</f>
        <v>SOL-11189</v>
      </c>
      <c r="D122" s="20">
        <v>12600.1</v>
      </c>
      <c r="E122" s="10">
        <v>12960.93</v>
      </c>
      <c r="F122" s="10">
        <f t="shared" si="8"/>
        <v>-360.82999999999993</v>
      </c>
      <c r="G122" s="11">
        <f t="shared" si="9"/>
        <v>-2.7839823222561955E-2</v>
      </c>
      <c r="H122" s="12">
        <v>12338</v>
      </c>
      <c r="I122" s="12">
        <f t="shared" si="10"/>
        <v>262.10000000000036</v>
      </c>
      <c r="J122" s="13">
        <f t="shared" si="11"/>
        <v>2.1243313340898066E-2</v>
      </c>
      <c r="K122" s="53"/>
      <c r="L122" s="47"/>
    </row>
    <row r="123" spans="1:15" ht="15.6">
      <c r="A123" s="26" t="str">
        <v>X093</v>
      </c>
      <c r="B123" s="27" t="str">
        <v>NY</v>
      </c>
      <c r="C123" s="27" t="str">
        <f>Sites[[#This Row],[SOL'#]]</f>
        <v>SOL-10932</v>
      </c>
      <c r="D123" s="9">
        <v>9719.40625</v>
      </c>
      <c r="E123" s="14">
        <v>9495.5259999999998</v>
      </c>
      <c r="F123" s="14">
        <f t="shared" si="8"/>
        <v>223.88025000000016</v>
      </c>
      <c r="G123" s="15">
        <f t="shared" si="9"/>
        <v>2.3577445841336243E-2</v>
      </c>
      <c r="H123" s="16">
        <v>8699</v>
      </c>
      <c r="I123" s="16">
        <f t="shared" si="10"/>
        <v>1020.40625</v>
      </c>
      <c r="J123" s="15">
        <f t="shared" si="11"/>
        <v>0.11730155765030463</v>
      </c>
      <c r="K123" s="51"/>
      <c r="L123" s="85"/>
    </row>
    <row r="124" spans="1:15" ht="43.15">
      <c r="A124" s="24" t="str">
        <v>X095</v>
      </c>
      <c r="B124" s="25" t="str">
        <v>NY</v>
      </c>
      <c r="C124" s="25" t="str">
        <f>Sites[[#This Row],[SOL'#]]</f>
        <v>SOL-10929</v>
      </c>
      <c r="D124" s="20">
        <v>12763.265625</v>
      </c>
      <c r="E124" s="10">
        <v>14734.83</v>
      </c>
      <c r="F124" s="10">
        <f t="shared" si="8"/>
        <v>-1971.5643749999999</v>
      </c>
      <c r="G124" s="11">
        <f t="shared" si="9"/>
        <v>-0.1338029943338335</v>
      </c>
      <c r="H124" s="12">
        <v>11699</v>
      </c>
      <c r="I124" s="12">
        <f t="shared" si="10"/>
        <v>1064.265625</v>
      </c>
      <c r="J124" s="13">
        <f t="shared" si="11"/>
        <v>9.0970649200786388E-2</v>
      </c>
      <c r="K124" s="53" t="s">
        <v>2297</v>
      </c>
      <c r="L124" s="98" t="s">
        <v>2298</v>
      </c>
      <c r="M124" s="103" t="s">
        <v>2239</v>
      </c>
    </row>
    <row r="125" spans="1:15" ht="15.6">
      <c r="A125" s="26" t="str">
        <v>X181</v>
      </c>
      <c r="B125" s="27" t="str">
        <v>NY</v>
      </c>
      <c r="C125" s="27" t="str">
        <f>Sites[[#This Row],[SOL'#]]</f>
        <v>SOL-10428</v>
      </c>
      <c r="D125" s="9">
        <v>23583.765625</v>
      </c>
      <c r="E125" s="14">
        <v>22296.69</v>
      </c>
      <c r="F125" s="14">
        <f t="shared" si="8"/>
        <v>1287.0756250000013</v>
      </c>
      <c r="G125" s="15">
        <f t="shared" si="9"/>
        <v>5.7724963884773987E-2</v>
      </c>
      <c r="H125" s="16">
        <v>21210</v>
      </c>
      <c r="I125" s="16">
        <f t="shared" si="10"/>
        <v>2373.765625</v>
      </c>
      <c r="J125" s="15">
        <f t="shared" si="11"/>
        <v>0.11191728547854786</v>
      </c>
      <c r="K125" s="51"/>
      <c r="L125" s="186"/>
    </row>
    <row r="126" spans="1:15" ht="44.25" customHeight="1">
      <c r="A126" s="24" t="str">
        <v>X415</v>
      </c>
      <c r="B126" s="25" t="str">
        <v>NY</v>
      </c>
      <c r="C126" s="25" t="str">
        <f>Sites[[#This Row],[SOL'#]]</f>
        <v>SOL-10429</v>
      </c>
      <c r="D126" s="20">
        <v>14487.022031250001</v>
      </c>
      <c r="E126" s="10">
        <v>12761.31</v>
      </c>
      <c r="F126" s="10">
        <f t="shared" si="8"/>
        <v>1725.712031250001</v>
      </c>
      <c r="G126" s="11">
        <f t="shared" si="9"/>
        <v>0.13523000626503087</v>
      </c>
      <c r="H126" s="12">
        <v>11741</v>
      </c>
      <c r="I126" s="12">
        <f t="shared" si="10"/>
        <v>2746.0220312500005</v>
      </c>
      <c r="J126" s="13">
        <f t="shared" si="11"/>
        <v>0.23388314719785372</v>
      </c>
      <c r="K126" s="53"/>
      <c r="L126" s="47"/>
    </row>
    <row r="127" spans="1:15" ht="36" customHeight="1">
      <c r="A127" s="26" t="str">
        <v>K198</v>
      </c>
      <c r="B127" s="27" t="str">
        <v>NY</v>
      </c>
      <c r="C127" s="27" t="str">
        <f>Sites[[#This Row],[SOL'#]]</f>
        <v>SOL-10930</v>
      </c>
      <c r="D127" s="9">
        <v>11087.6875</v>
      </c>
      <c r="E127" s="14">
        <v>11280</v>
      </c>
      <c r="F127" s="14">
        <f t="shared" si="8"/>
        <v>-192.3125</v>
      </c>
      <c r="G127" s="15">
        <f t="shared" si="9"/>
        <v>-1.7048980496453901E-2</v>
      </c>
      <c r="H127" s="16">
        <v>10487</v>
      </c>
      <c r="I127" s="16">
        <f>IF(AND(ISNUMBER(D127),ISNUMBER(H127)), D127-H127, "")</f>
        <v>600.6875</v>
      </c>
      <c r="J127" s="15">
        <f t="shared" si="11"/>
        <v>5.7279250500619813E-2</v>
      </c>
      <c r="K127" s="51"/>
      <c r="L127" s="186"/>
    </row>
    <row r="128" spans="1:15" ht="15.6">
      <c r="A128" s="24" t="str">
        <v>K203</v>
      </c>
      <c r="B128" s="25" t="str">
        <v>NY</v>
      </c>
      <c r="C128" s="25" t="str">
        <f>Sites[[#This Row],[SOL'#]]</f>
        <v>SOL-11190</v>
      </c>
      <c r="D128" s="20">
        <v>14366.1</v>
      </c>
      <c r="E128" s="10">
        <v>12720.55</v>
      </c>
      <c r="F128" s="10">
        <f t="shared" si="8"/>
        <v>1645.5500000000011</v>
      </c>
      <c r="G128" s="11">
        <f t="shared" si="9"/>
        <v>0.12936154490175356</v>
      </c>
      <c r="H128" s="12">
        <v>13958</v>
      </c>
      <c r="I128" s="12">
        <f t="shared" si="10"/>
        <v>408.10000000000036</v>
      </c>
      <c r="J128" s="13">
        <f t="shared" si="11"/>
        <v>2.9237713139418281E-2</v>
      </c>
      <c r="K128" s="53"/>
      <c r="L128" s="47"/>
    </row>
    <row r="129" spans="1:15" ht="15.6">
      <c r="A129" s="26" t="str">
        <v>K213</v>
      </c>
      <c r="B129" s="27" t="str">
        <v>NY</v>
      </c>
      <c r="C129" s="27" t="str">
        <f>Sites[[#This Row],[SOL'#]]</f>
        <v>SOL-11191</v>
      </c>
      <c r="D129" s="9">
        <v>15240.7</v>
      </c>
      <c r="E129" s="14">
        <v>17509.86</v>
      </c>
      <c r="F129" s="14">
        <f t="shared" si="8"/>
        <v>-2269.16</v>
      </c>
      <c r="G129" s="15">
        <f t="shared" si="9"/>
        <v>-0.12959326916377401</v>
      </c>
      <c r="H129" s="16">
        <v>14843</v>
      </c>
      <c r="I129" s="16">
        <f t="shared" si="10"/>
        <v>397.70000000000073</v>
      </c>
      <c r="J129" s="15">
        <f t="shared" si="11"/>
        <v>2.6793774843360554E-2</v>
      </c>
      <c r="K129" s="51" t="s">
        <v>2299</v>
      </c>
      <c r="L129" s="85"/>
      <c r="M129"/>
    </row>
    <row r="130" spans="1:15" ht="15.6">
      <c r="A130" s="24" t="str">
        <v>K217</v>
      </c>
      <c r="B130" s="25" t="str">
        <v>NY</v>
      </c>
      <c r="C130" s="25" t="str">
        <f>Sites[[#This Row],[SOL'#]]</f>
        <v>SOL-10933</v>
      </c>
      <c r="D130" s="20">
        <v>7801.1171875</v>
      </c>
      <c r="E130" s="10">
        <v>8503.5519999999997</v>
      </c>
      <c r="F130" s="10">
        <f t="shared" si="8"/>
        <v>-702.43481249999968</v>
      </c>
      <c r="G130" s="11">
        <f t="shared" si="9"/>
        <v>-8.2604870588196516E-2</v>
      </c>
      <c r="H130" s="12">
        <v>7153</v>
      </c>
      <c r="I130" s="12">
        <f t="shared" si="10"/>
        <v>648.1171875</v>
      </c>
      <c r="J130" s="13">
        <f t="shared" si="11"/>
        <v>9.0607743254578502E-2</v>
      </c>
      <c r="K130" s="53"/>
      <c r="L130" s="47"/>
    </row>
    <row r="131" spans="1:15" ht="15.6">
      <c r="A131" s="26" t="str">
        <v>K307</v>
      </c>
      <c r="B131" s="27" t="str">
        <v>NY</v>
      </c>
      <c r="C131" s="27" t="str">
        <f>Sites[[#This Row],[SOL'#]]</f>
        <v>SOL-10876</v>
      </c>
      <c r="D131" s="9">
        <v>17488.015625</v>
      </c>
      <c r="E131" s="14">
        <v>23418.639999999999</v>
      </c>
      <c r="F131" s="14">
        <f t="shared" si="8"/>
        <v>-5930.6243749999994</v>
      </c>
      <c r="G131" s="15">
        <f t="shared" si="9"/>
        <v>-0.25324375689621598</v>
      </c>
      <c r="H131" s="16">
        <v>14771</v>
      </c>
      <c r="I131" s="16">
        <f t="shared" si="10"/>
        <v>2717.015625</v>
      </c>
      <c r="J131" s="15">
        <f t="shared" si="11"/>
        <v>0.18394256482296392</v>
      </c>
      <c r="K131" s="51" t="s">
        <v>2066</v>
      </c>
      <c r="L131" s="87"/>
    </row>
    <row r="132" spans="1:15" ht="15.6">
      <c r="A132" s="24" t="str">
        <v>K610</v>
      </c>
      <c r="B132" s="25" t="str">
        <v>NY</v>
      </c>
      <c r="C132" s="25" t="str">
        <f>Sites[[#This Row],[SOL'#]]</f>
        <v>SOL-11158</v>
      </c>
      <c r="D132" s="20">
        <v>19819.599999999999</v>
      </c>
      <c r="E132" s="10">
        <v>20843.41</v>
      </c>
      <c r="F132" s="10">
        <f t="shared" si="8"/>
        <v>-1023.8100000000013</v>
      </c>
      <c r="G132" s="11">
        <f t="shared" si="9"/>
        <v>-4.9119122063040609E-2</v>
      </c>
      <c r="H132" s="12">
        <v>18914</v>
      </c>
      <c r="I132" s="12">
        <f t="shared" si="10"/>
        <v>905.59999999999854</v>
      </c>
      <c r="J132" s="13">
        <f t="shared" si="11"/>
        <v>4.7879877339536775E-2</v>
      </c>
      <c r="K132" s="53"/>
      <c r="L132" s="47"/>
    </row>
    <row r="133" spans="1:15" ht="28.9">
      <c r="A133" s="26" t="str">
        <v>M025</v>
      </c>
      <c r="B133" s="27" t="str">
        <v>NY</v>
      </c>
      <c r="C133" s="27" t="str">
        <f>Sites[[#This Row],[SOL'#]]</f>
        <v>SOL-10392</v>
      </c>
      <c r="D133" s="9">
        <v>16248.1953125</v>
      </c>
      <c r="E133" s="14">
        <v>20668.759999999998</v>
      </c>
      <c r="F133" s="14">
        <f t="shared" si="8"/>
        <v>-4420.5646874999984</v>
      </c>
      <c r="G133" s="15">
        <f t="shared" si="9"/>
        <v>-0.21387662769803312</v>
      </c>
      <c r="H133" s="16">
        <v>17635</v>
      </c>
      <c r="I133" s="16">
        <f t="shared" si="10"/>
        <v>-1386.8046875</v>
      </c>
      <c r="J133" s="15">
        <f t="shared" si="11"/>
        <v>-7.863933583782251E-2</v>
      </c>
      <c r="K133" s="51" t="s">
        <v>2300</v>
      </c>
      <c r="L133" s="99" t="s">
        <v>2301</v>
      </c>
      <c r="M133"/>
      <c r="N133" s="102" t="s">
        <v>2302</v>
      </c>
    </row>
    <row r="134" spans="1:15" ht="15.6">
      <c r="A134" s="24" t="str">
        <v>M028</v>
      </c>
      <c r="B134" s="25" t="str">
        <v>NY</v>
      </c>
      <c r="C134" s="25" t="str">
        <f>Sites[[#This Row],[SOL'#]]</f>
        <v>SOL-10381</v>
      </c>
      <c r="D134" s="20">
        <v>13964.546875</v>
      </c>
      <c r="E134" s="10">
        <v>13884.17</v>
      </c>
      <c r="F134" s="10">
        <f t="shared" si="8"/>
        <v>80.376874999999927</v>
      </c>
      <c r="G134" s="11">
        <f t="shared" si="9"/>
        <v>5.7891019052633266E-3</v>
      </c>
      <c r="H134" s="12">
        <v>12198</v>
      </c>
      <c r="I134" s="12">
        <f t="shared" si="10"/>
        <v>1766.546875</v>
      </c>
      <c r="J134" s="13">
        <f t="shared" si="11"/>
        <v>0.14482266560091819</v>
      </c>
      <c r="K134" s="53"/>
      <c r="L134" s="47"/>
    </row>
    <row r="135" spans="1:15" ht="15.6">
      <c r="A135" s="26" t="str">
        <v>Q030</v>
      </c>
      <c r="B135" s="27" t="str">
        <v>NY</v>
      </c>
      <c r="C135" s="27" t="str">
        <f>Sites[[#This Row],[SOL'#]]</f>
        <v>SOL-10878</v>
      </c>
      <c r="D135" s="9">
        <v>16894.78125</v>
      </c>
      <c r="E135" s="14">
        <v>17490.12</v>
      </c>
      <c r="F135" s="14">
        <f t="shared" si="8"/>
        <v>-595.33874999999898</v>
      </c>
      <c r="G135" s="15">
        <f t="shared" si="9"/>
        <v>-3.4038574349404063E-2</v>
      </c>
      <c r="H135" s="16">
        <v>15243</v>
      </c>
      <c r="I135" s="16">
        <f t="shared" si="10"/>
        <v>1651.78125</v>
      </c>
      <c r="J135" s="15">
        <f t="shared" si="11"/>
        <v>0.10836326510529423</v>
      </c>
      <c r="K135" s="51"/>
      <c r="L135" s="85"/>
    </row>
    <row r="136" spans="1:15" ht="15.6">
      <c r="A136" s="24" t="str">
        <v>Q130</v>
      </c>
      <c r="B136" s="25" t="str">
        <v>NY</v>
      </c>
      <c r="C136" s="25" t="str">
        <f>Sites[[#This Row],[SOL'#]]</f>
        <v>SOL-10877</v>
      </c>
      <c r="D136" s="20">
        <v>8591.7109374999909</v>
      </c>
      <c r="E136" s="10">
        <v>9775.902</v>
      </c>
      <c r="F136" s="10">
        <f t="shared" si="8"/>
        <v>-1184.1910625000091</v>
      </c>
      <c r="G136" s="11">
        <f t="shared" si="9"/>
        <v>-0.1211336879706864</v>
      </c>
      <c r="H136" s="12">
        <v>8293.7440000000006</v>
      </c>
      <c r="I136" s="12">
        <f t="shared" si="10"/>
        <v>297.96693749999031</v>
      </c>
      <c r="J136" s="13">
        <f t="shared" si="11"/>
        <v>3.5926710240874363E-2</v>
      </c>
      <c r="K136" s="53" t="s">
        <v>2303</v>
      </c>
      <c r="L136" s="47"/>
      <c r="M136"/>
    </row>
    <row r="137" spans="1:15" ht="15.6">
      <c r="A137" s="26" t="str">
        <v>Q196</v>
      </c>
      <c r="B137" s="27" t="str">
        <v>NY</v>
      </c>
      <c r="C137" s="27" t="str">
        <f>Sites[[#This Row],[SOL'#]]</f>
        <v>SOL-10879</v>
      </c>
      <c r="D137" s="9">
        <v>11576.375</v>
      </c>
      <c r="E137" s="14">
        <v>12951.76</v>
      </c>
      <c r="F137" s="14">
        <f t="shared" si="8"/>
        <v>-1375.3850000000002</v>
      </c>
      <c r="G137" s="15">
        <f t="shared" si="9"/>
        <v>-0.10619290351272724</v>
      </c>
      <c r="H137" s="16">
        <v>10846</v>
      </c>
      <c r="I137" s="16">
        <f t="shared" si="10"/>
        <v>730.375</v>
      </c>
      <c r="J137" s="15">
        <f t="shared" si="11"/>
        <v>6.7340494191406974E-2</v>
      </c>
      <c r="K137" s="51" t="s">
        <v>2304</v>
      </c>
      <c r="L137" s="85"/>
      <c r="M137"/>
    </row>
    <row r="138" spans="1:15" ht="15.6">
      <c r="A138" s="24" t="str">
        <v>Q220</v>
      </c>
      <c r="B138" s="25" t="str">
        <v>NY</v>
      </c>
      <c r="C138" s="25" t="str">
        <f>Sites[[#This Row],[SOL'#]]</f>
        <v>SOL-10873</v>
      </c>
      <c r="D138" s="20">
        <v>11859.203125</v>
      </c>
      <c r="E138" s="10">
        <v>17078.349999999999</v>
      </c>
      <c r="F138" s="10">
        <f t="shared" si="8"/>
        <v>-5219.1468749999985</v>
      </c>
      <c r="G138" s="11">
        <f t="shared" si="9"/>
        <v>-0.30560018239466924</v>
      </c>
      <c r="H138" s="12">
        <v>11811</v>
      </c>
      <c r="I138" s="12">
        <f t="shared" si="10"/>
        <v>48.203125</v>
      </c>
      <c r="J138" s="13">
        <f t="shared" si="11"/>
        <v>4.0812060790788246E-3</v>
      </c>
      <c r="K138" s="53" t="s">
        <v>1364</v>
      </c>
      <c r="L138" s="107"/>
    </row>
    <row r="139" spans="1:15" ht="15.6">
      <c r="A139" s="26" t="str">
        <v>Q205</v>
      </c>
      <c r="B139" s="27" t="str">
        <v>NY</v>
      </c>
      <c r="C139" s="27" t="str">
        <f>Sites[[#This Row],[SOL'#]]</f>
        <v>SOL-10922</v>
      </c>
      <c r="D139" s="9">
        <v>17762.71875</v>
      </c>
      <c r="E139" s="14">
        <v>22208.54</v>
      </c>
      <c r="F139" s="14">
        <f t="shared" si="8"/>
        <v>-4445.8212500000009</v>
      </c>
      <c r="G139" s="15">
        <f t="shared" si="9"/>
        <v>-0.20018521028397188</v>
      </c>
      <c r="H139" s="16">
        <v>15510</v>
      </c>
      <c r="I139" s="16">
        <f t="shared" si="10"/>
        <v>2252.71875</v>
      </c>
      <c r="J139" s="15">
        <f t="shared" si="11"/>
        <v>0.14524298839458413</v>
      </c>
      <c r="K139" s="51" t="s">
        <v>2305</v>
      </c>
      <c r="L139" s="85"/>
    </row>
    <row r="140" spans="1:15" ht="43.15">
      <c r="A140" s="28" t="str">
        <v>Q400</v>
      </c>
      <c r="B140" s="25" t="str">
        <v>NY</v>
      </c>
      <c r="C140" s="25" t="str">
        <f>Sites[[#This Row],[SOL'#]]</f>
        <v>SOL-10871</v>
      </c>
      <c r="D140" s="54">
        <v>18383.78125</v>
      </c>
      <c r="E140" s="10" t="s">
        <v>661</v>
      </c>
      <c r="F140" s="10" t="str">
        <f t="shared" si="8"/>
        <v/>
      </c>
      <c r="G140" s="55" t="str">
        <f t="shared" si="9"/>
        <v/>
      </c>
      <c r="H140" s="67">
        <v>23463</v>
      </c>
      <c r="I140" s="67">
        <f t="shared" si="10"/>
        <v>-5079.21875</v>
      </c>
      <c r="J140" s="64">
        <f t="shared" si="11"/>
        <v>-0.21647780548097004</v>
      </c>
      <c r="K140" s="73" t="s">
        <v>2306</v>
      </c>
      <c r="L140" s="98" t="s">
        <v>2307</v>
      </c>
      <c r="M140" s="103" t="s">
        <v>2138</v>
      </c>
    </row>
    <row r="141" spans="1:15" ht="15.6">
      <c r="A141" s="26" t="str">
        <v>R003</v>
      </c>
      <c r="B141" s="27" t="str">
        <v>NY</v>
      </c>
      <c r="C141" s="27" t="str">
        <f>Sites[[#This Row],[SOL'#]]</f>
        <v>SOL-10416</v>
      </c>
      <c r="D141" s="66">
        <v>26215.769278606898</v>
      </c>
      <c r="E141" s="14">
        <v>25469.34</v>
      </c>
      <c r="F141" s="14">
        <f t="shared" si="8"/>
        <v>746.42927860689815</v>
      </c>
      <c r="G141" s="68">
        <f t="shared" si="9"/>
        <v>2.9306973742032505E-2</v>
      </c>
      <c r="H141" s="69">
        <v>23556</v>
      </c>
      <c r="I141" s="69">
        <f t="shared" si="10"/>
        <v>2659.7692786068983</v>
      </c>
      <c r="J141" s="68">
        <f t="shared" si="11"/>
        <v>0.11291260309929098</v>
      </c>
      <c r="K141" s="51" t="s">
        <v>2308</v>
      </c>
      <c r="L141" s="88"/>
    </row>
    <row r="142" spans="1:15" ht="51.75" customHeight="1">
      <c r="A142" s="24" t="str">
        <v>R007</v>
      </c>
      <c r="B142" s="25" t="str">
        <v>NY</v>
      </c>
      <c r="C142" s="25" t="str">
        <f>Sites[[#This Row],[SOL'#]]</f>
        <v>SOL-10417</v>
      </c>
      <c r="D142" s="54">
        <v>27178.71875</v>
      </c>
      <c r="E142" s="10">
        <v>29091.52</v>
      </c>
      <c r="F142" s="10">
        <f t="shared" si="8"/>
        <v>-1912.8012500000004</v>
      </c>
      <c r="G142" s="55">
        <f t="shared" si="9"/>
        <v>-6.5751162194343932E-2</v>
      </c>
      <c r="H142" s="67">
        <v>29298.79</v>
      </c>
      <c r="I142" s="67">
        <f t="shared" si="10"/>
        <v>-2120.0712500000009</v>
      </c>
      <c r="J142" s="64">
        <f t="shared" si="11"/>
        <v>-7.2360368807039499E-2</v>
      </c>
      <c r="K142" s="73" t="s">
        <v>2309</v>
      </c>
      <c r="L142" s="98" t="s">
        <v>2310</v>
      </c>
      <c r="M142" s="103" t="s">
        <v>2239</v>
      </c>
    </row>
    <row r="143" spans="1:15" ht="15.6">
      <c r="A143" s="26" t="str">
        <v>BK16</v>
      </c>
      <c r="B143" s="27" t="str">
        <v>NY</v>
      </c>
      <c r="C143" s="27" t="str">
        <f>Sites[[#This Row],[SOL'#]]</f>
        <v>SOL-11093</v>
      </c>
      <c r="D143" s="66">
        <v>26814.90625</v>
      </c>
      <c r="E143" s="14">
        <v>27664.22</v>
      </c>
      <c r="F143" s="14">
        <f t="shared" si="8"/>
        <v>-849.31375000000116</v>
      </c>
      <c r="G143" s="68">
        <f t="shared" si="9"/>
        <v>-3.0700802336013851E-2</v>
      </c>
      <c r="H143" s="69">
        <v>25000</v>
      </c>
      <c r="I143" s="69">
        <f t="shared" si="10"/>
        <v>1814.90625</v>
      </c>
      <c r="J143" s="68">
        <f t="shared" si="11"/>
        <v>7.2596250000000001E-2</v>
      </c>
      <c r="K143" s="51"/>
      <c r="L143" s="89"/>
    </row>
    <row r="144" spans="1:15" ht="57.6">
      <c r="A144" s="24" t="str">
        <v>Trenton - Trenton East</v>
      </c>
      <c r="B144" s="25" t="str">
        <v>IL</v>
      </c>
      <c r="C144" s="25" t="str">
        <f>Sites[[#This Row],[SOL'#]]</f>
        <v>SOL-11060</v>
      </c>
      <c r="D144" s="54">
        <v>362392</v>
      </c>
      <c r="E144" s="10">
        <v>347090.1</v>
      </c>
      <c r="F144" s="10">
        <f t="shared" si="8"/>
        <v>15301.900000000023</v>
      </c>
      <c r="G144" s="55">
        <f t="shared" si="9"/>
        <v>4.4086247346150249E-2</v>
      </c>
      <c r="H144" s="67">
        <v>334977</v>
      </c>
      <c r="I144" s="67">
        <f t="shared" si="10"/>
        <v>27415</v>
      </c>
      <c r="J144" s="64">
        <f t="shared" si="11"/>
        <v>8.1841439860050089E-2</v>
      </c>
      <c r="K144" s="73" t="s">
        <v>2311</v>
      </c>
      <c r="L144" s="98" t="s">
        <v>2312</v>
      </c>
      <c r="M144" s="65" t="s">
        <v>2313</v>
      </c>
      <c r="N144" s="102" t="s">
        <v>2314</v>
      </c>
      <c r="O144" s="102" t="s">
        <v>2315</v>
      </c>
    </row>
    <row r="145" spans="1:16" ht="84.75" customHeight="1">
      <c r="A145" s="26" t="str">
        <v>Trenton - Trenton West</v>
      </c>
      <c r="B145" s="27" t="str">
        <v>IL</v>
      </c>
      <c r="C145" s="27" t="str">
        <f>Sites[[#This Row],[SOL'#]]</f>
        <v>SOL-11061</v>
      </c>
      <c r="D145" s="66">
        <v>273805</v>
      </c>
      <c r="E145" s="14">
        <v>254733.5</v>
      </c>
      <c r="F145" s="14">
        <f t="shared" si="8"/>
        <v>19071.5</v>
      </c>
      <c r="G145" s="68">
        <f t="shared" si="9"/>
        <v>7.4868440939256126E-2</v>
      </c>
      <c r="H145" s="69">
        <v>339504</v>
      </c>
      <c r="I145" s="69">
        <f t="shared" si="10"/>
        <v>-65699</v>
      </c>
      <c r="J145" s="68">
        <f t="shared" si="11"/>
        <v>-0.1935146566756209</v>
      </c>
      <c r="K145" s="51" t="s">
        <v>2316</v>
      </c>
      <c r="L145" s="101" t="s">
        <v>2317</v>
      </c>
      <c r="M145" s="65" t="s">
        <v>2318</v>
      </c>
      <c r="N145" s="102" t="s">
        <v>2082</v>
      </c>
      <c r="O145" s="102" t="s">
        <v>2319</v>
      </c>
      <c r="P145" s="102" t="s">
        <v>2084</v>
      </c>
    </row>
    <row r="146" spans="1:16" ht="39.6">
      <c r="A146" s="24" t="str">
        <v>Dakota - Dakota Solar 1</v>
      </c>
      <c r="B146" s="25" t="str">
        <v>IL</v>
      </c>
      <c r="C146" s="25" t="str">
        <f>Sites[[#This Row],[SOL'#]]</f>
        <v>SOL-11113</v>
      </c>
      <c r="D146" s="54">
        <v>341684</v>
      </c>
      <c r="E146" s="10">
        <v>335706.8</v>
      </c>
      <c r="F146" s="10">
        <f t="shared" ref="F146:F171" si="12">IF(AND(ISNUMBER(D146),ISNUMBER(E146)), D146-E146, "")</f>
        <v>5977.2000000000116</v>
      </c>
      <c r="G146" s="55">
        <f t="shared" ref="G146:G171" si="13">IFERROR(F146/E146, "")</f>
        <v>1.7804822541575005E-2</v>
      </c>
      <c r="H146" s="67">
        <v>265320</v>
      </c>
      <c r="I146" s="67">
        <f t="shared" ref="I146:I171" si="14">IF(AND(ISNUMBER(D146),ISNUMBER(H146)), D146-H146, "")</f>
        <v>76364</v>
      </c>
      <c r="J146" s="64">
        <f t="shared" ref="J146:J171" si="15">IFERROR(I146/H146, "")</f>
        <v>0.2878184833408714</v>
      </c>
      <c r="K146" s="73" t="s">
        <v>2320</v>
      </c>
      <c r="L146" s="98" t="s">
        <v>2321</v>
      </c>
      <c r="M146" s="65" t="s">
        <v>2322</v>
      </c>
      <c r="N146" s="102" t="s">
        <v>2323</v>
      </c>
    </row>
    <row r="147" spans="1:16" ht="15.6">
      <c r="A147" s="26" t="str">
        <v>X018</v>
      </c>
      <c r="B147" s="27" t="str">
        <v>NY</v>
      </c>
      <c r="C147" s="27" t="str">
        <f>Sites[[#This Row],[SOL'#]]</f>
        <v>SOL-10418</v>
      </c>
      <c r="D147" s="66">
        <v>13335.1875</v>
      </c>
      <c r="E147" s="14">
        <v>13788.46</v>
      </c>
      <c r="F147" s="14">
        <f t="shared" si="12"/>
        <v>-453.27249999999913</v>
      </c>
      <c r="G147" s="68">
        <f t="shared" si="13"/>
        <v>-3.2873323054206136E-2</v>
      </c>
      <c r="H147" s="69">
        <v>13680</v>
      </c>
      <c r="I147" s="69">
        <f t="shared" si="14"/>
        <v>-344.8125</v>
      </c>
      <c r="J147" s="68">
        <f t="shared" si="15"/>
        <v>-2.5205592105263158E-2</v>
      </c>
      <c r="K147" s="51"/>
      <c r="L147" s="88"/>
    </row>
    <row r="148" spans="1:16" ht="43.15">
      <c r="A148" s="24" t="str">
        <v>Janiak Solar</v>
      </c>
      <c r="B148" s="25" t="str">
        <v>NY</v>
      </c>
      <c r="C148" s="25" t="str">
        <f>Sites[[#This Row],[SOL'#]]</f>
        <v>SOL-10898</v>
      </c>
      <c r="D148" s="54">
        <v>321409</v>
      </c>
      <c r="E148" s="10">
        <v>332661.2</v>
      </c>
      <c r="F148" s="10">
        <f t="shared" si="12"/>
        <v>-11252.200000000012</v>
      </c>
      <c r="G148" s="55">
        <f t="shared" si="13"/>
        <v>-3.3824804335462061E-2</v>
      </c>
      <c r="H148" s="67">
        <v>279683</v>
      </c>
      <c r="I148" s="67">
        <f t="shared" si="14"/>
        <v>41726</v>
      </c>
      <c r="J148" s="64">
        <f t="shared" si="15"/>
        <v>0.14919033334167611</v>
      </c>
      <c r="K148" s="73" t="s">
        <v>2324</v>
      </c>
      <c r="L148" s="98" t="s">
        <v>2325</v>
      </c>
      <c r="M148" s="65" t="s">
        <v>2294</v>
      </c>
    </row>
    <row r="149" spans="1:16" ht="28.9">
      <c r="A149" s="26" t="str">
        <v>County Route 11B</v>
      </c>
      <c r="B149" s="27" t="str">
        <v>NY</v>
      </c>
      <c r="C149" s="27" t="str">
        <f>Sites[[#This Row],[SOL'#]]</f>
        <v>SOL-10983</v>
      </c>
      <c r="D149" s="66">
        <v>776669.75</v>
      </c>
      <c r="E149" s="14">
        <v>772546.88</v>
      </c>
      <c r="F149" s="14">
        <f t="shared" si="12"/>
        <v>4122.8699999999953</v>
      </c>
      <c r="G149" s="68">
        <f t="shared" si="13"/>
        <v>5.3367246787664139E-3</v>
      </c>
      <c r="H149" s="166" t="s">
        <v>661</v>
      </c>
      <c r="I149" s="69" t="str">
        <f t="shared" si="14"/>
        <v/>
      </c>
      <c r="J149" s="68" t="str">
        <f t="shared" si="15"/>
        <v/>
      </c>
      <c r="K149" s="51" t="s">
        <v>2326</v>
      </c>
      <c r="L149" s="101" t="s">
        <v>2327</v>
      </c>
      <c r="M149" s="65" t="s">
        <v>2328</v>
      </c>
    </row>
    <row r="150" spans="1:16" ht="43.15">
      <c r="A150" s="24" t="str">
        <v>Barone</v>
      </c>
      <c r="B150" s="25" t="str">
        <v>NY</v>
      </c>
      <c r="C150" s="25" t="str">
        <f>Sites[[#This Row],[SOL'#]]</f>
        <v>SOL-11034</v>
      </c>
      <c r="D150" s="54">
        <v>447305</v>
      </c>
      <c r="E150" s="10">
        <v>443968</v>
      </c>
      <c r="F150" s="10">
        <f t="shared" si="12"/>
        <v>3337</v>
      </c>
      <c r="G150" s="55">
        <f t="shared" si="13"/>
        <v>7.5163074816202973E-3</v>
      </c>
      <c r="H150" s="67">
        <v>409940</v>
      </c>
      <c r="I150" s="67">
        <f t="shared" si="14"/>
        <v>37365</v>
      </c>
      <c r="J150" s="64">
        <f t="shared" si="15"/>
        <v>9.1147484997804562E-2</v>
      </c>
      <c r="K150" s="73" t="s">
        <v>2329</v>
      </c>
      <c r="L150" s="98" t="s">
        <v>2330</v>
      </c>
      <c r="M150" s="65" t="s">
        <v>2197</v>
      </c>
      <c r="N150" s="102" t="s">
        <v>2331</v>
      </c>
    </row>
    <row r="151" spans="1:16" ht="52.9">
      <c r="A151" s="26" t="str">
        <v>Cedarville</v>
      </c>
      <c r="B151" s="27" t="str">
        <v>IL</v>
      </c>
      <c r="C151" s="27" t="str">
        <f>Sites[[#This Row],[SOL'#]]</f>
        <v>SOL-11069</v>
      </c>
      <c r="D151" s="66">
        <v>287282</v>
      </c>
      <c r="E151" s="14">
        <v>286434.40000000002</v>
      </c>
      <c r="F151" s="14">
        <f t="shared" si="12"/>
        <v>847.59999999997672</v>
      </c>
      <c r="G151" s="68">
        <f t="shared" si="13"/>
        <v>2.9591417790599756E-3</v>
      </c>
      <c r="H151" s="69">
        <v>303211.8</v>
      </c>
      <c r="I151" s="69">
        <f t="shared" si="14"/>
        <v>-15929.799999999988</v>
      </c>
      <c r="J151" s="68">
        <f t="shared" si="15"/>
        <v>-5.2536873564946976E-2</v>
      </c>
      <c r="K151" s="51" t="s">
        <v>2332</v>
      </c>
      <c r="L151" s="101" t="s">
        <v>2333</v>
      </c>
      <c r="M151" s="65" t="s">
        <v>2334</v>
      </c>
      <c r="N151" s="102" t="s">
        <v>2335</v>
      </c>
    </row>
    <row r="152" spans="1:16" ht="28.9">
      <c r="A152" s="24" t="str">
        <v xml:space="preserve"> O'Brien Hill #1</v>
      </c>
      <c r="B152" s="25" t="str">
        <v>NY</v>
      </c>
      <c r="C152" s="25" t="str">
        <f>Sites[[#This Row],[SOL'#]]</f>
        <v>SOL-11098</v>
      </c>
      <c r="D152" s="54">
        <v>0</v>
      </c>
      <c r="E152" s="10">
        <v>0</v>
      </c>
      <c r="F152" s="10">
        <f t="shared" si="12"/>
        <v>0</v>
      </c>
      <c r="G152" s="55" t="str">
        <f t="shared" si="13"/>
        <v/>
      </c>
      <c r="H152" s="126" t="s">
        <v>661</v>
      </c>
      <c r="I152" s="67" t="str">
        <f t="shared" si="14"/>
        <v/>
      </c>
      <c r="J152" s="64" t="str">
        <f t="shared" si="15"/>
        <v/>
      </c>
      <c r="K152" s="73" t="s">
        <v>1390</v>
      </c>
      <c r="L152" s="98" t="s">
        <v>1391</v>
      </c>
      <c r="M152" s="65" t="s">
        <v>2328</v>
      </c>
      <c r="N152" s="102" t="s">
        <v>877</v>
      </c>
    </row>
    <row r="153" spans="1:16" ht="28.9">
      <c r="A153" s="26" t="str">
        <v xml:space="preserve"> O'Brien Hill #2</v>
      </c>
      <c r="B153" s="27" t="str">
        <v>NY</v>
      </c>
      <c r="C153" s="27" t="str">
        <f>Sites[[#This Row],[SOL'#]]</f>
        <v>SOL-11099</v>
      </c>
      <c r="D153" s="66">
        <v>675090</v>
      </c>
      <c r="E153" s="14">
        <v>674985</v>
      </c>
      <c r="F153" s="14">
        <f t="shared" si="12"/>
        <v>105</v>
      </c>
      <c r="G153" s="68">
        <f t="shared" si="13"/>
        <v>1.5555901242249827E-4</v>
      </c>
      <c r="H153" s="166" t="s">
        <v>661</v>
      </c>
      <c r="I153" s="69" t="str">
        <f t="shared" si="14"/>
        <v/>
      </c>
      <c r="J153" s="68" t="str">
        <f t="shared" si="15"/>
        <v/>
      </c>
      <c r="K153" s="186" t="s">
        <v>2336</v>
      </c>
      <c r="L153" s="102" t="s">
        <v>2337</v>
      </c>
      <c r="M153" s="103" t="s">
        <v>2119</v>
      </c>
    </row>
    <row r="154" spans="1:16" ht="86.45">
      <c r="A154" s="24" t="str">
        <v>Trinity - Freeport</v>
      </c>
      <c r="B154" s="25" t="str">
        <v>IL</v>
      </c>
      <c r="C154" s="25" t="str">
        <f>Sites[[#This Row],[SOL'#]]</f>
        <v>SOL-11057</v>
      </c>
      <c r="D154" s="54">
        <v>320506</v>
      </c>
      <c r="E154" s="10">
        <v>359435.7</v>
      </c>
      <c r="F154" s="10">
        <f t="shared" si="12"/>
        <v>-38929.700000000012</v>
      </c>
      <c r="G154" s="55">
        <f t="shared" si="13"/>
        <v>-0.10830782807606482</v>
      </c>
      <c r="H154" s="67">
        <v>296864</v>
      </c>
      <c r="I154" s="67">
        <f t="shared" si="14"/>
        <v>23642</v>
      </c>
      <c r="J154" s="64">
        <f t="shared" si="15"/>
        <v>7.9639161366821171E-2</v>
      </c>
      <c r="K154" s="73" t="s">
        <v>2338</v>
      </c>
      <c r="L154" s="98" t="s">
        <v>2094</v>
      </c>
      <c r="M154" s="65" t="s">
        <v>2339</v>
      </c>
      <c r="N154" s="102" t="s">
        <v>884</v>
      </c>
    </row>
    <row r="155" spans="1:16" ht="57.6">
      <c r="A155" s="26" t="str">
        <v>Ransom</v>
      </c>
      <c r="B155" s="27" t="str">
        <v>NY</v>
      </c>
      <c r="C155" s="27" t="str">
        <f>Sites[[#This Row],[SOL'#]]</f>
        <v>SOL-11157</v>
      </c>
      <c r="D155" s="66">
        <v>659665</v>
      </c>
      <c r="E155" s="14">
        <v>654273</v>
      </c>
      <c r="F155" s="14">
        <f t="shared" si="12"/>
        <v>5392</v>
      </c>
      <c r="G155" s="68">
        <f t="shared" si="13"/>
        <v>8.2412081806829875E-3</v>
      </c>
      <c r="H155" s="166" t="s">
        <v>661</v>
      </c>
      <c r="I155" s="69" t="str">
        <f t="shared" si="14"/>
        <v/>
      </c>
      <c r="J155" s="68" t="str">
        <f t="shared" si="15"/>
        <v/>
      </c>
      <c r="K155" s="51" t="s">
        <v>2340</v>
      </c>
      <c r="L155" s="101" t="s">
        <v>2341</v>
      </c>
      <c r="M155" s="65" t="s">
        <v>2219</v>
      </c>
      <c r="N155" s="102" t="s">
        <v>2342</v>
      </c>
      <c r="O155" s="102" t="s">
        <v>2343</v>
      </c>
    </row>
    <row r="156" spans="1:16" ht="43.15">
      <c r="A156" s="24" t="str">
        <v>Horseheads - Wedge</v>
      </c>
      <c r="B156" s="25" t="str">
        <v>NY</v>
      </c>
      <c r="C156" s="25" t="str">
        <f>Sites[[#This Row],[SOL'#]]</f>
        <v>SOL-11160</v>
      </c>
      <c r="D156" s="54">
        <v>412424</v>
      </c>
      <c r="E156" s="10">
        <v>405092</v>
      </c>
      <c r="F156" s="10">
        <f t="shared" si="12"/>
        <v>7332</v>
      </c>
      <c r="G156" s="55">
        <f t="shared" si="13"/>
        <v>1.8099592191403436E-2</v>
      </c>
      <c r="H156" s="126" t="s">
        <v>661</v>
      </c>
      <c r="I156" s="67" t="str">
        <f t="shared" si="14"/>
        <v/>
      </c>
      <c r="J156" s="64" t="str">
        <f t="shared" si="15"/>
        <v/>
      </c>
      <c r="K156" s="73" t="s">
        <v>2344</v>
      </c>
      <c r="L156" s="98" t="s">
        <v>2345</v>
      </c>
      <c r="M156" s="65" t="s">
        <v>2193</v>
      </c>
      <c r="N156" s="102" t="s">
        <v>2346</v>
      </c>
    </row>
    <row r="157" spans="1:16" ht="26.45">
      <c r="A157" s="26" t="str">
        <v>Otisville - Shoddy Hollow</v>
      </c>
      <c r="B157" s="27" t="str">
        <v>NY</v>
      </c>
      <c r="C157" s="27" t="str">
        <f>Sites[[#This Row],[SOL'#]]</f>
        <v>SOL-11185</v>
      </c>
      <c r="D157" s="66">
        <v>703087</v>
      </c>
      <c r="E157" s="14">
        <v>678670</v>
      </c>
      <c r="F157" s="14">
        <f t="shared" si="12"/>
        <v>24417</v>
      </c>
      <c r="G157" s="68">
        <f t="shared" si="13"/>
        <v>3.59777211310357E-2</v>
      </c>
      <c r="H157" s="166" t="s">
        <v>661</v>
      </c>
      <c r="I157" s="69" t="str">
        <f t="shared" si="14"/>
        <v/>
      </c>
      <c r="J157" s="68" t="str">
        <f t="shared" si="15"/>
        <v/>
      </c>
      <c r="K157" s="51" t="s">
        <v>2347</v>
      </c>
      <c r="L157" s="102" t="s">
        <v>2348</v>
      </c>
      <c r="M157" s="65" t="s">
        <v>2294</v>
      </c>
    </row>
    <row r="158" spans="1:16" ht="100.9">
      <c r="A158" s="24" t="str">
        <v>Wellsville - Chenunda Creek</v>
      </c>
      <c r="B158" s="25" t="str">
        <v>NY</v>
      </c>
      <c r="C158" s="25" t="str">
        <f>Sites[[#This Row],[SOL'#]]</f>
        <v>SOL-11187</v>
      </c>
      <c r="D158" s="54">
        <v>349774</v>
      </c>
      <c r="E158" s="10">
        <v>343685</v>
      </c>
      <c r="F158" s="10">
        <f t="shared" si="12"/>
        <v>6089</v>
      </c>
      <c r="G158" s="55">
        <f t="shared" si="13"/>
        <v>1.7716804632148624E-2</v>
      </c>
      <c r="H158" s="126" t="s">
        <v>661</v>
      </c>
      <c r="I158" s="67" t="str">
        <f t="shared" si="14"/>
        <v/>
      </c>
      <c r="J158" s="64" t="str">
        <f t="shared" si="15"/>
        <v/>
      </c>
      <c r="K158" s="73" t="s">
        <v>2349</v>
      </c>
      <c r="L158" s="98" t="s">
        <v>2350</v>
      </c>
      <c r="M158" s="65" t="s">
        <v>2351</v>
      </c>
      <c r="N158" s="102" t="s">
        <v>2352</v>
      </c>
      <c r="O158" s="102" t="s">
        <v>2353</v>
      </c>
      <c r="P158" s="102" t="s">
        <v>2354</v>
      </c>
    </row>
    <row r="159" spans="1:16" ht="28.9">
      <c r="A159" s="26" t="str">
        <v>DC: Washington - Essex Condominium</v>
      </c>
      <c r="B159" s="27" t="str">
        <v>DC</v>
      </c>
      <c r="C159" s="27" t="str">
        <f>Sites[[#This Row],[SOL'#]]</f>
        <v>SOL-10036</v>
      </c>
      <c r="D159" s="66">
        <v>2803</v>
      </c>
      <c r="E159" s="14">
        <v>3602.1909999999998</v>
      </c>
      <c r="F159" s="14">
        <f t="shared" si="12"/>
        <v>-799.1909999999998</v>
      </c>
      <c r="G159" s="68">
        <f t="shared" si="13"/>
        <v>-0.22186247203438125</v>
      </c>
      <c r="H159" s="69">
        <v>3707.346</v>
      </c>
      <c r="I159" s="69">
        <f t="shared" si="14"/>
        <v>-904.346</v>
      </c>
      <c r="J159" s="68">
        <f t="shared" si="15"/>
        <v>-0.24393353088705505</v>
      </c>
      <c r="K159" s="51" t="s">
        <v>2103</v>
      </c>
      <c r="L159" s="88"/>
    </row>
    <row r="160" spans="1:16" ht="28.9">
      <c r="A160" s="24" t="str">
        <v>HI: Waipahu - 94-246 Leoku St - E.F.G.</v>
      </c>
      <c r="B160" s="25" t="str">
        <v>HI</v>
      </c>
      <c r="C160" s="25" t="str">
        <f>Sites[[#This Row],[SOL'#]]</f>
        <v>SOL-10071</v>
      </c>
      <c r="D160" s="54">
        <v>4217</v>
      </c>
      <c r="E160" s="10">
        <v>10946.41</v>
      </c>
      <c r="F160" s="10">
        <f t="shared" si="12"/>
        <v>-6729.41</v>
      </c>
      <c r="G160" s="55">
        <f t="shared" si="13"/>
        <v>-0.61475954216953321</v>
      </c>
      <c r="H160" s="67">
        <v>11602.42</v>
      </c>
      <c r="I160" s="67">
        <f t="shared" si="14"/>
        <v>-7385.42</v>
      </c>
      <c r="J160" s="64">
        <f t="shared" si="15"/>
        <v>-0.63654134223722292</v>
      </c>
      <c r="K160" s="73" t="s">
        <v>2355</v>
      </c>
      <c r="L160" s="98" t="s">
        <v>2356</v>
      </c>
      <c r="M160" s="172" t="s">
        <v>2174</v>
      </c>
      <c r="N160" s="102" t="s">
        <v>2106</v>
      </c>
    </row>
    <row r="161" spans="1:19" ht="15.6">
      <c r="A161" s="26" t="str">
        <v>HI: Waipahu - 94-099 Waipahu St - PV</v>
      </c>
      <c r="B161" s="27" t="str">
        <v>HI</v>
      </c>
      <c r="C161" s="27" t="str">
        <f>Sites[[#This Row],[SOL'#]]</f>
        <v>SOL-10068</v>
      </c>
      <c r="D161" s="66">
        <v>12446</v>
      </c>
      <c r="E161" s="14">
        <v>9834.7049999999999</v>
      </c>
      <c r="F161" s="14">
        <f t="shared" si="12"/>
        <v>2611.2950000000001</v>
      </c>
      <c r="G161" s="68">
        <f t="shared" si="13"/>
        <v>0.26551838616409951</v>
      </c>
      <c r="H161" s="69">
        <v>11596.21</v>
      </c>
      <c r="I161" s="69">
        <f t="shared" si="14"/>
        <v>849.79000000000087</v>
      </c>
      <c r="J161" s="68">
        <f t="shared" si="15"/>
        <v>7.3281701521445447E-2</v>
      </c>
      <c r="K161" s="51"/>
      <c r="L161" s="88"/>
    </row>
    <row r="162" spans="1:19" ht="244.9">
      <c r="A162" s="24" t="str">
        <v>IL: Prophetstown - 5170 Yager Road (PW)</v>
      </c>
      <c r="B162" s="25" t="str">
        <v>IL</v>
      </c>
      <c r="C162" s="25" t="str">
        <f>Sites[[#This Row],[SOL'#]]</f>
        <v>SOL-11149</v>
      </c>
      <c r="D162" s="54">
        <v>302465</v>
      </c>
      <c r="E162" s="10">
        <v>363338.3</v>
      </c>
      <c r="F162" s="10">
        <f t="shared" si="12"/>
        <v>-60873.299999999988</v>
      </c>
      <c r="G162" s="55">
        <f t="shared" si="13"/>
        <v>-0.16753890244986558</v>
      </c>
      <c r="H162" s="67">
        <v>346777.8</v>
      </c>
      <c r="I162" s="67">
        <f t="shared" si="14"/>
        <v>-44312.799999999988</v>
      </c>
      <c r="J162" s="64">
        <f t="shared" si="15"/>
        <v>-0.12778441987924252</v>
      </c>
      <c r="K162" s="73" t="s">
        <v>2357</v>
      </c>
      <c r="L162" s="98" t="s">
        <v>2358</v>
      </c>
      <c r="M162" s="101" t="s">
        <v>2359</v>
      </c>
      <c r="N162" s="102" t="s">
        <v>2360</v>
      </c>
      <c r="O162" s="102" t="s">
        <v>2361</v>
      </c>
      <c r="P162" s="102" t="s">
        <v>2362</v>
      </c>
      <c r="Q162" s="102" t="s">
        <v>2363</v>
      </c>
      <c r="R162" s="102" t="s">
        <v>2364</v>
      </c>
      <c r="S162" s="102" t="s">
        <v>2365</v>
      </c>
    </row>
    <row r="163" spans="1:19" ht="72">
      <c r="A163" s="26" t="str">
        <v>IL: Viola - Goldenrod - (PW)</v>
      </c>
      <c r="B163" s="27" t="str">
        <v>IL</v>
      </c>
      <c r="C163" s="27" t="str">
        <f>Sites[[#This Row],[SOL'#]]</f>
        <v>SOL-11132</v>
      </c>
      <c r="D163" s="66">
        <v>637027.77650000004</v>
      </c>
      <c r="E163" s="14">
        <v>664991.4</v>
      </c>
      <c r="F163" s="14">
        <f t="shared" si="12"/>
        <v>-27963.623499999987</v>
      </c>
      <c r="G163" s="68">
        <f t="shared" si="13"/>
        <v>-4.205110547294294E-2</v>
      </c>
      <c r="H163" s="69">
        <v>803920</v>
      </c>
      <c r="I163" s="69">
        <f t="shared" si="14"/>
        <v>-166892.22349999996</v>
      </c>
      <c r="J163" s="68">
        <f t="shared" si="15"/>
        <v>-0.20759804893521738</v>
      </c>
      <c r="K163" s="51" t="s">
        <v>2366</v>
      </c>
      <c r="L163" s="102" t="s">
        <v>2367</v>
      </c>
      <c r="M163" s="103" t="s">
        <v>2128</v>
      </c>
    </row>
    <row r="164" spans="1:19" ht="57.6">
      <c r="A164" s="24" t="str">
        <v>IL: Marengo - Grant - (PW)</v>
      </c>
      <c r="B164" s="25" t="str">
        <v>IL</v>
      </c>
      <c r="C164" s="25" t="str">
        <f>Sites[[#This Row],[SOL'#]]</f>
        <v>SOL-11147</v>
      </c>
      <c r="D164" s="54">
        <v>357255</v>
      </c>
      <c r="E164" s="10">
        <v>0</v>
      </c>
      <c r="F164" s="10">
        <f t="shared" si="12"/>
        <v>357255</v>
      </c>
      <c r="G164" s="55" t="str">
        <f t="shared" si="13"/>
        <v/>
      </c>
      <c r="H164" s="67">
        <v>326891</v>
      </c>
      <c r="I164" s="67">
        <f t="shared" si="14"/>
        <v>30364</v>
      </c>
      <c r="J164" s="64">
        <f t="shared" si="15"/>
        <v>9.2887231523657729E-2</v>
      </c>
      <c r="K164" s="73" t="s">
        <v>2368</v>
      </c>
      <c r="L164" s="98" t="s">
        <v>2369</v>
      </c>
      <c r="M164" s="65" t="s">
        <v>2174</v>
      </c>
      <c r="N164" s="102" t="s">
        <v>2370</v>
      </c>
    </row>
    <row r="165" spans="1:19" ht="15.6">
      <c r="A165" s="26" t="str">
        <v>NY: Cambridge - Cambridge (PW)</v>
      </c>
      <c r="B165" s="27" t="str">
        <v>NY</v>
      </c>
      <c r="C165" s="27" t="str">
        <f>Sites[[#This Row],[SOL'#]]</f>
        <v>SOL-11126</v>
      </c>
      <c r="D165" s="66">
        <v>477254.77</v>
      </c>
      <c r="E165" s="14">
        <v>688404</v>
      </c>
      <c r="F165" s="14">
        <f t="shared" si="12"/>
        <v>-211149.22999999998</v>
      </c>
      <c r="G165" s="68">
        <f t="shared" si="13"/>
        <v>-0.30672284007646672</v>
      </c>
      <c r="H165" s="69">
        <v>612495</v>
      </c>
      <c r="I165" s="69">
        <f t="shared" si="14"/>
        <v>-135240.22999999998</v>
      </c>
      <c r="J165" s="68">
        <f t="shared" si="15"/>
        <v>-0.22080217797696305</v>
      </c>
      <c r="K165" s="51" t="s">
        <v>2371</v>
      </c>
      <c r="L165" s="102" t="s">
        <v>2372</v>
      </c>
      <c r="M165" s="103" t="s">
        <v>2128</v>
      </c>
    </row>
    <row r="166" spans="1:19" ht="43.15">
      <c r="A166" s="24" t="str">
        <v>NY: Whitesville - Independence North</v>
      </c>
      <c r="B166" s="25" t="str">
        <v>NY</v>
      </c>
      <c r="C166" s="25" t="str">
        <f>Sites[[#This Row],[SOL'#]]</f>
        <v>SOL-11186</v>
      </c>
      <c r="D166" s="54">
        <v>486766</v>
      </c>
      <c r="E166" s="10" t="s">
        <v>661</v>
      </c>
      <c r="F166" s="10" t="str">
        <f t="shared" si="12"/>
        <v/>
      </c>
      <c r="G166" s="55" t="str">
        <f t="shared" si="13"/>
        <v/>
      </c>
      <c r="H166" s="126" t="s">
        <v>661</v>
      </c>
      <c r="I166" s="67" t="str">
        <f t="shared" si="14"/>
        <v/>
      </c>
      <c r="J166" s="64" t="str">
        <f t="shared" si="15"/>
        <v/>
      </c>
      <c r="K166" s="73" t="s">
        <v>2373</v>
      </c>
      <c r="L166" s="98" t="s">
        <v>2374</v>
      </c>
      <c r="M166" s="65" t="s">
        <v>2219</v>
      </c>
      <c r="N166" s="102" t="s">
        <v>2375</v>
      </c>
      <c r="O166" s="102" t="s">
        <v>2376</v>
      </c>
      <c r="P166" s="102" t="s">
        <v>2377</v>
      </c>
    </row>
    <row r="167" spans="1:19" ht="15.6">
      <c r="A167" s="26" t="str">
        <v>IL: Beecher - Cottage Grove North (PW)</v>
      </c>
      <c r="B167" s="27" t="str">
        <v>IL</v>
      </c>
      <c r="C167" s="27" t="str">
        <f>Sites[[#This Row],[SOL'#]]</f>
        <v>SOL-11114</v>
      </c>
      <c r="D167" s="66">
        <v>356324</v>
      </c>
      <c r="E167" s="14">
        <v>371592.7</v>
      </c>
      <c r="F167" s="14">
        <f t="shared" si="12"/>
        <v>-15268.700000000012</v>
      </c>
      <c r="G167" s="68">
        <f t="shared" si="13"/>
        <v>-4.1089881475066682E-2</v>
      </c>
      <c r="H167" s="69">
        <v>346960</v>
      </c>
      <c r="I167" s="69">
        <f t="shared" si="14"/>
        <v>9364</v>
      </c>
      <c r="J167" s="68">
        <f t="shared" si="15"/>
        <v>2.6988701867650448E-2</v>
      </c>
      <c r="K167" s="51" t="s">
        <v>2378</v>
      </c>
      <c r="L167" s="102" t="s">
        <v>2379</v>
      </c>
      <c r="M167" s="65" t="s">
        <v>2116</v>
      </c>
    </row>
    <row r="168" spans="1:19" ht="15.6">
      <c r="A168" s="24" t="str">
        <v>IL: Beecher - Cottage Grove South (PW)</v>
      </c>
      <c r="B168" s="25" t="str">
        <v>IL</v>
      </c>
      <c r="C168" s="25" t="str">
        <f>Sites[[#This Row],[SOL'#]]</f>
        <v>SOL-11115</v>
      </c>
      <c r="D168" s="54">
        <v>354185</v>
      </c>
      <c r="E168" s="10">
        <v>443551.4</v>
      </c>
      <c r="F168" s="10">
        <f t="shared" si="12"/>
        <v>-89366.400000000023</v>
      </c>
      <c r="G168" s="55">
        <f t="shared" si="13"/>
        <v>-0.20147924231554679</v>
      </c>
      <c r="H168" s="67">
        <v>325794</v>
      </c>
      <c r="I168" s="67">
        <f t="shared" si="14"/>
        <v>28391</v>
      </c>
      <c r="J168" s="64">
        <f t="shared" si="15"/>
        <v>8.714402352406736E-2</v>
      </c>
      <c r="K168" s="73" t="s">
        <v>2380</v>
      </c>
      <c r="L168" s="100" t="s">
        <v>2381</v>
      </c>
      <c r="M168" s="103" t="s">
        <v>2116</v>
      </c>
    </row>
    <row r="169" spans="1:19" ht="15.6">
      <c r="A169" s="26" t="str">
        <v>IL: Harvard - 9618 US HWY 14 (PW)</v>
      </c>
      <c r="B169" s="27" t="str">
        <v>IL</v>
      </c>
      <c r="C169" s="27" t="str">
        <f>Sites[[#This Row],[SOL'#]]</f>
        <v>SOL-11110</v>
      </c>
      <c r="D169" s="66">
        <v>312636</v>
      </c>
      <c r="E169" s="14">
        <v>501258</v>
      </c>
      <c r="F169" s="14">
        <f t="shared" si="12"/>
        <v>-188622</v>
      </c>
      <c r="G169" s="68">
        <f t="shared" si="13"/>
        <v>-0.37629723615383692</v>
      </c>
      <c r="H169" s="69">
        <v>284225</v>
      </c>
      <c r="I169" s="69">
        <f t="shared" si="14"/>
        <v>28411</v>
      </c>
      <c r="J169" s="68">
        <f t="shared" si="15"/>
        <v>9.9959539097545957E-2</v>
      </c>
      <c r="K169" s="51" t="s">
        <v>2382</v>
      </c>
      <c r="L169" s="102" t="s">
        <v>2383</v>
      </c>
      <c r="M169" s="103" t="s">
        <v>2116</v>
      </c>
    </row>
    <row r="170" spans="1:19" ht="26.45">
      <c r="A170" s="24" t="str">
        <v>IL: Beecher - 701 E Goodenow Rd (PW)</v>
      </c>
      <c r="B170" s="25" t="str">
        <v>IL</v>
      </c>
      <c r="C170" s="25" t="str">
        <f>Sites[[#This Row],[SOL'#]]</f>
        <v>SOL-11112</v>
      </c>
      <c r="D170" s="54">
        <v>344052</v>
      </c>
      <c r="E170" s="10">
        <v>385536</v>
      </c>
      <c r="F170" s="10">
        <f t="shared" si="12"/>
        <v>-41484</v>
      </c>
      <c r="G170" s="55">
        <f t="shared" si="13"/>
        <v>-0.10760084661354581</v>
      </c>
      <c r="H170" s="67">
        <v>291184</v>
      </c>
      <c r="I170" s="67">
        <f t="shared" si="14"/>
        <v>52868</v>
      </c>
      <c r="J170" s="64">
        <f t="shared" si="15"/>
        <v>0.18156217374581021</v>
      </c>
      <c r="K170" s="73" t="s">
        <v>2384</v>
      </c>
      <c r="L170" s="100" t="s">
        <v>2385</v>
      </c>
      <c r="M170" s="103" t="s">
        <v>2128</v>
      </c>
      <c r="N170" s="102" t="s">
        <v>2386</v>
      </c>
      <c r="O170" s="102" t="s">
        <v>2387</v>
      </c>
    </row>
    <row r="171" spans="1:19" ht="15.6">
      <c r="A171" s="26" t="str">
        <v>NY: Stormville - Green Haven - (IRA)</v>
      </c>
      <c r="B171" s="27" t="str">
        <v>NY</v>
      </c>
      <c r="C171" s="27" t="str">
        <f>Sites[[#This Row],[SOL'#]]</f>
        <v>SOL-11151</v>
      </c>
      <c r="D171" s="66">
        <v>2002613</v>
      </c>
      <c r="E171" s="14" t="s">
        <v>661</v>
      </c>
      <c r="F171" s="14" t="str">
        <f t="shared" si="12"/>
        <v/>
      </c>
      <c r="G171" s="68" t="str">
        <f t="shared" si="13"/>
        <v/>
      </c>
      <c r="H171" s="166" t="s">
        <v>661</v>
      </c>
      <c r="I171" s="69" t="str">
        <f t="shared" si="14"/>
        <v/>
      </c>
      <c r="J171" s="68" t="str">
        <f t="shared" si="15"/>
        <v/>
      </c>
      <c r="K171" s="51"/>
      <c r="L171" s="88"/>
    </row>
    <row r="172" spans="1:19" ht="14.45">
      <c r="A172" s="17" t="str">
        <v>IL: Hillsboro - Anacott (PW)</v>
      </c>
      <c r="B172" s="29" t="str">
        <v>IL</v>
      </c>
      <c r="C172" s="29"/>
      <c r="D172" s="17"/>
      <c r="E172" s="17"/>
      <c r="F172" s="17"/>
      <c r="G172" s="18"/>
      <c r="H172" s="17"/>
      <c r="I172" s="17"/>
      <c r="J172" s="18"/>
      <c r="K172" s="17"/>
      <c r="L172" s="17"/>
    </row>
    <row r="173" spans="1:19">
      <c r="A173" t="str">
        <v>IL: Manhattan - Gougar (PW)</v>
      </c>
      <c r="B173" s="30" t="str">
        <v>IL</v>
      </c>
    </row>
  </sheetData>
  <mergeCells count="4">
    <mergeCell ref="H1:J1"/>
    <mergeCell ref="A1:D1"/>
    <mergeCell ref="E1:G1"/>
    <mergeCell ref="A2:B2"/>
  </mergeCells>
  <phoneticPr fontId="40" type="noConversion"/>
  <conditionalFormatting sqref="G2 J2">
    <cfRule type="cellIs" dxfId="14" priority="29" stopIfTrue="1" operator="lessThanOrEqual">
      <formula>-0.1</formula>
    </cfRule>
    <cfRule type="expression" dxfId="13" priority="30">
      <formula>AND(ISNUMBER(G2), G2&gt;=0.1)</formula>
    </cfRule>
  </conditionalFormatting>
  <conditionalFormatting sqref="G4:G171 J4:J171">
    <cfRule type="cellIs" dxfId="12" priority="1" stopIfTrue="1" operator="lessThanOrEqual">
      <formula>-0.1</formula>
    </cfRule>
    <cfRule type="expression" dxfId="11" priority="2">
      <formula>AND(ISNUMBER(G4), G4&gt;=0.1)</formula>
    </cfRule>
  </conditionalFormatting>
  <hyperlinks>
    <hyperlink ref="L4" r:id="rId1" display="https://us3.assetplanner.com/service_request?ID=107464" xr:uid="{5107A8F2-9BCB-445B-B49C-AAA801DC7D4B}"/>
    <hyperlink ref="L6" r:id="rId2" display="https://us3.assetplanner.com/service_request?ID=108295" xr:uid="{888A3E53-19F8-4381-91FE-1453019B19E4}"/>
    <hyperlink ref="L8" r:id="rId3" display="https://us3.assetplanner.com/service_request?ID=093291" xr:uid="{085F7B5A-3125-40BE-92CE-D949947E1575}"/>
    <hyperlink ref="L10" r:id="rId4" display="https://us3.assetplanner.com/service_request?ID=095666" xr:uid="{6A91AA25-AA02-4591-A51D-875B4035E0AA}"/>
    <hyperlink ref="L12" r:id="rId5" display="https://us3.assetplanner.com/service_request?ID=093633" xr:uid="{1AF9FE5D-FD1D-4243-A90D-DB19E496E2CE}"/>
    <hyperlink ref="N12" r:id="rId6" display="https://us3.assetplanner.com/service_request?ID=093292" xr:uid="{C0848255-00A0-4096-B409-2D455565F043}"/>
    <hyperlink ref="L14" r:id="rId7" display="https://us3.assetplanner.com/service_request?ID=104856" xr:uid="{8ED5F9E8-8B00-47BE-B0AB-6D2C06CF7676}"/>
    <hyperlink ref="N14" r:id="rId8" display="https://us3.assetplanner.com/service_request?ID=093924" xr:uid="{E382877D-2D1C-4464-914F-6D0347659348}"/>
    <hyperlink ref="O14" r:id="rId9" display="https://us3.assetplanner.com/service_request?ID=086842" xr:uid="{3546B2BC-4703-4E51-B543-00BA09895CF3}"/>
    <hyperlink ref="P14" r:id="rId10" display="https://us3.assetplanner.com/service_request?ID=103245" xr:uid="{59AA4D3B-7E45-4645-B5EC-A6B22ECF5FFC}"/>
    <hyperlink ref="L16" r:id="rId11" display="https://us3.assetplanner.com/service_request?ID=109161" xr:uid="{47F38B14-4AED-416D-9158-4C6F3DAABE53}"/>
    <hyperlink ref="L18" r:id="rId12" display="https://us3.assetplanner.com/service_request?ID=103259" xr:uid="{F9463632-41C2-47AB-950E-C009487C4D6F}"/>
    <hyperlink ref="L19" r:id="rId13" display="https://us3.assetplanner.com/service_request?ID=109623" xr:uid="{121E4E2B-DB8C-417F-A37F-EEDECF39048E}"/>
    <hyperlink ref="L20" r:id="rId14" display="https://us3.assetplanner.com/service_request?ID=110132" xr:uid="{11FD7811-F8EE-43E9-A93B-ECC3FEF50680}"/>
    <hyperlink ref="L23" r:id="rId15" display="https://us3.assetplanner.com/service_request?ID=102672" xr:uid="{CFDD2683-287E-43CF-9D23-154B347BDA77}"/>
    <hyperlink ref="L27" r:id="rId16" display="https://us3.assetplanner.com/service_request?ID=093236" xr:uid="{8694D4A7-6E05-44F0-B40C-0DEB63E97B32}"/>
    <hyperlink ref="L28" r:id="rId17" display="https://us3.assetplanner.com/service_request?ID=107741" xr:uid="{5E661112-D93E-48E5-8ADA-5BDD801EDF6E}"/>
    <hyperlink ref="L32" r:id="rId18" display="https://us3.assetplanner.com/service_request?ID=102529" xr:uid="{27191974-F37A-44A3-8ED6-541376DCCFF5}"/>
    <hyperlink ref="L33" r:id="rId19" display="https://us3.assetplanner.com/service_request?ID=110250" xr:uid="{876C9313-BABC-436C-8FC0-08C0B0DA123F}"/>
    <hyperlink ref="L34" r:id="rId20" display="https://us3.assetplanner.com/service_request?ID=088282" xr:uid="{FC4596E0-8F59-47E5-9E76-DD4CFA401A25}"/>
    <hyperlink ref="L36" r:id="rId21" display="https://us3.assetplanner.com/service_request?ID=108939" xr:uid="{3EA863B9-E9A0-4804-8F3A-704B2B86B1A0}"/>
    <hyperlink ref="L37" r:id="rId22" display="https://us3.assetplanner.com/service_request?ID=089666" xr:uid="{FA7A8315-B0E6-4131-96DE-9FF97035D859}"/>
    <hyperlink ref="L38" r:id="rId23" display="https://us3.assetplanner.com/service_request?ID=088813" xr:uid="{179EAAD0-FD51-4AE1-955D-1545412439A4}"/>
    <hyperlink ref="L39" r:id="rId24" display="https://us3.assetplanner.com/service_request?ID=105544" xr:uid="{28C12CB8-BE33-459C-A48E-380BFDB0CDE5}"/>
    <hyperlink ref="L40" r:id="rId25" display="https://us3.assetplanner.com/service_request?ID=107242" xr:uid="{093ADA11-41DC-49ED-8D58-EEB459FE0CCD}"/>
    <hyperlink ref="N40" r:id="rId26" display="https://us3.assetplanner.com/service_request?ID=093324" xr:uid="{ECC22D23-A73A-4A9D-A2BD-132492050D2F}"/>
    <hyperlink ref="L43" r:id="rId27" display="https://us3.assetplanner.com/service_request?ID=093326" xr:uid="{AF9588AF-D657-4095-A192-76D46CAA5B20}"/>
    <hyperlink ref="N43" r:id="rId28" display="https://us3.assetplanner.com/service_request?ID=107164" xr:uid="{2065462A-A023-4329-821F-1026321F6AAC}"/>
    <hyperlink ref="L44" r:id="rId29" display="https://us3.assetplanner.com/service_request?ID=093327" xr:uid="{7098BFCE-DE6A-4DDE-9F40-A6F7F4D95BD9}"/>
    <hyperlink ref="L47" r:id="rId30" display="https://us3.assetplanner.com/service_request?ID=109950" xr:uid="{780EBC12-D76C-420D-92A3-E9A34CAABC40}"/>
    <hyperlink ref="L48" r:id="rId31" display="https://us3.assetplanner.com/service_request?ID=110586" xr:uid="{318CAC4A-E988-49CF-9251-50BAF0D56990}"/>
    <hyperlink ref="L51" r:id="rId32" display="https://us3.assetplanner.com/service_request?ID=105932" xr:uid="{34B83545-EB45-4C1D-83A9-2DDE4772AACD}"/>
    <hyperlink ref="N51" r:id="rId33" display="https://us3.assetplanner.com/service_request?ID=098241" xr:uid="{E577F394-EA82-489E-8A22-B71152AACA70}"/>
    <hyperlink ref="O51" r:id="rId34" display="https://us3.assetplanner.com/service_request?ID=105932" xr:uid="{9D4F374D-A040-4A42-8F73-29D56AC0D869}"/>
    <hyperlink ref="L56" r:id="rId35" display="https://us3.assetplanner.com/service_request?ID=104403" xr:uid="{06CB6888-16E2-4D30-A67A-12607011BBC3}"/>
    <hyperlink ref="L58" r:id="rId36" display="https://us3.assetplanner.com/service_request?ID=109570" xr:uid="{83C06CBA-5922-4D6F-B414-1C071E842C00}"/>
    <hyperlink ref="N58" r:id="rId37" display="https://us3.assetplanner.com/service_request?ID=098641" xr:uid="{71A02CC7-4CD4-4495-9D61-A2B7A6BB7C48}"/>
    <hyperlink ref="L59" r:id="rId38" display="https://us3.assetplanner.com/service_request?ID=106726" xr:uid="{0CE0283B-4F91-4E5F-91EF-6B72FCF705CE}"/>
    <hyperlink ref="L60" r:id="rId39" display="https://us3.assetplanner.com/service_request?ID=107702" xr:uid="{BD35B661-5266-4B91-B344-5F21F42598F3}"/>
    <hyperlink ref="N60" r:id="rId40" display="https://us3.assetplanner.com/service_request?ID=108697" xr:uid="{2A1B1C65-3545-46AF-8AFA-E4CFEE72CF5A}"/>
    <hyperlink ref="L61" r:id="rId41" display="https://us3.assetplanner.com/service_request?ID=107603" xr:uid="{6E77ED1D-C1A5-4520-A2C2-6B4A9C9DBE69}"/>
    <hyperlink ref="N61" r:id="rId42" display="https://us3.assetplanner.com/service_request?ID=108823" xr:uid="{E3FB1B97-0115-443F-9903-59943145EF7F}"/>
    <hyperlink ref="O61" r:id="rId43" display="https://us3.assetplanner.com/service_request?ID=109086" xr:uid="{B9513F37-B76B-460D-88E0-C6B3E55532A4}"/>
    <hyperlink ref="P61" r:id="rId44" display="https://us3.assetplanner.com/service_request?ID=109267" xr:uid="{3C8B4D3D-A63C-4089-BCD3-EF1AD02D84DF}"/>
    <hyperlink ref="Q61" r:id="rId45" display="https://us3.assetplanner.com/service_request?ID=109625" xr:uid="{E27E67FB-844B-4243-BA74-270AAF6E44BC}"/>
    <hyperlink ref="L63" r:id="rId46" display="https://us3.assetplanner.com/service_request?ID=099403" xr:uid="{32A4AE96-2A97-4A94-A5D1-F530B09A8AE3}"/>
    <hyperlink ref="L66" r:id="rId47" display="https://us3.assetplanner.com/service_request?ID=105816" xr:uid="{B4096BC6-EAF7-4AC5-97EC-2A6D8679A48B}"/>
    <hyperlink ref="N66" r:id="rId48" display="https://us3.assetplanner.com/service_request?ID=093024" xr:uid="{860F9E46-C498-4382-8537-6B5A00351860}"/>
    <hyperlink ref="L67" r:id="rId49" display="https://us3.assetplanner.com/service_request?ID=108045" xr:uid="{231C419E-981F-4ED9-918D-D8794C674352}"/>
    <hyperlink ref="N67" r:id="rId50" display="https://us3.assetplanner.com/service_request?ID=109320" xr:uid="{652477DE-A60E-4714-8D55-2A0EE90BBFA2}"/>
    <hyperlink ref="O67" r:id="rId51" display="https://us3.assetplanner.com/service_request?ID=109505" xr:uid="{7E7840E1-A1BC-4D5E-9C29-82D6CE7352B0}"/>
    <hyperlink ref="P67" r:id="rId52" display="https://us3.assetplanner.com/service_request?ID=109505" xr:uid="{228C3623-0D38-4C90-AED3-E8162E988D21}"/>
    <hyperlink ref="Q67" r:id="rId53" display="https://us3.assetplanner.com/service_request?ID=109987" xr:uid="{6366477B-A842-4A3E-A24E-B285992C9D46}"/>
    <hyperlink ref="L69" r:id="rId54" display="https://us3.assetplanner.com/service_request?ID=109668" xr:uid="{6D0F6898-8FBE-400D-97A2-5FE2D1B4D688}"/>
    <hyperlink ref="L70" r:id="rId55" display="https://us3.assetplanner.com/service_request?ID=108636" xr:uid="{23700ED6-BCAA-4CC7-86C7-DDBEB464BA82}"/>
    <hyperlink ref="N70" r:id="rId56" display="https://us3.assetplanner.com/service_request?ID=107181" xr:uid="{7D69D94A-3063-4A57-AD1B-E7C010EEA49A}"/>
    <hyperlink ref="L71" r:id="rId57" display="https://us3.assetplanner.com/service_request?ID=109840" xr:uid="{A87B5B6E-ABBF-4CAD-884B-8874D32EEB0B}"/>
    <hyperlink ref="N71" r:id="rId58" display="https://us3.assetplanner.com/service_request?ID=107506" xr:uid="{DFB698B8-A226-42AA-8B73-CD08591A15FA}"/>
    <hyperlink ref="L73" r:id="rId59" display="https://us3.assetplanner.com/service_request?ID=106503" xr:uid="{164AC0C0-76AE-47EE-9C93-1DC001DE4D8B}"/>
    <hyperlink ref="N73" r:id="rId60" display="https://us3.assetplanner.com/service_request?ID=105774" xr:uid="{90420A8D-BAC1-41E4-8E35-AD0AC6475FA2}"/>
    <hyperlink ref="O73" r:id="rId61" display="https://us3.assetplanner.com/service_request?ID=109185" xr:uid="{30B9CF0C-23BB-4824-A08D-5BE600BA2D5E}"/>
    <hyperlink ref="P73" r:id="rId62" display="https://us3.assetplanner.com/service_request?ID=109523" xr:uid="{30CC185B-960F-4285-A93C-3E8FACFA4438}"/>
    <hyperlink ref="L74" r:id="rId63" display="https://us3.assetplanner.com/service_request?ID=108010" xr:uid="{211685D3-21F0-4F6D-80A6-D256B081B248}"/>
    <hyperlink ref="N74" r:id="rId64" display="https://us3.assetplanner.com/service_request?ID=107331" xr:uid="{E54C38E9-A0E6-4F7D-961B-463965CC7BBA}"/>
    <hyperlink ref="O74" r:id="rId65" display="https://us3.assetplanner.com/service_request?ID=108847" xr:uid="{43CA09DD-490A-444D-A2AC-0AE4840F3D95}"/>
    <hyperlink ref="P74" r:id="rId66" display="https://us3.assetplanner.com/service_request?ID=110116" xr:uid="{17EE930D-2E84-4891-BD49-1BC7FA3960CF}"/>
    <hyperlink ref="Q74" r:id="rId67" display="https://us3.assetplanner.com/service_request?ID=108922" xr:uid="{B8AAB3FC-4B44-475D-A8FE-09B77C0575A3}"/>
    <hyperlink ref="R74" r:id="rId68" display="https://us3.assetplanner.com/service_request?ID=109568" xr:uid="{EA2258F5-A1F0-4D5F-890E-03D52EA8ABEE}"/>
    <hyperlink ref="S74" r:id="rId69" display="https://us3.assetplanner.com/service_request?ID=109669" xr:uid="{F2DE2546-2A89-4DDE-B3EC-A0177980B137}"/>
    <hyperlink ref="M74" r:id="rId70" display="https://us3.assetplanner.com/service_request?ID=109669" xr:uid="{A95C6380-F143-405C-9BE6-EAD218060958}"/>
    <hyperlink ref="L75" r:id="rId71" display="https://us3.assetplanner.com/service_request?ID=108338" xr:uid="{3F495A07-83E1-4286-B903-E165D5C80FCF}"/>
    <hyperlink ref="N75" r:id="rId72" display="https://us3.assetplanner.com/service_request?ID=107449" xr:uid="{1376F427-1091-44A4-B0ED-5238009CA953}"/>
    <hyperlink ref="L77" r:id="rId73" display="https://us3.assetplanner.com/service_request?ID=101820" xr:uid="{F7057C2A-903A-401A-9ED2-26F7FCDCD801}"/>
    <hyperlink ref="L79" r:id="rId74" display="https://us3.assetplanner.com/service_request?ID=105775" xr:uid="{4D941480-5D8C-4E27-A468-6B7EF43EA72B}"/>
    <hyperlink ref="N79" r:id="rId75" display="https://us3.assetplanner.com/service_request?ID=109680" xr:uid="{66F96C4E-F98C-4821-8B95-A105CEC81B42}"/>
    <hyperlink ref="L81" r:id="rId76" display="https://us3.assetplanner.com/service_request?ID=105649" xr:uid="{4CDF2AA5-D9E9-42B0-8A6F-C082BB91752E}"/>
    <hyperlink ref="L82" r:id="rId77" display="https://us3.assetplanner.com/service_request?ID=109223" xr:uid="{D4FC993B-A32E-42D4-99FF-679E23306E43}"/>
    <hyperlink ref="N82" r:id="rId78" display="https://us3.assetplanner.com/service_request?ID=109728" xr:uid="{1E0C2E9E-DCC1-4144-BDC8-660E7C90F6BF}"/>
    <hyperlink ref="O82" r:id="rId79" display="https://us3.assetplanner.com/service_request?ID=109937" xr:uid="{910D7D49-DEDA-499C-9D62-1A0B49BA32C5}"/>
    <hyperlink ref="L83" r:id="rId80" display="https://us3.assetplanner.com/service_request?ID=109224" xr:uid="{AE675459-153A-4AB4-85D4-939DDF515ED3}"/>
    <hyperlink ref="N83" r:id="rId81" display="https://us3.assetplanner.com/service_request?ID=109343" xr:uid="{9E5B0C9A-C8A6-4B1E-9BB4-C048FE44A769}"/>
    <hyperlink ref="O83" r:id="rId82" display="https://us3.assetplanner.com/service_request?ID=109343" xr:uid="{84BD7B3A-13F7-4C18-A0F6-96DC279535BF}"/>
    <hyperlink ref="P83" r:id="rId83" display="https://us3.assetplanner.com/service_request?ID=109729" xr:uid="{8EA26A4C-2189-473F-91E3-D939AB5639EC}"/>
    <hyperlink ref="Q83" r:id="rId84" display="https://us3.assetplanner.com/service_request?ID=109938" xr:uid="{10A5D0BD-1FCC-41E8-BA44-0E95D10577C8}"/>
    <hyperlink ref="L85" r:id="rId85" display="https://us3.assetplanner.com/service_request?ID=107585" xr:uid="{A83A8BED-415C-4747-8199-E568C8F5B1DB}"/>
    <hyperlink ref="L86" r:id="rId86" display="https://us3.assetplanner.com/service_request?ID=108023" xr:uid="{618D4341-0D79-4D2B-98B6-9C5AE7799E83}"/>
    <hyperlink ref="N86" r:id="rId87" display="https://us3.assetplanner.com/service_request?ID=109726" xr:uid="{180299AA-6000-42B7-9CBA-6A58588F83E0}"/>
    <hyperlink ref="O86" r:id="rId88" display="https://us3.assetplanner.com/service_request?ID=109939" xr:uid="{9A9EBBF5-5FBB-4724-BABF-2D0F4B9B4778}"/>
    <hyperlink ref="L87" r:id="rId89" display="https://us3.assetplanner.com/service_request?ID=109225" xr:uid="{9E6820C2-012B-41FD-A9AF-AFA0BE809679}"/>
    <hyperlink ref="N87" r:id="rId90" display="https://us3.assetplanner.com/service_request?ID=109727" xr:uid="{60221430-EF11-4267-BE4E-F27CCD09782B}"/>
    <hyperlink ref="O87" r:id="rId91" display="https://us3.assetplanner.com/service_request?ID=109940" xr:uid="{940CF13D-27BF-4FB1-B4A6-4F747E4964D8}"/>
    <hyperlink ref="L88" r:id="rId92" display="https://us3.assetplanner.com/service_request?ID=107665" xr:uid="{7470F0AD-0FA8-44B5-8F2E-658EADEA0D45}"/>
    <hyperlink ref="L89" r:id="rId93" display="https://us3.assetplanner.com/service_request?ID=107450" xr:uid="{E2B89DE9-805D-4A53-A33F-FA89C9D9BC5F}"/>
    <hyperlink ref="N89" r:id="rId94" display="https://us3.assetplanner.com/service_request?ID=107667" xr:uid="{33A4E916-0DB1-4E82-80DC-667490DADD69}"/>
    <hyperlink ref="L90" r:id="rId95" display="https://us3.assetplanner.com/service_request?ID=107666" xr:uid="{54452E4B-D759-46A7-8CA6-BFF44E4AB8D2}"/>
    <hyperlink ref="L91" r:id="rId96" display="https://us3.assetplanner.com/service_request?ID=106739" xr:uid="{160D311A-C4D4-43AE-939E-B0630E58BAA2}"/>
    <hyperlink ref="N91" r:id="rId97" display="https://us3.assetplanner.com/service_request?ID=109707" xr:uid="{5F420C6B-188E-4DB6-8BDE-75F67EFD901F}"/>
    <hyperlink ref="L92" r:id="rId98" display="https://us3.assetplanner.com/service_request?ID=109604" xr:uid="{8BA2C249-4607-49FA-B99F-EA9E6733909F}"/>
    <hyperlink ref="L97" r:id="rId99" display="https://us3.assetplanner.com/service_request?ID=109988" xr:uid="{9C88B656-B814-40F3-A132-FCE6552204CB}"/>
    <hyperlink ref="L99" r:id="rId100" display="https://us3.assetplanner.com/service_request?ID=107781" xr:uid="{33CC49E9-33B3-4104-82F2-E43AE6EBDC7A}"/>
    <hyperlink ref="N99" r:id="rId101" display="https://us3.assetplanner.com/service_request?ID=108776" xr:uid="{12A7699D-3FB1-456C-A59F-846C13E070FA}"/>
    <hyperlink ref="L101" r:id="rId102" display="https://us3.assetplanner.com/service_request?ID=102328" xr:uid="{48BEAFB2-8F53-41AE-A2F6-17C818E81F43}"/>
    <hyperlink ref="L103" r:id="rId103" display="https://us3.assetplanner.com/service_request?ID=108983" xr:uid="{A7681224-9C7A-42E0-A70D-D003B8246CDE}"/>
    <hyperlink ref="N103" r:id="rId104" display="https://us3.assetplanner.com/service_request?ID=109461" xr:uid="{CCCE8AF7-7D16-4CF1-B458-A56A3CF72E4F}"/>
    <hyperlink ref="L104" r:id="rId105" display="https://us3.assetplanner.com/service_request?ID=108827" xr:uid="{1E0802F9-FBDA-42AE-A0A4-37717C9CBAEC}"/>
    <hyperlink ref="L105" r:id="rId106" display="https://us3.assetplanner.com/service_request?ID=109390" xr:uid="{673317A9-2D2A-4BFC-9A57-5DF197A2ABAC}"/>
    <hyperlink ref="L107" r:id="rId107" display="https://us3.assetplanner.com/service_request?ID=108808" xr:uid="{5107D244-FBDA-42DE-B59F-5286761A8D4D}"/>
    <hyperlink ref="N107" r:id="rId108" display="https://us3.assetplanner.com/service_request?ID=106270" xr:uid="{5D86619C-A306-4578-885A-BDFAF4F28D7D}"/>
    <hyperlink ref="O107" r:id="rId109" display="https://us3.assetplanner.com/service_request?ID=109462" xr:uid="{10C9F4F1-6205-4798-9304-11643A5E82D3}"/>
    <hyperlink ref="P107" r:id="rId110" display="https://us3.assetplanner.com/service_request?ID=109620" xr:uid="{83C83612-AF17-4452-A441-7C2CF2B87F2E}"/>
    <hyperlink ref="L108" r:id="rId111" display="https://us3.assetplanner.com/service_request?ID=108248" xr:uid="{B78BABEC-1F8F-4C5E-B81A-88F2D3DB61E6}"/>
    <hyperlink ref="N108" r:id="rId112" display="https://us3.assetplanner.com/service_request?ID=106176" xr:uid="{1DA49ABD-A002-441B-85A7-6563CF7003F5}"/>
    <hyperlink ref="O108" r:id="rId113" display="https://us3.assetplanner.com/service_request?ID=109493" xr:uid="{9609A165-659D-441F-A8CF-8D23CD88035C}"/>
    <hyperlink ref="P108" r:id="rId114" display="https://us3.assetplanner.com/service_request?ID=108120" xr:uid="{6D976117-C087-40F3-B72A-5AC9F7E87D7D}"/>
    <hyperlink ref="L110" r:id="rId115" display="https://us3.assetplanner.com/service_request?ID=106921" xr:uid="{843297BE-1F83-4549-831B-E2A06AB1CA10}"/>
    <hyperlink ref="L111" r:id="rId116" display="https://us3.assetplanner.com/service_request?ID=109619" xr:uid="{6784AD67-9E08-4FB1-8D7E-C68ABACCF672}"/>
    <hyperlink ref="L112" r:id="rId117" display="https://us3.assetplanner.com/service_request?ID=109675" xr:uid="{54BB72C3-D522-4099-BA85-74BE2DA2C556}"/>
    <hyperlink ref="L113" r:id="rId118" display="https://us3.assetplanner.com/service_request?ID=109676" xr:uid="{ECC09AD4-93A6-4C9A-8633-1FFB7000DA93}"/>
    <hyperlink ref="N113" r:id="rId119" display="https://us3.assetplanner.com/service_request?ID=098860" xr:uid="{C466FC88-3C67-40C6-823D-04D56A217B18}"/>
    <hyperlink ref="L114" r:id="rId120" display="https://us3.assetplanner.com/service_request?ID=106501" xr:uid="{2A4702A4-279E-4289-80AB-43D8C2545627}"/>
    <hyperlink ref="N114" r:id="rId121" display="https://us3.assetplanner.com/service_request?ID=109998" xr:uid="{B6A5FD62-9F4D-45B3-BA4C-BF6EA7765C44}"/>
    <hyperlink ref="L115" r:id="rId122" display="https://us3.assetplanner.com/service_request?ID=109080" xr:uid="{5B8F5496-80F6-4E9B-829C-DC0F1A33190B}"/>
    <hyperlink ref="N115" r:id="rId123" display="https://us3.assetplanner.com/service_request?ID=109079" xr:uid="{2B7A5B32-7CB4-4E9F-BC22-C0B6D9EADBBF}"/>
    <hyperlink ref="L116" r:id="rId124" display="https://us3.assetplanner.com/service_request?ID=109187" xr:uid="{C9EFF64D-E6F0-4AC9-97B3-32B310E266D3}"/>
    <hyperlink ref="N116" r:id="rId125" display="https://us3.assetplanner.com/service_request?ID=109632" xr:uid="{EF8ADCC0-F14F-4E25-9338-DA65B14F5AD7}"/>
    <hyperlink ref="O116" r:id="rId126" display="https://us3.assetplanner.com/service_request?ID=110017" xr:uid="{F3FE1A8A-64B2-4B76-92BD-2BF226F02062}"/>
    <hyperlink ref="L117" r:id="rId127" display="https://us3.assetplanner.com/service_request?ID=109990" xr:uid="{04F8B5E8-6061-401A-9F0F-3352F2C473BB}"/>
    <hyperlink ref="L121" r:id="rId128" display="https://us3.assetplanner.com/service_request?ID=109794" xr:uid="{301E3EBB-D4DA-4103-B0B0-A70E76BE8749}"/>
    <hyperlink ref="L124" r:id="rId129" display="https://us3.assetplanner.com/service_request?ID=095946" xr:uid="{DA7AC793-74D6-4CEF-933F-11EE07B3BBD0}"/>
    <hyperlink ref="L133" r:id="rId130" display="https://us3.assetplanner.com/service_request?ID=110156" xr:uid="{570DC6F4-8673-45B6-909F-91E882884401}"/>
    <hyperlink ref="N133" r:id="rId131" display="https://us3.assetplanner.com/service_request?ID=110155" xr:uid="{99A81744-D96F-4E62-AEAF-C76C27246555}"/>
    <hyperlink ref="L140" r:id="rId132" display="https://us3.assetplanner.com/service_request?ID=107411" xr:uid="{CB0A3E50-872A-4BE3-B240-D2EFC1284E0F}"/>
    <hyperlink ref="L142" r:id="rId133" display="https://us3.assetplanner.com/service_request?ID=109644" xr:uid="{083555E0-284C-4AF2-9B82-A5D5215807D2}"/>
    <hyperlink ref="L144" r:id="rId134" display="https://us3.assetplanner.com/service_request?ID=108394" xr:uid="{CAE892DD-37A1-4548-B401-906929017EDC}"/>
    <hyperlink ref="N144" r:id="rId135" display="https://us3.assetplanner.com/service_request?ID=109330" xr:uid="{498FBD51-C5EF-44E5-B454-2FB165DC855B}"/>
    <hyperlink ref="O144" r:id="rId136" display="https://us3.assetplanner.com/service_request?ID=109858" xr:uid="{5882E852-A367-4FCC-A282-644CA40305D9}"/>
    <hyperlink ref="L145" r:id="rId137" display="https://us3.assetplanner.com/service_request?ID=108936" xr:uid="{30C56C8C-E941-4BAE-B83D-372C1591D19A}"/>
    <hyperlink ref="N145" r:id="rId138" display="https://us3.assetplanner.com/service_request?ID=108396" xr:uid="{BDAD82A6-9B3A-4391-8485-2D7D02A37F91}"/>
    <hyperlink ref="O145" r:id="rId139" display="https://us3.assetplanner.com/service_request?ID=108982" xr:uid="{050E1F51-19DF-4B4F-BFD6-7725FAAA818B}"/>
    <hyperlink ref="P145" r:id="rId140" display="https://us3.assetplanner.com/service_request?ID=107059" xr:uid="{67C5C7EE-C310-489B-9E6D-637C9600261F}"/>
    <hyperlink ref="L146" r:id="rId141" display="https://us3.assetplanner.com/service_request?ID=108972" xr:uid="{E109183B-6B60-45F2-AC75-259E8C63473F}"/>
    <hyperlink ref="N146" r:id="rId142" display="https://us3.assetplanner.com/service_request?ID=105922" xr:uid="{FE39464A-C78F-4377-9F2B-86B6F39DB7FF}"/>
    <hyperlink ref="L148" r:id="rId143" display="https://us3.assetplanner.com/service_request?ID=109734" xr:uid="{382A0191-1CC3-4350-B73F-3F755149E16B}"/>
    <hyperlink ref="L149" r:id="rId144" display="https://us3.assetplanner.com/service_request?ID=109715" xr:uid="{9321373C-6586-4EE0-9250-DE26FE6A6E96}"/>
    <hyperlink ref="L150" r:id="rId145" display="https://us3.assetplanner.com/service_request?ID=109096" xr:uid="{B68ACC60-577B-44E9-A2C8-263219547834}"/>
    <hyperlink ref="N150" r:id="rId146" display="https://us3.assetplanner.com/service_request?ID=109144" xr:uid="{C3537DFD-3757-4FD8-8B2D-AAAC45530483}"/>
    <hyperlink ref="L151" r:id="rId147" display="https://us3.assetplanner.com/service_request?ID=109450" xr:uid="{A8F3FA4E-4FBE-4F9B-8374-670653E1255A}"/>
    <hyperlink ref="N151" r:id="rId148" display="https://us3.assetplanner.com/service_request?ID=109452" xr:uid="{8B67BD0F-FF74-4B5D-B9C8-33725627B86A}"/>
    <hyperlink ref="L152" r:id="rId149" display="https://us3.assetplanner.com/service_request?ID=098278" xr:uid="{24579231-87C0-4D46-80CE-CCDB13D0C3DF}"/>
    <hyperlink ref="N152" r:id="rId150" display="https://us3.assetplanner.com/service_request?ID=098670" xr:uid="{A751DE07-5ED9-4A3F-ACAB-791C3A5CC612}"/>
    <hyperlink ref="L153" r:id="rId151" display="https://us3.assetplanner.com/service_request?ID=110025" xr:uid="{CD09E454-FEBC-4D5E-B112-6B1902705334}"/>
    <hyperlink ref="L154" r:id="rId152" display="https://us3.assetplanner.com/service_request?ID=098066" xr:uid="{F2A453BA-37A5-47D7-AE15-714016157121}"/>
    <hyperlink ref="N154" r:id="rId153" display="https://us3.assetplanner.com/service_request?ID=099545" xr:uid="{84E4D0EA-A881-4E83-BB0D-C766B5BB5690}"/>
    <hyperlink ref="L155" r:id="rId154" display="https://us3.assetplanner.com/service_request?ID=109097" xr:uid="{BBD5B81E-101D-40F9-AF0E-52CFFF8DE8D3}"/>
    <hyperlink ref="N155" r:id="rId155" display="https://us3.assetplanner.com/service_request?ID=109353" xr:uid="{8238880C-0B3C-4708-8EB7-734A9B1ED1BB}"/>
    <hyperlink ref="O155" r:id="rId156" display="https://us3.assetplanner.com/service_request?ID=109692" xr:uid="{FA4871EC-3547-4735-8DF6-7C47D4705377}"/>
    <hyperlink ref="L156" r:id="rId157" display="https://us3.assetplanner.com/service_request?ID=105284" xr:uid="{C7AD75DF-63DF-4D1C-9944-935DE13D40B6}"/>
    <hyperlink ref="N156" r:id="rId158" display="https://us3.assetplanner.com/service_request?ID=109592" xr:uid="{A83114DD-635C-4FD1-9596-DF5EDB81C612}"/>
    <hyperlink ref="L157" r:id="rId159" display="https://us3.assetplanner.com/service_request?ID=109335" xr:uid="{0BA4F1A0-66D2-457B-B504-0D8907DC0E4B}"/>
    <hyperlink ref="L158" r:id="rId160" display="https://us3.assetplanner.com/service_request?ID=108961" xr:uid="{004B1A5A-CCCD-4DA4-8791-37437297970A}"/>
    <hyperlink ref="N158" r:id="rId161" display="https://us3.assetplanner.com/service_request?ID=109101" xr:uid="{2AB9F7EE-329A-47E9-9496-0434BE6BF5F2}"/>
    <hyperlink ref="O158" r:id="rId162" display="https://us3.assetplanner.com/service_request?ID=109195" xr:uid="{9B51AE55-C8D3-4D22-902A-74A025520646}"/>
    <hyperlink ref="P158" r:id="rId163" display="https://us3.assetplanner.com/service_request?ID=109326" xr:uid="{A902242D-3BF1-4B79-B381-1F4484B88D70}"/>
    <hyperlink ref="L160" r:id="rId164" display="https://us3.assetplanner.com/service_request?ID=109524" xr:uid="{34C8EB1F-AAE0-4818-825F-EC434E3767FF}"/>
    <hyperlink ref="N160" r:id="rId165" display="https://us3.assetplanner.com/service_request?ID=100771" xr:uid="{D22A8328-B3FF-42F5-8BDF-52D148304811}"/>
    <hyperlink ref="L162" r:id="rId166" display="https://us3.assetplanner.com/service_request?ID=108678" xr:uid="{0DA8854B-C5A0-4A1C-B531-C1E688163DCA}"/>
    <hyperlink ref="N162" r:id="rId167" display="https://us3.assetplanner.com/service_request?ID=108984" xr:uid="{B14F2B0A-3EB4-4539-93FD-CDBD8E71CE69}"/>
    <hyperlink ref="O162" r:id="rId168" display="https://us3.assetplanner.com/service_request?ID=109158" xr:uid="{ACF8A8C5-B32C-41BE-B921-95CAC98F2ECB}"/>
    <hyperlink ref="P162" r:id="rId169" display="https://us3.assetplanner.com/service_request?ID=109664" xr:uid="{B5C258EB-8057-4162-9C00-8E604C9CF812}"/>
    <hyperlink ref="Q162" r:id="rId170" display="https://us3.assetplanner.com/service_request?ID=109665" xr:uid="{406B582F-F68E-448E-A778-8F7D5165894C}"/>
    <hyperlink ref="R162" r:id="rId171" display="https://us3.assetplanner.com/service_request?ID=109681" xr:uid="{B3EA5E36-0FB4-46C7-9FE5-8BCB5A7640FD}"/>
    <hyperlink ref="S162" r:id="rId172" display="https://us3.assetplanner.com/service_request?ID=109851" xr:uid="{7C0AC4E1-9FD3-4867-8653-CE3D94804BFB}"/>
    <hyperlink ref="M162" r:id="rId173" display="https://us3.assetplanner.com/service_request?ID=109995" xr:uid="{9AEE0445-8B95-4312-88E4-23C0E8087190}"/>
    <hyperlink ref="L163" r:id="rId174" display="https://us3.assetplanner.com/service_request?ID=108599" xr:uid="{A4FC074A-41F1-41C1-A356-9EF4718E3CCD}"/>
    <hyperlink ref="L164" r:id="rId175" display="https://us3.assetplanner.com/service_request?ID=108392" xr:uid="{1D46A935-3FDB-4A87-A70E-4DB529414AEE}"/>
    <hyperlink ref="N164" r:id="rId176" display="https://us3.assetplanner.com/service_request?ID=109809" xr:uid="{4C675D1D-8A8E-4514-A688-DDABFB6EB5F3}"/>
    <hyperlink ref="L165" r:id="rId177" display="https://us3.assetplanner.com/service_request?ID=110198" xr:uid="{148F7315-04C4-42C0-B17F-028B25137A76}"/>
    <hyperlink ref="L166" r:id="rId178" display="https://us3.assetplanner.com/service_request?ID=109102" xr:uid="{DADDDF41-09AA-450D-B5E5-2356A3B27416}"/>
    <hyperlink ref="N166" r:id="rId179" display="https://us3.assetplanner.com/service_request?ID=109103" xr:uid="{554CD500-D2A5-4339-B0DA-95559EEF1187}"/>
    <hyperlink ref="O166" r:id="rId180" display="https://us3.assetplanner.com/service_request?ID=109325" xr:uid="{FB5F24D8-0705-4C36-967B-F86CD906B0BA}"/>
    <hyperlink ref="P166" r:id="rId181" display="https://us3.assetplanner.com/service_request?ID=109403" xr:uid="{4A39C74B-A158-4A39-8F50-E28E92DB3FC7}"/>
    <hyperlink ref="L167" r:id="rId182" display="https://us3.assetplanner.com/service_request?ID=109160" xr:uid="{B6678E26-8132-43EC-9413-AFA36589AB64}"/>
    <hyperlink ref="L168" r:id="rId183" display="https://us3.assetplanner.com/service_request?ID=109156" xr:uid="{49E5AE08-FE7D-479A-8A42-28E8C0379E41}"/>
    <hyperlink ref="L169" r:id="rId184" display="https://us3.assetplanner.com/service_request?ID=109157" xr:uid="{D1134291-A570-41F8-A125-517A4044EA6E}"/>
    <hyperlink ref="L170" r:id="rId185" display="https://us3.assetplanner.com/service_request?ID=109198" xr:uid="{6232283E-ABEE-4D9A-9FB0-D87D8CD7177F}"/>
    <hyperlink ref="N170" r:id="rId186" display="https://us3.assetplanner.com/service_request?ID=109525" xr:uid="{B32BE44F-286B-4106-98EB-35D7612D593A}"/>
    <hyperlink ref="O170" r:id="rId187" display="https://us3.assetplanner.com/service_request?ID=109585" xr:uid="{A1D75B06-DA7D-44CC-9073-A2B5FA323E3D}"/>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173"/>
  <sheetViews>
    <sheetView zoomScale="70" zoomScaleNormal="70" workbookViewId="0">
      <pane xSplit="2" ySplit="3" topLeftCell="C88" activePane="bottomRight" state="frozen"/>
      <selection pane="bottomRight" activeCell="G94" sqref="G94"/>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8" style="103" customWidth="1"/>
  </cols>
  <sheetData>
    <row r="1" spans="1:14" ht="19.5" customHeight="1">
      <c r="A1" s="192" t="str" cm="1">
        <f t="array" ref="A1">portfolio</f>
        <v>Generate Capital</v>
      </c>
      <c r="B1" s="192"/>
      <c r="C1" s="192"/>
      <c r="D1" s="192"/>
      <c r="E1" s="193" t="s">
        <v>2388</v>
      </c>
      <c r="F1" s="193"/>
      <c r="G1" s="193"/>
      <c r="H1" s="191" t="s">
        <v>2389</v>
      </c>
      <c r="I1" s="191"/>
      <c r="J1" s="191"/>
      <c r="K1" s="4"/>
      <c r="L1" s="4"/>
    </row>
    <row r="2" spans="1:14" ht="19.5" customHeight="1">
      <c r="A2" s="194" t="s">
        <v>2</v>
      </c>
      <c r="B2" s="194"/>
      <c r="C2" s="57"/>
      <c r="D2" s="5">
        <f>SUM(D4:D200)</f>
        <v>19972387.827596553</v>
      </c>
      <c r="E2" s="5">
        <f>SUM(E4:E200)</f>
        <v>16030213.193999998</v>
      </c>
      <c r="F2" s="5">
        <f>D2-E2</f>
        <v>3942174.6335965544</v>
      </c>
      <c r="G2" s="6">
        <f>IFERROR(F2/E2, 0)</f>
        <v>0.24592153490959709</v>
      </c>
      <c r="H2" s="5">
        <f>SUM(H4:H200)</f>
        <v>22096297.204000011</v>
      </c>
      <c r="I2" s="7">
        <f>D2-H2</f>
        <v>-2123909.3764034584</v>
      </c>
      <c r="J2" s="6">
        <f>IFERROR(I2/H2, 0)</f>
        <v>-9.6120601419996066E-2</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4" ht="14.25" customHeight="1">
      <c r="A3" s="8" t="s">
        <v>3</v>
      </c>
      <c r="B3" s="8" t="s">
        <v>4</v>
      </c>
      <c r="C3" s="8" t="s">
        <v>5</v>
      </c>
      <c r="D3" s="19" t="s">
        <v>6</v>
      </c>
      <c r="E3" s="31" t="s">
        <v>7</v>
      </c>
      <c r="F3" s="31" t="s">
        <v>8</v>
      </c>
      <c r="G3" s="32" t="s">
        <v>9</v>
      </c>
      <c r="H3" s="33" t="s">
        <v>10</v>
      </c>
      <c r="I3" s="34" t="s">
        <v>8</v>
      </c>
      <c r="J3" s="35" t="s">
        <v>9</v>
      </c>
      <c r="K3" s="21" t="s">
        <v>21</v>
      </c>
      <c r="L3" s="21" t="s">
        <v>22</v>
      </c>
      <c r="M3" s="170" t="s">
        <v>2114</v>
      </c>
    </row>
    <row r="4" spans="1:14" ht="15.6">
      <c r="A4" s="28" t="str" cm="1">
        <f t="array" ref="A4:A173">Sites[Site]</f>
        <v>K026</v>
      </c>
      <c r="B4" s="25" t="str" cm="1">
        <f t="array" ref="B4:B173">Sites[State]</f>
        <v>NY</v>
      </c>
      <c r="C4" s="25" t="str">
        <f>Sites[[#This Row],[SOL'#]]</f>
        <v>SOL-10356</v>
      </c>
      <c r="D4" s="20">
        <v>9316</v>
      </c>
      <c r="E4" s="10">
        <v>16506.62</v>
      </c>
      <c r="F4" s="10">
        <f>IF(AND(ISNUMBER(D4),ISNUMBER(E4)), D4-E4, "")</f>
        <v>-7190.619999999999</v>
      </c>
      <c r="G4" s="11">
        <f>IFERROR(F4/E4, "")</f>
        <v>-0.43562037534031794</v>
      </c>
      <c r="H4" s="12">
        <v>12235.73</v>
      </c>
      <c r="I4" s="12">
        <f>IF(AND(ISNUMBER(D4),ISNUMBER(H4)), D4-H4, "")</f>
        <v>-2919.7299999999996</v>
      </c>
      <c r="J4" s="13">
        <f>IFERROR(I4/H4, "")</f>
        <v>-0.23862327789187893</v>
      </c>
      <c r="K4" s="49" t="s">
        <v>2115</v>
      </c>
      <c r="L4" s="109" t="s">
        <v>1905</v>
      </c>
      <c r="M4" s="47" t="s">
        <v>2138</v>
      </c>
    </row>
    <row r="5" spans="1:14" ht="15.6">
      <c r="A5" s="26" t="str">
        <v>K041</v>
      </c>
      <c r="B5" s="27" t="str">
        <v>NY</v>
      </c>
      <c r="C5" s="26" t="str">
        <f>Sites[[#This Row],[SOL'#]]</f>
        <v>SOL-10357</v>
      </c>
      <c r="D5" s="9">
        <v>10472.21875</v>
      </c>
      <c r="E5" s="14">
        <v>12670.92</v>
      </c>
      <c r="F5" s="14">
        <f t="shared" ref="F5:F17" si="0">IF(AND(ISNUMBER(D5),ISNUMBER(E5)), D5-E5, "")</f>
        <v>-2198.7012500000001</v>
      </c>
      <c r="G5" s="15">
        <f>IFERROR(F5/E5, "")</f>
        <v>-0.17352341029696344</v>
      </c>
      <c r="H5" s="16">
        <v>11963</v>
      </c>
      <c r="I5" s="16">
        <f t="shared" ref="I5:I17" si="1">IF(AND(ISNUMBER(D5),ISNUMBER(H5)), D5-H5, "")</f>
        <v>-1490.78125</v>
      </c>
      <c r="J5" s="15">
        <f t="shared" ref="J5:J17" si="2">IFERROR(I5/H5, "")</f>
        <v>-0.12461600351082504</v>
      </c>
      <c r="K5" s="185" t="s">
        <v>2117</v>
      </c>
      <c r="L5" s="185"/>
      <c r="M5" s="186"/>
    </row>
    <row r="6" spans="1:14" ht="28.9">
      <c r="A6" s="24" t="str">
        <v>K043</v>
      </c>
      <c r="B6" s="25" t="str">
        <v>NY</v>
      </c>
      <c r="C6" s="25" t="str">
        <f>Sites[[#This Row],[SOL'#]]</f>
        <v>SOL-10358</v>
      </c>
      <c r="D6" s="20">
        <v>12557.77937</v>
      </c>
      <c r="E6" s="10">
        <v>14003</v>
      </c>
      <c r="F6" s="10">
        <f t="shared" si="0"/>
        <v>-1445.2206299999998</v>
      </c>
      <c r="G6" s="11">
        <f t="shared" ref="G6:G16" si="3">IFERROR(F6/E6, "")</f>
        <v>-0.10320792901521102</v>
      </c>
      <c r="H6" s="12">
        <v>2700</v>
      </c>
      <c r="I6" s="12">
        <f t="shared" si="1"/>
        <v>9857.7793700000002</v>
      </c>
      <c r="J6" s="13">
        <f t="shared" si="2"/>
        <v>3.6510293962962965</v>
      </c>
      <c r="K6" s="49" t="s">
        <v>2390</v>
      </c>
      <c r="L6" s="49"/>
      <c r="M6" s="47"/>
    </row>
    <row r="7" spans="1:14" ht="24.75" customHeight="1">
      <c r="A7" s="26" t="str">
        <v>K058</v>
      </c>
      <c r="B7" s="27" t="str">
        <v>NY</v>
      </c>
      <c r="C7" s="26" t="str">
        <f>Sites[[#This Row],[SOL'#]]</f>
        <v>SOL-10360</v>
      </c>
      <c r="D7" s="9">
        <v>10157.75</v>
      </c>
      <c r="E7" s="14">
        <v>11357.2</v>
      </c>
      <c r="F7" s="14">
        <f t="shared" si="0"/>
        <v>-1199.4500000000007</v>
      </c>
      <c r="G7" s="15">
        <f t="shared" si="3"/>
        <v>-0.10561141830732933</v>
      </c>
      <c r="H7" s="16">
        <v>9904.4770000000008</v>
      </c>
      <c r="I7" s="16">
        <f t="shared" si="1"/>
        <v>253.27299999999923</v>
      </c>
      <c r="J7" s="15">
        <f t="shared" si="2"/>
        <v>2.5571567282149196E-2</v>
      </c>
      <c r="K7" s="185"/>
      <c r="L7" s="91"/>
    </row>
    <row r="8" spans="1:14" ht="15.6">
      <c r="A8" s="24" t="str">
        <v>K115</v>
      </c>
      <c r="B8" s="25" t="str">
        <v>NY</v>
      </c>
      <c r="C8" s="25" t="str">
        <f>Sites[[#This Row],[SOL'#]]</f>
        <v>SOL-10361</v>
      </c>
      <c r="D8" s="20">
        <v>5727.54203125002</v>
      </c>
      <c r="E8" s="10">
        <v>6963.1469999999999</v>
      </c>
      <c r="F8" s="10">
        <f t="shared" si="0"/>
        <v>-1235.6049687499799</v>
      </c>
      <c r="G8" s="11">
        <f t="shared" si="3"/>
        <v>-0.17744921495266147</v>
      </c>
      <c r="H8" s="12">
        <v>6362.2309999999998</v>
      </c>
      <c r="I8" s="12">
        <f t="shared" si="1"/>
        <v>-634.68896874997972</v>
      </c>
      <c r="J8" s="13">
        <f t="shared" si="2"/>
        <v>-9.9758868980076285E-2</v>
      </c>
      <c r="K8" s="49" t="s">
        <v>2391</v>
      </c>
      <c r="L8" s="109" t="s">
        <v>2392</v>
      </c>
      <c r="M8" s="47" t="s">
        <v>2393</v>
      </c>
    </row>
    <row r="9" spans="1:14" ht="15.6">
      <c r="A9" s="26" t="str">
        <v>K152</v>
      </c>
      <c r="B9" s="27" t="str">
        <v>NY</v>
      </c>
      <c r="C9" s="26" t="str">
        <f>Sites[[#This Row],[SOL'#]]</f>
        <v>SOL-10362</v>
      </c>
      <c r="D9" s="9">
        <v>3772.59375</v>
      </c>
      <c r="E9" s="14">
        <v>4200.5129999999999</v>
      </c>
      <c r="F9" s="14">
        <f t="shared" si="0"/>
        <v>-427.91924999999992</v>
      </c>
      <c r="G9" s="15">
        <f t="shared" si="3"/>
        <v>-0.10187309264368422</v>
      </c>
      <c r="H9" s="16">
        <v>3871</v>
      </c>
      <c r="I9" s="16">
        <f t="shared" si="1"/>
        <v>-98.40625</v>
      </c>
      <c r="J9" s="15">
        <f t="shared" si="2"/>
        <v>-2.5421402738310513E-2</v>
      </c>
      <c r="K9" s="185"/>
      <c r="L9" s="92"/>
    </row>
    <row r="10" spans="1:14" ht="64.5" customHeight="1">
      <c r="A10" s="24" t="str">
        <v>K166</v>
      </c>
      <c r="B10" s="25" t="str">
        <v>NY</v>
      </c>
      <c r="C10" s="25" t="str">
        <f>Sites[[#This Row],[SOL'#]]</f>
        <v>SOL-10363</v>
      </c>
      <c r="D10" s="20">
        <v>11908.625</v>
      </c>
      <c r="E10" s="10">
        <v>15709.6</v>
      </c>
      <c r="F10" s="10">
        <f t="shared" si="0"/>
        <v>-3800.9750000000004</v>
      </c>
      <c r="G10" s="11">
        <f t="shared" si="3"/>
        <v>-0.24195237307124307</v>
      </c>
      <c r="H10" s="12">
        <v>13335.22</v>
      </c>
      <c r="I10" s="12">
        <f t="shared" si="1"/>
        <v>-1426.5949999999993</v>
      </c>
      <c r="J10" s="13">
        <f t="shared" si="2"/>
        <v>-0.10697948740253249</v>
      </c>
      <c r="K10" s="49" t="s">
        <v>1909</v>
      </c>
      <c r="L10" s="109" t="s">
        <v>1910</v>
      </c>
      <c r="M10" s="47" t="s">
        <v>2116</v>
      </c>
    </row>
    <row r="11" spans="1:14" ht="15.6">
      <c r="A11" s="26" t="str">
        <v>K206</v>
      </c>
      <c r="B11" s="27" t="str">
        <v>NY</v>
      </c>
      <c r="C11" s="26" t="str">
        <f>Sites[[#This Row],[SOL'#]]</f>
        <v>SOL-10927</v>
      </c>
      <c r="D11" s="9">
        <v>7900.21875</v>
      </c>
      <c r="E11" s="14">
        <v>7300.277</v>
      </c>
      <c r="F11" s="14">
        <f t="shared" si="0"/>
        <v>599.94174999999996</v>
      </c>
      <c r="G11" s="15">
        <f t="shared" si="3"/>
        <v>8.2180683006959868E-2</v>
      </c>
      <c r="H11" s="16">
        <v>8303</v>
      </c>
      <c r="I11" s="16">
        <f t="shared" si="1"/>
        <v>-402.78125</v>
      </c>
      <c r="J11" s="15">
        <f t="shared" si="2"/>
        <v>-4.8510327592436467E-2</v>
      </c>
      <c r="K11" s="185"/>
      <c r="L11" s="91"/>
    </row>
    <row r="12" spans="1:14" ht="26.45">
      <c r="A12" s="24" t="str">
        <v>K251</v>
      </c>
      <c r="B12" s="25" t="str">
        <v>NY</v>
      </c>
      <c r="C12" s="25" t="str">
        <f>Sites[[#This Row],[SOL'#]]</f>
        <v>SOL-10365</v>
      </c>
      <c r="D12" s="20">
        <v>9121.5625</v>
      </c>
      <c r="E12" s="10">
        <v>0</v>
      </c>
      <c r="F12" s="10">
        <f t="shared" si="0"/>
        <v>9121.5625</v>
      </c>
      <c r="G12" s="11" t="str">
        <f t="shared" si="3"/>
        <v/>
      </c>
      <c r="H12" s="12">
        <v>9176.4519999999993</v>
      </c>
      <c r="I12" s="12">
        <f t="shared" si="1"/>
        <v>-54.889499999999316</v>
      </c>
      <c r="J12" s="13">
        <f t="shared" si="2"/>
        <v>-5.9815601934167283E-3</v>
      </c>
      <c r="K12" s="49" t="s">
        <v>2394</v>
      </c>
      <c r="L12" s="109" t="s">
        <v>2395</v>
      </c>
      <c r="M12" s="47" t="s">
        <v>2396</v>
      </c>
    </row>
    <row r="13" spans="1:14" ht="39" customHeight="1">
      <c r="A13" s="26" t="str">
        <v>K269</v>
      </c>
      <c r="B13" s="27" t="str">
        <v>NY</v>
      </c>
      <c r="C13" s="26" t="str">
        <f>Sites[[#This Row],[SOL'#]]</f>
        <v>SOL-10366</v>
      </c>
      <c r="D13" s="9">
        <v>8324.0988247862606</v>
      </c>
      <c r="E13" s="14">
        <v>10481.219999999999</v>
      </c>
      <c r="F13" s="14">
        <f t="shared" si="0"/>
        <v>-2157.1211752137388</v>
      </c>
      <c r="G13" s="15">
        <f t="shared" si="3"/>
        <v>-0.20580821461754822</v>
      </c>
      <c r="H13" s="16">
        <v>9295.5810000000001</v>
      </c>
      <c r="I13" s="16">
        <f t="shared" si="1"/>
        <v>-971.48217521373954</v>
      </c>
      <c r="J13" s="15">
        <f t="shared" si="2"/>
        <v>-0.1045101081055331</v>
      </c>
      <c r="K13" s="185" t="s">
        <v>1179</v>
      </c>
      <c r="L13" s="91"/>
    </row>
    <row r="14" spans="1:14" ht="39" customHeight="1">
      <c r="A14" s="24" t="str">
        <v>K273</v>
      </c>
      <c r="B14" s="25" t="str">
        <v>NY</v>
      </c>
      <c r="C14" s="25" t="str">
        <f>Sites[[#This Row],[SOL'#]]</f>
        <v>SOL-10367</v>
      </c>
      <c r="D14" s="20">
        <v>8721.8125</v>
      </c>
      <c r="E14" s="10">
        <v>0</v>
      </c>
      <c r="F14" s="10">
        <f t="shared" si="0"/>
        <v>8721.8125</v>
      </c>
      <c r="G14" s="11" t="str">
        <f t="shared" si="3"/>
        <v/>
      </c>
      <c r="H14" s="12">
        <v>10468</v>
      </c>
      <c r="I14" s="12">
        <f t="shared" si="1"/>
        <v>-1746.1875</v>
      </c>
      <c r="J14" s="13">
        <f t="shared" si="2"/>
        <v>-0.16681195070691632</v>
      </c>
      <c r="K14" s="49" t="s">
        <v>2397</v>
      </c>
      <c r="L14" s="109" t="s">
        <v>2398</v>
      </c>
      <c r="M14" s="49" t="s">
        <v>2399</v>
      </c>
      <c r="N14" s="111" t="s">
        <v>911</v>
      </c>
    </row>
    <row r="15" spans="1:14" ht="28.9">
      <c r="A15" s="26" t="str">
        <v>K287</v>
      </c>
      <c r="B15" s="27" t="str">
        <v>NY</v>
      </c>
      <c r="C15" s="26" t="str">
        <f>Sites[[#This Row],[SOL'#]]</f>
        <v>SOL-10919</v>
      </c>
      <c r="D15" s="9">
        <v>7501.25</v>
      </c>
      <c r="E15" s="14">
        <v>7166.5860000000002</v>
      </c>
      <c r="F15" s="14">
        <f t="shared" si="0"/>
        <v>334.66399999999976</v>
      </c>
      <c r="G15" s="15">
        <f t="shared" si="3"/>
        <v>4.6697827947644772E-2</v>
      </c>
      <c r="H15" s="16">
        <v>8320</v>
      </c>
      <c r="I15" s="16">
        <f t="shared" si="1"/>
        <v>-818.75</v>
      </c>
      <c r="J15" s="15">
        <f t="shared" si="2"/>
        <v>-9.8407451923076927E-2</v>
      </c>
      <c r="K15" s="185" t="s">
        <v>1669</v>
      </c>
      <c r="L15" s="91"/>
      <c r="M15" s="91"/>
    </row>
    <row r="16" spans="1:14" ht="42" customHeight="1">
      <c r="A16" s="24" t="str">
        <v>K298</v>
      </c>
      <c r="B16" s="25" t="str">
        <v>NY</v>
      </c>
      <c r="C16" s="25" t="str">
        <f>Sites[[#This Row],[SOL'#]]</f>
        <v>SOL-10368</v>
      </c>
      <c r="D16" s="20">
        <v>6919.5</v>
      </c>
      <c r="E16" s="10">
        <v>9283.9979999999996</v>
      </c>
      <c r="F16" s="10">
        <f>IF(AND(ISNUMBER(D16),ISNUMBER(E16)), D16-E16, "")</f>
        <v>-2364.4979999999996</v>
      </c>
      <c r="G16" s="11">
        <f t="shared" si="3"/>
        <v>-0.25468531983742343</v>
      </c>
      <c r="H16" s="12">
        <v>7584</v>
      </c>
      <c r="I16" s="12">
        <f t="shared" si="1"/>
        <v>-664.5</v>
      </c>
      <c r="J16" s="13">
        <f>IFERROR(I16/H16, "")</f>
        <v>-8.7618670886075944E-2</v>
      </c>
      <c r="K16" s="49"/>
      <c r="L16" s="49"/>
      <c r="M16" s="49"/>
    </row>
    <row r="17" spans="1:13" ht="15.6">
      <c r="A17" s="26" t="str">
        <v>K335</v>
      </c>
      <c r="B17" s="27" t="str">
        <v>NY</v>
      </c>
      <c r="C17" s="26" t="str">
        <f>Sites[[#This Row],[SOL'#]]</f>
        <v>SOL-10370</v>
      </c>
      <c r="D17" s="9">
        <v>7915.125</v>
      </c>
      <c r="E17" s="14">
        <v>9866.1880000000001</v>
      </c>
      <c r="F17" s="14">
        <f t="shared" si="0"/>
        <v>-1951.0630000000001</v>
      </c>
      <c r="G17" s="15">
        <f t="shared" ref="G17:G48" si="4">IFERROR(F17/E17, "")</f>
        <v>-0.19775246528851873</v>
      </c>
      <c r="H17" s="16">
        <v>8935</v>
      </c>
      <c r="I17" s="16">
        <f t="shared" si="1"/>
        <v>-1019.875</v>
      </c>
      <c r="J17" s="15">
        <f t="shared" si="2"/>
        <v>-0.11414381645215445</v>
      </c>
      <c r="K17" s="185" t="s">
        <v>2129</v>
      </c>
      <c r="L17" s="91"/>
      <c r="M17" s="91"/>
    </row>
    <row r="18" spans="1:13" ht="74.25" customHeight="1">
      <c r="A18" s="24" t="str">
        <v>K345</v>
      </c>
      <c r="B18" s="25" t="str">
        <v>NY</v>
      </c>
      <c r="C18" s="25" t="str">
        <f>Sites[[#This Row],[SOL'#]]</f>
        <v>SOL-10920</v>
      </c>
      <c r="D18" s="20">
        <v>9400.40625</v>
      </c>
      <c r="E18" s="10">
        <v>6990.0020000000004</v>
      </c>
      <c r="F18" s="10">
        <f t="shared" ref="F18:F49" si="5">IF(AND(ISNUMBER(D18),ISNUMBER(E18)), D18-E18, "")</f>
        <v>2410.4042499999996</v>
      </c>
      <c r="G18" s="11">
        <f t="shared" si="4"/>
        <v>0.34483598860200604</v>
      </c>
      <c r="H18" s="12">
        <v>8732</v>
      </c>
      <c r="I18" s="12">
        <f t="shared" ref="I18:I49" si="6">IF(AND(ISNUMBER(D18),ISNUMBER(H18)), D18-H18, "")</f>
        <v>668.40625</v>
      </c>
      <c r="J18" s="13">
        <f t="shared" ref="J18:J49" si="7">IFERROR(I18/H18, "")</f>
        <v>7.6546753321117725E-2</v>
      </c>
      <c r="K18" s="49" t="s">
        <v>2400</v>
      </c>
      <c r="L18" s="109" t="s">
        <v>1186</v>
      </c>
      <c r="M18" s="49" t="s">
        <v>2128</v>
      </c>
    </row>
    <row r="19" spans="1:13" ht="43.15">
      <c r="A19" s="26" t="str">
        <v>K445</v>
      </c>
      <c r="B19" s="27" t="str">
        <v>NY</v>
      </c>
      <c r="C19" s="26" t="str">
        <f>Sites[[#This Row],[SOL'#]]</f>
        <v>SOL-10373</v>
      </c>
      <c r="D19" s="9">
        <v>6804.4950248755604</v>
      </c>
      <c r="E19" s="14">
        <v>9924.4320000000007</v>
      </c>
      <c r="F19" s="14">
        <f t="shared" si="5"/>
        <v>-3119.9369751244403</v>
      </c>
      <c r="G19" s="15">
        <f t="shared" si="4"/>
        <v>-0.31436932361715414</v>
      </c>
      <c r="H19" s="16">
        <v>8343.9259999999995</v>
      </c>
      <c r="I19" s="16">
        <f t="shared" si="6"/>
        <v>-1539.4309751244391</v>
      </c>
      <c r="J19" s="15">
        <f t="shared" si="7"/>
        <v>-0.18449719893542191</v>
      </c>
      <c r="K19" s="185" t="s">
        <v>2401</v>
      </c>
      <c r="L19" s="110" t="s">
        <v>2402</v>
      </c>
      <c r="M19" s="91" t="s">
        <v>2294</v>
      </c>
    </row>
    <row r="20" spans="1:13" ht="36" customHeight="1">
      <c r="A20" s="24" t="str">
        <v>K495</v>
      </c>
      <c r="B20" s="25" t="str">
        <v>NY</v>
      </c>
      <c r="C20" s="25" t="str">
        <f>Sites[[#This Row],[SOL'#]]</f>
        <v>SOL-10374</v>
      </c>
      <c r="D20" s="20">
        <v>33907.5</v>
      </c>
      <c r="E20" s="10">
        <v>38076.519999999997</v>
      </c>
      <c r="F20" s="10">
        <f t="shared" si="5"/>
        <v>-4169.0199999999968</v>
      </c>
      <c r="G20" s="11">
        <f t="shared" si="4"/>
        <v>-0.10949057319313837</v>
      </c>
      <c r="H20" s="12">
        <v>48974.71</v>
      </c>
      <c r="I20" s="12">
        <f t="shared" si="6"/>
        <v>-15067.21</v>
      </c>
      <c r="J20" s="13">
        <f t="shared" si="7"/>
        <v>-0.30765286818441601</v>
      </c>
      <c r="K20" s="49" t="s">
        <v>2403</v>
      </c>
      <c r="L20" s="109" t="s">
        <v>2134</v>
      </c>
      <c r="M20" s="49" t="s">
        <v>2128</v>
      </c>
    </row>
    <row r="21" spans="1:13" ht="15.6">
      <c r="A21" s="26" t="str">
        <v>M020</v>
      </c>
      <c r="B21" s="27" t="str">
        <v>NY</v>
      </c>
      <c r="C21" s="26" t="str">
        <f>Sites[[#This Row],[SOL'#]]</f>
        <v>SOL-10380</v>
      </c>
      <c r="D21" s="9">
        <v>8519.625</v>
      </c>
      <c r="E21" s="14">
        <v>9212.2450000000008</v>
      </c>
      <c r="F21" s="14">
        <f t="shared" si="5"/>
        <v>-692.6200000000008</v>
      </c>
      <c r="G21" s="15">
        <f t="shared" si="4"/>
        <v>-7.518471338962443E-2</v>
      </c>
      <c r="H21" s="16">
        <v>10258</v>
      </c>
      <c r="I21" s="16">
        <f t="shared" si="6"/>
        <v>-1738.375</v>
      </c>
      <c r="J21" s="15">
        <f t="shared" si="7"/>
        <v>-0.16946529537921623</v>
      </c>
      <c r="K21" s="185" t="s">
        <v>2404</v>
      </c>
      <c r="L21" s="110" t="s">
        <v>2405</v>
      </c>
      <c r="M21" s="103" t="s">
        <v>2120</v>
      </c>
    </row>
    <row r="22" spans="1:13" ht="15.6">
      <c r="A22" s="24" t="str">
        <v>M092</v>
      </c>
      <c r="B22" s="25" t="str">
        <v>NY</v>
      </c>
      <c r="C22" s="25" t="str">
        <f>Sites[[#This Row],[SOL'#]]</f>
        <v>SOL-10383</v>
      </c>
      <c r="D22" s="20">
        <v>8241.1874999998799</v>
      </c>
      <c r="E22" s="10">
        <v>9823.6</v>
      </c>
      <c r="F22" s="10">
        <f t="shared" si="5"/>
        <v>-1582.4125000001204</v>
      </c>
      <c r="G22" s="11">
        <f t="shared" si="4"/>
        <v>-0.1610827497048048</v>
      </c>
      <c r="H22" s="12">
        <v>9410.0110000000004</v>
      </c>
      <c r="I22" s="12">
        <f t="shared" si="6"/>
        <v>-1168.8235000001205</v>
      </c>
      <c r="J22" s="13">
        <f t="shared" si="7"/>
        <v>-0.12421064119905072</v>
      </c>
      <c r="K22" s="49"/>
      <c r="L22" s="49"/>
    </row>
    <row r="23" spans="1:13" ht="27" customHeight="1">
      <c r="A23" s="26" t="str">
        <v>M143</v>
      </c>
      <c r="B23" s="27" t="str">
        <v>NY</v>
      </c>
      <c r="C23" s="26" t="str">
        <f>Sites[[#This Row],[SOL'#]]</f>
        <v>SOL-10384</v>
      </c>
      <c r="D23" s="9">
        <v>9215.25</v>
      </c>
      <c r="E23" s="14">
        <v>10648.48</v>
      </c>
      <c r="F23" s="14">
        <f t="shared" si="5"/>
        <v>-1433.2299999999996</v>
      </c>
      <c r="G23" s="15">
        <f t="shared" si="4"/>
        <v>-0.13459479662825113</v>
      </c>
      <c r="H23" s="16">
        <v>10083.92</v>
      </c>
      <c r="I23" s="16">
        <f t="shared" si="6"/>
        <v>-868.67000000000007</v>
      </c>
      <c r="J23" s="15">
        <f t="shared" si="7"/>
        <v>-8.6144078889955497E-2</v>
      </c>
      <c r="K23" s="185"/>
      <c r="L23" s="92"/>
    </row>
    <row r="24" spans="1:13" ht="15.6">
      <c r="A24" s="24" t="str">
        <v>M144</v>
      </c>
      <c r="B24" s="25" t="str">
        <v>NY</v>
      </c>
      <c r="C24" s="25" t="str">
        <f>Sites[[#This Row],[SOL'#]]</f>
        <v>SOL-10385</v>
      </c>
      <c r="D24" s="20">
        <v>13733.25</v>
      </c>
      <c r="E24" s="10">
        <v>16821.61</v>
      </c>
      <c r="F24" s="10">
        <f t="shared" si="5"/>
        <v>-3088.3600000000006</v>
      </c>
      <c r="G24" s="11">
        <f t="shared" si="4"/>
        <v>-0.18359479265064405</v>
      </c>
      <c r="H24" s="12">
        <v>23182.880000000001</v>
      </c>
      <c r="I24" s="12">
        <f t="shared" si="6"/>
        <v>-9449.630000000001</v>
      </c>
      <c r="J24" s="13">
        <f t="shared" si="7"/>
        <v>-0.40761242779154278</v>
      </c>
      <c r="K24" s="49" t="s">
        <v>2117</v>
      </c>
      <c r="L24" s="49"/>
    </row>
    <row r="25" spans="1:13" ht="28.9">
      <c r="A25" s="26" t="str">
        <v>M167</v>
      </c>
      <c r="B25" s="27" t="str">
        <v>NY</v>
      </c>
      <c r="C25" s="26" t="str">
        <f>Sites[[#This Row],[SOL'#]]</f>
        <v>SOL-10386</v>
      </c>
      <c r="D25" s="9">
        <v>8672.65624999994</v>
      </c>
      <c r="E25" s="14">
        <v>8439.2189999999991</v>
      </c>
      <c r="F25" s="14">
        <f t="shared" si="5"/>
        <v>233.43724999994083</v>
      </c>
      <c r="G25" s="15">
        <f t="shared" si="4"/>
        <v>2.766100156897704E-2</v>
      </c>
      <c r="H25" s="16">
        <v>10189.85</v>
      </c>
      <c r="I25" s="16">
        <f t="shared" si="6"/>
        <v>-1517.1937500000604</v>
      </c>
      <c r="J25" s="15">
        <f t="shared" si="7"/>
        <v>-0.14889264807627789</v>
      </c>
      <c r="K25" s="185" t="s">
        <v>2406</v>
      </c>
      <c r="L25" s="93"/>
    </row>
    <row r="26" spans="1:13" ht="15.6">
      <c r="A26" s="24" t="str">
        <v>M188</v>
      </c>
      <c r="B26" s="25" t="str">
        <v>NY</v>
      </c>
      <c r="C26" s="25" t="str">
        <f>Sites[[#This Row],[SOL'#]]</f>
        <v>SOL-10387</v>
      </c>
      <c r="D26" s="20">
        <v>7381.34375</v>
      </c>
      <c r="E26" s="10">
        <v>8688.0069999999996</v>
      </c>
      <c r="F26" s="10">
        <f t="shared" si="5"/>
        <v>-1306.6632499999996</v>
      </c>
      <c r="G26" s="11">
        <f t="shared" si="4"/>
        <v>-0.15039850336216345</v>
      </c>
      <c r="H26" s="12">
        <v>12627.36</v>
      </c>
      <c r="I26" s="12">
        <f t="shared" si="6"/>
        <v>-5246.0162500000006</v>
      </c>
      <c r="J26" s="13">
        <f t="shared" si="7"/>
        <v>-0.41544837955043656</v>
      </c>
      <c r="K26" s="49" t="s">
        <v>2407</v>
      </c>
      <c r="L26" s="49"/>
    </row>
    <row r="27" spans="1:13" ht="15.6">
      <c r="A27" s="26" t="str">
        <v>EMHC</v>
      </c>
      <c r="B27" s="27" t="str">
        <v>NY</v>
      </c>
      <c r="C27" s="26" t="str">
        <f>Sites[[#This Row],[SOL'#]]</f>
        <v>SOL-10351</v>
      </c>
      <c r="D27" s="9">
        <v>2700.75</v>
      </c>
      <c r="E27" s="14">
        <v>2130.8249999999998</v>
      </c>
      <c r="F27" s="14">
        <f t="shared" si="5"/>
        <v>569.92500000000018</v>
      </c>
      <c r="G27" s="15">
        <f t="shared" si="4"/>
        <v>0.26746682622927748</v>
      </c>
      <c r="H27" s="16">
        <v>2751.5239999999999</v>
      </c>
      <c r="I27" s="16">
        <f t="shared" si="6"/>
        <v>-50.773999999999887</v>
      </c>
      <c r="J27" s="15">
        <f t="shared" si="7"/>
        <v>-1.8453046384476344E-2</v>
      </c>
      <c r="K27" s="185" t="s">
        <v>668</v>
      </c>
      <c r="L27" s="110" t="s">
        <v>2408</v>
      </c>
      <c r="M27" s="103" t="s">
        <v>2138</v>
      </c>
    </row>
    <row r="28" spans="1:13" ht="15.6">
      <c r="A28" s="24" t="str">
        <v>Q008</v>
      </c>
      <c r="B28" s="25" t="str">
        <v>NY</v>
      </c>
      <c r="C28" s="25" t="str">
        <f>Sites[[#This Row],[SOL'#]]</f>
        <v>SOL-10397</v>
      </c>
      <c r="D28" s="20">
        <v>11787.46875</v>
      </c>
      <c r="E28" s="10">
        <v>13574.13</v>
      </c>
      <c r="F28" s="10">
        <f t="shared" si="5"/>
        <v>-1786.6612499999992</v>
      </c>
      <c r="G28" s="11">
        <f t="shared" si="4"/>
        <v>-0.13162252387445819</v>
      </c>
      <c r="H28" s="12">
        <v>12978</v>
      </c>
      <c r="I28" s="12">
        <f t="shared" si="6"/>
        <v>-1190.53125</v>
      </c>
      <c r="J28" s="13">
        <f t="shared" si="7"/>
        <v>-9.1734570041608871E-2</v>
      </c>
      <c r="K28" s="49"/>
      <c r="L28" s="49"/>
    </row>
    <row r="29" spans="1:13" ht="15.6">
      <c r="A29" s="26" t="str">
        <v>Q018</v>
      </c>
      <c r="B29" s="27" t="str">
        <v>NY</v>
      </c>
      <c r="C29" s="26" t="str">
        <f>Sites[[#This Row],[SOL'#]]</f>
        <v>SOL-10398</v>
      </c>
      <c r="D29" s="9">
        <v>8243.5625</v>
      </c>
      <c r="E29" s="14">
        <v>8976.8169999999991</v>
      </c>
      <c r="F29" s="14">
        <f t="shared" si="5"/>
        <v>-733.2544999999991</v>
      </c>
      <c r="G29" s="15">
        <f t="shared" si="4"/>
        <v>-8.16831288863301E-2</v>
      </c>
      <c r="H29" s="16">
        <v>7162.3490000000002</v>
      </c>
      <c r="I29" s="16">
        <f t="shared" si="6"/>
        <v>1081.2134999999998</v>
      </c>
      <c r="J29" s="15">
        <f t="shared" si="7"/>
        <v>0.15095794689703054</v>
      </c>
      <c r="K29" s="185"/>
      <c r="L29" s="185"/>
    </row>
    <row r="30" spans="1:13" ht="15.6">
      <c r="A30" s="24" t="str">
        <v>Q021</v>
      </c>
      <c r="B30" s="25" t="str">
        <v>NY</v>
      </c>
      <c r="C30" s="25" t="str">
        <f>Sites[[#This Row],[SOL'#]]</f>
        <v>SOL-10399</v>
      </c>
      <c r="D30" s="20">
        <v>6298.3125</v>
      </c>
      <c r="E30" s="10">
        <v>7577.8209999999999</v>
      </c>
      <c r="F30" s="10">
        <f t="shared" si="5"/>
        <v>-1279.5084999999999</v>
      </c>
      <c r="G30" s="11">
        <f t="shared" si="4"/>
        <v>-0.16884913222415784</v>
      </c>
      <c r="H30" s="12">
        <v>5762.3609999999999</v>
      </c>
      <c r="I30" s="12">
        <f t="shared" si="6"/>
        <v>535.95150000000012</v>
      </c>
      <c r="J30" s="13">
        <f t="shared" si="7"/>
        <v>9.3009011410427098E-2</v>
      </c>
      <c r="K30" s="49"/>
      <c r="L30" s="49"/>
    </row>
    <row r="31" spans="1:13" ht="28.9">
      <c r="A31" s="26" t="str">
        <v>Q025</v>
      </c>
      <c r="B31" s="27" t="str">
        <v>NY</v>
      </c>
      <c r="C31" s="26" t="str">
        <f>Sites[[#This Row],[SOL'#]]</f>
        <v>SOL-10400</v>
      </c>
      <c r="D31" s="9">
        <v>11030</v>
      </c>
      <c r="E31" s="14">
        <v>11646.7</v>
      </c>
      <c r="F31" s="14">
        <f t="shared" si="5"/>
        <v>-616.70000000000073</v>
      </c>
      <c r="G31" s="15">
        <f t="shared" si="4"/>
        <v>-5.2950621206006909E-2</v>
      </c>
      <c r="H31" s="16">
        <v>7509</v>
      </c>
      <c r="I31" s="16">
        <f t="shared" si="6"/>
        <v>3521</v>
      </c>
      <c r="J31" s="15">
        <f t="shared" si="7"/>
        <v>0.4689039818884006</v>
      </c>
      <c r="K31" s="185" t="s">
        <v>2409</v>
      </c>
      <c r="L31" s="185"/>
    </row>
    <row r="32" spans="1:13" ht="15.6">
      <c r="A32" s="24" t="str">
        <v>Q074</v>
      </c>
      <c r="B32" s="25" t="str">
        <v>NY</v>
      </c>
      <c r="C32" s="25" t="str">
        <f>Sites[[#This Row],[SOL'#]]</f>
        <v>SOL-10402</v>
      </c>
      <c r="D32" s="20">
        <v>0</v>
      </c>
      <c r="E32" s="10">
        <v>0</v>
      </c>
      <c r="F32" s="10">
        <f t="shared" si="5"/>
        <v>0</v>
      </c>
      <c r="G32" s="11" t="str">
        <f t="shared" si="4"/>
        <v/>
      </c>
      <c r="H32" s="12"/>
      <c r="I32" s="12" t="str">
        <f t="shared" si="6"/>
        <v/>
      </c>
      <c r="J32" s="13" t="str">
        <f t="shared" si="7"/>
        <v/>
      </c>
      <c r="K32" s="49" t="s">
        <v>1924</v>
      </c>
      <c r="L32" s="109" t="s">
        <v>2410</v>
      </c>
      <c r="M32" s="103" t="s">
        <v>2116</v>
      </c>
    </row>
    <row r="33" spans="1:15" ht="28.9">
      <c r="A33" s="26" t="str">
        <v>Q115</v>
      </c>
      <c r="B33" s="27" t="str">
        <v>NY</v>
      </c>
      <c r="C33" s="26" t="str">
        <f>Sites[[#This Row],[SOL'#]]</f>
        <v>SOL-10872</v>
      </c>
      <c r="D33" s="9">
        <v>6806.0625</v>
      </c>
      <c r="E33" s="14">
        <v>10653.71</v>
      </c>
      <c r="F33" s="14">
        <f t="shared" si="5"/>
        <v>-3847.6474999999991</v>
      </c>
      <c r="G33" s="15">
        <f t="shared" si="4"/>
        <v>-0.36115564437177278</v>
      </c>
      <c r="H33" s="16">
        <v>8877.85</v>
      </c>
      <c r="I33" s="16">
        <f t="shared" si="6"/>
        <v>-2071.7875000000004</v>
      </c>
      <c r="J33" s="15">
        <f t="shared" si="7"/>
        <v>-0.23336590503331328</v>
      </c>
      <c r="K33" s="185" t="s">
        <v>2411</v>
      </c>
      <c r="L33" s="110" t="s">
        <v>2412</v>
      </c>
      <c r="M33" s="103" t="s">
        <v>2116</v>
      </c>
    </row>
    <row r="34" spans="1:15" ht="28.9">
      <c r="A34" s="24" t="str">
        <v>Q139</v>
      </c>
      <c r="B34" s="25" t="str">
        <v>NY</v>
      </c>
      <c r="C34" s="25" t="str">
        <f>Sites[[#This Row],[SOL'#]]</f>
        <v>SOL-10403</v>
      </c>
      <c r="D34" s="20">
        <v>5406.25</v>
      </c>
      <c r="E34" s="10">
        <v>5897.5860000000002</v>
      </c>
      <c r="F34" s="10">
        <f t="shared" si="5"/>
        <v>-491.33600000000024</v>
      </c>
      <c r="G34" s="11">
        <f t="shared" si="4"/>
        <v>-8.3311375196563509E-2</v>
      </c>
      <c r="H34" s="12">
        <v>5595</v>
      </c>
      <c r="I34" s="12">
        <f t="shared" si="6"/>
        <v>-188.75</v>
      </c>
      <c r="J34" s="13">
        <f t="shared" si="7"/>
        <v>-3.3735478105451293E-2</v>
      </c>
      <c r="K34" s="49" t="s">
        <v>2413</v>
      </c>
      <c r="L34" s="109" t="s">
        <v>2414</v>
      </c>
      <c r="M34" s="108" t="s">
        <v>2116</v>
      </c>
    </row>
    <row r="35" spans="1:15" ht="15.6">
      <c r="A35" s="26" t="str">
        <v>Q157</v>
      </c>
      <c r="B35" s="27" t="str">
        <v>NY</v>
      </c>
      <c r="C35" s="26" t="str">
        <f>Sites[[#This Row],[SOL'#]]</f>
        <v>SOL-10404</v>
      </c>
      <c r="D35" s="9">
        <v>9578.4375</v>
      </c>
      <c r="E35" s="14">
        <v>12694.15</v>
      </c>
      <c r="F35" s="14">
        <f t="shared" si="5"/>
        <v>-3115.7124999999996</v>
      </c>
      <c r="G35" s="15">
        <f t="shared" si="4"/>
        <v>-0.24544475211022398</v>
      </c>
      <c r="H35" s="16">
        <v>9618.4259999999995</v>
      </c>
      <c r="I35" s="16">
        <f t="shared" si="6"/>
        <v>-39.988499999999476</v>
      </c>
      <c r="J35" s="15">
        <f t="shared" si="7"/>
        <v>-4.1574889696089027E-3</v>
      </c>
      <c r="K35" s="185" t="s">
        <v>2415</v>
      </c>
      <c r="L35" s="92"/>
    </row>
    <row r="36" spans="1:15" ht="43.15">
      <c r="A36" s="24" t="str">
        <v>Q192</v>
      </c>
      <c r="B36" s="25" t="str">
        <v>NY</v>
      </c>
      <c r="C36" s="25" t="str">
        <f>Sites[[#This Row],[SOL'#]]</f>
        <v>SOL-10406</v>
      </c>
      <c r="D36" s="20">
        <v>10982.875</v>
      </c>
      <c r="E36" s="10">
        <v>17397.169999999998</v>
      </c>
      <c r="F36" s="10">
        <f t="shared" si="5"/>
        <v>-6414.2949999999983</v>
      </c>
      <c r="G36" s="11">
        <f t="shared" si="4"/>
        <v>-0.36869761001358259</v>
      </c>
      <c r="H36" s="12">
        <v>14869.81</v>
      </c>
      <c r="I36" s="12">
        <f t="shared" si="6"/>
        <v>-3886.9349999999995</v>
      </c>
      <c r="J36" s="13">
        <f t="shared" si="7"/>
        <v>-0.26139775827666928</v>
      </c>
      <c r="K36" s="49" t="s">
        <v>2416</v>
      </c>
      <c r="L36" s="109" t="s">
        <v>2417</v>
      </c>
      <c r="M36" s="108" t="s">
        <v>2418</v>
      </c>
      <c r="N36" s="111" t="s">
        <v>2419</v>
      </c>
      <c r="O36" s="111" t="s">
        <v>2420</v>
      </c>
    </row>
    <row r="37" spans="1:15" ht="15.6">
      <c r="A37" s="26" t="str">
        <v>Q210</v>
      </c>
      <c r="B37" s="27" t="str">
        <v>NY</v>
      </c>
      <c r="C37" s="26" t="str">
        <f>Sites[[#This Row],[SOL'#]]</f>
        <v>SOL-10407</v>
      </c>
      <c r="D37" s="9">
        <v>12714.25</v>
      </c>
      <c r="E37" s="14">
        <v>12657.88</v>
      </c>
      <c r="F37" s="14">
        <f t="shared" si="5"/>
        <v>56.3700000000008</v>
      </c>
      <c r="G37" s="15">
        <f t="shared" si="4"/>
        <v>4.4533523781234144E-3</v>
      </c>
      <c r="H37" s="16">
        <v>12454</v>
      </c>
      <c r="I37" s="16">
        <f t="shared" si="6"/>
        <v>260.25</v>
      </c>
      <c r="J37" s="15">
        <f t="shared" si="7"/>
        <v>2.0896900594186606E-2</v>
      </c>
      <c r="K37" s="185"/>
      <c r="L37" s="92"/>
    </row>
    <row r="38" spans="1:15" ht="28.9">
      <c r="A38" s="24" t="str">
        <v>Q229</v>
      </c>
      <c r="B38" s="25" t="str">
        <v>NY</v>
      </c>
      <c r="C38" s="25" t="str">
        <f>Sites[[#This Row],[SOL'#]]</f>
        <v>SOL-10408</v>
      </c>
      <c r="D38" s="20">
        <v>4777.6875</v>
      </c>
      <c r="E38" s="10">
        <v>6275.1490000000003</v>
      </c>
      <c r="F38" s="10">
        <f t="shared" si="5"/>
        <v>-1497.4615000000003</v>
      </c>
      <c r="G38" s="11">
        <f t="shared" si="4"/>
        <v>-0.23863361650854828</v>
      </c>
      <c r="H38" s="12">
        <v>4177.4380000000001</v>
      </c>
      <c r="I38" s="12">
        <f t="shared" si="6"/>
        <v>600.2494999999999</v>
      </c>
      <c r="J38" s="13">
        <f t="shared" si="7"/>
        <v>0.14368842817056768</v>
      </c>
      <c r="K38" s="49" t="s">
        <v>932</v>
      </c>
      <c r="L38" s="109" t="s">
        <v>2421</v>
      </c>
      <c r="M38" s="103" t="s">
        <v>2116</v>
      </c>
    </row>
    <row r="39" spans="1:15" ht="15.6">
      <c r="A39" s="26" t="str">
        <v>Q231</v>
      </c>
      <c r="B39" s="27" t="str">
        <v>NY</v>
      </c>
      <c r="C39" s="26" t="str">
        <f>Sites[[#This Row],[SOL'#]]</f>
        <v>SOL-10870</v>
      </c>
      <c r="D39" s="9">
        <v>19893</v>
      </c>
      <c r="E39" s="14">
        <v>26623.33</v>
      </c>
      <c r="F39" s="14">
        <f t="shared" si="5"/>
        <v>-6730.3300000000017</v>
      </c>
      <c r="G39" s="15">
        <f t="shared" si="4"/>
        <v>-0.25279820368075673</v>
      </c>
      <c r="H39" s="16">
        <v>20029</v>
      </c>
      <c r="I39" s="16">
        <f t="shared" si="6"/>
        <v>-136</v>
      </c>
      <c r="J39" s="15">
        <f t="shared" si="7"/>
        <v>-6.7901542762993658E-3</v>
      </c>
      <c r="K39" s="185" t="s">
        <v>2422</v>
      </c>
      <c r="L39" s="92"/>
    </row>
    <row r="40" spans="1:15" ht="15.6">
      <c r="A40" s="24" t="str">
        <v>Q405</v>
      </c>
      <c r="B40" s="25" t="str">
        <v>NY</v>
      </c>
      <c r="C40" s="25" t="str">
        <f>Sites[[#This Row],[SOL'#]]</f>
        <v>SOL-10409</v>
      </c>
      <c r="D40" s="20">
        <v>23775.75</v>
      </c>
      <c r="E40" s="10">
        <v>27520.16</v>
      </c>
      <c r="F40" s="10">
        <f t="shared" si="5"/>
        <v>-3744.41</v>
      </c>
      <c r="G40" s="11">
        <f t="shared" si="4"/>
        <v>-0.13606061883361142</v>
      </c>
      <c r="H40" s="12">
        <v>22257.55</v>
      </c>
      <c r="I40" s="12">
        <f t="shared" si="6"/>
        <v>1518.2000000000007</v>
      </c>
      <c r="J40" s="13">
        <f t="shared" si="7"/>
        <v>6.821056225864934E-2</v>
      </c>
      <c r="K40" s="49" t="s">
        <v>2423</v>
      </c>
      <c r="L40" s="109" t="s">
        <v>2424</v>
      </c>
      <c r="M40" s="103" t="s">
        <v>2116</v>
      </c>
    </row>
    <row r="41" spans="1:15" ht="15.6">
      <c r="A41" s="26" t="str">
        <v>Q435</v>
      </c>
      <c r="B41" s="27" t="str">
        <v>NY</v>
      </c>
      <c r="C41" s="26" t="str">
        <f>Sites[[#This Row],[SOL'#]]</f>
        <v>SOL-10923</v>
      </c>
      <c r="D41" s="9">
        <v>30844.5</v>
      </c>
      <c r="E41" s="14">
        <v>22683.27</v>
      </c>
      <c r="F41" s="14">
        <f t="shared" si="5"/>
        <v>8161.23</v>
      </c>
      <c r="G41" s="15">
        <f t="shared" si="4"/>
        <v>0.35979071800494372</v>
      </c>
      <c r="H41" s="16">
        <v>30747</v>
      </c>
      <c r="I41" s="16">
        <f t="shared" si="6"/>
        <v>97.5</v>
      </c>
      <c r="J41" s="15">
        <f t="shared" si="7"/>
        <v>3.1710410771782615E-3</v>
      </c>
      <c r="K41" s="185" t="s">
        <v>2152</v>
      </c>
      <c r="L41" s="185"/>
    </row>
    <row r="42" spans="1:15" ht="28.9">
      <c r="A42" s="24" t="str">
        <v>Q485</v>
      </c>
      <c r="B42" s="25" t="str">
        <v>NY</v>
      </c>
      <c r="C42" s="25" t="str">
        <f>Sites[[#This Row],[SOL'#]]</f>
        <v>SOL-10869</v>
      </c>
      <c r="D42" s="20">
        <v>24169.625</v>
      </c>
      <c r="E42" s="10">
        <v>24389.8</v>
      </c>
      <c r="F42" s="10">
        <f t="shared" si="5"/>
        <v>-220.17499999999927</v>
      </c>
      <c r="G42" s="11">
        <f t="shared" si="4"/>
        <v>-9.0273392975751855E-3</v>
      </c>
      <c r="H42" s="12">
        <v>29073.75</v>
      </c>
      <c r="I42" s="12">
        <f t="shared" si="6"/>
        <v>-4904.125</v>
      </c>
      <c r="J42" s="13">
        <f t="shared" si="7"/>
        <v>-0.16867879100563224</v>
      </c>
      <c r="K42" s="49" t="s">
        <v>2425</v>
      </c>
      <c r="L42" s="109" t="s">
        <v>2426</v>
      </c>
      <c r="M42" s="103" t="s">
        <v>2159</v>
      </c>
    </row>
    <row r="43" spans="1:15" ht="43.15">
      <c r="A43" s="26" t="str">
        <v>Q490</v>
      </c>
      <c r="B43" s="27" t="str">
        <v>NY</v>
      </c>
      <c r="C43" s="26" t="str">
        <f>Sites[[#This Row],[SOL'#]]</f>
        <v>SOL-10411</v>
      </c>
      <c r="D43" s="9">
        <v>18665.25</v>
      </c>
      <c r="E43" s="14">
        <v>0</v>
      </c>
      <c r="F43" s="14">
        <f t="shared" si="5"/>
        <v>18665.25</v>
      </c>
      <c r="G43" s="15" t="str">
        <f t="shared" si="4"/>
        <v/>
      </c>
      <c r="H43" s="16">
        <v>18472.73</v>
      </c>
      <c r="I43" s="16">
        <f t="shared" si="6"/>
        <v>192.52000000000044</v>
      </c>
      <c r="J43" s="15">
        <f t="shared" si="7"/>
        <v>1.0421848855042024E-2</v>
      </c>
      <c r="K43" s="185" t="s">
        <v>1205</v>
      </c>
      <c r="L43" s="110" t="s">
        <v>2427</v>
      </c>
      <c r="M43" s="103" t="s">
        <v>2116</v>
      </c>
      <c r="N43" s="111" t="s">
        <v>2428</v>
      </c>
    </row>
    <row r="44" spans="1:15" ht="28.9">
      <c r="A44" s="24" t="str">
        <v>Q620</v>
      </c>
      <c r="B44" s="25" t="str">
        <v>NY</v>
      </c>
      <c r="C44" s="25" t="str">
        <f>Sites[[#This Row],[SOL'#]]</f>
        <v>SOL-10867</v>
      </c>
      <c r="D44" s="20">
        <v>28964.5</v>
      </c>
      <c r="E44" s="10">
        <v>30478.66</v>
      </c>
      <c r="F44" s="10">
        <f t="shared" si="5"/>
        <v>-1514.1599999999999</v>
      </c>
      <c r="G44" s="11">
        <f t="shared" si="4"/>
        <v>-4.9679349420217289E-2</v>
      </c>
      <c r="H44" s="12">
        <v>32340.400000000001</v>
      </c>
      <c r="I44" s="12">
        <f t="shared" si="6"/>
        <v>-3375.9000000000015</v>
      </c>
      <c r="J44" s="13">
        <f t="shared" si="7"/>
        <v>-0.10438646398931371</v>
      </c>
      <c r="K44" s="49" t="s">
        <v>2429</v>
      </c>
      <c r="L44" s="109" t="s">
        <v>2430</v>
      </c>
      <c r="M44" s="103" t="s">
        <v>2138</v>
      </c>
    </row>
    <row r="45" spans="1:15" ht="15.6">
      <c r="A45" s="26" t="str">
        <v>QMOA</v>
      </c>
      <c r="B45" s="27" t="str">
        <v>NY</v>
      </c>
      <c r="C45" s="26" t="str">
        <f>Sites[[#This Row],[SOL'#]]</f>
        <v>SOL-10415</v>
      </c>
      <c r="D45" s="9">
        <v>2746.6000000000099</v>
      </c>
      <c r="E45" s="14">
        <v>0</v>
      </c>
      <c r="F45" s="14">
        <f t="shared" si="5"/>
        <v>2746.6000000000099</v>
      </c>
      <c r="G45" s="15" t="str">
        <f t="shared" si="4"/>
        <v/>
      </c>
      <c r="H45" s="16">
        <v>3040.201</v>
      </c>
      <c r="I45" s="16">
        <f t="shared" si="6"/>
        <v>-293.60099999999011</v>
      </c>
      <c r="J45" s="15">
        <f t="shared" si="7"/>
        <v>-9.6572891068712266E-2</v>
      </c>
      <c r="K45" s="185"/>
      <c r="L45" s="92"/>
    </row>
    <row r="46" spans="1:15" ht="15.6">
      <c r="A46" s="24" t="str">
        <v>X024</v>
      </c>
      <c r="B46" s="25" t="str">
        <v>NY</v>
      </c>
      <c r="C46" s="25" t="str">
        <f>Sites[[#This Row],[SOL'#]]</f>
        <v>SOL-10419</v>
      </c>
      <c r="D46" s="20">
        <v>10428.59375</v>
      </c>
      <c r="E46" s="10">
        <v>12244.82</v>
      </c>
      <c r="F46" s="10">
        <f t="shared" si="5"/>
        <v>-1816.2262499999997</v>
      </c>
      <c r="G46" s="11">
        <f t="shared" si="4"/>
        <v>-0.14832608809276085</v>
      </c>
      <c r="H46" s="12">
        <v>9503</v>
      </c>
      <c r="I46" s="12">
        <f t="shared" si="6"/>
        <v>925.59375</v>
      </c>
      <c r="J46" s="13">
        <f t="shared" si="7"/>
        <v>9.7400163106387452E-2</v>
      </c>
      <c r="K46" s="49" t="s">
        <v>2431</v>
      </c>
      <c r="L46" s="49"/>
    </row>
    <row r="47" spans="1:15" ht="28.9">
      <c r="A47" s="26" t="str">
        <v>X026</v>
      </c>
      <c r="B47" s="27" t="str">
        <v>NY</v>
      </c>
      <c r="C47" s="26" t="str">
        <f>Sites[[#This Row],[SOL'#]]</f>
        <v>SOL-10420</v>
      </c>
      <c r="D47" s="9">
        <v>8707.6</v>
      </c>
      <c r="E47" s="14">
        <v>10105.83</v>
      </c>
      <c r="F47" s="14">
        <f t="shared" si="5"/>
        <v>-1398.2299999999996</v>
      </c>
      <c r="G47" s="15">
        <f t="shared" si="4"/>
        <v>-0.13835874935556997</v>
      </c>
      <c r="H47" s="16">
        <v>12253.37</v>
      </c>
      <c r="I47" s="16">
        <f t="shared" si="6"/>
        <v>-3545.7700000000004</v>
      </c>
      <c r="J47" s="15">
        <f t="shared" si="7"/>
        <v>-0.28937100569067942</v>
      </c>
      <c r="K47" s="185" t="s">
        <v>1690</v>
      </c>
      <c r="L47" s="110" t="s">
        <v>2432</v>
      </c>
      <c r="M47" s="103" t="s">
        <v>2138</v>
      </c>
    </row>
    <row r="48" spans="1:15" ht="63.75" customHeight="1">
      <c r="A48" s="24" t="str">
        <v>X090</v>
      </c>
      <c r="B48" s="25" t="str">
        <v>NY</v>
      </c>
      <c r="C48" s="25" t="str">
        <f>Sites[[#This Row],[SOL'#]]</f>
        <v>SOL-10925</v>
      </c>
      <c r="D48" s="20">
        <v>5888.96875</v>
      </c>
      <c r="E48" s="10">
        <v>6658.3770000000004</v>
      </c>
      <c r="F48" s="10">
        <f t="shared" si="5"/>
        <v>-769.40825000000041</v>
      </c>
      <c r="G48" s="11">
        <f t="shared" si="4"/>
        <v>-0.11555492427058431</v>
      </c>
      <c r="H48" s="12">
        <v>8527</v>
      </c>
      <c r="I48" s="12">
        <f t="shared" si="6"/>
        <v>-2638.03125</v>
      </c>
      <c r="J48" s="13">
        <f t="shared" si="7"/>
        <v>-0.30937390055119035</v>
      </c>
      <c r="K48" s="49" t="s">
        <v>2433</v>
      </c>
      <c r="L48" s="109" t="s">
        <v>2158</v>
      </c>
      <c r="M48" s="103" t="s">
        <v>2128</v>
      </c>
    </row>
    <row r="49" spans="1:15" ht="15.6">
      <c r="A49" s="26" t="str">
        <v>X117</v>
      </c>
      <c r="B49" s="27" t="str">
        <v>NY</v>
      </c>
      <c r="C49" s="26" t="str">
        <f>Sites[[#This Row],[SOL'#]]</f>
        <v>SOL-10422</v>
      </c>
      <c r="D49" s="9">
        <v>6321.6</v>
      </c>
      <c r="E49" s="14">
        <v>8474.1380000000008</v>
      </c>
      <c r="F49" s="14">
        <f t="shared" si="5"/>
        <v>-2152.5380000000005</v>
      </c>
      <c r="G49" s="15">
        <f t="shared" ref="G49:G80" si="8">IFERROR(F49/E49, "")</f>
        <v>-0.25401262051668266</v>
      </c>
      <c r="H49" s="16">
        <v>7106.625</v>
      </c>
      <c r="I49" s="16">
        <f t="shared" si="6"/>
        <v>-785.02499999999964</v>
      </c>
      <c r="J49" s="15">
        <f t="shared" si="7"/>
        <v>-0.11046382776634474</v>
      </c>
      <c r="K49" s="185" t="s">
        <v>2434</v>
      </c>
      <c r="L49" s="91"/>
    </row>
    <row r="50" spans="1:15" ht="15.6">
      <c r="A50" s="24" t="str">
        <v>X125</v>
      </c>
      <c r="B50" s="25" t="str">
        <v>NY</v>
      </c>
      <c r="C50" s="25" t="str">
        <f>Sites[[#This Row],[SOL'#]]</f>
        <v>SOL-10423</v>
      </c>
      <c r="D50" s="20">
        <v>13119.9375</v>
      </c>
      <c r="E50" s="10">
        <v>15051.95</v>
      </c>
      <c r="F50" s="10">
        <f t="shared" ref="F50:F81" si="9">IF(AND(ISNUMBER(D50),ISNUMBER(E50)), D50-E50, "")</f>
        <v>-1932.0125000000007</v>
      </c>
      <c r="G50" s="11">
        <f t="shared" si="8"/>
        <v>-0.1283562927062607</v>
      </c>
      <c r="H50" s="12">
        <v>14143.7</v>
      </c>
      <c r="I50" s="12">
        <f t="shared" ref="I50:I81" si="10">IF(AND(ISNUMBER(D50),ISNUMBER(H50)), D50-H50, "")</f>
        <v>-1023.7625000000007</v>
      </c>
      <c r="J50" s="13">
        <f t="shared" ref="J50:J81" si="11">IFERROR(I50/H50, "")</f>
        <v>-7.2382933744352659E-2</v>
      </c>
      <c r="K50" s="49" t="s">
        <v>2435</v>
      </c>
      <c r="L50" s="49"/>
    </row>
    <row r="51" spans="1:15" ht="130.5" customHeight="1">
      <c r="A51" s="26" t="str">
        <v>X134</v>
      </c>
      <c r="B51" s="27" t="str">
        <v>NY</v>
      </c>
      <c r="C51" s="26" t="str">
        <f>Sites[[#This Row],[SOL'#]]</f>
        <v>SOL-10424</v>
      </c>
      <c r="D51" s="9">
        <v>11442.1875</v>
      </c>
      <c r="E51" s="14">
        <v>14878.43</v>
      </c>
      <c r="F51" s="14">
        <f t="shared" si="9"/>
        <v>-3436.2425000000003</v>
      </c>
      <c r="G51" s="15">
        <f t="shared" si="8"/>
        <v>-0.23095464373593183</v>
      </c>
      <c r="H51" s="16">
        <v>12502</v>
      </c>
      <c r="I51" s="16">
        <f t="shared" si="10"/>
        <v>-1059.8125</v>
      </c>
      <c r="J51" s="15">
        <f t="shared" si="11"/>
        <v>-8.4771436570148781E-2</v>
      </c>
      <c r="K51" s="185" t="s">
        <v>1943</v>
      </c>
      <c r="L51" s="110" t="s">
        <v>2436</v>
      </c>
      <c r="M51" s="65" t="s">
        <v>2160</v>
      </c>
      <c r="N51" s="111" t="s">
        <v>1945</v>
      </c>
      <c r="O51" s="111" t="s">
        <v>1946</v>
      </c>
    </row>
    <row r="52" spans="1:15" ht="28.9">
      <c r="A52" s="24" t="str">
        <v>X135</v>
      </c>
      <c r="B52" s="25" t="str">
        <v>NY</v>
      </c>
      <c r="C52" s="25" t="str">
        <f>Sites[[#This Row],[SOL'#]]</f>
        <v>SOL-10425</v>
      </c>
      <c r="D52" s="20">
        <v>10523.0625</v>
      </c>
      <c r="E52" s="10">
        <v>13728.07</v>
      </c>
      <c r="F52" s="10">
        <f t="shared" si="9"/>
        <v>-3205.0074999999997</v>
      </c>
      <c r="G52" s="11">
        <f t="shared" si="8"/>
        <v>-0.23346380809538411</v>
      </c>
      <c r="H52" s="12">
        <v>11620</v>
      </c>
      <c r="I52" s="12">
        <f t="shared" si="10"/>
        <v>-1096.9375</v>
      </c>
      <c r="J52" s="13">
        <f t="shared" si="11"/>
        <v>-9.4400817555938044E-2</v>
      </c>
      <c r="K52" s="49" t="s">
        <v>1947</v>
      </c>
      <c r="L52" s="49"/>
    </row>
    <row r="53" spans="1:15" ht="15.6">
      <c r="A53" s="26" t="str">
        <v>X139 JHS 222</v>
      </c>
      <c r="B53" s="27" t="str">
        <v>NY</v>
      </c>
      <c r="C53" s="26" t="str">
        <f>Sites[[#This Row],[SOL'#]]</f>
        <v>SOL-10426</v>
      </c>
      <c r="D53" s="9">
        <v>15036.706620000001</v>
      </c>
      <c r="E53" s="14">
        <v>15046.13</v>
      </c>
      <c r="F53" s="14">
        <f t="shared" si="9"/>
        <v>-9.4233799999983603</v>
      </c>
      <c r="G53" s="15">
        <f t="shared" si="8"/>
        <v>-6.2629925435964996E-4</v>
      </c>
      <c r="H53" s="16">
        <v>15018</v>
      </c>
      <c r="I53" s="16">
        <f t="shared" si="10"/>
        <v>18.706620000000839</v>
      </c>
      <c r="J53" s="15">
        <f t="shared" si="11"/>
        <v>1.2456132640831562E-3</v>
      </c>
      <c r="K53" s="185"/>
      <c r="L53" s="185"/>
    </row>
    <row r="54" spans="1:15" ht="15.6">
      <c r="A54" s="24" t="str">
        <v>X140</v>
      </c>
      <c r="B54" s="25" t="str">
        <v>NY</v>
      </c>
      <c r="C54" s="25" t="str">
        <f>Sites[[#This Row],[SOL'#]]</f>
        <v>SOL-10926</v>
      </c>
      <c r="D54" s="20">
        <v>9349.5762130801995</v>
      </c>
      <c r="E54" s="10">
        <v>7738.4549999999999</v>
      </c>
      <c r="F54" s="10">
        <f t="shared" si="9"/>
        <v>1611.1212130801996</v>
      </c>
      <c r="G54" s="11">
        <f t="shared" si="8"/>
        <v>0.20819675414281011</v>
      </c>
      <c r="H54" s="12">
        <v>9515</v>
      </c>
      <c r="I54" s="12">
        <f t="shared" si="10"/>
        <v>-165.42378691980048</v>
      </c>
      <c r="J54" s="13">
        <f t="shared" si="11"/>
        <v>-1.7385579287419912E-2</v>
      </c>
      <c r="K54" s="49"/>
      <c r="L54" s="49"/>
    </row>
    <row r="55" spans="1:15" ht="15.6">
      <c r="A55" s="26" t="str">
        <v>X166</v>
      </c>
      <c r="B55" s="27" t="str">
        <v>NY</v>
      </c>
      <c r="C55" s="26" t="str">
        <f>Sites[[#This Row],[SOL'#]]</f>
        <v>SOL-10427</v>
      </c>
      <c r="D55" s="9">
        <v>8907.5</v>
      </c>
      <c r="E55" s="14">
        <v>11172.59</v>
      </c>
      <c r="F55" s="14">
        <f t="shared" si="9"/>
        <v>-2265.09</v>
      </c>
      <c r="G55" s="15">
        <f t="shared" si="8"/>
        <v>-0.2027363395595829</v>
      </c>
      <c r="H55" s="16">
        <v>9160</v>
      </c>
      <c r="I55" s="16">
        <f t="shared" si="10"/>
        <v>-252.5</v>
      </c>
      <c r="J55" s="15">
        <f t="shared" si="11"/>
        <v>-2.7565502183406112E-2</v>
      </c>
      <c r="K55" s="185" t="s">
        <v>2117</v>
      </c>
      <c r="L55" s="91"/>
    </row>
    <row r="56" spans="1:15" ht="28.9">
      <c r="A56" s="24" t="str">
        <v>Murphy</v>
      </c>
      <c r="B56" s="25" t="str">
        <v>MN</v>
      </c>
      <c r="C56" s="25" t="str">
        <f>Sites[[#This Row],[SOL'#]]</f>
        <v>SOL-10094</v>
      </c>
      <c r="D56" s="20">
        <v>400900</v>
      </c>
      <c r="E56" s="10">
        <v>526376.4</v>
      </c>
      <c r="F56" s="10">
        <f t="shared" si="9"/>
        <v>-125476.40000000002</v>
      </c>
      <c r="G56" s="11">
        <f t="shared" si="8"/>
        <v>-0.23837770842309802</v>
      </c>
      <c r="H56" s="12">
        <v>491188.9</v>
      </c>
      <c r="I56" s="12">
        <f t="shared" si="10"/>
        <v>-90288.900000000023</v>
      </c>
      <c r="J56" s="13">
        <f t="shared" si="11"/>
        <v>-0.18381706101257586</v>
      </c>
      <c r="K56" s="49" t="s">
        <v>2162</v>
      </c>
      <c r="L56" s="109" t="s">
        <v>2163</v>
      </c>
      <c r="M56" s="103" t="s">
        <v>2135</v>
      </c>
    </row>
    <row r="57" spans="1:15" ht="54.75" customHeight="1">
      <c r="A57" s="26" t="str">
        <v>Terning</v>
      </c>
      <c r="B57" s="27" t="str">
        <v>MN</v>
      </c>
      <c r="C57" s="26" t="str">
        <f>Sites[[#This Row],[SOL'#]]</f>
        <v>SOL-10093</v>
      </c>
      <c r="D57" s="9">
        <v>423557.48258706398</v>
      </c>
      <c r="E57" s="14">
        <v>495028.5</v>
      </c>
      <c r="F57" s="14">
        <f t="shared" si="9"/>
        <v>-71471.017412936024</v>
      </c>
      <c r="G57" s="15">
        <f t="shared" si="8"/>
        <v>-0.14437758111489749</v>
      </c>
      <c r="H57" s="16">
        <v>455541.5</v>
      </c>
      <c r="I57" s="16">
        <f t="shared" si="10"/>
        <v>-31984.017412936024</v>
      </c>
      <c r="J57" s="15">
        <f t="shared" si="11"/>
        <v>-7.0210984977078977E-2</v>
      </c>
      <c r="K57" s="175" t="s">
        <v>2437</v>
      </c>
      <c r="L57" s="110" t="s">
        <v>2438</v>
      </c>
      <c r="M57" s="103" t="s">
        <v>2135</v>
      </c>
    </row>
    <row r="58" spans="1:15" ht="28.9">
      <c r="A58" s="24" t="str">
        <v>Boas Road 04</v>
      </c>
      <c r="B58" s="25" t="str">
        <v>NY</v>
      </c>
      <c r="C58" s="25" t="str">
        <f>Sites[[#This Row],[SOL'#]]</f>
        <v>SOL-10908</v>
      </c>
      <c r="D58" s="20">
        <v>39623</v>
      </c>
      <c r="E58" s="10">
        <v>39623</v>
      </c>
      <c r="F58" s="10">
        <f t="shared" si="9"/>
        <v>0</v>
      </c>
      <c r="G58" s="11">
        <f t="shared" si="8"/>
        <v>0</v>
      </c>
      <c r="H58" s="12">
        <v>142386.318</v>
      </c>
      <c r="I58" s="12">
        <f t="shared" si="10"/>
        <v>-102763.318</v>
      </c>
      <c r="J58" s="13">
        <f t="shared" si="11"/>
        <v>-0.7217218581352739</v>
      </c>
      <c r="K58" s="108" t="s">
        <v>2439</v>
      </c>
      <c r="L58" s="109" t="s">
        <v>2440</v>
      </c>
      <c r="M58" s="103" t="s">
        <v>2128</v>
      </c>
    </row>
    <row r="59" spans="1:15" ht="53.25" customHeight="1">
      <c r="A59" s="26" t="str">
        <v>Kelly Bridge Farm</v>
      </c>
      <c r="B59" s="27" t="str">
        <v>NY</v>
      </c>
      <c r="C59" s="26" t="str">
        <f>Sites[[#This Row],[SOL'#]]</f>
        <v>SOL-10911</v>
      </c>
      <c r="D59" s="9">
        <v>132198</v>
      </c>
      <c r="E59" s="14" t="s">
        <v>661</v>
      </c>
      <c r="F59" s="14" t="str">
        <f t="shared" si="9"/>
        <v/>
      </c>
      <c r="G59" s="15" t="str">
        <f t="shared" si="8"/>
        <v/>
      </c>
      <c r="H59" s="16">
        <v>174569.527</v>
      </c>
      <c r="I59" s="16">
        <f t="shared" si="10"/>
        <v>-42371.527000000002</v>
      </c>
      <c r="J59" s="15">
        <f t="shared" si="11"/>
        <v>-0.24272006534107182</v>
      </c>
      <c r="K59" s="185" t="s">
        <v>2441</v>
      </c>
      <c r="L59" s="110" t="s">
        <v>2442</v>
      </c>
      <c r="M59" s="103" t="s">
        <v>2128</v>
      </c>
      <c r="N59" s="111" t="s">
        <v>2443</v>
      </c>
    </row>
    <row r="60" spans="1:15" ht="28.9">
      <c r="A60" s="24" t="str">
        <v>Pool Brook Road</v>
      </c>
      <c r="B60" s="25" t="str">
        <v>NY</v>
      </c>
      <c r="C60" s="25" t="str">
        <f>Sites[[#This Row],[SOL'#]]</f>
        <v>SOL-10909</v>
      </c>
      <c r="D60" s="20">
        <v>105643</v>
      </c>
      <c r="E60" s="10">
        <v>105644</v>
      </c>
      <c r="F60" s="10">
        <f t="shared" si="9"/>
        <v>-1</v>
      </c>
      <c r="G60" s="11">
        <f t="shared" si="8"/>
        <v>-9.4657529059861427E-6</v>
      </c>
      <c r="H60" s="12">
        <v>163526.55900000001</v>
      </c>
      <c r="I60" s="12">
        <f t="shared" si="10"/>
        <v>-57883.559000000008</v>
      </c>
      <c r="J60" s="13">
        <f t="shared" si="11"/>
        <v>-0.3539703847128588</v>
      </c>
      <c r="K60" s="49" t="s">
        <v>2444</v>
      </c>
      <c r="L60" s="49"/>
    </row>
    <row r="61" spans="1:15" ht="21.4" customHeight="1">
      <c r="A61" s="26" t="str">
        <v>Sackett Lake</v>
      </c>
      <c r="B61" s="27" t="str">
        <v>NY</v>
      </c>
      <c r="C61" s="26" t="str">
        <f>Sites[[#This Row],[SOL'#]]</f>
        <v>SOL-10910</v>
      </c>
      <c r="D61" s="9">
        <v>157875</v>
      </c>
      <c r="E61" s="14">
        <v>0</v>
      </c>
      <c r="F61" s="14">
        <f t="shared" si="9"/>
        <v>157875</v>
      </c>
      <c r="G61" s="15" t="str">
        <f t="shared" si="8"/>
        <v/>
      </c>
      <c r="H61" s="16">
        <v>188154.052</v>
      </c>
      <c r="I61" s="16">
        <f t="shared" si="10"/>
        <v>-30279.051999999996</v>
      </c>
      <c r="J61" s="15">
        <f t="shared" si="11"/>
        <v>-0.16092691960734387</v>
      </c>
      <c r="K61" s="185" t="s">
        <v>2445</v>
      </c>
      <c r="L61" s="110" t="s">
        <v>2446</v>
      </c>
      <c r="M61" s="103" t="s">
        <v>2447</v>
      </c>
    </row>
    <row r="62" spans="1:15" ht="28.9">
      <c r="A62" s="24" t="str">
        <v>Burritt Road</v>
      </c>
      <c r="B62" s="25" t="str">
        <v>NY</v>
      </c>
      <c r="C62" s="25" t="str">
        <f>Sites[[#This Row],[SOL'#]]</f>
        <v>SOL-10913</v>
      </c>
      <c r="D62" s="20">
        <v>116460</v>
      </c>
      <c r="E62" s="10">
        <v>0</v>
      </c>
      <c r="F62" s="10">
        <f t="shared" si="9"/>
        <v>116460</v>
      </c>
      <c r="G62" s="11" t="str">
        <f t="shared" si="8"/>
        <v/>
      </c>
      <c r="H62" s="12">
        <v>142556.073</v>
      </c>
      <c r="I62" s="12">
        <f t="shared" si="10"/>
        <v>-26096.073000000004</v>
      </c>
      <c r="J62" s="13">
        <f t="shared" si="11"/>
        <v>-0.18305830436280329</v>
      </c>
      <c r="K62" s="49" t="s">
        <v>2448</v>
      </c>
      <c r="L62" s="49"/>
    </row>
    <row r="63" spans="1:15" ht="15.6">
      <c r="A63" s="26" t="str">
        <v>Villa Roma 1</v>
      </c>
      <c r="B63" s="27" t="str">
        <v>NY</v>
      </c>
      <c r="C63" s="26" t="str">
        <f>Sites[[#This Row],[SOL'#]]</f>
        <v>SOL-10914</v>
      </c>
      <c r="D63" s="9">
        <v>125785</v>
      </c>
      <c r="E63" s="14">
        <v>0</v>
      </c>
      <c r="F63" s="14">
        <f t="shared" si="9"/>
        <v>125785</v>
      </c>
      <c r="G63" s="15" t="str">
        <f t="shared" si="8"/>
        <v/>
      </c>
      <c r="H63" s="16">
        <v>128062.96799999999</v>
      </c>
      <c r="I63" s="16">
        <f t="shared" si="10"/>
        <v>-2277.9679999999935</v>
      </c>
      <c r="J63" s="15">
        <f t="shared" si="11"/>
        <v>-1.7787874477499174E-2</v>
      </c>
      <c r="K63" s="185"/>
      <c r="L63" s="91"/>
    </row>
    <row r="64" spans="1:15" ht="15.6">
      <c r="A64" s="24" t="str">
        <v>Villa Roma 2</v>
      </c>
      <c r="B64" s="25" t="str">
        <v>NY</v>
      </c>
      <c r="C64" s="25" t="str">
        <f>Sites[[#This Row],[SOL'#]]</f>
        <v>SOL-10915</v>
      </c>
      <c r="D64" s="20">
        <v>118014</v>
      </c>
      <c r="E64" s="10" t="s">
        <v>661</v>
      </c>
      <c r="F64" s="10" t="str">
        <f t="shared" si="9"/>
        <v/>
      </c>
      <c r="G64" s="11" t="str">
        <f t="shared" si="8"/>
        <v/>
      </c>
      <c r="H64" s="12">
        <v>124122.569</v>
      </c>
      <c r="I64" s="12">
        <f t="shared" si="10"/>
        <v>-6108.5690000000031</v>
      </c>
      <c r="J64" s="13">
        <f t="shared" si="11"/>
        <v>-4.9214007164160474E-2</v>
      </c>
      <c r="K64" s="49"/>
      <c r="L64" s="49"/>
    </row>
    <row r="65" spans="1:15" ht="15.6">
      <c r="A65" s="26" t="str">
        <v>Washington 1</v>
      </c>
      <c r="B65" s="27" t="str">
        <v>NY</v>
      </c>
      <c r="C65" s="26" t="str">
        <f>Sites[[#This Row],[SOL'#]]</f>
        <v>SOL-10912</v>
      </c>
      <c r="D65" s="9">
        <v>117260</v>
      </c>
      <c r="E65" s="14" t="s">
        <v>661</v>
      </c>
      <c r="F65" s="14" t="str">
        <f t="shared" si="9"/>
        <v/>
      </c>
      <c r="G65" s="15" t="str">
        <f t="shared" si="8"/>
        <v/>
      </c>
      <c r="H65" s="16">
        <v>137913.965</v>
      </c>
      <c r="I65" s="16">
        <f t="shared" si="10"/>
        <v>-20653.964999999997</v>
      </c>
      <c r="J65" s="15">
        <f t="shared" si="11"/>
        <v>-0.14975977958432271</v>
      </c>
      <c r="K65" s="185" t="s">
        <v>2449</v>
      </c>
      <c r="L65" s="185"/>
    </row>
    <row r="66" spans="1:15" ht="120" customHeight="1">
      <c r="A66" s="24" t="str">
        <v>Washington 3</v>
      </c>
      <c r="B66" s="25" t="str">
        <v>NY</v>
      </c>
      <c r="C66" s="25" t="str">
        <f>Sites[[#This Row],[SOL'#]]</f>
        <v>SOL-10828</v>
      </c>
      <c r="D66" s="20">
        <v>0</v>
      </c>
      <c r="E66" s="10" t="s">
        <v>661</v>
      </c>
      <c r="F66" s="10" t="str">
        <f t="shared" si="9"/>
        <v/>
      </c>
      <c r="G66" s="11" t="str">
        <f t="shared" si="8"/>
        <v/>
      </c>
      <c r="H66" s="12">
        <v>168483.58100000001</v>
      </c>
      <c r="I66" s="12">
        <f t="shared" si="10"/>
        <v>-168483.58100000001</v>
      </c>
      <c r="J66" s="13">
        <f t="shared" si="11"/>
        <v>-1</v>
      </c>
      <c r="K66" s="49" t="s">
        <v>2180</v>
      </c>
      <c r="L66" s="109" t="s">
        <v>2181</v>
      </c>
      <c r="M66" s="65" t="s">
        <v>2174</v>
      </c>
      <c r="N66" s="111" t="s">
        <v>719</v>
      </c>
    </row>
    <row r="67" spans="1:15" ht="81" customHeight="1">
      <c r="A67" s="26" t="str">
        <v>Washington 4</v>
      </c>
      <c r="B67" s="27" t="str">
        <v>NY</v>
      </c>
      <c r="C67" s="26" t="str">
        <f>Sites[[#This Row],[SOL'#]]</f>
        <v>SOL-10829</v>
      </c>
      <c r="D67" s="9">
        <v>141649</v>
      </c>
      <c r="E67" s="14" t="s">
        <v>661</v>
      </c>
      <c r="F67" s="14" t="str">
        <f t="shared" si="9"/>
        <v/>
      </c>
      <c r="G67" s="15" t="str">
        <f t="shared" si="8"/>
        <v/>
      </c>
      <c r="H67" s="16">
        <v>168883.53099999999</v>
      </c>
      <c r="I67" s="16">
        <f t="shared" si="10"/>
        <v>-27234.530999999988</v>
      </c>
      <c r="J67" s="15">
        <f t="shared" si="11"/>
        <v>-0.1612622073848041</v>
      </c>
      <c r="K67" s="185" t="s">
        <v>2450</v>
      </c>
      <c r="L67" s="110" t="s">
        <v>2451</v>
      </c>
      <c r="M67" s="65" t="s">
        <v>2197</v>
      </c>
      <c r="N67" s="111" t="s">
        <v>2452</v>
      </c>
      <c r="O67" s="111" t="s">
        <v>2452</v>
      </c>
    </row>
    <row r="68" spans="1:15" ht="28.9">
      <c r="A68" s="24" t="str">
        <v>Big Tree</v>
      </c>
      <c r="B68" s="25" t="str">
        <v>NY</v>
      </c>
      <c r="C68" s="25" t="str">
        <f>Sites[[#This Row],[SOL'#]]</f>
        <v>SOL-10966</v>
      </c>
      <c r="D68" s="20">
        <v>121800</v>
      </c>
      <c r="E68" s="10">
        <v>120500</v>
      </c>
      <c r="F68" s="10">
        <f t="shared" si="9"/>
        <v>1300</v>
      </c>
      <c r="G68" s="11">
        <f t="shared" si="8"/>
        <v>1.0788381742738589E-2</v>
      </c>
      <c r="H68" s="12">
        <v>133656.75</v>
      </c>
      <c r="I68" s="12">
        <f t="shared" si="10"/>
        <v>-11856.75</v>
      </c>
      <c r="J68" s="13">
        <f t="shared" si="11"/>
        <v>-8.8710446722668326E-2</v>
      </c>
      <c r="K68" s="49" t="s">
        <v>2453</v>
      </c>
      <c r="L68" s="109" t="s">
        <v>2454</v>
      </c>
      <c r="M68" s="103" t="s">
        <v>2128</v>
      </c>
    </row>
    <row r="69" spans="1:15" ht="15.6">
      <c r="A69" s="26" t="str">
        <v>Canoga</v>
      </c>
      <c r="B69" s="27" t="str">
        <v>NY</v>
      </c>
      <c r="C69" s="26" t="str">
        <f>Sites[[#This Row],[SOL'#]]</f>
        <v>SOL-10965</v>
      </c>
      <c r="D69" s="9">
        <v>218690</v>
      </c>
      <c r="E69" s="14" t="s">
        <v>661</v>
      </c>
      <c r="F69" s="14" t="str">
        <f t="shared" si="9"/>
        <v/>
      </c>
      <c r="G69" s="15" t="str">
        <f t="shared" si="8"/>
        <v/>
      </c>
      <c r="H69" s="16">
        <v>368801.4</v>
      </c>
      <c r="I69" s="16">
        <f t="shared" si="10"/>
        <v>-150111.40000000002</v>
      </c>
      <c r="J69" s="15">
        <f t="shared" si="11"/>
        <v>-0.40702502756225983</v>
      </c>
      <c r="K69" s="185" t="s">
        <v>2455</v>
      </c>
      <c r="L69" s="110" t="s">
        <v>2456</v>
      </c>
      <c r="M69" s="103" t="s">
        <v>2116</v>
      </c>
    </row>
    <row r="70" spans="1:15" ht="82.5" customHeight="1">
      <c r="A70" s="24" t="str">
        <v>County Route 84</v>
      </c>
      <c r="B70" s="25" t="str">
        <v>NY</v>
      </c>
      <c r="C70" s="25" t="str">
        <f>Sites[[#This Row],[SOL'#]]</f>
        <v>SOL-10967</v>
      </c>
      <c r="D70" s="20">
        <v>333660</v>
      </c>
      <c r="E70" s="10">
        <v>330830</v>
      </c>
      <c r="F70" s="10">
        <f t="shared" si="9"/>
        <v>2830</v>
      </c>
      <c r="G70" s="11">
        <f t="shared" si="8"/>
        <v>8.5542423601245345E-3</v>
      </c>
      <c r="H70" s="12">
        <v>441192.04200000002</v>
      </c>
      <c r="I70" s="12">
        <f t="shared" si="10"/>
        <v>-107532.04200000002</v>
      </c>
      <c r="J70" s="13">
        <f t="shared" si="11"/>
        <v>-0.24373069267645586</v>
      </c>
      <c r="K70" s="49" t="s">
        <v>2457</v>
      </c>
      <c r="L70" s="116" t="s">
        <v>2458</v>
      </c>
      <c r="M70" s="65" t="s">
        <v>2193</v>
      </c>
      <c r="N70" s="111" t="s">
        <v>2459</v>
      </c>
    </row>
    <row r="71" spans="1:15" ht="78" customHeight="1">
      <c r="A71" s="26" t="str">
        <v>Donati</v>
      </c>
      <c r="B71" s="27" t="str">
        <v>NY</v>
      </c>
      <c r="C71" s="26" t="str">
        <f>Sites[[#This Row],[SOL'#]]</f>
        <v>SOL-10968</v>
      </c>
      <c r="D71" s="9">
        <v>121660</v>
      </c>
      <c r="E71" s="14">
        <v>115500</v>
      </c>
      <c r="F71" s="14">
        <f t="shared" si="9"/>
        <v>6160</v>
      </c>
      <c r="G71" s="15">
        <f t="shared" si="8"/>
        <v>5.3333333333333337E-2</v>
      </c>
      <c r="H71" s="16">
        <v>143677.777</v>
      </c>
      <c r="I71" s="16">
        <f t="shared" si="10"/>
        <v>-22017.777000000002</v>
      </c>
      <c r="J71" s="15">
        <f t="shared" si="11"/>
        <v>-0.15324413740059467</v>
      </c>
      <c r="K71" s="185" t="s">
        <v>2460</v>
      </c>
      <c r="L71" s="110" t="s">
        <v>2461</v>
      </c>
      <c r="M71" s="103" t="s">
        <v>2116</v>
      </c>
    </row>
    <row r="72" spans="1:15" ht="15.6">
      <c r="A72" s="24" t="str">
        <v>Henrietta</v>
      </c>
      <c r="B72" s="25" t="str">
        <v>NY</v>
      </c>
      <c r="C72" s="25" t="str">
        <f>Sites[[#This Row],[SOL'#]]</f>
        <v>SOL-10972</v>
      </c>
      <c r="D72" s="20">
        <v>228280</v>
      </c>
      <c r="E72" s="10">
        <v>223860</v>
      </c>
      <c r="F72" s="10">
        <f t="shared" si="9"/>
        <v>4420</v>
      </c>
      <c r="G72" s="11">
        <f t="shared" si="8"/>
        <v>1.9744483159117306E-2</v>
      </c>
      <c r="H72" s="12">
        <v>274835.89</v>
      </c>
      <c r="I72" s="12">
        <f t="shared" si="10"/>
        <v>-46555.890000000014</v>
      </c>
      <c r="J72" s="13">
        <f t="shared" si="11"/>
        <v>-0.16939523437059117</v>
      </c>
      <c r="K72" s="49" t="s">
        <v>2462</v>
      </c>
      <c r="L72" s="109" t="s">
        <v>2463</v>
      </c>
      <c r="M72" s="103" t="s">
        <v>2116</v>
      </c>
      <c r="N72" s="111" t="s">
        <v>2464</v>
      </c>
    </row>
    <row r="73" spans="1:15" ht="86.45">
      <c r="A73" s="26" t="str">
        <v>NY 70</v>
      </c>
      <c r="B73" s="27" t="str">
        <v>NY</v>
      </c>
      <c r="C73" s="26" t="str">
        <f>Sites[[#This Row],[SOL'#]]</f>
        <v>SOL-10970</v>
      </c>
      <c r="D73" s="9">
        <v>200190</v>
      </c>
      <c r="E73" s="14">
        <v>197550</v>
      </c>
      <c r="F73" s="14">
        <f t="shared" si="9"/>
        <v>2640</v>
      </c>
      <c r="G73" s="15">
        <f t="shared" si="8"/>
        <v>1.3363705391040244E-2</v>
      </c>
      <c r="H73" s="16">
        <v>364301.52</v>
      </c>
      <c r="I73" s="16">
        <f t="shared" si="10"/>
        <v>-164111.52000000002</v>
      </c>
      <c r="J73" s="15">
        <f t="shared" si="11"/>
        <v>-0.4504826661167925</v>
      </c>
      <c r="K73" s="185" t="s">
        <v>2465</v>
      </c>
      <c r="L73" s="110" t="s">
        <v>2466</v>
      </c>
      <c r="M73" s="65" t="s">
        <v>2219</v>
      </c>
      <c r="N73" s="111" t="s">
        <v>2467</v>
      </c>
      <c r="O73" s="111" t="s">
        <v>2468</v>
      </c>
    </row>
    <row r="74" spans="1:15" ht="105.75" customHeight="1">
      <c r="A74" s="24" t="str">
        <v>Reid</v>
      </c>
      <c r="B74" s="25" t="str">
        <v>NY</v>
      </c>
      <c r="C74" s="25" t="str">
        <f>Sites[[#This Row],[SOL'#]]</f>
        <v>SOL-10991</v>
      </c>
      <c r="D74" s="20">
        <v>257503.07402062399</v>
      </c>
      <c r="E74" s="10">
        <v>278209</v>
      </c>
      <c r="F74" s="10">
        <f t="shared" si="9"/>
        <v>-20705.925979376014</v>
      </c>
      <c r="G74" s="11">
        <f t="shared" si="8"/>
        <v>-7.4425794921717178E-2</v>
      </c>
      <c r="H74" s="12">
        <v>315841</v>
      </c>
      <c r="I74" s="12">
        <f t="shared" si="10"/>
        <v>-58337.925979376014</v>
      </c>
      <c r="J74" s="13">
        <f t="shared" si="11"/>
        <v>-0.18470662763661466</v>
      </c>
      <c r="K74" s="49" t="s">
        <v>2469</v>
      </c>
      <c r="L74" s="109" t="s">
        <v>2470</v>
      </c>
      <c r="M74" s="65" t="s">
        <v>2471</v>
      </c>
      <c r="N74" s="111" t="s">
        <v>2206</v>
      </c>
      <c r="O74" s="111" t="s">
        <v>2207</v>
      </c>
    </row>
    <row r="75" spans="1:15" ht="86.25" customHeight="1">
      <c r="A75" s="26" t="str">
        <v>Sangolqui</v>
      </c>
      <c r="B75" s="27" t="str">
        <v>NY</v>
      </c>
      <c r="C75" s="26" t="str">
        <f>Sites[[#This Row],[SOL'#]]</f>
        <v>SOL-10975</v>
      </c>
      <c r="D75" s="9">
        <v>123510</v>
      </c>
      <c r="E75" s="14">
        <v>53100</v>
      </c>
      <c r="F75" s="14">
        <f t="shared" si="9"/>
        <v>70410</v>
      </c>
      <c r="G75" s="15">
        <f t="shared" si="8"/>
        <v>1.3259887005649718</v>
      </c>
      <c r="H75" s="16">
        <v>139173.83100000001</v>
      </c>
      <c r="I75" s="16">
        <f t="shared" si="10"/>
        <v>-15663.831000000006</v>
      </c>
      <c r="J75" s="15">
        <f t="shared" si="11"/>
        <v>-0.11254868021848162</v>
      </c>
      <c r="K75" s="185" t="s">
        <v>2472</v>
      </c>
      <c r="L75" s="110" t="s">
        <v>2473</v>
      </c>
      <c r="M75" s="65" t="s">
        <v>2474</v>
      </c>
      <c r="N75" s="111" t="s">
        <v>2475</v>
      </c>
    </row>
    <row r="76" spans="1:15" ht="30.75" customHeight="1">
      <c r="A76" s="24" t="str">
        <v>State Highway 17B</v>
      </c>
      <c r="B76" s="25" t="str">
        <v>NY</v>
      </c>
      <c r="C76" s="25" t="str">
        <f>Sites[[#This Row],[SOL'#]]</f>
        <v>SOL-10988</v>
      </c>
      <c r="D76" s="20">
        <v>362770</v>
      </c>
      <c r="E76" s="10">
        <v>359540</v>
      </c>
      <c r="F76" s="10">
        <f t="shared" si="9"/>
        <v>3230</v>
      </c>
      <c r="G76" s="11">
        <f t="shared" si="8"/>
        <v>8.9837013962285137E-3</v>
      </c>
      <c r="H76" s="12">
        <v>359873.2</v>
      </c>
      <c r="I76" s="12">
        <f t="shared" si="10"/>
        <v>2896.7999999999884</v>
      </c>
      <c r="J76" s="13">
        <f t="shared" si="11"/>
        <v>8.049501880106627E-3</v>
      </c>
      <c r="K76" s="49"/>
      <c r="L76" s="49"/>
    </row>
    <row r="77" spans="1:15" ht="86.45">
      <c r="A77" s="26" t="str">
        <v>State Route 14A</v>
      </c>
      <c r="B77" s="27" t="str">
        <v>NY</v>
      </c>
      <c r="C77" s="26" t="str">
        <f>Sites[[#This Row],[SOL'#]]</f>
        <v>SOL-10997</v>
      </c>
      <c r="D77" s="9">
        <v>0</v>
      </c>
      <c r="E77" s="14">
        <v>0</v>
      </c>
      <c r="F77" s="14">
        <f t="shared" si="9"/>
        <v>0</v>
      </c>
      <c r="G77" s="15" t="str">
        <f t="shared" si="8"/>
        <v/>
      </c>
      <c r="H77" s="16">
        <v>439104.68800000002</v>
      </c>
      <c r="I77" s="16">
        <f t="shared" si="10"/>
        <v>-439104.68800000002</v>
      </c>
      <c r="J77" s="15">
        <f t="shared" si="11"/>
        <v>-1</v>
      </c>
      <c r="K77" s="185" t="s">
        <v>1510</v>
      </c>
      <c r="L77" s="110" t="s">
        <v>2213</v>
      </c>
      <c r="M77" s="103" t="s">
        <v>2116</v>
      </c>
    </row>
    <row r="78" spans="1:15" ht="15.6">
      <c r="A78" s="24" t="str">
        <v>West Creek</v>
      </c>
      <c r="B78" s="25" t="str">
        <v>NY</v>
      </c>
      <c r="C78" s="25" t="str">
        <f>Sites[[#This Row],[SOL'#]]</f>
        <v>SOL-10995</v>
      </c>
      <c r="D78" s="20">
        <v>375260</v>
      </c>
      <c r="E78" s="10">
        <v>371590</v>
      </c>
      <c r="F78" s="10">
        <f t="shared" si="9"/>
        <v>3670</v>
      </c>
      <c r="G78" s="11">
        <f t="shared" si="8"/>
        <v>9.8764767620226589E-3</v>
      </c>
      <c r="H78" s="12">
        <v>413949.43</v>
      </c>
      <c r="I78" s="12">
        <f t="shared" si="10"/>
        <v>-38689.429999999993</v>
      </c>
      <c r="J78" s="13">
        <f t="shared" si="11"/>
        <v>-9.3464146091468206E-2</v>
      </c>
      <c r="K78" s="49"/>
      <c r="L78" s="49"/>
    </row>
    <row r="79" spans="1:15" ht="45" customHeight="1">
      <c r="A79" s="26" t="str">
        <v>Wildflower</v>
      </c>
      <c r="B79" s="27" t="str">
        <v>NY</v>
      </c>
      <c r="C79" s="26" t="str">
        <f>Sites[[#This Row],[SOL'#]]</f>
        <v>SOL-10982</v>
      </c>
      <c r="D79" s="9">
        <v>225943</v>
      </c>
      <c r="E79" s="14">
        <v>142367</v>
      </c>
      <c r="F79" s="14">
        <f t="shared" si="9"/>
        <v>83576</v>
      </c>
      <c r="G79" s="15">
        <f t="shared" si="8"/>
        <v>0.58704615535903681</v>
      </c>
      <c r="H79" s="16">
        <v>429842.2</v>
      </c>
      <c r="I79" s="16">
        <f t="shared" si="10"/>
        <v>-203899.2</v>
      </c>
      <c r="J79" s="15">
        <f t="shared" si="11"/>
        <v>-0.47435826449799484</v>
      </c>
      <c r="K79" s="185" t="s">
        <v>2476</v>
      </c>
      <c r="L79" s="110" t="s">
        <v>2477</v>
      </c>
      <c r="M79" s="103" t="s">
        <v>2159</v>
      </c>
    </row>
    <row r="80" spans="1:15" ht="80.25" customHeight="1">
      <c r="A80" s="24" t="str">
        <v>Glen Mary 1</v>
      </c>
      <c r="B80" s="25" t="str">
        <v>NY</v>
      </c>
      <c r="C80" s="25" t="str">
        <f>Sites[[#This Row],[SOL'#]]</f>
        <v>SOL-10993</v>
      </c>
      <c r="D80" s="20">
        <v>234530</v>
      </c>
      <c r="E80" s="10">
        <v>231500</v>
      </c>
      <c r="F80" s="10">
        <f t="shared" si="9"/>
        <v>3030</v>
      </c>
      <c r="G80" s="11">
        <f t="shared" si="8"/>
        <v>1.3088552915766738E-2</v>
      </c>
      <c r="H80" s="12">
        <v>460387.386</v>
      </c>
      <c r="I80" s="12">
        <f t="shared" si="10"/>
        <v>-225857.386</v>
      </c>
      <c r="J80" s="13">
        <f t="shared" si="11"/>
        <v>-0.49058117765198717</v>
      </c>
      <c r="K80" s="49" t="s">
        <v>2478</v>
      </c>
      <c r="L80" s="109" t="s">
        <v>2479</v>
      </c>
      <c r="M80" s="65" t="s">
        <v>2339</v>
      </c>
      <c r="N80" s="111" t="s">
        <v>2480</v>
      </c>
    </row>
    <row r="81" spans="1:14" ht="31.15" customHeight="1">
      <c r="A81" s="26" t="str">
        <v>Glen Mary 2</v>
      </c>
      <c r="B81" s="27" t="str">
        <v>NY</v>
      </c>
      <c r="C81" s="26" t="str">
        <f>Sites[[#This Row],[SOL'#]]</f>
        <v>SOL-10994</v>
      </c>
      <c r="D81" s="9">
        <v>179680</v>
      </c>
      <c r="E81" s="14">
        <v>0</v>
      </c>
      <c r="F81" s="14">
        <f t="shared" si="9"/>
        <v>179680</v>
      </c>
      <c r="G81" s="15" t="str">
        <f t="shared" ref="G81:G83" si="12">IFERROR(F81/E81, "")</f>
        <v/>
      </c>
      <c r="H81" s="16">
        <v>190921.348</v>
      </c>
      <c r="I81" s="16">
        <f t="shared" si="10"/>
        <v>-11241.347999999998</v>
      </c>
      <c r="J81" s="15">
        <f t="shared" si="11"/>
        <v>-5.8879471142221342E-2</v>
      </c>
      <c r="K81" s="185" t="s">
        <v>2009</v>
      </c>
      <c r="L81" s="110" t="s">
        <v>2010</v>
      </c>
      <c r="M81" s="103" t="s">
        <v>2481</v>
      </c>
    </row>
    <row r="82" spans="1:14" ht="28.9">
      <c r="A82" s="24" t="str">
        <v>Telegraph 1</v>
      </c>
      <c r="B82" s="25" t="str">
        <v>NY</v>
      </c>
      <c r="C82" s="25" t="str">
        <f>Sites[[#This Row],[SOL'#]]</f>
        <v>SOL-11003</v>
      </c>
      <c r="D82" s="20">
        <v>231050</v>
      </c>
      <c r="E82" s="10" t="s">
        <v>661</v>
      </c>
      <c r="F82" s="10" t="str">
        <f t="shared" ref="F82:F113" si="13">IF(AND(ISNUMBER(D82),ISNUMBER(E82)), D82-E82, "")</f>
        <v/>
      </c>
      <c r="G82" s="11" t="str">
        <f t="shared" si="12"/>
        <v/>
      </c>
      <c r="H82" s="12">
        <v>268935.19699999999</v>
      </c>
      <c r="I82" s="12">
        <f t="shared" ref="I82:I113" si="14">IF(AND(ISNUMBER(D82),ISNUMBER(H82)), D82-H82, "")</f>
        <v>-37885.196999999986</v>
      </c>
      <c r="J82" s="13">
        <f t="shared" ref="J82:J113" si="15">IFERROR(I82/H82, "")</f>
        <v>-0.14087109988805216</v>
      </c>
      <c r="K82" s="49" t="s">
        <v>2482</v>
      </c>
      <c r="L82" s="109" t="s">
        <v>2483</v>
      </c>
      <c r="M82" s="108" t="s">
        <v>2254</v>
      </c>
      <c r="N82" s="111" t="s">
        <v>2484</v>
      </c>
    </row>
    <row r="83" spans="1:14" ht="16.899999999999999" customHeight="1">
      <c r="A83" s="26" t="str">
        <v>Telegraph 2</v>
      </c>
      <c r="B83" s="27" t="str">
        <v>NY</v>
      </c>
      <c r="C83" s="26" t="str">
        <f>Sites[[#This Row],[SOL'#]]</f>
        <v>SOL-11004</v>
      </c>
      <c r="D83" s="9">
        <v>125680</v>
      </c>
      <c r="E83" s="14" t="s">
        <v>661</v>
      </c>
      <c r="F83" s="14" t="str">
        <f t="shared" si="13"/>
        <v/>
      </c>
      <c r="G83" s="15" t="str">
        <f t="shared" si="12"/>
        <v/>
      </c>
      <c r="H83" s="16">
        <v>138779.81700000001</v>
      </c>
      <c r="I83" s="16">
        <f t="shared" si="14"/>
        <v>-13099.81700000001</v>
      </c>
      <c r="J83" s="15">
        <f t="shared" si="15"/>
        <v>-9.4392810735584184E-2</v>
      </c>
      <c r="K83" s="185" t="s">
        <v>2485</v>
      </c>
      <c r="L83" s="110" t="s">
        <v>2486</v>
      </c>
      <c r="M83" s="103" t="s">
        <v>2120</v>
      </c>
    </row>
    <row r="84" spans="1:14" ht="52.15" customHeight="1">
      <c r="A84" s="24" t="str">
        <v>Cafferty Hill</v>
      </c>
      <c r="B84" s="25" t="str">
        <v>NY</v>
      </c>
      <c r="C84" s="25" t="str">
        <f>Sites[[#This Row],[SOL'#]]</f>
        <v>SOL-10996</v>
      </c>
      <c r="D84" s="20">
        <v>375680</v>
      </c>
      <c r="E84" s="10">
        <v>383668.84</v>
      </c>
      <c r="F84" s="10">
        <f t="shared" si="13"/>
        <v>-7988.8400000000256</v>
      </c>
      <c r="G84" s="11">
        <f t="shared" ref="G84:G90" si="16">IFERROR(F84/E84, "")</f>
        <v>-2.0822227835859762E-2</v>
      </c>
      <c r="H84" s="12">
        <v>425240.90299999999</v>
      </c>
      <c r="I84" s="12">
        <f t="shared" si="14"/>
        <v>-49560.902999999991</v>
      </c>
      <c r="J84" s="13">
        <f t="shared" si="15"/>
        <v>-0.11654782653869021</v>
      </c>
      <c r="K84" s="49" t="s">
        <v>2487</v>
      </c>
      <c r="L84" s="109" t="s">
        <v>2488</v>
      </c>
      <c r="M84" s="108" t="s">
        <v>2120</v>
      </c>
    </row>
    <row r="85" spans="1:14" ht="43.15">
      <c r="A85" s="26" t="str">
        <v>Dunkleman</v>
      </c>
      <c r="B85" s="27" t="str">
        <v>NY</v>
      </c>
      <c r="C85" s="26" t="str">
        <f>Sites[[#This Row],[SOL'#]]</f>
        <v>SOL-11008</v>
      </c>
      <c r="D85" s="9">
        <v>287690</v>
      </c>
      <c r="E85" s="14">
        <v>285870</v>
      </c>
      <c r="F85" s="14">
        <f t="shared" si="13"/>
        <v>1820</v>
      </c>
      <c r="G85" s="15">
        <f t="shared" si="16"/>
        <v>6.3665302410186447E-3</v>
      </c>
      <c r="H85" s="16">
        <v>382847.71600000001</v>
      </c>
      <c r="I85" s="16">
        <f t="shared" si="14"/>
        <v>-95157.716000000015</v>
      </c>
      <c r="J85" s="15">
        <f t="shared" si="15"/>
        <v>-0.24855239308780416</v>
      </c>
      <c r="K85" s="185" t="s">
        <v>2489</v>
      </c>
      <c r="L85" s="110" t="s">
        <v>2490</v>
      </c>
      <c r="M85" s="103" t="s">
        <v>2138</v>
      </c>
    </row>
    <row r="86" spans="1:14" ht="35.25" customHeight="1">
      <c r="A86" s="24" t="str">
        <v>Route 19 1</v>
      </c>
      <c r="B86" s="25" t="str">
        <v>NY</v>
      </c>
      <c r="C86" s="25" t="str">
        <f>Sites[[#This Row],[SOL'#]]</f>
        <v>SOL-11001</v>
      </c>
      <c r="D86" s="20">
        <v>122657.2</v>
      </c>
      <c r="E86" s="10">
        <v>119767.6</v>
      </c>
      <c r="F86" s="10">
        <f t="shared" si="13"/>
        <v>2889.5999999999913</v>
      </c>
      <c r="G86" s="11">
        <f t="shared" si="16"/>
        <v>2.4126725424906161E-2</v>
      </c>
      <c r="H86" s="12">
        <v>136625.128</v>
      </c>
      <c r="I86" s="12">
        <f t="shared" si="14"/>
        <v>-13967.928</v>
      </c>
      <c r="J86" s="13">
        <f t="shared" si="15"/>
        <v>-0.10223542480413998</v>
      </c>
      <c r="K86" s="49" t="s">
        <v>2491</v>
      </c>
      <c r="L86" s="109" t="s">
        <v>2492</v>
      </c>
      <c r="M86" s="65" t="s">
        <v>2254</v>
      </c>
      <c r="N86" s="111" t="s">
        <v>2493</v>
      </c>
    </row>
    <row r="87" spans="1:14" ht="28.9">
      <c r="A87" s="26" t="str">
        <v>Route 19 2</v>
      </c>
      <c r="B87" s="27" t="str">
        <v>NY</v>
      </c>
      <c r="C87" s="26" t="str">
        <f>Sites[[#This Row],[SOL'#]]</f>
        <v>SOL-11002</v>
      </c>
      <c r="D87" s="9">
        <v>306830</v>
      </c>
      <c r="E87" s="14">
        <v>301810</v>
      </c>
      <c r="F87" s="14">
        <f t="shared" si="13"/>
        <v>5020</v>
      </c>
      <c r="G87" s="15">
        <f t="shared" si="16"/>
        <v>1.6632981014545575E-2</v>
      </c>
      <c r="H87" s="16">
        <v>357089.22</v>
      </c>
      <c r="I87" s="16">
        <f t="shared" si="14"/>
        <v>-50259.219999999972</v>
      </c>
      <c r="J87" s="15">
        <f t="shared" si="15"/>
        <v>-0.14074695394053055</v>
      </c>
      <c r="K87" s="185" t="s">
        <v>2494</v>
      </c>
      <c r="L87" s="110" t="s">
        <v>2495</v>
      </c>
      <c r="M87" s="65" t="s">
        <v>2254</v>
      </c>
      <c r="N87" s="111" t="s">
        <v>2496</v>
      </c>
    </row>
    <row r="88" spans="1:14" ht="43.15">
      <c r="A88" s="24" t="str">
        <v>Yellow Mills 1</v>
      </c>
      <c r="B88" s="25" t="str">
        <v>NY</v>
      </c>
      <c r="C88" s="25" t="str">
        <f>Sites[[#This Row],[SOL'#]]</f>
        <v>SOL-11006</v>
      </c>
      <c r="D88" s="20">
        <v>134037</v>
      </c>
      <c r="E88" s="10">
        <v>131732</v>
      </c>
      <c r="F88" s="10">
        <f t="shared" si="13"/>
        <v>2305</v>
      </c>
      <c r="G88" s="11">
        <f t="shared" si="16"/>
        <v>1.7497646737315155E-2</v>
      </c>
      <c r="H88" s="12">
        <v>158372.84299999999</v>
      </c>
      <c r="I88" s="12">
        <f t="shared" si="14"/>
        <v>-24335.842999999993</v>
      </c>
      <c r="J88" s="13">
        <f t="shared" si="15"/>
        <v>-0.15366171711648818</v>
      </c>
      <c r="K88" s="49" t="s">
        <v>2497</v>
      </c>
      <c r="L88" s="49"/>
    </row>
    <row r="89" spans="1:14" ht="60.75" customHeight="1">
      <c r="A89" s="26" t="str">
        <v>Yellow Mills 2</v>
      </c>
      <c r="B89" s="27" t="str">
        <v>NY</v>
      </c>
      <c r="C89" s="26" t="str">
        <f>Sites[[#This Row],[SOL'#]]</f>
        <v>SOL-11005</v>
      </c>
      <c r="D89" s="9">
        <v>134735</v>
      </c>
      <c r="E89" s="14" t="s">
        <v>661</v>
      </c>
      <c r="F89" s="14" t="str">
        <f t="shared" si="13"/>
        <v/>
      </c>
      <c r="G89" s="15" t="str">
        <f t="shared" si="16"/>
        <v/>
      </c>
      <c r="H89" s="16">
        <v>163481.128</v>
      </c>
      <c r="I89" s="16">
        <f t="shared" si="14"/>
        <v>-28746.127999999997</v>
      </c>
      <c r="J89" s="15">
        <f t="shared" si="15"/>
        <v>-0.17583759270366667</v>
      </c>
      <c r="K89" s="185" t="s">
        <v>2498</v>
      </c>
      <c r="L89" s="110" t="s">
        <v>2499</v>
      </c>
      <c r="M89" s="103" t="s">
        <v>2120</v>
      </c>
    </row>
    <row r="90" spans="1:14" ht="43.15">
      <c r="A90" s="24" t="str">
        <v>Yellow Mills 3</v>
      </c>
      <c r="B90" s="25" t="str">
        <v>NY</v>
      </c>
      <c r="C90" s="25" t="str">
        <f>Sites[[#This Row],[SOL'#]]</f>
        <v>SOL-11007</v>
      </c>
      <c r="D90" s="20">
        <v>127582</v>
      </c>
      <c r="E90" s="10">
        <v>125165</v>
      </c>
      <c r="F90" s="10">
        <f t="shared" si="13"/>
        <v>2417</v>
      </c>
      <c r="G90" s="11">
        <f>IFERROR(F90/E90, "")</f>
        <v>1.9310510126632846E-2</v>
      </c>
      <c r="H90" s="12">
        <v>153044.86499999999</v>
      </c>
      <c r="I90" s="12">
        <f t="shared" si="14"/>
        <v>-25462.864999999991</v>
      </c>
      <c r="J90" s="13">
        <f t="shared" si="15"/>
        <v>-0.16637516717728487</v>
      </c>
      <c r="K90" s="49" t="s">
        <v>2497</v>
      </c>
      <c r="L90" s="49"/>
    </row>
    <row r="91" spans="1:14" ht="43.15">
      <c r="A91" s="26" t="str">
        <v>Catskill</v>
      </c>
      <c r="B91" s="27" t="str">
        <v>NY</v>
      </c>
      <c r="C91" s="26" t="str">
        <f>Sites[[#This Row],[SOL'#]]</f>
        <v>SOL-11021</v>
      </c>
      <c r="D91" s="9">
        <v>232875</v>
      </c>
      <c r="E91" s="14">
        <v>0</v>
      </c>
      <c r="F91" s="14">
        <f t="shared" si="13"/>
        <v>232875</v>
      </c>
      <c r="G91" s="15" t="str">
        <f t="shared" ref="G91:G122" si="17">IFERROR(F91/E91, "")</f>
        <v/>
      </c>
      <c r="H91" s="16">
        <v>326228.60499999998</v>
      </c>
      <c r="I91" s="16">
        <f t="shared" si="14"/>
        <v>-93353.604999999981</v>
      </c>
      <c r="J91" s="15">
        <f t="shared" si="15"/>
        <v>-0.28616008396933795</v>
      </c>
      <c r="K91" s="185" t="s">
        <v>2500</v>
      </c>
      <c r="L91" s="110" t="s">
        <v>2501</v>
      </c>
      <c r="M91" s="92" t="s">
        <v>2254</v>
      </c>
      <c r="N91" s="111" t="s">
        <v>2502</v>
      </c>
    </row>
    <row r="92" spans="1:14" ht="15.6">
      <c r="A92" s="24" t="str">
        <v>Eddy Ridge</v>
      </c>
      <c r="B92" s="25" t="str">
        <v>NY</v>
      </c>
      <c r="C92" s="25" t="str">
        <f>Sites[[#This Row],[SOL'#]]</f>
        <v>SOL-11054</v>
      </c>
      <c r="D92" s="20">
        <v>127439</v>
      </c>
      <c r="E92" s="10">
        <v>124693</v>
      </c>
      <c r="F92" s="10">
        <f t="shared" si="13"/>
        <v>2746</v>
      </c>
      <c r="G92" s="11">
        <f t="shared" si="17"/>
        <v>2.2022086243814808E-2</v>
      </c>
      <c r="H92" s="12">
        <v>169294.27499999999</v>
      </c>
      <c r="I92" s="12">
        <f t="shared" si="14"/>
        <v>-41855.274999999994</v>
      </c>
      <c r="J92" s="13">
        <f t="shared" si="15"/>
        <v>-0.24723384768917908</v>
      </c>
      <c r="K92" s="49" t="s">
        <v>1788</v>
      </c>
      <c r="L92" s="109" t="s">
        <v>2244</v>
      </c>
      <c r="M92" s="108" t="s">
        <v>2138</v>
      </c>
    </row>
    <row r="93" spans="1:14" ht="28.9">
      <c r="A93" s="26" t="str">
        <v>Ridgeway #1</v>
      </c>
      <c r="B93" s="27" t="str">
        <v>NY</v>
      </c>
      <c r="C93" s="26" t="str">
        <f>Sites[[#This Row],[SOL'#]]</f>
        <v>SOL-11018</v>
      </c>
      <c r="D93" s="9">
        <v>334638</v>
      </c>
      <c r="E93" s="14">
        <v>325910</v>
      </c>
      <c r="F93" s="14">
        <f t="shared" si="13"/>
        <v>8728</v>
      </c>
      <c r="G93" s="15">
        <f t="shared" si="17"/>
        <v>2.6780399496793592E-2</v>
      </c>
      <c r="H93" s="16">
        <v>414052</v>
      </c>
      <c r="I93" s="16">
        <f t="shared" si="14"/>
        <v>-79414</v>
      </c>
      <c r="J93" s="15">
        <f t="shared" si="15"/>
        <v>-0.19179716557340623</v>
      </c>
      <c r="K93" s="185" t="s">
        <v>2503</v>
      </c>
      <c r="L93" s="185"/>
    </row>
    <row r="94" spans="1:14" ht="29.25" customHeight="1">
      <c r="A94" s="24" t="str">
        <v>Rivard 1</v>
      </c>
      <c r="B94" s="25" t="str">
        <v>NY</v>
      </c>
      <c r="C94" s="25" t="str">
        <f>Sites[[#This Row],[SOL'#]]</f>
        <v>SOL-11011</v>
      </c>
      <c r="D94" s="20">
        <v>220361.99999999799</v>
      </c>
      <c r="E94" s="10">
        <v>235956.6</v>
      </c>
      <c r="F94" s="10">
        <f t="shared" si="13"/>
        <v>-15594.600000002014</v>
      </c>
      <c r="G94" s="11">
        <f t="shared" si="17"/>
        <v>-6.6090967576249243E-2</v>
      </c>
      <c r="H94" s="12">
        <v>281923.8</v>
      </c>
      <c r="I94" s="12">
        <f t="shared" si="14"/>
        <v>-61561.800000001997</v>
      </c>
      <c r="J94" s="13">
        <f t="shared" si="15"/>
        <v>-0.21836325985958616</v>
      </c>
      <c r="K94" s="49" t="s">
        <v>2504</v>
      </c>
      <c r="L94" s="49"/>
    </row>
    <row r="95" spans="1:14" ht="15.6">
      <c r="A95" s="26" t="str">
        <v>Rivard 2</v>
      </c>
      <c r="B95" s="27" t="str">
        <v>NY</v>
      </c>
      <c r="C95" s="26" t="str">
        <f>Sites[[#This Row],[SOL'#]]</f>
        <v>SOL-11012</v>
      </c>
      <c r="D95" s="9">
        <v>210880.08</v>
      </c>
      <c r="E95" s="14">
        <v>208298</v>
      </c>
      <c r="F95" s="14">
        <f t="shared" si="13"/>
        <v>2582.0799999999872</v>
      </c>
      <c r="G95" s="15">
        <f t="shared" si="17"/>
        <v>1.239608637624935E-2</v>
      </c>
      <c r="H95" s="16">
        <v>268123.40000000002</v>
      </c>
      <c r="I95" s="16">
        <f t="shared" si="14"/>
        <v>-57243.320000000036</v>
      </c>
      <c r="J95" s="15">
        <f t="shared" si="15"/>
        <v>-0.21349617377670144</v>
      </c>
      <c r="K95" s="185" t="s">
        <v>2504</v>
      </c>
      <c r="L95" s="92"/>
    </row>
    <row r="96" spans="1:14" ht="43.15">
      <c r="A96" s="24" t="str">
        <v>Ridgeway #2</v>
      </c>
      <c r="B96" s="25" t="str">
        <v>NY</v>
      </c>
      <c r="C96" s="25" t="str">
        <f>Sites[[#This Row],[SOL'#]]</f>
        <v>SOL-11027</v>
      </c>
      <c r="D96" s="20">
        <v>157103</v>
      </c>
      <c r="E96" s="10">
        <v>153618</v>
      </c>
      <c r="F96" s="10">
        <f t="shared" si="13"/>
        <v>3485</v>
      </c>
      <c r="G96" s="11">
        <f t="shared" si="17"/>
        <v>2.2686143550885964E-2</v>
      </c>
      <c r="H96" s="12">
        <v>214158.17</v>
      </c>
      <c r="I96" s="12">
        <f t="shared" si="14"/>
        <v>-57055.170000000013</v>
      </c>
      <c r="J96" s="13">
        <f t="shared" si="15"/>
        <v>-0.26641603259870966</v>
      </c>
      <c r="K96" s="49" t="s">
        <v>2505</v>
      </c>
      <c r="L96" s="109" t="s">
        <v>2506</v>
      </c>
      <c r="M96" s="49" t="s">
        <v>2239</v>
      </c>
    </row>
    <row r="97" spans="1:15" ht="43.15">
      <c r="A97" s="26" t="str">
        <v>Spencer</v>
      </c>
      <c r="B97" s="27" t="str">
        <v>NY</v>
      </c>
      <c r="C97" s="26" t="str">
        <f>Sites[[#This Row],[SOL'#]]</f>
        <v>SOL-11017</v>
      </c>
      <c r="D97" s="9">
        <v>334461.40000000002</v>
      </c>
      <c r="E97" s="14">
        <v>330410</v>
      </c>
      <c r="F97" s="14">
        <f t="shared" si="13"/>
        <v>4051.4000000000233</v>
      </c>
      <c r="G97" s="15">
        <f t="shared" si="17"/>
        <v>1.2261735419630227E-2</v>
      </c>
      <c r="H97" s="16">
        <v>406955</v>
      </c>
      <c r="I97" s="16">
        <f t="shared" si="14"/>
        <v>-72493.599999999977</v>
      </c>
      <c r="J97" s="15">
        <f t="shared" si="15"/>
        <v>-0.17813664901524734</v>
      </c>
      <c r="K97" s="185" t="s">
        <v>2507</v>
      </c>
      <c r="L97" s="110" t="s">
        <v>2508</v>
      </c>
      <c r="M97" s="92" t="s">
        <v>2509</v>
      </c>
      <c r="N97" s="111" t="s">
        <v>2510</v>
      </c>
      <c r="O97" s="111" t="s">
        <v>2511</v>
      </c>
    </row>
    <row r="98" spans="1:15" ht="15.6">
      <c r="A98" s="24" t="str">
        <v>Reisender</v>
      </c>
      <c r="B98" s="25" t="str">
        <v>NY</v>
      </c>
      <c r="C98" s="25" t="str">
        <f>Sites[[#This Row],[SOL'#]]</f>
        <v>SOL-10886</v>
      </c>
      <c r="D98" s="20">
        <v>101430</v>
      </c>
      <c r="E98" s="10">
        <v>101280</v>
      </c>
      <c r="F98" s="10">
        <f t="shared" si="13"/>
        <v>150</v>
      </c>
      <c r="G98" s="11">
        <f t="shared" si="17"/>
        <v>1.4810426540284359E-3</v>
      </c>
      <c r="H98" s="12">
        <v>183452.73</v>
      </c>
      <c r="I98" s="12">
        <f t="shared" si="14"/>
        <v>-82022.73000000001</v>
      </c>
      <c r="J98" s="13">
        <f t="shared" si="15"/>
        <v>-0.44710552958247068</v>
      </c>
      <c r="K98" s="49" t="s">
        <v>2512</v>
      </c>
      <c r="L98" s="109" t="s">
        <v>2513</v>
      </c>
      <c r="M98" s="49" t="s">
        <v>2120</v>
      </c>
    </row>
    <row r="99" spans="1:15" ht="28.9">
      <c r="A99" s="26" t="str">
        <v>Finney</v>
      </c>
      <c r="B99" s="27" t="str">
        <v>NY</v>
      </c>
      <c r="C99" s="26" t="str">
        <f>Sites[[#This Row],[SOL'#]]</f>
        <v>SOL-10999</v>
      </c>
      <c r="D99" s="9">
        <v>365990</v>
      </c>
      <c r="E99" s="14">
        <v>364060</v>
      </c>
      <c r="F99" s="14">
        <f t="shared" si="13"/>
        <v>1930</v>
      </c>
      <c r="G99" s="15">
        <f t="shared" si="17"/>
        <v>5.3013239575894081E-3</v>
      </c>
      <c r="H99" s="16">
        <v>436477.81099999999</v>
      </c>
      <c r="I99" s="16">
        <f t="shared" si="14"/>
        <v>-70487.810999999987</v>
      </c>
      <c r="J99" s="15">
        <f t="shared" si="15"/>
        <v>-0.16149231237782208</v>
      </c>
      <c r="K99" s="185" t="s">
        <v>2514</v>
      </c>
      <c r="L99" s="110" t="s">
        <v>2515</v>
      </c>
      <c r="M99" s="103" t="s">
        <v>2159</v>
      </c>
    </row>
    <row r="100" spans="1:15" ht="57.6">
      <c r="A100" s="24" t="str">
        <v>Davis Solar</v>
      </c>
      <c r="B100" s="25" t="str">
        <v>NY</v>
      </c>
      <c r="C100" s="25" t="str">
        <f>Sites[[#This Row],[SOL'#]]</f>
        <v>SOL-10958</v>
      </c>
      <c r="D100" s="20">
        <v>163436</v>
      </c>
      <c r="E100" s="10">
        <v>192407.1</v>
      </c>
      <c r="F100" s="10">
        <f t="shared" si="13"/>
        <v>-28971.100000000006</v>
      </c>
      <c r="G100" s="11">
        <f t="shared" si="17"/>
        <v>-0.15057188638049221</v>
      </c>
      <c r="H100" s="12">
        <v>203914</v>
      </c>
      <c r="I100" s="12">
        <f t="shared" si="14"/>
        <v>-40478</v>
      </c>
      <c r="J100" s="13">
        <f t="shared" si="15"/>
        <v>-0.19850525221416873</v>
      </c>
      <c r="K100" s="49" t="s">
        <v>2516</v>
      </c>
      <c r="L100" s="109" t="s">
        <v>2517</v>
      </c>
      <c r="M100" s="49" t="s">
        <v>2254</v>
      </c>
      <c r="N100" s="111" t="s">
        <v>2518</v>
      </c>
    </row>
    <row r="101" spans="1:15" ht="86.45">
      <c r="A101" s="26" t="str">
        <v>Genesee</v>
      </c>
      <c r="B101" s="27" t="str">
        <v>NY</v>
      </c>
      <c r="C101" s="26" t="str">
        <f>Sites[[#This Row],[SOL'#]]</f>
        <v>SOL-10951</v>
      </c>
      <c r="D101" s="9">
        <v>31923.3</v>
      </c>
      <c r="E101" s="14">
        <v>31071.599999999999</v>
      </c>
      <c r="F101" s="14">
        <f t="shared" si="13"/>
        <v>851.70000000000073</v>
      </c>
      <c r="G101" s="15">
        <f t="shared" si="17"/>
        <v>2.7410883250299334E-2</v>
      </c>
      <c r="H101" s="16">
        <v>251275.242</v>
      </c>
      <c r="I101" s="16">
        <f t="shared" si="14"/>
        <v>-219351.94200000001</v>
      </c>
      <c r="J101" s="15">
        <f t="shared" si="15"/>
        <v>-0.87295485322823807</v>
      </c>
      <c r="K101" s="185" t="s">
        <v>2519</v>
      </c>
      <c r="L101" s="110" t="s">
        <v>2520</v>
      </c>
      <c r="M101" s="185" t="s">
        <v>2521</v>
      </c>
      <c r="N101" s="111" t="s">
        <v>2522</v>
      </c>
      <c r="O101" s="111" t="s">
        <v>2523</v>
      </c>
    </row>
    <row r="102" spans="1:15" ht="15.6">
      <c r="A102" s="24" t="str">
        <v>Landau I</v>
      </c>
      <c r="B102" s="25" t="str">
        <v>NY</v>
      </c>
      <c r="C102" s="25" t="str">
        <f>Sites[[#This Row],[SOL'#]]</f>
        <v>SOL-10891</v>
      </c>
      <c r="D102" s="20">
        <v>148040</v>
      </c>
      <c r="E102" s="10" t="s">
        <v>661</v>
      </c>
      <c r="F102" s="10" t="str">
        <f t="shared" si="13"/>
        <v/>
      </c>
      <c r="G102" s="11" t="str">
        <f t="shared" si="17"/>
        <v/>
      </c>
      <c r="H102" s="12">
        <v>200679.864</v>
      </c>
      <c r="I102" s="12">
        <f t="shared" si="14"/>
        <v>-52639.864000000001</v>
      </c>
      <c r="J102" s="13">
        <f t="shared" si="15"/>
        <v>-0.26230765235120951</v>
      </c>
      <c r="K102" s="49"/>
      <c r="L102" s="49"/>
    </row>
    <row r="103" spans="1:15" ht="15.6">
      <c r="A103" s="26" t="str">
        <v>Landau II</v>
      </c>
      <c r="B103" s="27" t="str">
        <v>NY</v>
      </c>
      <c r="C103" s="26" t="str">
        <f>Sites[[#This Row],[SOL'#]]</f>
        <v>SOL-10895</v>
      </c>
      <c r="D103" s="9">
        <v>301870</v>
      </c>
      <c r="E103" s="14" t="s">
        <v>661</v>
      </c>
      <c r="F103" s="14" t="str">
        <f t="shared" si="13"/>
        <v/>
      </c>
      <c r="G103" s="15" t="str">
        <f t="shared" si="17"/>
        <v/>
      </c>
      <c r="H103" s="133" t="s">
        <v>661</v>
      </c>
      <c r="I103" s="16" t="str">
        <f t="shared" si="14"/>
        <v/>
      </c>
      <c r="J103" s="15" t="str">
        <f t="shared" si="15"/>
        <v/>
      </c>
      <c r="K103" s="185" t="s">
        <v>2524</v>
      </c>
      <c r="L103" s="110" t="s">
        <v>2525</v>
      </c>
      <c r="M103" s="92" t="s">
        <v>2526</v>
      </c>
    </row>
    <row r="104" spans="1:15" ht="23.25" customHeight="1">
      <c r="A104" s="24" t="str">
        <v>New Beginnings</v>
      </c>
      <c r="B104" s="25" t="str">
        <v>NY</v>
      </c>
      <c r="C104" s="25" t="str">
        <f>Sites[[#This Row],[SOL'#]]</f>
        <v>SOL-10890</v>
      </c>
      <c r="D104" s="20">
        <v>173890</v>
      </c>
      <c r="E104" s="10">
        <v>173880</v>
      </c>
      <c r="F104" s="10">
        <f t="shared" si="13"/>
        <v>10</v>
      </c>
      <c r="G104" s="11">
        <f t="shared" si="17"/>
        <v>5.7510927076144466E-5</v>
      </c>
      <c r="H104" s="12">
        <v>209800.10200000001</v>
      </c>
      <c r="I104" s="12">
        <f t="shared" si="14"/>
        <v>-35910.102000000014</v>
      </c>
      <c r="J104" s="13">
        <f t="shared" si="15"/>
        <v>-0.17116341535429763</v>
      </c>
      <c r="K104" s="49" t="s">
        <v>2527</v>
      </c>
      <c r="L104" s="109" t="s">
        <v>2528</v>
      </c>
      <c r="M104" s="103" t="s">
        <v>2120</v>
      </c>
    </row>
    <row r="105" spans="1:15" ht="22.5" customHeight="1">
      <c r="A105" s="26" t="str">
        <v>Bullitt Farm Solar, LLC</v>
      </c>
      <c r="B105" s="27" t="str">
        <v>NY</v>
      </c>
      <c r="C105" s="26" t="str">
        <f>Sites[[#This Row],[SOL'#]]</f>
        <v>SOL-10998</v>
      </c>
      <c r="D105" s="9">
        <v>250857.93479999999</v>
      </c>
      <c r="E105" s="14">
        <v>292506.5</v>
      </c>
      <c r="F105" s="14">
        <f t="shared" si="13"/>
        <v>-41648.565200000012</v>
      </c>
      <c r="G105" s="15">
        <f t="shared" si="17"/>
        <v>-0.14238509298083979</v>
      </c>
      <c r="H105" s="16">
        <v>343740.1</v>
      </c>
      <c r="I105" s="16">
        <f t="shared" si="14"/>
        <v>-92882.165199999989</v>
      </c>
      <c r="J105" s="15">
        <f t="shared" si="15"/>
        <v>-0.27021044446080045</v>
      </c>
      <c r="K105" s="185" t="s">
        <v>2529</v>
      </c>
      <c r="L105" s="92"/>
    </row>
    <row r="106" spans="1:15" ht="15.6">
      <c r="A106" s="24" t="str">
        <v>Brodhead Solar, LLC</v>
      </c>
      <c r="B106" s="25" t="str">
        <v>NY</v>
      </c>
      <c r="C106" s="25" t="str">
        <f>Sites[[#This Row],[SOL'#]]</f>
        <v>SOL-10899</v>
      </c>
      <c r="D106" s="20">
        <v>166943</v>
      </c>
      <c r="E106" s="10">
        <v>189622.8</v>
      </c>
      <c r="F106" s="10">
        <f t="shared" si="13"/>
        <v>-22679.799999999988</v>
      </c>
      <c r="G106" s="11">
        <f t="shared" si="17"/>
        <v>-0.11960481545468156</v>
      </c>
      <c r="H106" s="12">
        <v>218045.7</v>
      </c>
      <c r="I106" s="12">
        <f t="shared" si="14"/>
        <v>-51102.700000000012</v>
      </c>
      <c r="J106" s="13">
        <f t="shared" si="15"/>
        <v>-0.23436692399804265</v>
      </c>
      <c r="K106" s="108" t="s">
        <v>2530</v>
      </c>
      <c r="L106" s="49"/>
    </row>
    <row r="107" spans="1:15" ht="56.25" customHeight="1">
      <c r="A107" s="26" t="str">
        <v>Svenski</v>
      </c>
      <c r="B107" s="27" t="str">
        <v>NY</v>
      </c>
      <c r="C107" s="26" t="str">
        <f>Sites[[#This Row],[SOL'#]]</f>
        <v>SOL-10894</v>
      </c>
      <c r="D107" s="9">
        <v>143480</v>
      </c>
      <c r="E107" s="14" t="s">
        <v>661</v>
      </c>
      <c r="F107" s="14" t="str">
        <f t="shared" si="13"/>
        <v/>
      </c>
      <c r="G107" s="15" t="str">
        <f t="shared" si="17"/>
        <v/>
      </c>
      <c r="H107" s="16">
        <v>183433.94899999999</v>
      </c>
      <c r="I107" s="16">
        <f t="shared" si="14"/>
        <v>-39953.948999999993</v>
      </c>
      <c r="J107" s="15">
        <f t="shared" si="15"/>
        <v>-0.21781109340888691</v>
      </c>
      <c r="K107" s="185" t="s">
        <v>2531</v>
      </c>
      <c r="L107" s="110" t="s">
        <v>2532</v>
      </c>
      <c r="M107" s="65" t="s">
        <v>2254</v>
      </c>
      <c r="N107" s="111" t="s">
        <v>2533</v>
      </c>
    </row>
    <row r="108" spans="1:15" ht="57.6">
      <c r="A108" s="24" t="str">
        <v>Bantam</v>
      </c>
      <c r="B108" s="25" t="str">
        <v>NY</v>
      </c>
      <c r="C108" s="25" t="str">
        <f>Sites[[#This Row],[SOL'#]]</f>
        <v>SOL-10986</v>
      </c>
      <c r="D108" s="20">
        <v>129900</v>
      </c>
      <c r="E108" s="10">
        <v>198900</v>
      </c>
      <c r="F108" s="10">
        <f t="shared" si="13"/>
        <v>-69000</v>
      </c>
      <c r="G108" s="11">
        <f t="shared" si="17"/>
        <v>-0.34690799396681749</v>
      </c>
      <c r="H108" s="12">
        <v>366773.88</v>
      </c>
      <c r="I108" s="12">
        <f t="shared" si="14"/>
        <v>-236873.88</v>
      </c>
      <c r="J108" s="13">
        <f t="shared" si="15"/>
        <v>-0.64583083179205669</v>
      </c>
      <c r="K108" s="108" t="s">
        <v>2534</v>
      </c>
      <c r="L108" s="109" t="s">
        <v>2535</v>
      </c>
      <c r="M108" s="65" t="s">
        <v>2151</v>
      </c>
      <c r="N108" s="111" t="s">
        <v>2270</v>
      </c>
    </row>
    <row r="109" spans="1:15" ht="15.6">
      <c r="A109" s="26" t="str">
        <v>Bogart</v>
      </c>
      <c r="B109" s="27" t="str">
        <v>NY</v>
      </c>
      <c r="C109" s="26" t="str">
        <f>Sites[[#This Row],[SOL'#]]</f>
        <v>SOL-10887</v>
      </c>
      <c r="D109" s="9">
        <v>155650</v>
      </c>
      <c r="E109" s="14">
        <v>154200</v>
      </c>
      <c r="F109" s="14">
        <f t="shared" si="13"/>
        <v>1450</v>
      </c>
      <c r="G109" s="15">
        <f t="shared" si="17"/>
        <v>9.4033722438391695E-3</v>
      </c>
      <c r="H109" s="16">
        <v>199521.546</v>
      </c>
      <c r="I109" s="16">
        <f t="shared" si="14"/>
        <v>-43871.546000000002</v>
      </c>
      <c r="J109" s="15">
        <f t="shared" si="15"/>
        <v>-0.21988375130172658</v>
      </c>
      <c r="K109" s="185" t="s">
        <v>2536</v>
      </c>
      <c r="L109" s="110" t="s">
        <v>2537</v>
      </c>
      <c r="M109" s="103" t="s">
        <v>2120</v>
      </c>
    </row>
    <row r="110" spans="1:15" ht="15.6">
      <c r="A110" s="24" t="str">
        <v>Dubois</v>
      </c>
      <c r="B110" s="25" t="str">
        <v>NY</v>
      </c>
      <c r="C110" s="25" t="str">
        <f>Sites[[#This Row],[SOL'#]]</f>
        <v>SOL-10892</v>
      </c>
      <c r="D110" s="20">
        <v>0</v>
      </c>
      <c r="E110" s="10">
        <v>0</v>
      </c>
      <c r="F110" s="10">
        <f t="shared" si="13"/>
        <v>0</v>
      </c>
      <c r="G110" s="11" t="str">
        <f t="shared" si="17"/>
        <v/>
      </c>
      <c r="H110" s="132">
        <v>0</v>
      </c>
      <c r="I110" s="12">
        <f t="shared" si="14"/>
        <v>0</v>
      </c>
      <c r="J110" s="13" t="str">
        <f t="shared" si="15"/>
        <v/>
      </c>
      <c r="K110" s="49" t="s">
        <v>1817</v>
      </c>
      <c r="L110" s="109" t="s">
        <v>2538</v>
      </c>
      <c r="M110" s="103" t="s">
        <v>2138</v>
      </c>
    </row>
    <row r="111" spans="1:15" ht="15.6">
      <c r="A111" s="26" t="str">
        <v>Salt Point</v>
      </c>
      <c r="B111" s="27" t="str">
        <v>NY</v>
      </c>
      <c r="C111" s="26" t="str">
        <f>Sites[[#This Row],[SOL'#]]</f>
        <v>SOL-10888</v>
      </c>
      <c r="D111" s="9">
        <v>136530</v>
      </c>
      <c r="E111" s="14">
        <v>136530</v>
      </c>
      <c r="F111" s="14">
        <f t="shared" si="13"/>
        <v>0</v>
      </c>
      <c r="G111" s="15">
        <f t="shared" si="17"/>
        <v>0</v>
      </c>
      <c r="H111" s="16">
        <v>167108.81</v>
      </c>
      <c r="I111" s="16">
        <f t="shared" si="14"/>
        <v>-30578.809999999998</v>
      </c>
      <c r="J111" s="15">
        <f t="shared" si="15"/>
        <v>-0.18298741999299736</v>
      </c>
      <c r="K111" s="185" t="s">
        <v>2539</v>
      </c>
      <c r="L111" s="110" t="s">
        <v>2540</v>
      </c>
      <c r="M111" s="103" t="s">
        <v>2120</v>
      </c>
    </row>
    <row r="112" spans="1:15" ht="43.15">
      <c r="A112" s="24" t="str">
        <v>Wheatland 2A</v>
      </c>
      <c r="B112" s="25" t="str">
        <v>NY</v>
      </c>
      <c r="C112" s="25" t="str">
        <f>Sites[[#This Row],[SOL'#]]</f>
        <v>SOL-10971</v>
      </c>
      <c r="D112" s="20">
        <v>253880</v>
      </c>
      <c r="E112" s="10">
        <v>252000</v>
      </c>
      <c r="F112" s="10">
        <f t="shared" si="13"/>
        <v>1880</v>
      </c>
      <c r="G112" s="11">
        <f t="shared" si="17"/>
        <v>7.4603174603174605E-3</v>
      </c>
      <c r="H112" s="12">
        <v>304084.96500000003</v>
      </c>
      <c r="I112" s="12">
        <f t="shared" si="14"/>
        <v>-50204.965000000026</v>
      </c>
      <c r="J112" s="13">
        <f t="shared" si="15"/>
        <v>-0.16510176686966427</v>
      </c>
      <c r="K112" s="49" t="s">
        <v>2541</v>
      </c>
      <c r="L112" s="109" t="s">
        <v>2542</v>
      </c>
      <c r="M112" s="103" t="s">
        <v>2138</v>
      </c>
    </row>
    <row r="113" spans="1:18" ht="57.6">
      <c r="A113" s="26" t="str">
        <v>Wheatland 2B</v>
      </c>
      <c r="B113" s="27" t="str">
        <v>NY</v>
      </c>
      <c r="C113" s="26" t="str">
        <f>Sites[[#This Row],[SOL'#]]</f>
        <v>SOL-10961</v>
      </c>
      <c r="D113" s="9">
        <v>263920</v>
      </c>
      <c r="E113" s="14">
        <v>81060</v>
      </c>
      <c r="F113" s="14">
        <f t="shared" si="13"/>
        <v>182860</v>
      </c>
      <c r="G113" s="15">
        <f t="shared" si="17"/>
        <v>2.2558598568961261</v>
      </c>
      <c r="H113" s="16">
        <v>300053.00400000002</v>
      </c>
      <c r="I113" s="16">
        <f t="shared" si="14"/>
        <v>-36133.004000000015</v>
      </c>
      <c r="J113" s="15">
        <f t="shared" si="15"/>
        <v>-0.12042207049525161</v>
      </c>
      <c r="K113" s="188" t="s">
        <v>2543</v>
      </c>
      <c r="L113" s="110" t="s">
        <v>2544</v>
      </c>
      <c r="M113" s="65" t="s">
        <v>2545</v>
      </c>
      <c r="N113" s="111" t="s">
        <v>2546</v>
      </c>
    </row>
    <row r="114" spans="1:18" ht="57.6">
      <c r="A114" s="24" t="str">
        <v>Brickchurch</v>
      </c>
      <c r="B114" s="25" t="str">
        <v>NY</v>
      </c>
      <c r="C114" s="25" t="str">
        <f>Sites[[#This Row],[SOL'#]]</f>
        <v>SOL-10889</v>
      </c>
      <c r="D114" s="20">
        <v>66070</v>
      </c>
      <c r="E114" s="10">
        <v>66930</v>
      </c>
      <c r="F114" s="10">
        <f t="shared" ref="F114:F145" si="18">IF(AND(ISNUMBER(D114),ISNUMBER(E114)), D114-E114, "")</f>
        <v>-860</v>
      </c>
      <c r="G114" s="11">
        <f t="shared" si="17"/>
        <v>-1.2849245480352607E-2</v>
      </c>
      <c r="H114" s="12">
        <v>124629.8</v>
      </c>
      <c r="I114" s="12">
        <f t="shared" ref="I114:I145" si="19">IF(AND(ISNUMBER(D114),ISNUMBER(H114)), D114-H114, "")</f>
        <v>-58559.8</v>
      </c>
      <c r="J114" s="13">
        <f t="shared" ref="J114:J145" si="20">IFERROR(I114/H114, "")</f>
        <v>-0.46986996689395316</v>
      </c>
      <c r="K114" s="49" t="s">
        <v>2547</v>
      </c>
      <c r="L114" s="109" t="s">
        <v>2548</v>
      </c>
      <c r="M114" s="108" t="s">
        <v>2549</v>
      </c>
      <c r="N114" s="111" t="s">
        <v>2550</v>
      </c>
      <c r="O114" s="111" t="s">
        <v>2551</v>
      </c>
      <c r="P114" s="111" t="s">
        <v>2552</v>
      </c>
    </row>
    <row r="115" spans="1:18" ht="29.25" customHeight="1">
      <c r="A115" s="26" t="str">
        <v>McCarthy Solar</v>
      </c>
      <c r="B115" s="27" t="str">
        <v>NY</v>
      </c>
      <c r="C115" s="26" t="str">
        <f>Sites[[#This Row],[SOL'#]]</f>
        <v>SOL-10992</v>
      </c>
      <c r="D115" s="9">
        <v>45370</v>
      </c>
      <c r="E115" s="14">
        <v>0</v>
      </c>
      <c r="F115" s="14">
        <f t="shared" si="18"/>
        <v>45370</v>
      </c>
      <c r="G115" s="15" t="str">
        <f t="shared" si="17"/>
        <v/>
      </c>
      <c r="H115" s="16">
        <v>207683.3</v>
      </c>
      <c r="I115" s="16">
        <f t="shared" si="19"/>
        <v>-162313.29999999999</v>
      </c>
      <c r="J115" s="15">
        <f t="shared" si="20"/>
        <v>-0.78154237726384357</v>
      </c>
      <c r="K115" s="185" t="s">
        <v>2553</v>
      </c>
      <c r="L115" s="110" t="s">
        <v>2554</v>
      </c>
      <c r="M115" s="92" t="s">
        <v>2555</v>
      </c>
      <c r="N115" s="111" t="s">
        <v>2556</v>
      </c>
    </row>
    <row r="116" spans="1:18" ht="86.45">
      <c r="A116" s="24" t="str">
        <v>Costanza</v>
      </c>
      <c r="B116" s="25" t="str">
        <v>NY</v>
      </c>
      <c r="C116" s="25" t="str">
        <f>Sites[[#This Row],[SOL'#]]</f>
        <v>SOL-10907</v>
      </c>
      <c r="D116" s="20">
        <v>146240</v>
      </c>
      <c r="E116" s="10">
        <v>146436.70000000001</v>
      </c>
      <c r="F116" s="10">
        <f t="shared" si="18"/>
        <v>-196.70000000001164</v>
      </c>
      <c r="G116" s="11">
        <f t="shared" si="17"/>
        <v>-1.3432425068306759E-3</v>
      </c>
      <c r="H116" s="12">
        <v>185414.084</v>
      </c>
      <c r="I116" s="12">
        <f t="shared" si="19"/>
        <v>-39174.084000000003</v>
      </c>
      <c r="J116" s="13">
        <f t="shared" si="20"/>
        <v>-0.21127890155313123</v>
      </c>
      <c r="K116" s="49" t="s">
        <v>2557</v>
      </c>
      <c r="L116" s="109" t="s">
        <v>2558</v>
      </c>
      <c r="M116" s="108" t="s">
        <v>2559</v>
      </c>
      <c r="N116" s="111" t="s">
        <v>2560</v>
      </c>
      <c r="O116" s="111" t="s">
        <v>2561</v>
      </c>
      <c r="P116" s="111" t="s">
        <v>2562</v>
      </c>
      <c r="Q116" s="111" t="s">
        <v>2563</v>
      </c>
      <c r="R116" s="111" t="s">
        <v>2564</v>
      </c>
    </row>
    <row r="117" spans="1:18" ht="28.9">
      <c r="A117" s="26" t="str">
        <v>Lockenhurst Pond</v>
      </c>
      <c r="B117" s="27" t="str">
        <v>NY</v>
      </c>
      <c r="C117" s="26" t="str">
        <f>Sites[[#This Row],[SOL'#]]</f>
        <v>SOL-11000</v>
      </c>
      <c r="D117" s="9">
        <v>162381</v>
      </c>
      <c r="E117" s="14">
        <v>178371.20000000001</v>
      </c>
      <c r="F117" s="14">
        <f t="shared" si="18"/>
        <v>-15990.200000000012</v>
      </c>
      <c r="G117" s="15">
        <f t="shared" si="17"/>
        <v>-8.9645637860820637E-2</v>
      </c>
      <c r="H117" s="16">
        <v>186277</v>
      </c>
      <c r="I117" s="16">
        <f t="shared" si="19"/>
        <v>-23896</v>
      </c>
      <c r="J117" s="15">
        <f t="shared" si="20"/>
        <v>-0.12828207454489818</v>
      </c>
      <c r="K117" s="177" t="s">
        <v>2565</v>
      </c>
      <c r="L117" s="92"/>
    </row>
    <row r="118" spans="1:18" ht="28.9">
      <c r="A118" s="24" t="str">
        <v>Drinkwater</v>
      </c>
      <c r="B118" s="25" t="str">
        <v>NY</v>
      </c>
      <c r="C118" s="25" t="str">
        <f>Sites[[#This Row],[SOL'#]]</f>
        <v>SOL-10896</v>
      </c>
      <c r="D118" s="20">
        <v>139130</v>
      </c>
      <c r="E118" s="10">
        <v>138060</v>
      </c>
      <c r="F118" s="10">
        <f t="shared" si="18"/>
        <v>1070</v>
      </c>
      <c r="G118" s="11">
        <f t="shared" si="17"/>
        <v>7.7502535129653771E-3</v>
      </c>
      <c r="H118" s="12">
        <v>185773.391</v>
      </c>
      <c r="I118" s="12">
        <f t="shared" si="19"/>
        <v>-46643.391000000003</v>
      </c>
      <c r="J118" s="13">
        <f t="shared" si="20"/>
        <v>-0.25107681325578002</v>
      </c>
      <c r="K118" s="49" t="s">
        <v>2566</v>
      </c>
      <c r="L118" s="49"/>
    </row>
    <row r="119" spans="1:18" ht="43.15">
      <c r="A119" s="26" t="str">
        <v>Altamont</v>
      </c>
      <c r="B119" s="27" t="str">
        <v>NY</v>
      </c>
      <c r="C119" s="26" t="str">
        <f>Sites[[#This Row],[SOL'#]]</f>
        <v>SOL-11085</v>
      </c>
      <c r="D119" s="9">
        <v>317255</v>
      </c>
      <c r="E119" s="14">
        <v>383759.9</v>
      </c>
      <c r="F119" s="14">
        <f t="shared" si="18"/>
        <v>-66504.900000000023</v>
      </c>
      <c r="G119" s="15">
        <f t="shared" si="17"/>
        <v>-0.173298200254899</v>
      </c>
      <c r="H119" s="90">
        <v>334880.90000000002</v>
      </c>
      <c r="I119" s="16">
        <f t="shared" si="19"/>
        <v>-17625.900000000023</v>
      </c>
      <c r="J119" s="15">
        <f t="shared" si="20"/>
        <v>-5.2633339196114265E-2</v>
      </c>
      <c r="K119" s="185" t="s">
        <v>2567</v>
      </c>
      <c r="L119" s="110" t="s">
        <v>2568</v>
      </c>
      <c r="M119" s="65" t="s">
        <v>2569</v>
      </c>
      <c r="N119" s="111" t="s">
        <v>2570</v>
      </c>
    </row>
    <row r="120" spans="1:18" ht="15.6">
      <c r="A120" s="24" t="str">
        <v>Krumkill North</v>
      </c>
      <c r="B120" s="25" t="str">
        <v>NY</v>
      </c>
      <c r="C120" s="25" t="str">
        <f>Sites[[#This Row],[SOL'#]]</f>
        <v>SOL-11086</v>
      </c>
      <c r="D120" s="20">
        <v>232343</v>
      </c>
      <c r="E120" s="10">
        <v>299357.59999999998</v>
      </c>
      <c r="F120" s="10">
        <f t="shared" si="18"/>
        <v>-67014.599999999977</v>
      </c>
      <c r="G120" s="11">
        <f t="shared" si="17"/>
        <v>-0.22386136179605923</v>
      </c>
      <c r="H120" s="12">
        <v>419535.3</v>
      </c>
      <c r="I120" s="12">
        <f t="shared" si="19"/>
        <v>-187192.3</v>
      </c>
      <c r="J120" s="13">
        <f t="shared" si="20"/>
        <v>-0.44618962933512385</v>
      </c>
      <c r="K120" s="49" t="s">
        <v>2065</v>
      </c>
      <c r="L120" s="49"/>
    </row>
    <row r="121" spans="1:18" ht="30" customHeight="1">
      <c r="A121" s="26" t="str">
        <v>Krumkill South</v>
      </c>
      <c r="B121" s="27" t="str">
        <v>NY</v>
      </c>
      <c r="C121" s="26" t="str">
        <f>Sites[[#This Row],[SOL'#]]</f>
        <v>SOL-11087</v>
      </c>
      <c r="D121" s="9">
        <v>218985</v>
      </c>
      <c r="E121" s="14">
        <v>274991.7</v>
      </c>
      <c r="F121" s="14">
        <f t="shared" si="18"/>
        <v>-56006.700000000012</v>
      </c>
      <c r="G121" s="15">
        <f t="shared" si="17"/>
        <v>-0.20366687430929736</v>
      </c>
      <c r="H121" s="16">
        <v>328902.5</v>
      </c>
      <c r="I121" s="16">
        <f t="shared" si="19"/>
        <v>-109917.5</v>
      </c>
      <c r="J121" s="15">
        <f t="shared" si="20"/>
        <v>-0.33419478416856058</v>
      </c>
      <c r="K121" s="185" t="s">
        <v>2571</v>
      </c>
      <c r="L121" s="110" t="s">
        <v>2572</v>
      </c>
      <c r="M121" s="103" t="s">
        <v>2120</v>
      </c>
    </row>
    <row r="122" spans="1:18" ht="15.6">
      <c r="A122" s="24" t="str">
        <v>X092</v>
      </c>
      <c r="B122" s="25" t="str">
        <v>NY</v>
      </c>
      <c r="C122" s="25" t="str">
        <f>Sites[[#This Row],[SOL'#]]</f>
        <v>SOL-11189</v>
      </c>
      <c r="D122" s="20">
        <v>7322.3999999999896</v>
      </c>
      <c r="E122" s="10">
        <v>7811.5810000000001</v>
      </c>
      <c r="F122" s="10">
        <f t="shared" si="18"/>
        <v>-489.1810000000105</v>
      </c>
      <c r="G122" s="11">
        <f t="shared" si="17"/>
        <v>-6.2622534413969533E-2</v>
      </c>
      <c r="H122" s="12">
        <v>8644</v>
      </c>
      <c r="I122" s="12">
        <f t="shared" si="19"/>
        <v>-1321.6000000000104</v>
      </c>
      <c r="J122" s="13">
        <f t="shared" si="20"/>
        <v>-0.15289217954650744</v>
      </c>
      <c r="K122" s="49" t="s">
        <v>2573</v>
      </c>
      <c r="L122" s="49"/>
    </row>
    <row r="123" spans="1:18" ht="15.6">
      <c r="A123" s="26" t="str">
        <v>X093</v>
      </c>
      <c r="B123" s="27" t="str">
        <v>NY</v>
      </c>
      <c r="C123" s="26" t="str">
        <f>Sites[[#This Row],[SOL'#]]</f>
        <v>SOL-10932</v>
      </c>
      <c r="D123" s="9">
        <v>5398.7109375</v>
      </c>
      <c r="E123" s="14">
        <v>5737.0940000000001</v>
      </c>
      <c r="F123" s="14">
        <f t="shared" si="18"/>
        <v>-338.38306250000005</v>
      </c>
      <c r="G123" s="15">
        <f t="shared" ref="G123:G154" si="21">IFERROR(F123/E123, "")</f>
        <v>-5.8981613775196999E-2</v>
      </c>
      <c r="H123" s="16">
        <v>5908</v>
      </c>
      <c r="I123" s="16">
        <f t="shared" si="19"/>
        <v>-509.2890625</v>
      </c>
      <c r="J123" s="15">
        <f t="shared" si="20"/>
        <v>-8.6203294262017602E-2</v>
      </c>
      <c r="K123" s="185"/>
      <c r="L123" s="92"/>
    </row>
    <row r="124" spans="1:18" ht="28.9">
      <c r="A124" s="24" t="str">
        <v>X095</v>
      </c>
      <c r="B124" s="25" t="str">
        <v>NY</v>
      </c>
      <c r="C124" s="25" t="str">
        <f>Sites[[#This Row],[SOL'#]]</f>
        <v>SOL-10929</v>
      </c>
      <c r="D124" s="20">
        <v>7256.0625</v>
      </c>
      <c r="E124" s="10">
        <v>9892.3549999999996</v>
      </c>
      <c r="F124" s="10">
        <f t="shared" si="18"/>
        <v>-2636.2924999999996</v>
      </c>
      <c r="G124" s="11">
        <f t="shared" si="21"/>
        <v>-0.26649796736975168</v>
      </c>
      <c r="H124" s="12">
        <v>8332</v>
      </c>
      <c r="I124" s="12">
        <f t="shared" si="19"/>
        <v>-1075.9375</v>
      </c>
      <c r="J124" s="13">
        <f t="shared" si="20"/>
        <v>-0.12913316130580893</v>
      </c>
      <c r="K124" s="49" t="s">
        <v>2574</v>
      </c>
      <c r="L124" s="49"/>
    </row>
    <row r="125" spans="1:18" ht="18" customHeight="1">
      <c r="A125" s="26" t="str">
        <v>X181</v>
      </c>
      <c r="B125" s="27" t="str">
        <v>NY</v>
      </c>
      <c r="C125" s="26" t="str">
        <f>Sites[[#This Row],[SOL'#]]</f>
        <v>SOL-10428</v>
      </c>
      <c r="D125" s="9">
        <v>13731.71875</v>
      </c>
      <c r="E125" s="14">
        <v>14089.21</v>
      </c>
      <c r="F125" s="14">
        <f t="shared" si="18"/>
        <v>-357.49124999999913</v>
      </c>
      <c r="G125" s="15">
        <f t="shared" si="21"/>
        <v>-2.5373406315896997E-2</v>
      </c>
      <c r="H125" s="16">
        <v>13747</v>
      </c>
      <c r="I125" s="16">
        <f t="shared" si="19"/>
        <v>-15.28125</v>
      </c>
      <c r="J125" s="15">
        <f t="shared" si="20"/>
        <v>-1.1116061686186078E-3</v>
      </c>
      <c r="K125" s="185"/>
      <c r="L125" s="185"/>
    </row>
    <row r="126" spans="1:18" ht="15.6">
      <c r="A126" s="24" t="str">
        <v>X415</v>
      </c>
      <c r="B126" s="25" t="str">
        <v>NY</v>
      </c>
      <c r="C126" s="25" t="str">
        <f>Sites[[#This Row],[SOL'#]]</f>
        <v>SOL-10429</v>
      </c>
      <c r="D126" s="20">
        <v>8417.3842187499995</v>
      </c>
      <c r="E126" s="10">
        <v>7556.8969999999999</v>
      </c>
      <c r="F126" s="10">
        <f t="shared" si="18"/>
        <v>860.48721874999956</v>
      </c>
      <c r="G126" s="11">
        <f t="shared" si="21"/>
        <v>0.11386779768865443</v>
      </c>
      <c r="H126" s="12">
        <v>7479</v>
      </c>
      <c r="I126" s="12">
        <f t="shared" si="19"/>
        <v>938.38421874999949</v>
      </c>
      <c r="J126" s="13">
        <f t="shared" si="20"/>
        <v>0.12546920962027003</v>
      </c>
      <c r="K126" s="49"/>
      <c r="L126" s="49"/>
    </row>
    <row r="127" spans="1:18" ht="15.6">
      <c r="A127" s="26" t="str">
        <v>K198</v>
      </c>
      <c r="B127" s="27" t="str">
        <v>NY</v>
      </c>
      <c r="C127" s="26" t="str">
        <f>Sites[[#This Row],[SOL'#]]</f>
        <v>SOL-10930</v>
      </c>
      <c r="D127" s="9">
        <v>6419.03125</v>
      </c>
      <c r="E127" s="14">
        <v>7026.1880000000001</v>
      </c>
      <c r="F127" s="14">
        <f t="shared" si="18"/>
        <v>-607.1567500000001</v>
      </c>
      <c r="G127" s="15">
        <f t="shared" si="21"/>
        <v>-8.641339372074873E-2</v>
      </c>
      <c r="H127" s="16">
        <v>7080</v>
      </c>
      <c r="I127" s="16">
        <f t="shared" si="19"/>
        <v>-660.96875</v>
      </c>
      <c r="J127" s="15">
        <f t="shared" si="20"/>
        <v>-9.335716807909604E-2</v>
      </c>
      <c r="K127" s="185"/>
      <c r="L127" s="92"/>
    </row>
    <row r="128" spans="1:18" ht="28.9">
      <c r="A128" s="24" t="str">
        <v>K203</v>
      </c>
      <c r="B128" s="25" t="str">
        <v>NY</v>
      </c>
      <c r="C128" s="25" t="str">
        <f>Sites[[#This Row],[SOL'#]]</f>
        <v>SOL-11190</v>
      </c>
      <c r="D128" s="20">
        <v>8063.7999999999902</v>
      </c>
      <c r="E128" s="10">
        <v>7575.0969999999998</v>
      </c>
      <c r="F128" s="10">
        <f t="shared" si="18"/>
        <v>488.70299999999042</v>
      </c>
      <c r="G128" s="11">
        <f t="shared" si="21"/>
        <v>6.4514421399487085E-2</v>
      </c>
      <c r="H128" s="12">
        <v>9907</v>
      </c>
      <c r="I128" s="12">
        <f t="shared" si="19"/>
        <v>-1843.2000000000098</v>
      </c>
      <c r="J128" s="13">
        <f t="shared" si="20"/>
        <v>-0.18605026748763601</v>
      </c>
      <c r="K128" s="49" t="s">
        <v>2575</v>
      </c>
      <c r="L128" s="49"/>
    </row>
    <row r="129" spans="1:14" ht="15.6">
      <c r="A129" s="26" t="str">
        <v>K213</v>
      </c>
      <c r="B129" s="27" t="str">
        <v>NY</v>
      </c>
      <c r="C129" s="26" t="str">
        <f>Sites[[#This Row],[SOL'#]]</f>
        <v>SOL-11191</v>
      </c>
      <c r="D129" s="9">
        <v>8922.3000000000193</v>
      </c>
      <c r="E129" s="14">
        <v>10729.72</v>
      </c>
      <c r="F129" s="14">
        <f t="shared" si="18"/>
        <v>-1807.4199999999801</v>
      </c>
      <c r="G129" s="15">
        <f t="shared" si="21"/>
        <v>-0.1684498756724295</v>
      </c>
      <c r="H129" s="16">
        <v>10161</v>
      </c>
      <c r="I129" s="16">
        <f t="shared" si="19"/>
        <v>-1238.6999999999807</v>
      </c>
      <c r="J129" s="15">
        <f t="shared" si="20"/>
        <v>-0.12190729258931018</v>
      </c>
      <c r="K129" s="185" t="s">
        <v>2299</v>
      </c>
      <c r="L129" s="92"/>
    </row>
    <row r="130" spans="1:14" ht="28.9">
      <c r="A130" s="24" t="str">
        <v>K217</v>
      </c>
      <c r="B130" s="25" t="str">
        <v>NY</v>
      </c>
      <c r="C130" s="25" t="str">
        <f>Sites[[#This Row],[SOL'#]]</f>
        <v>SOL-10933</v>
      </c>
      <c r="D130" s="20">
        <v>4463.46875</v>
      </c>
      <c r="E130" s="10">
        <v>5474.2120000000004</v>
      </c>
      <c r="F130" s="10">
        <f t="shared" si="18"/>
        <v>-1010.7432500000004</v>
      </c>
      <c r="G130" s="11">
        <f t="shared" si="21"/>
        <v>-0.18463721353867923</v>
      </c>
      <c r="H130" s="12">
        <v>4712</v>
      </c>
      <c r="I130" s="12">
        <f t="shared" si="19"/>
        <v>-248.53125</v>
      </c>
      <c r="J130" s="13">
        <f t="shared" si="20"/>
        <v>-5.274432300509338E-2</v>
      </c>
      <c r="K130" s="108" t="s">
        <v>2576</v>
      </c>
      <c r="L130" s="49"/>
    </row>
    <row r="131" spans="1:14" ht="15.6">
      <c r="A131" s="26" t="str">
        <v>K307</v>
      </c>
      <c r="B131" s="27" t="str">
        <v>NY</v>
      </c>
      <c r="C131" s="26" t="str">
        <f>Sites[[#This Row],[SOL'#]]</f>
        <v>SOL-10876</v>
      </c>
      <c r="D131" s="9">
        <v>10209.71875</v>
      </c>
      <c r="E131" s="14">
        <v>16185.57</v>
      </c>
      <c r="F131" s="14">
        <f t="shared" si="18"/>
        <v>-5975.8512499999997</v>
      </c>
      <c r="G131" s="15">
        <f t="shared" si="21"/>
        <v>-0.36920857591051781</v>
      </c>
      <c r="H131" s="16">
        <v>9094</v>
      </c>
      <c r="I131" s="16">
        <f t="shared" si="19"/>
        <v>1115.71875</v>
      </c>
      <c r="J131" s="15">
        <f t="shared" si="20"/>
        <v>0.12268734880140753</v>
      </c>
      <c r="K131" s="185" t="s">
        <v>2066</v>
      </c>
      <c r="L131" s="92"/>
    </row>
    <row r="132" spans="1:14" ht="15.6">
      <c r="A132" s="24" t="str">
        <v>K610</v>
      </c>
      <c r="B132" s="25" t="str">
        <v>NY</v>
      </c>
      <c r="C132" s="25" t="str">
        <f>Sites[[#This Row],[SOL'#]]</f>
        <v>SOL-11158</v>
      </c>
      <c r="D132" s="20">
        <v>12291.8</v>
      </c>
      <c r="E132" s="10">
        <v>12840.36</v>
      </c>
      <c r="F132" s="10">
        <f t="shared" si="18"/>
        <v>-548.56000000000131</v>
      </c>
      <c r="G132" s="11">
        <f t="shared" si="21"/>
        <v>-4.2721543632733137E-2</v>
      </c>
      <c r="H132" s="12">
        <v>13142</v>
      </c>
      <c r="I132" s="12">
        <f t="shared" si="19"/>
        <v>-850.20000000000073</v>
      </c>
      <c r="J132" s="13">
        <f t="shared" si="20"/>
        <v>-6.469334956627612E-2</v>
      </c>
      <c r="K132" s="49"/>
      <c r="L132" s="49"/>
    </row>
    <row r="133" spans="1:14" ht="28.9">
      <c r="A133" s="26" t="str">
        <v>M025</v>
      </c>
      <c r="B133" s="27" t="str">
        <v>NY</v>
      </c>
      <c r="C133" s="26" t="str">
        <f>Sites[[#This Row],[SOL'#]]</f>
        <v>SOL-10392</v>
      </c>
      <c r="D133" s="9">
        <v>8862.375</v>
      </c>
      <c r="E133" s="14">
        <v>13193.74</v>
      </c>
      <c r="F133" s="14">
        <f t="shared" si="18"/>
        <v>-4331.3649999999998</v>
      </c>
      <c r="G133" s="15">
        <f t="shared" si="21"/>
        <v>-0.32828940088253972</v>
      </c>
      <c r="H133" s="16">
        <v>12051</v>
      </c>
      <c r="I133" s="16">
        <f t="shared" si="19"/>
        <v>-3188.625</v>
      </c>
      <c r="J133" s="15">
        <f t="shared" si="20"/>
        <v>-0.26459422454568088</v>
      </c>
      <c r="K133" s="185" t="s">
        <v>2577</v>
      </c>
      <c r="L133" s="110" t="s">
        <v>2578</v>
      </c>
      <c r="M133" s="65" t="s">
        <v>2254</v>
      </c>
      <c r="N133" s="111" t="s">
        <v>2302</v>
      </c>
    </row>
    <row r="134" spans="1:14" ht="15.6">
      <c r="A134" s="24" t="str">
        <v>M028</v>
      </c>
      <c r="B134" s="25" t="str">
        <v>NY</v>
      </c>
      <c r="C134" s="25" t="str">
        <f>Sites[[#This Row],[SOL'#]]</f>
        <v>SOL-10381</v>
      </c>
      <c r="D134" s="20">
        <v>8206.265625</v>
      </c>
      <c r="E134" s="10">
        <v>8228.2340000000004</v>
      </c>
      <c r="F134" s="10">
        <f t="shared" si="18"/>
        <v>-21.968375000000378</v>
      </c>
      <c r="G134" s="11">
        <f t="shared" si="21"/>
        <v>-2.6698772786481737E-3</v>
      </c>
      <c r="H134" s="12">
        <v>8255</v>
      </c>
      <c r="I134" s="12">
        <f t="shared" si="19"/>
        <v>-48.734375</v>
      </c>
      <c r="J134" s="13">
        <f t="shared" si="20"/>
        <v>-5.9036190187764992E-3</v>
      </c>
      <c r="K134" s="49"/>
      <c r="L134" s="49"/>
    </row>
    <row r="135" spans="1:14" ht="15.6">
      <c r="A135" s="26" t="str">
        <v>Q030</v>
      </c>
      <c r="B135" s="27" t="str">
        <v>NY</v>
      </c>
      <c r="C135" s="26" t="str">
        <f>Sites[[#This Row],[SOL'#]]</f>
        <v>SOL-10878</v>
      </c>
      <c r="D135" s="9">
        <v>9886.484375</v>
      </c>
      <c r="E135" s="14">
        <v>10362.530000000001</v>
      </c>
      <c r="F135" s="14">
        <f t="shared" si="18"/>
        <v>-476.04562500000065</v>
      </c>
      <c r="G135" s="15">
        <f t="shared" si="21"/>
        <v>-4.5939131177424881E-2</v>
      </c>
      <c r="H135" s="16">
        <v>10502</v>
      </c>
      <c r="I135" s="16">
        <f t="shared" si="19"/>
        <v>-615.515625</v>
      </c>
      <c r="J135" s="15">
        <f t="shared" si="20"/>
        <v>-5.8609372024376306E-2</v>
      </c>
      <c r="K135" s="185"/>
      <c r="L135" s="92"/>
    </row>
    <row r="136" spans="1:14" ht="15.6">
      <c r="A136" s="24" t="str">
        <v>Q130</v>
      </c>
      <c r="B136" s="25" t="str">
        <v>NY</v>
      </c>
      <c r="C136" s="25" t="str">
        <f>Sites[[#This Row],[SOL'#]]</f>
        <v>SOL-10877</v>
      </c>
      <c r="D136" s="20">
        <v>5253.20343594528</v>
      </c>
      <c r="E136" s="10">
        <v>6524.2309999999998</v>
      </c>
      <c r="F136" s="10">
        <f t="shared" si="18"/>
        <v>-1271.0275640547197</v>
      </c>
      <c r="G136" s="11">
        <f t="shared" si="21"/>
        <v>-0.19481645638462522</v>
      </c>
      <c r="H136" s="12">
        <v>5411.8490000000002</v>
      </c>
      <c r="I136" s="12">
        <f t="shared" si="19"/>
        <v>-158.64556405472013</v>
      </c>
      <c r="J136" s="13">
        <f t="shared" si="20"/>
        <v>-2.9314484579063479E-2</v>
      </c>
      <c r="K136" s="49" t="s">
        <v>2303</v>
      </c>
      <c r="L136" s="49"/>
    </row>
    <row r="137" spans="1:14" ht="15.6">
      <c r="A137" s="26" t="str">
        <v>Q196</v>
      </c>
      <c r="B137" s="27" t="str">
        <v>NY</v>
      </c>
      <c r="C137" s="26" t="str">
        <f>Sites[[#This Row],[SOL'#]]</f>
        <v>SOL-10879</v>
      </c>
      <c r="D137" s="9">
        <v>6858.390625</v>
      </c>
      <c r="E137" s="14">
        <v>8106.3869999999997</v>
      </c>
      <c r="F137" s="14">
        <f t="shared" si="18"/>
        <v>-1247.9963749999997</v>
      </c>
      <c r="G137" s="15">
        <f t="shared" si="21"/>
        <v>-0.15395223235702907</v>
      </c>
      <c r="H137" s="16">
        <v>7155</v>
      </c>
      <c r="I137" s="16">
        <f t="shared" si="19"/>
        <v>-296.609375</v>
      </c>
      <c r="J137" s="15">
        <f t="shared" si="20"/>
        <v>-4.1454839273235497E-2</v>
      </c>
      <c r="K137" s="185" t="s">
        <v>2304</v>
      </c>
      <c r="L137" s="92"/>
    </row>
    <row r="138" spans="1:14" ht="15.6">
      <c r="A138" s="24" t="str">
        <v>Q220</v>
      </c>
      <c r="B138" s="25" t="str">
        <v>NY</v>
      </c>
      <c r="C138" s="25" t="str">
        <f>Sites[[#This Row],[SOL'#]]</f>
        <v>SOL-10873</v>
      </c>
      <c r="D138" s="20">
        <v>7129.859375</v>
      </c>
      <c r="E138" s="10">
        <v>10711.88</v>
      </c>
      <c r="F138" s="10">
        <f t="shared" si="18"/>
        <v>-3582.0206249999992</v>
      </c>
      <c r="G138" s="11">
        <f t="shared" si="21"/>
        <v>-0.33439700827492463</v>
      </c>
      <c r="H138" s="12">
        <v>7400</v>
      </c>
      <c r="I138" s="12">
        <f t="shared" si="19"/>
        <v>-270.140625</v>
      </c>
      <c r="J138" s="13">
        <f t="shared" si="20"/>
        <v>-3.6505489864864862E-2</v>
      </c>
      <c r="K138" s="49" t="s">
        <v>1364</v>
      </c>
      <c r="L138" s="49"/>
    </row>
    <row r="139" spans="1:14" ht="15.6">
      <c r="A139" s="26" t="str">
        <v>Q205</v>
      </c>
      <c r="B139" s="27" t="str">
        <v>NY</v>
      </c>
      <c r="C139" s="26" t="str">
        <f>Sites[[#This Row],[SOL'#]]</f>
        <v>SOL-10922</v>
      </c>
      <c r="D139" s="9">
        <v>10737.921875</v>
      </c>
      <c r="E139" s="14">
        <v>13507.12</v>
      </c>
      <c r="F139" s="14">
        <f t="shared" si="18"/>
        <v>-2769.1981250000008</v>
      </c>
      <c r="G139" s="15">
        <f t="shared" si="21"/>
        <v>-0.20501765920492307</v>
      </c>
      <c r="H139" s="16">
        <v>10532</v>
      </c>
      <c r="I139" s="16">
        <f t="shared" si="19"/>
        <v>205.921875</v>
      </c>
      <c r="J139" s="15">
        <f t="shared" si="20"/>
        <v>1.9552020034181543E-2</v>
      </c>
      <c r="K139" s="185" t="s">
        <v>2305</v>
      </c>
      <c r="L139" s="92"/>
    </row>
    <row r="140" spans="1:14" ht="15.6">
      <c r="A140" s="28" t="str">
        <v>Q400</v>
      </c>
      <c r="B140" s="25" t="str">
        <v>NY</v>
      </c>
      <c r="C140" s="25" t="str">
        <f>Sites[[#This Row],[SOL'#]]</f>
        <v>SOL-10871</v>
      </c>
      <c r="D140" s="54">
        <v>9888.3125</v>
      </c>
      <c r="E140" s="10" t="s">
        <v>661</v>
      </c>
      <c r="F140" s="10" t="str">
        <f t="shared" si="18"/>
        <v/>
      </c>
      <c r="G140" s="55" t="str">
        <f t="shared" si="21"/>
        <v/>
      </c>
      <c r="H140" s="67">
        <v>15542</v>
      </c>
      <c r="I140" s="67">
        <f t="shared" si="19"/>
        <v>-5653.6875</v>
      </c>
      <c r="J140" s="64">
        <f t="shared" si="20"/>
        <v>-0.36376833740831294</v>
      </c>
      <c r="K140" s="108" t="s">
        <v>2579</v>
      </c>
      <c r="L140" s="109" t="s">
        <v>2580</v>
      </c>
      <c r="M140" s="103" t="s">
        <v>2120</v>
      </c>
    </row>
    <row r="141" spans="1:14" ht="15.6">
      <c r="A141" s="26" t="str">
        <v>R003</v>
      </c>
      <c r="B141" s="27" t="str">
        <v>NY</v>
      </c>
      <c r="C141" s="26" t="str">
        <f>Sites[[#This Row],[SOL'#]]</f>
        <v>SOL-10416</v>
      </c>
      <c r="D141" s="66">
        <v>16239.90625</v>
      </c>
      <c r="E141" s="14">
        <v>15609.61</v>
      </c>
      <c r="F141" s="14">
        <f t="shared" si="18"/>
        <v>630.29624999999942</v>
      </c>
      <c r="G141" s="68">
        <f t="shared" si="21"/>
        <v>4.0378731435314487E-2</v>
      </c>
      <c r="H141" s="69">
        <v>15818</v>
      </c>
      <c r="I141" s="69">
        <f t="shared" si="19"/>
        <v>421.90625</v>
      </c>
      <c r="J141" s="68">
        <f t="shared" si="20"/>
        <v>2.6672540776330762E-2</v>
      </c>
      <c r="K141" s="185"/>
      <c r="L141" s="94"/>
    </row>
    <row r="142" spans="1:14" ht="28.9">
      <c r="A142" s="24" t="str">
        <v>R007</v>
      </c>
      <c r="B142" s="25" t="str">
        <v>NY</v>
      </c>
      <c r="C142" s="25" t="str">
        <f>Sites[[#This Row],[SOL'#]]</f>
        <v>SOL-10417</v>
      </c>
      <c r="D142" s="54">
        <v>17423.4375</v>
      </c>
      <c r="E142" s="10">
        <v>18500.07</v>
      </c>
      <c r="F142" s="10">
        <f t="shared" si="18"/>
        <v>-1076.6324999999997</v>
      </c>
      <c r="G142" s="55">
        <f t="shared" si="21"/>
        <v>-5.8196131149774011E-2</v>
      </c>
      <c r="H142" s="67">
        <v>22988.13</v>
      </c>
      <c r="I142" s="67">
        <f t="shared" si="19"/>
        <v>-5564.692500000001</v>
      </c>
      <c r="J142" s="64">
        <f t="shared" si="20"/>
        <v>-0.24206808035277341</v>
      </c>
      <c r="K142" s="108" t="s">
        <v>2581</v>
      </c>
      <c r="L142" s="49"/>
    </row>
    <row r="143" spans="1:14" ht="15.6">
      <c r="A143" s="26" t="str">
        <v>BK16</v>
      </c>
      <c r="B143" s="27" t="str">
        <v>NY</v>
      </c>
      <c r="C143" s="26" t="str">
        <f>Sites[[#This Row],[SOL'#]]</f>
        <v>SOL-11093</v>
      </c>
      <c r="D143" s="66">
        <v>16280.375</v>
      </c>
      <c r="E143" s="14">
        <v>17315.66</v>
      </c>
      <c r="F143" s="14">
        <f t="shared" si="18"/>
        <v>-1035.2849999999999</v>
      </c>
      <c r="G143" s="68">
        <f t="shared" si="21"/>
        <v>-5.978894249482837E-2</v>
      </c>
      <c r="H143" s="69">
        <v>16902</v>
      </c>
      <c r="I143" s="69">
        <f t="shared" si="19"/>
        <v>-621.625</v>
      </c>
      <c r="J143" s="68">
        <f t="shared" si="20"/>
        <v>-3.6778191929949119E-2</v>
      </c>
      <c r="K143" s="185"/>
      <c r="L143" s="94"/>
    </row>
    <row r="144" spans="1:14" ht="15.6">
      <c r="A144" s="24" t="str">
        <v>Trenton - Trenton East</v>
      </c>
      <c r="B144" s="25" t="str">
        <v>IL</v>
      </c>
      <c r="C144" s="25" t="str">
        <f>Sites[[#This Row],[SOL'#]]</f>
        <v>SOL-11060</v>
      </c>
      <c r="D144" s="54">
        <v>253712</v>
      </c>
      <c r="E144" s="10">
        <v>255632.3</v>
      </c>
      <c r="F144" s="10">
        <f t="shared" si="18"/>
        <v>-1920.2999999999884</v>
      </c>
      <c r="G144" s="55">
        <f t="shared" si="21"/>
        <v>-7.5119615166001656E-3</v>
      </c>
      <c r="H144" s="67">
        <v>220448</v>
      </c>
      <c r="I144" s="67">
        <f t="shared" si="19"/>
        <v>33264</v>
      </c>
      <c r="J144" s="64">
        <f t="shared" si="20"/>
        <v>0.15089272753665264</v>
      </c>
      <c r="K144" s="108" t="s">
        <v>2582</v>
      </c>
      <c r="L144" s="109" t="s">
        <v>2583</v>
      </c>
      <c r="M144" s="103" t="s">
        <v>2120</v>
      </c>
    </row>
    <row r="145" spans="1:15" ht="48" customHeight="1">
      <c r="A145" s="26" t="str">
        <v>Trenton - Trenton West</v>
      </c>
      <c r="B145" s="27" t="str">
        <v>IL</v>
      </c>
      <c r="C145" s="26" t="str">
        <f>Sites[[#This Row],[SOL'#]]</f>
        <v>SOL-11061</v>
      </c>
      <c r="D145" s="66">
        <v>253189</v>
      </c>
      <c r="E145" s="14">
        <v>224052</v>
      </c>
      <c r="F145" s="14">
        <f t="shared" si="18"/>
        <v>29137</v>
      </c>
      <c r="G145" s="68">
        <f t="shared" si="21"/>
        <v>0.13004570367593238</v>
      </c>
      <c r="H145" s="69">
        <v>229321</v>
      </c>
      <c r="I145" s="69">
        <f t="shared" si="19"/>
        <v>23868</v>
      </c>
      <c r="J145" s="68">
        <f t="shared" si="20"/>
        <v>0.10408117878432416</v>
      </c>
      <c r="K145" s="185" t="s">
        <v>2584</v>
      </c>
      <c r="L145" s="121" t="s">
        <v>2585</v>
      </c>
      <c r="M145" s="65" t="s">
        <v>2586</v>
      </c>
      <c r="N145" s="111" t="s">
        <v>2587</v>
      </c>
    </row>
    <row r="146" spans="1:15" ht="15.6">
      <c r="A146" s="24" t="str">
        <v>Dakota - Dakota Solar 1</v>
      </c>
      <c r="B146" s="25" t="str">
        <v>IL</v>
      </c>
      <c r="C146" s="25" t="str">
        <f>Sites[[#This Row],[SOL'#]]</f>
        <v>SOL-11113</v>
      </c>
      <c r="D146" s="54">
        <v>206864</v>
      </c>
      <c r="E146" s="10">
        <v>211766.3</v>
      </c>
      <c r="F146" s="10">
        <f t="shared" ref="F146:F154" si="22">IF(AND(ISNUMBER(D146),ISNUMBER(E146)), D146-E146, "")</f>
        <v>-4902.2999999999884</v>
      </c>
      <c r="G146" s="55">
        <f t="shared" si="21"/>
        <v>-2.3149575735138161E-2</v>
      </c>
      <c r="H146" s="67">
        <v>210384</v>
      </c>
      <c r="I146" s="67">
        <f t="shared" ref="I146:I158" si="23">IF(AND(ISNUMBER(D146),ISNUMBER(H146)), D146-H146, "")</f>
        <v>-3520</v>
      </c>
      <c r="J146" s="64">
        <f t="shared" ref="J146:J158" si="24">IFERROR(I146/H146, "")</f>
        <v>-1.6731310365807286E-2</v>
      </c>
      <c r="K146" s="108"/>
      <c r="L146" s="49"/>
    </row>
    <row r="147" spans="1:15" ht="43.15">
      <c r="A147" s="26" t="str">
        <v>X018</v>
      </c>
      <c r="B147" s="27" t="str">
        <v>NY</v>
      </c>
      <c r="C147" s="26" t="str">
        <f>Sites[[#This Row],[SOL'#]]</f>
        <v>SOL-10418</v>
      </c>
      <c r="D147" s="66">
        <v>7739.28125</v>
      </c>
      <c r="E147" s="14">
        <v>7884.0860000000002</v>
      </c>
      <c r="F147" s="14">
        <f t="shared" si="22"/>
        <v>-144.80475000000024</v>
      </c>
      <c r="G147" s="68">
        <f t="shared" si="21"/>
        <v>-1.8366713655837877E-2</v>
      </c>
      <c r="H147" s="69">
        <v>9450</v>
      </c>
      <c r="I147" s="69">
        <f t="shared" si="23"/>
        <v>-1710.71875</v>
      </c>
      <c r="J147" s="68">
        <f t="shared" si="24"/>
        <v>-0.18102843915343916</v>
      </c>
      <c r="K147" s="185" t="s">
        <v>2588</v>
      </c>
      <c r="L147" s="94"/>
    </row>
    <row r="148" spans="1:15" ht="28.9">
      <c r="A148" s="24" t="str">
        <v>Janiak Solar</v>
      </c>
      <c r="B148" s="25" t="str">
        <v>NY</v>
      </c>
      <c r="C148" s="25" t="str">
        <f>Sites[[#This Row],[SOL'#]]</f>
        <v>SOL-10898</v>
      </c>
      <c r="D148" s="54">
        <v>128714.643887677</v>
      </c>
      <c r="E148" s="10">
        <v>133336.79999999999</v>
      </c>
      <c r="F148" s="10">
        <f t="shared" si="22"/>
        <v>-4622.1561123229912</v>
      </c>
      <c r="G148" s="55">
        <f t="shared" si="21"/>
        <v>-3.4665269545414254E-2</v>
      </c>
      <c r="H148" s="67">
        <v>206814</v>
      </c>
      <c r="I148" s="67">
        <f t="shared" si="23"/>
        <v>-78099.356112323003</v>
      </c>
      <c r="J148" s="64">
        <f t="shared" si="24"/>
        <v>-0.37763089593704008</v>
      </c>
      <c r="K148" s="108" t="s">
        <v>2589</v>
      </c>
      <c r="L148" s="109" t="s">
        <v>2590</v>
      </c>
      <c r="M148" s="65" t="s">
        <v>2254</v>
      </c>
      <c r="N148" s="111" t="s">
        <v>2591</v>
      </c>
    </row>
    <row r="149" spans="1:15" ht="15.6">
      <c r="A149" s="26" t="str">
        <v>County Route 11B</v>
      </c>
      <c r="B149" s="27" t="str">
        <v>NY</v>
      </c>
      <c r="C149" s="26" t="str">
        <f>Sites[[#This Row],[SOL'#]]</f>
        <v>SOL-10983</v>
      </c>
      <c r="D149" s="66">
        <v>279722</v>
      </c>
      <c r="E149" s="14">
        <v>273566.3</v>
      </c>
      <c r="F149" s="14">
        <f t="shared" si="22"/>
        <v>6155.7000000000116</v>
      </c>
      <c r="G149" s="68">
        <f t="shared" si="21"/>
        <v>2.250167509667679E-2</v>
      </c>
      <c r="H149" s="125" t="s">
        <v>661</v>
      </c>
      <c r="I149" s="69" t="str">
        <f t="shared" si="23"/>
        <v/>
      </c>
      <c r="J149" s="68" t="str">
        <f t="shared" si="24"/>
        <v/>
      </c>
      <c r="K149" s="185"/>
      <c r="L149" s="95"/>
    </row>
    <row r="150" spans="1:15" ht="43.15">
      <c r="A150" s="24" t="str">
        <v>Barone</v>
      </c>
      <c r="B150" s="25" t="str">
        <v>NY</v>
      </c>
      <c r="C150" s="25" t="str">
        <f>Sites[[#This Row],[SOL'#]]</f>
        <v>SOL-11034</v>
      </c>
      <c r="D150" s="54">
        <v>225837</v>
      </c>
      <c r="E150" s="10">
        <v>221879</v>
      </c>
      <c r="F150" s="10">
        <f t="shared" si="22"/>
        <v>3958</v>
      </c>
      <c r="G150" s="55">
        <f t="shared" si="21"/>
        <v>1.7838551643012634E-2</v>
      </c>
      <c r="H150" s="67">
        <v>297505</v>
      </c>
      <c r="I150" s="67">
        <f t="shared" si="23"/>
        <v>-71668</v>
      </c>
      <c r="J150" s="64">
        <f t="shared" si="24"/>
        <v>-0.24089679165056049</v>
      </c>
      <c r="K150" s="108" t="s">
        <v>2592</v>
      </c>
      <c r="L150" s="109" t="s">
        <v>2593</v>
      </c>
      <c r="M150" s="65" t="s">
        <v>2594</v>
      </c>
      <c r="N150" s="111" t="s">
        <v>2595</v>
      </c>
      <c r="O150" s="111" t="s">
        <v>2596</v>
      </c>
    </row>
    <row r="151" spans="1:15" ht="15.6">
      <c r="A151" s="26" t="str">
        <v>Cedarville</v>
      </c>
      <c r="B151" s="27" t="str">
        <v>IL</v>
      </c>
      <c r="C151" s="26" t="str">
        <f>Sites[[#This Row],[SOL'#]]</f>
        <v>SOL-11069</v>
      </c>
      <c r="D151" s="66">
        <v>143395</v>
      </c>
      <c r="E151" s="14">
        <v>172391.8</v>
      </c>
      <c r="F151" s="14">
        <f t="shared" si="22"/>
        <v>-28996.799999999988</v>
      </c>
      <c r="G151" s="68">
        <f t="shared" si="21"/>
        <v>-0.16820289596140878</v>
      </c>
      <c r="H151" s="69">
        <v>189071.5</v>
      </c>
      <c r="I151" s="69">
        <f t="shared" si="23"/>
        <v>-45676.5</v>
      </c>
      <c r="J151" s="68">
        <f t="shared" si="24"/>
        <v>-0.24158321058435567</v>
      </c>
      <c r="K151" s="185" t="s">
        <v>2597</v>
      </c>
      <c r="L151" s="114" t="s">
        <v>2598</v>
      </c>
      <c r="M151" s="103" t="s">
        <v>2120</v>
      </c>
    </row>
    <row r="152" spans="1:15" ht="28.9">
      <c r="A152" s="24" t="str">
        <v xml:space="preserve"> O'Brien Hill #1</v>
      </c>
      <c r="B152" s="25" t="str">
        <v>NY</v>
      </c>
      <c r="C152" s="25" t="str">
        <f>Sites[[#This Row],[SOL'#]]</f>
        <v>SOL-11098</v>
      </c>
      <c r="D152" s="54">
        <v>0</v>
      </c>
      <c r="E152" s="10">
        <v>0</v>
      </c>
      <c r="F152" s="10">
        <f t="shared" si="22"/>
        <v>0</v>
      </c>
      <c r="G152" s="55" t="str">
        <f t="shared" si="21"/>
        <v/>
      </c>
      <c r="H152" s="146" t="s">
        <v>661</v>
      </c>
      <c r="I152" s="67" t="str">
        <f t="shared" si="23"/>
        <v/>
      </c>
      <c r="J152" s="64" t="str">
        <f t="shared" si="24"/>
        <v/>
      </c>
      <c r="K152" s="108" t="s">
        <v>1390</v>
      </c>
      <c r="L152" s="109" t="s">
        <v>1391</v>
      </c>
      <c r="M152" s="103" t="s">
        <v>2138</v>
      </c>
      <c r="N152" s="111" t="s">
        <v>877</v>
      </c>
    </row>
    <row r="153" spans="1:15" ht="57.6">
      <c r="A153" s="26" t="str">
        <v xml:space="preserve"> O'Brien Hill #2</v>
      </c>
      <c r="B153" s="27" t="str">
        <v>NY</v>
      </c>
      <c r="C153" s="26" t="str">
        <f>Sites[[#This Row],[SOL'#]]</f>
        <v>SOL-11099</v>
      </c>
      <c r="D153" s="66">
        <v>225729</v>
      </c>
      <c r="E153" s="14">
        <v>225636</v>
      </c>
      <c r="F153" s="14">
        <f t="shared" si="22"/>
        <v>93</v>
      </c>
      <c r="G153" s="68">
        <f t="shared" si="21"/>
        <v>4.1216827102058182E-4</v>
      </c>
      <c r="H153" s="125" t="s">
        <v>661</v>
      </c>
      <c r="I153" s="69" t="str">
        <f t="shared" si="23"/>
        <v/>
      </c>
      <c r="J153" s="68" t="str">
        <f t="shared" si="24"/>
        <v/>
      </c>
      <c r="K153" s="185" t="s">
        <v>2599</v>
      </c>
      <c r="L153" s="121" t="s">
        <v>2600</v>
      </c>
      <c r="M153" s="65" t="s">
        <v>2594</v>
      </c>
      <c r="N153" s="111" t="s">
        <v>2601</v>
      </c>
      <c r="O153" s="111" t="s">
        <v>2602</v>
      </c>
    </row>
    <row r="154" spans="1:15" ht="15.6">
      <c r="A154" s="24" t="str">
        <v>Trinity - Freeport</v>
      </c>
      <c r="B154" s="25" t="str">
        <v>IL</v>
      </c>
      <c r="C154" s="25" t="str">
        <f>Sites[[#This Row],[SOL'#]]</f>
        <v>SOL-11057</v>
      </c>
      <c r="D154" s="54">
        <v>188687</v>
      </c>
      <c r="E154" s="10">
        <v>213822.2</v>
      </c>
      <c r="F154" s="10">
        <f t="shared" si="22"/>
        <v>-25135.200000000012</v>
      </c>
      <c r="G154" s="55">
        <f t="shared" si="21"/>
        <v>-0.11755187253708928</v>
      </c>
      <c r="H154" s="67">
        <v>199856</v>
      </c>
      <c r="I154" s="67">
        <f t="shared" si="23"/>
        <v>-11169</v>
      </c>
      <c r="J154" s="64">
        <f t="shared" si="24"/>
        <v>-5.5885237370907052E-2</v>
      </c>
      <c r="K154" s="108" t="s">
        <v>2603</v>
      </c>
      <c r="L154" s="109" t="s">
        <v>2604</v>
      </c>
      <c r="M154" s="103" t="s">
        <v>2120</v>
      </c>
    </row>
    <row r="155" spans="1:15" ht="28.9">
      <c r="A155" s="26" t="str">
        <v>Ransom</v>
      </c>
      <c r="B155" s="27" t="str">
        <v>NY</v>
      </c>
      <c r="C155" s="26" t="str">
        <f>Sites[[#This Row],[SOL'#]]</f>
        <v>SOL-11157</v>
      </c>
      <c r="D155" s="66">
        <v>315223</v>
      </c>
      <c r="E155" s="14">
        <v>310457</v>
      </c>
      <c r="F155" s="14">
        <v>0</v>
      </c>
      <c r="G155" s="68">
        <f t="shared" ref="G155:G158" si="25">IFERROR(F155/E155, "")</f>
        <v>0</v>
      </c>
      <c r="H155" s="125" t="s">
        <v>661</v>
      </c>
      <c r="I155" s="69" t="str">
        <f t="shared" si="23"/>
        <v/>
      </c>
      <c r="J155" s="68" t="str">
        <f t="shared" si="24"/>
        <v/>
      </c>
      <c r="K155" s="185" t="s">
        <v>2605</v>
      </c>
      <c r="L155" s="114" t="s">
        <v>2606</v>
      </c>
      <c r="M155" s="103" t="s">
        <v>2120</v>
      </c>
    </row>
    <row r="156" spans="1:15" ht="15.6">
      <c r="A156" s="24" t="str">
        <v>Horseheads - Wedge</v>
      </c>
      <c r="B156" s="25" t="str">
        <v>NY</v>
      </c>
      <c r="C156" s="25" t="str">
        <f>Sites[[#This Row],[SOL'#]]</f>
        <v>SOL-11160</v>
      </c>
      <c r="D156" s="54">
        <v>179848</v>
      </c>
      <c r="E156" s="10">
        <v>177557</v>
      </c>
      <c r="F156" s="10">
        <f t="shared" ref="F156:F158" si="26">IF(AND(ISNUMBER(D156),ISNUMBER(E156)), D156-E156, "")</f>
        <v>2291</v>
      </c>
      <c r="G156" s="55">
        <f t="shared" si="25"/>
        <v>1.2902898787431642E-2</v>
      </c>
      <c r="H156" s="146" t="s">
        <v>661</v>
      </c>
      <c r="I156" s="67" t="str">
        <f t="shared" si="23"/>
        <v/>
      </c>
      <c r="J156" s="64" t="str">
        <f t="shared" si="24"/>
        <v/>
      </c>
      <c r="K156" s="108" t="s">
        <v>2607</v>
      </c>
      <c r="L156" s="109" t="s">
        <v>2608</v>
      </c>
      <c r="M156" s="103" t="s">
        <v>2239</v>
      </c>
    </row>
    <row r="157" spans="1:15" ht="28.9">
      <c r="A157" s="26" t="str">
        <v>Otisville - Shoddy Hollow</v>
      </c>
      <c r="B157" s="27" t="str">
        <v>NY</v>
      </c>
      <c r="C157" s="26" t="str">
        <f>Sites[[#This Row],[SOL'#]]</f>
        <v>SOL-11185</v>
      </c>
      <c r="D157" s="66">
        <v>395324</v>
      </c>
      <c r="E157" s="14">
        <v>390173</v>
      </c>
      <c r="F157" s="14">
        <f t="shared" si="26"/>
        <v>5151</v>
      </c>
      <c r="G157" s="68">
        <f t="shared" si="25"/>
        <v>1.3201836108597981E-2</v>
      </c>
      <c r="H157" s="125" t="s">
        <v>661</v>
      </c>
      <c r="I157" s="69" t="str">
        <f t="shared" si="23"/>
        <v/>
      </c>
      <c r="J157" s="68" t="str">
        <f t="shared" si="24"/>
        <v/>
      </c>
      <c r="K157" s="185" t="s">
        <v>2609</v>
      </c>
      <c r="L157" s="121" t="s">
        <v>2610</v>
      </c>
      <c r="M157" s="65" t="s">
        <v>2611</v>
      </c>
      <c r="N157" s="111" t="s">
        <v>2612</v>
      </c>
    </row>
    <row r="158" spans="1:15" ht="43.15">
      <c r="A158" s="24" t="str">
        <v>Wellsville - Chenunda Creek</v>
      </c>
      <c r="B158" s="25" t="str">
        <v>NY</v>
      </c>
      <c r="C158" s="25" t="str">
        <f>Sites[[#This Row],[SOL'#]]</f>
        <v>SOL-11187</v>
      </c>
      <c r="D158" s="54">
        <v>136191</v>
      </c>
      <c r="E158" s="10">
        <v>133652</v>
      </c>
      <c r="F158" s="10">
        <f t="shared" si="26"/>
        <v>2539</v>
      </c>
      <c r="G158" s="55">
        <f t="shared" si="25"/>
        <v>1.8997096938317422E-2</v>
      </c>
      <c r="H158" s="146" t="s">
        <v>661</v>
      </c>
      <c r="I158" s="67" t="str">
        <f t="shared" si="23"/>
        <v/>
      </c>
      <c r="J158" s="64" t="str">
        <f t="shared" si="24"/>
        <v/>
      </c>
      <c r="K158" s="108" t="s">
        <v>2613</v>
      </c>
      <c r="L158" s="109" t="s">
        <v>2614</v>
      </c>
      <c r="M158" s="65" t="s">
        <v>2254</v>
      </c>
      <c r="N158" s="111" t="s">
        <v>2615</v>
      </c>
    </row>
    <row r="159" spans="1:15" ht="28.9">
      <c r="A159" s="26" t="str">
        <v>DC: Washington - Essex Condominium</v>
      </c>
      <c r="B159" s="27" t="str">
        <v>DC</v>
      </c>
      <c r="C159" s="26" t="str">
        <f>Sites[[#This Row],[SOL'#]]</f>
        <v>SOL-10036</v>
      </c>
      <c r="D159" s="66">
        <v>1794</v>
      </c>
      <c r="E159" s="14">
        <v>2351.4560000000001</v>
      </c>
      <c r="F159" s="14">
        <f t="shared" ref="F159:F171" si="27">IF(AND(ISNUMBER(D159),ISNUMBER(E159)), D159-E159, "")</f>
        <v>-557.45600000000013</v>
      </c>
      <c r="G159" s="68">
        <f t="shared" ref="G159:G171" si="28">IFERROR(F159/E159, "")</f>
        <v>-0.23706843759781179</v>
      </c>
      <c r="H159" s="69">
        <v>2170.9470000000001</v>
      </c>
      <c r="I159" s="69">
        <f t="shared" ref="I159:I172" si="29">IF(AND(ISNUMBER(D159),ISNUMBER(H159)), D159-H159, "")</f>
        <v>-376.94700000000012</v>
      </c>
      <c r="J159" s="68">
        <f t="shared" ref="J159:J172" si="30">IFERROR(I159/H159, "")</f>
        <v>-0.17363252073864544</v>
      </c>
      <c r="K159" s="185" t="s">
        <v>2103</v>
      </c>
      <c r="L159" s="94"/>
    </row>
    <row r="160" spans="1:15" ht="39.6">
      <c r="A160" s="24" t="str">
        <v>HI: Waipahu - 94-246 Leoku St - E.F.G.</v>
      </c>
      <c r="B160" s="25" t="str">
        <v>HI</v>
      </c>
      <c r="C160" s="25" t="str">
        <f>Sites[[#This Row],[SOL'#]]</f>
        <v>SOL-10071</v>
      </c>
      <c r="D160" s="54">
        <v>5843</v>
      </c>
      <c r="E160" s="10">
        <v>8892.0149999999994</v>
      </c>
      <c r="F160" s="10">
        <f t="shared" si="27"/>
        <v>-3049.0149999999994</v>
      </c>
      <c r="G160" s="55">
        <f t="shared" si="28"/>
        <v>-0.34289359610841857</v>
      </c>
      <c r="H160" s="67">
        <v>9803.4709999999995</v>
      </c>
      <c r="I160" s="67">
        <f t="shared" si="29"/>
        <v>-3960.4709999999995</v>
      </c>
      <c r="J160" s="64">
        <f t="shared" si="30"/>
        <v>-0.4039866084165496</v>
      </c>
      <c r="K160" s="108" t="s">
        <v>2616</v>
      </c>
      <c r="L160" s="116" t="s">
        <v>2356</v>
      </c>
      <c r="M160" s="65" t="s">
        <v>2617</v>
      </c>
      <c r="N160" s="111" t="s">
        <v>2106</v>
      </c>
    </row>
    <row r="161" spans="1:16" ht="15.6">
      <c r="A161" s="26" t="str">
        <v>HI: Waipahu - 94-099 Waipahu St - PV</v>
      </c>
      <c r="B161" s="27" t="str">
        <v>HI</v>
      </c>
      <c r="C161" s="26" t="str">
        <f>Sites[[#This Row],[SOL'#]]</f>
        <v>SOL-10068</v>
      </c>
      <c r="D161" s="66">
        <v>10100</v>
      </c>
      <c r="E161" s="14">
        <v>8112.2190000000001</v>
      </c>
      <c r="F161" s="14">
        <f t="shared" si="27"/>
        <v>1987.7809999999999</v>
      </c>
      <c r="G161" s="68">
        <f t="shared" si="28"/>
        <v>0.24503542125773478</v>
      </c>
      <c r="H161" s="69">
        <v>9798.2250000000004</v>
      </c>
      <c r="I161" s="69">
        <f t="shared" si="29"/>
        <v>301.77499999999964</v>
      </c>
      <c r="J161" s="68">
        <f t="shared" si="30"/>
        <v>3.0798945727414876E-2</v>
      </c>
      <c r="K161" s="185"/>
      <c r="L161" s="94"/>
    </row>
    <row r="162" spans="1:16" ht="57.6">
      <c r="A162" s="24" t="str">
        <v>IL: Prophetstown - 5170 Yager Road (PW)</v>
      </c>
      <c r="B162" s="25" t="str">
        <v>IL</v>
      </c>
      <c r="C162" s="25" t="str">
        <f>Sites[[#This Row],[SOL'#]]</f>
        <v>SOL-11149</v>
      </c>
      <c r="D162" s="54">
        <v>87025</v>
      </c>
      <c r="E162" s="10">
        <v>159248.4</v>
      </c>
      <c r="F162" s="10">
        <f t="shared" si="27"/>
        <v>-72223.399999999994</v>
      </c>
      <c r="G162" s="55">
        <f t="shared" si="28"/>
        <v>-0.45352669163395049</v>
      </c>
      <c r="H162" s="67">
        <v>219374.1</v>
      </c>
      <c r="I162" s="67">
        <f t="shared" si="29"/>
        <v>-132349.1</v>
      </c>
      <c r="J162" s="64">
        <f t="shared" si="30"/>
        <v>-0.603303215830857</v>
      </c>
      <c r="K162" s="108" t="s">
        <v>2618</v>
      </c>
      <c r="L162" s="116" t="s">
        <v>2619</v>
      </c>
      <c r="M162" s="65" t="s">
        <v>2620</v>
      </c>
      <c r="N162" s="111" t="s">
        <v>2621</v>
      </c>
      <c r="O162" s="111" t="s">
        <v>2622</v>
      </c>
    </row>
    <row r="163" spans="1:16" ht="15.6">
      <c r="A163" s="26" t="str">
        <v>IL: Viola - Goldenrod - (PW)</v>
      </c>
      <c r="B163" s="27" t="str">
        <v>IL</v>
      </c>
      <c r="C163" s="26" t="str">
        <f>Sites[[#This Row],[SOL'#]]</f>
        <v>SOL-11132</v>
      </c>
      <c r="D163" s="66">
        <v>578038</v>
      </c>
      <c r="E163" s="14">
        <v>580567.1</v>
      </c>
      <c r="F163" s="14">
        <f t="shared" si="27"/>
        <v>-2529.0999999999767</v>
      </c>
      <c r="G163" s="68">
        <f t="shared" si="28"/>
        <v>-4.3562578726902999E-3</v>
      </c>
      <c r="H163" s="69">
        <v>537280</v>
      </c>
      <c r="I163" s="69">
        <f t="shared" si="29"/>
        <v>40758</v>
      </c>
      <c r="J163" s="68">
        <f t="shared" si="30"/>
        <v>7.5859886837403218E-2</v>
      </c>
      <c r="K163" s="185"/>
      <c r="L163" s="94"/>
    </row>
    <row r="164" spans="1:16" ht="87.4" customHeight="1">
      <c r="A164" s="24" t="str">
        <v>IL: Marengo - Grant - (PW)</v>
      </c>
      <c r="B164" s="25" t="str">
        <v>IL</v>
      </c>
      <c r="C164" s="25" t="str">
        <f>Sites[[#This Row],[SOL'#]]</f>
        <v>SOL-11147</v>
      </c>
      <c r="D164" s="54">
        <v>198037</v>
      </c>
      <c r="E164" s="10">
        <v>0</v>
      </c>
      <c r="F164" s="10">
        <f t="shared" si="27"/>
        <v>198037</v>
      </c>
      <c r="G164" s="55" t="str">
        <f t="shared" si="28"/>
        <v/>
      </c>
      <c r="H164" s="67">
        <v>218711.5</v>
      </c>
      <c r="I164" s="67">
        <f t="shared" si="29"/>
        <v>-20674.5</v>
      </c>
      <c r="J164" s="64">
        <f t="shared" si="30"/>
        <v>-9.452863704011906E-2</v>
      </c>
      <c r="K164" s="108" t="s">
        <v>2623</v>
      </c>
      <c r="L164" s="116" t="s">
        <v>2624</v>
      </c>
      <c r="M164" s="65" t="s">
        <v>2625</v>
      </c>
      <c r="N164" s="111" t="s">
        <v>2626</v>
      </c>
      <c r="O164" s="111" t="s">
        <v>2627</v>
      </c>
      <c r="P164" s="111" t="s">
        <v>2111</v>
      </c>
    </row>
    <row r="165" spans="1:16" ht="43.15">
      <c r="A165" s="26" t="str">
        <v>NY: Cambridge - Cambridge (PW)</v>
      </c>
      <c r="B165" s="27" t="str">
        <v>NY</v>
      </c>
      <c r="C165" s="26" t="str">
        <f>Sites[[#This Row],[SOL'#]]</f>
        <v>SOL-11126</v>
      </c>
      <c r="D165" s="66">
        <v>266440.5</v>
      </c>
      <c r="E165" s="14">
        <v>386852.3</v>
      </c>
      <c r="F165" s="14">
        <f t="shared" si="27"/>
        <v>-120411.79999999999</v>
      </c>
      <c r="G165" s="68">
        <f t="shared" si="28"/>
        <v>-0.31126039576344766</v>
      </c>
      <c r="H165" s="69">
        <v>472711</v>
      </c>
      <c r="I165" s="69">
        <f t="shared" si="29"/>
        <v>-206270.5</v>
      </c>
      <c r="J165" s="68">
        <f t="shared" si="30"/>
        <v>-0.43635646303978542</v>
      </c>
      <c r="K165" s="185" t="s">
        <v>2628</v>
      </c>
      <c r="L165" s="121" t="s">
        <v>2629</v>
      </c>
      <c r="M165" s="176" t="s">
        <v>2630</v>
      </c>
      <c r="N165" s="111" t="s">
        <v>2631</v>
      </c>
      <c r="O165" s="111" t="s">
        <v>2632</v>
      </c>
    </row>
    <row r="166" spans="1:16" ht="28.9">
      <c r="A166" s="24" t="str">
        <v>NY: Whitesville - Independence North</v>
      </c>
      <c r="B166" s="25" t="str">
        <v>NY</v>
      </c>
      <c r="C166" s="25" t="str">
        <f>Sites[[#This Row],[SOL'#]]</f>
        <v>SOL-11186</v>
      </c>
      <c r="D166" s="54">
        <v>262579</v>
      </c>
      <c r="E166" s="10" t="s">
        <v>661</v>
      </c>
      <c r="F166" s="10" t="str">
        <f t="shared" si="27"/>
        <v/>
      </c>
      <c r="G166" s="55" t="str">
        <f t="shared" si="28"/>
        <v/>
      </c>
      <c r="H166" s="146" t="s">
        <v>661</v>
      </c>
      <c r="I166" s="67" t="str">
        <f t="shared" si="29"/>
        <v/>
      </c>
      <c r="J166" s="64" t="str">
        <f t="shared" si="30"/>
        <v/>
      </c>
      <c r="K166" s="108" t="s">
        <v>2633</v>
      </c>
      <c r="L166" s="116" t="s">
        <v>2634</v>
      </c>
      <c r="M166" s="103" t="s">
        <v>2120</v>
      </c>
    </row>
    <row r="167" spans="1:16" ht="15.6">
      <c r="A167" s="26" t="str">
        <v>IL: Beecher - Cottage Grove North (PW)</v>
      </c>
      <c r="B167" s="27" t="str">
        <v>IL</v>
      </c>
      <c r="C167" s="26" t="str">
        <f>Sites[[#This Row],[SOL'#]]</f>
        <v>SOL-11114</v>
      </c>
      <c r="D167" s="66">
        <v>221021</v>
      </c>
      <c r="E167" s="14">
        <v>231487.1</v>
      </c>
      <c r="F167" s="14">
        <f t="shared" si="27"/>
        <v>-10466.100000000006</v>
      </c>
      <c r="G167" s="68">
        <f t="shared" si="28"/>
        <v>-4.5212454603301894E-2</v>
      </c>
      <c r="H167" s="69">
        <v>235088</v>
      </c>
      <c r="I167" s="69">
        <f t="shared" si="29"/>
        <v>-14067</v>
      </c>
      <c r="J167" s="68">
        <f t="shared" si="30"/>
        <v>-5.9837167358606141E-2</v>
      </c>
      <c r="K167" s="185" t="s">
        <v>2635</v>
      </c>
      <c r="L167" s="114" t="s">
        <v>2636</v>
      </c>
      <c r="M167" s="103" t="s">
        <v>2637</v>
      </c>
    </row>
    <row r="168" spans="1:16" ht="25.5" customHeight="1">
      <c r="A168" s="24" t="str">
        <v>IL: Beecher - Cottage Grove South (PW)</v>
      </c>
      <c r="B168" s="25" t="str">
        <v>IL</v>
      </c>
      <c r="C168" s="25" t="str">
        <f>Sites[[#This Row],[SOL'#]]</f>
        <v>SOL-11115</v>
      </c>
      <c r="D168" s="54">
        <v>220208</v>
      </c>
      <c r="E168" s="10">
        <v>284770.2</v>
      </c>
      <c r="F168" s="10">
        <f t="shared" si="27"/>
        <v>-64562.200000000012</v>
      </c>
      <c r="G168" s="55">
        <f t="shared" si="28"/>
        <v>-0.22671684045591853</v>
      </c>
      <c r="H168" s="67">
        <v>220105</v>
      </c>
      <c r="I168" s="67">
        <f t="shared" si="29"/>
        <v>103</v>
      </c>
      <c r="J168" s="64">
        <f t="shared" si="30"/>
        <v>4.6795847436450783E-4</v>
      </c>
      <c r="K168" s="73" t="s">
        <v>2638</v>
      </c>
      <c r="L168" s="116" t="s">
        <v>2639</v>
      </c>
      <c r="M168" s="103" t="s">
        <v>2637</v>
      </c>
    </row>
    <row r="169" spans="1:16" ht="48.75" customHeight="1">
      <c r="A169" s="26" t="str">
        <v>IL: Harvard - 9618 US HWY 14 (PW)</v>
      </c>
      <c r="B169" s="27" t="str">
        <v>IL</v>
      </c>
      <c r="C169" s="26" t="str">
        <f>Sites[[#This Row],[SOL'#]]</f>
        <v>SOL-11110</v>
      </c>
      <c r="D169" s="66">
        <v>179121</v>
      </c>
      <c r="E169" s="14">
        <v>360992.1</v>
      </c>
      <c r="F169" s="14">
        <f t="shared" si="27"/>
        <v>-181871.09999999998</v>
      </c>
      <c r="G169" s="68">
        <f t="shared" si="28"/>
        <v>-0.50380908612681552</v>
      </c>
      <c r="H169" s="69">
        <v>186732</v>
      </c>
      <c r="I169" s="69">
        <f t="shared" si="29"/>
        <v>-7611</v>
      </c>
      <c r="J169" s="68">
        <f t="shared" si="30"/>
        <v>-4.0758948653685498E-2</v>
      </c>
      <c r="K169" s="185" t="s">
        <v>2640</v>
      </c>
      <c r="L169" s="114" t="s">
        <v>2641</v>
      </c>
      <c r="M169" s="103" t="s">
        <v>2637</v>
      </c>
    </row>
    <row r="170" spans="1:16" ht="15.6">
      <c r="A170" s="24" t="str">
        <v>IL: Beecher - 701 E Goodenow Rd (PW)</v>
      </c>
      <c r="B170" s="25" t="str">
        <v>IL</v>
      </c>
      <c r="C170" s="25" t="str">
        <f>Sites[[#This Row],[SOL'#]]</f>
        <v>SOL-11112</v>
      </c>
      <c r="D170" s="54">
        <v>223333</v>
      </c>
      <c r="E170" s="10">
        <v>254205.4</v>
      </c>
      <c r="F170" s="10">
        <f t="shared" si="27"/>
        <v>-30872.399999999994</v>
      </c>
      <c r="G170" s="55">
        <f t="shared" si="28"/>
        <v>-0.1214466726513284</v>
      </c>
      <c r="H170" s="67">
        <v>193014.5</v>
      </c>
      <c r="I170" s="67">
        <f t="shared" si="29"/>
        <v>30318.5</v>
      </c>
      <c r="J170" s="64">
        <f t="shared" si="30"/>
        <v>0.1570788723127019</v>
      </c>
      <c r="K170" s="108"/>
      <c r="L170" s="108"/>
    </row>
    <row r="171" spans="1:16" ht="15.6">
      <c r="A171" s="26" t="str">
        <v>NY: Stormville - Green Haven - (IRA)</v>
      </c>
      <c r="B171" s="27" t="str">
        <v>NY</v>
      </c>
      <c r="C171" s="26" t="str">
        <f>Sites[[#This Row],[SOL'#]]</f>
        <v>SOL-11151</v>
      </c>
      <c r="D171" s="66">
        <v>966585.6</v>
      </c>
      <c r="E171" s="14" t="s">
        <v>661</v>
      </c>
      <c r="F171" s="14" t="str">
        <f t="shared" si="27"/>
        <v/>
      </c>
      <c r="G171" s="68" t="str">
        <f t="shared" si="28"/>
        <v/>
      </c>
      <c r="H171" s="125" t="s">
        <v>661</v>
      </c>
      <c r="I171" s="69" t="str">
        <f t="shared" si="29"/>
        <v/>
      </c>
      <c r="J171" s="68" t="str">
        <f t="shared" si="30"/>
        <v/>
      </c>
      <c r="K171" s="185"/>
      <c r="L171" s="94"/>
    </row>
    <row r="172" spans="1:16" ht="28.9">
      <c r="A172" s="24" t="str">
        <v>IL: Hillsboro - Anacott (PW)</v>
      </c>
      <c r="B172" s="25" t="str">
        <v>IL</v>
      </c>
      <c r="C172" s="25" t="str">
        <f>Sites[[#This Row],[SOL'#]]</f>
        <v>SOL-11134</v>
      </c>
      <c r="D172" s="54">
        <v>595868</v>
      </c>
      <c r="E172" s="10" t="s">
        <v>661</v>
      </c>
      <c r="F172" s="10"/>
      <c r="G172" s="55"/>
      <c r="H172" s="67">
        <v>609016.5</v>
      </c>
      <c r="I172" s="67">
        <f t="shared" si="29"/>
        <v>-13148.5</v>
      </c>
      <c r="J172" s="64">
        <f t="shared" si="30"/>
        <v>-2.1589727043520166E-2</v>
      </c>
      <c r="K172" s="108" t="s">
        <v>2642</v>
      </c>
      <c r="L172" s="116" t="s">
        <v>2643</v>
      </c>
      <c r="M172" s="103" t="s">
        <v>2116</v>
      </c>
    </row>
    <row r="173" spans="1:16">
      <c r="A173" t="str">
        <v>IL: Manhattan - Gougar (PW)</v>
      </c>
      <c r="B173" s="30" t="str">
        <v>IL</v>
      </c>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72 J4:J172">
    <cfRule type="cellIs" dxfId="8" priority="1" stopIfTrue="1" operator="lessThanOrEqual">
      <formula>-0.1</formula>
    </cfRule>
    <cfRule type="expression" dxfId="7" priority="2">
      <formula>AND(ISNUMBER(G4), G4&gt;=0.1)</formula>
    </cfRule>
  </conditionalFormatting>
  <hyperlinks>
    <hyperlink ref="L4" r:id="rId1" display="https://us3.assetplanner.com/service_request?ID=107464" xr:uid="{D2D9CF38-1BF8-4159-9626-7706B5E3823A}"/>
    <hyperlink ref="L8" r:id="rId2" display="https://us3.assetplanner.com/service_request?ID=111795" xr:uid="{13523DFA-27CB-4BF6-8D8B-C4302CA11345}"/>
    <hyperlink ref="L10" r:id="rId3" display="https://us3.assetplanner.com/service_request?ID=095666" xr:uid="{5CFC0414-EFAA-40F7-8E8B-E6058D7CC6AD}"/>
    <hyperlink ref="L12" r:id="rId4" display="https://us3.assetplanner.com/service_request?ID=093633" xr:uid="{DE075444-B18D-4F58-A36D-FA13A6B36B5F}"/>
    <hyperlink ref="L14" r:id="rId5" display="https://us3.assetplanner.com/service_request?ID=093924" xr:uid="{D1BC7E3D-ECF9-4600-A143-C29DF3CDE31B}"/>
    <hyperlink ref="N14" r:id="rId6" display="https://us3.assetplanner.com/service_request?ID=086842" xr:uid="{A8867BF9-1D39-4EFB-B6DC-FA1E51DD64CC}"/>
    <hyperlink ref="L18" r:id="rId7" display="https://us3.assetplanner.com/service_request?ID=103259" xr:uid="{4D85FE6E-C890-4B08-841B-4C29A4944009}"/>
    <hyperlink ref="L19" r:id="rId8" display="https://us3.assetplanner.com/service_request?ID=109623" xr:uid="{C2E2CAD9-0A07-4B7C-BCA5-033700EC7209}"/>
    <hyperlink ref="L20" r:id="rId9" display="https://us3.assetplanner.com/service_request?ID=110132" xr:uid="{932CA19B-D857-487C-860E-F39CEF0F9AC7}"/>
    <hyperlink ref="L21" r:id="rId10" display="https://us3.assetplanner.com/service_request?ID=111002" xr:uid="{3FE8E40E-E00C-49B2-B5F9-0C6929ADC3F7}"/>
    <hyperlink ref="L27" r:id="rId11" display="https://us3.assetplanner.com/service_request?ID=093236" xr:uid="{FD248362-A2CD-420C-B0FD-AEA6A789A583}"/>
    <hyperlink ref="L32" r:id="rId12" display="https://us3.assetplanner.com/service_request?ID=102529" xr:uid="{C54E9AE0-341E-4DDC-9E78-CC762376DB5E}"/>
    <hyperlink ref="L33" r:id="rId13" display="https://us3.assetplanner.com/service_request?ID=110250" xr:uid="{26A3A55E-52E2-4A31-9594-B39F0AF6538E}"/>
    <hyperlink ref="L34" r:id="rId14" display="https://us3.assetplanner.com/service_request?ID=088282" xr:uid="{2BE18655-7801-4DEC-8ECE-1B9BD3E00DEC}"/>
    <hyperlink ref="L36" r:id="rId15" display="https://us3.assetplanner.com/service_request?ID=108939" xr:uid="{A0533CCC-978A-4120-80B6-61226068B1F6}"/>
    <hyperlink ref="N36" r:id="rId16" display="https://us3.assetplanner.com/service_request?ID=110231" xr:uid="{121E1134-ABCF-44E5-BCA5-69CCEA15B678}"/>
    <hyperlink ref="O36" r:id="rId17" display="https://us3.assetplanner.com/service_request?ID=112049" xr:uid="{5D78723C-3E42-4C4E-982B-DEE1204AF018}"/>
    <hyperlink ref="L38" r:id="rId18" display="https://us3.assetplanner.com/service_request?ID=088813" xr:uid="{FEABAE98-DD58-41BA-A1E7-4497D9EA1819}"/>
    <hyperlink ref="L40" r:id="rId19" display="https://us3.assetplanner.com/service_request?ID=093324" xr:uid="{5824DB89-9C21-40A9-B779-DE7BFBCA7B8A}"/>
    <hyperlink ref="L42" r:id="rId20" display="https://us3.assetplanner.com/service_request?ID=111880" xr:uid="{6E307EDC-98EE-4BE6-ABC6-9BB023EA89AD}"/>
    <hyperlink ref="L43" r:id="rId21" display="https://us3.assetplanner.com/service_request?ID=093326" xr:uid="{99F23F39-4E7B-4EA9-8A67-E4EA472D6574}"/>
    <hyperlink ref="N43" r:id="rId22" display="https://us3.assetplanner.com/service_request?ID=110229" xr:uid="{5B9A9F46-C37B-43EB-B9BE-ACFE36468072}"/>
    <hyperlink ref="L44" r:id="rId23" display="https://us3.assetplanner.com/service_request?ID=093327" xr:uid="{181CEA43-E8FD-4682-856E-13D9DCCF1660}"/>
    <hyperlink ref="L47" r:id="rId24" display="https://us3.assetplanner.com/service_request?ID=109950" xr:uid="{9F7A381B-4DBA-447A-B04B-0CD5557DB351}"/>
    <hyperlink ref="L48" r:id="rId25" display="https://us3.assetplanner.com/service_request?ID=110586" xr:uid="{1E52C27D-DB97-45EB-9DCA-B254AE12D829}"/>
    <hyperlink ref="L51" r:id="rId26" display="https://us3.assetplanner.com/service_request?ID=105932" xr:uid="{5F661243-258D-40AB-B8DD-1AC6DDFAB000}"/>
    <hyperlink ref="N51" r:id="rId27" display="https://us3.assetplanner.com/service_request?ID=098241" xr:uid="{BF0BDF43-B215-47C0-A26B-25B4C286687C}"/>
    <hyperlink ref="O51" r:id="rId28" display="https://us3.assetplanner.com/service_request?ID=105932" xr:uid="{996AAD83-0A04-45DF-BDEF-F945261125D5}"/>
    <hyperlink ref="L56" r:id="rId29" display="https://us3.assetplanner.com/service_request?ID=104403" xr:uid="{8B795C07-C01B-4CB1-A028-B685264C6BFD}"/>
    <hyperlink ref="L57" r:id="rId30" display="https://us3.assetplanner.com/service_request?ID=109775" xr:uid="{A3962CF8-32D7-4B3B-ABED-1136BC4B960C}"/>
    <hyperlink ref="L58" r:id="rId31" display="https://us3.assetplanner.com/service_request?ID=098641" xr:uid="{D05A8E67-9AFE-4846-B33A-4EF3B05556F2}"/>
    <hyperlink ref="L59" r:id="rId32" display="https://us3.assetplanner.com/service_request?ID=106726" xr:uid="{084B7648-AB1E-41C9-AA17-3239A5FED91E}"/>
    <hyperlink ref="N59" r:id="rId33" display="https://us3.assetplanner.com/service_request?ID=110996" xr:uid="{E98CC37C-BB2E-4042-B6BD-755BC896C6CD}"/>
    <hyperlink ref="L61" r:id="rId34" display="https://us3.assetplanner.com/service_request?ID=107603" xr:uid="{081E7D99-1563-40BA-9775-5EA83F22161C}"/>
    <hyperlink ref="L66" r:id="rId35" display="https://us3.assetplanner.com/service_request?ID=105816" xr:uid="{AC293F57-2216-49E6-984F-4BD01AB8709D}"/>
    <hyperlink ref="N66" r:id="rId36" display="https://us3.assetplanner.com/service_request?ID=093024" xr:uid="{5F9CFE54-4621-4808-BA0D-E96F826F3D34}"/>
    <hyperlink ref="L67" r:id="rId37" display="https://us3.assetplanner.com/service_request?ID=110488" xr:uid="{222FD8DB-029A-4295-AE3F-E39C1F6281DD}"/>
    <hyperlink ref="N67" r:id="rId38" display="https://us3.assetplanner.com/service_request?ID=111045" xr:uid="{88C12F51-504A-4C0A-B1BD-D36625196572}"/>
    <hyperlink ref="O67" r:id="rId39" display="https://us3.assetplanner.com/service_request?ID=111045" xr:uid="{8029833D-7C6B-44C2-86BE-A27CE0288B35}"/>
    <hyperlink ref="L68" r:id="rId40" display="https://us3.assetplanner.com/service_request?ID=111167" xr:uid="{564E9883-E2C4-46D9-A7D3-D0F5A8154BD4}"/>
    <hyperlink ref="L69" r:id="rId41" display="https://us3.assetplanner.com/service_request?ID=111378" xr:uid="{4FC363F9-4DF5-49A1-80B3-BC963CA60B6C}"/>
    <hyperlink ref="L70" r:id="rId42" display="https://us3.assetplanner.com/service_request?ID=110681" xr:uid="{361F35FB-0FE3-43E6-B83A-34FFFE75F4B6}"/>
    <hyperlink ref="N70" r:id="rId43" display="https://us3.assetplanner.com/service_request?ID=105508" xr:uid="{A797333C-0C8A-4D5E-ADDD-A132D140D261}"/>
    <hyperlink ref="L71" r:id="rId44" display="https://us3.assetplanner.com/service_request?ID=109834" xr:uid="{091E4130-8A6F-4193-B432-8E237231F9B1}"/>
    <hyperlink ref="L72" r:id="rId45" display="https://us3.assetplanner.com/service_request?ID=106622" xr:uid="{F30FCFE0-F6E5-4E31-B73E-9C6F517343FE}"/>
    <hyperlink ref="N72" r:id="rId46" display="https://us3.assetplanner.com/service_request?ID=110008" xr:uid="{0FE78116-D477-430E-8E76-CE0417878F1C}"/>
    <hyperlink ref="L73" r:id="rId47" display="https://us3.assetplanner.com/service_request?ID=111199" xr:uid="{70D2910B-13F2-4595-80D0-999311DD5FC2}"/>
    <hyperlink ref="N73" r:id="rId48" display="https://us3.assetplanner.com/service_request?ID=111498" xr:uid="{C087203D-4AA4-4410-856D-9C8C765D4994}"/>
    <hyperlink ref="O73" r:id="rId49" display="https://us3.assetplanner.com/service_request?ID=111826" xr:uid="{0B5EFFC7-052F-4BA3-B3DC-0477FACC5794}"/>
    <hyperlink ref="L74" r:id="rId50" display="https://us3.assetplanner.com/service_request?ID=109568" xr:uid="{B1CFCCF2-7D6C-479B-82C1-F1AC8630ABA3}"/>
    <hyperlink ref="N74" r:id="rId51" display="https://us3.assetplanner.com/service_request?ID=108847" xr:uid="{962F6782-A69A-4050-BE1D-A096943FAD61}"/>
    <hyperlink ref="O74" r:id="rId52" display="https://us3.assetplanner.com/service_request?ID=110116" xr:uid="{E8E2B5A6-DBEC-4C6F-8D25-7F67059E60CD}"/>
    <hyperlink ref="L75" r:id="rId53" display="https://us3.assetplanner.com/service_request?ID=108338" xr:uid="{0504B1DA-D52E-4C27-AD9E-804C7B2346D4}"/>
    <hyperlink ref="N75" r:id="rId54" display="https://us3.assetplanner.com/service_request?ID=111393" xr:uid="{C27A8A8C-9C04-41B6-928D-48281C4A1287}"/>
    <hyperlink ref="L77" r:id="rId55" display="https://us3.assetplanner.com/service_request?ID=101820" xr:uid="{40247E6F-0775-42FE-92F2-8C51A76198D1}"/>
    <hyperlink ref="L80" r:id="rId56" display="https://us3.assetplanner.com/service_request?ID=111271" xr:uid="{785AA08A-8B79-4F07-8E06-90614783FC89}"/>
    <hyperlink ref="N80" r:id="rId57" display="https://us3.assetplanner.com/service_request?ID=111271" xr:uid="{F9F2B308-AC22-415B-A959-279347B329DF}"/>
    <hyperlink ref="L81" r:id="rId58" display="https://us3.assetplanner.com/service_request?ID=105649" xr:uid="{5AE0B507-D9DD-44B4-AF26-A54EE219DEF2}"/>
    <hyperlink ref="L82" r:id="rId59" display="https://us3.assetplanner.com/service_request?ID=110436" xr:uid="{A7640155-C01F-41F9-83B7-C7477AAF10A8}"/>
    <hyperlink ref="N82" r:id="rId60" display="https://us3.assetplanner.com/service_request?ID=110913" xr:uid="{170F4189-D990-4584-B945-947082313B44}"/>
    <hyperlink ref="L83" r:id="rId61" display="https://us3.assetplanner.com/service_request?ID=110914" xr:uid="{CD1CEA06-AB96-4632-A020-611B16CEBF1E}"/>
    <hyperlink ref="L84" r:id="rId62" display="https://us3.assetplanner.com/service_request?ID=109797" xr:uid="{13E13446-018E-44E5-9D35-3108C7101C29}"/>
    <hyperlink ref="L85" r:id="rId63" display="https://us3.assetplanner.com/service_request?ID=111019" xr:uid="{FD300891-D42D-49E1-8308-4DF2AF0584F2}"/>
    <hyperlink ref="L86" r:id="rId64" display="https://us3.assetplanner.com/service_request?ID=110434" xr:uid="{9017168F-147D-45FE-A7D0-BDEFF7814797}"/>
    <hyperlink ref="N86" r:id="rId65" display="https://us3.assetplanner.com/service_request?ID=110915" xr:uid="{842BE210-9E11-4EC3-8E17-D21879002AFF}"/>
    <hyperlink ref="L87" r:id="rId66" display="https://us3.assetplanner.com/service_request?ID=110435" xr:uid="{F84F3007-F21B-477C-BF91-CD16C9F22776}"/>
    <hyperlink ref="N87" r:id="rId67" display="https://us3.assetplanner.com/service_request?ID=110918" xr:uid="{A62AC4F8-1A61-47ED-ACF5-D2D072CBB629}"/>
    <hyperlink ref="L89" r:id="rId68" display="https://us3.assetplanner.com/service_request?ID=107667" xr:uid="{16C708D2-5B79-46EA-B8E5-4345DFE8BD36}"/>
    <hyperlink ref="L91" r:id="rId69" display="https://us3.assetplanner.com/service_request?ID=110474" xr:uid="{7AE5E41A-7B8E-49CD-B00C-38A70BF36906}"/>
    <hyperlink ref="N91" r:id="rId70" display="https://us3.assetplanner.com/service_request?ID=110575" xr:uid="{A004E603-A773-4764-A907-23CDCF0975CC}"/>
    <hyperlink ref="L92" r:id="rId71" display="https://us3.assetplanner.com/service_request?ID=109604" xr:uid="{46A53C43-964C-4621-B83A-8C4306D6BF4B}"/>
    <hyperlink ref="L96" r:id="rId72" display="https://us3.assetplanner.com/service_request?ID=111801" xr:uid="{FF7913A9-FB9F-42C1-8E12-0F5EB5FBE779}"/>
    <hyperlink ref="L97" r:id="rId73" display="https://us3.assetplanner.com/service_request?ID=111175" xr:uid="{BD8E273C-6D90-4757-9066-015A065CB3EA}"/>
    <hyperlink ref="N97" r:id="rId74" display="https://us3.assetplanner.com/service_request?ID=111776" xr:uid="{A02ED80E-1B2C-4487-94F4-214009C88195}"/>
    <hyperlink ref="O97" r:id="rId75" display="https://us3.assetplanner.com/service_request?ID=111964" xr:uid="{59F44D09-B81F-4C16-8970-4E7FFECC52F1}"/>
    <hyperlink ref="L98" r:id="rId76" display="https://us3.assetplanner.com/service_request?ID=110487" xr:uid="{695B43ED-F482-40BD-9602-7353109F35A7}"/>
    <hyperlink ref="L100" r:id="rId77" display="https://us3.assetplanner.com/service_request?ID=111157" xr:uid="{B8698D23-3E1B-4E4F-A948-85ABFB7B8EA8}"/>
    <hyperlink ref="N100" r:id="rId78" display="https://us3.assetplanner.com/service_request?ID=111837" xr:uid="{FAEF461C-63DC-400D-BEC7-0577E7A63F51}"/>
    <hyperlink ref="L101" r:id="rId79" display="https://us3.assetplanner.com/service_request?ID=110430" xr:uid="{A00D86F9-627F-49A7-9837-873ED87F56C6}"/>
    <hyperlink ref="N101" r:id="rId80" display="https://us3.assetplanner.com/service_request?ID=111779" xr:uid="{A1BF6E48-FE50-4A21-9F5C-9B4CB14D9738}"/>
    <hyperlink ref="O101" r:id="rId81" display="https://us3.assetplanner.com/service_request?ID=111825" xr:uid="{D723F363-53EE-4020-8167-237C0A682282}"/>
    <hyperlink ref="L103" r:id="rId82" display="https://us3.assetplanner.com/service_request?ID=110563" xr:uid="{E058E6DB-C680-4E18-A176-8F2FDBA88600}"/>
    <hyperlink ref="L104" r:id="rId83" display="https://us3.assetplanner.com/service_request?ID=108827" xr:uid="{221C2D25-F5B4-47AD-996C-1FD988BC3E6E}"/>
    <hyperlink ref="L107" r:id="rId84" display="https://us3.assetplanner.com/service_request?ID=110716" xr:uid="{F3F53FF7-8A18-4AB6-97A2-83A6FEA22819}"/>
    <hyperlink ref="N107" r:id="rId85" display="https://us3.assetplanner.com/service_request?ID=111256" xr:uid="{7BE57138-3816-44C1-A1E0-D9AC702BB099}"/>
    <hyperlink ref="L108" r:id="rId86" display="https://us3.assetplanner.com/service_request?ID=108248" xr:uid="{A0C904A0-2105-46A9-BF53-35C4CCAF8214}"/>
    <hyperlink ref="N108" r:id="rId87" display="https://us3.assetplanner.com/service_request?ID=108120" xr:uid="{01E705FA-003A-4263-8758-821E38B0164E}"/>
    <hyperlink ref="L109" r:id="rId88" display="https://us3.assetplanner.com/service_request?ID=110483" xr:uid="{CB68CAD3-A655-4C49-BE2B-9F5BC48B2747}"/>
    <hyperlink ref="L110" r:id="rId89" display="https://us3.assetplanner.com/service_request?ID=106921" xr:uid="{8F74BC8D-B923-48BB-8D01-73EF65822613}"/>
    <hyperlink ref="L111" r:id="rId90" display="https://us3.assetplanner.com/service_request?ID=110473" xr:uid="{F9B7948B-1632-4227-B21A-851E6A185BF3}"/>
    <hyperlink ref="L112" r:id="rId91" display="https://us3.assetplanner.com/service_request?ID=110135" xr:uid="{09B54F07-6EB3-4D4D-9DB0-D3D369631436}"/>
    <hyperlink ref="L113" r:id="rId92" display="https://us3.assetplanner.com/service_request?ID=098860" xr:uid="{336235B9-BD17-4912-A45E-43494E97D0D0}"/>
    <hyperlink ref="L114" r:id="rId93" display="https://us3.assetplanner.com/service_request?ID=109998" xr:uid="{92EF20D2-2DBC-4AF0-B7C7-77D40CD19141}"/>
    <hyperlink ref="N114" r:id="rId94" display="https://us3.assetplanner.com/service_request?ID=110355" xr:uid="{C8520760-47FD-4336-B247-0F6A712A0E80}"/>
    <hyperlink ref="O114" r:id="rId95" display="https://us3.assetplanner.com/service_request?ID=110838" xr:uid="{C8F5822B-B275-4661-B995-7FAD7CF7ABE5}"/>
    <hyperlink ref="P114" r:id="rId96" display="https://us3.assetplanner.com/service_request?ID=111220" xr:uid="{2727C4DF-664A-4C57-A3DF-E87A09A74060}"/>
    <hyperlink ref="L115" r:id="rId97" display="https://us3.assetplanner.com/service_request?ID=109079" xr:uid="{64C371DC-2E49-470D-A2DF-C14A16A05EBA}"/>
    <hyperlink ref="N115" r:id="rId98" display="https://us3.assetplanner.com/service_request?ID=109080" xr:uid="{AE0FF74D-7F58-4F19-BB39-55CE660AF5A3}"/>
    <hyperlink ref="L116" r:id="rId99" display="https://us3.assetplanner.com/service_request?ID=110477" xr:uid="{1AB4E29A-2B7C-4446-BB47-8F1248BA0D6A}"/>
    <hyperlink ref="N116" r:id="rId100" display="https://us3.assetplanner.com/service_request?ID=110660" xr:uid="{58689518-F6B3-4BE3-9FE7-C41459C5E4D1}"/>
    <hyperlink ref="O116" r:id="rId101" display="https://us3.assetplanner.com/service_request?ID=110852" xr:uid="{E25579AB-6732-4492-9458-33A885259294}"/>
    <hyperlink ref="P116" r:id="rId102" display="https://us3.assetplanner.com/service_request?ID=111161" xr:uid="{EF17867A-5430-411E-89ED-D688B9CF1BF0}"/>
    <hyperlink ref="Q116" r:id="rId103" display="https://us3.assetplanner.com/service_request?ID=111183" xr:uid="{647806B2-856C-46C8-95F1-89413F77EFF3}"/>
    <hyperlink ref="R116" r:id="rId104" display="https://us3.assetplanner.com/service_request?ID=111841" xr:uid="{401C6236-D66D-4651-AC60-1B4506548AEC}"/>
    <hyperlink ref="L119" r:id="rId105" display="https://us3.assetplanner.com/service_request?ID=110576" xr:uid="{1062E52A-6090-4873-8FD7-341B0FCB7638}"/>
    <hyperlink ref="N119" r:id="rId106" display="https://us3.assetplanner.com/service_request?ID=110935" xr:uid="{3C2A87BD-91E2-42D7-B048-42AFAE182C0C}"/>
    <hyperlink ref="L121" r:id="rId107" display="https://us3.assetplanner.com/service_request?ID=110655" xr:uid="{A658E489-7DB8-4B0C-A379-B2E5164CF79B}"/>
    <hyperlink ref="L133" r:id="rId108" display="https://us3.assetplanner.com/service_request?ID=110156" xr:uid="{628D1BD5-48D4-4305-8DAF-EFB1D8296A3D}"/>
    <hyperlink ref="N133" r:id="rId109" display="https://us3.assetplanner.com/service_request?ID=110155" xr:uid="{6AD529C4-EA4A-4453-81DE-8A8C8432B432}"/>
    <hyperlink ref="L140" r:id="rId110" display="https://us3.assetplanner.com/service_request?ID=111819" xr:uid="{BAD9CD2A-0173-4CDC-BDB9-1889A6C10EC7}"/>
    <hyperlink ref="L144" r:id="rId111" display="https://us3.assetplanner.com/service_request?ID=110598" xr:uid="{CE76C52E-054F-4BD0-AADD-387B65F345E6}"/>
    <hyperlink ref="L145" r:id="rId112" display="https://us3.assetplanner.com/service_request?ID=109332" xr:uid="{6CF0B91C-543B-4592-AAFA-6FB836283F8F}"/>
    <hyperlink ref="N145" r:id="rId113" display="https://us3.assetplanner.com/service_request?ID=110652" xr:uid="{853DF469-5CC7-43FE-BEC2-13D06E4A3EFB}"/>
    <hyperlink ref="L148" r:id="rId114" display="https://us3.assetplanner.com/service_request?ID=110484" xr:uid="{2AB9C03A-40C1-4D68-B119-10125E577154}"/>
    <hyperlink ref="N148" r:id="rId115" display="https://us3.assetplanner.com/service_request?ID=110884" xr:uid="{3F4AA345-259C-4CF6-9063-FC2379E50015}"/>
    <hyperlink ref="L150" r:id="rId116" display="https://us3.assetplanner.com/service_request?ID=110407" xr:uid="{7FAB7AA8-2574-4E51-BCAA-0138C29C4945}"/>
    <hyperlink ref="N150" r:id="rId117" display="https://us3.assetplanner.com/service_request?ID=110728" xr:uid="{A0321F14-2D96-4AD8-8862-F5AD1218C107}"/>
    <hyperlink ref="O150" r:id="rId118" display="https://us3.assetplanner.com/service_request?ID=111391" xr:uid="{63DCA8C0-8F32-4FFA-BBD5-D401E4341889}"/>
    <hyperlink ref="L151" r:id="rId119" display="https://us3.assetplanner.com/service_request?ID=110246" xr:uid="{F30E8B00-F3BD-4A40-8086-930C9C33F03E}"/>
    <hyperlink ref="L152" r:id="rId120" display="https://us3.assetplanner.com/service_request?ID=098278" xr:uid="{C3DA0F16-3D95-4BC9-94EC-63AE8FE69C6F}"/>
    <hyperlink ref="N152" r:id="rId121" display="https://us3.assetplanner.com/service_request?ID=098670" xr:uid="{D5D1E426-8B84-4383-B70D-81D6FAA29C60}"/>
    <hyperlink ref="L153" r:id="rId122" display="https://us3.assetplanner.com/service_request?ID=110476" xr:uid="{66D02721-9408-4D05-8A21-3792AE63816E}"/>
    <hyperlink ref="N153" r:id="rId123" display="https://us3.assetplanner.com/service_request?ID=110703" xr:uid="{F4A3F8D1-EE6B-4CB9-B57E-652083EA8CEC}"/>
    <hyperlink ref="O153" r:id="rId124" display="https://us3.assetplanner.com/service_request?ID=110938" xr:uid="{1F4D4A75-40CB-4550-B2EE-8923F846D4FA}"/>
    <hyperlink ref="L154" r:id="rId125" display="https://us3.assetplanner.com/service_request?ID=111476" xr:uid="{FC47A692-6831-442E-BC22-72B8FEF84C6A}"/>
    <hyperlink ref="L155" r:id="rId126" display="https://us3.assetplanner.com/service_request?ID=110669" xr:uid="{FF6F5205-B0B7-4126-B77E-5FFB1937E239}"/>
    <hyperlink ref="L156" r:id="rId127" display="https://us3.assetplanner.com/service_request?ID=111796" xr:uid="{37281AB8-5C1A-49BE-9892-5C9E96ADA103}"/>
    <hyperlink ref="L157" r:id="rId128" display="https://us3.assetplanner.com/service_request?ID=110776" xr:uid="{272C2840-0C4D-4EF3-BCFF-D138645D39AD}"/>
    <hyperlink ref="N157" r:id="rId129" display="https://us3.assetplanner.com/service_request?ID=111863" xr:uid="{A4C5F950-9A2E-4887-80DE-625136C1D696}"/>
    <hyperlink ref="L158" r:id="rId130" display="https://us3.assetplanner.com/service_request?ID=110704" xr:uid="{F7E256C8-6125-4985-99AA-CA3E8CBEEA68}"/>
    <hyperlink ref="N158" r:id="rId131" display="https://us3.assetplanner.com/service_request?ID=110882" xr:uid="{1D77EE01-0226-4A3F-A053-4A6C935DAE7A}"/>
    <hyperlink ref="L160" r:id="rId132" display="https://us3.assetplanner.com/service_request?ID=109524" xr:uid="{D5FADFF5-E516-4072-8E65-F019CE2DA7B6}"/>
    <hyperlink ref="N160" r:id="rId133" display="https://us3.assetplanner.com/service_request?ID=100771" xr:uid="{E1E8B56A-B1C5-475D-8756-6EFD88E08CDC}"/>
    <hyperlink ref="L162" r:id="rId134" display="https://us3.assetplanner.com/service_request?ID=110361" xr:uid="{594E94D4-C9B8-419B-B2B3-A59CD183AC30}"/>
    <hyperlink ref="N162" r:id="rId135" display="https://us3.assetplanner.com/service_request?ID=110787" xr:uid="{98F70868-A9B0-42F7-9691-C4553A0142D8}"/>
    <hyperlink ref="O162" r:id="rId136" display="https://us3.assetplanner.com/service_request?ID=110863" xr:uid="{2A7C0D3E-F8B7-4BE9-8097-671C8F4B3418}"/>
    <hyperlink ref="L164" r:id="rId137" display="https://us3.assetplanner.com/service_request?ID=110691" xr:uid="{2FA5B6DF-8EA4-4C6D-A426-4CB57CCED2C1}"/>
    <hyperlink ref="N164" r:id="rId138" display="https://us3.assetplanner.com/service_request?ID=110755" xr:uid="{2B79C5D3-0EAB-4357-BD63-56572F326FDB}"/>
    <hyperlink ref="O164" r:id="rId139" display="https://us3.assetplanner.com/service_request?ID=110867" xr:uid="{C6FA542A-52DF-48C4-86D1-8AB3FD86B2D0}"/>
    <hyperlink ref="P164" r:id="rId140" display="https://us3.assetplanner.com/service_request?ID=108392" xr:uid="{CA19D1CD-DAFC-4E17-905C-6D267D72C07D}"/>
    <hyperlink ref="L165" r:id="rId141" display="https://us3.assetplanner.com/service_request?ID=110574" xr:uid="{05952F45-E61E-4BBC-AF79-62F6FABADD52}"/>
    <hyperlink ref="N165" r:id="rId142" display="https://us3.assetplanner.com/service_request?ID=111001" xr:uid="{C5D432F6-4B91-4BD1-849F-3BF2378B13B3}"/>
    <hyperlink ref="O165" r:id="rId143" display="https://us3.assetplanner.com/service_request?ID=111163" xr:uid="{3A5F31BD-FDFE-47F0-A0AD-BC55AA2533EB}"/>
    <hyperlink ref="L166" r:id="rId144" display="https://us3.assetplanner.com/service_request?ID=110883" xr:uid="{7667ADC3-B7DA-437E-A3F9-3D06F1226FAC}"/>
    <hyperlink ref="L167" r:id="rId145" display="https://us3.assetplanner.com/service_request?ID=109160" xr:uid="{95E19DF9-BFFC-4D26-AF27-C7EA5D32546C}"/>
    <hyperlink ref="L168" r:id="rId146" display="https://us3.assetplanner.com/service_request?ID=109156" xr:uid="{8015B9FE-618F-44D6-8D2E-9630FB0D76D4}"/>
    <hyperlink ref="L169" r:id="rId147" display="https://us3.assetplanner.com/service_request?ID=109157" xr:uid="{F8B27660-062C-45D3-A63A-33D7F4EE461A}"/>
    <hyperlink ref="L99" r:id="rId148" display="https://us3.assetplanner.com/service_request?ID=112194" xr:uid="{435FAF73-3996-4F24-A806-9E69A797041D}"/>
    <hyperlink ref="N113" r:id="rId149" display="https://us3.assetplanner.com/service_request?ID=112216" xr:uid="{0B44CDB8-9DD4-49E0-B602-8948B329CBE3}"/>
    <hyperlink ref="L79" r:id="rId150" display="https://us3.assetplanner.com/service_request?ID=112202" xr:uid="{C5C0D894-5F4C-4DE3-B199-FE0A9AE9622F}"/>
  </hyperlinks>
  <pageMargins left="0.4" right="0.7" top="0.25" bottom="0.25" header="0.3" footer="0.3"/>
  <pageSetup fitToHeight="99" orientation="landscape" r:id="rId151"/>
  <legacyDrawing r:id="rId15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S183"/>
  <sheetViews>
    <sheetView tabSelected="1" zoomScale="68" zoomScaleNormal="68" workbookViewId="0">
      <pane xSplit="2" ySplit="3" topLeftCell="C138" activePane="bottomRight" state="frozen"/>
      <selection pane="bottomRight" activeCell="E152" sqref="E15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9.140625" style="180" customWidth="1"/>
    <col min="12" max="12" width="20.5703125" style="180" bestFit="1" customWidth="1"/>
    <col min="13" max="13" width="19.28515625" style="180" customWidth="1"/>
  </cols>
  <sheetData>
    <row r="1" spans="1:13" ht="19.5" customHeight="1">
      <c r="A1" s="192" t="str" cm="1">
        <f t="array" ref="A1">portfolio</f>
        <v>Generate Capital</v>
      </c>
      <c r="B1" s="192"/>
      <c r="C1" s="192"/>
      <c r="D1" s="192"/>
      <c r="E1" s="193" t="s">
        <v>2644</v>
      </c>
      <c r="F1" s="193"/>
      <c r="G1" s="193"/>
      <c r="H1" s="191" t="s">
        <v>2645</v>
      </c>
      <c r="I1" s="191"/>
      <c r="J1" s="191"/>
      <c r="K1" s="182"/>
      <c r="L1" s="182"/>
      <c r="M1" s="182"/>
    </row>
    <row r="2" spans="1:13" ht="19.5" customHeight="1">
      <c r="A2" s="194" t="s">
        <v>2</v>
      </c>
      <c r="B2" s="194"/>
      <c r="C2" s="57"/>
      <c r="D2" s="5">
        <f>SUM(D4:D200)</f>
        <v>46663079.391202442</v>
      </c>
      <c r="E2" s="5">
        <f>SUM(E4:E200)</f>
        <v>11738614.453</v>
      </c>
      <c r="F2" s="5">
        <f>D2-E2</f>
        <v>34924464.938202441</v>
      </c>
      <c r="G2" s="6">
        <f>IFERROR(F2/E2, 0)</f>
        <v>2.9751777842296292</v>
      </c>
      <c r="H2" s="5">
        <f>SUM(H4:H200)</f>
        <v>17724983.201999996</v>
      </c>
      <c r="I2" s="7">
        <f>D2-H2</f>
        <v>28938096.189202446</v>
      </c>
      <c r="J2" s="6">
        <f>IFERROR(I2/H2, 0)</f>
        <v>1.6326162828711297</v>
      </c>
      <c r="K2" s="184" t="str">
        <f ca="1">IF(AND(TODAY()&gt;DATE(2024, 12, 1), COUNTA(Sites[Site])&lt;&gt;(COUNT(D:D)-1)), "Some sites are missing actual data; if new sites were added, make sure they are aligned correctly (including prior months!)", "")</f>
        <v/>
      </c>
      <c r="L2" s="182"/>
      <c r="M2" s="182"/>
    </row>
    <row r="3" spans="1:13" ht="14.25" customHeight="1">
      <c r="A3" s="8" t="s">
        <v>3</v>
      </c>
      <c r="B3" s="8" t="s">
        <v>4</v>
      </c>
      <c r="C3" s="8" t="s">
        <v>5</v>
      </c>
      <c r="D3" s="19" t="s">
        <v>6</v>
      </c>
      <c r="E3" s="31" t="s">
        <v>7</v>
      </c>
      <c r="F3" s="31" t="s">
        <v>8</v>
      </c>
      <c r="G3" s="32" t="s">
        <v>9</v>
      </c>
      <c r="H3" s="33" t="s">
        <v>10</v>
      </c>
      <c r="I3" s="34" t="s">
        <v>8</v>
      </c>
      <c r="J3" s="35" t="s">
        <v>9</v>
      </c>
      <c r="K3" s="181" t="s">
        <v>21</v>
      </c>
      <c r="L3" s="181" t="s">
        <v>22</v>
      </c>
      <c r="M3" s="181" t="s">
        <v>2114</v>
      </c>
    </row>
    <row r="4" spans="1:13" ht="28.9">
      <c r="A4" s="28" t="str" cm="1">
        <f t="array" ref="A4:A173">Sites[Site]</f>
        <v>K026</v>
      </c>
      <c r="B4" s="25" t="str" cm="1">
        <f t="array" ref="B4:B173">Sites[State]</f>
        <v>NY</v>
      </c>
      <c r="C4" s="28" t="str">
        <f>Sites[[#This Row],[SOL'#]]</f>
        <v>SOL-10356</v>
      </c>
      <c r="D4" s="20">
        <v>5816</v>
      </c>
      <c r="E4" s="10">
        <v>13197.52</v>
      </c>
      <c r="F4" s="10">
        <f>IF(AND(ISNUMBER(D4),ISNUMBER(E4)), D4-E4, "")</f>
        <v>-7381.52</v>
      </c>
      <c r="G4" s="11">
        <f>IFERROR(F4/E4, "")</f>
        <v>-0.55931114330571197</v>
      </c>
      <c r="H4" s="12">
        <v>9973.6360000000004</v>
      </c>
      <c r="I4" s="12">
        <f>IF(AND(ISNUMBER(D4),ISNUMBER(H4)), D4-H4, "")</f>
        <v>-4157.6360000000004</v>
      </c>
      <c r="J4" s="13">
        <f>IFERROR(I4/H4, "")</f>
        <v>-0.41686261660241064</v>
      </c>
      <c r="K4" s="37" t="s">
        <v>2646</v>
      </c>
      <c r="L4" s="109" t="s">
        <v>1905</v>
      </c>
      <c r="M4" s="56" t="s">
        <v>2135</v>
      </c>
    </row>
    <row r="5" spans="1:13" ht="15.6">
      <c r="A5" s="26" t="str">
        <v>K041</v>
      </c>
      <c r="B5" s="27" t="str">
        <v>NY</v>
      </c>
      <c r="C5" s="26" t="str">
        <f>Sites[[#This Row],[SOL'#]]</f>
        <v>SOL-10357</v>
      </c>
      <c r="D5" s="9">
        <v>7245.28125</v>
      </c>
      <c r="E5" s="14">
        <v>9803.6319999999996</v>
      </c>
      <c r="F5" s="14">
        <f t="shared" ref="F5:F68" si="0">IF(AND(ISNUMBER(D5),ISNUMBER(E5)), D5-E5, "")</f>
        <v>-2558.3507499999996</v>
      </c>
      <c r="G5" s="15">
        <f>IFERROR(F5/E5, "")</f>
        <v>-0.2609594841993253</v>
      </c>
      <c r="H5" s="16">
        <v>8296</v>
      </c>
      <c r="I5" s="16">
        <f t="shared" ref="I5:I68" si="1">IF(AND(ISNUMBER(D5),ISNUMBER(H5)), D5-H5, "")</f>
        <v>-1050.71875</v>
      </c>
      <c r="J5" s="15">
        <f t="shared" ref="J5:J68" si="2">IFERROR(I5/H5, "")</f>
        <v>-0.12665365838958534</v>
      </c>
      <c r="K5" s="50" t="s">
        <v>2117</v>
      </c>
      <c r="L5" s="50"/>
      <c r="M5" s="50"/>
    </row>
    <row r="6" spans="1:13" ht="15.6">
      <c r="A6" s="24" t="str">
        <v>K043</v>
      </c>
      <c r="B6" s="25" t="str">
        <v>NY</v>
      </c>
      <c r="C6" s="28" t="str">
        <f>Sites[[#This Row],[SOL'#]]</f>
        <v>SOL-10358</v>
      </c>
      <c r="D6" s="20">
        <v>9016.8125</v>
      </c>
      <c r="E6" s="10">
        <v>11665.35</v>
      </c>
      <c r="F6" s="10">
        <f t="shared" si="0"/>
        <v>-2648.5375000000004</v>
      </c>
      <c r="G6" s="11">
        <f t="shared" ref="G6:G69" si="3">IFERROR(F6/E6, "")</f>
        <v>-0.22704312343821662</v>
      </c>
      <c r="H6" s="12">
        <v>1930</v>
      </c>
      <c r="I6" s="12">
        <f t="shared" si="1"/>
        <v>7086.8125</v>
      </c>
      <c r="J6" s="13">
        <f t="shared" si="2"/>
        <v>3.6719235751295338</v>
      </c>
      <c r="K6" s="37" t="s">
        <v>2390</v>
      </c>
      <c r="L6" s="37"/>
      <c r="M6" s="56"/>
    </row>
    <row r="7" spans="1:13" ht="15.6">
      <c r="A7" s="26" t="str">
        <v>K058</v>
      </c>
      <c r="B7" s="27" t="str">
        <v>NY</v>
      </c>
      <c r="C7" s="26" t="str">
        <f>Sites[[#This Row],[SOL'#]]</f>
        <v>SOL-10360</v>
      </c>
      <c r="D7" s="9">
        <v>6822.4375</v>
      </c>
      <c r="E7" s="14">
        <v>9050.6939999999995</v>
      </c>
      <c r="F7" s="14">
        <f t="shared" si="0"/>
        <v>-2228.2564999999995</v>
      </c>
      <c r="G7" s="15">
        <f t="shared" si="3"/>
        <v>-0.24619730818432262</v>
      </c>
      <c r="H7" s="16">
        <v>8335.4290000000001</v>
      </c>
      <c r="I7" s="16">
        <f t="shared" si="1"/>
        <v>-1512.9915000000001</v>
      </c>
      <c r="J7" s="15">
        <f t="shared" si="2"/>
        <v>-0.18151333302701037</v>
      </c>
      <c r="K7" s="50" t="s">
        <v>2647</v>
      </c>
      <c r="L7" s="50"/>
      <c r="M7" s="50"/>
    </row>
    <row r="8" spans="1:13" ht="28.9">
      <c r="A8" s="24" t="str">
        <v>K115</v>
      </c>
      <c r="B8" s="25" t="str">
        <v>NY</v>
      </c>
      <c r="C8" s="28" t="str">
        <f>Sites[[#This Row],[SOL'#]]</f>
        <v>SOL-10361</v>
      </c>
      <c r="D8" s="20">
        <v>3707.22359374998</v>
      </c>
      <c r="E8" s="10">
        <v>6038.0739999999996</v>
      </c>
      <c r="F8" s="10">
        <f t="shared" si="0"/>
        <v>-2330.8504062500197</v>
      </c>
      <c r="G8" s="11">
        <f t="shared" si="3"/>
        <v>-0.38602547869569331</v>
      </c>
      <c r="H8" s="12">
        <v>4765.9949999999999</v>
      </c>
      <c r="I8" s="12">
        <f t="shared" si="1"/>
        <v>-1058.7714062500199</v>
      </c>
      <c r="J8" s="13">
        <f t="shared" si="2"/>
        <v>-0.22215117855768207</v>
      </c>
      <c r="K8" s="37" t="s">
        <v>2648</v>
      </c>
      <c r="L8" s="109" t="s">
        <v>2649</v>
      </c>
      <c r="M8" s="56" t="s">
        <v>2128</v>
      </c>
    </row>
    <row r="9" spans="1:13" ht="15.6">
      <c r="A9" s="26" t="str">
        <v>K152</v>
      </c>
      <c r="B9" s="27" t="str">
        <v>NY</v>
      </c>
      <c r="C9" s="26" t="str">
        <f>Sites[[#This Row],[SOL'#]]</f>
        <v>SOL-10362</v>
      </c>
      <c r="D9" s="9">
        <v>2494.09375</v>
      </c>
      <c r="E9" s="14">
        <v>3397.701</v>
      </c>
      <c r="F9" s="14">
        <f t="shared" si="0"/>
        <v>-903.60725000000002</v>
      </c>
      <c r="G9" s="15">
        <f t="shared" si="3"/>
        <v>-0.26594666511267473</v>
      </c>
      <c r="H9" s="16">
        <v>3295</v>
      </c>
      <c r="I9" s="16">
        <f t="shared" si="1"/>
        <v>-800.90625</v>
      </c>
      <c r="J9" s="15">
        <f t="shared" si="2"/>
        <v>-0.24306714719271624</v>
      </c>
      <c r="K9" s="50" t="s">
        <v>2650</v>
      </c>
      <c r="L9" s="110" t="s">
        <v>2651</v>
      </c>
      <c r="M9" s="50" t="s">
        <v>2135</v>
      </c>
    </row>
    <row r="10" spans="1:13" ht="15.6">
      <c r="A10" s="24" t="str">
        <v>K166</v>
      </c>
      <c r="B10" s="25" t="str">
        <v>NY</v>
      </c>
      <c r="C10" s="28" t="str">
        <f>Sites[[#This Row],[SOL'#]]</f>
        <v>SOL-10363</v>
      </c>
      <c r="D10" s="20">
        <v>8880.875</v>
      </c>
      <c r="E10" s="10">
        <v>12583.64</v>
      </c>
      <c r="F10" s="10">
        <f t="shared" si="0"/>
        <v>-3702.7649999999994</v>
      </c>
      <c r="G10" s="11">
        <f t="shared" si="3"/>
        <v>-0.29425229901681865</v>
      </c>
      <c r="H10" s="12">
        <v>11016.24</v>
      </c>
      <c r="I10" s="12">
        <f t="shared" si="1"/>
        <v>-2135.3649999999998</v>
      </c>
      <c r="J10" s="13">
        <f t="shared" si="2"/>
        <v>-0.19383791565906333</v>
      </c>
      <c r="K10" s="37" t="s">
        <v>1909</v>
      </c>
      <c r="L10" s="109" t="s">
        <v>1910</v>
      </c>
      <c r="M10" s="56" t="s">
        <v>2135</v>
      </c>
    </row>
    <row r="11" spans="1:13" ht="15.6">
      <c r="A11" s="26" t="str">
        <v>K206</v>
      </c>
      <c r="B11" s="27" t="str">
        <v>NY</v>
      </c>
      <c r="C11" s="26" t="str">
        <f>Sites[[#This Row],[SOL'#]]</f>
        <v>SOL-10927</v>
      </c>
      <c r="D11" s="9">
        <v>5535.375</v>
      </c>
      <c r="E11" s="14">
        <v>5692.76</v>
      </c>
      <c r="F11" s="14">
        <f t="shared" si="0"/>
        <v>-157.38500000000022</v>
      </c>
      <c r="G11" s="15">
        <f t="shared" si="3"/>
        <v>-2.7646519438725717E-2</v>
      </c>
      <c r="H11" s="16">
        <v>5754</v>
      </c>
      <c r="I11" s="16">
        <f t="shared" si="1"/>
        <v>-218.625</v>
      </c>
      <c r="J11" s="15">
        <f t="shared" si="2"/>
        <v>-3.7995307612095935E-2</v>
      </c>
      <c r="K11" s="50"/>
      <c r="L11" s="84"/>
      <c r="M11" s="84"/>
    </row>
    <row r="12" spans="1:13" ht="15.6">
      <c r="A12" s="24" t="str">
        <v>K251</v>
      </c>
      <c r="B12" s="25" t="str">
        <v>NY</v>
      </c>
      <c r="C12" s="28" t="str">
        <f>Sites[[#This Row],[SOL'#]]</f>
        <v>SOL-10365</v>
      </c>
      <c r="D12" s="20">
        <v>6436.1875</v>
      </c>
      <c r="E12" s="10">
        <v>0</v>
      </c>
      <c r="F12" s="10">
        <f t="shared" si="0"/>
        <v>6436.1875</v>
      </c>
      <c r="G12" s="11" t="str">
        <f t="shared" si="3"/>
        <v/>
      </c>
      <c r="H12" s="12">
        <v>7861.3149999999996</v>
      </c>
      <c r="I12" s="12">
        <f t="shared" si="1"/>
        <v>-1425.1274999999996</v>
      </c>
      <c r="J12" s="13">
        <f t="shared" si="2"/>
        <v>-0.18128360204367841</v>
      </c>
      <c r="K12" s="37" t="s">
        <v>2394</v>
      </c>
      <c r="L12" s="109" t="s">
        <v>2652</v>
      </c>
      <c r="M12" s="56" t="s">
        <v>2128</v>
      </c>
    </row>
    <row r="13" spans="1:13" ht="43.15">
      <c r="A13" s="26" t="str">
        <v>K269</v>
      </c>
      <c r="B13" s="27" t="str">
        <v>NY</v>
      </c>
      <c r="C13" s="26" t="str">
        <f>Sites[[#This Row],[SOL'#]]</f>
        <v>SOL-10366</v>
      </c>
      <c r="D13" s="9">
        <v>5704.1511752137403</v>
      </c>
      <c r="E13" s="14">
        <v>8521.7309999999998</v>
      </c>
      <c r="F13" s="14">
        <f t="shared" si="0"/>
        <v>-2817.5798247862595</v>
      </c>
      <c r="G13" s="15">
        <f t="shared" si="3"/>
        <v>-0.33063468264678381</v>
      </c>
      <c r="H13" s="16">
        <v>6704.1660000000002</v>
      </c>
      <c r="I13" s="16">
        <f t="shared" si="1"/>
        <v>-1000.0148247862599</v>
      </c>
      <c r="J13" s="15">
        <f t="shared" si="2"/>
        <v>-0.14916319565867847</v>
      </c>
      <c r="K13" s="50" t="s">
        <v>2653</v>
      </c>
      <c r="L13" s="110" t="s">
        <v>2654</v>
      </c>
      <c r="M13" s="84" t="s">
        <v>2128</v>
      </c>
    </row>
    <row r="14" spans="1:13" ht="38.25" customHeight="1">
      <c r="A14" s="24" t="str">
        <v>K273</v>
      </c>
      <c r="B14" s="25" t="str">
        <v>NY</v>
      </c>
      <c r="C14" s="28" t="str">
        <f>Sites[[#This Row],[SOL'#]]</f>
        <v>SOL-10367</v>
      </c>
      <c r="D14" s="20">
        <v>5872.375</v>
      </c>
      <c r="E14" s="10">
        <v>0</v>
      </c>
      <c r="F14" s="10">
        <f t="shared" si="0"/>
        <v>5872.375</v>
      </c>
      <c r="G14" s="11" t="str">
        <f t="shared" si="3"/>
        <v/>
      </c>
      <c r="H14" s="12">
        <v>8725</v>
      </c>
      <c r="I14" s="12">
        <f t="shared" si="1"/>
        <v>-2852.625</v>
      </c>
      <c r="J14" s="13">
        <f t="shared" si="2"/>
        <v>-0.3269484240687679</v>
      </c>
      <c r="K14" s="37" t="s">
        <v>2397</v>
      </c>
      <c r="L14" s="109" t="s">
        <v>2398</v>
      </c>
      <c r="M14" s="56" t="s">
        <v>2399</v>
      </c>
    </row>
    <row r="15" spans="1:13" ht="15.6">
      <c r="A15" s="26" t="str">
        <v>K287</v>
      </c>
      <c r="B15" s="27" t="str">
        <v>NY</v>
      </c>
      <c r="C15" s="26" t="str">
        <f>Sites[[#This Row],[SOL'#]]</f>
        <v>SOL-10919</v>
      </c>
      <c r="D15" s="9">
        <v>4986.96875</v>
      </c>
      <c r="E15" s="14">
        <v>5891.63</v>
      </c>
      <c r="F15" s="14">
        <f t="shared" si="0"/>
        <v>-904.66125000000011</v>
      </c>
      <c r="G15" s="15">
        <f t="shared" si="3"/>
        <v>-0.15355024840324327</v>
      </c>
      <c r="H15" s="16">
        <v>6270</v>
      </c>
      <c r="I15" s="16">
        <f t="shared" si="1"/>
        <v>-1283.03125</v>
      </c>
      <c r="J15" s="15">
        <f t="shared" si="2"/>
        <v>-0.20463018341307815</v>
      </c>
      <c r="K15" s="50" t="s">
        <v>2647</v>
      </c>
      <c r="L15" s="50"/>
      <c r="M15" s="50"/>
    </row>
    <row r="16" spans="1:13" ht="15.6">
      <c r="A16" s="24" t="str">
        <v>K298</v>
      </c>
      <c r="B16" s="25" t="str">
        <v>NY</v>
      </c>
      <c r="C16" s="28" t="str">
        <f>Sites[[#This Row],[SOL'#]]</f>
        <v>SOL-10368</v>
      </c>
      <c r="D16" s="20">
        <v>4314.5</v>
      </c>
      <c r="E16" s="10">
        <v>7711.43</v>
      </c>
      <c r="F16" s="10">
        <f t="shared" si="0"/>
        <v>-3396.9300000000003</v>
      </c>
      <c r="G16" s="11">
        <f t="shared" si="3"/>
        <v>-0.44050584651614555</v>
      </c>
      <c r="H16" s="12">
        <v>4753</v>
      </c>
      <c r="I16" s="12">
        <f>IF(AND(ISNUMBER(D16),ISNUMBER(H16)), D16-H16, "")</f>
        <v>-438.5</v>
      </c>
      <c r="J16" s="13">
        <f t="shared" si="2"/>
        <v>-9.2257521565327155E-2</v>
      </c>
      <c r="K16" s="37" t="s">
        <v>2647</v>
      </c>
      <c r="L16" s="37"/>
      <c r="M16" s="56"/>
    </row>
    <row r="17" spans="1:13" ht="43.15">
      <c r="A17" s="26" t="str">
        <v>K335</v>
      </c>
      <c r="B17" s="27" t="str">
        <v>NY</v>
      </c>
      <c r="C17" s="26" t="str">
        <f>Sites[[#This Row],[SOL'#]]</f>
        <v>SOL-10370</v>
      </c>
      <c r="D17" s="9">
        <v>5102.8125</v>
      </c>
      <c r="E17" s="14">
        <v>8062.69</v>
      </c>
      <c r="F17" s="14">
        <f t="shared" si="0"/>
        <v>-2959.8774999999996</v>
      </c>
      <c r="G17" s="15">
        <f t="shared" si="3"/>
        <v>-0.3671079379214629</v>
      </c>
      <c r="H17" s="16">
        <v>7506</v>
      </c>
      <c r="I17" s="16">
        <f t="shared" si="1"/>
        <v>-2403.1875</v>
      </c>
      <c r="J17" s="15">
        <f t="shared" si="2"/>
        <v>-0.32016886490807356</v>
      </c>
      <c r="K17" s="50" t="s">
        <v>2655</v>
      </c>
      <c r="L17" s="110" t="s">
        <v>2656</v>
      </c>
      <c r="M17" s="50" t="s">
        <v>2128</v>
      </c>
    </row>
    <row r="18" spans="1:13" ht="46.5" customHeight="1">
      <c r="A18" s="24" t="str">
        <v>K345</v>
      </c>
      <c r="B18" s="25" t="str">
        <v>NY</v>
      </c>
      <c r="C18" s="28" t="str">
        <f>Sites[[#This Row],[SOL'#]]</f>
        <v>SOL-10920</v>
      </c>
      <c r="D18" s="20">
        <v>6157.84375</v>
      </c>
      <c r="E18" s="10">
        <v>5967.6210000000001</v>
      </c>
      <c r="F18" s="10">
        <f t="shared" si="0"/>
        <v>190.22274999999991</v>
      </c>
      <c r="G18" s="11">
        <f t="shared" si="3"/>
        <v>3.1875809472484917E-2</v>
      </c>
      <c r="H18" s="12">
        <v>4911</v>
      </c>
      <c r="I18" s="12">
        <f t="shared" si="1"/>
        <v>1246.84375</v>
      </c>
      <c r="J18" s="13">
        <f t="shared" si="2"/>
        <v>0.25388795560985544</v>
      </c>
      <c r="K18" s="37"/>
      <c r="L18" s="37"/>
      <c r="M18" s="56"/>
    </row>
    <row r="19" spans="1:13" ht="15.6">
      <c r="A19" s="26" t="str">
        <v>K445</v>
      </c>
      <c r="B19" s="27" t="str">
        <v>NY</v>
      </c>
      <c r="C19" s="26" t="str">
        <f>Sites[[#This Row],[SOL'#]]</f>
        <v>SOL-10373</v>
      </c>
      <c r="D19" s="9">
        <v>5288.28125</v>
      </c>
      <c r="E19" s="14">
        <v>8410.8510000000006</v>
      </c>
      <c r="F19" s="14">
        <f t="shared" si="0"/>
        <v>-3122.5697500000006</v>
      </c>
      <c r="G19" s="15">
        <f t="shared" si="3"/>
        <v>-0.37125491225560892</v>
      </c>
      <c r="H19" s="16">
        <v>5564.2889999999998</v>
      </c>
      <c r="I19" s="16">
        <f t="shared" si="1"/>
        <v>-276.00774999999976</v>
      </c>
      <c r="J19" s="15">
        <f t="shared" si="2"/>
        <v>-4.9603417435722656E-2</v>
      </c>
      <c r="K19" s="50" t="s">
        <v>2647</v>
      </c>
      <c r="L19" s="84"/>
      <c r="M19" s="84"/>
    </row>
    <row r="20" spans="1:13" ht="58.5" customHeight="1">
      <c r="A20" s="24" t="str">
        <v>K495</v>
      </c>
      <c r="B20" s="25" t="str">
        <v>NY</v>
      </c>
      <c r="C20" s="28" t="str">
        <f>Sites[[#This Row],[SOL'#]]</f>
        <v>SOL-10374</v>
      </c>
      <c r="D20" s="20">
        <v>20475.875</v>
      </c>
      <c r="E20" s="10">
        <v>30554.12</v>
      </c>
      <c r="F20" s="10">
        <f t="shared" si="0"/>
        <v>-10078.244999999999</v>
      </c>
      <c r="G20" s="11">
        <f t="shared" si="3"/>
        <v>-0.32984896963159138</v>
      </c>
      <c r="H20" s="12">
        <v>42655.360000000001</v>
      </c>
      <c r="I20" s="12">
        <f t="shared" si="1"/>
        <v>-22179.485000000001</v>
      </c>
      <c r="J20" s="13">
        <f t="shared" si="2"/>
        <v>-0.51996947159747331</v>
      </c>
      <c r="K20" s="37" t="s">
        <v>2657</v>
      </c>
      <c r="L20" s="109" t="s">
        <v>2658</v>
      </c>
      <c r="M20" s="56" t="s">
        <v>2659</v>
      </c>
    </row>
    <row r="21" spans="1:13" ht="15.6">
      <c r="A21" s="26" t="str">
        <v>M020</v>
      </c>
      <c r="B21" s="27" t="str">
        <v>NY</v>
      </c>
      <c r="C21" s="26" t="str">
        <f>Sites[[#This Row],[SOL'#]]</f>
        <v>SOL-10380</v>
      </c>
      <c r="D21" s="9">
        <v>6297.84375</v>
      </c>
      <c r="E21" s="14">
        <v>7431.9359999999997</v>
      </c>
      <c r="F21" s="14">
        <f t="shared" si="0"/>
        <v>-1134.0922499999997</v>
      </c>
      <c r="G21" s="15">
        <f t="shared" si="3"/>
        <v>-0.15259714965252658</v>
      </c>
      <c r="H21" s="16">
        <v>7745</v>
      </c>
      <c r="I21" s="16">
        <f t="shared" si="1"/>
        <v>-1447.15625</v>
      </c>
      <c r="J21" s="15">
        <f t="shared" si="2"/>
        <v>-0.18685038734667528</v>
      </c>
      <c r="K21" s="50" t="s">
        <v>2647</v>
      </c>
      <c r="L21" s="50"/>
      <c r="M21" s="50"/>
    </row>
    <row r="22" spans="1:13" ht="15.6">
      <c r="A22" s="24" t="str">
        <v>M092</v>
      </c>
      <c r="B22" s="25" t="str">
        <v>NY</v>
      </c>
      <c r="C22" s="28" t="str">
        <f>Sites[[#This Row],[SOL'#]]</f>
        <v>SOL-10383</v>
      </c>
      <c r="D22" s="20">
        <v>5798.3125</v>
      </c>
      <c r="E22" s="10">
        <v>7960.2389999999996</v>
      </c>
      <c r="F22" s="10">
        <f t="shared" si="0"/>
        <v>-2161.9264999999996</v>
      </c>
      <c r="G22" s="11">
        <f t="shared" si="3"/>
        <v>-0.27159065198921789</v>
      </c>
      <c r="H22" s="12">
        <v>6863.2219999999998</v>
      </c>
      <c r="I22" s="12">
        <f t="shared" si="1"/>
        <v>-1064.9094999999998</v>
      </c>
      <c r="J22" s="13">
        <f t="shared" si="2"/>
        <v>-0.15516174473155608</v>
      </c>
      <c r="K22" s="37" t="s">
        <v>2647</v>
      </c>
      <c r="L22" s="37"/>
      <c r="M22" s="56"/>
    </row>
    <row r="23" spans="1:13" ht="25.5" customHeight="1">
      <c r="A23" s="26" t="str">
        <v>M143</v>
      </c>
      <c r="B23" s="27" t="str">
        <v>NY</v>
      </c>
      <c r="C23" s="26" t="str">
        <f>Sites[[#This Row],[SOL'#]]</f>
        <v>SOL-10384</v>
      </c>
      <c r="D23" s="9">
        <v>5774.875</v>
      </c>
      <c r="E23" s="14">
        <v>7586.9809999999998</v>
      </c>
      <c r="F23" s="14">
        <f t="shared" si="0"/>
        <v>-1812.1059999999998</v>
      </c>
      <c r="G23" s="15">
        <f t="shared" si="3"/>
        <v>-0.23884414630799786</v>
      </c>
      <c r="H23" s="16">
        <v>7156.7719999999999</v>
      </c>
      <c r="I23" s="16">
        <f t="shared" si="1"/>
        <v>-1381.8969999999999</v>
      </c>
      <c r="J23" s="15">
        <f t="shared" si="2"/>
        <v>-0.19308942635031548</v>
      </c>
      <c r="K23" s="50" t="s">
        <v>2647</v>
      </c>
      <c r="L23" s="50"/>
      <c r="M23" s="50"/>
    </row>
    <row r="24" spans="1:13" ht="15.6">
      <c r="A24" s="24" t="str">
        <v>M144</v>
      </c>
      <c r="B24" s="25" t="str">
        <v>NY</v>
      </c>
      <c r="C24" s="28" t="str">
        <f>Sites[[#This Row],[SOL'#]]</f>
        <v>SOL-10385</v>
      </c>
      <c r="D24" s="20">
        <v>9554.875</v>
      </c>
      <c r="E24" s="10">
        <v>15307.98</v>
      </c>
      <c r="F24" s="10">
        <f t="shared" si="0"/>
        <v>-5753.1049999999996</v>
      </c>
      <c r="G24" s="11">
        <f t="shared" si="3"/>
        <v>-0.37582391667613885</v>
      </c>
      <c r="H24" s="12">
        <v>20169.150000000001</v>
      </c>
      <c r="I24" s="12">
        <f t="shared" si="1"/>
        <v>-10614.275000000001</v>
      </c>
      <c r="J24" s="13">
        <f t="shared" si="2"/>
        <v>-0.52626288167820656</v>
      </c>
      <c r="K24" s="37" t="s">
        <v>2117</v>
      </c>
      <c r="L24" s="37"/>
      <c r="M24" s="56"/>
    </row>
    <row r="25" spans="1:13" ht="28.9">
      <c r="A25" s="26" t="str">
        <v>M167</v>
      </c>
      <c r="B25" s="27" t="str">
        <v>NY</v>
      </c>
      <c r="C25" s="26" t="str">
        <f>Sites[[#This Row],[SOL'#]]</f>
        <v>SOL-10386</v>
      </c>
      <c r="D25" s="9">
        <v>5510.21875000006</v>
      </c>
      <c r="E25" s="14">
        <v>5916.0789999999997</v>
      </c>
      <c r="F25" s="14">
        <f t="shared" si="0"/>
        <v>-405.8602499999397</v>
      </c>
      <c r="G25" s="15">
        <f t="shared" si="3"/>
        <v>-6.8602912503355637E-2</v>
      </c>
      <c r="H25" s="16">
        <v>6666.6679999999997</v>
      </c>
      <c r="I25" s="16">
        <f t="shared" si="1"/>
        <v>-1156.4492499999396</v>
      </c>
      <c r="J25" s="15">
        <f t="shared" si="2"/>
        <v>-0.1734673528065204</v>
      </c>
      <c r="K25" s="50" t="s">
        <v>2660</v>
      </c>
      <c r="L25" s="50"/>
      <c r="M25" s="50"/>
    </row>
    <row r="26" spans="1:13" ht="15.6">
      <c r="A26" s="24" t="str">
        <v>M188</v>
      </c>
      <c r="B26" s="25" t="str">
        <v>NY</v>
      </c>
      <c r="C26" s="28" t="str">
        <f>Sites[[#This Row],[SOL'#]]</f>
        <v>SOL-10387</v>
      </c>
      <c r="D26" s="20">
        <v>5060.4198437500199</v>
      </c>
      <c r="E26" s="10">
        <v>7118.4880000000003</v>
      </c>
      <c r="F26" s="10">
        <f t="shared" si="0"/>
        <v>-2058.0681562499803</v>
      </c>
      <c r="G26" s="11">
        <f t="shared" si="3"/>
        <v>-0.28911591285255805</v>
      </c>
      <c r="H26" s="12">
        <v>10141.11</v>
      </c>
      <c r="I26" s="12">
        <f t="shared" si="1"/>
        <v>-5080.6901562499806</v>
      </c>
      <c r="J26" s="13">
        <f t="shared" si="2"/>
        <v>-0.50099941290943306</v>
      </c>
      <c r="K26" s="37" t="s">
        <v>2407</v>
      </c>
      <c r="L26" s="37"/>
      <c r="M26" s="56"/>
    </row>
    <row r="27" spans="1:13" ht="15.6">
      <c r="A27" s="26" t="str">
        <v>EMHC</v>
      </c>
      <c r="B27" s="27" t="str">
        <v>NY</v>
      </c>
      <c r="C27" s="26" t="str">
        <f>Sites[[#This Row],[SOL'#]]</f>
        <v>SOL-10351</v>
      </c>
      <c r="D27" s="9">
        <v>1537.9375</v>
      </c>
      <c r="E27" s="14">
        <v>1491.1</v>
      </c>
      <c r="F27" s="14">
        <f t="shared" si="0"/>
        <v>46.837500000000091</v>
      </c>
      <c r="G27" s="15">
        <f t="shared" si="3"/>
        <v>3.1411374153309697E-2</v>
      </c>
      <c r="H27" s="16">
        <v>2006.482</v>
      </c>
      <c r="I27" s="16">
        <f t="shared" si="1"/>
        <v>-468.54449999999997</v>
      </c>
      <c r="J27" s="15">
        <f t="shared" si="2"/>
        <v>-0.23351542650270471</v>
      </c>
      <c r="K27" s="50" t="s">
        <v>2661</v>
      </c>
      <c r="L27" s="110" t="s">
        <v>2408</v>
      </c>
      <c r="M27" s="50" t="s">
        <v>2116</v>
      </c>
    </row>
    <row r="28" spans="1:13" ht="15.6">
      <c r="A28" s="24" t="str">
        <v>Q008</v>
      </c>
      <c r="B28" s="25" t="str">
        <v>NY</v>
      </c>
      <c r="C28" s="28" t="str">
        <f>Sites[[#This Row],[SOL'#]]</f>
        <v>SOL-10397</v>
      </c>
      <c r="D28" s="20">
        <v>8536.4375</v>
      </c>
      <c r="E28" s="10">
        <v>11689.81</v>
      </c>
      <c r="F28" s="10">
        <f t="shared" si="0"/>
        <v>-3153.3724999999995</v>
      </c>
      <c r="G28" s="11">
        <f t="shared" si="3"/>
        <v>-0.26975395665113461</v>
      </c>
      <c r="H28" s="12">
        <v>9163</v>
      </c>
      <c r="I28" s="12">
        <f t="shared" si="1"/>
        <v>-626.5625</v>
      </c>
      <c r="J28" s="13">
        <f t="shared" si="2"/>
        <v>-6.8379624577103573E-2</v>
      </c>
      <c r="K28" s="37" t="s">
        <v>2647</v>
      </c>
      <c r="L28" s="37"/>
      <c r="M28" s="56"/>
    </row>
    <row r="29" spans="1:13" ht="27" customHeight="1">
      <c r="A29" s="26" t="str">
        <v>Q018</v>
      </c>
      <c r="B29" s="27" t="str">
        <v>NY</v>
      </c>
      <c r="C29" s="26" t="str">
        <f>Sites[[#This Row],[SOL'#]]</f>
        <v>SOL-10398</v>
      </c>
      <c r="D29" s="9">
        <v>5682.6875</v>
      </c>
      <c r="E29" s="14">
        <v>7426.7340000000004</v>
      </c>
      <c r="F29" s="14">
        <f t="shared" si="0"/>
        <v>-1744.0465000000004</v>
      </c>
      <c r="G29" s="15">
        <f t="shared" si="3"/>
        <v>-0.2348335755663257</v>
      </c>
      <c r="H29" s="16">
        <v>6115.0389999999998</v>
      </c>
      <c r="I29" s="16">
        <f t="shared" si="1"/>
        <v>-432.35149999999976</v>
      </c>
      <c r="J29" s="15">
        <f t="shared" si="2"/>
        <v>-7.0702983251619458E-2</v>
      </c>
      <c r="K29" s="50" t="s">
        <v>2647</v>
      </c>
      <c r="L29" s="51"/>
      <c r="M29" s="51"/>
    </row>
    <row r="30" spans="1:13" ht="15.6">
      <c r="A30" s="24" t="str">
        <v>Q021</v>
      </c>
      <c r="B30" s="25" t="str">
        <v>NY</v>
      </c>
      <c r="C30" s="28" t="str">
        <f>Sites[[#This Row],[SOL'#]]</f>
        <v>SOL-10399</v>
      </c>
      <c r="D30" s="20">
        <v>4179.9375</v>
      </c>
      <c r="E30" s="10">
        <v>6805.8379999999997</v>
      </c>
      <c r="F30" s="10">
        <f t="shared" si="0"/>
        <v>-2625.9004999999997</v>
      </c>
      <c r="G30" s="11">
        <f t="shared" si="3"/>
        <v>-0.38583059132468328</v>
      </c>
      <c r="H30" s="12">
        <v>4714.9440000000004</v>
      </c>
      <c r="I30" s="12">
        <f t="shared" si="1"/>
        <v>-535.00650000000041</v>
      </c>
      <c r="J30" s="13">
        <f t="shared" si="2"/>
        <v>-0.11347038268110933</v>
      </c>
      <c r="K30" s="37" t="s">
        <v>2647</v>
      </c>
      <c r="L30" s="37"/>
      <c r="M30" s="56"/>
    </row>
    <row r="31" spans="1:13" ht="28.9">
      <c r="A31" s="26" t="str">
        <v>Q025</v>
      </c>
      <c r="B31" s="27" t="str">
        <v>NY</v>
      </c>
      <c r="C31" s="26" t="str">
        <f>Sites[[#This Row],[SOL'#]]</f>
        <v>SOL-10400</v>
      </c>
      <c r="D31" s="9">
        <v>7610</v>
      </c>
      <c r="E31" s="14">
        <v>9334.5529999999999</v>
      </c>
      <c r="F31" s="14">
        <f t="shared" si="0"/>
        <v>-1724.5529999999999</v>
      </c>
      <c r="G31" s="15">
        <f t="shared" si="3"/>
        <v>-0.18474939292754564</v>
      </c>
      <c r="H31" s="16">
        <v>6321</v>
      </c>
      <c r="I31" s="16">
        <f t="shared" si="1"/>
        <v>1289</v>
      </c>
      <c r="J31" s="15">
        <f t="shared" si="2"/>
        <v>0.20392342983705111</v>
      </c>
      <c r="K31" s="185" t="s">
        <v>2662</v>
      </c>
      <c r="L31" s="185"/>
      <c r="M31" s="185"/>
    </row>
    <row r="32" spans="1:13" ht="15.6">
      <c r="A32" s="24" t="str">
        <v>Q074</v>
      </c>
      <c r="B32" s="25" t="str">
        <v>NY</v>
      </c>
      <c r="C32" s="28" t="str">
        <f>Sites[[#This Row],[SOL'#]]</f>
        <v>SOL-10402</v>
      </c>
      <c r="D32" s="20">
        <v>0</v>
      </c>
      <c r="E32" s="10">
        <v>0</v>
      </c>
      <c r="F32" s="10">
        <f t="shared" si="0"/>
        <v>0</v>
      </c>
      <c r="G32" s="11" t="str">
        <f t="shared" si="3"/>
        <v/>
      </c>
      <c r="H32" s="12">
        <v>0</v>
      </c>
      <c r="I32" s="12">
        <f t="shared" si="1"/>
        <v>0</v>
      </c>
      <c r="J32" s="13" t="str">
        <f t="shared" si="2"/>
        <v/>
      </c>
      <c r="K32" s="37" t="s">
        <v>1924</v>
      </c>
      <c r="L32" s="109" t="s">
        <v>2410</v>
      </c>
      <c r="M32" s="56" t="s">
        <v>2116</v>
      </c>
    </row>
    <row r="33" spans="1:13" ht="28.9">
      <c r="A33" s="26" t="str">
        <v>Q115</v>
      </c>
      <c r="B33" s="27" t="str">
        <v>NY</v>
      </c>
      <c r="C33" s="26" t="str">
        <f>Sites[[#This Row],[SOL'#]]</f>
        <v>SOL-10872</v>
      </c>
      <c r="D33" s="9">
        <v>6076.6875000001201</v>
      </c>
      <c r="E33" s="14">
        <v>8566.134</v>
      </c>
      <c r="F33" s="14">
        <f t="shared" si="0"/>
        <v>-2489.44649999988</v>
      </c>
      <c r="G33" s="15">
        <f t="shared" si="3"/>
        <v>-0.29061493784709413</v>
      </c>
      <c r="H33" s="16">
        <v>7531.6080000000002</v>
      </c>
      <c r="I33" s="16">
        <f t="shared" si="1"/>
        <v>-1454.9204999998801</v>
      </c>
      <c r="J33" s="15">
        <f t="shared" si="2"/>
        <v>-0.19317528209113913</v>
      </c>
      <c r="K33" s="50" t="s">
        <v>2663</v>
      </c>
      <c r="L33" s="110" t="s">
        <v>2664</v>
      </c>
      <c r="M33" s="50" t="s">
        <v>2659</v>
      </c>
    </row>
    <row r="34" spans="1:13" ht="43.15">
      <c r="A34" s="24" t="str">
        <v>Q139</v>
      </c>
      <c r="B34" s="25" t="str">
        <v>NY</v>
      </c>
      <c r="C34" s="28" t="str">
        <f>Sites[[#This Row],[SOL'#]]</f>
        <v>SOL-10403</v>
      </c>
      <c r="D34" s="20">
        <v>3706.0625</v>
      </c>
      <c r="E34" s="10">
        <v>4979.3670000000002</v>
      </c>
      <c r="F34" s="10">
        <f t="shared" si="0"/>
        <v>-1273.3045000000002</v>
      </c>
      <c r="G34" s="11">
        <f t="shared" si="3"/>
        <v>-0.25571613821596201</v>
      </c>
      <c r="H34" s="12">
        <v>4728</v>
      </c>
      <c r="I34" s="12">
        <f t="shared" si="1"/>
        <v>-1021.9375</v>
      </c>
      <c r="J34" s="13">
        <f t="shared" si="2"/>
        <v>-0.21614583333333334</v>
      </c>
      <c r="K34" s="37" t="s">
        <v>2665</v>
      </c>
      <c r="L34" s="109" t="s">
        <v>2666</v>
      </c>
      <c r="M34" s="56" t="s">
        <v>2667</v>
      </c>
    </row>
    <row r="35" spans="1:13" ht="15.6">
      <c r="A35" s="26" t="str">
        <v>Q157</v>
      </c>
      <c r="B35" s="27" t="str">
        <v>NY</v>
      </c>
      <c r="C35" s="26" t="str">
        <f>Sites[[#This Row],[SOL'#]]</f>
        <v>SOL-10404</v>
      </c>
      <c r="D35" s="9">
        <v>6762.625</v>
      </c>
      <c r="E35" s="14">
        <v>11722.66</v>
      </c>
      <c r="F35" s="14">
        <f t="shared" si="0"/>
        <v>-4960.0349999999999</v>
      </c>
      <c r="G35" s="15">
        <f t="shared" si="3"/>
        <v>-0.42311514622107949</v>
      </c>
      <c r="H35" s="16">
        <v>8269.7720000000008</v>
      </c>
      <c r="I35" s="16">
        <f t="shared" si="1"/>
        <v>-1507.1470000000008</v>
      </c>
      <c r="J35" s="15">
        <f t="shared" si="2"/>
        <v>-0.18224770888483996</v>
      </c>
      <c r="K35" s="50" t="s">
        <v>2647</v>
      </c>
      <c r="L35" s="50"/>
      <c r="M35" s="50"/>
    </row>
    <row r="36" spans="1:13" ht="15.6">
      <c r="A36" s="24" t="str">
        <v>Q192</v>
      </c>
      <c r="B36" s="25" t="str">
        <v>NY</v>
      </c>
      <c r="C36" s="28" t="str">
        <f>Sites[[#This Row],[SOL'#]]</f>
        <v>SOL-10406</v>
      </c>
      <c r="D36" s="20">
        <v>9020.125</v>
      </c>
      <c r="E36" s="10">
        <v>14911.18</v>
      </c>
      <c r="F36" s="10">
        <f t="shared" si="0"/>
        <v>-5891.0550000000003</v>
      </c>
      <c r="G36" s="11">
        <f t="shared" si="3"/>
        <v>-0.39507637893178138</v>
      </c>
      <c r="H36" s="12">
        <v>12897.3</v>
      </c>
      <c r="I36" s="12">
        <f t="shared" si="1"/>
        <v>-3877.1749999999993</v>
      </c>
      <c r="J36" s="13">
        <f t="shared" si="2"/>
        <v>-0.3006191218317012</v>
      </c>
      <c r="K36" s="37" t="s">
        <v>2668</v>
      </c>
      <c r="L36" s="109" t="s">
        <v>2669</v>
      </c>
      <c r="M36" s="56" t="s">
        <v>2138</v>
      </c>
    </row>
    <row r="37" spans="1:13" ht="15.6">
      <c r="A37" s="26" t="str">
        <v>Q210</v>
      </c>
      <c r="B37" s="27" t="str">
        <v>NY</v>
      </c>
      <c r="C37" s="26" t="str">
        <f>Sites[[#This Row],[SOL'#]]</f>
        <v>SOL-10407</v>
      </c>
      <c r="D37" s="9">
        <v>8984.625</v>
      </c>
      <c r="E37" s="14">
        <v>10179.040000000001</v>
      </c>
      <c r="F37" s="14">
        <f t="shared" si="0"/>
        <v>-1194.4150000000009</v>
      </c>
      <c r="G37" s="15">
        <f t="shared" si="3"/>
        <v>-0.1173406333013723</v>
      </c>
      <c r="H37" s="16">
        <v>10755</v>
      </c>
      <c r="I37" s="16">
        <f t="shared" si="1"/>
        <v>-1770.375</v>
      </c>
      <c r="J37" s="15">
        <f t="shared" si="2"/>
        <v>-0.16460948396094841</v>
      </c>
      <c r="K37" s="50" t="s">
        <v>2647</v>
      </c>
      <c r="L37" s="50"/>
      <c r="M37" s="50"/>
    </row>
    <row r="38" spans="1:13" ht="15.6">
      <c r="A38" s="24" t="str">
        <v>Q229</v>
      </c>
      <c r="B38" s="25" t="str">
        <v>NY</v>
      </c>
      <c r="C38" s="28" t="str">
        <f>Sites[[#This Row],[SOL'#]]</f>
        <v>SOL-10408</v>
      </c>
      <c r="D38" s="20">
        <v>3258.8125</v>
      </c>
      <c r="E38" s="10">
        <v>5554.68</v>
      </c>
      <c r="F38" s="10">
        <f t="shared" si="0"/>
        <v>-2295.8675000000003</v>
      </c>
      <c r="G38" s="11">
        <f t="shared" si="3"/>
        <v>-0.41332128943521501</v>
      </c>
      <c r="H38" s="12">
        <v>3222.47</v>
      </c>
      <c r="I38" s="12">
        <f t="shared" si="1"/>
        <v>36.3425000000002</v>
      </c>
      <c r="J38" s="13">
        <f t="shared" si="2"/>
        <v>1.12778396695703E-2</v>
      </c>
      <c r="K38" s="37" t="s">
        <v>932</v>
      </c>
      <c r="L38" s="109" t="s">
        <v>2421</v>
      </c>
      <c r="M38" s="56" t="s">
        <v>2116</v>
      </c>
    </row>
    <row r="39" spans="1:13" ht="15.6">
      <c r="A39" s="26" t="str">
        <v>Q231</v>
      </c>
      <c r="B39" s="27" t="str">
        <v>NY</v>
      </c>
      <c r="C39" s="26" t="str">
        <f>Sites[[#This Row],[SOL'#]]</f>
        <v>SOL-10870</v>
      </c>
      <c r="D39" s="9">
        <v>13776.375</v>
      </c>
      <c r="E39" s="14">
        <v>23583.87</v>
      </c>
      <c r="F39" s="14">
        <f t="shared" si="0"/>
        <v>-9807.494999999999</v>
      </c>
      <c r="G39" s="15">
        <f t="shared" si="3"/>
        <v>-0.41585604907082679</v>
      </c>
      <c r="H39" s="16">
        <v>13232</v>
      </c>
      <c r="I39" s="16">
        <f t="shared" si="1"/>
        <v>544.375</v>
      </c>
      <c r="J39" s="15">
        <f t="shared" si="2"/>
        <v>4.1140795042321647E-2</v>
      </c>
      <c r="K39" s="50" t="s">
        <v>2422</v>
      </c>
      <c r="L39" s="50"/>
      <c r="M39" s="50"/>
    </row>
    <row r="40" spans="1:13" ht="15.6">
      <c r="A40" s="24" t="str">
        <v>Q405</v>
      </c>
      <c r="B40" s="25" t="str">
        <v>NY</v>
      </c>
      <c r="C40" s="28" t="str">
        <f>Sites[[#This Row],[SOL'#]]</f>
        <v>SOL-10409</v>
      </c>
      <c r="D40" s="20">
        <v>16661.75</v>
      </c>
      <c r="E40" s="10">
        <v>22389.42</v>
      </c>
      <c r="F40" s="10">
        <f t="shared" si="0"/>
        <v>-5727.6699999999983</v>
      </c>
      <c r="G40" s="11">
        <f t="shared" si="3"/>
        <v>-0.25582038302019428</v>
      </c>
      <c r="H40" s="12">
        <v>19284.849999999999</v>
      </c>
      <c r="I40" s="12">
        <f t="shared" si="1"/>
        <v>-2623.0999999999985</v>
      </c>
      <c r="J40" s="13">
        <f t="shared" si="2"/>
        <v>-0.13601868824491758</v>
      </c>
      <c r="K40" s="37" t="s">
        <v>2423</v>
      </c>
      <c r="L40" s="109" t="s">
        <v>2424</v>
      </c>
      <c r="M40" s="56" t="s">
        <v>2116</v>
      </c>
    </row>
    <row r="41" spans="1:13" ht="15.6">
      <c r="A41" s="26" t="str">
        <v>Q435</v>
      </c>
      <c r="B41" s="27" t="str">
        <v>NY</v>
      </c>
      <c r="C41" s="26" t="str">
        <f>Sites[[#This Row],[SOL'#]]</f>
        <v>SOL-10923</v>
      </c>
      <c r="D41" s="9">
        <v>21476.375</v>
      </c>
      <c r="E41" s="14">
        <v>17045.18</v>
      </c>
      <c r="F41" s="14">
        <f t="shared" si="0"/>
        <v>4431.1949999999997</v>
      </c>
      <c r="G41" s="15">
        <f t="shared" si="3"/>
        <v>0.25996762721191563</v>
      </c>
      <c r="H41" s="16">
        <v>21568</v>
      </c>
      <c r="I41" s="16">
        <f t="shared" si="1"/>
        <v>-91.625</v>
      </c>
      <c r="J41" s="15">
        <f t="shared" si="2"/>
        <v>-4.2481917655786353E-3</v>
      </c>
      <c r="K41" s="50" t="s">
        <v>2152</v>
      </c>
      <c r="L41" s="50"/>
      <c r="M41" s="50"/>
    </row>
    <row r="42" spans="1:13" ht="15.6">
      <c r="A42" s="24" t="str">
        <v>Q485</v>
      </c>
      <c r="B42" s="25" t="str">
        <v>NY</v>
      </c>
      <c r="C42" s="28" t="str">
        <f>Sites[[#This Row],[SOL'#]]</f>
        <v>SOL-10869</v>
      </c>
      <c r="D42" s="20">
        <v>17499.125</v>
      </c>
      <c r="E42" s="10">
        <v>19172.91</v>
      </c>
      <c r="F42" s="10">
        <f t="shared" si="0"/>
        <v>-1673.7849999999999</v>
      </c>
      <c r="G42" s="11">
        <f t="shared" si="3"/>
        <v>-8.7299476188017353E-2</v>
      </c>
      <c r="H42" s="12">
        <v>20417.86</v>
      </c>
      <c r="I42" s="12">
        <f t="shared" si="1"/>
        <v>-2918.7350000000006</v>
      </c>
      <c r="J42" s="13">
        <f t="shared" si="2"/>
        <v>-0.14295009369248299</v>
      </c>
      <c r="K42" s="37" t="s">
        <v>2670</v>
      </c>
      <c r="L42" s="109" t="s">
        <v>2671</v>
      </c>
      <c r="M42" s="56" t="s">
        <v>2120</v>
      </c>
    </row>
    <row r="43" spans="1:13" ht="43.15">
      <c r="A43" s="26" t="str">
        <v>Q490</v>
      </c>
      <c r="B43" s="27" t="str">
        <v>NY</v>
      </c>
      <c r="C43" s="26" t="str">
        <f>Sites[[#This Row],[SOL'#]]</f>
        <v>SOL-10411</v>
      </c>
      <c r="D43" s="9">
        <v>13187.25</v>
      </c>
      <c r="E43" s="14">
        <v>0</v>
      </c>
      <c r="F43" s="14">
        <f t="shared" si="0"/>
        <v>13187.25</v>
      </c>
      <c r="G43" s="15" t="str">
        <f t="shared" si="3"/>
        <v/>
      </c>
      <c r="H43" s="16">
        <v>15151.22</v>
      </c>
      <c r="I43" s="16">
        <f t="shared" si="1"/>
        <v>-1963.9699999999993</v>
      </c>
      <c r="J43" s="15">
        <f t="shared" si="2"/>
        <v>-0.12962454508613824</v>
      </c>
      <c r="K43" s="185" t="s">
        <v>1205</v>
      </c>
      <c r="L43" s="110" t="s">
        <v>2427</v>
      </c>
      <c r="M43" s="50" t="s">
        <v>2116</v>
      </c>
    </row>
    <row r="44" spans="1:13" ht="28.9">
      <c r="A44" s="24" t="str">
        <v>Q620</v>
      </c>
      <c r="B44" s="25" t="str">
        <v>NY</v>
      </c>
      <c r="C44" s="28" t="str">
        <f>Sites[[#This Row],[SOL'#]]</f>
        <v>SOL-10867</v>
      </c>
      <c r="D44" s="20">
        <v>20472.25</v>
      </c>
      <c r="E44" s="10">
        <v>23803.15</v>
      </c>
      <c r="F44" s="10">
        <f t="shared" si="0"/>
        <v>-3330.9000000000015</v>
      </c>
      <c r="G44" s="11">
        <f t="shared" si="3"/>
        <v>-0.13993526066928122</v>
      </c>
      <c r="H44" s="12">
        <v>23059.82</v>
      </c>
      <c r="I44" s="12">
        <f t="shared" si="1"/>
        <v>-2587.5699999999997</v>
      </c>
      <c r="J44" s="13">
        <f t="shared" si="2"/>
        <v>-0.11221119679164884</v>
      </c>
      <c r="K44" s="37" t="s">
        <v>2429</v>
      </c>
      <c r="L44" s="109" t="s">
        <v>2430</v>
      </c>
      <c r="M44" s="56" t="s">
        <v>2138</v>
      </c>
    </row>
    <row r="45" spans="1:13" ht="15.6">
      <c r="A45" s="26" t="str">
        <v>QMOA</v>
      </c>
      <c r="B45" s="27" t="str">
        <v>NY</v>
      </c>
      <c r="C45" s="26" t="str">
        <f>Sites[[#This Row],[SOL'#]]</f>
        <v>SOL-10415</v>
      </c>
      <c r="D45" s="9">
        <v>1980.8999999999901</v>
      </c>
      <c r="E45" s="14">
        <v>0</v>
      </c>
      <c r="F45" s="14">
        <f t="shared" si="0"/>
        <v>1980.8999999999901</v>
      </c>
      <c r="G45" s="15" t="str">
        <f t="shared" si="3"/>
        <v/>
      </c>
      <c r="H45" s="16">
        <v>2545.9340000000002</v>
      </c>
      <c r="I45" s="16">
        <f t="shared" si="1"/>
        <v>-565.03400000001011</v>
      </c>
      <c r="J45" s="15">
        <f t="shared" si="2"/>
        <v>-0.22193583965649152</v>
      </c>
      <c r="K45" s="50" t="s">
        <v>2647</v>
      </c>
      <c r="L45" s="50"/>
      <c r="M45" s="50"/>
    </row>
    <row r="46" spans="1:13" ht="28.9">
      <c r="A46" s="24" t="str">
        <v>X024</v>
      </c>
      <c r="B46" s="25" t="str">
        <v>NY</v>
      </c>
      <c r="C46" s="28" t="str">
        <f>Sites[[#This Row],[SOL'#]]</f>
        <v>SOL-10419</v>
      </c>
      <c r="D46" s="20">
        <v>6175.15625</v>
      </c>
      <c r="E46" s="10">
        <v>8682.3870000000006</v>
      </c>
      <c r="F46" s="10">
        <f t="shared" si="0"/>
        <v>-2507.2307500000006</v>
      </c>
      <c r="G46" s="11">
        <f t="shared" si="3"/>
        <v>-0.28877205657845018</v>
      </c>
      <c r="H46" s="12">
        <v>7933</v>
      </c>
      <c r="I46" s="12">
        <f t="shared" si="1"/>
        <v>-1757.84375</v>
      </c>
      <c r="J46" s="13">
        <f t="shared" si="2"/>
        <v>-0.22158625362410186</v>
      </c>
      <c r="K46" s="37" t="s">
        <v>2672</v>
      </c>
      <c r="L46" s="109" t="s">
        <v>2673</v>
      </c>
      <c r="M46" s="56" t="s">
        <v>2120</v>
      </c>
    </row>
    <row r="47" spans="1:13" ht="28.9">
      <c r="A47" s="26" t="str">
        <v>X026</v>
      </c>
      <c r="B47" s="27" t="str">
        <v>NY</v>
      </c>
      <c r="C47" s="26" t="str">
        <f>Sites[[#This Row],[SOL'#]]</f>
        <v>SOL-10420</v>
      </c>
      <c r="D47" s="9">
        <v>5641.4</v>
      </c>
      <c r="E47" s="14">
        <v>8223.7009999999991</v>
      </c>
      <c r="F47" s="14">
        <f t="shared" si="0"/>
        <v>-2582.3009999999995</v>
      </c>
      <c r="G47" s="15">
        <f t="shared" si="3"/>
        <v>-0.31400716052298105</v>
      </c>
      <c r="H47" s="16">
        <v>9988.018</v>
      </c>
      <c r="I47" s="16">
        <f t="shared" si="1"/>
        <v>-4346.6180000000004</v>
      </c>
      <c r="J47" s="15">
        <f t="shared" si="2"/>
        <v>-0.43518323655403907</v>
      </c>
      <c r="K47" s="50" t="s">
        <v>1690</v>
      </c>
      <c r="L47" s="110" t="s">
        <v>2156</v>
      </c>
      <c r="M47" s="50" t="s">
        <v>2138</v>
      </c>
    </row>
    <row r="48" spans="1:13" ht="21" customHeight="1">
      <c r="A48" s="24" t="str">
        <v>X090</v>
      </c>
      <c r="B48" s="25" t="str">
        <v>NY</v>
      </c>
      <c r="C48" s="28" t="str">
        <f>Sites[[#This Row],[SOL'#]]</f>
        <v>SOL-10925</v>
      </c>
      <c r="D48" s="20">
        <v>5903.625</v>
      </c>
      <c r="E48" s="10">
        <v>4677.6499999999996</v>
      </c>
      <c r="F48" s="10">
        <f t="shared" si="0"/>
        <v>1225.9750000000004</v>
      </c>
      <c r="G48" s="11">
        <f t="shared" si="3"/>
        <v>0.2620920761493486</v>
      </c>
      <c r="H48" s="12">
        <v>5824</v>
      </c>
      <c r="I48" s="12">
        <f t="shared" si="1"/>
        <v>79.625</v>
      </c>
      <c r="J48" s="13">
        <f t="shared" si="2"/>
        <v>1.3671875E-2</v>
      </c>
      <c r="K48" s="37"/>
      <c r="L48" s="37"/>
      <c r="M48" s="56"/>
    </row>
    <row r="49" spans="1:15" ht="15.6">
      <c r="A49" s="26" t="str">
        <v>X117</v>
      </c>
      <c r="B49" s="27" t="str">
        <v>NY</v>
      </c>
      <c r="C49" s="26" t="str">
        <f>Sites[[#This Row],[SOL'#]]</f>
        <v>SOL-10422</v>
      </c>
      <c r="D49" s="9">
        <v>4096.3</v>
      </c>
      <c r="E49" s="14">
        <v>7330.2939999999999</v>
      </c>
      <c r="F49" s="14">
        <f t="shared" si="0"/>
        <v>-3233.9939999999997</v>
      </c>
      <c r="G49" s="15">
        <f t="shared" si="3"/>
        <v>-0.44118203171659959</v>
      </c>
      <c r="H49" s="16">
        <v>5915.348</v>
      </c>
      <c r="I49" s="16">
        <f t="shared" si="1"/>
        <v>-1819.0479999999998</v>
      </c>
      <c r="J49" s="15">
        <f t="shared" si="2"/>
        <v>-0.30751326887276959</v>
      </c>
      <c r="K49" s="50" t="s">
        <v>2434</v>
      </c>
      <c r="L49" s="50"/>
      <c r="M49" s="50"/>
    </row>
    <row r="50" spans="1:15" ht="15.6">
      <c r="A50" s="24" t="str">
        <v>X125</v>
      </c>
      <c r="B50" s="25" t="str">
        <v>NY</v>
      </c>
      <c r="C50" s="28" t="str">
        <f>Sites[[#This Row],[SOL'#]]</f>
        <v>SOL-10423</v>
      </c>
      <c r="D50" s="20">
        <v>8697.375</v>
      </c>
      <c r="E50" s="10">
        <v>11976.89</v>
      </c>
      <c r="F50" s="10">
        <f t="shared" si="0"/>
        <v>-3279.5149999999994</v>
      </c>
      <c r="G50" s="11">
        <f t="shared" si="3"/>
        <v>-0.27382024882920353</v>
      </c>
      <c r="H50" s="12">
        <v>10041.16</v>
      </c>
      <c r="I50" s="12">
        <f t="shared" si="1"/>
        <v>-1343.7849999999999</v>
      </c>
      <c r="J50" s="13">
        <f t="shared" si="2"/>
        <v>-0.13382766532950374</v>
      </c>
      <c r="K50" s="37" t="s">
        <v>2435</v>
      </c>
      <c r="L50" s="37"/>
      <c r="M50" s="56"/>
    </row>
    <row r="51" spans="1:15" ht="43.15">
      <c r="A51" s="26" t="str">
        <v>X134</v>
      </c>
      <c r="B51" s="27" t="str">
        <v>NY</v>
      </c>
      <c r="C51" s="26" t="str">
        <f>Sites[[#This Row],[SOL'#]]</f>
        <v>SOL-10424</v>
      </c>
      <c r="D51" s="9">
        <v>4076.375</v>
      </c>
      <c r="E51" s="14">
        <v>13143.4</v>
      </c>
      <c r="F51" s="14">
        <f t="shared" si="0"/>
        <v>-9067.0249999999996</v>
      </c>
      <c r="G51" s="15">
        <f t="shared" si="3"/>
        <v>-0.68985384299344155</v>
      </c>
      <c r="H51" s="16">
        <v>7225</v>
      </c>
      <c r="I51" s="16">
        <f t="shared" si="1"/>
        <v>-3148.625</v>
      </c>
      <c r="J51" s="15">
        <f t="shared" si="2"/>
        <v>-0.43579584775086505</v>
      </c>
      <c r="K51" s="50" t="s">
        <v>2674</v>
      </c>
      <c r="L51" s="110" t="s">
        <v>2675</v>
      </c>
      <c r="M51" s="50" t="s">
        <v>2138</v>
      </c>
    </row>
    <row r="52" spans="1:15" ht="28.9">
      <c r="A52" s="24" t="str">
        <v>X135</v>
      </c>
      <c r="B52" s="25" t="str">
        <v>NY</v>
      </c>
      <c r="C52" s="28" t="str">
        <f>Sites[[#This Row],[SOL'#]]</f>
        <v>SOL-10425</v>
      </c>
      <c r="D52" s="20">
        <v>6856.125</v>
      </c>
      <c r="E52" s="10">
        <v>12152.03</v>
      </c>
      <c r="F52" s="10">
        <f t="shared" si="0"/>
        <v>-5295.9050000000007</v>
      </c>
      <c r="G52" s="11">
        <f t="shared" si="3"/>
        <v>-0.4358041413656813</v>
      </c>
      <c r="H52" s="12">
        <v>8283</v>
      </c>
      <c r="I52" s="12">
        <f t="shared" si="1"/>
        <v>-1426.875</v>
      </c>
      <c r="J52" s="13">
        <f t="shared" si="2"/>
        <v>-0.17226548352046361</v>
      </c>
      <c r="K52" s="56" t="s">
        <v>1947</v>
      </c>
      <c r="L52" s="37"/>
      <c r="M52" s="56"/>
    </row>
    <row r="53" spans="1:15" ht="15.6">
      <c r="A53" s="26" t="str">
        <v>X139 JHS 222</v>
      </c>
      <c r="B53" s="27" t="str">
        <v>NY</v>
      </c>
      <c r="C53" s="26" t="str">
        <f>Sites[[#This Row],[SOL'#]]</f>
        <v>SOL-10426</v>
      </c>
      <c r="D53" s="9">
        <v>10130.5908</v>
      </c>
      <c r="E53" s="14">
        <v>12793.92</v>
      </c>
      <c r="F53" s="14">
        <f t="shared" si="0"/>
        <v>-2663.3292000000001</v>
      </c>
      <c r="G53" s="15">
        <f t="shared" si="3"/>
        <v>-0.20817147520072035</v>
      </c>
      <c r="H53" s="16">
        <v>10209</v>
      </c>
      <c r="I53" s="16">
        <f t="shared" si="1"/>
        <v>-78.409200000000055</v>
      </c>
      <c r="J53" s="15">
        <f t="shared" si="2"/>
        <v>-7.6803996473699728E-3</v>
      </c>
      <c r="K53" s="50" t="s">
        <v>2647</v>
      </c>
      <c r="L53" s="50"/>
      <c r="M53" s="50"/>
    </row>
    <row r="54" spans="1:15" ht="15.6">
      <c r="A54" s="24" t="str">
        <v>X140</v>
      </c>
      <c r="B54" s="25" t="str">
        <v>NY</v>
      </c>
      <c r="C54" s="28" t="str">
        <f>Sites[[#This Row],[SOL'#]]</f>
        <v>SOL-10926</v>
      </c>
      <c r="D54" s="20">
        <v>6554.6737869197996</v>
      </c>
      <c r="E54" s="10">
        <v>6771.2809999999999</v>
      </c>
      <c r="F54" s="10">
        <f t="shared" si="0"/>
        <v>-216.60721308020038</v>
      </c>
      <c r="G54" s="11">
        <f t="shared" si="3"/>
        <v>-3.198910414147639E-2</v>
      </c>
      <c r="H54" s="12">
        <v>6913</v>
      </c>
      <c r="I54" s="12">
        <f t="shared" si="1"/>
        <v>-358.32621308020043</v>
      </c>
      <c r="J54" s="13">
        <f t="shared" si="2"/>
        <v>-5.1833677575611227E-2</v>
      </c>
      <c r="K54" s="37"/>
      <c r="L54" s="37"/>
      <c r="M54" s="56"/>
    </row>
    <row r="55" spans="1:15" ht="15.6">
      <c r="A55" s="26" t="str">
        <v>X166</v>
      </c>
      <c r="B55" s="27" t="str">
        <v>NY</v>
      </c>
      <c r="C55" s="26" t="str">
        <f>Sites[[#This Row],[SOL'#]]</f>
        <v>SOL-10427</v>
      </c>
      <c r="D55" s="9">
        <v>6157.4</v>
      </c>
      <c r="E55" s="14">
        <v>10261.549999999999</v>
      </c>
      <c r="F55" s="14">
        <f t="shared" si="0"/>
        <v>-4104.1499999999996</v>
      </c>
      <c r="G55" s="15">
        <f t="shared" si="3"/>
        <v>-0.39995419795255099</v>
      </c>
      <c r="H55" s="16">
        <v>5655</v>
      </c>
      <c r="I55" s="16">
        <f t="shared" si="1"/>
        <v>502.39999999999964</v>
      </c>
      <c r="J55" s="15">
        <f t="shared" si="2"/>
        <v>8.8841732979663954E-2</v>
      </c>
      <c r="K55" s="50" t="s">
        <v>2117</v>
      </c>
      <c r="L55" s="50"/>
      <c r="M55" s="50"/>
    </row>
    <row r="56" spans="1:15" ht="81.75" customHeight="1">
      <c r="A56" s="24" t="str">
        <v>Murphy</v>
      </c>
      <c r="B56" s="25" t="str">
        <v>MN</v>
      </c>
      <c r="C56" s="28" t="str">
        <f>Sites[[#This Row],[SOL'#]]</f>
        <v>SOL-10094</v>
      </c>
      <c r="D56" s="20">
        <v>118930</v>
      </c>
      <c r="E56" s="10">
        <v>365553.7</v>
      </c>
      <c r="F56" s="10">
        <f t="shared" si="0"/>
        <v>-246623.7</v>
      </c>
      <c r="G56" s="11">
        <f t="shared" si="3"/>
        <v>-0.67465792303565797</v>
      </c>
      <c r="H56" s="12">
        <v>396855.8</v>
      </c>
      <c r="I56" s="12">
        <f t="shared" si="1"/>
        <v>-277925.8</v>
      </c>
      <c r="J56" s="13">
        <f t="shared" si="2"/>
        <v>-0.7003193603318888</v>
      </c>
      <c r="K56" s="37" t="s">
        <v>2676</v>
      </c>
      <c r="L56" s="109" t="s">
        <v>2677</v>
      </c>
      <c r="M56" s="56" t="s">
        <v>2678</v>
      </c>
      <c r="N56" s="111" t="s">
        <v>2679</v>
      </c>
    </row>
    <row r="57" spans="1:15" ht="57.6">
      <c r="A57" s="26" t="str">
        <v>Terning</v>
      </c>
      <c r="B57" s="27" t="str">
        <v>MN</v>
      </c>
      <c r="C57" s="26" t="str">
        <f>Sites[[#This Row],[SOL'#]]</f>
        <v>SOL-10093</v>
      </c>
      <c r="D57" s="9">
        <v>141339.45241293701</v>
      </c>
      <c r="E57" s="14">
        <v>408204.2</v>
      </c>
      <c r="F57" s="14">
        <f t="shared" si="0"/>
        <v>-266864.747587063</v>
      </c>
      <c r="G57" s="15">
        <f t="shared" si="3"/>
        <v>-0.65375306669324562</v>
      </c>
      <c r="H57" s="16">
        <v>358517</v>
      </c>
      <c r="I57" s="16">
        <f t="shared" si="1"/>
        <v>-217177.54758706299</v>
      </c>
      <c r="J57" s="15">
        <f t="shared" si="2"/>
        <v>-0.60576638649509784</v>
      </c>
      <c r="K57" s="50" t="s">
        <v>2680</v>
      </c>
      <c r="L57" s="110" t="s">
        <v>2681</v>
      </c>
      <c r="M57" s="50" t="s">
        <v>2682</v>
      </c>
      <c r="N57" s="111" t="s">
        <v>2683</v>
      </c>
      <c r="O57" s="111" t="s">
        <v>2684</v>
      </c>
    </row>
    <row r="58" spans="1:15" ht="28.9">
      <c r="A58" s="24" t="str">
        <v>Boas Road 04</v>
      </c>
      <c r="B58" s="25" t="str">
        <v>NY</v>
      </c>
      <c r="C58" s="28" t="str">
        <f>Sites[[#This Row],[SOL'#]]</f>
        <v>SOL-10908</v>
      </c>
      <c r="D58" s="20">
        <v>59333</v>
      </c>
      <c r="E58" s="10">
        <v>59333</v>
      </c>
      <c r="F58" s="10">
        <f t="shared" si="0"/>
        <v>0</v>
      </c>
      <c r="G58" s="11">
        <f t="shared" si="3"/>
        <v>0</v>
      </c>
      <c r="H58" s="12">
        <v>120930.845</v>
      </c>
      <c r="I58" s="12">
        <f t="shared" si="1"/>
        <v>-61597.845000000001</v>
      </c>
      <c r="J58" s="13">
        <f t="shared" si="2"/>
        <v>-0.50936421555641986</v>
      </c>
      <c r="K58" s="37" t="s">
        <v>2685</v>
      </c>
      <c r="L58" s="37"/>
      <c r="M58" s="56"/>
    </row>
    <row r="59" spans="1:15" ht="66.75" customHeight="1">
      <c r="A59" s="26" t="str">
        <v>Kelly Bridge Farm</v>
      </c>
      <c r="B59" s="27" t="str">
        <v>NY</v>
      </c>
      <c r="C59" s="26" t="str">
        <f>Sites[[#This Row],[SOL'#]]</f>
        <v>SOL-10911</v>
      </c>
      <c r="D59" s="9">
        <v>41508</v>
      </c>
      <c r="E59" s="14" t="s">
        <v>661</v>
      </c>
      <c r="F59" s="14" t="str">
        <f t="shared" si="0"/>
        <v/>
      </c>
      <c r="G59" s="15" t="str">
        <f t="shared" si="3"/>
        <v/>
      </c>
      <c r="H59" s="16">
        <v>119955.59699999999</v>
      </c>
      <c r="I59" s="16">
        <f t="shared" si="1"/>
        <v>-78447.596999999994</v>
      </c>
      <c r="J59" s="15">
        <f t="shared" si="2"/>
        <v>-0.65397196097485966</v>
      </c>
      <c r="K59" s="51" t="s">
        <v>2686</v>
      </c>
      <c r="L59" s="50"/>
      <c r="M59" s="50"/>
    </row>
    <row r="60" spans="1:15" ht="28.9">
      <c r="A60" s="24" t="str">
        <v>Pool Brook Road</v>
      </c>
      <c r="B60" s="25" t="str">
        <v>NY</v>
      </c>
      <c r="C60" s="28" t="str">
        <f>Sites[[#This Row],[SOL'#]]</f>
        <v>SOL-10909</v>
      </c>
      <c r="D60" s="20">
        <v>39393</v>
      </c>
      <c r="E60" s="10">
        <v>39393</v>
      </c>
      <c r="F60" s="10">
        <f t="shared" si="0"/>
        <v>0</v>
      </c>
      <c r="G60" s="11">
        <f t="shared" si="3"/>
        <v>0</v>
      </c>
      <c r="H60" s="12">
        <v>128062.96799999999</v>
      </c>
      <c r="I60" s="12">
        <f t="shared" si="1"/>
        <v>-88669.967999999993</v>
      </c>
      <c r="J60" s="13">
        <f t="shared" si="2"/>
        <v>-0.69239351066734611</v>
      </c>
      <c r="K60" s="37" t="s">
        <v>2686</v>
      </c>
      <c r="L60" s="37"/>
      <c r="M60" s="56"/>
    </row>
    <row r="61" spans="1:15" ht="28.9">
      <c r="A61" s="26" t="str">
        <v>Sackett Lake</v>
      </c>
      <c r="B61" s="27" t="str">
        <v>NY</v>
      </c>
      <c r="C61" s="26" t="str">
        <f>Sites[[#This Row],[SOL'#]]</f>
        <v>SOL-10910</v>
      </c>
      <c r="D61" s="9">
        <v>59433</v>
      </c>
      <c r="E61" s="14">
        <v>0</v>
      </c>
      <c r="F61" s="14">
        <f t="shared" si="0"/>
        <v>59433</v>
      </c>
      <c r="G61" s="15" t="str">
        <f t="shared" si="3"/>
        <v/>
      </c>
      <c r="H61" s="16">
        <v>135943.766</v>
      </c>
      <c r="I61" s="16">
        <f t="shared" si="1"/>
        <v>-76510.766000000003</v>
      </c>
      <c r="J61" s="15">
        <f t="shared" si="2"/>
        <v>-0.56281187619886885</v>
      </c>
      <c r="K61" s="50" t="s">
        <v>2687</v>
      </c>
      <c r="L61" s="110" t="s">
        <v>2688</v>
      </c>
      <c r="M61" s="50" t="s">
        <v>2254</v>
      </c>
    </row>
    <row r="62" spans="1:15" ht="28.9">
      <c r="A62" s="24" t="str">
        <v>Burritt Road</v>
      </c>
      <c r="B62" s="25" t="str">
        <v>NY</v>
      </c>
      <c r="C62" s="28" t="str">
        <f>Sites[[#This Row],[SOL'#]]</f>
        <v>SOL-10913</v>
      </c>
      <c r="D62" s="20">
        <v>76280</v>
      </c>
      <c r="E62" s="10">
        <v>0</v>
      </c>
      <c r="F62" s="10">
        <f t="shared" si="0"/>
        <v>76280</v>
      </c>
      <c r="G62" s="11" t="str">
        <f t="shared" si="3"/>
        <v/>
      </c>
      <c r="H62" s="12">
        <v>100593.815</v>
      </c>
      <c r="I62" s="12">
        <f t="shared" si="1"/>
        <v>-24313.815000000002</v>
      </c>
      <c r="J62" s="13">
        <f t="shared" si="2"/>
        <v>-0.24170288203106724</v>
      </c>
      <c r="K62" s="49" t="s">
        <v>2689</v>
      </c>
      <c r="L62" s="37"/>
      <c r="M62" s="56"/>
    </row>
    <row r="63" spans="1:15" ht="28.9">
      <c r="A63" s="26" t="str">
        <v>Villa Roma 1</v>
      </c>
      <c r="B63" s="27" t="str">
        <v>NY</v>
      </c>
      <c r="C63" s="26" t="str">
        <f>Sites[[#This Row],[SOL'#]]</f>
        <v>SOL-10914</v>
      </c>
      <c r="D63" s="9">
        <v>45150</v>
      </c>
      <c r="E63" s="14">
        <v>0</v>
      </c>
      <c r="F63" s="14">
        <f t="shared" si="0"/>
        <v>45150</v>
      </c>
      <c r="G63" s="15" t="str">
        <f t="shared" si="3"/>
        <v/>
      </c>
      <c r="H63" s="16">
        <v>102450.374</v>
      </c>
      <c r="I63" s="16">
        <f t="shared" si="1"/>
        <v>-57300.373999999996</v>
      </c>
      <c r="J63" s="15">
        <f t="shared" si="2"/>
        <v>-0.55929882696182254</v>
      </c>
      <c r="K63" s="50" t="s">
        <v>2690</v>
      </c>
      <c r="L63" s="50"/>
      <c r="M63" s="50"/>
    </row>
    <row r="64" spans="1:15" ht="28.9">
      <c r="A64" s="24" t="str">
        <v>Villa Roma 2</v>
      </c>
      <c r="B64" s="25" t="str">
        <v>NY</v>
      </c>
      <c r="C64" s="28" t="str">
        <f>Sites[[#This Row],[SOL'#]]</f>
        <v>SOL-10915</v>
      </c>
      <c r="D64" s="20">
        <v>31007</v>
      </c>
      <c r="E64" s="10">
        <v>0</v>
      </c>
      <c r="F64" s="10">
        <f t="shared" si="0"/>
        <v>31007</v>
      </c>
      <c r="G64" s="11" t="str">
        <f t="shared" si="3"/>
        <v/>
      </c>
      <c r="H64" s="12">
        <v>100480.175</v>
      </c>
      <c r="I64" s="12">
        <f t="shared" si="1"/>
        <v>-69473.175000000003</v>
      </c>
      <c r="J64" s="13">
        <f t="shared" si="2"/>
        <v>-0.69141176356430512</v>
      </c>
      <c r="K64" s="37" t="s">
        <v>2690</v>
      </c>
      <c r="L64" s="37"/>
      <c r="M64" s="56"/>
    </row>
    <row r="65" spans="1:16" ht="28.9">
      <c r="A65" s="26" t="str">
        <v>Washington 1</v>
      </c>
      <c r="B65" s="27" t="str">
        <v>NY</v>
      </c>
      <c r="C65" s="26" t="str">
        <f>Sites[[#This Row],[SOL'#]]</f>
        <v>SOL-10912</v>
      </c>
      <c r="D65" s="9">
        <v>69990</v>
      </c>
      <c r="E65" s="14" t="s">
        <v>661</v>
      </c>
      <c r="F65" s="14" t="str">
        <f t="shared" si="0"/>
        <v/>
      </c>
      <c r="G65" s="15" t="str">
        <f t="shared" si="3"/>
        <v/>
      </c>
      <c r="H65" s="16">
        <v>96145.736000000004</v>
      </c>
      <c r="I65" s="16">
        <f t="shared" si="1"/>
        <v>-26155.736000000004</v>
      </c>
      <c r="J65" s="15">
        <f t="shared" si="2"/>
        <v>-0.2720425999963223</v>
      </c>
      <c r="K65" s="50" t="s">
        <v>2691</v>
      </c>
      <c r="L65" s="110" t="s">
        <v>2692</v>
      </c>
      <c r="M65" s="50" t="s">
        <v>2120</v>
      </c>
    </row>
    <row r="66" spans="1:16" ht="43.15">
      <c r="A66" s="24" t="str">
        <v>Washington 3</v>
      </c>
      <c r="B66" s="25" t="str">
        <v>NY</v>
      </c>
      <c r="C66" s="28" t="str">
        <f>Sites[[#This Row],[SOL'#]]</f>
        <v>SOL-10828</v>
      </c>
      <c r="D66" s="20">
        <v>2434</v>
      </c>
      <c r="E66" s="10" t="s">
        <v>661</v>
      </c>
      <c r="F66" s="10" t="str">
        <f t="shared" si="0"/>
        <v/>
      </c>
      <c r="G66" s="11" t="str">
        <f t="shared" si="3"/>
        <v/>
      </c>
      <c r="H66" s="12">
        <v>117626.821</v>
      </c>
      <c r="I66" s="12">
        <f t="shared" si="1"/>
        <v>-115192.821</v>
      </c>
      <c r="J66" s="13">
        <f t="shared" si="2"/>
        <v>-0.97930744043486473</v>
      </c>
      <c r="K66" s="37" t="s">
        <v>2693</v>
      </c>
      <c r="L66" s="109" t="s">
        <v>2694</v>
      </c>
      <c r="M66" s="56" t="s">
        <v>2695</v>
      </c>
    </row>
    <row r="67" spans="1:16" ht="28.9">
      <c r="A67" s="26" t="str">
        <v>Washington 4</v>
      </c>
      <c r="B67" s="27" t="str">
        <v>NY</v>
      </c>
      <c r="C67" s="26" t="str">
        <f>Sites[[#This Row],[SOL'#]]</f>
        <v>SOL-10829</v>
      </c>
      <c r="D67" s="9">
        <v>101502</v>
      </c>
      <c r="E67" s="14" t="s">
        <v>661</v>
      </c>
      <c r="F67" s="14" t="str">
        <f t="shared" si="0"/>
        <v/>
      </c>
      <c r="G67" s="15" t="str">
        <f t="shared" si="3"/>
        <v/>
      </c>
      <c r="H67" s="16">
        <v>118024.80100000001</v>
      </c>
      <c r="I67" s="16">
        <f t="shared" si="1"/>
        <v>-16522.801000000007</v>
      </c>
      <c r="J67" s="15">
        <f t="shared" si="2"/>
        <v>-0.13999431356804412</v>
      </c>
      <c r="K67" s="50" t="s">
        <v>2696</v>
      </c>
      <c r="L67" s="110" t="s">
        <v>2697</v>
      </c>
      <c r="M67" s="50" t="s">
        <v>2254</v>
      </c>
    </row>
    <row r="68" spans="1:16" ht="15.6">
      <c r="A68" s="24" t="str">
        <v>Big Tree</v>
      </c>
      <c r="B68" s="25" t="str">
        <v>NY</v>
      </c>
      <c r="C68" s="28" t="str">
        <f>Sites[[#This Row],[SOL'#]]</f>
        <v>SOL-10966</v>
      </c>
      <c r="D68" s="20">
        <v>48720</v>
      </c>
      <c r="E68" s="10">
        <v>48630</v>
      </c>
      <c r="F68" s="10">
        <f t="shared" si="0"/>
        <v>90</v>
      </c>
      <c r="G68" s="11">
        <f t="shared" si="3"/>
        <v>1.8507094386181369E-3</v>
      </c>
      <c r="H68" s="12">
        <v>106925.4</v>
      </c>
      <c r="I68" s="12">
        <f t="shared" si="1"/>
        <v>-58205.399999999994</v>
      </c>
      <c r="J68" s="13">
        <f t="shared" si="2"/>
        <v>-0.54435522336133413</v>
      </c>
      <c r="K68" s="37" t="s">
        <v>2698</v>
      </c>
      <c r="L68" s="37"/>
      <c r="M68" s="56"/>
    </row>
    <row r="69" spans="1:16" ht="15.6">
      <c r="A69" s="26" t="str">
        <v>Canoga</v>
      </c>
      <c r="B69" s="27" t="str">
        <v>NY</v>
      </c>
      <c r="C69" s="26" t="str">
        <f>Sites[[#This Row],[SOL'#]]</f>
        <v>SOL-10965</v>
      </c>
      <c r="D69" s="9">
        <v>315150</v>
      </c>
      <c r="E69" s="14" t="s">
        <v>661</v>
      </c>
      <c r="F69" s="14" t="str">
        <f t="shared" ref="F69:F133" si="4">IF(AND(ISNUMBER(D69),ISNUMBER(E69)), D69-E69, "")</f>
        <v/>
      </c>
      <c r="G69" s="15" t="str">
        <f t="shared" si="3"/>
        <v/>
      </c>
      <c r="H69" s="16">
        <v>299474.5</v>
      </c>
      <c r="I69" s="16">
        <f t="shared" ref="I69:I132" si="5">IF(AND(ISNUMBER(D69),ISNUMBER(H69)), D69-H69, "")</f>
        <v>15675.5</v>
      </c>
      <c r="J69" s="15">
        <f t="shared" ref="J69:J132" si="6">IFERROR(I69/H69, "")</f>
        <v>5.234335477645008E-2</v>
      </c>
      <c r="K69" s="50"/>
      <c r="L69" s="50"/>
      <c r="M69" s="50"/>
    </row>
    <row r="70" spans="1:16" ht="100.9">
      <c r="A70" s="24" t="str">
        <v>County Route 84</v>
      </c>
      <c r="B70" s="25" t="str">
        <v>NY</v>
      </c>
      <c r="C70" s="28" t="str">
        <f>Sites[[#This Row],[SOL'#]]</f>
        <v>SOL-10967</v>
      </c>
      <c r="D70" s="20">
        <v>198410</v>
      </c>
      <c r="E70" s="10">
        <v>196910</v>
      </c>
      <c r="F70" s="10">
        <f t="shared" si="4"/>
        <v>1500</v>
      </c>
      <c r="G70" s="11">
        <f t="shared" ref="G70:G133" si="7">IFERROR(F70/E70, "")</f>
        <v>7.6176933624498505E-3</v>
      </c>
      <c r="H70" s="12">
        <v>372286.228</v>
      </c>
      <c r="I70" s="12">
        <f t="shared" si="5"/>
        <v>-173876.228</v>
      </c>
      <c r="J70" s="13">
        <f t="shared" si="6"/>
        <v>-0.467049852835276</v>
      </c>
      <c r="K70" s="37" t="s">
        <v>2699</v>
      </c>
      <c r="L70" s="109" t="s">
        <v>2700</v>
      </c>
      <c r="M70" s="56" t="s">
        <v>2701</v>
      </c>
      <c r="N70" s="111" t="s">
        <v>2702</v>
      </c>
      <c r="O70" s="111" t="s">
        <v>2703</v>
      </c>
      <c r="P70" s="111" t="s">
        <v>2704</v>
      </c>
    </row>
    <row r="71" spans="1:16" ht="43.15">
      <c r="A71" s="26" t="str">
        <v>Donati</v>
      </c>
      <c r="B71" s="27" t="str">
        <v>NY</v>
      </c>
      <c r="C71" s="26" t="str">
        <f>Sites[[#This Row],[SOL'#]]</f>
        <v>SOL-10968</v>
      </c>
      <c r="D71" s="9">
        <v>82800</v>
      </c>
      <c r="E71" s="14">
        <v>79790</v>
      </c>
      <c r="F71" s="14">
        <f t="shared" si="4"/>
        <v>3010</v>
      </c>
      <c r="G71" s="15">
        <f t="shared" si="7"/>
        <v>3.7724025567113677E-2</v>
      </c>
      <c r="H71" s="16">
        <v>118905.747</v>
      </c>
      <c r="I71" s="16">
        <f t="shared" si="5"/>
        <v>-36105.747000000003</v>
      </c>
      <c r="J71" s="15">
        <f t="shared" si="6"/>
        <v>-0.30365014232659421</v>
      </c>
      <c r="K71" s="50" t="s">
        <v>2705</v>
      </c>
      <c r="L71" s="110" t="s">
        <v>2706</v>
      </c>
      <c r="M71" s="50" t="s">
        <v>2138</v>
      </c>
    </row>
    <row r="72" spans="1:16" ht="72">
      <c r="A72" s="24" t="str">
        <v>Henrietta</v>
      </c>
      <c r="B72" s="25" t="str">
        <v>NY</v>
      </c>
      <c r="C72" s="28" t="str">
        <f>Sites[[#This Row],[SOL'#]]</f>
        <v>SOL-10972</v>
      </c>
      <c r="D72" s="20">
        <v>130420</v>
      </c>
      <c r="E72" s="10">
        <v>127800</v>
      </c>
      <c r="F72" s="10">
        <f t="shared" si="4"/>
        <v>2620</v>
      </c>
      <c r="G72" s="11">
        <f t="shared" si="7"/>
        <v>2.0500782472613457E-2</v>
      </c>
      <c r="H72" s="12">
        <v>223611.997</v>
      </c>
      <c r="I72" s="12">
        <f t="shared" si="5"/>
        <v>-93191.997000000003</v>
      </c>
      <c r="J72" s="13">
        <f t="shared" si="6"/>
        <v>-0.41675759015738317</v>
      </c>
      <c r="K72" s="37" t="s">
        <v>2707</v>
      </c>
      <c r="L72" s="109" t="s">
        <v>2708</v>
      </c>
      <c r="M72" s="56" t="s">
        <v>2630</v>
      </c>
      <c r="N72" s="111" t="s">
        <v>2709</v>
      </c>
    </row>
    <row r="73" spans="1:16" ht="15.6">
      <c r="A73" s="26" t="str">
        <v>NY 70</v>
      </c>
      <c r="B73" s="27" t="str">
        <v>NY</v>
      </c>
      <c r="C73" s="26" t="str">
        <f>Sites[[#This Row],[SOL'#]]</f>
        <v>SOL-10970</v>
      </c>
      <c r="D73" s="9">
        <v>171540</v>
      </c>
      <c r="E73" s="14">
        <v>168440</v>
      </c>
      <c r="F73" s="14">
        <f t="shared" si="4"/>
        <v>3100</v>
      </c>
      <c r="G73" s="15">
        <f t="shared" si="7"/>
        <v>1.8404179529802896E-2</v>
      </c>
      <c r="H73" s="16">
        <v>352746.79700000002</v>
      </c>
      <c r="I73" s="16">
        <f t="shared" si="5"/>
        <v>-181206.79700000002</v>
      </c>
      <c r="J73" s="15">
        <f t="shared" si="6"/>
        <v>-0.51370217544455832</v>
      </c>
      <c r="K73" s="50" t="s">
        <v>2710</v>
      </c>
      <c r="L73" s="110" t="s">
        <v>2711</v>
      </c>
      <c r="M73" s="50" t="s">
        <v>2120</v>
      </c>
    </row>
    <row r="74" spans="1:16" ht="86.45">
      <c r="A74" s="24" t="str">
        <v>Reid</v>
      </c>
      <c r="B74" s="25" t="str">
        <v>NY</v>
      </c>
      <c r="C74" s="28" t="str">
        <f>Sites[[#This Row],[SOL'#]]</f>
        <v>SOL-10991</v>
      </c>
      <c r="D74" s="20">
        <v>112622.03117112099</v>
      </c>
      <c r="E74" s="10">
        <v>213407.4</v>
      </c>
      <c r="F74" s="10">
        <f t="shared" si="4"/>
        <v>-100785.368828879</v>
      </c>
      <c r="G74" s="11">
        <f t="shared" si="7"/>
        <v>-0.47226745102971596</v>
      </c>
      <c r="H74" s="12">
        <v>252368</v>
      </c>
      <c r="I74" s="12">
        <f t="shared" si="5"/>
        <v>-139745.96882887901</v>
      </c>
      <c r="J74" s="13">
        <f t="shared" si="6"/>
        <v>-0.55373886082577428</v>
      </c>
      <c r="K74" s="37" t="s">
        <v>2712</v>
      </c>
      <c r="L74" s="109" t="s">
        <v>2713</v>
      </c>
      <c r="M74" s="56" t="s">
        <v>2594</v>
      </c>
      <c r="N74" s="111" t="s">
        <v>2714</v>
      </c>
      <c r="O74" s="111" t="s">
        <v>2715</v>
      </c>
    </row>
    <row r="75" spans="1:16" ht="174" customHeight="1">
      <c r="A75" s="26" t="str">
        <v>Sangolqui</v>
      </c>
      <c r="B75" s="27" t="str">
        <v>NY</v>
      </c>
      <c r="C75" s="26" t="str">
        <f>Sites[[#This Row],[SOL'#]]</f>
        <v>SOL-10975</v>
      </c>
      <c r="D75" s="9">
        <v>87810</v>
      </c>
      <c r="E75" s="14">
        <v>85770</v>
      </c>
      <c r="F75" s="14">
        <f t="shared" si="4"/>
        <v>2040</v>
      </c>
      <c r="G75" s="15">
        <f t="shared" si="7"/>
        <v>2.378454004896817E-2</v>
      </c>
      <c r="H75" s="16">
        <v>115147.204</v>
      </c>
      <c r="I75" s="16">
        <f t="shared" si="5"/>
        <v>-27337.203999999998</v>
      </c>
      <c r="J75" s="15">
        <f t="shared" si="6"/>
        <v>-0.23741092315189866</v>
      </c>
      <c r="K75" s="50" t="s">
        <v>2716</v>
      </c>
      <c r="L75" s="110" t="s">
        <v>2717</v>
      </c>
      <c r="M75" s="50" t="s">
        <v>2637</v>
      </c>
    </row>
    <row r="76" spans="1:16" ht="28.9">
      <c r="A76" s="24" t="str">
        <v>State Highway 17B</v>
      </c>
      <c r="B76" s="25" t="str">
        <v>NY</v>
      </c>
      <c r="C76" s="28" t="str">
        <f>Sites[[#This Row],[SOL'#]]</f>
        <v>SOL-10988</v>
      </c>
      <c r="D76" s="54">
        <v>46330</v>
      </c>
      <c r="E76" s="10">
        <v>45770</v>
      </c>
      <c r="F76" s="10">
        <f t="shared" si="4"/>
        <v>560</v>
      </c>
      <c r="G76" s="11">
        <f t="shared" si="7"/>
        <v>1.22350884859078E-2</v>
      </c>
      <c r="H76" s="12">
        <v>318438</v>
      </c>
      <c r="I76" s="12">
        <f t="shared" si="5"/>
        <v>-272108</v>
      </c>
      <c r="J76" s="13">
        <f t="shared" si="6"/>
        <v>-0.85450856995710311</v>
      </c>
      <c r="K76" s="37" t="s">
        <v>2718</v>
      </c>
      <c r="L76" s="109" t="s">
        <v>2719</v>
      </c>
      <c r="M76" s="56" t="s">
        <v>2120</v>
      </c>
    </row>
    <row r="77" spans="1:16" ht="103.5" customHeight="1">
      <c r="A77" s="26" t="str">
        <v>State Route 14A</v>
      </c>
      <c r="B77" s="27" t="str">
        <v>NY</v>
      </c>
      <c r="C77" s="26" t="str">
        <f>Sites[[#This Row],[SOL'#]]</f>
        <v>SOL-10997</v>
      </c>
      <c r="D77" s="9">
        <v>0</v>
      </c>
      <c r="E77" s="14">
        <v>0</v>
      </c>
      <c r="F77" s="14">
        <f t="shared" si="4"/>
        <v>0</v>
      </c>
      <c r="G77" s="15" t="str">
        <f t="shared" si="7"/>
        <v/>
      </c>
      <c r="H77" s="16">
        <v>347688.04800000001</v>
      </c>
      <c r="I77" s="16">
        <f t="shared" si="5"/>
        <v>-347688.04800000001</v>
      </c>
      <c r="J77" s="15">
        <f t="shared" si="6"/>
        <v>-1</v>
      </c>
      <c r="K77" s="50" t="s">
        <v>1510</v>
      </c>
      <c r="L77" s="110" t="s">
        <v>2213</v>
      </c>
      <c r="M77" s="50" t="s">
        <v>2116</v>
      </c>
    </row>
    <row r="78" spans="1:16" ht="30.75">
      <c r="A78" s="24" t="str">
        <v>West Creek</v>
      </c>
      <c r="B78" s="25" t="str">
        <v>NY</v>
      </c>
      <c r="C78" s="28" t="str">
        <f>Sites[[#This Row],[SOL'#]]</f>
        <v>SOL-10995</v>
      </c>
      <c r="D78" s="20">
        <v>220610</v>
      </c>
      <c r="E78" s="10">
        <v>217930</v>
      </c>
      <c r="F78" s="10">
        <f t="shared" si="4"/>
        <v>2680</v>
      </c>
      <c r="G78" s="11">
        <f t="shared" si="7"/>
        <v>1.2297526728766118E-2</v>
      </c>
      <c r="H78" s="12">
        <v>299353.83899999998</v>
      </c>
      <c r="I78" s="12">
        <f t="shared" si="5"/>
        <v>-78743.838999999978</v>
      </c>
      <c r="J78" s="13">
        <f t="shared" si="6"/>
        <v>-0.26304603028658663</v>
      </c>
      <c r="K78" s="37" t="s">
        <v>2720</v>
      </c>
      <c r="L78" s="37"/>
      <c r="M78" s="56"/>
    </row>
    <row r="79" spans="1:16" ht="72">
      <c r="A79" s="26" t="str">
        <v>Wildflower</v>
      </c>
      <c r="B79" s="27" t="str">
        <v>NY</v>
      </c>
      <c r="C79" s="26" t="str">
        <f>Sites[[#This Row],[SOL'#]]</f>
        <v>SOL-10982</v>
      </c>
      <c r="D79" s="9">
        <v>280878</v>
      </c>
      <c r="E79" s="14">
        <v>0</v>
      </c>
      <c r="F79" s="14">
        <f t="shared" si="4"/>
        <v>280878</v>
      </c>
      <c r="G79" s="15" t="str">
        <f t="shared" si="7"/>
        <v/>
      </c>
      <c r="H79" s="16">
        <v>406181.2</v>
      </c>
      <c r="I79" s="16">
        <f t="shared" si="5"/>
        <v>-125303.20000000001</v>
      </c>
      <c r="J79" s="15">
        <f t="shared" si="6"/>
        <v>-0.30849089027261728</v>
      </c>
      <c r="K79" s="50" t="s">
        <v>2721</v>
      </c>
      <c r="L79" s="110" t="s">
        <v>2722</v>
      </c>
      <c r="M79" s="84" t="s">
        <v>2723</v>
      </c>
      <c r="N79" s="111" t="s">
        <v>2724</v>
      </c>
    </row>
    <row r="80" spans="1:16" ht="72">
      <c r="A80" s="24" t="str">
        <v>Glen Mary 1</v>
      </c>
      <c r="B80" s="25" t="str">
        <v>NY</v>
      </c>
      <c r="C80" s="28" t="str">
        <f>Sites[[#This Row],[SOL'#]]</f>
        <v>SOL-10993</v>
      </c>
      <c r="D80" s="20">
        <v>80100</v>
      </c>
      <c r="E80" s="10">
        <v>78870</v>
      </c>
      <c r="F80" s="10">
        <f t="shared" si="4"/>
        <v>1230</v>
      </c>
      <c r="G80" s="11">
        <f t="shared" si="7"/>
        <v>1.5595283377710156E-2</v>
      </c>
      <c r="H80" s="12">
        <v>382104.14799999999</v>
      </c>
      <c r="I80" s="12">
        <f t="shared" si="5"/>
        <v>-302004.14799999999</v>
      </c>
      <c r="J80" s="13">
        <f t="shared" si="6"/>
        <v>-0.79037128903400444</v>
      </c>
      <c r="K80" s="37" t="s">
        <v>2725</v>
      </c>
      <c r="L80" s="109" t="s">
        <v>2726</v>
      </c>
      <c r="M80" s="56" t="s">
        <v>2727</v>
      </c>
      <c r="N80" s="111" t="s">
        <v>2728</v>
      </c>
    </row>
    <row r="81" spans="1:15" ht="28.9">
      <c r="A81" s="26" t="str">
        <v>Glen Mary 2</v>
      </c>
      <c r="B81" s="27" t="str">
        <v>NY</v>
      </c>
      <c r="C81" s="26" t="str">
        <f>Sites[[#This Row],[SOL'#]]</f>
        <v>SOL-10994</v>
      </c>
      <c r="D81" s="9">
        <v>111020</v>
      </c>
      <c r="E81" s="14">
        <v>0</v>
      </c>
      <c r="F81" s="14">
        <f t="shared" si="4"/>
        <v>111020</v>
      </c>
      <c r="G81" s="15" t="str">
        <f t="shared" si="7"/>
        <v/>
      </c>
      <c r="H81" s="16">
        <v>156963.37</v>
      </c>
      <c r="I81" s="16">
        <f t="shared" si="5"/>
        <v>-45943.369999999995</v>
      </c>
      <c r="J81" s="15">
        <f t="shared" si="6"/>
        <v>-0.29270122067333287</v>
      </c>
      <c r="K81" s="185" t="s">
        <v>2729</v>
      </c>
      <c r="L81" s="99" t="s">
        <v>2010</v>
      </c>
      <c r="M81" s="103" t="s">
        <v>2481</v>
      </c>
    </row>
    <row r="82" spans="1:15" ht="39.75" customHeight="1">
      <c r="A82" s="24" t="str">
        <v>Telegraph 1</v>
      </c>
      <c r="B82" s="25" t="str">
        <v>NY</v>
      </c>
      <c r="C82" s="28" t="str">
        <f>Sites[[#This Row],[SOL'#]]</f>
        <v>SOL-11003</v>
      </c>
      <c r="D82" s="20">
        <v>132800</v>
      </c>
      <c r="E82" s="10" t="s">
        <v>661</v>
      </c>
      <c r="F82" s="10" t="str">
        <f t="shared" si="4"/>
        <v/>
      </c>
      <c r="G82" s="11" t="str">
        <f t="shared" si="7"/>
        <v/>
      </c>
      <c r="H82" s="12">
        <v>261356.56700000001</v>
      </c>
      <c r="I82" s="12">
        <f t="shared" si="5"/>
        <v>-128556.56700000001</v>
      </c>
      <c r="J82" s="13">
        <f t="shared" si="6"/>
        <v>-0.49188190859577674</v>
      </c>
      <c r="K82" s="37" t="s">
        <v>2730</v>
      </c>
      <c r="L82" s="109" t="s">
        <v>2731</v>
      </c>
      <c r="M82" s="56" t="s">
        <v>2197</v>
      </c>
    </row>
    <row r="83" spans="1:15" ht="28.9">
      <c r="A83" s="26" t="str">
        <v>Telegraph 2</v>
      </c>
      <c r="B83" s="27" t="str">
        <v>NY</v>
      </c>
      <c r="C83" s="26" t="str">
        <f>Sites[[#This Row],[SOL'#]]</f>
        <v>SOL-11004</v>
      </c>
      <c r="D83" s="9">
        <v>77090</v>
      </c>
      <c r="E83" s="14" t="s">
        <v>661</v>
      </c>
      <c r="F83" s="14" t="str">
        <f t="shared" si="4"/>
        <v/>
      </c>
      <c r="G83" s="15" t="str">
        <f t="shared" si="7"/>
        <v/>
      </c>
      <c r="H83" s="16">
        <v>135359.611</v>
      </c>
      <c r="I83" s="16">
        <f t="shared" si="5"/>
        <v>-58269.611000000004</v>
      </c>
      <c r="J83" s="15">
        <f t="shared" si="6"/>
        <v>-0.43048004179030924</v>
      </c>
      <c r="K83" s="50" t="s">
        <v>2730</v>
      </c>
      <c r="L83" s="99" t="s">
        <v>2732</v>
      </c>
      <c r="M83" s="96" t="s">
        <v>2197</v>
      </c>
    </row>
    <row r="84" spans="1:15" ht="15.6">
      <c r="A84" s="24" t="str">
        <v>Cafferty Hill</v>
      </c>
      <c r="B84" s="25" t="str">
        <v>NY</v>
      </c>
      <c r="C84" s="28" t="str">
        <f>Sites[[#This Row],[SOL'#]]</f>
        <v>SOL-10996</v>
      </c>
      <c r="D84" s="20">
        <v>263110</v>
      </c>
      <c r="E84" s="10">
        <v>265197.3</v>
      </c>
      <c r="F84" s="10">
        <f t="shared" si="4"/>
        <v>-2087.2999999999884</v>
      </c>
      <c r="G84" s="11">
        <f t="shared" si="7"/>
        <v>-7.8707437820822023E-3</v>
      </c>
      <c r="H84" s="12">
        <v>311672.71500000003</v>
      </c>
      <c r="I84" s="12">
        <f t="shared" si="5"/>
        <v>-48562.715000000026</v>
      </c>
      <c r="J84" s="13">
        <f t="shared" si="6"/>
        <v>-0.15581317408551473</v>
      </c>
      <c r="K84" s="37" t="s">
        <v>2733</v>
      </c>
      <c r="L84" s="37"/>
      <c r="M84" s="56"/>
    </row>
    <row r="85" spans="1:15" ht="57.6">
      <c r="A85" s="26" t="str">
        <v>Dunkleman</v>
      </c>
      <c r="B85" s="27" t="str">
        <v>NY</v>
      </c>
      <c r="C85" s="26" t="str">
        <f>Sites[[#This Row],[SOL'#]]</f>
        <v>SOL-11008</v>
      </c>
      <c r="D85" s="9">
        <v>187790</v>
      </c>
      <c r="E85" s="14">
        <v>186570</v>
      </c>
      <c r="F85" s="14">
        <f t="shared" si="4"/>
        <v>1220</v>
      </c>
      <c r="G85" s="15">
        <f t="shared" si="7"/>
        <v>6.5391006056707938E-3</v>
      </c>
      <c r="H85" s="16">
        <v>325269.03600000002</v>
      </c>
      <c r="I85" s="16">
        <f t="shared" si="5"/>
        <v>-137479.03600000002</v>
      </c>
      <c r="J85" s="15">
        <f t="shared" si="6"/>
        <v>-0.42266253711281637</v>
      </c>
      <c r="K85" s="50" t="s">
        <v>2734</v>
      </c>
      <c r="L85" s="110" t="s">
        <v>2735</v>
      </c>
      <c r="M85" s="84" t="s">
        <v>2667</v>
      </c>
      <c r="N85" s="111" t="s">
        <v>2736</v>
      </c>
    </row>
    <row r="86" spans="1:15" ht="47.25" customHeight="1">
      <c r="A86" s="24" t="str">
        <v>Route 19 1</v>
      </c>
      <c r="B86" s="25" t="str">
        <v>NY</v>
      </c>
      <c r="C86" s="28" t="str">
        <f>Sites[[#This Row],[SOL'#]]</f>
        <v>SOL-11001</v>
      </c>
      <c r="D86" s="20">
        <v>93868.4</v>
      </c>
      <c r="E86" s="10">
        <v>91529</v>
      </c>
      <c r="F86" s="10">
        <f t="shared" si="4"/>
        <v>2339.3999999999942</v>
      </c>
      <c r="G86" s="11">
        <f t="shared" si="7"/>
        <v>2.5559112412459374E-2</v>
      </c>
      <c r="H86" s="12">
        <v>131638.81</v>
      </c>
      <c r="I86" s="12">
        <f t="shared" si="5"/>
        <v>-37770.410000000003</v>
      </c>
      <c r="J86" s="13">
        <f t="shared" si="6"/>
        <v>-0.286924577941718</v>
      </c>
      <c r="K86" s="37" t="s">
        <v>2737</v>
      </c>
      <c r="L86" s="109" t="s">
        <v>2738</v>
      </c>
      <c r="M86" s="56" t="s">
        <v>2197</v>
      </c>
    </row>
    <row r="87" spans="1:15" ht="28.9">
      <c r="A87" s="26" t="str">
        <v>Route 19 2</v>
      </c>
      <c r="B87" s="27" t="str">
        <v>NY</v>
      </c>
      <c r="C87" s="26" t="str">
        <f>Sites[[#This Row],[SOL'#]]</f>
        <v>SOL-11002</v>
      </c>
      <c r="D87" s="9">
        <v>250180</v>
      </c>
      <c r="E87" s="14">
        <v>245580</v>
      </c>
      <c r="F87" s="14">
        <f t="shared" si="4"/>
        <v>4600</v>
      </c>
      <c r="G87" s="15">
        <f t="shared" si="7"/>
        <v>1.8731167033146021E-2</v>
      </c>
      <c r="H87" s="16">
        <v>356148.8</v>
      </c>
      <c r="I87" s="16">
        <f t="shared" si="5"/>
        <v>-105968.79999999999</v>
      </c>
      <c r="J87" s="15">
        <f t="shared" si="6"/>
        <v>-0.29754080316991099</v>
      </c>
      <c r="K87" s="50" t="s">
        <v>2737</v>
      </c>
      <c r="L87" s="99" t="s">
        <v>2739</v>
      </c>
      <c r="M87" s="96" t="s">
        <v>2197</v>
      </c>
    </row>
    <row r="88" spans="1:15" ht="43.15">
      <c r="A88" s="24" t="str">
        <v>Yellow Mills 1</v>
      </c>
      <c r="B88" s="25" t="str">
        <v>NY</v>
      </c>
      <c r="C88" s="28" t="str">
        <f>Sites[[#This Row],[SOL'#]]</f>
        <v>SOL-11006</v>
      </c>
      <c r="D88" s="20">
        <v>90578</v>
      </c>
      <c r="E88" s="10">
        <v>88314</v>
      </c>
      <c r="F88" s="10">
        <f t="shared" si="4"/>
        <v>2264</v>
      </c>
      <c r="G88" s="11">
        <f t="shared" si="7"/>
        <v>2.56357995334828E-2</v>
      </c>
      <c r="H88" s="12">
        <v>104452.889</v>
      </c>
      <c r="I88" s="12">
        <f t="shared" si="5"/>
        <v>-13874.888999999996</v>
      </c>
      <c r="J88" s="13">
        <f t="shared" si="6"/>
        <v>-0.13283394200805682</v>
      </c>
      <c r="K88" s="37" t="s">
        <v>2740</v>
      </c>
      <c r="L88" s="37"/>
      <c r="M88" s="56"/>
    </row>
    <row r="89" spans="1:15" ht="86.45">
      <c r="A89" s="26" t="str">
        <v>Yellow Mills 2</v>
      </c>
      <c r="B89" s="27" t="str">
        <v>NY</v>
      </c>
      <c r="C89" s="26" t="str">
        <f>Sites[[#This Row],[SOL'#]]</f>
        <v>SOL-11005</v>
      </c>
      <c r="D89" s="9">
        <v>91022</v>
      </c>
      <c r="E89" s="14">
        <v>0</v>
      </c>
      <c r="F89" s="14">
        <f t="shared" si="4"/>
        <v>91022</v>
      </c>
      <c r="G89" s="15" t="str">
        <f t="shared" si="7"/>
        <v/>
      </c>
      <c r="H89" s="16">
        <v>106574.69100000001</v>
      </c>
      <c r="I89" s="16">
        <f t="shared" si="5"/>
        <v>-15552.691000000006</v>
      </c>
      <c r="J89" s="15">
        <f t="shared" si="6"/>
        <v>-0.14593231145281957</v>
      </c>
      <c r="K89" s="50" t="s">
        <v>2741</v>
      </c>
      <c r="L89" s="110" t="s">
        <v>2742</v>
      </c>
      <c r="M89" s="50" t="s">
        <v>2743</v>
      </c>
    </row>
    <row r="90" spans="1:15" ht="43.15">
      <c r="A90" s="24" t="str">
        <v>Yellow Mills 3</v>
      </c>
      <c r="B90" s="25" t="str">
        <v>NY</v>
      </c>
      <c r="C90" s="28" t="str">
        <f>Sites[[#This Row],[SOL'#]]</f>
        <v>SOL-11007</v>
      </c>
      <c r="D90" s="20">
        <v>84202</v>
      </c>
      <c r="E90" s="10">
        <v>81846</v>
      </c>
      <c r="F90" s="10">
        <f t="shared" si="4"/>
        <v>2356</v>
      </c>
      <c r="G90" s="11">
        <f t="shared" si="7"/>
        <v>2.8785768394301494E-2</v>
      </c>
      <c r="H90" s="12">
        <v>95110.402000000002</v>
      </c>
      <c r="I90" s="12">
        <f t="shared" si="5"/>
        <v>-10908.402000000002</v>
      </c>
      <c r="J90" s="13">
        <f t="shared" si="6"/>
        <v>-0.11469199762187948</v>
      </c>
      <c r="K90" s="56" t="s">
        <v>2744</v>
      </c>
      <c r="L90" s="37"/>
      <c r="M90" s="56"/>
    </row>
    <row r="91" spans="1:15" ht="72">
      <c r="A91" s="26" t="str">
        <v>Catskill</v>
      </c>
      <c r="B91" s="27" t="str">
        <v>NY</v>
      </c>
      <c r="C91" s="26" t="str">
        <f>Sites[[#This Row],[SOL'#]]</f>
        <v>SOL-11021</v>
      </c>
      <c r="D91" s="9">
        <v>101674</v>
      </c>
      <c r="E91" s="14">
        <v>0</v>
      </c>
      <c r="F91" s="14">
        <f t="shared" si="4"/>
        <v>101674</v>
      </c>
      <c r="G91" s="15" t="str">
        <f t="shared" si="7"/>
        <v/>
      </c>
      <c r="H91" s="16">
        <v>233559.22399999999</v>
      </c>
      <c r="I91" s="16">
        <f t="shared" si="5"/>
        <v>-131885.22399999999</v>
      </c>
      <c r="J91" s="15">
        <f t="shared" si="6"/>
        <v>-0.56467572438928804</v>
      </c>
      <c r="K91" s="50" t="s">
        <v>2745</v>
      </c>
      <c r="L91" s="110" t="s">
        <v>2746</v>
      </c>
      <c r="M91" s="50" t="s">
        <v>2747</v>
      </c>
      <c r="N91" s="111" t="s">
        <v>2748</v>
      </c>
      <c r="O91" s="111" t="s">
        <v>2749</v>
      </c>
    </row>
    <row r="92" spans="1:15" ht="15.6">
      <c r="A92" s="24" t="str">
        <v>Eddy Ridge</v>
      </c>
      <c r="B92" s="25" t="str">
        <v>NY</v>
      </c>
      <c r="C92" s="28" t="str">
        <f>Sites[[#This Row],[SOL'#]]</f>
        <v>SOL-11054</v>
      </c>
      <c r="D92" s="20">
        <v>68949</v>
      </c>
      <c r="E92" s="10">
        <v>67138</v>
      </c>
      <c r="F92" s="10">
        <f t="shared" si="4"/>
        <v>1811</v>
      </c>
      <c r="G92" s="11">
        <f t="shared" si="7"/>
        <v>2.6974291757276059E-2</v>
      </c>
      <c r="H92" s="12">
        <v>150483.79999999999</v>
      </c>
      <c r="I92" s="12">
        <f t="shared" si="5"/>
        <v>-81534.799999999988</v>
      </c>
      <c r="J92" s="13">
        <f t="shared" si="6"/>
        <v>-0.54181779035351307</v>
      </c>
      <c r="K92" s="37" t="s">
        <v>1788</v>
      </c>
      <c r="L92" s="109" t="s">
        <v>2750</v>
      </c>
      <c r="M92" s="56" t="s">
        <v>2116</v>
      </c>
    </row>
    <row r="93" spans="1:15" ht="15.6">
      <c r="A93" s="26" t="str">
        <v>Ridgeway #1</v>
      </c>
      <c r="B93" s="27" t="str">
        <v>NY</v>
      </c>
      <c r="C93" s="26" t="str">
        <f>Sites[[#This Row],[SOL'#]]</f>
        <v>SOL-11018</v>
      </c>
      <c r="D93" s="9">
        <v>235338</v>
      </c>
      <c r="E93" s="14">
        <v>226458</v>
      </c>
      <c r="F93" s="14">
        <f t="shared" si="4"/>
        <v>8880</v>
      </c>
      <c r="G93" s="15">
        <f t="shared" si="7"/>
        <v>3.9212569218133167E-2</v>
      </c>
      <c r="H93" s="16">
        <v>336087.4</v>
      </c>
      <c r="I93" s="16">
        <f t="shared" si="5"/>
        <v>-100749.40000000002</v>
      </c>
      <c r="J93" s="15">
        <f t="shared" si="6"/>
        <v>-0.29977142850341909</v>
      </c>
      <c r="K93" s="50" t="s">
        <v>2751</v>
      </c>
      <c r="L93" s="51"/>
      <c r="M93" s="51"/>
    </row>
    <row r="94" spans="1:15" ht="28.9">
      <c r="A94" s="24" t="str">
        <v>Rivard 1</v>
      </c>
      <c r="B94" s="25" t="str">
        <v>NY</v>
      </c>
      <c r="C94" s="28" t="str">
        <f>Sites[[#This Row],[SOL'#]]</f>
        <v>SOL-11011</v>
      </c>
      <c r="D94" s="20">
        <v>157421.02487562399</v>
      </c>
      <c r="E94" s="10">
        <v>188934.39999999999</v>
      </c>
      <c r="F94" s="10">
        <f t="shared" si="4"/>
        <v>-31513.375124376005</v>
      </c>
      <c r="G94" s="11">
        <f t="shared" si="7"/>
        <v>-0.16679532750190545</v>
      </c>
      <c r="H94" s="12">
        <v>206921.8</v>
      </c>
      <c r="I94" s="12">
        <f t="shared" si="5"/>
        <v>-49500.775124375999</v>
      </c>
      <c r="J94" s="13">
        <f t="shared" si="6"/>
        <v>-0.23922455306485832</v>
      </c>
      <c r="K94" s="37" t="s">
        <v>2686</v>
      </c>
      <c r="L94" s="37"/>
      <c r="M94" s="56"/>
    </row>
    <row r="95" spans="1:15" ht="28.9">
      <c r="A95" s="26" t="str">
        <v>Rivard 2</v>
      </c>
      <c r="B95" s="27" t="str">
        <v>NY</v>
      </c>
      <c r="C95" s="26" t="str">
        <f>Sites[[#This Row],[SOL'#]]</f>
        <v>SOL-11012</v>
      </c>
      <c r="D95" s="9">
        <v>154141</v>
      </c>
      <c r="E95" s="14">
        <v>153304.29999999999</v>
      </c>
      <c r="F95" s="14">
        <f t="shared" si="4"/>
        <v>836.70000000001164</v>
      </c>
      <c r="G95" s="15">
        <f t="shared" si="7"/>
        <v>5.457772547802062E-3</v>
      </c>
      <c r="H95" s="16">
        <v>196083</v>
      </c>
      <c r="I95" s="16">
        <f t="shared" si="5"/>
        <v>-41942</v>
      </c>
      <c r="J95" s="15">
        <f t="shared" si="6"/>
        <v>-0.21389921614826374</v>
      </c>
      <c r="K95" s="50" t="s">
        <v>2686</v>
      </c>
      <c r="L95" s="50"/>
      <c r="M95" s="50"/>
    </row>
    <row r="96" spans="1:15" ht="28.9">
      <c r="A96" s="24" t="str">
        <v>Ridgeway #2</v>
      </c>
      <c r="B96" s="25" t="str">
        <v>NY</v>
      </c>
      <c r="C96" s="28" t="str">
        <f>Sites[[#This Row],[SOL'#]]</f>
        <v>SOL-11027</v>
      </c>
      <c r="D96" s="20">
        <v>112970</v>
      </c>
      <c r="E96" s="10">
        <v>109702</v>
      </c>
      <c r="F96" s="10">
        <f t="shared" si="4"/>
        <v>3268</v>
      </c>
      <c r="G96" s="11">
        <f t="shared" si="7"/>
        <v>2.9789794169659625E-2</v>
      </c>
      <c r="H96" s="12">
        <v>172285.7</v>
      </c>
      <c r="I96" s="12">
        <f t="shared" si="5"/>
        <v>-59315.700000000012</v>
      </c>
      <c r="J96" s="13">
        <f t="shared" si="6"/>
        <v>-0.34428684446822927</v>
      </c>
      <c r="K96" s="37" t="s">
        <v>2686</v>
      </c>
      <c r="L96" s="37"/>
      <c r="M96" s="56"/>
    </row>
    <row r="97" spans="1:19" ht="26.45">
      <c r="A97" s="26" t="str">
        <v>Spencer</v>
      </c>
      <c r="B97" s="27" t="str">
        <v>NY</v>
      </c>
      <c r="C97" s="26" t="str">
        <f>Sites[[#This Row],[SOL'#]]</f>
        <v>SOL-11017</v>
      </c>
      <c r="D97" s="9">
        <v>243391.4</v>
      </c>
      <c r="E97" s="14">
        <v>240258.3</v>
      </c>
      <c r="F97" s="14">
        <f t="shared" si="4"/>
        <v>3133.1000000000058</v>
      </c>
      <c r="G97" s="15">
        <f t="shared" si="7"/>
        <v>1.3040548443071502E-2</v>
      </c>
      <c r="H97" s="16">
        <v>348250</v>
      </c>
      <c r="I97" s="16">
        <f t="shared" si="5"/>
        <v>-104858.6</v>
      </c>
      <c r="J97" s="15">
        <f t="shared" si="6"/>
        <v>-0.30110150753768844</v>
      </c>
      <c r="K97" s="50" t="s">
        <v>2752</v>
      </c>
      <c r="L97" s="110" t="s">
        <v>2753</v>
      </c>
      <c r="M97" s="50" t="s">
        <v>2128</v>
      </c>
    </row>
    <row r="98" spans="1:19" ht="15.6">
      <c r="A98" s="24" t="str">
        <v>Reisender</v>
      </c>
      <c r="B98" s="25" t="str">
        <v>NY</v>
      </c>
      <c r="C98" s="28" t="str">
        <f>Sites[[#This Row],[SOL'#]]</f>
        <v>SOL-10886</v>
      </c>
      <c r="D98" s="20">
        <v>45230</v>
      </c>
      <c r="E98" s="10">
        <v>44910</v>
      </c>
      <c r="F98" s="10">
        <f t="shared" si="4"/>
        <v>320</v>
      </c>
      <c r="G98" s="11">
        <f t="shared" si="7"/>
        <v>7.1253618347806727E-3</v>
      </c>
      <c r="H98" s="12">
        <v>109708.33100000001</v>
      </c>
      <c r="I98" s="12">
        <f t="shared" si="5"/>
        <v>-64478.331000000006</v>
      </c>
      <c r="J98" s="13">
        <f t="shared" si="6"/>
        <v>-0.58772501971614177</v>
      </c>
      <c r="K98" s="37" t="s">
        <v>2754</v>
      </c>
      <c r="L98" s="37"/>
      <c r="M98" s="56"/>
    </row>
    <row r="99" spans="1:19" ht="43.15">
      <c r="A99" s="26" t="str">
        <v>Finney</v>
      </c>
      <c r="B99" s="27" t="str">
        <v>NY</v>
      </c>
      <c r="C99" s="26" t="str">
        <f>Sites[[#This Row],[SOL'#]]</f>
        <v>SOL-10999</v>
      </c>
      <c r="D99" s="9">
        <v>352320</v>
      </c>
      <c r="E99" s="14">
        <v>349830</v>
      </c>
      <c r="F99" s="14">
        <f t="shared" si="4"/>
        <v>2490</v>
      </c>
      <c r="G99" s="15">
        <f t="shared" si="7"/>
        <v>7.1177429036960813E-3</v>
      </c>
      <c r="H99" s="16">
        <v>310084.07500000001</v>
      </c>
      <c r="I99" s="16">
        <f t="shared" si="5"/>
        <v>42235.924999999988</v>
      </c>
      <c r="J99" s="15">
        <f t="shared" si="6"/>
        <v>0.13620797843294594</v>
      </c>
      <c r="K99" s="189" t="s">
        <v>2755</v>
      </c>
      <c r="L99" s="99" t="s">
        <v>2515</v>
      </c>
      <c r="M99" s="51" t="s">
        <v>2128</v>
      </c>
    </row>
    <row r="100" spans="1:19" ht="115.15">
      <c r="A100" s="24" t="str">
        <v>Davis Solar</v>
      </c>
      <c r="B100" s="25" t="str">
        <v>NY</v>
      </c>
      <c r="C100" s="190" t="str">
        <f>Sites[[#This Row],[SOL'#]]</f>
        <v>SOL-10958</v>
      </c>
      <c r="D100" s="20">
        <v>95166</v>
      </c>
      <c r="E100" s="10">
        <v>193916.5</v>
      </c>
      <c r="F100" s="10">
        <f t="shared" si="4"/>
        <v>-98750.5</v>
      </c>
      <c r="G100" s="11">
        <f t="shared" si="7"/>
        <v>-0.50924238009658795</v>
      </c>
      <c r="H100" s="12">
        <v>145289</v>
      </c>
      <c r="I100" s="12">
        <f t="shared" si="5"/>
        <v>-50123</v>
      </c>
      <c r="J100" s="13">
        <f t="shared" si="6"/>
        <v>-0.34498826476884004</v>
      </c>
      <c r="K100" s="37" t="s">
        <v>2756</v>
      </c>
      <c r="L100" s="109" t="s">
        <v>2757</v>
      </c>
      <c r="M100" s="56" t="s">
        <v>2758</v>
      </c>
      <c r="N100" s="111" t="s">
        <v>2759</v>
      </c>
    </row>
    <row r="101" spans="1:19" ht="178.5" customHeight="1">
      <c r="A101" s="26" t="str">
        <v>Genesee</v>
      </c>
      <c r="B101" s="27" t="str">
        <v>NY</v>
      </c>
      <c r="C101" s="26" t="str">
        <f>Sites[[#This Row],[SOL'#]]</f>
        <v>SOL-10951</v>
      </c>
      <c r="D101" s="9">
        <v>38403.1</v>
      </c>
      <c r="E101" s="14">
        <v>37622.9</v>
      </c>
      <c r="F101" s="14">
        <f t="shared" si="4"/>
        <v>780.19999999999709</v>
      </c>
      <c r="G101" s="15">
        <f t="shared" si="7"/>
        <v>2.0737370059192593E-2</v>
      </c>
      <c r="H101" s="16">
        <v>184500.573</v>
      </c>
      <c r="I101" s="16">
        <f t="shared" si="5"/>
        <v>-146097.473</v>
      </c>
      <c r="J101" s="15">
        <f t="shared" si="6"/>
        <v>-0.79185376296907217</v>
      </c>
      <c r="K101" s="50" t="s">
        <v>2760</v>
      </c>
      <c r="L101" s="99" t="s">
        <v>2761</v>
      </c>
      <c r="M101" s="51" t="s">
        <v>2762</v>
      </c>
      <c r="N101" s="111" t="s">
        <v>2763</v>
      </c>
      <c r="O101" s="111" t="s">
        <v>2764</v>
      </c>
      <c r="P101" s="111" t="s">
        <v>2765</v>
      </c>
      <c r="Q101" s="111" t="s">
        <v>2523</v>
      </c>
      <c r="R101" s="111" t="s">
        <v>2766</v>
      </c>
      <c r="S101" s="111" t="s">
        <v>2767</v>
      </c>
    </row>
    <row r="102" spans="1:19" ht="15.6">
      <c r="A102" s="24" t="str">
        <v>Landau I</v>
      </c>
      <c r="B102" s="25" t="str">
        <v>NY</v>
      </c>
      <c r="C102" s="28" t="str">
        <f>Sites[[#This Row],[SOL'#]]</f>
        <v>SOL-10891</v>
      </c>
      <c r="D102" s="20">
        <v>56160</v>
      </c>
      <c r="E102" s="10" t="s">
        <v>661</v>
      </c>
      <c r="F102" s="10" t="str">
        <f t="shared" si="4"/>
        <v/>
      </c>
      <c r="G102" s="11" t="str">
        <f t="shared" si="7"/>
        <v/>
      </c>
      <c r="H102" s="12">
        <v>157892.43</v>
      </c>
      <c r="I102" s="12">
        <f t="shared" si="5"/>
        <v>-101732.43</v>
      </c>
      <c r="J102" s="13">
        <f t="shared" si="6"/>
        <v>-0.64431480343927827</v>
      </c>
      <c r="K102" s="37" t="s">
        <v>2768</v>
      </c>
      <c r="L102" s="109" t="s">
        <v>2769</v>
      </c>
      <c r="M102" s="56" t="s">
        <v>2138</v>
      </c>
    </row>
    <row r="103" spans="1:19" ht="28.9">
      <c r="A103" s="26" t="str">
        <v>Landau II</v>
      </c>
      <c r="B103" s="27" t="str">
        <v>NY</v>
      </c>
      <c r="C103" s="26" t="str">
        <f>Sites[[#This Row],[SOL'#]]</f>
        <v>SOL-10895</v>
      </c>
      <c r="D103" s="9">
        <v>165430</v>
      </c>
      <c r="E103" s="14" t="s">
        <v>661</v>
      </c>
      <c r="F103" s="14" t="str">
        <f t="shared" si="4"/>
        <v/>
      </c>
      <c r="G103" s="15" t="str">
        <f t="shared" si="7"/>
        <v/>
      </c>
      <c r="H103" s="133" t="s">
        <v>661</v>
      </c>
      <c r="I103" s="16" t="str">
        <f t="shared" si="5"/>
        <v/>
      </c>
      <c r="J103" s="15" t="str">
        <f t="shared" si="6"/>
        <v/>
      </c>
      <c r="K103" s="50" t="s">
        <v>2770</v>
      </c>
      <c r="L103" s="99" t="s">
        <v>2771</v>
      </c>
      <c r="M103" s="51" t="s">
        <v>2128</v>
      </c>
    </row>
    <row r="104" spans="1:19" ht="15.6">
      <c r="A104" s="24" t="str">
        <v>New Beginnings</v>
      </c>
      <c r="B104" s="25" t="str">
        <v>NY</v>
      </c>
      <c r="C104" s="28" t="str">
        <f>Sites[[#This Row],[SOL'#]]</f>
        <v>SOL-10890</v>
      </c>
      <c r="D104" s="20">
        <v>93960</v>
      </c>
      <c r="E104" s="10">
        <v>93950</v>
      </c>
      <c r="F104" s="10">
        <f t="shared" si="4"/>
        <v>10</v>
      </c>
      <c r="G104" s="11">
        <f t="shared" si="7"/>
        <v>1.0643959552953698E-4</v>
      </c>
      <c r="H104" s="12">
        <v>167415.35800000001</v>
      </c>
      <c r="I104" s="12">
        <f t="shared" si="5"/>
        <v>-73455.358000000007</v>
      </c>
      <c r="J104" s="13">
        <f t="shared" si="6"/>
        <v>-0.43876116789715314</v>
      </c>
      <c r="K104" s="37" t="s">
        <v>2772</v>
      </c>
      <c r="L104" s="37"/>
      <c r="M104" s="56"/>
    </row>
    <row r="105" spans="1:19" ht="15.6">
      <c r="A105" s="26" t="str">
        <v>Bullitt Farm Solar, LLC</v>
      </c>
      <c r="B105" s="27" t="str">
        <v>NY</v>
      </c>
      <c r="C105" s="26" t="str">
        <f>Sites[[#This Row],[SOL'#]]</f>
        <v>SOL-10998</v>
      </c>
      <c r="D105" s="9">
        <v>182335</v>
      </c>
      <c r="E105" s="14">
        <v>293104.90000000002</v>
      </c>
      <c r="F105" s="14">
        <f t="shared" si="4"/>
        <v>-110769.90000000002</v>
      </c>
      <c r="G105" s="15">
        <f t="shared" si="7"/>
        <v>-0.37791896348372211</v>
      </c>
      <c r="H105" s="16">
        <v>277348.59999999998</v>
      </c>
      <c r="I105" s="16">
        <f t="shared" si="5"/>
        <v>-95013.599999999977</v>
      </c>
      <c r="J105" s="15">
        <f t="shared" si="6"/>
        <v>-0.34257825711036577</v>
      </c>
      <c r="K105" s="50" t="s">
        <v>2773</v>
      </c>
      <c r="L105" s="50"/>
      <c r="M105" s="50"/>
    </row>
    <row r="106" spans="1:19" ht="15.6">
      <c r="A106" s="24" t="str">
        <v>Brodhead Solar, LLC</v>
      </c>
      <c r="B106" s="25" t="str">
        <v>NY</v>
      </c>
      <c r="C106" s="28" t="str">
        <f>Sites[[#This Row],[SOL'#]]</f>
        <v>SOL-10899</v>
      </c>
      <c r="D106" s="20">
        <v>157506</v>
      </c>
      <c r="E106" s="10">
        <v>183916.4</v>
      </c>
      <c r="F106" s="10">
        <f t="shared" si="4"/>
        <v>-26410.399999999994</v>
      </c>
      <c r="G106" s="11">
        <f t="shared" si="7"/>
        <v>-0.14360002696877491</v>
      </c>
      <c r="H106" s="12">
        <v>179686.1</v>
      </c>
      <c r="I106" s="12">
        <f t="shared" si="5"/>
        <v>-22180.100000000006</v>
      </c>
      <c r="J106" s="13">
        <f t="shared" si="6"/>
        <v>-0.12343804000420737</v>
      </c>
      <c r="K106" s="37" t="s">
        <v>2774</v>
      </c>
      <c r="L106" s="37"/>
      <c r="M106" s="56"/>
    </row>
    <row r="107" spans="1:19" ht="72">
      <c r="A107" s="26" t="str">
        <v>Svenski</v>
      </c>
      <c r="B107" s="27" t="str">
        <v>NY</v>
      </c>
      <c r="C107" s="26" t="str">
        <f>Sites[[#This Row],[SOL'#]]</f>
        <v>SOL-10894</v>
      </c>
      <c r="D107" s="9">
        <v>84210</v>
      </c>
      <c r="E107" s="14" t="s">
        <v>661</v>
      </c>
      <c r="F107" s="14" t="str">
        <f t="shared" si="4"/>
        <v/>
      </c>
      <c r="G107" s="15" t="str">
        <f t="shared" si="7"/>
        <v/>
      </c>
      <c r="H107" s="16">
        <v>130508.78599999999</v>
      </c>
      <c r="I107" s="16">
        <f t="shared" si="5"/>
        <v>-46298.785999999993</v>
      </c>
      <c r="J107" s="15">
        <f t="shared" si="6"/>
        <v>-0.35475608515736246</v>
      </c>
      <c r="K107" s="50" t="s">
        <v>2775</v>
      </c>
      <c r="L107" s="99" t="s">
        <v>2776</v>
      </c>
      <c r="M107" s="51" t="s">
        <v>2128</v>
      </c>
    </row>
    <row r="108" spans="1:19" ht="100.9">
      <c r="A108" s="24" t="str">
        <v>Bantam</v>
      </c>
      <c r="B108" s="25" t="str">
        <v>NY</v>
      </c>
      <c r="C108" s="28" t="str">
        <f>Sites[[#This Row],[SOL'#]]</f>
        <v>SOL-10986</v>
      </c>
      <c r="D108" s="20">
        <v>121510</v>
      </c>
      <c r="E108" s="10">
        <v>173910</v>
      </c>
      <c r="F108" s="10">
        <f t="shared" si="4"/>
        <v>-52400</v>
      </c>
      <c r="G108" s="11">
        <f t="shared" si="7"/>
        <v>-0.30130527284227476</v>
      </c>
      <c r="H108" s="12">
        <v>290202.00799999997</v>
      </c>
      <c r="I108" s="12">
        <f t="shared" si="5"/>
        <v>-168692.00799999997</v>
      </c>
      <c r="J108" s="13">
        <f t="shared" si="6"/>
        <v>-0.58129166356423001</v>
      </c>
      <c r="K108" s="37" t="s">
        <v>2777</v>
      </c>
      <c r="L108" s="109" t="s">
        <v>2778</v>
      </c>
      <c r="M108" s="56" t="s">
        <v>2779</v>
      </c>
      <c r="N108" s="111" t="s">
        <v>2270</v>
      </c>
      <c r="O108" s="111" t="s">
        <v>2780</v>
      </c>
    </row>
    <row r="109" spans="1:19" ht="28.9">
      <c r="A109" s="26" t="str">
        <v>Bogart</v>
      </c>
      <c r="B109" s="27" t="str">
        <v>NY</v>
      </c>
      <c r="C109" s="26" t="str">
        <f>Sites[[#This Row],[SOL'#]]</f>
        <v>SOL-10887</v>
      </c>
      <c r="D109" s="9">
        <v>97510</v>
      </c>
      <c r="E109" s="14">
        <v>95740</v>
      </c>
      <c r="F109" s="14">
        <f t="shared" si="4"/>
        <v>1770</v>
      </c>
      <c r="G109" s="15">
        <f t="shared" si="7"/>
        <v>1.8487570503446835E-2</v>
      </c>
      <c r="H109" s="16">
        <v>134640.576</v>
      </c>
      <c r="I109" s="16">
        <f t="shared" si="5"/>
        <v>-37130.576000000001</v>
      </c>
      <c r="J109" s="15">
        <f t="shared" si="6"/>
        <v>-0.27577552847070413</v>
      </c>
      <c r="K109" s="50" t="s">
        <v>2781</v>
      </c>
      <c r="L109" s="51"/>
      <c r="M109" s="51"/>
    </row>
    <row r="110" spans="1:19" ht="28.9">
      <c r="A110" s="24" t="str">
        <v>Dubois</v>
      </c>
      <c r="B110" s="25" t="str">
        <v>NY</v>
      </c>
      <c r="C110" s="28" t="str">
        <f>Sites[[#This Row],[SOL'#]]</f>
        <v>SOL-10892</v>
      </c>
      <c r="D110" s="20">
        <v>480</v>
      </c>
      <c r="E110" s="10">
        <v>384.5</v>
      </c>
      <c r="F110" s="10">
        <f t="shared" si="4"/>
        <v>95.5</v>
      </c>
      <c r="G110" s="11">
        <f t="shared" si="7"/>
        <v>0.24837451235370611</v>
      </c>
      <c r="H110" s="12">
        <v>0</v>
      </c>
      <c r="I110" s="12">
        <f t="shared" si="5"/>
        <v>480</v>
      </c>
      <c r="J110" s="13" t="str">
        <f t="shared" si="6"/>
        <v/>
      </c>
      <c r="K110" s="37" t="s">
        <v>2782</v>
      </c>
      <c r="L110" s="109" t="s">
        <v>2783</v>
      </c>
      <c r="M110" s="56" t="s">
        <v>2784</v>
      </c>
    </row>
    <row r="111" spans="1:19" ht="15.6">
      <c r="A111" s="26" t="str">
        <v>Salt Point</v>
      </c>
      <c r="B111" s="27" t="str">
        <v>NY</v>
      </c>
      <c r="C111" s="26" t="str">
        <f>Sites[[#This Row],[SOL'#]]</f>
        <v>SOL-10888</v>
      </c>
      <c r="D111" s="9">
        <v>117970</v>
      </c>
      <c r="E111" s="14">
        <v>117970</v>
      </c>
      <c r="F111" s="14">
        <f t="shared" si="4"/>
        <v>0</v>
      </c>
      <c r="G111" s="15">
        <f t="shared" si="7"/>
        <v>0</v>
      </c>
      <c r="H111" s="16">
        <v>120639.81200000001</v>
      </c>
      <c r="I111" s="16">
        <f t="shared" si="5"/>
        <v>-2669.8120000000054</v>
      </c>
      <c r="J111" s="15">
        <f t="shared" si="6"/>
        <v>-2.2130438996373812E-2</v>
      </c>
      <c r="K111" s="50"/>
      <c r="L111" s="50"/>
      <c r="M111" s="50"/>
    </row>
    <row r="112" spans="1:19" ht="43.15">
      <c r="A112" s="24" t="str">
        <v>Wheatland 2A</v>
      </c>
      <c r="B112" s="25" t="str">
        <v>NY</v>
      </c>
      <c r="C112" s="28" t="str">
        <f>Sites[[#This Row],[SOL'#]]</f>
        <v>SOL-10971</v>
      </c>
      <c r="D112" s="20">
        <v>187690</v>
      </c>
      <c r="E112" s="10">
        <v>186040</v>
      </c>
      <c r="F112" s="10">
        <f t="shared" si="4"/>
        <v>1650</v>
      </c>
      <c r="G112" s="11">
        <f t="shared" si="7"/>
        <v>8.8690604171145996E-3</v>
      </c>
      <c r="H112" s="12">
        <v>221839.97399999999</v>
      </c>
      <c r="I112" s="12">
        <f t="shared" si="5"/>
        <v>-34149.973999999987</v>
      </c>
      <c r="J112" s="13">
        <f t="shared" si="6"/>
        <v>-0.15393967725582219</v>
      </c>
      <c r="K112" s="37" t="s">
        <v>2541</v>
      </c>
      <c r="L112" s="109" t="s">
        <v>2785</v>
      </c>
      <c r="M112" s="56" t="s">
        <v>2116</v>
      </c>
    </row>
    <row r="113" spans="1:15" ht="57.6">
      <c r="A113" s="26" t="str">
        <v>Wheatland 2B</v>
      </c>
      <c r="B113" s="27" t="str">
        <v>NY</v>
      </c>
      <c r="C113" s="26" t="str">
        <f>Sites[[#This Row],[SOL'#]]</f>
        <v>SOL-10961</v>
      </c>
      <c r="D113" s="9">
        <v>194200</v>
      </c>
      <c r="E113" s="14">
        <v>0</v>
      </c>
      <c r="F113" s="14">
        <f t="shared" si="4"/>
        <v>194200</v>
      </c>
      <c r="G113" s="15" t="str">
        <f t="shared" si="7"/>
        <v/>
      </c>
      <c r="H113" s="16">
        <v>218721.80499999999</v>
      </c>
      <c r="I113" s="16">
        <f t="shared" si="5"/>
        <v>-24521.804999999993</v>
      </c>
      <c r="J113" s="15">
        <f t="shared" si="6"/>
        <v>-0.11211413055044966</v>
      </c>
      <c r="K113" s="50" t="s">
        <v>2786</v>
      </c>
      <c r="L113" s="110" t="s">
        <v>2787</v>
      </c>
      <c r="M113" s="50" t="s">
        <v>2788</v>
      </c>
      <c r="N113" s="111" t="s">
        <v>2789</v>
      </c>
      <c r="O113" s="111" t="s">
        <v>2546</v>
      </c>
    </row>
    <row r="114" spans="1:15" ht="99" customHeight="1">
      <c r="A114" s="24" t="str">
        <v>Brickchurch</v>
      </c>
      <c r="B114" s="25" t="str">
        <v>NY</v>
      </c>
      <c r="C114" s="28" t="str">
        <f>Sites[[#This Row],[SOL'#]]</f>
        <v>SOL-10889</v>
      </c>
      <c r="D114" s="20">
        <v>42520</v>
      </c>
      <c r="E114" s="10">
        <v>44110</v>
      </c>
      <c r="F114" s="10">
        <f t="shared" si="4"/>
        <v>-1590</v>
      </c>
      <c r="G114" s="11">
        <f t="shared" si="7"/>
        <v>-3.6046248016322828E-2</v>
      </c>
      <c r="H114" s="12">
        <v>67734.372000000003</v>
      </c>
      <c r="I114" s="12">
        <f t="shared" si="5"/>
        <v>-25214.372000000003</v>
      </c>
      <c r="J114" s="13">
        <f t="shared" si="6"/>
        <v>-0.37225372075495144</v>
      </c>
      <c r="K114" s="37" t="s">
        <v>2790</v>
      </c>
      <c r="L114" s="109" t="s">
        <v>2791</v>
      </c>
      <c r="M114" s="56" t="s">
        <v>2792</v>
      </c>
      <c r="N114" s="111" t="s">
        <v>2793</v>
      </c>
      <c r="O114" s="111" t="s">
        <v>2283</v>
      </c>
    </row>
    <row r="115" spans="1:15" ht="26.45">
      <c r="A115" s="26" t="str">
        <v>McCarthy Solar</v>
      </c>
      <c r="B115" s="27" t="str">
        <v>NY</v>
      </c>
      <c r="C115" s="26" t="str">
        <f>Sites[[#This Row],[SOL'#]]</f>
        <v>SOL-10992</v>
      </c>
      <c r="D115" s="9">
        <v>148710</v>
      </c>
      <c r="E115" s="14">
        <v>0</v>
      </c>
      <c r="F115" s="14">
        <f t="shared" si="4"/>
        <v>148710</v>
      </c>
      <c r="G115" s="15" t="str">
        <f t="shared" si="7"/>
        <v/>
      </c>
      <c r="H115" s="16">
        <v>166526.9</v>
      </c>
      <c r="I115" s="16">
        <f t="shared" si="5"/>
        <v>-17816.899999999994</v>
      </c>
      <c r="J115" s="15">
        <f t="shared" si="6"/>
        <v>-0.10699112275554276</v>
      </c>
      <c r="K115" s="50" t="s">
        <v>2794</v>
      </c>
      <c r="L115" s="110" t="s">
        <v>2795</v>
      </c>
      <c r="M115" s="50" t="s">
        <v>2481</v>
      </c>
    </row>
    <row r="116" spans="1:15" ht="81.75" customHeight="1">
      <c r="A116" s="24" t="str">
        <v>Costanza</v>
      </c>
      <c r="B116" s="25" t="str">
        <v>NY</v>
      </c>
      <c r="C116" s="28" t="str">
        <f>Sites[[#This Row],[SOL'#]]</f>
        <v>SOL-10907</v>
      </c>
      <c r="D116" s="20">
        <v>75900</v>
      </c>
      <c r="E116" s="10">
        <v>75926.5</v>
      </c>
      <c r="F116" s="10">
        <f t="shared" si="4"/>
        <v>-26.5</v>
      </c>
      <c r="G116" s="11">
        <f t="shared" si="7"/>
        <v>-3.4902175129895358E-4</v>
      </c>
      <c r="H116" s="12">
        <v>127106.447</v>
      </c>
      <c r="I116" s="12">
        <f t="shared" si="5"/>
        <v>-51206.447</v>
      </c>
      <c r="J116" s="13">
        <f t="shared" si="6"/>
        <v>-0.4028627045172618</v>
      </c>
      <c r="K116" s="37" t="s">
        <v>2796</v>
      </c>
      <c r="L116" s="109" t="s">
        <v>2797</v>
      </c>
      <c r="M116" s="56" t="s">
        <v>2798</v>
      </c>
      <c r="N116" s="111" t="s">
        <v>2799</v>
      </c>
    </row>
    <row r="117" spans="1:15" ht="15.6">
      <c r="A117" s="26" t="str">
        <v>Lockenhurst Pond</v>
      </c>
      <c r="B117" s="27" t="str">
        <v>NY</v>
      </c>
      <c r="C117" s="26" t="str">
        <f>Sites[[#This Row],[SOL'#]]</f>
        <v>SOL-11000</v>
      </c>
      <c r="D117" s="9">
        <v>141612</v>
      </c>
      <c r="E117" s="14">
        <v>168989.2</v>
      </c>
      <c r="F117" s="14">
        <f t="shared" si="4"/>
        <v>-27377.200000000012</v>
      </c>
      <c r="G117" s="15">
        <f t="shared" si="7"/>
        <v>-0.16200561929401411</v>
      </c>
      <c r="H117" s="16">
        <v>128868</v>
      </c>
      <c r="I117" s="16">
        <f t="shared" si="5"/>
        <v>12744</v>
      </c>
      <c r="J117" s="15">
        <f t="shared" si="6"/>
        <v>9.8891889375174596E-2</v>
      </c>
      <c r="K117" s="50" t="s">
        <v>2800</v>
      </c>
      <c r="L117" s="50"/>
      <c r="M117" s="50"/>
    </row>
    <row r="118" spans="1:15" ht="15.6">
      <c r="A118" s="24" t="str">
        <v>Drinkwater</v>
      </c>
      <c r="B118" s="25" t="str">
        <v>NY</v>
      </c>
      <c r="C118" s="28" t="str">
        <f>Sites[[#This Row],[SOL'#]]</f>
        <v>SOL-10896</v>
      </c>
      <c r="D118" s="20">
        <v>81840</v>
      </c>
      <c r="E118" s="10">
        <v>78980</v>
      </c>
      <c r="F118" s="10">
        <f t="shared" si="4"/>
        <v>2860</v>
      </c>
      <c r="G118" s="11">
        <f t="shared" si="7"/>
        <v>3.6211699164345405E-2</v>
      </c>
      <c r="H118" s="12">
        <v>128946.605</v>
      </c>
      <c r="I118" s="12">
        <f t="shared" si="5"/>
        <v>-47106.604999999996</v>
      </c>
      <c r="J118" s="13">
        <f t="shared" si="6"/>
        <v>-0.36531869140719136</v>
      </c>
      <c r="K118" s="37" t="s">
        <v>2801</v>
      </c>
      <c r="L118" s="37"/>
      <c r="M118" s="56"/>
    </row>
    <row r="119" spans="1:15" ht="28.9">
      <c r="A119" s="26" t="str">
        <v>Altamont</v>
      </c>
      <c r="B119" s="27" t="str">
        <v>NY</v>
      </c>
      <c r="C119" s="26" t="str">
        <f>Sites[[#This Row],[SOL'#]]</f>
        <v>SOL-11085</v>
      </c>
      <c r="D119" s="9">
        <v>30296</v>
      </c>
      <c r="E119" s="14">
        <v>64866.6</v>
      </c>
      <c r="F119" s="14">
        <f t="shared" si="4"/>
        <v>-34570.6</v>
      </c>
      <c r="G119" s="15">
        <f t="shared" si="7"/>
        <v>-0.53294916027662931</v>
      </c>
      <c r="H119" s="16">
        <v>273615.09999999998</v>
      </c>
      <c r="I119" s="16">
        <f t="shared" si="5"/>
        <v>-243319.09999999998</v>
      </c>
      <c r="J119" s="15">
        <f t="shared" si="6"/>
        <v>-0.88927511676073434</v>
      </c>
      <c r="K119" s="50" t="s">
        <v>2802</v>
      </c>
      <c r="L119" s="110" t="s">
        <v>2803</v>
      </c>
      <c r="M119" s="84" t="s">
        <v>2116</v>
      </c>
    </row>
    <row r="120" spans="1:15" ht="15.6">
      <c r="A120" s="24" t="str">
        <v>Krumkill North</v>
      </c>
      <c r="B120" s="25" t="str">
        <v>NY</v>
      </c>
      <c r="C120" s="28" t="str">
        <f>Sites[[#This Row],[SOL'#]]</f>
        <v>SOL-11086</v>
      </c>
      <c r="D120" s="20">
        <v>163209</v>
      </c>
      <c r="E120" s="10">
        <v>256168.9</v>
      </c>
      <c r="F120" s="10">
        <f t="shared" si="4"/>
        <v>-92959.9</v>
      </c>
      <c r="G120" s="11">
        <f t="shared" si="7"/>
        <v>-0.36288519020068399</v>
      </c>
      <c r="H120" s="12">
        <v>383916.3</v>
      </c>
      <c r="I120" s="12">
        <f t="shared" si="5"/>
        <v>-220707.3</v>
      </c>
      <c r="J120" s="13">
        <f t="shared" si="6"/>
        <v>-0.57488390047518168</v>
      </c>
      <c r="K120" s="37" t="s">
        <v>2065</v>
      </c>
      <c r="L120" s="37"/>
      <c r="M120" s="56"/>
    </row>
    <row r="121" spans="1:15" ht="15.6">
      <c r="A121" s="26" t="str">
        <v>Krumkill South</v>
      </c>
      <c r="B121" s="27" t="str">
        <v>NY</v>
      </c>
      <c r="C121" s="26" t="str">
        <f>Sites[[#This Row],[SOL'#]]</f>
        <v>SOL-11087</v>
      </c>
      <c r="D121" s="9">
        <v>106985</v>
      </c>
      <c r="E121" s="14">
        <v>265875</v>
      </c>
      <c r="F121" s="14">
        <f t="shared" si="4"/>
        <v>-158890</v>
      </c>
      <c r="G121" s="15">
        <f t="shared" si="7"/>
        <v>-0.59761165961448048</v>
      </c>
      <c r="H121" s="16">
        <v>300979.40000000002</v>
      </c>
      <c r="I121" s="16">
        <f t="shared" si="5"/>
        <v>-193994.40000000002</v>
      </c>
      <c r="J121" s="15">
        <f t="shared" si="6"/>
        <v>-0.64454377940815888</v>
      </c>
      <c r="K121" s="50" t="s">
        <v>2804</v>
      </c>
      <c r="L121" s="110" t="s">
        <v>2805</v>
      </c>
      <c r="M121" s="50" t="s">
        <v>2116</v>
      </c>
    </row>
    <row r="122" spans="1:15" ht="15.6">
      <c r="A122" s="24" t="str">
        <v>X092</v>
      </c>
      <c r="B122" s="25" t="str">
        <v>NY</v>
      </c>
      <c r="C122" s="28" t="str">
        <f>Sites[[#This Row],[SOL'#]]</f>
        <v>SOL-11189</v>
      </c>
      <c r="D122" s="20">
        <v>4696.8999999999896</v>
      </c>
      <c r="E122" s="10">
        <v>5921.0839999999998</v>
      </c>
      <c r="F122" s="10">
        <f t="shared" si="4"/>
        <v>-1224.1840000000102</v>
      </c>
      <c r="G122" s="11">
        <f t="shared" si="7"/>
        <v>-0.20674998024010641</v>
      </c>
      <c r="H122" s="12">
        <v>6635</v>
      </c>
      <c r="I122" s="12">
        <f t="shared" si="5"/>
        <v>-1938.1000000000104</v>
      </c>
      <c r="J122" s="13">
        <f t="shared" si="6"/>
        <v>-0.29210248681236028</v>
      </c>
      <c r="K122" s="37" t="s">
        <v>2573</v>
      </c>
      <c r="L122" s="37"/>
      <c r="M122" s="56"/>
    </row>
    <row r="123" spans="1:15" ht="28.9">
      <c r="A123" s="26" t="str">
        <v>X093</v>
      </c>
      <c r="B123" s="27" t="str">
        <v>NY</v>
      </c>
      <c r="C123" s="26" t="str">
        <f>Sites[[#This Row],[SOL'#]]</f>
        <v>SOL-10932</v>
      </c>
      <c r="D123" s="9">
        <v>3329.7421875</v>
      </c>
      <c r="E123" s="14">
        <v>4282.9399999999996</v>
      </c>
      <c r="F123" s="14">
        <f t="shared" si="4"/>
        <v>-953.1978124999996</v>
      </c>
      <c r="G123" s="15">
        <f t="shared" si="7"/>
        <v>-0.22255689141104001</v>
      </c>
      <c r="H123" s="16">
        <v>3954</v>
      </c>
      <c r="I123" s="16">
        <f t="shared" si="5"/>
        <v>-624.2578125</v>
      </c>
      <c r="J123" s="15">
        <f t="shared" si="6"/>
        <v>-0.15788007397572079</v>
      </c>
      <c r="K123" s="50" t="s">
        <v>2806</v>
      </c>
      <c r="L123" s="110" t="s">
        <v>2807</v>
      </c>
      <c r="M123" s="50" t="s">
        <v>2526</v>
      </c>
    </row>
    <row r="124" spans="1:15" ht="15.6">
      <c r="A124" s="24" t="str">
        <v>X095</v>
      </c>
      <c r="B124" s="25" t="str">
        <v>NY</v>
      </c>
      <c r="C124" s="28" t="str">
        <f>Sites[[#This Row],[SOL'#]]</f>
        <v>SOL-10929</v>
      </c>
      <c r="D124" s="20">
        <v>4273.546875</v>
      </c>
      <c r="E124" s="10">
        <v>8699.8490000000002</v>
      </c>
      <c r="F124" s="10">
        <f t="shared" si="4"/>
        <v>-4426.3021250000002</v>
      </c>
      <c r="G124" s="11">
        <f t="shared" si="7"/>
        <v>-0.5087791897307643</v>
      </c>
      <c r="H124" s="12">
        <v>5832</v>
      </c>
      <c r="I124" s="12">
        <f t="shared" si="5"/>
        <v>-1558.453125</v>
      </c>
      <c r="J124" s="13">
        <f t="shared" si="6"/>
        <v>-0.26722447273662553</v>
      </c>
      <c r="K124" s="37" t="s">
        <v>2808</v>
      </c>
      <c r="L124" s="109" t="s">
        <v>2809</v>
      </c>
      <c r="M124" s="56" t="s">
        <v>2526</v>
      </c>
    </row>
    <row r="125" spans="1:15" ht="15.6">
      <c r="A125" s="26" t="str">
        <v>X181</v>
      </c>
      <c r="B125" s="27" t="str">
        <v>NY</v>
      </c>
      <c r="C125" s="26" t="str">
        <f>Sites[[#This Row],[SOL'#]]</f>
        <v>SOL-10428</v>
      </c>
      <c r="D125" s="9">
        <v>8965.09375</v>
      </c>
      <c r="E125" s="14">
        <v>11252.82</v>
      </c>
      <c r="F125" s="14">
        <f t="shared" si="4"/>
        <v>-2287.7262499999997</v>
      </c>
      <c r="G125" s="15">
        <f t="shared" si="7"/>
        <v>-0.2033024832886334</v>
      </c>
      <c r="H125" s="16">
        <v>9717</v>
      </c>
      <c r="I125" s="16">
        <f t="shared" si="5"/>
        <v>-751.90625</v>
      </c>
      <c r="J125" s="15">
        <f t="shared" si="6"/>
        <v>-7.7380492950499119E-2</v>
      </c>
      <c r="K125" s="50" t="s">
        <v>2810</v>
      </c>
      <c r="L125" s="50"/>
      <c r="M125" s="50"/>
    </row>
    <row r="126" spans="1:15" ht="15.6">
      <c r="A126" s="24" t="str">
        <v>X415</v>
      </c>
      <c r="B126" s="25" t="str">
        <v>NY</v>
      </c>
      <c r="C126" s="28" t="str">
        <f>Sites[[#This Row],[SOL'#]]</f>
        <v>SOL-10429</v>
      </c>
      <c r="D126" s="20">
        <v>5558.3125</v>
      </c>
      <c r="E126" s="10">
        <v>6071.741</v>
      </c>
      <c r="F126" s="10">
        <f t="shared" si="4"/>
        <v>-513.42849999999999</v>
      </c>
      <c r="G126" s="11">
        <f t="shared" si="7"/>
        <v>-8.4560342741892308E-2</v>
      </c>
      <c r="H126" s="12">
        <v>5186</v>
      </c>
      <c r="I126" s="12">
        <f t="shared" si="5"/>
        <v>372.3125</v>
      </c>
      <c r="J126" s="13">
        <f t="shared" si="6"/>
        <v>7.1791843424604707E-2</v>
      </c>
      <c r="K126" s="37"/>
      <c r="L126" s="37"/>
      <c r="M126" s="56"/>
    </row>
    <row r="127" spans="1:15" ht="15.6">
      <c r="A127" s="26" t="str">
        <v>K198</v>
      </c>
      <c r="B127" s="27" t="str">
        <v>NY</v>
      </c>
      <c r="C127" s="26" t="str">
        <f>Sites[[#This Row],[SOL'#]]</f>
        <v>SOL-10930</v>
      </c>
      <c r="D127" s="9">
        <v>4270.296875</v>
      </c>
      <c r="E127" s="14">
        <v>5982.4139999999998</v>
      </c>
      <c r="F127" s="14">
        <f t="shared" si="4"/>
        <v>-1712.1171249999998</v>
      </c>
      <c r="G127" s="15">
        <f t="shared" si="7"/>
        <v>-0.28619168198656925</v>
      </c>
      <c r="H127" s="16">
        <v>4992</v>
      </c>
      <c r="I127" s="16">
        <f t="shared" si="5"/>
        <v>-721.703125</v>
      </c>
      <c r="J127" s="15">
        <f t="shared" si="6"/>
        <v>-0.14457194010416666</v>
      </c>
      <c r="K127" s="50" t="s">
        <v>2810</v>
      </c>
      <c r="L127" s="84"/>
      <c r="M127" s="84"/>
    </row>
    <row r="128" spans="1:15" ht="28.9">
      <c r="A128" s="24" t="str">
        <v>K203</v>
      </c>
      <c r="B128" s="25" t="str">
        <v>NY</v>
      </c>
      <c r="C128" s="28" t="str">
        <f>Sites[[#This Row],[SOL'#]]</f>
        <v>SOL-11190</v>
      </c>
      <c r="D128" s="20">
        <v>5351.7000000000098</v>
      </c>
      <c r="E128" s="10">
        <v>6294.8180000000002</v>
      </c>
      <c r="F128" s="10">
        <f t="shared" si="4"/>
        <v>-943.11799999999039</v>
      </c>
      <c r="G128" s="11">
        <f t="shared" si="7"/>
        <v>-0.14982450644323481</v>
      </c>
      <c r="H128" s="12">
        <v>7803</v>
      </c>
      <c r="I128" s="12">
        <f t="shared" si="5"/>
        <v>-2451.2999999999902</v>
      </c>
      <c r="J128" s="13">
        <f t="shared" si="6"/>
        <v>-0.31414840445982189</v>
      </c>
      <c r="K128" s="37" t="s">
        <v>2811</v>
      </c>
      <c r="L128" s="37"/>
      <c r="M128" s="56"/>
    </row>
    <row r="129" spans="1:13" ht="15.6">
      <c r="A129" s="26" t="str">
        <v>K213</v>
      </c>
      <c r="B129" s="27" t="str">
        <v>NY</v>
      </c>
      <c r="C129" s="26" t="str">
        <f>Sites[[#This Row],[SOL'#]]</f>
        <v>SOL-11191</v>
      </c>
      <c r="D129" s="9">
        <v>6110.5</v>
      </c>
      <c r="E129" s="14">
        <v>8539.8089999999993</v>
      </c>
      <c r="F129" s="14">
        <f t="shared" si="4"/>
        <v>-2429.3089999999993</v>
      </c>
      <c r="G129" s="15">
        <f t="shared" si="7"/>
        <v>-0.28446877441872526</v>
      </c>
      <c r="H129" s="16">
        <v>7786</v>
      </c>
      <c r="I129" s="16">
        <f t="shared" si="5"/>
        <v>-1675.5</v>
      </c>
      <c r="J129" s="15">
        <f t="shared" si="6"/>
        <v>-0.21519393783714358</v>
      </c>
      <c r="K129" s="50" t="s">
        <v>2299</v>
      </c>
      <c r="L129" s="50"/>
      <c r="M129" s="50"/>
    </row>
    <row r="130" spans="1:13" ht="15.6">
      <c r="A130" s="24" t="str">
        <v>K217</v>
      </c>
      <c r="B130" s="25" t="str">
        <v>NY</v>
      </c>
      <c r="C130" s="28" t="str">
        <f>Sites[[#This Row],[SOL'#]]</f>
        <v>SOL-10933</v>
      </c>
      <c r="D130" s="20">
        <v>2214.4609375</v>
      </c>
      <c r="E130" s="10">
        <v>4567.027</v>
      </c>
      <c r="F130" s="10">
        <f t="shared" si="4"/>
        <v>-2352.5660625</v>
      </c>
      <c r="G130" s="11">
        <f t="shared" si="7"/>
        <v>-0.51511980605763885</v>
      </c>
      <c r="H130" s="12">
        <v>3192</v>
      </c>
      <c r="I130" s="12">
        <f t="shared" si="5"/>
        <v>-977.5390625</v>
      </c>
      <c r="J130" s="13">
        <f t="shared" si="6"/>
        <v>-0.3062465734649123</v>
      </c>
      <c r="K130" s="37" t="s">
        <v>2812</v>
      </c>
      <c r="L130" s="109" t="s">
        <v>2813</v>
      </c>
      <c r="M130" s="56" t="s">
        <v>2814</v>
      </c>
    </row>
    <row r="131" spans="1:13" ht="15.6">
      <c r="A131" s="26" t="str">
        <v>K307</v>
      </c>
      <c r="B131" s="27" t="str">
        <v>NY</v>
      </c>
      <c r="C131" s="26" t="str">
        <f>Sites[[#This Row],[SOL'#]]</f>
        <v>SOL-10876</v>
      </c>
      <c r="D131" s="9">
        <v>7091.734375</v>
      </c>
      <c r="E131" s="14">
        <v>14454.82</v>
      </c>
      <c r="F131" s="14">
        <f t="shared" si="4"/>
        <v>-7363.0856249999997</v>
      </c>
      <c r="G131" s="15">
        <f t="shared" si="7"/>
        <v>-0.50938618571521466</v>
      </c>
      <c r="H131" s="16">
        <v>6146</v>
      </c>
      <c r="I131" s="16">
        <f t="shared" si="5"/>
        <v>945.734375</v>
      </c>
      <c r="J131" s="15">
        <f t="shared" si="6"/>
        <v>0.15387803042629353</v>
      </c>
      <c r="K131" s="50" t="s">
        <v>2066</v>
      </c>
      <c r="L131" s="50"/>
      <c r="M131" s="50"/>
    </row>
    <row r="132" spans="1:13" ht="15.6">
      <c r="A132" s="24" t="str">
        <v>K610</v>
      </c>
      <c r="B132" s="25" t="str">
        <v>NY</v>
      </c>
      <c r="C132" s="28" t="str">
        <f>Sites[[#This Row],[SOL'#]]</f>
        <v>SOL-11158</v>
      </c>
      <c r="D132" s="20">
        <v>8623.5000000000291</v>
      </c>
      <c r="E132" s="10">
        <v>10192.450000000001</v>
      </c>
      <c r="F132" s="10">
        <f t="shared" si="4"/>
        <v>-1568.9499999999716</v>
      </c>
      <c r="G132" s="11">
        <f t="shared" si="7"/>
        <v>-0.15393256773395714</v>
      </c>
      <c r="H132" s="12">
        <v>10624</v>
      </c>
      <c r="I132" s="12">
        <f t="shared" si="5"/>
        <v>-2000.4999999999709</v>
      </c>
      <c r="J132" s="13">
        <f t="shared" si="6"/>
        <v>-0.18830007530120207</v>
      </c>
      <c r="K132" s="37" t="s">
        <v>2810</v>
      </c>
      <c r="L132" s="37"/>
      <c r="M132" s="56"/>
    </row>
    <row r="133" spans="1:13" ht="15.6">
      <c r="A133" s="26" t="str">
        <v>M025</v>
      </c>
      <c r="B133" s="27" t="str">
        <v>NY</v>
      </c>
      <c r="C133" s="26" t="str">
        <f>Sites[[#This Row],[SOL'#]]</f>
        <v>SOL-10392</v>
      </c>
      <c r="D133" s="9">
        <v>5254.765625</v>
      </c>
      <c r="E133" s="14">
        <v>11372.49</v>
      </c>
      <c r="F133" s="14">
        <f t="shared" si="4"/>
        <v>-6117.7243749999998</v>
      </c>
      <c r="G133" s="15">
        <f t="shared" si="7"/>
        <v>-0.53794062470048332</v>
      </c>
      <c r="H133" s="16">
        <v>8251</v>
      </c>
      <c r="I133" s="16">
        <f t="shared" ref="I133:I173" si="8">IF(AND(ISNUMBER(D133),ISNUMBER(H133)), D133-H133, "")</f>
        <v>-2996.234375</v>
      </c>
      <c r="J133" s="15">
        <f t="shared" ref="J133:J173" si="9">IFERROR(I133/H133, "")</f>
        <v>-0.36313590776875532</v>
      </c>
      <c r="K133" s="50" t="s">
        <v>2815</v>
      </c>
      <c r="L133" s="110" t="s">
        <v>2816</v>
      </c>
      <c r="M133" s="50" t="s">
        <v>2814</v>
      </c>
    </row>
    <row r="134" spans="1:13" ht="15.75">
      <c r="A134" s="24" t="str">
        <v>M028</v>
      </c>
      <c r="B134" s="25" t="str">
        <v>NY</v>
      </c>
      <c r="C134" s="28" t="str">
        <f>Sites[[#This Row],[SOL'#]]</f>
        <v>SOL-10381</v>
      </c>
      <c r="D134" s="20">
        <v>5680.171875</v>
      </c>
      <c r="E134" s="10">
        <v>6915.7939999999999</v>
      </c>
      <c r="F134" s="10">
        <f t="shared" ref="F134:F173" si="10">IF(AND(ISNUMBER(D134),ISNUMBER(E134)), D134-E134, "")</f>
        <v>-1235.6221249999999</v>
      </c>
      <c r="G134" s="11">
        <f t="shared" ref="G134:G173" si="11">IFERROR(F134/E134, "")</f>
        <v>-0.17866670479195879</v>
      </c>
      <c r="H134" s="12">
        <v>5563</v>
      </c>
      <c r="I134" s="12">
        <f t="shared" si="8"/>
        <v>117.171875</v>
      </c>
      <c r="J134" s="13">
        <f t="shared" si="9"/>
        <v>2.1062713463958296E-2</v>
      </c>
      <c r="K134" s="37" t="s">
        <v>2810</v>
      </c>
      <c r="L134" s="37"/>
      <c r="M134" s="56"/>
    </row>
    <row r="135" spans="1:13" ht="15.75">
      <c r="A135" s="26" t="str">
        <v>Q030</v>
      </c>
      <c r="B135" s="27" t="str">
        <v>NY</v>
      </c>
      <c r="C135" s="26" t="str">
        <f>Sites[[#This Row],[SOL'#]]</f>
        <v>SOL-10878</v>
      </c>
      <c r="D135" s="9">
        <v>4173.3125</v>
      </c>
      <c r="E135" s="14">
        <v>5837.9380000000001</v>
      </c>
      <c r="F135" s="14">
        <f t="shared" si="10"/>
        <v>-1664.6255000000001</v>
      </c>
      <c r="G135" s="15">
        <f t="shared" si="11"/>
        <v>-0.28513929061939336</v>
      </c>
      <c r="H135" s="16">
        <v>7259</v>
      </c>
      <c r="I135" s="16">
        <f t="shared" si="8"/>
        <v>-3085.6875</v>
      </c>
      <c r="J135" s="15">
        <f t="shared" si="9"/>
        <v>-0.42508437801350046</v>
      </c>
      <c r="K135" s="50" t="s">
        <v>2817</v>
      </c>
      <c r="L135" s="110" t="s">
        <v>2818</v>
      </c>
      <c r="M135" s="50" t="s">
        <v>2814</v>
      </c>
    </row>
    <row r="136" spans="1:13" ht="15.6">
      <c r="A136" s="24" t="str">
        <v>Q130</v>
      </c>
      <c r="B136" s="25" t="str">
        <v>NY</v>
      </c>
      <c r="C136" s="28" t="str">
        <f>Sites[[#This Row],[SOL'#]]</f>
        <v>SOL-10877</v>
      </c>
      <c r="D136" s="20">
        <v>3524.39031405473</v>
      </c>
      <c r="E136" s="10">
        <v>5714.4319999999998</v>
      </c>
      <c r="F136" s="10">
        <f t="shared" si="10"/>
        <v>-2190.0416859452698</v>
      </c>
      <c r="G136" s="11">
        <f t="shared" si="11"/>
        <v>-0.38324748390483426</v>
      </c>
      <c r="H136" s="12">
        <v>3544.817</v>
      </c>
      <c r="I136" s="12">
        <f t="shared" si="8"/>
        <v>-20.426685945270037</v>
      </c>
      <c r="J136" s="13">
        <f t="shared" si="9"/>
        <v>-5.7624091582922444E-3</v>
      </c>
      <c r="K136" s="37" t="s">
        <v>2303</v>
      </c>
      <c r="L136" s="37"/>
      <c r="M136" s="56"/>
    </row>
    <row r="137" spans="1:13" ht="15.6">
      <c r="A137" s="26" t="str">
        <v>Q196</v>
      </c>
      <c r="B137" s="27" t="str">
        <v>NY</v>
      </c>
      <c r="C137" s="26" t="str">
        <f>Sites[[#This Row],[SOL'#]]</f>
        <v>SOL-10879</v>
      </c>
      <c r="D137" s="9">
        <v>4590.21875</v>
      </c>
      <c r="E137" s="14">
        <v>6576.1589999999997</v>
      </c>
      <c r="F137" s="14">
        <f t="shared" si="10"/>
        <v>-1985.9402499999997</v>
      </c>
      <c r="G137" s="15">
        <f t="shared" si="11"/>
        <v>-0.30199091141196555</v>
      </c>
      <c r="H137" s="16">
        <v>4888</v>
      </c>
      <c r="I137" s="16">
        <f t="shared" si="8"/>
        <v>-297.78125</v>
      </c>
      <c r="J137" s="15">
        <f t="shared" si="9"/>
        <v>-6.092087765957447E-2</v>
      </c>
      <c r="K137" s="50" t="s">
        <v>2304</v>
      </c>
      <c r="L137" s="50"/>
      <c r="M137" s="50"/>
    </row>
    <row r="138" spans="1:13" ht="15.6">
      <c r="A138" s="24" t="str">
        <v>Q220</v>
      </c>
      <c r="B138" s="25" t="str">
        <v>NY</v>
      </c>
      <c r="C138" s="28" t="str">
        <f>Sites[[#This Row],[SOL'#]]</f>
        <v>SOL-10873</v>
      </c>
      <c r="D138" s="20">
        <v>4845.125</v>
      </c>
      <c r="E138" s="10">
        <v>9077.7469999999994</v>
      </c>
      <c r="F138" s="10">
        <f t="shared" si="10"/>
        <v>-4232.6219999999994</v>
      </c>
      <c r="G138" s="11">
        <f t="shared" si="11"/>
        <v>-0.46626349026911629</v>
      </c>
      <c r="H138" s="12">
        <v>4864</v>
      </c>
      <c r="I138" s="12">
        <f t="shared" si="8"/>
        <v>-18.875</v>
      </c>
      <c r="J138" s="13">
        <f t="shared" si="9"/>
        <v>-3.8805509868421054E-3</v>
      </c>
      <c r="K138" s="37" t="s">
        <v>2819</v>
      </c>
      <c r="L138" s="109" t="s">
        <v>2820</v>
      </c>
      <c r="M138" s="56" t="s">
        <v>2814</v>
      </c>
    </row>
    <row r="139" spans="1:13" ht="15.6">
      <c r="A139" s="26" t="str">
        <v>Q205</v>
      </c>
      <c r="B139" s="27" t="str">
        <v>NY</v>
      </c>
      <c r="C139" s="26" t="str">
        <f>Sites[[#This Row],[SOL'#]]</f>
        <v>SOL-10922</v>
      </c>
      <c r="D139" s="9">
        <v>7392.84375</v>
      </c>
      <c r="E139" s="14">
        <v>11645.19</v>
      </c>
      <c r="F139" s="14">
        <f t="shared" si="10"/>
        <v>-4252.3462500000005</v>
      </c>
      <c r="G139" s="15">
        <f t="shared" si="11"/>
        <v>-0.36515902703176162</v>
      </c>
      <c r="H139" s="16">
        <v>7369</v>
      </c>
      <c r="I139" s="16">
        <f t="shared" si="8"/>
        <v>23.84375</v>
      </c>
      <c r="J139" s="15">
        <f t="shared" si="9"/>
        <v>3.2356832677432486E-3</v>
      </c>
      <c r="K139" s="50" t="s">
        <v>2305</v>
      </c>
      <c r="L139" s="96"/>
      <c r="M139" s="96"/>
    </row>
    <row r="140" spans="1:13" ht="15.6">
      <c r="A140" s="28" t="str">
        <v>Q400</v>
      </c>
      <c r="B140" s="25" t="str">
        <v>NY</v>
      </c>
      <c r="C140" s="28" t="str">
        <f>Sites[[#This Row],[SOL'#]]</f>
        <v>SOL-10871</v>
      </c>
      <c r="D140" s="54">
        <v>10540.6225290698</v>
      </c>
      <c r="E140" s="10" t="s">
        <v>661</v>
      </c>
      <c r="F140" s="10" t="str">
        <f t="shared" si="10"/>
        <v/>
      </c>
      <c r="G140" s="11" t="str">
        <f t="shared" si="11"/>
        <v/>
      </c>
      <c r="H140" s="67">
        <v>10708</v>
      </c>
      <c r="I140" s="12">
        <f t="shared" si="8"/>
        <v>-167.37747093019971</v>
      </c>
      <c r="J140" s="13">
        <f t="shared" si="9"/>
        <v>-1.5631067513092987E-2</v>
      </c>
      <c r="K140" s="56"/>
      <c r="L140" s="37"/>
      <c r="M140" s="56"/>
    </row>
    <row r="141" spans="1:13" ht="15.6">
      <c r="A141" s="26" t="str">
        <v>R003</v>
      </c>
      <c r="B141" s="27" t="str">
        <v>NY</v>
      </c>
      <c r="C141" s="26" t="str">
        <f>Sites[[#This Row],[SOL'#]]</f>
        <v>SOL-10416</v>
      </c>
      <c r="D141" s="66">
        <v>11311.75</v>
      </c>
      <c r="E141" s="14">
        <v>13028.53</v>
      </c>
      <c r="F141" s="14">
        <f t="shared" si="10"/>
        <v>-1716.7800000000007</v>
      </c>
      <c r="G141" s="15">
        <f t="shared" si="11"/>
        <v>-0.13177081374491217</v>
      </c>
      <c r="H141" s="69">
        <v>11215</v>
      </c>
      <c r="I141" s="16">
        <f t="shared" si="8"/>
        <v>96.75</v>
      </c>
      <c r="J141" s="15">
        <f t="shared" si="9"/>
        <v>8.6268390548372709E-3</v>
      </c>
      <c r="K141" s="50" t="s">
        <v>2810</v>
      </c>
      <c r="L141" s="183"/>
      <c r="M141" s="183"/>
    </row>
    <row r="142" spans="1:13" ht="28.9">
      <c r="A142" s="24" t="str">
        <v>R007</v>
      </c>
      <c r="B142" s="25" t="str">
        <v>NY</v>
      </c>
      <c r="C142" s="28" t="str">
        <f>Sites[[#This Row],[SOL'#]]</f>
        <v>SOL-10417</v>
      </c>
      <c r="D142" s="54">
        <v>12050.28125</v>
      </c>
      <c r="E142" s="10">
        <v>15472.87</v>
      </c>
      <c r="F142" s="10">
        <f t="shared" si="10"/>
        <v>-3422.5887500000008</v>
      </c>
      <c r="G142" s="11">
        <f t="shared" si="11"/>
        <v>-0.22119934763233975</v>
      </c>
      <c r="H142" s="67">
        <v>20876.16</v>
      </c>
      <c r="I142" s="12">
        <f t="shared" si="8"/>
        <v>-8825.8787499999999</v>
      </c>
      <c r="J142" s="13">
        <f t="shared" si="9"/>
        <v>-0.42277309380652378</v>
      </c>
      <c r="K142" s="56" t="s">
        <v>2821</v>
      </c>
      <c r="L142" s="37"/>
      <c r="M142" s="56"/>
    </row>
    <row r="143" spans="1:13" ht="15.6">
      <c r="A143" s="26" t="str">
        <v>BK16</v>
      </c>
      <c r="B143" s="27" t="str">
        <v>NY</v>
      </c>
      <c r="C143" s="26" t="str">
        <f>Sites[[#This Row],[SOL'#]]</f>
        <v>SOL-11093</v>
      </c>
      <c r="D143" s="66">
        <v>11471.3749999999</v>
      </c>
      <c r="E143" s="14">
        <v>14489.33</v>
      </c>
      <c r="F143" s="14">
        <f t="shared" si="10"/>
        <v>-3017.9550000001</v>
      </c>
      <c r="G143" s="15">
        <f t="shared" si="11"/>
        <v>-0.20828809889760949</v>
      </c>
      <c r="H143" s="69">
        <v>11566</v>
      </c>
      <c r="I143" s="16">
        <f t="shared" si="8"/>
        <v>-94.625000000100044</v>
      </c>
      <c r="J143" s="15">
        <f t="shared" si="9"/>
        <v>-8.1813072799671489E-3</v>
      </c>
      <c r="K143" s="50" t="s">
        <v>2810</v>
      </c>
      <c r="L143" s="183"/>
      <c r="M143" s="183"/>
    </row>
    <row r="144" spans="1:13" ht="15.6">
      <c r="A144" s="24" t="str">
        <v>Trenton - Trenton East</v>
      </c>
      <c r="B144" s="25" t="str">
        <v>IL</v>
      </c>
      <c r="C144" s="28" t="str">
        <f>Sites[[#This Row],[SOL'#]]</f>
        <v>SOL-11060</v>
      </c>
      <c r="D144" s="54">
        <v>191540</v>
      </c>
      <c r="E144" s="10">
        <v>194250.5</v>
      </c>
      <c r="F144" s="10">
        <f t="shared" si="10"/>
        <v>-2710.5</v>
      </c>
      <c r="G144" s="11">
        <f t="shared" si="11"/>
        <v>-1.3953632036983174E-2</v>
      </c>
      <c r="H144" s="67">
        <v>175446</v>
      </c>
      <c r="I144" s="12">
        <f t="shared" si="8"/>
        <v>16094</v>
      </c>
      <c r="J144" s="13">
        <f t="shared" si="9"/>
        <v>9.1731928912599889E-2</v>
      </c>
      <c r="K144" s="56"/>
      <c r="L144" s="37"/>
      <c r="M144" s="56"/>
    </row>
    <row r="145" spans="1:14" ht="15.6">
      <c r="A145" s="26" t="str">
        <v>Trenton - Trenton West</v>
      </c>
      <c r="B145" s="27" t="str">
        <v>IL</v>
      </c>
      <c r="C145" s="26" t="str">
        <f>Sites[[#This Row],[SOL'#]]</f>
        <v>SOL-11061</v>
      </c>
      <c r="D145" s="66">
        <v>189455</v>
      </c>
      <c r="E145" s="14">
        <v>171848.8</v>
      </c>
      <c r="F145" s="14">
        <f t="shared" si="10"/>
        <v>17606.200000000012</v>
      </c>
      <c r="G145" s="15">
        <f t="shared" si="11"/>
        <v>0.10245169009035858</v>
      </c>
      <c r="H145" s="69">
        <v>177808</v>
      </c>
      <c r="I145" s="16">
        <f t="shared" si="8"/>
        <v>11647</v>
      </c>
      <c r="J145" s="15">
        <f t="shared" si="9"/>
        <v>6.5503239449293621E-2</v>
      </c>
      <c r="K145" s="51" t="s">
        <v>2822</v>
      </c>
      <c r="L145" s="101" t="s">
        <v>2823</v>
      </c>
      <c r="M145" s="82" t="s">
        <v>2814</v>
      </c>
    </row>
    <row r="146" spans="1:14" ht="28.9">
      <c r="A146" s="24" t="str">
        <v>Dakota - Dakota Solar 1</v>
      </c>
      <c r="B146" s="25" t="str">
        <v>IL</v>
      </c>
      <c r="C146" s="28" t="str">
        <f>Sites[[#This Row],[SOL'#]]</f>
        <v>SOL-11113</v>
      </c>
      <c r="D146" s="54">
        <v>145562</v>
      </c>
      <c r="E146" s="10">
        <v>152502.29999999999</v>
      </c>
      <c r="F146" s="10">
        <f t="shared" si="10"/>
        <v>-6940.2999999999884</v>
      </c>
      <c r="G146" s="11">
        <f t="shared" si="11"/>
        <v>-4.5509477561977679E-2</v>
      </c>
      <c r="H146" s="67">
        <v>201696</v>
      </c>
      <c r="I146" s="12">
        <f t="shared" si="8"/>
        <v>-56134</v>
      </c>
      <c r="J146" s="13">
        <f t="shared" si="9"/>
        <v>-0.27830993177851815</v>
      </c>
      <c r="K146" s="56" t="s">
        <v>2824</v>
      </c>
      <c r="L146" s="109" t="s">
        <v>2825</v>
      </c>
      <c r="M146" s="56" t="s">
        <v>2826</v>
      </c>
    </row>
    <row r="147" spans="1:14" ht="43.15">
      <c r="A147" s="26" t="str">
        <v>X018</v>
      </c>
      <c r="B147" s="27" t="str">
        <v>NY</v>
      </c>
      <c r="C147" s="26" t="str">
        <f>Sites[[#This Row],[SOL'#]]</f>
        <v>SOL-10418</v>
      </c>
      <c r="D147" s="66">
        <v>5345.34375</v>
      </c>
      <c r="E147" s="14">
        <v>6330.1210000000001</v>
      </c>
      <c r="F147" s="14">
        <f t="shared" si="10"/>
        <v>-984.77725000000009</v>
      </c>
      <c r="G147" s="15">
        <f t="shared" si="11"/>
        <v>-0.15557005150454473</v>
      </c>
      <c r="H147" s="69">
        <v>6480</v>
      </c>
      <c r="I147" s="16">
        <f t="shared" si="8"/>
        <v>-1134.65625</v>
      </c>
      <c r="J147" s="15">
        <f t="shared" si="9"/>
        <v>-0.17510127314814813</v>
      </c>
      <c r="K147" s="50" t="s">
        <v>2588</v>
      </c>
      <c r="L147" s="183"/>
      <c r="M147" s="183"/>
    </row>
    <row r="148" spans="1:14" ht="15.6">
      <c r="A148" s="24" t="str">
        <v>Janiak Solar</v>
      </c>
      <c r="B148" s="25" t="str">
        <v>NY</v>
      </c>
      <c r="C148" s="28" t="str">
        <f>Sites[[#This Row],[SOL'#]]</f>
        <v>SOL-10898</v>
      </c>
      <c r="D148" s="54">
        <v>170216</v>
      </c>
      <c r="E148" s="10">
        <v>220439</v>
      </c>
      <c r="F148" s="10">
        <f t="shared" si="10"/>
        <v>-50223</v>
      </c>
      <c r="G148" s="11">
        <f t="shared" si="11"/>
        <v>-0.2278317357636353</v>
      </c>
      <c r="H148" s="67">
        <v>161233</v>
      </c>
      <c r="I148" s="12">
        <f t="shared" si="8"/>
        <v>8983</v>
      </c>
      <c r="J148" s="13">
        <f t="shared" si="9"/>
        <v>5.5714400898079178E-2</v>
      </c>
      <c r="K148" s="56" t="s">
        <v>2827</v>
      </c>
      <c r="L148" s="109" t="s">
        <v>2828</v>
      </c>
      <c r="M148" s="56" t="s">
        <v>2526</v>
      </c>
    </row>
    <row r="149" spans="1:14" ht="28.9">
      <c r="A149" s="26" t="str">
        <v>County Route 11B</v>
      </c>
      <c r="B149" s="27" t="str">
        <v>NY</v>
      </c>
      <c r="C149" s="26" t="str">
        <f>Sites[[#This Row],[SOL'#]]</f>
        <v>SOL-10983</v>
      </c>
      <c r="D149" s="66">
        <v>185800.5</v>
      </c>
      <c r="E149" s="14">
        <v>178803</v>
      </c>
      <c r="F149" s="14">
        <f t="shared" si="10"/>
        <v>6997.5</v>
      </c>
      <c r="G149" s="15">
        <f t="shared" si="11"/>
        <v>3.9135249408566969E-2</v>
      </c>
      <c r="H149" s="69" t="s">
        <v>661</v>
      </c>
      <c r="I149" s="16" t="str">
        <f t="shared" si="8"/>
        <v/>
      </c>
      <c r="J149" s="15" t="str">
        <f t="shared" si="9"/>
        <v/>
      </c>
      <c r="K149" s="50" t="s">
        <v>2829</v>
      </c>
      <c r="L149" s="114" t="s">
        <v>2830</v>
      </c>
      <c r="M149" s="183" t="s">
        <v>2814</v>
      </c>
    </row>
    <row r="150" spans="1:14" ht="43.15">
      <c r="A150" s="24" t="str">
        <v>Barone</v>
      </c>
      <c r="B150" s="25" t="str">
        <v>NY</v>
      </c>
      <c r="C150" s="28" t="str">
        <f>Sites[[#This Row],[SOL'#]]</f>
        <v>SOL-11034</v>
      </c>
      <c r="D150" s="54">
        <v>230635</v>
      </c>
      <c r="E150" s="10">
        <v>227015</v>
      </c>
      <c r="F150" s="10">
        <f t="shared" si="10"/>
        <v>3620</v>
      </c>
      <c r="G150" s="11">
        <f t="shared" si="11"/>
        <v>1.5946082857960928E-2</v>
      </c>
      <c r="H150" s="67">
        <v>244770</v>
      </c>
      <c r="I150" s="12">
        <f t="shared" si="8"/>
        <v>-14135</v>
      </c>
      <c r="J150" s="13">
        <f t="shared" si="9"/>
        <v>-5.7748090043714506E-2</v>
      </c>
      <c r="K150" s="56" t="s">
        <v>2831</v>
      </c>
      <c r="L150" s="109" t="s">
        <v>2832</v>
      </c>
      <c r="M150" s="56" t="s">
        <v>2833</v>
      </c>
    </row>
    <row r="151" spans="1:14" ht="28.9">
      <c r="A151" s="26" t="str">
        <v>Cedarville</v>
      </c>
      <c r="B151" s="27" t="str">
        <v>IL</v>
      </c>
      <c r="C151" s="26" t="str">
        <f>Sites[[#This Row],[SOL'#]]</f>
        <v>SOL-11069</v>
      </c>
      <c r="D151" s="66">
        <v>127432</v>
      </c>
      <c r="E151" s="14">
        <v>130623.6</v>
      </c>
      <c r="F151" s="14">
        <f t="shared" si="10"/>
        <v>-3191.6000000000058</v>
      </c>
      <c r="G151" s="15">
        <f t="shared" si="11"/>
        <v>-2.4433563307090032E-2</v>
      </c>
      <c r="H151" s="69">
        <v>151431.70000000001</v>
      </c>
      <c r="I151" s="16">
        <f t="shared" si="8"/>
        <v>-23999.700000000012</v>
      </c>
      <c r="J151" s="15">
        <f t="shared" si="9"/>
        <v>-0.15848531053933892</v>
      </c>
      <c r="K151" s="50" t="s">
        <v>2834</v>
      </c>
      <c r="L151" s="183"/>
      <c r="M151" s="183"/>
    </row>
    <row r="152" spans="1:14" ht="45" customHeight="1">
      <c r="A152" s="24" t="str">
        <v xml:space="preserve"> O'Brien Hill #1</v>
      </c>
      <c r="B152" s="25" t="str">
        <v>NY</v>
      </c>
      <c r="C152" s="28" t="str">
        <f>Sites[[#This Row],[SOL'#]]</f>
        <v>SOL-11098</v>
      </c>
      <c r="D152" s="54">
        <v>0</v>
      </c>
      <c r="E152" s="10">
        <v>0</v>
      </c>
      <c r="F152" s="10">
        <f t="shared" si="10"/>
        <v>0</v>
      </c>
      <c r="G152" s="11" t="str">
        <f t="shared" si="11"/>
        <v/>
      </c>
      <c r="H152" s="146" t="s">
        <v>661</v>
      </c>
      <c r="I152" s="12" t="str">
        <f t="shared" si="8"/>
        <v/>
      </c>
      <c r="J152" s="13" t="str">
        <f t="shared" si="9"/>
        <v/>
      </c>
      <c r="K152" s="56" t="s">
        <v>1390</v>
      </c>
      <c r="L152" s="109" t="s">
        <v>1391</v>
      </c>
      <c r="M152" s="56" t="s">
        <v>2138</v>
      </c>
    </row>
    <row r="153" spans="1:14" ht="43.15">
      <c r="A153" s="26" t="str">
        <v xml:space="preserve"> O'Brien Hill #2</v>
      </c>
      <c r="B153" s="27" t="str">
        <v>NY</v>
      </c>
      <c r="C153" s="26" t="str">
        <f>Sites[[#This Row],[SOL'#]]</f>
        <v>SOL-11099</v>
      </c>
      <c r="D153" s="66">
        <v>222530</v>
      </c>
      <c r="E153" s="14">
        <v>222410</v>
      </c>
      <c r="F153" s="14">
        <f t="shared" si="10"/>
        <v>120</v>
      </c>
      <c r="G153" s="15">
        <f t="shared" si="11"/>
        <v>5.3954408524796546E-4</v>
      </c>
      <c r="H153" s="125" t="s">
        <v>661</v>
      </c>
      <c r="I153" s="16" t="str">
        <f t="shared" si="8"/>
        <v/>
      </c>
      <c r="J153" s="15" t="str">
        <f t="shared" si="9"/>
        <v/>
      </c>
      <c r="K153" s="186" t="s">
        <v>2835</v>
      </c>
      <c r="L153" s="121" t="s">
        <v>2836</v>
      </c>
      <c r="M153" s="83" t="s">
        <v>2837</v>
      </c>
    </row>
    <row r="154" spans="1:14" ht="28.9">
      <c r="A154" s="24" t="str">
        <v>Trinity - Freeport</v>
      </c>
      <c r="B154" s="25" t="str">
        <v>IL</v>
      </c>
      <c r="C154" s="28" t="str">
        <f>Sites[[#This Row],[SOL'#]]</f>
        <v>SOL-11057</v>
      </c>
      <c r="D154" s="54">
        <v>147183</v>
      </c>
      <c r="E154" s="10">
        <v>133129</v>
      </c>
      <c r="F154" s="10">
        <f t="shared" si="10"/>
        <v>14054</v>
      </c>
      <c r="G154" s="11">
        <f t="shared" si="11"/>
        <v>0.10556678109202353</v>
      </c>
      <c r="H154" s="67">
        <v>149552</v>
      </c>
      <c r="I154" s="12">
        <f t="shared" si="8"/>
        <v>-2369</v>
      </c>
      <c r="J154" s="13">
        <f t="shared" si="9"/>
        <v>-1.5840644056916656E-2</v>
      </c>
      <c r="K154" s="56" t="s">
        <v>2838</v>
      </c>
      <c r="L154" s="109" t="s">
        <v>2839</v>
      </c>
      <c r="M154" s="56" t="s">
        <v>2120</v>
      </c>
    </row>
    <row r="155" spans="1:14" ht="15.6">
      <c r="A155" s="26" t="str">
        <v>Ransom</v>
      </c>
      <c r="B155" s="27" t="str">
        <v>NY</v>
      </c>
      <c r="C155" s="26" t="str">
        <f>Sites[[#This Row],[SOL'#]]</f>
        <v>SOL-11157</v>
      </c>
      <c r="D155" s="66">
        <v>232868</v>
      </c>
      <c r="E155" s="14">
        <v>229038</v>
      </c>
      <c r="F155" s="14">
        <f t="shared" si="10"/>
        <v>3830</v>
      </c>
      <c r="G155" s="15">
        <f t="shared" si="11"/>
        <v>1.6722115980754286E-2</v>
      </c>
      <c r="H155" s="166" t="s">
        <v>661</v>
      </c>
      <c r="I155" s="16" t="str">
        <f t="shared" si="8"/>
        <v/>
      </c>
      <c r="J155" s="15" t="str">
        <f t="shared" si="9"/>
        <v/>
      </c>
      <c r="K155" s="50"/>
      <c r="L155" s="50"/>
      <c r="M155" s="50"/>
    </row>
    <row r="156" spans="1:14" ht="15.6">
      <c r="A156" s="24" t="str">
        <v>Horseheads - Wedge</v>
      </c>
      <c r="B156" s="25" t="str">
        <v>NY</v>
      </c>
      <c r="C156" s="28" t="str">
        <f>Sites[[#This Row],[SOL'#]]</f>
        <v>SOL-11160</v>
      </c>
      <c r="D156" s="54">
        <v>148532</v>
      </c>
      <c r="E156" s="10">
        <v>146292</v>
      </c>
      <c r="F156" s="10">
        <f t="shared" si="10"/>
        <v>2240</v>
      </c>
      <c r="G156" s="11">
        <f t="shared" si="11"/>
        <v>1.5311842069286085E-2</v>
      </c>
      <c r="H156" s="126" t="s">
        <v>661</v>
      </c>
      <c r="I156" s="12" t="str">
        <f t="shared" si="8"/>
        <v/>
      </c>
      <c r="J156" s="13" t="str">
        <f t="shared" si="9"/>
        <v/>
      </c>
      <c r="K156" s="56" t="s">
        <v>2840</v>
      </c>
      <c r="L156" s="109" t="s">
        <v>2841</v>
      </c>
      <c r="M156" s="56" t="s">
        <v>2120</v>
      </c>
    </row>
    <row r="157" spans="1:14" ht="43.15">
      <c r="A157" s="26" t="str">
        <v>Otisville - Shoddy Hollow</v>
      </c>
      <c r="B157" s="27" t="str">
        <v>NY</v>
      </c>
      <c r="C157" s="26" t="str">
        <f>Sites[[#This Row],[SOL'#]]</f>
        <v>SOL-11185</v>
      </c>
      <c r="D157" s="66">
        <v>362787</v>
      </c>
      <c r="E157" s="14">
        <v>343004</v>
      </c>
      <c r="F157" s="14">
        <f t="shared" si="10"/>
        <v>19783</v>
      </c>
      <c r="G157" s="15">
        <f t="shared" si="11"/>
        <v>5.7675712236591993E-2</v>
      </c>
      <c r="H157" s="166" t="s">
        <v>661</v>
      </c>
      <c r="I157" s="16" t="str">
        <f t="shared" si="8"/>
        <v/>
      </c>
      <c r="J157" s="15" t="str">
        <f t="shared" si="9"/>
        <v/>
      </c>
      <c r="K157" s="50" t="s">
        <v>2842</v>
      </c>
      <c r="L157" s="121" t="s">
        <v>2843</v>
      </c>
      <c r="M157" s="83" t="s">
        <v>2844</v>
      </c>
      <c r="N157" s="111" t="s">
        <v>2845</v>
      </c>
    </row>
    <row r="158" spans="1:14" ht="43.15">
      <c r="A158" s="24" t="str">
        <v>Wellsville - Chenunda Creek</v>
      </c>
      <c r="B158" s="25" t="str">
        <v>NY</v>
      </c>
      <c r="C158" s="28" t="str">
        <f>Sites[[#This Row],[SOL'#]]</f>
        <v>SOL-11187</v>
      </c>
      <c r="D158" s="54">
        <v>129912</v>
      </c>
      <c r="E158" s="10">
        <v>127362</v>
      </c>
      <c r="F158" s="10">
        <f t="shared" si="10"/>
        <v>2550</v>
      </c>
      <c r="G158" s="11">
        <f t="shared" si="11"/>
        <v>2.0021670513968061E-2</v>
      </c>
      <c r="H158" s="126" t="s">
        <v>661</v>
      </c>
      <c r="I158" s="12" t="str">
        <f t="shared" si="8"/>
        <v/>
      </c>
      <c r="J158" s="13" t="str">
        <f t="shared" si="9"/>
        <v/>
      </c>
      <c r="K158" s="56" t="s">
        <v>2846</v>
      </c>
      <c r="L158" s="109" t="s">
        <v>2847</v>
      </c>
      <c r="M158" s="56" t="s">
        <v>2120</v>
      </c>
    </row>
    <row r="159" spans="1:14" ht="28.9">
      <c r="A159" s="26" t="str">
        <v>DC: Washington - Essex Condominium</v>
      </c>
      <c r="B159" s="27" t="str">
        <v>DC</v>
      </c>
      <c r="C159" s="26" t="str">
        <f>Sites[[#This Row],[SOL'#]]</f>
        <v>SOL-10036</v>
      </c>
      <c r="D159" s="66">
        <v>1114</v>
      </c>
      <c r="E159" s="14">
        <v>1598.154</v>
      </c>
      <c r="F159" s="14">
        <f t="shared" si="10"/>
        <v>-484.154</v>
      </c>
      <c r="G159" s="15">
        <f t="shared" si="11"/>
        <v>-0.3029457736863907</v>
      </c>
      <c r="H159" s="69">
        <v>1998.7070000000001</v>
      </c>
      <c r="I159" s="16">
        <f t="shared" si="8"/>
        <v>-884.70700000000011</v>
      </c>
      <c r="J159" s="15">
        <f t="shared" si="9"/>
        <v>-0.442639666544421</v>
      </c>
      <c r="K159" s="50" t="s">
        <v>2103</v>
      </c>
      <c r="L159" s="183"/>
      <c r="M159" s="183"/>
    </row>
    <row r="160" spans="1:14" ht="43.15">
      <c r="A160" s="24" t="str">
        <v>HI: Waipahu - 94-246 Leoku St - E.F.G.</v>
      </c>
      <c r="B160" s="25" t="str">
        <v>HI</v>
      </c>
      <c r="C160" s="28" t="str">
        <f>Sites[[#This Row],[SOL'#]]</f>
        <v>SOL-10071</v>
      </c>
      <c r="D160" s="54">
        <v>7154.0290000000005</v>
      </c>
      <c r="E160" s="10">
        <v>7399.643</v>
      </c>
      <c r="F160" s="10">
        <f t="shared" si="10"/>
        <v>-245.61399999999958</v>
      </c>
      <c r="G160" s="11">
        <f t="shared" si="11"/>
        <v>-3.3192682403732125E-2</v>
      </c>
      <c r="H160" s="67">
        <v>9454.0630000000001</v>
      </c>
      <c r="I160" s="12">
        <f t="shared" si="8"/>
        <v>-2300.0339999999997</v>
      </c>
      <c r="J160" s="13">
        <f t="shared" si="9"/>
        <v>-0.2432852414882363</v>
      </c>
      <c r="K160" s="56" t="s">
        <v>2616</v>
      </c>
      <c r="L160" s="116" t="s">
        <v>2356</v>
      </c>
      <c r="M160" s="56" t="s">
        <v>2617</v>
      </c>
    </row>
    <row r="161" spans="1:16" ht="28.9">
      <c r="A161" s="26" t="str">
        <v>HI: Waipahu - 94-099 Waipahu St - PV</v>
      </c>
      <c r="B161" s="27" t="str">
        <v>HI</v>
      </c>
      <c r="C161" s="26" t="str">
        <f>Sites[[#This Row],[SOL'#]]</f>
        <v>SOL-10068</v>
      </c>
      <c r="D161" s="66">
        <v>8335</v>
      </c>
      <c r="E161" s="14">
        <v>6771.2169999999996</v>
      </c>
      <c r="F161" s="14">
        <f t="shared" si="10"/>
        <v>1563.7830000000004</v>
      </c>
      <c r="G161" s="15">
        <f t="shared" si="11"/>
        <v>0.23094563355449993</v>
      </c>
      <c r="H161" s="69">
        <v>9449.0049999999992</v>
      </c>
      <c r="I161" s="16">
        <f t="shared" si="8"/>
        <v>-1114.0049999999992</v>
      </c>
      <c r="J161" s="15">
        <f t="shared" si="9"/>
        <v>-0.11789654042938905</v>
      </c>
      <c r="K161" s="50" t="s">
        <v>2848</v>
      </c>
      <c r="L161" s="183"/>
      <c r="M161" s="183"/>
    </row>
    <row r="162" spans="1:16" ht="15.6">
      <c r="A162" s="24" t="str">
        <v>IL: Prophetstown - 5170 Yager Road (PW)</v>
      </c>
      <c r="B162" s="25" t="str">
        <v>IL</v>
      </c>
      <c r="C162" s="28" t="str">
        <f>Sites[[#This Row],[SOL'#]]</f>
        <v>SOL-11149</v>
      </c>
      <c r="D162" s="54">
        <v>0</v>
      </c>
      <c r="E162" s="10">
        <v>45408.39</v>
      </c>
      <c r="F162" s="10">
        <f t="shared" si="10"/>
        <v>-45408.39</v>
      </c>
      <c r="G162" s="11">
        <f t="shared" si="11"/>
        <v>-1</v>
      </c>
      <c r="H162" s="67">
        <v>168273.8</v>
      </c>
      <c r="I162" s="12">
        <f t="shared" si="8"/>
        <v>-168273.8</v>
      </c>
      <c r="J162" s="13">
        <f t="shared" si="9"/>
        <v>-1</v>
      </c>
      <c r="K162" s="56" t="s">
        <v>2849</v>
      </c>
      <c r="L162" s="116" t="s">
        <v>2850</v>
      </c>
      <c r="M162" s="56" t="s">
        <v>2116</v>
      </c>
    </row>
    <row r="163" spans="1:16" ht="28.9">
      <c r="A163" s="26" t="str">
        <v>IL: Viola - Goldenrod - (PW)</v>
      </c>
      <c r="B163" s="27" t="str">
        <v>IL</v>
      </c>
      <c r="C163" s="26" t="str">
        <f>Sites[[#This Row],[SOL'#]]</f>
        <v>SOL-11132</v>
      </c>
      <c r="D163" s="66">
        <v>340154</v>
      </c>
      <c r="E163" s="14">
        <v>383746</v>
      </c>
      <c r="F163" s="14">
        <f t="shared" si="10"/>
        <v>-43592</v>
      </c>
      <c r="G163" s="15">
        <f t="shared" si="11"/>
        <v>-0.11359597233586799</v>
      </c>
      <c r="H163" s="69">
        <v>444000</v>
      </c>
      <c r="I163" s="16">
        <f t="shared" si="8"/>
        <v>-103846</v>
      </c>
      <c r="J163" s="15">
        <f t="shared" si="9"/>
        <v>-0.23388738738738737</v>
      </c>
      <c r="K163" s="50" t="s">
        <v>2851</v>
      </c>
      <c r="L163" s="121" t="s">
        <v>2852</v>
      </c>
      <c r="M163" s="83" t="s">
        <v>2853</v>
      </c>
    </row>
    <row r="164" spans="1:16" ht="28.9">
      <c r="A164" s="24" t="str">
        <v>IL: Marengo - Grant - (PW)</v>
      </c>
      <c r="B164" s="25" t="str">
        <v>IL</v>
      </c>
      <c r="C164" s="28" t="str">
        <f>Sites[[#This Row],[SOL'#]]</f>
        <v>SOL-11147</v>
      </c>
      <c r="D164" s="54">
        <v>160718</v>
      </c>
      <c r="E164" s="10">
        <v>0</v>
      </c>
      <c r="F164" s="10">
        <f t="shared" si="10"/>
        <v>160718</v>
      </c>
      <c r="G164" s="11" t="str">
        <f t="shared" si="11"/>
        <v/>
      </c>
      <c r="H164" s="67">
        <v>166718.70000000001</v>
      </c>
      <c r="I164" s="12">
        <f t="shared" si="8"/>
        <v>-6000.7000000000116</v>
      </c>
      <c r="J164" s="13">
        <f t="shared" si="9"/>
        <v>-3.599296299695242E-2</v>
      </c>
      <c r="K164" s="56" t="s">
        <v>2854</v>
      </c>
      <c r="L164" s="116" t="s">
        <v>2855</v>
      </c>
      <c r="M164" s="56" t="s">
        <v>2856</v>
      </c>
    </row>
    <row r="165" spans="1:16" ht="72">
      <c r="A165" s="26" t="str">
        <v>NY: Cambridge - Cambridge (PW)</v>
      </c>
      <c r="B165" s="27" t="str">
        <v>NY</v>
      </c>
      <c r="C165" s="26" t="str">
        <f>Sites[[#This Row],[SOL'#]]</f>
        <v>SOL-11126</v>
      </c>
      <c r="D165" s="66">
        <v>101010.32919999999</v>
      </c>
      <c r="E165" s="14">
        <v>326811.59999999998</v>
      </c>
      <c r="F165" s="14">
        <f t="shared" si="10"/>
        <v>-225801.2708</v>
      </c>
      <c r="G165" s="15">
        <f t="shared" si="11"/>
        <v>-0.69092183631180781</v>
      </c>
      <c r="H165" s="69">
        <v>402501</v>
      </c>
      <c r="I165" s="16">
        <f t="shared" si="8"/>
        <v>-301490.67080000002</v>
      </c>
      <c r="J165" s="15">
        <f t="shared" si="9"/>
        <v>-0.74904328386761776</v>
      </c>
      <c r="K165" s="50" t="s">
        <v>2857</v>
      </c>
      <c r="L165" s="121" t="s">
        <v>2858</v>
      </c>
      <c r="M165" s="83" t="s">
        <v>2859</v>
      </c>
      <c r="N165" s="111" t="s">
        <v>2860</v>
      </c>
      <c r="O165" s="111" t="s">
        <v>2632</v>
      </c>
      <c r="P165" s="111" t="s">
        <v>2861</v>
      </c>
    </row>
    <row r="166" spans="1:16" ht="15.6">
      <c r="A166" s="24" t="str">
        <v>NY: Whitesville - Independence North</v>
      </c>
      <c r="B166" s="25" t="str">
        <v>NY</v>
      </c>
      <c r="C166" s="28" t="str">
        <f>Sites[[#This Row],[SOL'#]]</f>
        <v>SOL-11186</v>
      </c>
      <c r="D166" s="54">
        <v>239295</v>
      </c>
      <c r="E166" s="10" t="s">
        <v>661</v>
      </c>
      <c r="F166" s="10" t="str">
        <f t="shared" si="10"/>
        <v/>
      </c>
      <c r="G166" s="11" t="str">
        <f t="shared" si="11"/>
        <v/>
      </c>
      <c r="H166" s="146" t="s">
        <v>661</v>
      </c>
      <c r="I166" s="12" t="str">
        <f t="shared" si="8"/>
        <v/>
      </c>
      <c r="J166" s="13" t="str">
        <f t="shared" si="9"/>
        <v/>
      </c>
      <c r="K166" s="56"/>
      <c r="L166" s="56"/>
      <c r="M166" s="56"/>
    </row>
    <row r="167" spans="1:16" ht="28.9">
      <c r="A167" s="26" t="str">
        <v>IL: Beecher - Cottage Grove North (PW)</v>
      </c>
      <c r="B167" s="27" t="str">
        <v>IL</v>
      </c>
      <c r="C167" s="26" t="str">
        <f>Sites[[#This Row],[SOL'#]]</f>
        <v>SOL-11114</v>
      </c>
      <c r="D167" s="66">
        <v>135129</v>
      </c>
      <c r="E167" s="14">
        <v>154715.1</v>
      </c>
      <c r="F167" s="14">
        <f t="shared" si="10"/>
        <v>-19586.100000000006</v>
      </c>
      <c r="G167" s="15">
        <f t="shared" si="11"/>
        <v>-0.12659462457122805</v>
      </c>
      <c r="H167" s="69">
        <v>171136</v>
      </c>
      <c r="I167" s="16">
        <f t="shared" si="8"/>
        <v>-36007</v>
      </c>
      <c r="J167" s="15">
        <f t="shared" si="9"/>
        <v>-0.21039991585639492</v>
      </c>
      <c r="K167" s="50" t="s">
        <v>2862</v>
      </c>
      <c r="L167" s="121" t="s">
        <v>2863</v>
      </c>
      <c r="M167" s="83" t="s">
        <v>2856</v>
      </c>
    </row>
    <row r="168" spans="1:16" ht="15.6">
      <c r="A168" s="24" t="str">
        <v>IL: Beecher - Cottage Grove South (PW)</v>
      </c>
      <c r="B168" s="25" t="str">
        <v>IL</v>
      </c>
      <c r="C168" s="28" t="str">
        <f>Sites[[#This Row],[SOL'#]]</f>
        <v>SOL-11115</v>
      </c>
      <c r="D168" s="54">
        <v>160374</v>
      </c>
      <c r="E168" s="10">
        <v>227052.3</v>
      </c>
      <c r="F168" s="10">
        <f t="shared" si="10"/>
        <v>-66678.299999999988</v>
      </c>
      <c r="G168" s="11">
        <f t="shared" si="11"/>
        <v>-0.29366934402338135</v>
      </c>
      <c r="H168" s="67">
        <v>160390</v>
      </c>
      <c r="I168" s="12">
        <f t="shared" si="8"/>
        <v>-16</v>
      </c>
      <c r="J168" s="13">
        <f t="shared" si="9"/>
        <v>-9.9756842695928675E-5</v>
      </c>
      <c r="K168" s="56" t="s">
        <v>2864</v>
      </c>
      <c r="L168" s="56"/>
      <c r="M168" s="56"/>
    </row>
    <row r="169" spans="1:16" ht="28.9">
      <c r="A169" s="26" t="str">
        <v>IL: Harvard - 9618 US HWY 14 (PW)</v>
      </c>
      <c r="B169" s="27" t="str">
        <v>IL</v>
      </c>
      <c r="C169" s="26" t="str">
        <f>Sites[[#This Row],[SOL'#]]</f>
        <v>SOL-11110</v>
      </c>
      <c r="D169" s="66">
        <v>144730</v>
      </c>
      <c r="E169" s="14">
        <v>309259.2</v>
      </c>
      <c r="F169" s="14">
        <f t="shared" si="10"/>
        <v>-164529.20000000001</v>
      </c>
      <c r="G169" s="15">
        <f t="shared" si="11"/>
        <v>-0.53201068876851521</v>
      </c>
      <c r="H169" s="69">
        <v>133149</v>
      </c>
      <c r="I169" s="16">
        <f t="shared" si="8"/>
        <v>11581</v>
      </c>
      <c r="J169" s="15">
        <f t="shared" si="9"/>
        <v>8.6977746734860945E-2</v>
      </c>
      <c r="K169" s="50" t="s">
        <v>2865</v>
      </c>
      <c r="L169" s="183"/>
      <c r="M169" s="183"/>
    </row>
    <row r="170" spans="1:16" ht="15.6">
      <c r="A170" s="24" t="str">
        <v>IL: Beecher - 701 E Goodenow Rd (PW)</v>
      </c>
      <c r="B170" s="25" t="str">
        <v>IL</v>
      </c>
      <c r="C170" s="28" t="str">
        <f>Sites[[#This Row],[SOL'#]]</f>
        <v>SOL-11112</v>
      </c>
      <c r="D170" s="54">
        <v>147218</v>
      </c>
      <c r="E170" s="10">
        <v>185050.2</v>
      </c>
      <c r="F170" s="10">
        <f t="shared" si="10"/>
        <v>-37832.200000000012</v>
      </c>
      <c r="G170" s="11">
        <f t="shared" si="11"/>
        <v>-0.20444290252050529</v>
      </c>
      <c r="H170" s="67">
        <v>144976</v>
      </c>
      <c r="I170" s="12">
        <f t="shared" si="8"/>
        <v>2242</v>
      </c>
      <c r="J170" s="13">
        <f t="shared" si="9"/>
        <v>1.5464628628186735E-2</v>
      </c>
      <c r="K170" s="56" t="s">
        <v>2866</v>
      </c>
      <c r="L170" s="116" t="s">
        <v>2867</v>
      </c>
      <c r="M170" s="56" t="s">
        <v>2116</v>
      </c>
    </row>
    <row r="171" spans="1:16" ht="15.6">
      <c r="A171" s="26" t="str">
        <v>NY: Stormville - Green Haven - (IRA)</v>
      </c>
      <c r="B171" s="27" t="str">
        <v>NY</v>
      </c>
      <c r="C171" s="26" t="str">
        <f>Sites[[#This Row],[SOL'#]]</f>
        <v>SOL-11151</v>
      </c>
      <c r="D171" s="66">
        <v>33903314</v>
      </c>
      <c r="E171" s="14" t="s">
        <v>661</v>
      </c>
      <c r="F171" s="14" t="str">
        <f t="shared" si="10"/>
        <v/>
      </c>
      <c r="G171" s="15" t="str">
        <f t="shared" si="11"/>
        <v/>
      </c>
      <c r="H171" s="125" t="s">
        <v>661</v>
      </c>
      <c r="I171" s="16" t="str">
        <f t="shared" si="8"/>
        <v/>
      </c>
      <c r="J171" s="15" t="str">
        <f t="shared" si="9"/>
        <v/>
      </c>
      <c r="K171" s="50" t="s">
        <v>2868</v>
      </c>
      <c r="L171" s="114" t="s">
        <v>2869</v>
      </c>
      <c r="M171" s="183" t="s">
        <v>2116</v>
      </c>
    </row>
    <row r="172" spans="1:16" ht="43.15">
      <c r="A172" s="24" t="str">
        <v>IL: Hillsboro - Anacott (PW)</v>
      </c>
      <c r="B172" s="25" t="str">
        <v>IL</v>
      </c>
      <c r="C172" s="28" t="str">
        <f>Sites[[#This Row],[SOL'#]]</f>
        <v>SOL-11134</v>
      </c>
      <c r="D172" s="54">
        <v>403700</v>
      </c>
      <c r="E172" s="10" t="s">
        <v>661</v>
      </c>
      <c r="F172" s="10" t="str">
        <f t="shared" si="10"/>
        <v/>
      </c>
      <c r="G172" s="11" t="str">
        <f t="shared" si="11"/>
        <v/>
      </c>
      <c r="H172" s="67">
        <v>476680</v>
      </c>
      <c r="I172" s="12">
        <f t="shared" si="8"/>
        <v>-72980</v>
      </c>
      <c r="J172" s="13">
        <f t="shared" si="9"/>
        <v>-0.15310061257027777</v>
      </c>
      <c r="K172" s="56" t="s">
        <v>2870</v>
      </c>
      <c r="L172" s="116" t="s">
        <v>2871</v>
      </c>
      <c r="M172" s="56" t="s">
        <v>2872</v>
      </c>
    </row>
    <row r="173" spans="1:16" ht="28.9">
      <c r="A173" s="26" t="str">
        <v>IL: Manhattan - Gougar (PW)</v>
      </c>
      <c r="B173" s="27" t="str">
        <v>IL</v>
      </c>
      <c r="C173" s="26" t="str">
        <f>Sites[[#This Row],[SOL'#]]</f>
        <v>SOL-11148</v>
      </c>
      <c r="D173" s="66">
        <v>94776.514999999999</v>
      </c>
      <c r="E173" s="14">
        <v>121981.2</v>
      </c>
      <c r="F173" s="14">
        <f t="shared" si="10"/>
        <v>-27204.684999999998</v>
      </c>
      <c r="G173" s="15">
        <f t="shared" si="11"/>
        <v>-0.22302358888090951</v>
      </c>
      <c r="H173" s="69">
        <v>178632.9</v>
      </c>
      <c r="I173" s="16">
        <f t="shared" si="8"/>
        <v>-83856.384999999995</v>
      </c>
      <c r="J173" s="15">
        <f t="shared" si="9"/>
        <v>-0.46943415798545507</v>
      </c>
      <c r="K173" s="50" t="s">
        <v>2873</v>
      </c>
      <c r="L173" s="121" t="s">
        <v>2874</v>
      </c>
      <c r="M173" s="83" t="s">
        <v>2254</v>
      </c>
    </row>
    <row r="183" spans="11:11">
      <c r="K183" s="180" t="s">
        <v>2875</v>
      </c>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73 J4:J173">
    <cfRule type="cellIs" dxfId="4" priority="3" stopIfTrue="1" operator="lessThanOrEqual">
      <formula>-0.1</formula>
    </cfRule>
    <cfRule type="expression" dxfId="3" priority="4">
      <formula>AND(ISNUMBER(G4), G4&gt;=0.1)</formula>
    </cfRule>
  </conditionalFormatting>
  <hyperlinks>
    <hyperlink ref="L43" r:id="rId1" display="https://us3.assetplanner.com/service_request?ID=093326" xr:uid="{939BEF09-F652-436B-A1AA-16CB2A545BB6}"/>
    <hyperlink ref="L4" r:id="rId2" display="https://us3.assetplanner.com/service_request?ID=107464" xr:uid="{D1DA92B0-80E4-4211-BD97-D8D4802B1DBC}"/>
    <hyperlink ref="L8" r:id="rId3" display="https://us3.assetplanner.com/service_request?ID=111795" xr:uid="{DD5CC007-DBC3-4F79-9621-1A086817650A}"/>
    <hyperlink ref="L9" r:id="rId4" display="https://us3.assetplanner.com/service_request?ID=110236" xr:uid="{AEA985A5-AA79-41AA-8490-0850435570E1}"/>
    <hyperlink ref="L10" r:id="rId5" display="https://us3.assetplanner.com/service_request?ID=095666" xr:uid="{21C62A35-9703-4A6A-AB5F-19CAABC64228}"/>
    <hyperlink ref="L12" r:id="rId6" display="https://us3.assetplanner.com/service_request?ID=093633" xr:uid="{B9AD25E4-279E-4141-AF7A-C2E59B73778E}"/>
    <hyperlink ref="L13" r:id="rId7" display="https://us3.assetplanner.com/service_request?ID=113179" xr:uid="{070775D4-B23F-40BC-B510-AC093EC0D88C}"/>
    <hyperlink ref="L14" r:id="rId8" display="https://us3.assetplanner.com/service_request?ID=093924" xr:uid="{D2433B81-FECC-4E64-90CF-BDDF892AF3FE}"/>
    <hyperlink ref="L17" r:id="rId9" display="https://us3.assetplanner.com/service_request?ID=112395" xr:uid="{9DE22508-EA6F-4E7C-AB7D-6AFEF2A2F264}"/>
    <hyperlink ref="L20" r:id="rId10" display="https://us3.assetplanner.com/service_request?ID=112247" xr:uid="{5E11530C-1BC5-4451-BBCA-F25CD2DF0DC8}"/>
    <hyperlink ref="L27" r:id="rId11" display="https://us3.assetplanner.com/service_request?ID=093236" xr:uid="{6667B016-E09D-4696-8D51-08FCCA8FA67B}"/>
    <hyperlink ref="L32" r:id="rId12" display="https://us3.assetplanner.com/service_request?ID=102529" xr:uid="{09B451A9-2B5D-4B7B-AAB4-51AD8E96617F}"/>
    <hyperlink ref="L33" r:id="rId13" display="https://us3.assetplanner.com/service_request?ID=110250" xr:uid="{452C9923-0DDA-4BDB-80B5-BF186D0D83D2}"/>
    <hyperlink ref="L34" r:id="rId14" display="https://us3.assetplanner.com/service_request?ID=113444" xr:uid="{88257CB6-8C66-4C6A-9A20-897BD3ADCDF1}"/>
    <hyperlink ref="L36" r:id="rId15" display="https://us3.assetplanner.com/service_request?ID=112392" xr:uid="{44D989B4-920B-48A1-92C0-57F8F93AC872}"/>
    <hyperlink ref="L38" r:id="rId16" display="https://us3.assetplanner.com/service_request?ID=088813" xr:uid="{F7196A19-F5DA-49E4-BBC7-EB971B8FBE41}"/>
    <hyperlink ref="L40" r:id="rId17" display="https://us3.assetplanner.com/service_request?ID=093324" xr:uid="{89F40E30-A759-422C-9AA6-3739D5D69D4E}"/>
    <hyperlink ref="L42" r:id="rId18" display="https://us3.assetplanner.com/service_request?ID=111880" xr:uid="{97DCB8CF-C438-4354-8880-8036FF2FF782}"/>
    <hyperlink ref="L44" r:id="rId19" display="https://us3.assetplanner.com/service_request?ID=093327" xr:uid="{2B46283C-7F10-4079-AEBE-E8F98DC9427C}"/>
    <hyperlink ref="L46" r:id="rId20" display="https://us3.assetplanner.com/service_request?ID=112764" xr:uid="{20EDBC3E-DC13-421C-9372-FDB3B23D91A7}"/>
    <hyperlink ref="L47" r:id="rId21" display="https://us3.assetplanner.com/service_request?ID=109950" xr:uid="{A96046B4-1433-4883-975B-2E18AA9060AE}"/>
    <hyperlink ref="L51" r:id="rId22" display="https://us3.assetplanner.com/service_request?ID=098241" xr:uid="{ECFEE717-2B80-44DB-A8A0-DCE52057C9F0}"/>
    <hyperlink ref="L56" r:id="rId23" display="https://us3.assetplanner.com/service_request?ID=113149" xr:uid="{D593FEE3-B3A6-4163-91F3-A696570DF456}"/>
    <hyperlink ref="N56" r:id="rId24" display="https://us3.assetplanner.com/service_request?ID=113912" xr:uid="{4BC2B4F2-03D0-47B7-9247-5DBB1855128B}"/>
    <hyperlink ref="L57" r:id="rId25" display="https://us3.assetplanner.com/service_request?ID=104556" xr:uid="{44E6D373-5923-4EB9-907E-2AFC60D42E6F}"/>
    <hyperlink ref="N57" r:id="rId26" display="https://us3.assetplanner.com/service_request?ID=112024" xr:uid="{3DE7166D-460C-4AFE-A3AF-42F5E23E40D4}"/>
    <hyperlink ref="O57" r:id="rId27" display="https://us3.assetplanner.com/service_request?ID=113579" xr:uid="{7EA64081-64F9-46C8-9045-D1C28D0993F2}"/>
    <hyperlink ref="L61" r:id="rId28" display="https://us3.assetplanner.com/service_request?ID=112418" xr:uid="{1CACDAB2-1104-42D4-968A-32D2CFDD08CC}"/>
    <hyperlink ref="L65" r:id="rId29" display="https://us3.assetplanner.com/service_request?ID=113825" xr:uid="{2D88FFA6-9EE1-43BE-A93B-C0C557B2C6CB}"/>
    <hyperlink ref="L66" r:id="rId30" display="https://us3.assetplanner.com/service_request?ID=105816" xr:uid="{279BD83B-62C4-44CB-8039-19863BF59A50}"/>
    <hyperlink ref="L67" r:id="rId31" display="https://us3.assetplanner.com/service_request?ID=112838" xr:uid="{BCA806AB-55EB-4396-B237-40AFDE30F27B}"/>
    <hyperlink ref="L70" r:id="rId32" display="https://us3.assetplanner.com/service_request?ID=105508" xr:uid="{89495E44-37FE-49B1-AFFD-E68F48F29FB7}"/>
    <hyperlink ref="N70" r:id="rId33" display="https://us3.assetplanner.com/service_request?ID=112950" xr:uid="{D2D95B64-9A2F-43A3-B5BC-6F0D07DDC8FD}"/>
    <hyperlink ref="O70" r:id="rId34" display="https://us3.assetplanner.com/service_request?ID=113336" xr:uid="{E1596AE3-463A-4037-91AC-3FE723E3FAA3}"/>
    <hyperlink ref="P70" r:id="rId35" display="https://us3.assetplanner.com/service_request?ID=113456" xr:uid="{584ED702-4700-4393-B000-71964FC0A800}"/>
    <hyperlink ref="L71" r:id="rId36" display="https://us3.assetplanner.com/service_request?ID=113372" xr:uid="{3EFF11C1-FE6F-4190-9F50-A9E274E69BE0}"/>
    <hyperlink ref="L72" r:id="rId37" display="https://us3.assetplanner.com/service_request?ID=106622" xr:uid="{22B09E76-7323-4F96-B12F-E7B33BE76B1A}"/>
    <hyperlink ref="N72" r:id="rId38" display="https://us3.assetplanner.com/service_request?ID=114038" xr:uid="{B2F24057-C14C-4ED0-B524-A8EFD5D73AEB}"/>
    <hyperlink ref="L73" r:id="rId39" display="https://us3.assetplanner.com/service_request?ID=112755" xr:uid="{1A08C5E5-240A-4724-86DC-FF5DCE599B1F}"/>
    <hyperlink ref="L74" r:id="rId40" display="https://us3.assetplanner.com/service_request?ID=112331" xr:uid="{197F50BA-FFA8-4619-8313-E17049BBB5F3}"/>
    <hyperlink ref="N74" r:id="rId41" display="https://us3.assetplanner.com/service_request?ID=111325" xr:uid="{A5CDFEEF-8342-459B-A01F-F24D697DE849}"/>
    <hyperlink ref="O74" r:id="rId42" display="https://us3.assetplanner.com/service_request?ID=112331" xr:uid="{A05B7CA2-E8E7-4A41-93F0-BBEA4CF0B6B5}"/>
    <hyperlink ref="L75" r:id="rId43" display="https://us3.assetplanner.com/service_request?ID=108338" xr:uid="{9325C35D-7CDA-4A74-BFBB-62BB6CA96FD2}"/>
    <hyperlink ref="L76" r:id="rId44" display="https://us3.assetplanner.com/service_request?ID=112948" xr:uid="{F4DEAF3E-33AC-45AC-B1E2-B380A62556DD}"/>
    <hyperlink ref="L77" r:id="rId45" display="https://us3.assetplanner.com/service_request?ID=101820" xr:uid="{F37E4643-CA24-4E59-BC4C-8875F338F1F1}"/>
    <hyperlink ref="L79" r:id="rId46" display="https://us3.assetplanner.com/service_request?ID=112202" xr:uid="{DB12A9AB-C781-41ED-A105-C5A6058F9B92}"/>
    <hyperlink ref="N79" r:id="rId47" display="https://us3.assetplanner.com/service_request?ID=113857" xr:uid="{2E55595A-7079-4551-9071-87B1117BE124}"/>
    <hyperlink ref="L80" r:id="rId48" display="https://us3.assetplanner.com/service_request?ID=111271" xr:uid="{9DE3F540-7B73-4E4C-98CD-591416ED84F9}"/>
    <hyperlink ref="N80" r:id="rId49" display="https://us3.assetplanner.com/service_request?ID=113700" xr:uid="{AE2AF0BC-0D6D-4B4D-B1FC-92D3CF7B94B4}"/>
    <hyperlink ref="L81" r:id="rId50" display="https://us3.assetplanner.com/service_request?ID=105649" xr:uid="{A28E2E4C-CEA4-4E8A-BDE6-F51E11D4BDEE}"/>
    <hyperlink ref="L82" r:id="rId51" display="https://us3.assetplanner.com/service_request?ID=112750" xr:uid="{AA92B792-393B-4D4A-A7EB-A0D52AE709DF}"/>
    <hyperlink ref="L83" r:id="rId52" display="https://us3.assetplanner.com/service_request?ID=112751" xr:uid="{D81CBF57-D15A-4B53-AE19-3D388BF614DA}"/>
    <hyperlink ref="L85" r:id="rId53" display="https://us3.assetplanner.com/service_request?ID=113860" xr:uid="{BF8AF5EB-BBB4-4C43-BD64-2E70CEC4D29D}"/>
    <hyperlink ref="N85" r:id="rId54" display="https://us3.assetplanner.com/service_request?ID=111019" xr:uid="{EEC6510F-D6A5-4ABA-B397-1F31187B71F5}"/>
    <hyperlink ref="L86" r:id="rId55" display="https://us3.assetplanner.com/service_request?ID=112748" xr:uid="{7264709E-3307-4CDD-9B75-013F8158A657}"/>
    <hyperlink ref="L87" r:id="rId56" display="https://us3.assetplanner.com/service_request?ID=112749" xr:uid="{EC919B2E-4E25-4895-B845-0486D3009A39}"/>
    <hyperlink ref="L89" r:id="rId57" display="https://us3.assetplanner.com/service_request?ID=107667" xr:uid="{4B0A7052-0B00-492B-8776-E8D1170F2862}"/>
    <hyperlink ref="L91" r:id="rId58" display="https://us3.assetplanner.com/service_request?ID=111861" xr:uid="{96D6F833-1F01-4F99-A4ED-2041DAADBD9E}"/>
    <hyperlink ref="N91" r:id="rId59" display="https://us3.assetplanner.com/service_request?ID=113809" xr:uid="{6F312BC8-2563-46BF-9927-54D2CD9411D5}"/>
    <hyperlink ref="O91" r:id="rId60" display="https://us3.assetplanner.com/service_request?ID=106739" xr:uid="{EB1DE5E9-AB50-4430-8C85-69BA390D1D1A}"/>
    <hyperlink ref="L92" r:id="rId61" display="https://us3.assetplanner.com/service_request?ID=109604" xr:uid="{FAC1342F-3088-439F-BFF7-F53B6899F17F}"/>
    <hyperlink ref="L97" r:id="rId62" display="https://us3.assetplanner.com/service_request?ID=111776" xr:uid="{8DE3D0F8-1986-40E7-B42F-F6A272C00582}"/>
    <hyperlink ref="L99" r:id="rId63" display="https://us3.assetplanner.com/service_request?ID=112194" xr:uid="{A7B89F53-58D1-41AF-9F3F-AB9464804DA4}"/>
    <hyperlink ref="L100" r:id="rId64" display="https://us3.assetplanner.com/service_request?ID=112253" xr:uid="{1821463E-AF3D-47B0-ACCE-9A1903F46FC6}"/>
    <hyperlink ref="N100" r:id="rId65" display="https://us3.assetplanner.com/service_request?ID=113924" xr:uid="{258B21A6-F0F8-4E13-94C4-C61A42C57585}"/>
    <hyperlink ref="L101" r:id="rId66" display="https://us3.assetplanner.com/service_request?ID=111825" xr:uid="{F0724A76-D9A4-478A-A506-A1A4D8E73B9C}"/>
    <hyperlink ref="N101" r:id="rId67" display="https://us3.assetplanner.com/service_request?ID=113433" xr:uid="{78743065-13B3-414A-BC24-7CBCCA2395BD}"/>
    <hyperlink ref="O101" r:id="rId68" display="https://us3.assetplanner.com/service_request?ID=112217" xr:uid="{7A25E0A6-38E9-40F5-81C4-2421E286E338}"/>
    <hyperlink ref="P101" r:id="rId69" display="https://us3.assetplanner.com/service_request?ID=112035" xr:uid="{EAB6E90A-79AC-49A8-8201-41E042EA8547}"/>
    <hyperlink ref="Q101" r:id="rId70" display="https://us3.assetplanner.com/service_request?ID=111825" xr:uid="{F1368601-3D19-40FC-B919-14800EF45D98}"/>
    <hyperlink ref="R101" r:id="rId71" display="https://us3.assetplanner.com/service_request?ID=112892" xr:uid="{80925FE9-2404-4F7B-ACAA-4E1B23806D5B}"/>
    <hyperlink ref="S101" r:id="rId72" display="https://us3.assetplanner.com/service_request?ID=113201" xr:uid="{CA46E208-EC1F-493E-BD20-A2678BA13690}"/>
    <hyperlink ref="L102" r:id="rId73" display="https://us3.assetplanner.com/service_request?ID=112199" xr:uid="{2D8C6DF0-75BE-46FE-B52E-DF8B91066602}"/>
    <hyperlink ref="L103" r:id="rId74" display="https://us3.assetplanner.com/service_request?ID=112502" xr:uid="{611635CF-1EBF-4B05-BCD8-920C8D0338F9}"/>
    <hyperlink ref="L107" r:id="rId75" display="https://us3.assetplanner.com/service_request?ID=112379" xr:uid="{0E96EF52-0255-45AE-AEA6-4A341804D763}"/>
    <hyperlink ref="L108" r:id="rId76" display="https://us3.assetplanner.com/service_request?ID=113716" xr:uid="{DECE0F74-E0D1-45FA-85B0-A4CA205EED0B}"/>
    <hyperlink ref="N108" r:id="rId77" display="https://us3.assetplanner.com/service_request?ID=108120" xr:uid="{4719D40A-35A3-42CB-BC90-5BA4261D7FF3}"/>
    <hyperlink ref="O108" r:id="rId78" display="https://us3.assetplanner.com/service_request?ID=112191" xr:uid="{F44495B7-C692-4516-AA2A-96E4B4AA94CF}"/>
    <hyperlink ref="L110" r:id="rId79" display="https://us3.assetplanner.com/service_request?ID=106921" xr:uid="{07BBA907-3F8E-4A25-9CCB-E92D5C9F4A4D}"/>
    <hyperlink ref="L112" r:id="rId80" display="https://us3.assetplanner.com/service_request?ID=110135" xr:uid="{7736F49C-1B57-46AA-B882-65662831B078}"/>
    <hyperlink ref="L113" r:id="rId81" display="https://us3.assetplanner.com/service_request?ID=098860" xr:uid="{80E3DB77-907F-40A1-A287-A98D256CACFD}"/>
    <hyperlink ref="N113" r:id="rId82" display="https://us3.assetplanner.com/service_request?ID=113864" xr:uid="{0FCAAC04-59F4-43BF-9946-66E6ED376988}"/>
    <hyperlink ref="O113" r:id="rId83" display="https://us3.assetplanner.com/service_request?ID=112216" xr:uid="{025AF87C-296E-4FFA-A2E5-835952C0C219}"/>
    <hyperlink ref="L114" r:id="rId84" display="https://us3.assetplanner.com/service_request?ID=112506" xr:uid="{DF28E21A-9C3A-43DF-A241-937F40387FD0}"/>
    <hyperlink ref="N114" r:id="rId85" display="https://us3.assetplanner.com/service_request?ID=113815" xr:uid="{2CE1CF31-D573-4D56-B248-D4348DE6F78C}"/>
    <hyperlink ref="O114" r:id="rId86" display="https://us3.assetplanner.com/service_request?ID=109998" xr:uid="{70645E0B-679E-40A9-A272-E13F18AA3B43}"/>
    <hyperlink ref="L115" r:id="rId87" display="https://us3.assetplanner.com/service_request?ID=109079" xr:uid="{F22B4D54-1CD2-4D9E-BA35-5327E8100A5D}"/>
    <hyperlink ref="L116" r:id="rId88" display="https://us3.assetplanner.com/service_request?ID=113325" xr:uid="{016C1775-8F66-4AFF-85C9-8262E6FA0CBD}"/>
    <hyperlink ref="N116" r:id="rId89" display="https://us3.assetplanner.com/service_request?ID=113817" xr:uid="{E272D7AB-E5A3-4FDC-98F9-83EB0262D388}"/>
    <hyperlink ref="L119" r:id="rId90" display="https://us3.assetplanner.com/service_request?ID=112261" xr:uid="{4087C19E-3C73-4456-9CD3-192C70B3AF7C}"/>
    <hyperlink ref="L121" r:id="rId91" display="https://us3.assetplanner.com/service_request?ID=113089" xr:uid="{A9873E3A-6DD9-4E0C-950C-ECC1C0C2B82C}"/>
    <hyperlink ref="L123" r:id="rId92" display="https://us3.assetplanner.com/service_request?ID=111884" xr:uid="{D93EF85A-7624-45D7-A1E7-5E9A122B1825}"/>
    <hyperlink ref="L124" r:id="rId93" display="https://us3.assetplanner.com/service_request?ID=112553" xr:uid="{D0BF62BF-788D-4447-9B21-56BBAA8E296A}"/>
    <hyperlink ref="L130" r:id="rId94" display="https://us3.assetplanner.com/service_request?ID=113437" xr:uid="{9174726F-CA7E-496C-859B-5FADFE215886}"/>
    <hyperlink ref="L133" r:id="rId95" display="https://us3.assetplanner.com/service_request?ID=112389" xr:uid="{5026F2C9-872A-4DAC-B6A4-828DE475C9E4}"/>
    <hyperlink ref="L135" r:id="rId96" display="https://us3.assetplanner.com/service_request?ID=113237" xr:uid="{16D9E766-27B4-4734-8152-6108AAEA3383}"/>
    <hyperlink ref="L138" r:id="rId97" display="https://us3.assetplanner.com/service_request?ID=112357" xr:uid="{55A7D047-BFC8-4424-BF43-018004235CAB}"/>
    <hyperlink ref="L145" r:id="rId98" display="https://us3.assetplanner.com/service_request?ID=109332" xr:uid="{B2D58D8E-4A6E-4ED7-B252-74F959BD47D4}"/>
    <hyperlink ref="L146" r:id="rId99" display="https://us3.assetplanner.com/service_request?ID=112210" xr:uid="{DEB00705-1DD4-4DC7-920D-4A848917D134}"/>
    <hyperlink ref="L148" r:id="rId100" display="https://us3.assetplanner.com/service_request?ID=113649" xr:uid="{FD4D1EE9-6849-4CDB-8D17-3E04A5ABA0F5}"/>
    <hyperlink ref="L149" r:id="rId101" display="https://us3.assetplanner.com/service_request?ID=113247" xr:uid="{A9E8453B-E754-4FBB-9EB0-6610ABA69305}"/>
    <hyperlink ref="L150" r:id="rId102" display="https://us3.assetplanner.com/service_request?ID=112334" xr:uid="{8DE0E4A2-E261-4A0B-BB9B-7DDD0AFFFC9F}"/>
    <hyperlink ref="L152" r:id="rId103" display="https://us3.assetplanner.com/service_request?ID=098278" xr:uid="{E7FB5DE3-38A2-40A0-91F6-0DA1E24812A8}"/>
    <hyperlink ref="L153" r:id="rId104" display="https://us3.assetplanner.com/service_request?ID=112499" xr:uid="{42E2BD65-81AD-4DD0-80E3-40D450E98C02}"/>
    <hyperlink ref="L154" r:id="rId105" display="https://us3.assetplanner.com/service_request?ID=112060" xr:uid="{C73CA61A-5F25-4E4A-BEBA-F11F161C5662}"/>
    <hyperlink ref="L156" r:id="rId106" display="https://us3.assetplanner.com/service_request?ID=113693" xr:uid="{A41E77FC-A607-430C-B2C3-66FA7A64E08E}"/>
    <hyperlink ref="L157" r:id="rId107" display="https://us3.assetplanner.com/service_request?ID=111863" xr:uid="{0FB7CC31-33B1-41F6-B230-5B9F2AB8175E}"/>
    <hyperlink ref="N157" r:id="rId108" display="https://us3.assetplanner.com/service_request?ID=113917" xr:uid="{FB4A6715-ABBC-43AD-8B26-19AF110852BD}"/>
    <hyperlink ref="L158" r:id="rId109" display="https://us3.assetplanner.com/service_request?ID=112440" xr:uid="{116AA32A-DD04-46DE-B699-136FD23408CD}"/>
    <hyperlink ref="L160" r:id="rId110" display="https://us3.assetplanner.com/service_request?ID=109524" xr:uid="{0E769218-DE98-4622-AAB1-DFEDC8CA5233}"/>
    <hyperlink ref="L162" r:id="rId111" display="https://us3.assetplanner.com/service_request?ID=110863" xr:uid="{8F92D7F8-A8F7-4DD2-8DE0-41B4F3662A01}"/>
    <hyperlink ref="L163" r:id="rId112" display="https://us3.assetplanner.com/service_request?ID=113569" xr:uid="{250A9515-C240-4CCC-985B-DD794EEEA6AF}"/>
    <hyperlink ref="L164" r:id="rId113" display="https://us3.assetplanner.com/service_request?ID=110867" xr:uid="{A28299B6-DE05-491F-BC43-B74C3719F7CE}"/>
    <hyperlink ref="L165" r:id="rId114" display="https://us3.assetplanner.com/service_request?ID=113626" xr:uid="{7BF98C16-3890-4EF3-A8F3-7443D906424A}"/>
    <hyperlink ref="N165" r:id="rId115" display="https://us3.assetplanner.com/service_request?ID=113003" xr:uid="{59021ACC-DF10-4FA2-904E-B9391E2CF279}"/>
    <hyperlink ref="O165" r:id="rId116" display="https://us3.assetplanner.com/service_request?ID=111163" xr:uid="{E44FA588-3A88-4EE5-90CF-56181CA3D1F3}"/>
    <hyperlink ref="P165" r:id="rId117" display="https://us3.assetplanner.com/service_request?ID=113452" xr:uid="{27FB2CE0-0795-437E-B6B2-8E3587F0083D}"/>
    <hyperlink ref="L167" r:id="rId118" display="https://us3.assetplanner.com/service_request?ID=113185" xr:uid="{33E102C5-F9E2-4C6E-BF61-9507CE493B5F}"/>
    <hyperlink ref="L170" r:id="rId119" display="https://us3.assetplanner.com/service_request?ID=113743" xr:uid="{EDB3E9F3-055E-4244-BF36-0ED6EFBD1EFB}"/>
    <hyperlink ref="L171" r:id="rId120" display="https://us3.assetplanner.com/service_request?ID=112320" xr:uid="{F5B71A84-12B8-480E-9779-31DFD8B518A8}"/>
    <hyperlink ref="L172" r:id="rId121" display="https://us3.assetplanner.com/service_request?ID=113222" xr:uid="{D393AB78-3825-41E6-8CB8-2140BEB09B0C}"/>
    <hyperlink ref="L173" r:id="rId122" display="https://us3.assetplanner.com/service_request?ID=112318" xr:uid="{1DA12909-C94D-4E2F-880C-5E24AA662175}"/>
  </hyperlinks>
  <pageMargins left="0.4" right="0.7" top="0.25" bottom="0.25" header="0.3" footer="0.3"/>
  <pageSetup fitToHeight="99" orientation="landscape"/>
  <legacyDrawing r:id="rId12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73"/>
  <sheetViews>
    <sheetView zoomScale="90" zoomScaleNormal="90" workbookViewId="0">
      <pane ySplit="3" topLeftCell="A158" activePane="bottomLeft" state="frozen"/>
      <selection pane="bottomLeft" activeCell="E180" sqref="E180"/>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2876</v>
      </c>
      <c r="B1" t="s">
        <v>2877</v>
      </c>
    </row>
    <row r="3" spans="1:6" ht="13.15">
      <c r="A3" t="s">
        <v>2878</v>
      </c>
      <c r="B3" t="s">
        <v>3</v>
      </c>
      <c r="C3" t="s">
        <v>4</v>
      </c>
      <c r="D3" t="s">
        <v>2879</v>
      </c>
      <c r="E3" s="2" t="s">
        <v>2880</v>
      </c>
      <c r="F3" t="s">
        <v>5</v>
      </c>
    </row>
    <row r="4" spans="1:6" ht="12.75" customHeight="1">
      <c r="A4" s="40" t="s">
        <v>2881</v>
      </c>
      <c r="B4" s="3" t="s">
        <v>2881</v>
      </c>
      <c r="C4" s="3" t="s">
        <v>2882</v>
      </c>
      <c r="E4" t="s">
        <v>2883</v>
      </c>
      <c r="F4" t="s">
        <v>2884</v>
      </c>
    </row>
    <row r="5" spans="1:6" ht="12.75" customHeight="1">
      <c r="A5" s="40" t="s">
        <v>2885</v>
      </c>
      <c r="B5" s="3" t="s">
        <v>2885</v>
      </c>
      <c r="C5" s="3" t="s">
        <v>2882</v>
      </c>
      <c r="E5" t="s">
        <v>2883</v>
      </c>
      <c r="F5" t="s">
        <v>2886</v>
      </c>
    </row>
    <row r="6" spans="1:6" ht="12.75" customHeight="1">
      <c r="A6" s="41" t="s">
        <v>2887</v>
      </c>
      <c r="B6" t="s">
        <v>2888</v>
      </c>
      <c r="C6" s="3" t="s">
        <v>2882</v>
      </c>
      <c r="E6" t="s">
        <v>2883</v>
      </c>
      <c r="F6" t="s">
        <v>2889</v>
      </c>
    </row>
    <row r="7" spans="1:6" ht="12.75" customHeight="1">
      <c r="A7" s="40" t="s">
        <v>2890</v>
      </c>
      <c r="B7" s="3" t="s">
        <v>2890</v>
      </c>
      <c r="C7" s="3" t="s">
        <v>2882</v>
      </c>
      <c r="E7" t="s">
        <v>2883</v>
      </c>
      <c r="F7" t="s">
        <v>2891</v>
      </c>
    </row>
    <row r="8" spans="1:6" ht="12.75" customHeight="1">
      <c r="A8" s="41" t="s">
        <v>2892</v>
      </c>
      <c r="B8" t="s">
        <v>2892</v>
      </c>
      <c r="C8" s="3" t="s">
        <v>2882</v>
      </c>
      <c r="E8" t="s">
        <v>2883</v>
      </c>
      <c r="F8" t="s">
        <v>2893</v>
      </c>
    </row>
    <row r="9" spans="1:6" ht="12.75" customHeight="1">
      <c r="A9" s="40" t="s">
        <v>2894</v>
      </c>
      <c r="B9" s="3" t="s">
        <v>2894</v>
      </c>
      <c r="C9" s="3" t="s">
        <v>2882</v>
      </c>
      <c r="E9" t="s">
        <v>2883</v>
      </c>
      <c r="F9" t="s">
        <v>2895</v>
      </c>
    </row>
    <row r="10" spans="1:6" ht="12.75" customHeight="1">
      <c r="A10" s="40" t="s">
        <v>2896</v>
      </c>
      <c r="B10" s="3" t="s">
        <v>2896</v>
      </c>
      <c r="C10" s="3" t="s">
        <v>2882</v>
      </c>
      <c r="E10" t="s">
        <v>2883</v>
      </c>
      <c r="F10" t="s">
        <v>2897</v>
      </c>
    </row>
    <row r="11" spans="1:6" ht="12.75" customHeight="1">
      <c r="A11" s="40" t="s">
        <v>2898</v>
      </c>
      <c r="B11" s="3" t="s">
        <v>2898</v>
      </c>
      <c r="C11" s="3" t="s">
        <v>2882</v>
      </c>
      <c r="E11" t="s">
        <v>2883</v>
      </c>
      <c r="F11" t="s">
        <v>2899</v>
      </c>
    </row>
    <row r="12" spans="1:6" ht="12.75" customHeight="1">
      <c r="A12" s="40" t="s">
        <v>2900</v>
      </c>
      <c r="B12" s="3" t="s">
        <v>2900</v>
      </c>
      <c r="C12" s="3" t="s">
        <v>2882</v>
      </c>
      <c r="E12" t="s">
        <v>2883</v>
      </c>
      <c r="F12" t="s">
        <v>2901</v>
      </c>
    </row>
    <row r="13" spans="1:6" ht="12.75" customHeight="1">
      <c r="A13" s="40" t="s">
        <v>2902</v>
      </c>
      <c r="B13" s="3" t="s">
        <v>2902</v>
      </c>
      <c r="C13" s="3" t="s">
        <v>2882</v>
      </c>
      <c r="E13" t="s">
        <v>2883</v>
      </c>
      <c r="F13" t="s">
        <v>2903</v>
      </c>
    </row>
    <row r="14" spans="1:6" ht="12.75" customHeight="1">
      <c r="A14" s="40" t="s">
        <v>2904</v>
      </c>
      <c r="B14" s="3" t="s">
        <v>2904</v>
      </c>
      <c r="C14" s="3" t="s">
        <v>2882</v>
      </c>
      <c r="E14" t="s">
        <v>2883</v>
      </c>
      <c r="F14" t="s">
        <v>2905</v>
      </c>
    </row>
    <row r="15" spans="1:6" ht="12.75" customHeight="1">
      <c r="A15" s="41" t="s">
        <v>2906</v>
      </c>
      <c r="B15" t="s">
        <v>2906</v>
      </c>
      <c r="C15" s="3" t="s">
        <v>2882</v>
      </c>
      <c r="E15" t="s">
        <v>2883</v>
      </c>
      <c r="F15" t="s">
        <v>2907</v>
      </c>
    </row>
    <row r="16" spans="1:6" ht="12.75" customHeight="1">
      <c r="A16" s="41" t="s">
        <v>2908</v>
      </c>
      <c r="B16" t="s">
        <v>2908</v>
      </c>
      <c r="C16" s="3" t="s">
        <v>2882</v>
      </c>
      <c r="E16" t="s">
        <v>2883</v>
      </c>
      <c r="F16" t="s">
        <v>2909</v>
      </c>
    </row>
    <row r="17" spans="1:6" ht="12.75" customHeight="1">
      <c r="A17" s="40" t="s">
        <v>2910</v>
      </c>
      <c r="B17" s="3" t="s">
        <v>2910</v>
      </c>
      <c r="C17" s="3" t="s">
        <v>2882</v>
      </c>
      <c r="E17" t="s">
        <v>2883</v>
      </c>
      <c r="F17" t="s">
        <v>2911</v>
      </c>
    </row>
    <row r="18" spans="1:6" ht="12.75" customHeight="1">
      <c r="A18" s="40" t="s">
        <v>2912</v>
      </c>
      <c r="B18" s="3" t="s">
        <v>2912</v>
      </c>
      <c r="C18" s="3" t="s">
        <v>2882</v>
      </c>
      <c r="E18" t="s">
        <v>2883</v>
      </c>
      <c r="F18" t="s">
        <v>2913</v>
      </c>
    </row>
    <row r="19" spans="1:6" ht="12.75" customHeight="1">
      <c r="A19" s="40" t="s">
        <v>2914</v>
      </c>
      <c r="B19" s="3" t="s">
        <v>2914</v>
      </c>
      <c r="C19" s="3" t="s">
        <v>2882</v>
      </c>
      <c r="E19" t="s">
        <v>2883</v>
      </c>
      <c r="F19" t="s">
        <v>2915</v>
      </c>
    </row>
    <row r="20" spans="1:6" ht="12.75" customHeight="1">
      <c r="A20" s="41" t="s">
        <v>2916</v>
      </c>
      <c r="B20" t="s">
        <v>2916</v>
      </c>
      <c r="C20" s="3" t="s">
        <v>2882</v>
      </c>
      <c r="E20" t="s">
        <v>2883</v>
      </c>
      <c r="F20" t="s">
        <v>2917</v>
      </c>
    </row>
    <row r="21" spans="1:6" ht="12.75" customHeight="1">
      <c r="A21" s="40" t="s">
        <v>2918</v>
      </c>
      <c r="B21" s="3" t="s">
        <v>2918</v>
      </c>
      <c r="C21" s="3" t="s">
        <v>2882</v>
      </c>
      <c r="E21" t="s">
        <v>2883</v>
      </c>
      <c r="F21" t="s">
        <v>2919</v>
      </c>
    </row>
    <row r="22" spans="1:6" ht="12.75" customHeight="1">
      <c r="A22" s="40" t="s">
        <v>2920</v>
      </c>
      <c r="B22" s="3" t="s">
        <v>2920</v>
      </c>
      <c r="C22" s="3" t="s">
        <v>2882</v>
      </c>
      <c r="E22" t="s">
        <v>2883</v>
      </c>
      <c r="F22" t="s">
        <v>2921</v>
      </c>
    </row>
    <row r="23" spans="1:6" ht="12.75" customHeight="1">
      <c r="A23" s="40" t="s">
        <v>2922</v>
      </c>
      <c r="B23" s="3" t="s">
        <v>2922</v>
      </c>
      <c r="C23" s="3" t="s">
        <v>2882</v>
      </c>
      <c r="E23" t="s">
        <v>2883</v>
      </c>
      <c r="F23" t="s">
        <v>2923</v>
      </c>
    </row>
    <row r="24" spans="1:6" ht="12.75" customHeight="1">
      <c r="A24" s="41" t="s">
        <v>2924</v>
      </c>
      <c r="B24" t="s">
        <v>2924</v>
      </c>
      <c r="C24" s="3" t="s">
        <v>2882</v>
      </c>
      <c r="E24" t="s">
        <v>2883</v>
      </c>
      <c r="F24" t="s">
        <v>2925</v>
      </c>
    </row>
    <row r="25" spans="1:6" ht="12.75" customHeight="1">
      <c r="A25" s="41" t="s">
        <v>2926</v>
      </c>
      <c r="B25" t="s">
        <v>2926</v>
      </c>
      <c r="C25" s="3" t="s">
        <v>2882</v>
      </c>
      <c r="E25" t="s">
        <v>2883</v>
      </c>
      <c r="F25" t="s">
        <v>2927</v>
      </c>
    </row>
    <row r="26" spans="1:6" ht="12.75" customHeight="1">
      <c r="A26" s="40" t="s">
        <v>2928</v>
      </c>
      <c r="B26" s="3" t="s">
        <v>2928</v>
      </c>
      <c r="C26" s="3" t="s">
        <v>2882</v>
      </c>
      <c r="E26" t="s">
        <v>2883</v>
      </c>
      <c r="F26" t="s">
        <v>2929</v>
      </c>
    </row>
    <row r="27" spans="1:6" ht="12.75" customHeight="1">
      <c r="A27" s="40" t="s">
        <v>2930</v>
      </c>
      <c r="B27" s="3" t="s">
        <v>2931</v>
      </c>
      <c r="C27" s="3" t="s">
        <v>2882</v>
      </c>
      <c r="E27" t="s">
        <v>2883</v>
      </c>
      <c r="F27" t="s">
        <v>2932</v>
      </c>
    </row>
    <row r="28" spans="1:6" ht="12.75" customHeight="1">
      <c r="A28" s="41" t="s">
        <v>2933</v>
      </c>
      <c r="B28" t="s">
        <v>2933</v>
      </c>
      <c r="C28" s="3" t="s">
        <v>2882</v>
      </c>
      <c r="E28" t="s">
        <v>2883</v>
      </c>
      <c r="F28" t="s">
        <v>2934</v>
      </c>
    </row>
    <row r="29" spans="1:6" ht="12.75" customHeight="1">
      <c r="A29" s="40" t="s">
        <v>2935</v>
      </c>
      <c r="B29" s="3" t="s">
        <v>2935</v>
      </c>
      <c r="C29" s="3" t="s">
        <v>2882</v>
      </c>
      <c r="E29" t="s">
        <v>2883</v>
      </c>
      <c r="F29" t="s">
        <v>2936</v>
      </c>
    </row>
    <row r="30" spans="1:6" ht="12.75" customHeight="1">
      <c r="A30" s="40" t="s">
        <v>2937</v>
      </c>
      <c r="B30" s="3" t="s">
        <v>2937</v>
      </c>
      <c r="C30" s="3" t="s">
        <v>2882</v>
      </c>
      <c r="E30" t="s">
        <v>2883</v>
      </c>
      <c r="F30" t="s">
        <v>2938</v>
      </c>
    </row>
    <row r="31" spans="1:6" ht="12.75" customHeight="1">
      <c r="A31" s="40" t="s">
        <v>2939</v>
      </c>
      <c r="B31" s="3" t="s">
        <v>2939</v>
      </c>
      <c r="C31" s="3" t="s">
        <v>2882</v>
      </c>
      <c r="E31" t="s">
        <v>2883</v>
      </c>
      <c r="F31" t="s">
        <v>2940</v>
      </c>
    </row>
    <row r="32" spans="1:6" ht="12.75" customHeight="1">
      <c r="A32" s="40" t="s">
        <v>2941</v>
      </c>
      <c r="B32" s="3" t="s">
        <v>2941</v>
      </c>
      <c r="C32" s="3" t="s">
        <v>2882</v>
      </c>
      <c r="E32" t="s">
        <v>2883</v>
      </c>
      <c r="F32" t="s">
        <v>2942</v>
      </c>
    </row>
    <row r="33" spans="1:6" ht="12.75" customHeight="1">
      <c r="A33" s="40" t="s">
        <v>2943</v>
      </c>
      <c r="B33" s="3" t="s">
        <v>2943</v>
      </c>
      <c r="C33" s="3" t="s">
        <v>2882</v>
      </c>
      <c r="E33" t="s">
        <v>2883</v>
      </c>
      <c r="F33" t="s">
        <v>2944</v>
      </c>
    </row>
    <row r="34" spans="1:6" ht="12.75" customHeight="1">
      <c r="A34" s="40" t="s">
        <v>2945</v>
      </c>
      <c r="B34" s="3" t="s">
        <v>2945</v>
      </c>
      <c r="C34" s="3" t="s">
        <v>2882</v>
      </c>
      <c r="E34" t="s">
        <v>2883</v>
      </c>
      <c r="F34" t="s">
        <v>2946</v>
      </c>
    </row>
    <row r="35" spans="1:6" ht="12.75" customHeight="1">
      <c r="A35" s="40" t="s">
        <v>2947</v>
      </c>
      <c r="B35" s="3" t="s">
        <v>2947</v>
      </c>
      <c r="C35" s="3" t="s">
        <v>2882</v>
      </c>
      <c r="E35" t="s">
        <v>2883</v>
      </c>
      <c r="F35" t="s">
        <v>2948</v>
      </c>
    </row>
    <row r="36" spans="1:6" ht="12.75" customHeight="1">
      <c r="A36" s="40" t="s">
        <v>2949</v>
      </c>
      <c r="B36" s="3" t="s">
        <v>2949</v>
      </c>
      <c r="C36" s="3" t="s">
        <v>2882</v>
      </c>
      <c r="E36" t="s">
        <v>2883</v>
      </c>
      <c r="F36" t="s">
        <v>2950</v>
      </c>
    </row>
    <row r="37" spans="1:6" ht="12.75" customHeight="1">
      <c r="A37" s="40" t="s">
        <v>2951</v>
      </c>
      <c r="B37" s="3" t="s">
        <v>2951</v>
      </c>
      <c r="C37" s="3" t="s">
        <v>2882</v>
      </c>
      <c r="E37" t="s">
        <v>2883</v>
      </c>
      <c r="F37" t="s">
        <v>2952</v>
      </c>
    </row>
    <row r="38" spans="1:6" ht="12.75" customHeight="1">
      <c r="A38" s="40" t="s">
        <v>2953</v>
      </c>
      <c r="B38" s="3" t="s">
        <v>2953</v>
      </c>
      <c r="C38" s="3" t="s">
        <v>2882</v>
      </c>
      <c r="E38" t="s">
        <v>2883</v>
      </c>
      <c r="F38" t="s">
        <v>2954</v>
      </c>
    </row>
    <row r="39" spans="1:6" ht="12.75" customHeight="1">
      <c r="A39" s="40" t="s">
        <v>2955</v>
      </c>
      <c r="B39" s="3" t="s">
        <v>2955</v>
      </c>
      <c r="C39" s="3" t="s">
        <v>2882</v>
      </c>
      <c r="E39" t="s">
        <v>2883</v>
      </c>
      <c r="F39" t="s">
        <v>2956</v>
      </c>
    </row>
    <row r="40" spans="1:6" ht="12.75" customHeight="1">
      <c r="A40" s="40" t="s">
        <v>2957</v>
      </c>
      <c r="B40" s="3" t="s">
        <v>2957</v>
      </c>
      <c r="C40" s="3" t="s">
        <v>2882</v>
      </c>
      <c r="E40" t="s">
        <v>2883</v>
      </c>
      <c r="F40" t="s">
        <v>2958</v>
      </c>
    </row>
    <row r="41" spans="1:6" ht="12.75" customHeight="1">
      <c r="A41" s="41" t="s">
        <v>2959</v>
      </c>
      <c r="B41" t="s">
        <v>2959</v>
      </c>
      <c r="C41" s="3" t="s">
        <v>2882</v>
      </c>
      <c r="E41" t="s">
        <v>2883</v>
      </c>
      <c r="F41" t="s">
        <v>2960</v>
      </c>
    </row>
    <row r="42" spans="1:6" ht="12.75" customHeight="1">
      <c r="A42" s="41" t="s">
        <v>2961</v>
      </c>
      <c r="B42" t="s">
        <v>2961</v>
      </c>
      <c r="C42" s="3" t="s">
        <v>2882</v>
      </c>
      <c r="E42" t="s">
        <v>2883</v>
      </c>
      <c r="F42" t="s">
        <v>2962</v>
      </c>
    </row>
    <row r="43" spans="1:6" ht="12.75" customHeight="1">
      <c r="A43" s="40" t="s">
        <v>2963</v>
      </c>
      <c r="B43" s="3" t="s">
        <v>2963</v>
      </c>
      <c r="C43" s="3" t="s">
        <v>2882</v>
      </c>
      <c r="E43" t="s">
        <v>2883</v>
      </c>
      <c r="F43" t="s">
        <v>2964</v>
      </c>
    </row>
    <row r="44" spans="1:6" ht="12.75" customHeight="1">
      <c r="A44" s="40" t="s">
        <v>2965</v>
      </c>
      <c r="B44" s="3" t="s">
        <v>2965</v>
      </c>
      <c r="C44" s="3" t="s">
        <v>2882</v>
      </c>
      <c r="E44" t="s">
        <v>2883</v>
      </c>
      <c r="F44" t="s">
        <v>2966</v>
      </c>
    </row>
    <row r="45" spans="1:6" ht="12.75" customHeight="1">
      <c r="A45" s="41" t="s">
        <v>2967</v>
      </c>
      <c r="B45" t="s">
        <v>2968</v>
      </c>
      <c r="C45" s="3" t="s">
        <v>2882</v>
      </c>
      <c r="E45" t="s">
        <v>2883</v>
      </c>
      <c r="F45" t="s">
        <v>2969</v>
      </c>
    </row>
    <row r="46" spans="1:6" ht="12.75" customHeight="1">
      <c r="A46" s="41" t="s">
        <v>2970</v>
      </c>
      <c r="B46" t="s">
        <v>2970</v>
      </c>
      <c r="C46" s="3" t="s">
        <v>2882</v>
      </c>
      <c r="E46" t="s">
        <v>2883</v>
      </c>
      <c r="F46" t="s">
        <v>2971</v>
      </c>
    </row>
    <row r="47" spans="1:6" ht="12.75" customHeight="1">
      <c r="A47" s="40">
        <v>38</v>
      </c>
      <c r="B47" s="3" t="s">
        <v>2972</v>
      </c>
      <c r="C47" s="3" t="s">
        <v>2882</v>
      </c>
      <c r="E47" t="s">
        <v>2883</v>
      </c>
      <c r="F47" t="s">
        <v>2973</v>
      </c>
    </row>
    <row r="48" spans="1:6" ht="12.75" customHeight="1">
      <c r="A48" s="41">
        <v>144</v>
      </c>
      <c r="B48" t="s">
        <v>2974</v>
      </c>
      <c r="C48" s="3" t="s">
        <v>2882</v>
      </c>
      <c r="E48" t="s">
        <v>2883</v>
      </c>
      <c r="F48" t="s">
        <v>2975</v>
      </c>
    </row>
    <row r="49" spans="1:6" ht="12.75" customHeight="1">
      <c r="A49" s="40">
        <v>279</v>
      </c>
      <c r="B49" s="3" t="s">
        <v>2976</v>
      </c>
      <c r="C49" s="3" t="s">
        <v>2882</v>
      </c>
      <c r="E49" t="s">
        <v>2883</v>
      </c>
      <c r="F49" t="s">
        <v>2977</v>
      </c>
    </row>
    <row r="50" spans="1:6" ht="12.75" customHeight="1">
      <c r="A50" s="40">
        <v>293</v>
      </c>
      <c r="B50" s="3" t="s">
        <v>2978</v>
      </c>
      <c r="C50" s="3" t="s">
        <v>2882</v>
      </c>
      <c r="E50" t="s">
        <v>2883</v>
      </c>
      <c r="F50" t="s">
        <v>2979</v>
      </c>
    </row>
    <row r="51" spans="1:6" ht="12.75" customHeight="1">
      <c r="A51" s="41">
        <v>308</v>
      </c>
      <c r="B51" t="s">
        <v>2980</v>
      </c>
      <c r="C51" s="3" t="s">
        <v>2882</v>
      </c>
      <c r="E51" t="s">
        <v>2883</v>
      </c>
      <c r="F51" t="s">
        <v>2981</v>
      </c>
    </row>
    <row r="52" spans="1:6" ht="12.75" customHeight="1">
      <c r="A52" s="41">
        <v>309</v>
      </c>
      <c r="B52" t="s">
        <v>2982</v>
      </c>
      <c r="C52" s="3" t="s">
        <v>2882</v>
      </c>
      <c r="E52" t="s">
        <v>2883</v>
      </c>
      <c r="F52" t="s">
        <v>2983</v>
      </c>
    </row>
    <row r="53" spans="1:6" ht="12.75" customHeight="1">
      <c r="A53" s="41" t="s">
        <v>2984</v>
      </c>
      <c r="B53" t="s">
        <v>2985</v>
      </c>
      <c r="C53" s="3" t="s">
        <v>2882</v>
      </c>
      <c r="E53" t="s">
        <v>2883</v>
      </c>
      <c r="F53" t="s">
        <v>2986</v>
      </c>
    </row>
    <row r="54" spans="1:6" ht="12.75" customHeight="1">
      <c r="A54" s="40" t="s">
        <v>2987</v>
      </c>
      <c r="B54" s="3" t="s">
        <v>2987</v>
      </c>
      <c r="C54" s="3" t="s">
        <v>2882</v>
      </c>
      <c r="E54" t="s">
        <v>2883</v>
      </c>
      <c r="F54" t="s">
        <v>2988</v>
      </c>
    </row>
    <row r="55" spans="1:6" ht="12.75" customHeight="1">
      <c r="A55" s="40">
        <v>358</v>
      </c>
      <c r="B55" s="3" t="s">
        <v>2989</v>
      </c>
      <c r="C55" s="3" t="s">
        <v>2882</v>
      </c>
      <c r="E55" t="s">
        <v>2883</v>
      </c>
      <c r="F55" t="s">
        <v>2990</v>
      </c>
    </row>
    <row r="56" spans="1:6" ht="12.75" customHeight="1">
      <c r="A56" s="40" t="s">
        <v>2991</v>
      </c>
      <c r="B56" s="3" t="s">
        <v>2992</v>
      </c>
      <c r="C56" s="3" t="s">
        <v>2993</v>
      </c>
      <c r="E56" t="s">
        <v>2883</v>
      </c>
      <c r="F56" t="s">
        <v>2994</v>
      </c>
    </row>
    <row r="57" spans="1:6" ht="12.75" customHeight="1">
      <c r="A57" s="40" t="s">
        <v>2995</v>
      </c>
      <c r="B57" s="3" t="s">
        <v>2996</v>
      </c>
      <c r="C57" s="3" t="s">
        <v>2993</v>
      </c>
      <c r="E57" t="s">
        <v>2883</v>
      </c>
      <c r="F57" t="s">
        <v>2997</v>
      </c>
    </row>
    <row r="58" spans="1:6" ht="12.75" customHeight="1">
      <c r="A58" s="40" t="s">
        <v>2998</v>
      </c>
      <c r="B58" s="40" t="s">
        <v>2998</v>
      </c>
      <c r="C58" s="3" t="s">
        <v>2882</v>
      </c>
      <c r="D58" t="s">
        <v>2999</v>
      </c>
      <c r="E58" t="s">
        <v>3000</v>
      </c>
      <c r="F58" t="s">
        <v>3001</v>
      </c>
    </row>
    <row r="59" spans="1:6" ht="12.75" customHeight="1">
      <c r="A59" s="40" t="s">
        <v>3002</v>
      </c>
      <c r="B59" s="3" t="s">
        <v>3002</v>
      </c>
      <c r="C59" s="3" t="s">
        <v>2882</v>
      </c>
      <c r="D59" t="s">
        <v>2999</v>
      </c>
      <c r="E59" s="42" t="s">
        <v>3000</v>
      </c>
      <c r="F59" t="s">
        <v>3003</v>
      </c>
    </row>
    <row r="60" spans="1:6" ht="12.75" customHeight="1">
      <c r="A60" s="40" t="s">
        <v>3004</v>
      </c>
      <c r="B60" s="3" t="s">
        <v>3005</v>
      </c>
      <c r="C60" s="3" t="s">
        <v>2882</v>
      </c>
      <c r="D60" t="s">
        <v>2999</v>
      </c>
      <c r="E60" s="42" t="s">
        <v>3000</v>
      </c>
      <c r="F60" t="s">
        <v>3006</v>
      </c>
    </row>
    <row r="61" spans="1:6" ht="12.75" customHeight="1">
      <c r="A61" s="40" t="s">
        <v>3007</v>
      </c>
      <c r="B61" s="3" t="s">
        <v>3008</v>
      </c>
      <c r="C61" s="3" t="s">
        <v>2882</v>
      </c>
      <c r="D61" t="s">
        <v>2999</v>
      </c>
      <c r="E61" s="42" t="s">
        <v>3000</v>
      </c>
      <c r="F61" t="s">
        <v>3009</v>
      </c>
    </row>
    <row r="62" spans="1:6" ht="12.75" customHeight="1">
      <c r="A62" s="40" t="s">
        <v>3010</v>
      </c>
      <c r="B62" s="3" t="s">
        <v>3010</v>
      </c>
      <c r="C62" s="3" t="s">
        <v>2882</v>
      </c>
      <c r="D62" t="s">
        <v>2999</v>
      </c>
      <c r="E62" t="s">
        <v>3000</v>
      </c>
      <c r="F62" t="s">
        <v>3011</v>
      </c>
    </row>
    <row r="63" spans="1:6" ht="12.75" customHeight="1">
      <c r="A63" s="40" t="s">
        <v>3012</v>
      </c>
      <c r="B63" s="40" t="s">
        <v>3012</v>
      </c>
      <c r="C63" s="3" t="s">
        <v>2882</v>
      </c>
      <c r="D63" t="s">
        <v>2999</v>
      </c>
      <c r="E63" t="s">
        <v>3000</v>
      </c>
      <c r="F63" t="s">
        <v>3013</v>
      </c>
    </row>
    <row r="64" spans="1:6" ht="12.75" customHeight="1">
      <c r="A64" s="40" t="s">
        <v>3014</v>
      </c>
      <c r="B64" s="40" t="s">
        <v>3014</v>
      </c>
      <c r="C64" s="3" t="s">
        <v>2882</v>
      </c>
      <c r="D64" t="s">
        <v>2999</v>
      </c>
      <c r="E64" t="s">
        <v>3000</v>
      </c>
      <c r="F64" t="s">
        <v>3015</v>
      </c>
    </row>
    <row r="65" spans="1:6" ht="12.75" customHeight="1">
      <c r="A65" s="40" t="s">
        <v>3016</v>
      </c>
      <c r="B65" s="40" t="s">
        <v>3016</v>
      </c>
      <c r="C65" s="3" t="s">
        <v>2882</v>
      </c>
      <c r="D65" t="s">
        <v>2999</v>
      </c>
      <c r="E65" t="s">
        <v>3000</v>
      </c>
      <c r="F65" t="s">
        <v>3017</v>
      </c>
    </row>
    <row r="66" spans="1:6" ht="12.75" customHeight="1">
      <c r="A66" s="40" t="s">
        <v>3018</v>
      </c>
      <c r="B66" s="40" t="s">
        <v>3018</v>
      </c>
      <c r="C66" s="3" t="s">
        <v>2882</v>
      </c>
      <c r="D66" t="s">
        <v>2999</v>
      </c>
      <c r="E66" t="s">
        <v>3000</v>
      </c>
      <c r="F66" t="s">
        <v>3019</v>
      </c>
    </row>
    <row r="67" spans="1:6" ht="12.75" customHeight="1">
      <c r="A67" s="40" t="s">
        <v>3020</v>
      </c>
      <c r="B67" s="40" t="s">
        <v>3020</v>
      </c>
      <c r="C67" s="3" t="s">
        <v>2882</v>
      </c>
      <c r="D67" t="s">
        <v>2999</v>
      </c>
      <c r="E67" t="s">
        <v>3000</v>
      </c>
      <c r="F67" t="s">
        <v>3021</v>
      </c>
    </row>
    <row r="68" spans="1:6" ht="12.75" customHeight="1">
      <c r="A68" s="40" t="s">
        <v>3022</v>
      </c>
      <c r="B68" s="40" t="s">
        <v>3022</v>
      </c>
      <c r="C68" s="3" t="s">
        <v>2882</v>
      </c>
      <c r="D68" t="s">
        <v>2999</v>
      </c>
      <c r="E68" t="s">
        <v>3000</v>
      </c>
      <c r="F68" t="s">
        <v>3023</v>
      </c>
    </row>
    <row r="69" spans="1:6" ht="12.75" customHeight="1">
      <c r="A69" s="40" t="s">
        <v>3024</v>
      </c>
      <c r="B69" s="3" t="s">
        <v>3024</v>
      </c>
      <c r="C69" s="3" t="s">
        <v>2882</v>
      </c>
      <c r="D69" t="s">
        <v>3025</v>
      </c>
      <c r="E69" t="s">
        <v>3000</v>
      </c>
      <c r="F69" t="s">
        <v>3026</v>
      </c>
    </row>
    <row r="70" spans="1:6" ht="12.75" customHeight="1">
      <c r="A70" s="40" t="s">
        <v>3027</v>
      </c>
      <c r="B70" s="3" t="s">
        <v>3027</v>
      </c>
      <c r="C70" s="3" t="s">
        <v>2882</v>
      </c>
      <c r="D70" t="s">
        <v>2999</v>
      </c>
      <c r="E70" t="s">
        <v>3000</v>
      </c>
      <c r="F70" t="s">
        <v>3028</v>
      </c>
    </row>
    <row r="71" spans="1:6" ht="12.75" customHeight="1">
      <c r="A71" s="40" t="s">
        <v>3029</v>
      </c>
      <c r="B71" s="3" t="s">
        <v>3029</v>
      </c>
      <c r="C71" s="3" t="s">
        <v>2882</v>
      </c>
      <c r="D71" t="s">
        <v>2999</v>
      </c>
      <c r="E71" t="s">
        <v>3000</v>
      </c>
      <c r="F71" t="s">
        <v>3030</v>
      </c>
    </row>
    <row r="72" spans="1:6" ht="12.75" customHeight="1">
      <c r="A72" s="40" t="s">
        <v>3031</v>
      </c>
      <c r="B72" s="3" t="s">
        <v>3031</v>
      </c>
      <c r="C72" s="3" t="s">
        <v>2882</v>
      </c>
      <c r="D72" t="s">
        <v>2999</v>
      </c>
      <c r="E72" t="s">
        <v>3000</v>
      </c>
      <c r="F72" t="s">
        <v>3032</v>
      </c>
    </row>
    <row r="73" spans="1:6" ht="12.75" customHeight="1">
      <c r="A73" s="40" t="s">
        <v>3033</v>
      </c>
      <c r="B73" s="3" t="s">
        <v>3033</v>
      </c>
      <c r="C73" s="3" t="s">
        <v>2882</v>
      </c>
      <c r="D73" t="s">
        <v>2999</v>
      </c>
      <c r="E73" t="s">
        <v>3000</v>
      </c>
      <c r="F73" t="s">
        <v>3034</v>
      </c>
    </row>
    <row r="74" spans="1:6" ht="12.75" customHeight="1">
      <c r="A74" s="40" t="s">
        <v>3035</v>
      </c>
      <c r="B74" s="3" t="s">
        <v>3036</v>
      </c>
      <c r="C74" s="3" t="s">
        <v>2882</v>
      </c>
      <c r="E74" t="s">
        <v>2883</v>
      </c>
      <c r="F74" t="s">
        <v>3037</v>
      </c>
    </row>
    <row r="75" spans="1:6" ht="12.75" customHeight="1">
      <c r="A75" s="40" t="s">
        <v>3038</v>
      </c>
      <c r="B75" s="3" t="s">
        <v>3038</v>
      </c>
      <c r="C75" s="3" t="s">
        <v>2882</v>
      </c>
      <c r="D75" t="s">
        <v>2999</v>
      </c>
      <c r="E75" t="s">
        <v>3000</v>
      </c>
      <c r="F75" t="s">
        <v>3039</v>
      </c>
    </row>
    <row r="76" spans="1:6" ht="12.75" customHeight="1">
      <c r="A76" s="40" t="s">
        <v>3040</v>
      </c>
      <c r="B76" s="3" t="s">
        <v>3040</v>
      </c>
      <c r="C76" s="3" t="s">
        <v>2882</v>
      </c>
      <c r="D76" t="s">
        <v>3025</v>
      </c>
      <c r="E76" t="s">
        <v>3000</v>
      </c>
      <c r="F76" t="s">
        <v>3041</v>
      </c>
    </row>
    <row r="77" spans="1:6" ht="12.75" customHeight="1">
      <c r="A77" s="40" t="s">
        <v>3042</v>
      </c>
      <c r="B77" s="3" t="s">
        <v>3042</v>
      </c>
      <c r="C77" s="3" t="s">
        <v>2882</v>
      </c>
      <c r="D77" t="s">
        <v>2999</v>
      </c>
      <c r="E77" t="s">
        <v>3000</v>
      </c>
      <c r="F77" t="s">
        <v>3043</v>
      </c>
    </row>
    <row r="78" spans="1:6" ht="12.75" customHeight="1">
      <c r="A78" s="40" t="s">
        <v>3044</v>
      </c>
      <c r="B78" s="3" t="s">
        <v>3044</v>
      </c>
      <c r="C78" s="3" t="s">
        <v>2882</v>
      </c>
      <c r="D78" t="s">
        <v>2999</v>
      </c>
      <c r="E78" t="s">
        <v>3000</v>
      </c>
      <c r="F78" t="s">
        <v>3045</v>
      </c>
    </row>
    <row r="79" spans="1:6" ht="12.75" customHeight="1">
      <c r="A79" s="3" t="s">
        <v>3046</v>
      </c>
      <c r="B79" s="3" t="s">
        <v>3046</v>
      </c>
      <c r="C79" s="3" t="s">
        <v>2882</v>
      </c>
      <c r="E79" t="s">
        <v>3000</v>
      </c>
      <c r="F79" t="s">
        <v>3047</v>
      </c>
    </row>
    <row r="80" spans="1:6" ht="12.75" customHeight="1">
      <c r="A80" s="3" t="s">
        <v>3048</v>
      </c>
      <c r="B80" s="3" t="s">
        <v>3048</v>
      </c>
      <c r="C80" s="3" t="s">
        <v>2882</v>
      </c>
      <c r="D80" t="s">
        <v>2999</v>
      </c>
      <c r="E80" t="s">
        <v>3000</v>
      </c>
      <c r="F80" t="s">
        <v>3049</v>
      </c>
    </row>
    <row r="81" spans="1:6" ht="12.75" customHeight="1">
      <c r="A81" s="3" t="s">
        <v>3050</v>
      </c>
      <c r="B81" s="3" t="s">
        <v>3050</v>
      </c>
      <c r="C81" s="3" t="s">
        <v>2882</v>
      </c>
      <c r="D81" t="s">
        <v>2999</v>
      </c>
      <c r="E81" t="s">
        <v>3000</v>
      </c>
      <c r="F81" t="s">
        <v>3051</v>
      </c>
    </row>
    <row r="82" spans="1:6" ht="12.75" customHeight="1">
      <c r="A82" s="3" t="s">
        <v>3052</v>
      </c>
      <c r="B82" s="3" t="s">
        <v>3052</v>
      </c>
      <c r="C82" s="3" t="s">
        <v>2882</v>
      </c>
      <c r="D82" t="s">
        <v>2999</v>
      </c>
      <c r="E82" t="s">
        <v>3000</v>
      </c>
      <c r="F82" t="s">
        <v>3053</v>
      </c>
    </row>
    <row r="83" spans="1:6" ht="12.75" customHeight="1">
      <c r="A83" s="3" t="s">
        <v>3054</v>
      </c>
      <c r="B83" s="3" t="s">
        <v>3054</v>
      </c>
      <c r="C83" s="3" t="s">
        <v>2882</v>
      </c>
      <c r="D83" t="s">
        <v>2999</v>
      </c>
      <c r="E83" t="s">
        <v>3000</v>
      </c>
      <c r="F83" t="s">
        <v>3055</v>
      </c>
    </row>
    <row r="84" spans="1:6" ht="12.75" customHeight="1">
      <c r="A84" s="3" t="s">
        <v>3056</v>
      </c>
      <c r="B84" s="3" t="s">
        <v>3056</v>
      </c>
      <c r="C84" s="3" t="s">
        <v>2882</v>
      </c>
      <c r="D84" t="s">
        <v>2999</v>
      </c>
      <c r="E84" t="s">
        <v>3000</v>
      </c>
      <c r="F84" t="s">
        <v>3057</v>
      </c>
    </row>
    <row r="85" spans="1:6" ht="12.75" customHeight="1">
      <c r="A85" s="3" t="s">
        <v>3058</v>
      </c>
      <c r="B85" s="3" t="s">
        <v>3058</v>
      </c>
      <c r="C85" s="3" t="s">
        <v>2882</v>
      </c>
      <c r="D85" t="s">
        <v>2999</v>
      </c>
      <c r="E85" t="s">
        <v>3000</v>
      </c>
      <c r="F85" t="s">
        <v>3059</v>
      </c>
    </row>
    <row r="86" spans="1:6" ht="12.75" customHeight="1">
      <c r="A86" s="3" t="s">
        <v>3060</v>
      </c>
      <c r="B86" s="3" t="s">
        <v>3061</v>
      </c>
      <c r="C86" s="3" t="s">
        <v>2882</v>
      </c>
      <c r="D86" t="s">
        <v>2999</v>
      </c>
      <c r="E86" t="s">
        <v>3000</v>
      </c>
      <c r="F86" t="s">
        <v>3062</v>
      </c>
    </row>
    <row r="87" spans="1:6" ht="12.75" customHeight="1">
      <c r="A87" s="3" t="s">
        <v>3063</v>
      </c>
      <c r="B87" s="3" t="s">
        <v>3064</v>
      </c>
      <c r="C87" s="3" t="s">
        <v>2882</v>
      </c>
      <c r="D87" t="s">
        <v>2999</v>
      </c>
      <c r="E87" t="s">
        <v>3000</v>
      </c>
      <c r="F87" t="s">
        <v>3065</v>
      </c>
    </row>
    <row r="88" spans="1:6" ht="12.75" customHeight="1">
      <c r="A88" s="3" t="s">
        <v>3066</v>
      </c>
      <c r="B88" s="3" t="s">
        <v>3066</v>
      </c>
      <c r="C88" s="3" t="s">
        <v>2882</v>
      </c>
      <c r="D88" t="s">
        <v>2999</v>
      </c>
      <c r="E88" t="s">
        <v>3000</v>
      </c>
      <c r="F88" t="s">
        <v>3067</v>
      </c>
    </row>
    <row r="89" spans="1:6" ht="12.75" customHeight="1">
      <c r="A89" s="3" t="s">
        <v>3068</v>
      </c>
      <c r="B89" s="3" t="s">
        <v>3068</v>
      </c>
      <c r="C89" s="3" t="s">
        <v>2882</v>
      </c>
      <c r="D89" t="s">
        <v>2999</v>
      </c>
      <c r="E89" t="s">
        <v>3000</v>
      </c>
      <c r="F89" t="s">
        <v>3069</v>
      </c>
    </row>
    <row r="90" spans="1:6" ht="12.75" customHeight="1">
      <c r="A90" s="3" t="s">
        <v>3070</v>
      </c>
      <c r="B90" s="3" t="s">
        <v>3070</v>
      </c>
      <c r="C90" s="3" t="s">
        <v>2882</v>
      </c>
      <c r="D90" t="s">
        <v>2999</v>
      </c>
      <c r="E90" t="s">
        <v>3000</v>
      </c>
      <c r="F90" t="s">
        <v>3071</v>
      </c>
    </row>
    <row r="91" spans="1:6" ht="12.75" customHeight="1">
      <c r="A91" s="40" t="s">
        <v>3072</v>
      </c>
      <c r="B91" s="3" t="s">
        <v>3072</v>
      </c>
      <c r="C91" s="3" t="s">
        <v>2882</v>
      </c>
      <c r="D91" t="s">
        <v>2999</v>
      </c>
      <c r="E91" t="s">
        <v>3000</v>
      </c>
      <c r="F91" t="s">
        <v>3073</v>
      </c>
    </row>
    <row r="92" spans="1:6" ht="12.75" customHeight="1">
      <c r="A92" s="40" t="s">
        <v>3074</v>
      </c>
      <c r="B92" s="3" t="s">
        <v>3074</v>
      </c>
      <c r="C92" s="3" t="s">
        <v>2882</v>
      </c>
      <c r="D92" t="s">
        <v>2999</v>
      </c>
      <c r="E92" t="s">
        <v>3000</v>
      </c>
      <c r="F92" t="s">
        <v>3075</v>
      </c>
    </row>
    <row r="93" spans="1:6" ht="12.75" customHeight="1">
      <c r="A93" s="40" t="s">
        <v>3076</v>
      </c>
      <c r="B93" s="3" t="s">
        <v>3076</v>
      </c>
      <c r="C93" s="3" t="s">
        <v>2882</v>
      </c>
      <c r="E93" t="s">
        <v>3000</v>
      </c>
      <c r="F93" t="s">
        <v>3077</v>
      </c>
    </row>
    <row r="94" spans="1:6" ht="12.75" customHeight="1">
      <c r="A94" s="40" t="s">
        <v>3078</v>
      </c>
      <c r="B94" s="3" t="s">
        <v>3078</v>
      </c>
      <c r="C94" s="3" t="s">
        <v>2882</v>
      </c>
      <c r="E94" t="s">
        <v>2883</v>
      </c>
      <c r="F94" t="s">
        <v>3079</v>
      </c>
    </row>
    <row r="95" spans="1:6" ht="12.75" customHeight="1">
      <c r="A95" s="40" t="s">
        <v>3080</v>
      </c>
      <c r="B95" s="3" t="s">
        <v>3080</v>
      </c>
      <c r="C95" s="3" t="s">
        <v>2882</v>
      </c>
      <c r="E95" t="s">
        <v>2883</v>
      </c>
      <c r="F95" t="s">
        <v>3081</v>
      </c>
    </row>
    <row r="96" spans="1:6" ht="12.75" customHeight="1">
      <c r="A96" s="3" t="s">
        <v>3076</v>
      </c>
      <c r="B96" s="3" t="s">
        <v>3082</v>
      </c>
      <c r="C96" s="3" t="s">
        <v>2882</v>
      </c>
      <c r="E96" t="s">
        <v>3000</v>
      </c>
      <c r="F96" t="s">
        <v>3083</v>
      </c>
    </row>
    <row r="97" spans="1:6" ht="12.75" customHeight="1">
      <c r="A97" s="3" t="s">
        <v>3084</v>
      </c>
      <c r="B97" s="3" t="s">
        <v>3084</v>
      </c>
      <c r="C97" s="3" t="s">
        <v>2882</v>
      </c>
      <c r="D97" t="s">
        <v>2999</v>
      </c>
      <c r="E97" t="s">
        <v>3000</v>
      </c>
      <c r="F97" t="s">
        <v>3085</v>
      </c>
    </row>
    <row r="98" spans="1:6" ht="12.75" customHeight="1">
      <c r="A98" s="40" t="s">
        <v>3086</v>
      </c>
      <c r="B98" s="40" t="s">
        <v>3086</v>
      </c>
      <c r="C98" s="3" t="s">
        <v>2882</v>
      </c>
      <c r="D98" t="s">
        <v>2999</v>
      </c>
      <c r="E98" s="65" t="s">
        <v>3087</v>
      </c>
      <c r="F98" s="65" t="s">
        <v>3088</v>
      </c>
    </row>
    <row r="99" spans="1:6" ht="12.75" customHeight="1">
      <c r="A99" s="40" t="s">
        <v>3089</v>
      </c>
      <c r="B99" s="40" t="s">
        <v>3089</v>
      </c>
      <c r="C99" s="3" t="s">
        <v>2882</v>
      </c>
      <c r="D99" t="s">
        <v>2999</v>
      </c>
      <c r="E99" s="65" t="s">
        <v>3090</v>
      </c>
      <c r="F99" s="65" t="s">
        <v>3091</v>
      </c>
    </row>
    <row r="100" spans="1:6" ht="12.75" customHeight="1">
      <c r="A100" s="40" t="s">
        <v>3092</v>
      </c>
      <c r="B100" s="40" t="s">
        <v>3092</v>
      </c>
      <c r="C100" s="3" t="s">
        <v>2882</v>
      </c>
      <c r="E100" s="65" t="s">
        <v>3093</v>
      </c>
      <c r="F100" s="65" t="s">
        <v>3094</v>
      </c>
    </row>
    <row r="101" spans="1:6" ht="12.75" customHeight="1">
      <c r="A101" s="40" t="s">
        <v>3095</v>
      </c>
      <c r="B101" s="40" t="s">
        <v>3095</v>
      </c>
      <c r="C101" s="3" t="s">
        <v>2882</v>
      </c>
      <c r="D101" t="s">
        <v>2999</v>
      </c>
      <c r="E101" s="65" t="s">
        <v>3090</v>
      </c>
      <c r="F101" s="65" t="s">
        <v>3096</v>
      </c>
    </row>
    <row r="102" spans="1:6" ht="12.75" customHeight="1">
      <c r="A102" s="40" t="s">
        <v>3097</v>
      </c>
      <c r="B102" s="40" t="s">
        <v>3097</v>
      </c>
      <c r="C102" s="3" t="s">
        <v>2882</v>
      </c>
      <c r="D102" t="s">
        <v>2999</v>
      </c>
      <c r="E102" s="65" t="s">
        <v>3000</v>
      </c>
      <c r="F102" s="65" t="s">
        <v>3098</v>
      </c>
    </row>
    <row r="103" spans="1:6" ht="12.75" customHeight="1">
      <c r="A103" s="40" t="s">
        <v>3099</v>
      </c>
      <c r="B103" s="40" t="s">
        <v>3099</v>
      </c>
      <c r="C103" s="3" t="s">
        <v>2882</v>
      </c>
      <c r="E103" s="65" t="s">
        <v>3090</v>
      </c>
      <c r="F103" s="65" t="s">
        <v>3100</v>
      </c>
    </row>
    <row r="104" spans="1:6" ht="12.75" customHeight="1">
      <c r="A104" s="40" t="s">
        <v>3101</v>
      </c>
      <c r="B104" s="40" t="s">
        <v>3101</v>
      </c>
      <c r="C104" s="3" t="s">
        <v>2882</v>
      </c>
      <c r="D104" t="s">
        <v>2999</v>
      </c>
      <c r="E104" s="65" t="s">
        <v>3090</v>
      </c>
      <c r="F104" s="65" t="s">
        <v>3102</v>
      </c>
    </row>
    <row r="105" spans="1:6" ht="12.75" customHeight="1">
      <c r="A105" s="40" t="s">
        <v>3103</v>
      </c>
      <c r="B105" s="40" t="s">
        <v>3104</v>
      </c>
      <c r="C105" s="3" t="s">
        <v>2882</v>
      </c>
      <c r="E105" s="65" t="s">
        <v>2883</v>
      </c>
      <c r="F105" s="65" t="s">
        <v>3105</v>
      </c>
    </row>
    <row r="106" spans="1:6" ht="12.75" customHeight="1">
      <c r="A106" s="40" t="s">
        <v>3106</v>
      </c>
      <c r="B106" s="40" t="s">
        <v>3107</v>
      </c>
      <c r="C106" s="3" t="s">
        <v>2882</v>
      </c>
      <c r="E106" s="65" t="s">
        <v>2883</v>
      </c>
      <c r="F106" s="65" t="s">
        <v>3108</v>
      </c>
    </row>
    <row r="107" spans="1:6" ht="12.75" customHeight="1">
      <c r="A107" s="40" t="s">
        <v>3109</v>
      </c>
      <c r="B107" s="40" t="s">
        <v>3109</v>
      </c>
      <c r="C107" s="3" t="s">
        <v>2882</v>
      </c>
      <c r="D107" t="s">
        <v>2999</v>
      </c>
      <c r="E107" s="65" t="s">
        <v>3090</v>
      </c>
      <c r="F107" s="65" t="s">
        <v>3110</v>
      </c>
    </row>
    <row r="108" spans="1:6" ht="12.75" customHeight="1">
      <c r="A108" s="40" t="s">
        <v>3111</v>
      </c>
      <c r="B108" s="40" t="s">
        <v>3111</v>
      </c>
      <c r="C108" s="3" t="s">
        <v>2882</v>
      </c>
      <c r="D108" t="s">
        <v>2999</v>
      </c>
      <c r="E108" s="65" t="s">
        <v>3000</v>
      </c>
      <c r="F108" s="65" t="s">
        <v>3112</v>
      </c>
    </row>
    <row r="109" spans="1:6" ht="12.75" customHeight="1">
      <c r="A109" s="40" t="s">
        <v>3113</v>
      </c>
      <c r="B109" s="40" t="s">
        <v>3113</v>
      </c>
      <c r="C109" s="3" t="s">
        <v>2882</v>
      </c>
      <c r="D109" t="s">
        <v>2999</v>
      </c>
      <c r="E109" s="65" t="s">
        <v>3000</v>
      </c>
      <c r="F109" s="65" t="s">
        <v>3114</v>
      </c>
    </row>
    <row r="110" spans="1:6" ht="12.75" customHeight="1">
      <c r="A110" s="40" t="s">
        <v>3115</v>
      </c>
      <c r="B110" s="40" t="s">
        <v>3115</v>
      </c>
      <c r="C110" s="3" t="s">
        <v>2882</v>
      </c>
      <c r="D110" t="s">
        <v>3116</v>
      </c>
      <c r="E110" s="65" t="s">
        <v>3000</v>
      </c>
      <c r="F110" s="65" t="s">
        <v>3117</v>
      </c>
    </row>
    <row r="111" spans="1:6" ht="12.75" customHeight="1">
      <c r="A111" s="40" t="s">
        <v>3118</v>
      </c>
      <c r="B111" s="40" t="s">
        <v>3118</v>
      </c>
      <c r="C111" s="3" t="s">
        <v>2882</v>
      </c>
      <c r="D111" t="s">
        <v>2999</v>
      </c>
      <c r="E111" s="65" t="s">
        <v>3000</v>
      </c>
      <c r="F111" s="65" t="s">
        <v>3119</v>
      </c>
    </row>
    <row r="112" spans="1:6" ht="12.75" customHeight="1">
      <c r="A112" s="40" t="s">
        <v>3120</v>
      </c>
      <c r="B112" s="40" t="s">
        <v>3120</v>
      </c>
      <c r="C112" s="3" t="s">
        <v>2882</v>
      </c>
      <c r="D112" t="s">
        <v>2999</v>
      </c>
      <c r="E112" s="65" t="s">
        <v>3090</v>
      </c>
      <c r="F112" s="65" t="s">
        <v>3121</v>
      </c>
    </row>
    <row r="113" spans="1:6" ht="12.75" customHeight="1">
      <c r="A113" s="40" t="s">
        <v>3122</v>
      </c>
      <c r="B113" s="40" t="s">
        <v>3122</v>
      </c>
      <c r="C113" s="3" t="s">
        <v>2882</v>
      </c>
      <c r="D113" t="s">
        <v>2999</v>
      </c>
      <c r="E113" s="65" t="s">
        <v>3090</v>
      </c>
      <c r="F113" s="65" t="s">
        <v>3123</v>
      </c>
    </row>
    <row r="114" spans="1:6" ht="12.75" customHeight="1">
      <c r="A114" s="40" t="s">
        <v>3124</v>
      </c>
      <c r="B114" s="40" t="s">
        <v>3124</v>
      </c>
      <c r="C114" s="3" t="s">
        <v>2882</v>
      </c>
      <c r="D114" t="s">
        <v>2999</v>
      </c>
      <c r="E114" s="65" t="s">
        <v>3090</v>
      </c>
      <c r="F114" s="65" t="s">
        <v>3125</v>
      </c>
    </row>
    <row r="115" spans="1:6" ht="12.75" customHeight="1">
      <c r="A115" s="40" t="s">
        <v>3126</v>
      </c>
      <c r="B115" s="40" t="s">
        <v>3126</v>
      </c>
      <c r="C115" s="3" t="s">
        <v>2882</v>
      </c>
      <c r="E115" s="65" t="s">
        <v>3090</v>
      </c>
      <c r="F115" s="65" t="s">
        <v>3127</v>
      </c>
    </row>
    <row r="116" spans="1:6" ht="12.75" customHeight="1">
      <c r="A116" s="40" t="s">
        <v>3128</v>
      </c>
      <c r="B116" s="40" t="s">
        <v>3128</v>
      </c>
      <c r="C116" s="3" t="s">
        <v>2882</v>
      </c>
      <c r="D116" t="s">
        <v>2999</v>
      </c>
      <c r="E116" s="65" t="s">
        <v>3090</v>
      </c>
      <c r="F116" s="65" t="s">
        <v>3129</v>
      </c>
    </row>
    <row r="117" spans="1:6" ht="12.75" customHeight="1">
      <c r="A117" s="40" t="s">
        <v>3130</v>
      </c>
      <c r="B117" s="40" t="s">
        <v>3130</v>
      </c>
      <c r="C117" s="3" t="s">
        <v>2882</v>
      </c>
      <c r="E117" s="65" t="s">
        <v>2883</v>
      </c>
      <c r="F117" s="65" t="s">
        <v>3131</v>
      </c>
    </row>
    <row r="118" spans="1:6" ht="12.75" customHeight="1">
      <c r="A118" s="40" t="s">
        <v>3132</v>
      </c>
      <c r="B118" s="40" t="s">
        <v>3132</v>
      </c>
      <c r="C118" s="3" t="s">
        <v>2882</v>
      </c>
      <c r="D118" t="s">
        <v>2999</v>
      </c>
      <c r="E118" s="65" t="s">
        <v>3000</v>
      </c>
      <c r="F118" s="65" t="s">
        <v>3133</v>
      </c>
    </row>
    <row r="119" spans="1:6" ht="12.75" customHeight="1">
      <c r="A119" s="40" t="s">
        <v>3134</v>
      </c>
      <c r="B119" s="3" t="s">
        <v>3134</v>
      </c>
      <c r="C119" s="3" t="s">
        <v>2882</v>
      </c>
      <c r="E119" s="65" t="s">
        <v>2883</v>
      </c>
      <c r="F119" t="s">
        <v>176</v>
      </c>
    </row>
    <row r="120" spans="1:6" ht="12.75" customHeight="1">
      <c r="A120" s="40" t="s">
        <v>3135</v>
      </c>
      <c r="B120" s="40" t="s">
        <v>3135</v>
      </c>
      <c r="C120" s="3" t="s">
        <v>2882</v>
      </c>
      <c r="E120" s="65" t="s">
        <v>2883</v>
      </c>
      <c r="F120" t="s">
        <v>3136</v>
      </c>
    </row>
    <row r="121" spans="1:6" ht="12.75" customHeight="1">
      <c r="A121" s="40" t="s">
        <v>3137</v>
      </c>
      <c r="B121" s="40" t="s">
        <v>3137</v>
      </c>
      <c r="C121" s="3" t="s">
        <v>2882</v>
      </c>
      <c r="E121" s="65" t="s">
        <v>2883</v>
      </c>
      <c r="F121" t="s">
        <v>3138</v>
      </c>
    </row>
    <row r="122" spans="1:6" ht="12.75" customHeight="1">
      <c r="A122" s="40" t="s">
        <v>3139</v>
      </c>
      <c r="B122" s="3" t="s">
        <v>3139</v>
      </c>
      <c r="C122" s="3" t="s">
        <v>2882</v>
      </c>
      <c r="E122" t="s">
        <v>2883</v>
      </c>
      <c r="F122" t="s">
        <v>3140</v>
      </c>
    </row>
    <row r="123" spans="1:6" ht="12.75" customHeight="1">
      <c r="A123" s="40" t="s">
        <v>3141</v>
      </c>
      <c r="B123" s="3" t="s">
        <v>3141</v>
      </c>
      <c r="C123" s="3" t="s">
        <v>2882</v>
      </c>
      <c r="E123" t="s">
        <v>2883</v>
      </c>
      <c r="F123" t="s">
        <v>3142</v>
      </c>
    </row>
    <row r="124" spans="1:6" ht="12.75" customHeight="1">
      <c r="A124" s="40" t="s">
        <v>3143</v>
      </c>
      <c r="B124" s="3" t="s">
        <v>3143</v>
      </c>
      <c r="C124" s="3" t="s">
        <v>2882</v>
      </c>
      <c r="E124" t="s">
        <v>2883</v>
      </c>
      <c r="F124" t="s">
        <v>3144</v>
      </c>
    </row>
    <row r="125" spans="1:6" ht="12.75" customHeight="1">
      <c r="A125" s="40" t="s">
        <v>3145</v>
      </c>
      <c r="B125" s="3" t="s">
        <v>3145</v>
      </c>
      <c r="C125" s="3" t="s">
        <v>2882</v>
      </c>
      <c r="E125" t="s">
        <v>2883</v>
      </c>
      <c r="F125" t="s">
        <v>3146</v>
      </c>
    </row>
    <row r="126" spans="1:6" ht="12.75" customHeight="1">
      <c r="A126" s="40" t="s">
        <v>3147</v>
      </c>
      <c r="B126" s="3" t="s">
        <v>3147</v>
      </c>
      <c r="C126" s="3" t="s">
        <v>2882</v>
      </c>
      <c r="E126" t="s">
        <v>2883</v>
      </c>
      <c r="F126" t="s">
        <v>3148</v>
      </c>
    </row>
    <row r="127" spans="1:6" ht="12.75" customHeight="1">
      <c r="A127" s="40" t="s">
        <v>3149</v>
      </c>
      <c r="B127" s="3" t="s">
        <v>3149</v>
      </c>
      <c r="C127" s="3" t="s">
        <v>2882</v>
      </c>
      <c r="E127" t="s">
        <v>2883</v>
      </c>
      <c r="F127" t="s">
        <v>3150</v>
      </c>
    </row>
    <row r="128" spans="1:6" ht="12.75" customHeight="1">
      <c r="A128" s="40" t="s">
        <v>3151</v>
      </c>
      <c r="B128" s="3" t="s">
        <v>3151</v>
      </c>
      <c r="C128" s="3" t="s">
        <v>2882</v>
      </c>
      <c r="E128" t="s">
        <v>2883</v>
      </c>
      <c r="F128" t="s">
        <v>3152</v>
      </c>
    </row>
    <row r="129" spans="1:6" ht="12.75" customHeight="1">
      <c r="A129" s="40" t="s">
        <v>3153</v>
      </c>
      <c r="B129" s="3" t="s">
        <v>3153</v>
      </c>
      <c r="C129" s="3" t="s">
        <v>2882</v>
      </c>
      <c r="E129" t="s">
        <v>2883</v>
      </c>
      <c r="F129" t="s">
        <v>3154</v>
      </c>
    </row>
    <row r="130" spans="1:6" ht="12.75" customHeight="1">
      <c r="A130" s="40" t="s">
        <v>3155</v>
      </c>
      <c r="B130" s="3" t="s">
        <v>3155</v>
      </c>
      <c r="C130" s="3" t="s">
        <v>2882</v>
      </c>
      <c r="E130" t="s">
        <v>2883</v>
      </c>
      <c r="F130" t="s">
        <v>3156</v>
      </c>
    </row>
    <row r="131" spans="1:6" ht="12.75" customHeight="1">
      <c r="A131" s="40" t="s">
        <v>3157</v>
      </c>
      <c r="B131" s="3" t="s">
        <v>3157</v>
      </c>
      <c r="C131" s="3" t="s">
        <v>2882</v>
      </c>
      <c r="E131" t="s">
        <v>2883</v>
      </c>
      <c r="F131" t="s">
        <v>3158</v>
      </c>
    </row>
    <row r="132" spans="1:6" ht="12.75" customHeight="1">
      <c r="A132" s="40" t="s">
        <v>3159</v>
      </c>
      <c r="B132" s="3" t="s">
        <v>3159</v>
      </c>
      <c r="C132" s="3" t="s">
        <v>2882</v>
      </c>
      <c r="E132" t="s">
        <v>2883</v>
      </c>
      <c r="F132" t="s">
        <v>3160</v>
      </c>
    </row>
    <row r="133" spans="1:6" ht="12.75" customHeight="1">
      <c r="A133" s="40" t="s">
        <v>3161</v>
      </c>
      <c r="B133" s="3" t="s">
        <v>3161</v>
      </c>
      <c r="C133" s="3" t="s">
        <v>2882</v>
      </c>
      <c r="E133" t="s">
        <v>2883</v>
      </c>
      <c r="F133" t="s">
        <v>3162</v>
      </c>
    </row>
    <row r="134" spans="1:6" ht="12.75" customHeight="1">
      <c r="A134" s="40" t="s">
        <v>3163</v>
      </c>
      <c r="B134" s="3" t="s">
        <v>3163</v>
      </c>
      <c r="C134" s="3" t="s">
        <v>2882</v>
      </c>
      <c r="E134" t="s">
        <v>2883</v>
      </c>
      <c r="F134" t="s">
        <v>3164</v>
      </c>
    </row>
    <row r="135" spans="1:6" ht="12.75" customHeight="1">
      <c r="A135" s="40" t="s">
        <v>3165</v>
      </c>
      <c r="B135" s="3" t="s">
        <v>3165</v>
      </c>
      <c r="C135" s="3" t="s">
        <v>2882</v>
      </c>
      <c r="E135" t="s">
        <v>2883</v>
      </c>
      <c r="F135" t="s">
        <v>3166</v>
      </c>
    </row>
    <row r="136" spans="1:6" ht="12.75" customHeight="1">
      <c r="A136" s="40" t="s">
        <v>3167</v>
      </c>
      <c r="B136" s="3" t="s">
        <v>3167</v>
      </c>
      <c r="C136" s="3" t="s">
        <v>2882</v>
      </c>
      <c r="E136" t="s">
        <v>2883</v>
      </c>
      <c r="F136" t="s">
        <v>3168</v>
      </c>
    </row>
    <row r="137" spans="1:6" ht="12.75" customHeight="1">
      <c r="A137" s="40" t="s">
        <v>3169</v>
      </c>
      <c r="B137" s="3" t="s">
        <v>3169</v>
      </c>
      <c r="C137" s="3" t="s">
        <v>2882</v>
      </c>
      <c r="E137" t="s">
        <v>2883</v>
      </c>
      <c r="F137" t="s">
        <v>3170</v>
      </c>
    </row>
    <row r="138" spans="1:6" ht="12.75" customHeight="1">
      <c r="A138" s="40" t="s">
        <v>3171</v>
      </c>
      <c r="B138" s="3" t="s">
        <v>3171</v>
      </c>
      <c r="C138" s="3" t="s">
        <v>2882</v>
      </c>
      <c r="E138" t="s">
        <v>2883</v>
      </c>
      <c r="F138" t="s">
        <v>3172</v>
      </c>
    </row>
    <row r="139" spans="1:6" ht="12.75" customHeight="1">
      <c r="A139" s="40" t="s">
        <v>3173</v>
      </c>
      <c r="B139" s="3" t="s">
        <v>3173</v>
      </c>
      <c r="C139" s="3" t="s">
        <v>2882</v>
      </c>
      <c r="E139" t="s">
        <v>2883</v>
      </c>
      <c r="F139" t="s">
        <v>3174</v>
      </c>
    </row>
    <row r="140" spans="1:6" ht="12.75" customHeight="1">
      <c r="A140" s="40" t="s">
        <v>3175</v>
      </c>
      <c r="B140" s="3" t="s">
        <v>3175</v>
      </c>
      <c r="C140" s="3" t="s">
        <v>2882</v>
      </c>
      <c r="E140" t="s">
        <v>2883</v>
      </c>
      <c r="F140" t="s">
        <v>3176</v>
      </c>
    </row>
    <row r="141" spans="1:6" ht="12.75" customHeight="1">
      <c r="A141" s="40" t="s">
        <v>3177</v>
      </c>
      <c r="B141" s="3" t="s">
        <v>3177</v>
      </c>
      <c r="C141" s="3" t="s">
        <v>2882</v>
      </c>
      <c r="E141" t="s">
        <v>2883</v>
      </c>
      <c r="F141" t="s">
        <v>3178</v>
      </c>
    </row>
    <row r="142" spans="1:6" ht="12.75" customHeight="1">
      <c r="A142" s="40" t="s">
        <v>3179</v>
      </c>
      <c r="B142" s="3" t="s">
        <v>3179</v>
      </c>
      <c r="C142" s="3" t="s">
        <v>2882</v>
      </c>
      <c r="E142" t="s">
        <v>2883</v>
      </c>
      <c r="F142" t="s">
        <v>3180</v>
      </c>
    </row>
    <row r="143" spans="1:6" ht="12.75" customHeight="1">
      <c r="A143" s="40" t="s">
        <v>3181</v>
      </c>
      <c r="B143" s="3" t="s">
        <v>3181</v>
      </c>
      <c r="C143" s="3" t="s">
        <v>2882</v>
      </c>
      <c r="E143" t="s">
        <v>2883</v>
      </c>
      <c r="F143" t="s">
        <v>3182</v>
      </c>
    </row>
    <row r="144" spans="1:6" ht="12.75" customHeight="1">
      <c r="A144" s="40" t="s">
        <v>3183</v>
      </c>
      <c r="B144" s="3" t="s">
        <v>3184</v>
      </c>
      <c r="C144" s="3" t="s">
        <v>3185</v>
      </c>
      <c r="E144" t="s">
        <v>2883</v>
      </c>
      <c r="F144" t="s">
        <v>3186</v>
      </c>
    </row>
    <row r="145" spans="1:6" ht="12.75" customHeight="1">
      <c r="A145" s="40" t="s">
        <v>3187</v>
      </c>
      <c r="B145" s="3" t="s">
        <v>3188</v>
      </c>
      <c r="C145" s="3" t="s">
        <v>3185</v>
      </c>
      <c r="E145" t="s">
        <v>2883</v>
      </c>
      <c r="F145" t="s">
        <v>3189</v>
      </c>
    </row>
    <row r="146" spans="1:6" ht="12.75" customHeight="1">
      <c r="A146" s="40" t="s">
        <v>3190</v>
      </c>
      <c r="B146" s="3" t="s">
        <v>3191</v>
      </c>
      <c r="C146" s="3" t="s">
        <v>3185</v>
      </c>
      <c r="E146" t="s">
        <v>2883</v>
      </c>
      <c r="F146" t="s">
        <v>3192</v>
      </c>
    </row>
    <row r="147" spans="1:6" ht="12.75" customHeight="1">
      <c r="A147" s="40" t="s">
        <v>3193</v>
      </c>
      <c r="B147" s="3" t="s">
        <v>3193</v>
      </c>
      <c r="C147" s="3" t="s">
        <v>2882</v>
      </c>
      <c r="E147" t="s">
        <v>2883</v>
      </c>
      <c r="F147" t="s">
        <v>3194</v>
      </c>
    </row>
    <row r="148" spans="1:6" ht="12.75" customHeight="1">
      <c r="A148" s="40" t="s">
        <v>3195</v>
      </c>
      <c r="B148" s="3" t="s">
        <v>3195</v>
      </c>
      <c r="C148" s="3" t="s">
        <v>2882</v>
      </c>
      <c r="E148" t="s">
        <v>2883</v>
      </c>
      <c r="F148" t="s">
        <v>3196</v>
      </c>
    </row>
    <row r="149" spans="1:6" ht="12.75" customHeight="1">
      <c r="A149" s="40" t="s">
        <v>3197</v>
      </c>
      <c r="B149" s="3" t="s">
        <v>3197</v>
      </c>
      <c r="C149" s="3" t="s">
        <v>2882</v>
      </c>
      <c r="D149" t="s">
        <v>2999</v>
      </c>
      <c r="E149" t="s">
        <v>3000</v>
      </c>
      <c r="F149" t="s">
        <v>3198</v>
      </c>
    </row>
    <row r="150" spans="1:6" ht="12.75" customHeight="1">
      <c r="A150" s="40" t="s">
        <v>3199</v>
      </c>
      <c r="B150" s="3" t="s">
        <v>3199</v>
      </c>
      <c r="C150" s="3" t="s">
        <v>2882</v>
      </c>
      <c r="D150" t="s">
        <v>2999</v>
      </c>
      <c r="E150" t="s">
        <v>3000</v>
      </c>
      <c r="F150" t="s">
        <v>3200</v>
      </c>
    </row>
    <row r="151" spans="1:6" ht="12.75" customHeight="1">
      <c r="A151" s="40" t="s">
        <v>3201</v>
      </c>
      <c r="B151" s="3" t="s">
        <v>3201</v>
      </c>
      <c r="C151" s="3" t="s">
        <v>3185</v>
      </c>
      <c r="E151" t="s">
        <v>2883</v>
      </c>
      <c r="F151" t="s">
        <v>3202</v>
      </c>
    </row>
    <row r="152" spans="1:6" ht="12.75" customHeight="1">
      <c r="A152" s="40" t="s">
        <v>3203</v>
      </c>
      <c r="B152" s="3" t="s">
        <v>3203</v>
      </c>
      <c r="C152" s="3" t="s">
        <v>2882</v>
      </c>
      <c r="E152" t="s">
        <v>3000</v>
      </c>
      <c r="F152" t="s">
        <v>3204</v>
      </c>
    </row>
    <row r="153" spans="1:6" ht="12.75" customHeight="1">
      <c r="A153" s="40" t="s">
        <v>3205</v>
      </c>
      <c r="B153" s="3" t="s">
        <v>3205</v>
      </c>
      <c r="C153" s="3" t="s">
        <v>2882</v>
      </c>
      <c r="E153" t="s">
        <v>3090</v>
      </c>
      <c r="F153" t="s">
        <v>3206</v>
      </c>
    </row>
    <row r="154" spans="1:6" ht="12.75" customHeight="1">
      <c r="A154" s="40" t="s">
        <v>3207</v>
      </c>
      <c r="B154" s="3" t="s">
        <v>3208</v>
      </c>
      <c r="C154" s="3" t="s">
        <v>3185</v>
      </c>
      <c r="E154" t="s">
        <v>2883</v>
      </c>
      <c r="F154" t="s">
        <v>3209</v>
      </c>
    </row>
    <row r="155" spans="1:6" ht="12.75" customHeight="1">
      <c r="A155" s="40" t="s">
        <v>3210</v>
      </c>
      <c r="B155" s="3" t="s">
        <v>3211</v>
      </c>
      <c r="C155" s="3" t="s">
        <v>2882</v>
      </c>
      <c r="E155" t="s">
        <v>3090</v>
      </c>
      <c r="F155" t="s">
        <v>3212</v>
      </c>
    </row>
    <row r="156" spans="1:6" ht="12.75" customHeight="1">
      <c r="A156" s="40" t="s">
        <v>3213</v>
      </c>
      <c r="B156" s="3" t="s">
        <v>3214</v>
      </c>
      <c r="C156" s="3" t="s">
        <v>2882</v>
      </c>
      <c r="D156" t="s">
        <v>2999</v>
      </c>
      <c r="E156" t="s">
        <v>3090</v>
      </c>
      <c r="F156" t="s">
        <v>3215</v>
      </c>
    </row>
    <row r="157" spans="1:6" ht="12.75" customHeight="1">
      <c r="A157" s="40" t="s">
        <v>3216</v>
      </c>
      <c r="B157" s="3" t="s">
        <v>3217</v>
      </c>
      <c r="C157" s="3" t="s">
        <v>2882</v>
      </c>
      <c r="E157" t="s">
        <v>3090</v>
      </c>
      <c r="F157" t="s">
        <v>3218</v>
      </c>
    </row>
    <row r="158" spans="1:6" ht="12.75" customHeight="1">
      <c r="A158" s="40" t="s">
        <v>3219</v>
      </c>
      <c r="B158" s="3" t="s">
        <v>3220</v>
      </c>
      <c r="C158" s="3" t="s">
        <v>2882</v>
      </c>
      <c r="D158" t="s">
        <v>2999</v>
      </c>
      <c r="E158" t="s">
        <v>3090</v>
      </c>
      <c r="F158" t="s">
        <v>3221</v>
      </c>
    </row>
    <row r="159" spans="1:6" ht="12.75" customHeight="1">
      <c r="A159" s="40" t="s">
        <v>3222</v>
      </c>
      <c r="B159" s="3" t="s">
        <v>3223</v>
      </c>
      <c r="C159" s="3" t="s">
        <v>3224</v>
      </c>
      <c r="E159" t="s">
        <v>2883</v>
      </c>
      <c r="F159" s="139" t="s">
        <v>3225</v>
      </c>
    </row>
    <row r="160" spans="1:6" ht="12.75" customHeight="1">
      <c r="A160" s="40" t="s">
        <v>3226</v>
      </c>
      <c r="B160" s="3" t="s">
        <v>3227</v>
      </c>
      <c r="C160" s="3" t="s">
        <v>3228</v>
      </c>
      <c r="E160" t="s">
        <v>2883</v>
      </c>
      <c r="F160" t="s">
        <v>3229</v>
      </c>
    </row>
    <row r="161" spans="1:6" ht="12.75" customHeight="1">
      <c r="A161" s="40" t="s">
        <v>3230</v>
      </c>
      <c r="B161" s="3" t="s">
        <v>3231</v>
      </c>
      <c r="C161" s="3" t="s">
        <v>3228</v>
      </c>
      <c r="E161" t="s">
        <v>2883</v>
      </c>
      <c r="F161" t="s">
        <v>3232</v>
      </c>
    </row>
    <row r="162" spans="1:6" ht="12.75" customHeight="1">
      <c r="A162" s="40" t="s">
        <v>3233</v>
      </c>
      <c r="B162" s="3" t="s">
        <v>3234</v>
      </c>
      <c r="C162" s="3" t="s">
        <v>3185</v>
      </c>
      <c r="E162" t="s">
        <v>2883</v>
      </c>
      <c r="F162" t="s">
        <v>3235</v>
      </c>
    </row>
    <row r="163" spans="1:6" ht="12.75" customHeight="1">
      <c r="A163" s="40" t="s">
        <v>3236</v>
      </c>
      <c r="B163" s="3" t="s">
        <v>3237</v>
      </c>
      <c r="C163" s="3" t="s">
        <v>3185</v>
      </c>
      <c r="E163" t="s">
        <v>2883</v>
      </c>
      <c r="F163" t="s">
        <v>3238</v>
      </c>
    </row>
    <row r="164" spans="1:6" ht="12.75" customHeight="1">
      <c r="A164" s="40" t="s">
        <v>3239</v>
      </c>
      <c r="B164" s="3" t="s">
        <v>3240</v>
      </c>
      <c r="C164" s="3" t="s">
        <v>3185</v>
      </c>
      <c r="E164" t="s">
        <v>2883</v>
      </c>
      <c r="F164" t="s">
        <v>3241</v>
      </c>
    </row>
    <row r="165" spans="1:6" ht="12.75" customHeight="1">
      <c r="A165" s="40" t="s">
        <v>3242</v>
      </c>
      <c r="B165" s="3" t="s">
        <v>3243</v>
      </c>
      <c r="C165" s="3" t="s">
        <v>2882</v>
      </c>
      <c r="E165" t="s">
        <v>2883</v>
      </c>
      <c r="F165" t="s">
        <v>3244</v>
      </c>
    </row>
    <row r="166" spans="1:6" ht="12.75" customHeight="1">
      <c r="A166" s="40" t="s">
        <v>3245</v>
      </c>
      <c r="B166" s="3" t="s">
        <v>3246</v>
      </c>
      <c r="C166" s="3" t="s">
        <v>2882</v>
      </c>
      <c r="E166" t="s">
        <v>3090</v>
      </c>
      <c r="F166" t="s">
        <v>3247</v>
      </c>
    </row>
    <row r="167" spans="1:6" ht="12.75" customHeight="1">
      <c r="A167" s="40" t="s">
        <v>3248</v>
      </c>
      <c r="B167" s="3" t="s">
        <v>3249</v>
      </c>
      <c r="C167" s="3" t="s">
        <v>3185</v>
      </c>
      <c r="E167" t="s">
        <v>2883</v>
      </c>
      <c r="F167" t="s">
        <v>3250</v>
      </c>
    </row>
    <row r="168" spans="1:6" ht="12.75" customHeight="1">
      <c r="A168" s="40" t="s">
        <v>3251</v>
      </c>
      <c r="B168" s="3" t="s">
        <v>3252</v>
      </c>
      <c r="C168" s="3" t="s">
        <v>3185</v>
      </c>
      <c r="E168" t="s">
        <v>2883</v>
      </c>
      <c r="F168" t="s">
        <v>3253</v>
      </c>
    </row>
    <row r="169" spans="1:6" ht="12.75" customHeight="1">
      <c r="A169" s="40" t="s">
        <v>3254</v>
      </c>
      <c r="B169" s="3" t="s">
        <v>3255</v>
      </c>
      <c r="C169" s="3" t="s">
        <v>3185</v>
      </c>
      <c r="E169" t="s">
        <v>2883</v>
      </c>
      <c r="F169" t="s">
        <v>3256</v>
      </c>
    </row>
    <row r="170" spans="1:6" ht="12.75" customHeight="1">
      <c r="A170" s="40" t="s">
        <v>3257</v>
      </c>
      <c r="B170" s="3" t="s">
        <v>3258</v>
      </c>
      <c r="C170" s="3" t="s">
        <v>3185</v>
      </c>
      <c r="E170" t="s">
        <v>2883</v>
      </c>
      <c r="F170" t="s">
        <v>3259</v>
      </c>
    </row>
    <row r="171" spans="1:6" ht="12.75" customHeight="1">
      <c r="A171" s="40" t="s">
        <v>3260</v>
      </c>
      <c r="B171" s="3" t="s">
        <v>3260</v>
      </c>
      <c r="C171" s="3" t="s">
        <v>2882</v>
      </c>
      <c r="E171" t="s">
        <v>3261</v>
      </c>
      <c r="F171" t="s">
        <v>3262</v>
      </c>
    </row>
    <row r="172" spans="1:6" ht="12.75" customHeight="1">
      <c r="A172" s="40" t="s">
        <v>3263</v>
      </c>
      <c r="B172" s="3" t="s">
        <v>3264</v>
      </c>
      <c r="C172" s="3" t="s">
        <v>3185</v>
      </c>
      <c r="D172" s="178"/>
      <c r="E172" s="178" t="s">
        <v>2883</v>
      </c>
      <c r="F172" s="179" t="s">
        <v>3265</v>
      </c>
    </row>
    <row r="173" spans="1:6" ht="12.75" customHeight="1">
      <c r="A173" s="40" t="s">
        <v>3266</v>
      </c>
      <c r="B173" s="3" t="s">
        <v>3267</v>
      </c>
      <c r="C173" s="3" t="s">
        <v>3185</v>
      </c>
      <c r="E173" t="s">
        <v>2883</v>
      </c>
      <c r="F173" t="s">
        <v>3268</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B4AFCDA4-6CF4-44FF-8E45-2FA5D3DECD8E}"/>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2026-02-23T19:36:52Z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