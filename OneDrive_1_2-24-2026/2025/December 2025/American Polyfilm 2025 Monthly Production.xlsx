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E49CC69A-A37F-4DF1-BBAD-6743DD465F1A}" xr6:coauthVersionLast="47" xr6:coauthVersionMax="47" xr10:uidLastSave="{00000000-0000-0000-0000-000000000000}"/>
  <bookViews>
    <workbookView xWindow="-108" yWindow="-108" windowWidth="23256" windowHeight="12456" tabRatio="866" firstSheet="16" activeTab="1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3" l="1"/>
  <c r="I5" i="33" s="1"/>
  <c r="E4" i="21"/>
  <c r="E4" i="4"/>
  <c r="H5" i="3"/>
  <c r="E5" i="3"/>
  <c r="F5" i="3" s="1"/>
  <c r="H5" i="72"/>
  <c r="G5" i="30"/>
  <c r="G4" i="30"/>
  <c r="G4" i="29"/>
  <c r="G5" i="29"/>
  <c r="G5" i="18"/>
  <c r="G4" i="18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I5" i="3"/>
  <c r="G5" i="1"/>
  <c r="G4" i="1"/>
  <c r="B4" i="34" a="1"/>
  <c r="B4" i="34" s="1"/>
  <c r="A4" i="34" a="1"/>
  <c r="A4" i="34" s="1"/>
  <c r="A1" i="34" a="1"/>
  <c r="A1" i="34" s="1"/>
  <c r="D5" i="30"/>
  <c r="C5" i="30"/>
  <c r="D4" i="30"/>
  <c r="C4" i="30"/>
  <c r="D5" i="29"/>
  <c r="C5" i="29"/>
  <c r="D4" i="29"/>
  <c r="C4" i="29"/>
  <c r="D5" i="18"/>
  <c r="C5" i="18"/>
  <c r="D4" i="18"/>
  <c r="C4" i="18"/>
  <c r="B4" i="30" a="1"/>
  <c r="B4" i="30" s="1"/>
  <c r="A1" i="30" a="1"/>
  <c r="A1" i="30" s="1"/>
  <c r="B4" i="29" a="1"/>
  <c r="B4" i="29" s="1"/>
  <c r="A4" i="29" a="1"/>
  <c r="A4" i="29" s="1"/>
  <c r="A1" i="29" a="1"/>
  <c r="A1" i="29" s="1"/>
  <c r="B4" i="18" a="1"/>
  <c r="B4" i="18" s="1"/>
  <c r="A4" i="18" a="1"/>
  <c r="A4" i="18" s="1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D2" i="3"/>
  <c r="C2" i="3"/>
  <c r="J2" i="3" s="1"/>
  <c r="A1" i="3" a="1"/>
  <c r="A1" i="3" s="1"/>
  <c r="I5" i="72"/>
  <c r="H4" i="72"/>
  <c r="I4" i="72" s="1"/>
  <c r="G2" i="72"/>
  <c r="D2" i="72"/>
  <c r="C2" i="72"/>
  <c r="J2" i="72" s="1"/>
  <c r="A1" i="72" a="1"/>
  <c r="A1" i="72" s="1"/>
  <c r="G2" i="30" l="1"/>
  <c r="G2" i="29"/>
  <c r="D5" i="34"/>
  <c r="C5" i="34"/>
  <c r="G4" i="34"/>
  <c r="G2" i="18"/>
  <c r="C4" i="34"/>
  <c r="G5" i="34"/>
  <c r="D2" i="18"/>
  <c r="E5" i="18"/>
  <c r="F5" i="18" s="1"/>
  <c r="E5" i="30"/>
  <c r="F5" i="30" s="1"/>
  <c r="D2" i="29"/>
  <c r="E5" i="29"/>
  <c r="F5" i="29" s="1"/>
  <c r="D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H5" i="18"/>
  <c r="I5" i="18" s="1"/>
  <c r="C2" i="29"/>
  <c r="E2" i="29" s="1"/>
  <c r="F2" i="29" s="1"/>
  <c r="C2" i="30"/>
  <c r="E4" i="29"/>
  <c r="F4" i="29" s="1"/>
  <c r="C2" i="18"/>
  <c r="H4" i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<sst xmlns="http://schemas.openxmlformats.org/spreadsheetml/2006/main" count="307" uniqueCount="74">
  <si>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</si>
  <si>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</si>
  <si>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</si>
  <si>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</si>
  <si>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</si>
  <si>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</si>
  <si>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</si>
  <si>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</si>
  <si>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</si>
  <si>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</si>
  <si>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</si>
  <si>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</si>
  <si>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</si>
  <si>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</si>
  <si>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</si>
  <si>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</si>
  <si>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</si>
  <si>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</si>
  <si>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</si>
  <si>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</si>
  <si>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</si>
  <si>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</si>
  <si>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</si>
  <si>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Low generation due to snow/rain.</t>
  </si>
  <si>
    <t>February Actual v. Expected</t>
  </si>
  <si>
    <t>February Actual v. Forecasted</t>
  </si>
  <si>
    <t>1.Site was offline from 7:00AM to 14:00 on 02/08.</t>
  </si>
  <si>
    <t>1.SR096528</t>
  </si>
  <si>
    <t>March Actual v. Expected</t>
  </si>
  <si>
    <t>March Actual v. Forecasted</t>
  </si>
  <si>
    <t>1.Inverters 1 and 2 are turning on and off repeatedly during high irradiance, likely an imbalance in the array.</t>
  </si>
  <si>
    <t>1.SR098036</t>
  </si>
  <si>
    <t>April Actual v. Expected</t>
  </si>
  <si>
    <t>April Actual v. Forecasted</t>
  </si>
  <si>
    <t>1.Inverters 1 and 2 are turning on and off repeatedly during  periods of high irradiance due to an imbalance in the array throughout the month.</t>
  </si>
  <si>
    <t>May Actual v. Expected</t>
  </si>
  <si>
    <t>May Actual v. Forecasted</t>
  </si>
  <si>
    <t>June Actual v. Expected</t>
  </si>
  <si>
    <t>June Actual v. Forecasted</t>
  </si>
  <si>
    <t>1. SR098036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</si>
  <si>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</si>
  <si>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</si>
  <si>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</si>
  <si>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</si>
  <si>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</si>
  <si>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</si>
  <si>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</si>
  <si>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</si>
  <si>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 xml:space="preserve">1.  Inverters 1 and 2 were turning on and off repeatedly during high irradiance. </t>
  </si>
  <si>
    <t>1. Pending</t>
  </si>
  <si>
    <t>November Actual v. Expected</t>
  </si>
  <si>
    <t>November Actual v. Forecasted</t>
  </si>
  <si>
    <t>Status</t>
  </si>
  <si>
    <t>1.  Inverters 1 and 2 were turning on and off repeatedly during high irradiance. 
2. Site was not communicated from 11/22 to end of the month but was online at the site.</t>
  </si>
  <si>
    <t>1. SR098036
2. SR111671</t>
  </si>
  <si>
    <t>1. Pending
2. Closed</t>
  </si>
  <si>
    <t>SR111671</t>
  </si>
  <si>
    <t>December Actual v. Expected</t>
  </si>
  <si>
    <t>December Actual v. Forecasted</t>
  </si>
  <si>
    <t xml:space="preserve">1.  Inverters 1 and 2 were turning on and off repeatedly during high irradiance. 
</t>
  </si>
  <si>
    <t xml:space="preserve">1. SR098036
</t>
  </si>
  <si>
    <t>1.Meter was offline on 12/14 and again offline on 12/27,12/28</t>
  </si>
  <si>
    <t>Portfolio:</t>
  </si>
  <si>
    <t>American Polyfilm, Inc.</t>
  </si>
  <si>
    <t>Site DAS Name</t>
  </si>
  <si>
    <t>Update</t>
  </si>
  <si>
    <t>DAS</t>
  </si>
  <si>
    <t>15 Baldwin</t>
  </si>
  <si>
    <t>15 Baldwin Dr</t>
  </si>
  <si>
    <t>CT</t>
  </si>
  <si>
    <t>A</t>
  </si>
  <si>
    <t>PowerTrack</t>
  </si>
  <si>
    <t>8 Sycamore Way</t>
  </si>
  <si>
    <t>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</si>
</sst>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242424"/>
      <name val="Aptos Narrow"/>
      <charset val="1"/>
    </font>
    <font>
      <u/>
      <sz val="10"/>
      <color theme="1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4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2" fillId="0" borderId="0" xfId="43" applyFont="1" applyAlignment="1">
      <alignment horizontal="center" vertical="top"/>
    </xf>
    <xf numFmtId="3" fontId="35" fillId="0" borderId="0" xfId="0" applyNumberFormat="1" applyFont="1"/>
    <xf numFmtId="3" fontId="30" fillId="4" borderId="0" xfId="1" applyNumberFormat="1" applyFont="1" applyFill="1" applyBorder="1" applyAlignment="1">
      <alignment horizontal="right" vertical="center"/>
    </xf>
    <xf numFmtId="49" fontId="36" fillId="0" borderId="0" xfId="45" applyNumberFormat="1" applyAlignment="1">
      <alignment vertical="center" wrapText="1"/>
    </xf>
    <xf numFmtId="49" fontId="36" fillId="38" borderId="0" xfId="45" applyNumberFormat="1" applyFill="1" applyBorder="1" applyAlignment="1">
      <alignment vertical="top" wrapText="1"/>
    </xf>
    <xf numFmtId="3" fontId="30" fillId="4" borderId="0" xfId="1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8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3" dataCellStyle="Normal 2"/>
    <tableColumn id="1" xr3:uid="{9A753695-C18C-437C-AD9C-C2CE5C1A806E}" name="Site" dataDxfId="2" dataCellStyle="Normal 2"/>
    <tableColumn id="2" xr3:uid="{250F229D-34D2-4043-BE8F-6D9C210E223F}" name="State" dataDxfId="1" dataCellStyle="Normal 2"/>
    <tableColumn id="5" xr3:uid="{61DF2E38-E0FD-4D7E-AE61-BDFE8D5E1312}" name="Update" dataDxfId="0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652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111671" TargetMode="External"/><Relationship Id="rId1" Type="http://schemas.openxmlformats.org/officeDocument/2006/relationships/hyperlink" Target="https://us3.assetplanner.com/service_request?ID=098036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036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11"/>
  <sheetViews>
    <sheetView workbookViewId="0">
      <pane xSplit="2" ySplit="3" topLeftCell="C4" activePane="bottomRight" state="frozen"/>
      <selection pane="bottomRight" activeCell="E17" sqref="E1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American Polyfilm, Inc.</v>
      </c>
      <c r="B1" s="61"/>
      <c r="C1" s="61"/>
      <c r="D1" s="62" t="s">
        <v>0</v>
      </c>
      <c r="E1" s="62"/>
      <c r="F1" s="62"/>
      <c r="G1" s="60" t="s">
        <v>1</v>
      </c>
      <c r="H1" s="60"/>
      <c r="I1" s="60"/>
    </row>
    <row r="2" spans="1:9" ht="19.5" customHeight="1">
      <c r="A2" s="63" t="s">
        <v>2</v>
      </c>
      <c r="B2" s="63"/>
      <c r="C2" s="5">
        <f>SUM(C4:C69)</f>
        <v>229622.71500000011</v>
      </c>
      <c r="D2" s="5">
        <f>SUM(D4:D69)</f>
        <v>0</v>
      </c>
      <c r="E2" s="5">
        <f>C2-D2</f>
        <v>229622.71500000011</v>
      </c>
      <c r="F2" s="6">
        <f>IFERROR(E2/D2, 0)</f>
        <v>0</v>
      </c>
      <c r="G2" s="5">
        <f>SUM(G4:G69)</f>
        <v>135527.09700000001</v>
      </c>
      <c r="H2" s="7">
        <f>C2-G2</f>
        <v>94095.618000000104</v>
      </c>
      <c r="I2" s="6">
        <f>IFERROR(H2/G2, 0)</f>
        <v>0.69429376178551283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12" t="str" cm="1">
        <f t="array" ref="A4:A5">Sites[Site]</f>
        <v>15 Baldwin Dr</v>
      </c>
      <c r="B4" s="9" t="str" cm="1">
        <f t="array" ref="B4:B5">Sites[State]</f>
        <v>CT</v>
      </c>
      <c r="C4" s="24">
        <f>SUM('1st Qtr'!C4, '2nd Qtr'!C4, '3rd Qtr'!C4, '4th Qtr'!C4)</f>
        <v>74616.915000000008</v>
      </c>
      <c r="D4" s="13">
        <f>SUM('1st Qtr'!D4, '2nd Qtr'!D4, '3rd Qtr'!D4, '4th Qtr'!D4)</f>
        <v>0</v>
      </c>
      <c r="E4" s="13">
        <f>IF(AND(ISNUMBER(C4),ISNUMBER(D4)), C4-D4, "")</f>
        <v>74616.915000000008</v>
      </c>
      <c r="F4" s="14" t="str">
        <f>IFERROR(E4/D4, "")</f>
        <v/>
      </c>
      <c r="G4" s="15">
        <f>SUM('1st Qtr'!G4, '2nd Qtr'!G4, '3rd Qtr'!G4, '4th Qtr'!G4)</f>
        <v>0</v>
      </c>
      <c r="H4" s="15">
        <f>SUM('1st Qtr'!H4, '2nd Qtr'!H4, '3rd Qtr'!H4, '4th Qtr'!H4)</f>
        <v>0</v>
      </c>
      <c r="I4" s="16" t="str">
        <f>IFERROR(H4/G4, "")</f>
        <v/>
      </c>
    </row>
    <row r="5" spans="1:9" ht="15.6">
      <c r="A5" s="17" t="str">
        <v>8 Sycamore Way</v>
      </c>
      <c r="B5" s="10" t="str">
        <v>CT</v>
      </c>
      <c r="C5" s="11">
        <f>SUM('1st Qtr'!C5, '2nd Qtr'!C5, '3rd Qtr'!C5, '4th Qtr'!C5)</f>
        <v>155005.8000000001</v>
      </c>
      <c r="D5" s="20">
        <f>SUM('1st Qtr'!D5, '2nd Qtr'!D5, '3rd Qtr'!D5, '4th Qtr'!D5)</f>
        <v>0</v>
      </c>
      <c r="E5" s="18">
        <f t="shared" ref="E5" si="0">IF(AND(ISNUMBER(C5),ISNUMBER(D5)), C5-D5, "")</f>
        <v>155005.8000000001</v>
      </c>
      <c r="F5" s="19" t="str">
        <f>IFERROR(E5/D5, "")</f>
        <v/>
      </c>
      <c r="G5" s="20">
        <f>SUM('1st Qtr'!G5, '2nd Qtr'!G5, '3rd Qtr'!G5, '4th Qtr'!G5)</f>
        <v>135527.09700000001</v>
      </c>
      <c r="H5" s="20">
        <f>SUM('1st Qtr'!H5, '2nd Qtr'!H5, '3rd Qtr'!H5, '4th Qtr'!H5)</f>
        <v>19478.7030000001</v>
      </c>
      <c r="I5" s="19">
        <f>IFERROR(H5/G5, "")</f>
        <v>0.14372552376002046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9 I4:I69">
    <cfRule type="cellIs" dxfId="37" priority="1" stopIfTrue="1" operator="lessThanOrEqual">
      <formula>-0.1</formula>
    </cfRule>
    <cfRule type="expression" dxfId="36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1"/>
  <sheetViews>
    <sheetView workbookViewId="0">
      <pane xSplit="2" ySplit="3" topLeftCell="C4" activePane="bottomRight" state="frozen"/>
      <selection pane="bottomRight" activeCell="G4" sqref="G4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American Polyfilm, Inc.</v>
      </c>
      <c r="B1" s="61"/>
      <c r="C1" s="61"/>
      <c r="D1" s="62" t="s">
        <v>10</v>
      </c>
      <c r="E1" s="62"/>
      <c r="F1" s="62"/>
      <c r="G1" s="60" t="s">
        <v>11</v>
      </c>
      <c r="H1" s="60"/>
      <c r="I1" s="60"/>
    </row>
    <row r="2" spans="1:9" ht="19.5" customHeight="1">
      <c r="A2" s="63" t="s">
        <v>2</v>
      </c>
      <c r="B2" s="63"/>
      <c r="C2" s="5">
        <f>SUM(C4:C69)</f>
        <v>42694.232000000098</v>
      </c>
      <c r="D2" s="5">
        <f>SUM(D4:D69)</f>
        <v>0</v>
      </c>
      <c r="E2" s="5">
        <f>C2-D2</f>
        <v>42694.232000000098</v>
      </c>
      <c r="F2" s="6">
        <f>IFERROR(E2/D2, 0)</f>
        <v>0</v>
      </c>
      <c r="G2" s="5">
        <f>SUM(G4:G69)</f>
        <v>28703.678</v>
      </c>
      <c r="H2" s="7">
        <f>C2-G2</f>
        <v>13990.554000000098</v>
      </c>
      <c r="I2" s="6">
        <f>IFERROR(H2/G2, 0)</f>
        <v>0.48741328550299717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SUM(Jan!C4, Feb!C4, Mar!C4)</f>
        <v>13764.031999999999</v>
      </c>
      <c r="D4" s="13">
        <f>SUM(Jan!D4, Feb!D4, Mar!D4)</f>
        <v>0</v>
      </c>
      <c r="E4" s="13">
        <f>IF(AND(ISNUMBER(C4),ISNUMBER(D4)), C4-D4, "")</f>
        <v>13764.031999999999</v>
      </c>
      <c r="F4" s="14" t="str">
        <f>IFERROR(E4/D4, "")</f>
        <v/>
      </c>
      <c r="G4" s="15">
        <f>SUM(Jan!G4, Feb!G4, Mar!G4)</f>
        <v>0</v>
      </c>
      <c r="H4" s="15">
        <f>SUM(Jan!H4, Feb!H4, Mar!H4)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SUM(Jan!C5, Feb!C5, Mar!C5)</f>
        <v>28930.200000000099</v>
      </c>
      <c r="D5" s="18">
        <f>SUM(Jan!D5, Feb!D5, Mar!D5)</f>
        <v>0</v>
      </c>
      <c r="E5" s="18">
        <f t="shared" ref="E5" si="0">IF(AND(ISNUMBER(C5),ISNUMBER(D5)), C5-D5, "")</f>
        <v>28930.200000000099</v>
      </c>
      <c r="F5" s="19" t="str">
        <f>IFERROR(E5/D5, "")</f>
        <v/>
      </c>
      <c r="G5" s="20">
        <f>SUM(Jan!G5, Feb!G5, Mar!G5)</f>
        <v>28703.678</v>
      </c>
      <c r="H5" s="20">
        <f>SUM(Jan!H5, Feb!H5, Mar!H5)</f>
        <v>226.52200000010089</v>
      </c>
      <c r="I5" s="19">
        <f>IFERROR(H5/G5, "")</f>
        <v>7.8917412604789152E-3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9 I4:I69">
    <cfRule type="cellIs" dxfId="35" priority="1" stopIfTrue="1" operator="lessThanOrEqual">
      <formula>-0.1</formula>
    </cfRule>
    <cfRule type="expression" dxfId="34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1"/>
  <sheetViews>
    <sheetView workbookViewId="0">
      <pane xSplit="2" ySplit="3" topLeftCell="C4" activePane="bottomRight" state="frozen"/>
      <selection pane="bottomRight" activeCell="H5" sqref="H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American Polyfilm, Inc.</v>
      </c>
      <c r="B1" s="61"/>
      <c r="C1" s="61"/>
      <c r="D1" s="62" t="s">
        <v>12</v>
      </c>
      <c r="E1" s="62"/>
      <c r="F1" s="62"/>
      <c r="G1" s="60" t="s">
        <v>13</v>
      </c>
      <c r="H1" s="60"/>
      <c r="I1" s="60"/>
    </row>
    <row r="2" spans="1:9" ht="19.5" customHeight="1">
      <c r="A2" s="63" t="s">
        <v>2</v>
      </c>
      <c r="B2" s="63"/>
      <c r="C2" s="5">
        <f>SUM(C4:C69)</f>
        <v>70695.376000000004</v>
      </c>
      <c r="D2" s="5">
        <f>SUM(D4:D69)</f>
        <v>0</v>
      </c>
      <c r="E2" s="5">
        <f>C2-D2</f>
        <v>70695.376000000004</v>
      </c>
      <c r="F2" s="6">
        <f>IFERROR(E2/D2, 0)</f>
        <v>0</v>
      </c>
      <c r="G2" s="5">
        <f>SUM(G4:G69)</f>
        <v>41905.176999999996</v>
      </c>
      <c r="H2" s="7">
        <f>C2-G2</f>
        <v>28790.199000000008</v>
      </c>
      <c r="I2" s="6">
        <f>IFERROR(H2/G2, 0)</f>
        <v>0.68703203425199733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SUM(Apr!C4, May!C4, Jun!C4)</f>
        <v>21898.976000000002</v>
      </c>
      <c r="D4" s="13">
        <f>SUM(Apr!D4, May!D4, Jun!D4)</f>
        <v>0</v>
      </c>
      <c r="E4" s="13">
        <f>IF(AND(ISNUMBER(C4),ISNUMBER(D4)), C4-D4, "")</f>
        <v>21898.976000000002</v>
      </c>
      <c r="F4" s="14" t="str">
        <f>IFERROR(E4/D4, "")</f>
        <v/>
      </c>
      <c r="G4" s="15">
        <f>SUM(Apr!G4,May!G4,Jun!G4)</f>
        <v>0</v>
      </c>
      <c r="H4" s="15">
        <f>SUM(Apr!H4, May!H4, Jun!H4)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SUM(Apr!C5, May!C5, Jun!C5)</f>
        <v>48796.4</v>
      </c>
      <c r="D5" s="18">
        <f>SUM(Apr!D5, May!D5, Jun!D5)</f>
        <v>0</v>
      </c>
      <c r="E5" s="18">
        <f t="shared" ref="E5" si="0">IF(AND(ISNUMBER(C5),ISNUMBER(D5)), C5-D5, "")</f>
        <v>48796.4</v>
      </c>
      <c r="F5" s="19" t="str">
        <f>IFERROR(E5/D5, "")</f>
        <v/>
      </c>
      <c r="G5" s="18">
        <f>SUM(Apr!G5,May!G5,Jun!G5)</f>
        <v>41905.176999999996</v>
      </c>
      <c r="H5" s="20">
        <f>SUM(Apr!H5, May!H5, Jun!H5)</f>
        <v>6891.2230000000018</v>
      </c>
      <c r="I5" s="19">
        <f>IFERROR(H5/G5, "")</f>
        <v>0.16444801080305668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9 I4:I69">
    <cfRule type="cellIs" dxfId="33" priority="1" stopIfTrue="1" operator="lessThanOrEqual">
      <formula>-0.1</formula>
    </cfRule>
    <cfRule type="expression" dxfId="32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1"/>
  <sheetViews>
    <sheetView workbookViewId="0">
      <pane xSplit="2" ySplit="3" topLeftCell="C4" activePane="bottomRight" state="frozen"/>
      <selection pane="bottomRight" activeCell="F37" sqref="F37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American Polyfilm, Inc.</v>
      </c>
      <c r="B1" s="61"/>
      <c r="C1" s="61"/>
      <c r="D1" s="62" t="s">
        <v>14</v>
      </c>
      <c r="E1" s="62"/>
      <c r="F1" s="62"/>
      <c r="G1" s="60" t="s">
        <v>15</v>
      </c>
      <c r="H1" s="60"/>
      <c r="I1" s="60"/>
    </row>
    <row r="2" spans="1:9" ht="19.5" customHeight="1">
      <c r="A2" s="63" t="s">
        <v>2</v>
      </c>
      <c r="B2" s="63"/>
      <c r="C2" s="5">
        <f>SUM(C4:C69)</f>
        <v>78101.107999999993</v>
      </c>
      <c r="D2" s="5">
        <f>SUM(D4:D69)</f>
        <v>0</v>
      </c>
      <c r="E2" s="5">
        <f>C2-D2</f>
        <v>78101.107999999993</v>
      </c>
      <c r="F2" s="6">
        <f>IFERROR(E2/D2, 0)</f>
        <v>0</v>
      </c>
      <c r="G2" s="5">
        <f>SUM(G4:G69)</f>
        <v>41253.887000000002</v>
      </c>
      <c r="H2" s="7">
        <f>C2-G2</f>
        <v>36847.22099999999</v>
      </c>
      <c r="I2" s="6">
        <f>IFERROR(H2/G2, 0)</f>
        <v>0.89318179884479709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SUM(Jul!C4, Aug!C4, Sep!C4)</f>
        <v>25295.007999999998</v>
      </c>
      <c r="D4" s="13">
        <f>SUM(Jul!D4, Aug!D4, Sep!D4)</f>
        <v>0</v>
      </c>
      <c r="E4" s="13">
        <f>IF(AND(ISNUMBER(C4),ISNUMBER(D4)), C4-D4, "")</f>
        <v>25295.007999999998</v>
      </c>
      <c r="F4" s="14" t="str">
        <f>IFERROR(E4/D4, "")</f>
        <v/>
      </c>
      <c r="G4" s="15">
        <f>SUM(Jul!G4,Aug!G4,Sep!G4)</f>
        <v>0</v>
      </c>
      <c r="H4" s="15">
        <f>SUM(Jul!H4, Aug!H4, Sep!H4)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SUM(Jul!C5, Aug!C5, Sep!C5)</f>
        <v>52806.1</v>
      </c>
      <c r="D5" s="18">
        <f>SUM(Jul!D5, Aug!D5, Sep!D5)</f>
        <v>0</v>
      </c>
      <c r="E5" s="18">
        <f t="shared" ref="E5" si="0">IF(AND(ISNUMBER(C5),ISNUMBER(D5)), C5-D5, "")</f>
        <v>52806.1</v>
      </c>
      <c r="F5" s="19" t="str">
        <f>IFERROR(E5/D5, "")</f>
        <v/>
      </c>
      <c r="G5" s="18">
        <f>SUM(Jul!G5,Aug!G5,Sep!G5)</f>
        <v>41253.887000000002</v>
      </c>
      <c r="H5" s="20">
        <f>SUM(Jul!H5, Aug!H5, Sep!H5)</f>
        <v>11552.213</v>
      </c>
      <c r="I5" s="19">
        <f>IFERROR(H5/G5, "")</f>
        <v>0.28002726143114703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31" priority="1" stopIfTrue="1" operator="lessThanOrEqual">
      <formula>-0.1</formula>
    </cfRule>
    <cfRule type="expression" dxfId="30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1"/>
  <sheetViews>
    <sheetView workbookViewId="0">
      <pane xSplit="2" ySplit="3" topLeftCell="C4" activePane="bottomRight" state="frozen"/>
      <selection pane="bottomRight" activeCell="F25" sqref="F25"/>
      <selection pane="bottomLeft" activeCell="A15" sqref="A15"/>
      <selection pane="topRight" activeCell="A15" sqref="A15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1" t="str" cm="1">
        <f t="array" ref="A1">portfolio</f>
        <v>American Polyfilm, Inc.</v>
      </c>
      <c r="B1" s="61"/>
      <c r="C1" s="61"/>
      <c r="D1" s="62" t="s">
        <v>16</v>
      </c>
      <c r="E1" s="62"/>
      <c r="F1" s="62"/>
      <c r="G1" s="60" t="s">
        <v>17</v>
      </c>
      <c r="H1" s="60"/>
      <c r="I1" s="60"/>
    </row>
    <row r="2" spans="1:9" ht="19.5" customHeight="1">
      <c r="A2" s="63" t="s">
        <v>2</v>
      </c>
      <c r="B2" s="63"/>
      <c r="C2" s="5">
        <f>SUM(C4:C69)</f>
        <v>38131.998999999996</v>
      </c>
      <c r="D2" s="5">
        <f>SUM(D4:D69)</f>
        <v>0</v>
      </c>
      <c r="E2" s="5">
        <f>C2-D2</f>
        <v>38131.998999999996</v>
      </c>
      <c r="F2" s="6">
        <f>IFERROR(E2/D2, 0)</f>
        <v>0</v>
      </c>
      <c r="G2" s="5">
        <f>SUM(G4:G69)</f>
        <v>23664.355</v>
      </c>
      <c r="H2" s="7">
        <f>C2-G2</f>
        <v>14467.643999999997</v>
      </c>
      <c r="I2" s="6">
        <f>IFERROR(H2/G2, 0)</f>
        <v>0.6113686174839752</v>
      </c>
    </row>
    <row r="3" spans="1:9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6" t="str" cm="1">
        <f t="array" ref="A4:A5">Sites[Site]</f>
        <v>15 Baldwin Dr</v>
      </c>
      <c r="B4" s="9" t="str" cm="1">
        <f t="array" ref="B4:B5">Sites[State]</f>
        <v>CT</v>
      </c>
      <c r="C4" s="24">
        <f>SUM(Oct!C4, Nov!C4, Dec!C4)</f>
        <v>13658.899000000001</v>
      </c>
      <c r="D4" s="13">
        <f>SUM(Oct!D4, Nov!D4, Dec!D4)</f>
        <v>0</v>
      </c>
      <c r="E4" s="13">
        <f>IF(AND(ISNUMBER(C4),ISNUMBER(D4)), C4-D4, "")</f>
        <v>13658.899000000001</v>
      </c>
      <c r="F4" s="14" t="str">
        <f>IFERROR(E4/D4, "")</f>
        <v/>
      </c>
      <c r="G4" s="15">
        <f>SUM(Oct!G4,Nov!G4,Dec!G4)</f>
        <v>0</v>
      </c>
      <c r="H4" s="15">
        <f>SUM(Oct!H4, Nov!H4, Dec!H4)</f>
        <v>0</v>
      </c>
      <c r="I4" s="16" t="str">
        <f>IFERROR(H4/G4, "")</f>
        <v/>
      </c>
    </row>
    <row r="5" spans="1:9" ht="15.6">
      <c r="A5" s="47" t="str">
        <v>8 Sycamore Way</v>
      </c>
      <c r="B5" s="10" t="str">
        <v>CT</v>
      </c>
      <c r="C5" s="11">
        <f>SUM(Oct!C5, Nov!C5, Dec!C5)</f>
        <v>24473.1</v>
      </c>
      <c r="D5" s="18">
        <f>SUM(Oct!D5, Nov!D5, Dec!D5)</f>
        <v>0</v>
      </c>
      <c r="E5" s="18">
        <f t="shared" ref="E5" si="0">IF(AND(ISNUMBER(C5),ISNUMBER(D5)), C5-D5, "")</f>
        <v>24473.1</v>
      </c>
      <c r="F5" s="19" t="str">
        <f>IFERROR(E5/D5, "")</f>
        <v/>
      </c>
      <c r="G5" s="11">
        <f>SUM(Oct!G5,Nov!G5,Dec!G5)</f>
        <v>23664.355</v>
      </c>
      <c r="H5" s="20">
        <f>SUM(Oct!H5, Nov!H5, Dec!H5)</f>
        <v>808.74499999999989</v>
      </c>
      <c r="I5" s="19">
        <f>IFERROR(H5/G5, "")</f>
        <v>3.4175662087557422E-2</v>
      </c>
    </row>
    <row r="6" spans="1:9" ht="13.9">
      <c r="A6" s="21"/>
      <c r="B6" s="21"/>
      <c r="C6" s="21"/>
      <c r="D6" s="21"/>
      <c r="E6" s="21"/>
      <c r="F6" s="22"/>
      <c r="G6" s="21"/>
      <c r="H6" s="21"/>
      <c r="I6" s="22"/>
    </row>
    <row r="7" spans="1:9" ht="13.9">
      <c r="A7" s="21"/>
      <c r="B7" s="21"/>
      <c r="C7" s="21"/>
      <c r="D7" s="21"/>
      <c r="E7" s="21"/>
      <c r="F7" s="22"/>
      <c r="G7" s="21"/>
      <c r="H7" s="21"/>
      <c r="I7" s="22"/>
    </row>
    <row r="8" spans="1:9" ht="13.9">
      <c r="A8" s="21"/>
      <c r="B8" s="21"/>
      <c r="C8" s="21"/>
      <c r="D8" s="21"/>
      <c r="E8" s="21"/>
      <c r="F8" s="22"/>
      <c r="G8" s="21"/>
      <c r="H8" s="21"/>
      <c r="I8" s="22"/>
    </row>
    <row r="9" spans="1:9" ht="13.9">
      <c r="A9" s="21"/>
      <c r="B9" s="21"/>
      <c r="C9" s="21"/>
      <c r="D9" s="21"/>
      <c r="E9" s="21"/>
      <c r="F9" s="22"/>
      <c r="G9" s="21"/>
      <c r="H9" s="21"/>
      <c r="I9" s="22"/>
    </row>
    <row r="10" spans="1:9" ht="13.9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9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9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9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9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9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9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9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9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9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9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9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9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9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9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9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9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9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9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9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9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9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9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9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9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9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9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9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9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9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9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9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9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9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9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9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9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9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9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9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9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9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9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9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9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9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9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9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9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9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9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9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9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9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9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9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9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9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9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9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9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9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9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9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9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9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9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9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9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9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9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9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9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9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9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9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9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9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9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9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9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9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9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9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9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9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9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9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9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9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9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9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9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9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9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9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9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9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9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9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9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9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9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9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9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9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9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9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9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9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9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9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9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9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9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9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9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9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9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9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9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9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9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9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9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9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9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9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9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9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9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9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9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9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9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9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9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9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9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9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9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9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9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9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9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9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9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9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9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9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9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9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9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9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9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9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9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9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9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9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9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9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9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9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9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9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9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9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9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9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9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9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9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9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9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9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9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9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9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9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9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9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9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9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9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9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9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9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9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9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9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9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9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9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9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9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9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9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9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9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9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9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9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9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9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9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9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9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9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9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9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9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9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9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9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9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9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9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9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9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9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9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9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9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9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9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9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9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9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9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9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9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9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9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9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9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9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9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9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9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9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9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9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9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9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9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9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9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9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9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9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9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9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9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9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9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9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9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9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9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9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9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9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9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9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9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9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9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9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9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9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9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9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9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9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9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9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9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9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9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9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9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9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9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9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9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9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9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9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9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9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9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9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9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9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9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9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9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9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9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9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9">
      <c r="A311" s="21"/>
      <c r="B311" s="21"/>
      <c r="C311" s="21"/>
      <c r="D311" s="21"/>
      <c r="E311" s="21"/>
      <c r="F311" s="22"/>
      <c r="G311" s="21"/>
      <c r="H311" s="21"/>
      <c r="I311" s="22"/>
    </row>
  </sheetData>
  <mergeCells count="4">
    <mergeCell ref="G1:I1"/>
    <mergeCell ref="A1:C1"/>
    <mergeCell ref="D1:F1"/>
    <mergeCell ref="A2:B2"/>
  </mergeCells>
  <conditionalFormatting sqref="F2 I2 F4:F69 I4:I69">
    <cfRule type="cellIs" dxfId="29" priority="1" stopIfTrue="1" operator="lessThanOrEqual">
      <formula>-0.1</formula>
    </cfRule>
    <cfRule type="expression" dxfId="28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0"/>
  <sheetViews>
    <sheetView workbookViewId="0">
      <pane xSplit="2" ySplit="3" topLeftCell="C4" activePane="bottomRight" state="frozen"/>
      <selection pane="bottomRight" activeCell="J5" sqref="J5"/>
      <selection pane="bottomLeft" activeCell="I14" sqref="I14"/>
      <selection pane="topRight" activeCell="I14" sqref="I14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18</v>
      </c>
      <c r="E1" s="62"/>
      <c r="F1" s="62"/>
      <c r="G1" s="60" t="s">
        <v>19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SUM(C4:C68)</f>
        <v>10908.308000000001</v>
      </c>
      <c r="D2" s="5">
        <f>SUM(D4:D68)</f>
        <v>0</v>
      </c>
      <c r="E2" s="5">
        <f>C2-D2</f>
        <v>10908.308000000001</v>
      </c>
      <c r="F2" s="6">
        <f>IFERROR(E2/D2, 0)</f>
        <v>0</v>
      </c>
      <c r="G2" s="5">
        <f>SUM(G4:G68)</f>
        <v>7766.6779999999999</v>
      </c>
      <c r="H2" s="7">
        <f>C2-G2</f>
        <v>3141.630000000001</v>
      </c>
      <c r="I2" s="6">
        <f>IFERROR(H2/G2, 0)</f>
        <v>0.40450112647904302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13">
        <v>3975.0079999999998</v>
      </c>
      <c r="D4" s="13" t="s">
        <v>22</v>
      </c>
      <c r="E4" s="13" t="str">
        <f>IF(AND(ISNUMBER(C4),ISNUMBER(D4)), C4-D4, "")</f>
        <v/>
      </c>
      <c r="F4" s="43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8">
        <v>6933.3</v>
      </c>
      <c r="D5" s="18" t="s">
        <v>22</v>
      </c>
      <c r="E5" s="18" t="str">
        <f t="shared" ref="E5" si="0">IF(AND(ISNUMBER(C5),ISNUMBER(D5)), C5-D5, "")</f>
        <v/>
      </c>
      <c r="F5" s="22" t="str">
        <f t="shared" ref="F5" si="1">IFERROR(E5/D5, "")</f>
        <v/>
      </c>
      <c r="G5" s="18">
        <v>7766.6779999999999</v>
      </c>
      <c r="H5" s="32">
        <f>IF(AND(ISNUMBER(C5),ISNUMBER(G5)), C5-G5, "")</f>
        <v>-833.3779999999997</v>
      </c>
      <c r="I5" s="19">
        <f t="shared" ref="I5" si="2">IFERROR(H5/G5, "")</f>
        <v>-0.1073017318343827</v>
      </c>
      <c r="J5" s="41" t="s">
        <v>23</v>
      </c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</sheetData>
  <mergeCells count="4">
    <mergeCell ref="D1:F1"/>
    <mergeCell ref="A1:C1"/>
    <mergeCell ref="G1:I1"/>
    <mergeCell ref="A2:B2"/>
  </mergeCells>
  <conditionalFormatting sqref="F2 I2 I4:I68 F5:F68">
    <cfRule type="cellIs" dxfId="27" priority="4" stopIfTrue="1" operator="lessThanOrEqual">
      <formula>-0.1</formula>
    </cfRule>
    <cfRule type="expression" dxfId="26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1"/>
  <sheetViews>
    <sheetView workbookViewId="0">
      <pane xSplit="2" ySplit="3" topLeftCell="J4" activePane="bottomRight" state="frozen"/>
      <selection pane="bottomRight" activeCell="J15" sqref="J15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24</v>
      </c>
      <c r="E1" s="62"/>
      <c r="F1" s="62"/>
      <c r="G1" s="60" t="s">
        <v>25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11876.716</v>
      </c>
      <c r="D2" s="5">
        <f>SUM(D4:D69)</f>
        <v>0</v>
      </c>
      <c r="E2" s="5">
        <f>C2-D2</f>
        <v>11876.716</v>
      </c>
      <c r="F2" s="6">
        <f>IFERROR(E2/D2, 0)</f>
        <v>0</v>
      </c>
      <c r="G2" s="5">
        <f>SUM(G4:G69)</f>
        <v>9148</v>
      </c>
      <c r="H2" s="7">
        <f>C2-G2</f>
        <v>2728.7160000000003</v>
      </c>
      <c r="I2" s="6">
        <f>IFERROR(H2/G2, 0)</f>
        <v>0.29828552689112375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15.6">
      <c r="A4" s="49" t="str" cm="1">
        <f t="array" ref="A4:A5">Sites[Site]</f>
        <v>15 Baldwin Dr</v>
      </c>
      <c r="B4" s="28" t="str" cm="1">
        <f t="array" ref="B4:B5">Sites[State]</f>
        <v>CT</v>
      </c>
      <c r="C4" s="24">
        <v>3838.0160000000001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/>
      <c r="K4" s="40"/>
    </row>
    <row r="5" spans="1:11" ht="15.6">
      <c r="A5" s="50" t="str">
        <v>8 Sycamore Way</v>
      </c>
      <c r="B5" s="30" t="str">
        <v>CT</v>
      </c>
      <c r="C5" s="11">
        <v>8038.7</v>
      </c>
      <c r="D5" s="18" t="s">
        <v>22</v>
      </c>
      <c r="E5" s="18" t="str">
        <f>IF(AND(ISNUMBER(C5),ISNUMBER(D5)), C5-D5, "")</f>
        <v/>
      </c>
      <c r="F5" s="19" t="str">
        <f>IFERROR(E5/D5, "")</f>
        <v/>
      </c>
      <c r="G5" s="52">
        <v>9148</v>
      </c>
      <c r="H5" s="20">
        <f>IF(AND(ISNUMBER(C5),ISNUMBER(G5)), C5-G5, "")</f>
        <v>-1109.3000000000002</v>
      </c>
      <c r="I5" s="19">
        <f t="shared" ref="I5" si="0">IFERROR(H5/G5, "")</f>
        <v>-0.12126147791867077</v>
      </c>
      <c r="J5" s="41" t="s">
        <v>26</v>
      </c>
      <c r="K5" s="54" t="s">
        <v>27</v>
      </c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5" priority="1" stopIfTrue="1" operator="lessThanOrEqual">
      <formula>-0.1</formula>
    </cfRule>
    <cfRule type="expression" dxfId="24" priority="2">
      <formula>AND(ISNUMBER(F2), F2&gt;=0.1)</formula>
    </cfRule>
  </conditionalFormatting>
  <hyperlinks>
    <hyperlink ref="K5" r:id="rId1" display="https://us3.assetplanner.com/service_request?ID=096528" xr:uid="{0CF38391-B0E7-4B8B-9014-3BD39F2D1279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1"/>
  <sheetViews>
    <sheetView zoomScale="80" zoomScaleNormal="80" workbookViewId="0">
      <pane xSplit="2" ySplit="3" topLeftCell="C4" activePane="bottomRight" state="frozen"/>
      <selection pane="bottomRight" activeCell="D4" sqref="D4:D5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28</v>
      </c>
      <c r="E1" s="62"/>
      <c r="F1" s="62"/>
      <c r="G1" s="60" t="s">
        <v>29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19909.208000000101</v>
      </c>
      <c r="D2" s="5">
        <f>SUM(D4:D69)</f>
        <v>0</v>
      </c>
      <c r="E2" s="5">
        <f>C2-D2</f>
        <v>19909.208000000101</v>
      </c>
      <c r="F2" s="6">
        <f>IFERROR(E2/D2, 0)</f>
        <v>0</v>
      </c>
      <c r="G2" s="5">
        <f>SUM(G4:G69)</f>
        <v>11789</v>
      </c>
      <c r="H2" s="7">
        <f>C2-G2</f>
        <v>8120.2080000001006</v>
      </c>
      <c r="I2" s="6">
        <f>IFERROR(H2/G2, 0)</f>
        <v>0.68879531766902202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5951.0079999999998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30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13958.200000000101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11789</v>
      </c>
      <c r="H5" s="20">
        <f t="shared" ref="H5" si="1">IF(AND(ISNUMBER(C5),ISNUMBER(G5)), C5-G5, "")</f>
        <v>2169.2000000001008</v>
      </c>
      <c r="I5" s="19">
        <f t="shared" ref="I5" si="2">IFERROR(H5/G5, "")</f>
        <v>0.18400203579608965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3" priority="3" stopIfTrue="1" operator="lessThanOrEqual">
      <formula>-0.1</formula>
    </cfRule>
    <cfRule type="expression" dxfId="22" priority="4">
      <formula>AND(ISNUMBER(F2), F2&gt;=0.1)</formula>
    </cfRule>
  </conditionalFormatting>
  <hyperlinks>
    <hyperlink ref="K4" r:id="rId1" display="https://us3.assetplanner.com/service_request?ID=098036" xr:uid="{E68BE015-1BAB-443B-8620-C91DB8ACE798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1"/>
  <sheetViews>
    <sheetView workbookViewId="0">
      <pane xSplit="2" ySplit="3" topLeftCell="H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32</v>
      </c>
      <c r="E1" s="62"/>
      <c r="F1" s="62"/>
      <c r="G1" s="60" t="s">
        <v>33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22525.9</v>
      </c>
      <c r="D2" s="5">
        <f>SUM(D4:D69)</f>
        <v>0</v>
      </c>
      <c r="E2" s="5">
        <f>C2-D2</f>
        <v>22525.9</v>
      </c>
      <c r="F2" s="6">
        <f>IFERROR(E2/D2, 0)</f>
        <v>0</v>
      </c>
      <c r="G2" s="5">
        <f>SUM(G4:G69)</f>
        <v>13203</v>
      </c>
      <c r="H2" s="7">
        <f>C2-G2</f>
        <v>9322.9000000000015</v>
      </c>
      <c r="I2" s="6">
        <f>IFERROR(H2/G2, 0)</f>
        <v>0.70611982125274575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6532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15993.9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13203</v>
      </c>
      <c r="H5" s="20">
        <f t="shared" ref="H5" si="1">IF(AND(ISNUMBER(C5),ISNUMBER(G5)), C5-G5, "")</f>
        <v>2790.8999999999996</v>
      </c>
      <c r="I5" s="19">
        <f t="shared" ref="I5" si="2">IFERROR(H5/G5, "")</f>
        <v>0.21138377641445125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21" priority="3" stopIfTrue="1" operator="lessThanOrEqual">
      <formula>-0.1</formula>
    </cfRule>
    <cfRule type="expression" dxfId="20" priority="4">
      <formula>AND(ISNUMBER(F2), F2&gt;=0.1)</formula>
    </cfRule>
  </conditionalFormatting>
  <hyperlinks>
    <hyperlink ref="K4" r:id="rId1" display="https://us3.assetplanner.com/service_request?ID=098036" xr:uid="{92A12D64-ADF1-427E-BCBE-E5B072C8AC2A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1"/>
  <sheetViews>
    <sheetView workbookViewId="0">
      <pane xSplit="2" ySplit="3" topLeftCell="F4" activePane="bottomRight" state="frozen"/>
      <selection pane="bottomRight" activeCell="K4" sqref="K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35</v>
      </c>
      <c r="E1" s="62"/>
      <c r="F1" s="62"/>
      <c r="G1" s="60" t="s">
        <v>36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22810.584000000003</v>
      </c>
      <c r="D2" s="5">
        <f>SUM(D4:D69)</f>
        <v>0</v>
      </c>
      <c r="E2" s="5">
        <f>C2-D2</f>
        <v>22810.584000000003</v>
      </c>
      <c r="F2" s="6">
        <f>IFERROR(E2/D2, 0)</f>
        <v>0</v>
      </c>
      <c r="G2" s="5">
        <f>SUM(G4:G69)</f>
        <v>14197.677</v>
      </c>
      <c r="H2" s="7">
        <f>C2-G2</f>
        <v>8612.9070000000029</v>
      </c>
      <c r="I2" s="6">
        <f>IFERROR(H2/G2, 0)</f>
        <v>0.60664198798155522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7225.9840000000004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15584.6</v>
      </c>
      <c r="D5" s="18">
        <v>0</v>
      </c>
      <c r="E5" s="18">
        <f t="shared" ref="E5" si="0">IF(AND(ISNUMBER(C5),ISNUMBER(D5)), C5-D5, "")</f>
        <v>15584.6</v>
      </c>
      <c r="F5" s="19" t="str">
        <f>IFERROR(E5/D5, "")</f>
        <v/>
      </c>
      <c r="G5" s="20">
        <v>14197.677</v>
      </c>
      <c r="H5" s="20">
        <f t="shared" ref="H5" si="1">IF(AND(ISNUMBER(C5),ISNUMBER(G5)), C5-G5, "")</f>
        <v>1386.9230000000007</v>
      </c>
      <c r="I5" s="19">
        <f t="shared" ref="I5" si="2">IFERROR(H5/G5, "")</f>
        <v>9.7686614507429687E-2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9" priority="3" stopIfTrue="1" operator="lessThanOrEqual">
      <formula>-0.1</formula>
    </cfRule>
    <cfRule type="expression" dxfId="18" priority="4">
      <formula>AND(ISNUMBER(F2), F2&gt;=0.1)</formula>
    </cfRule>
  </conditionalFormatting>
  <hyperlinks>
    <hyperlink ref="K4" r:id="rId1" display="https://us3.assetplanner.com/service_request?ID=098036" xr:uid="{1A63750B-9F2D-4703-8945-26CF19F7925F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1"/>
  <sheetViews>
    <sheetView workbookViewId="0">
      <pane xSplit="2" ySplit="3" topLeftCell="C4" activePane="bottomRight" state="frozen"/>
      <selection pane="bottomRight" activeCell="J4" sqref="J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37</v>
      </c>
      <c r="E1" s="62"/>
      <c r="F1" s="62"/>
      <c r="G1" s="60" t="s">
        <v>38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25358.892</v>
      </c>
      <c r="D2" s="5">
        <f>SUM(D4:D69)</f>
        <v>0</v>
      </c>
      <c r="E2" s="5">
        <f>C2-D2</f>
        <v>25358.892</v>
      </c>
      <c r="F2" s="6">
        <f>IFERROR(E2/D2, 0)</f>
        <v>0</v>
      </c>
      <c r="G2" s="5">
        <f>SUM(G4:G69)</f>
        <v>14504.5</v>
      </c>
      <c r="H2" s="7">
        <f>C2-G2</f>
        <v>10854.392</v>
      </c>
      <c r="I2" s="6">
        <f>IFERROR(H2/G2, 0)</f>
        <v>0.74834651315109102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8140.9920000000002</v>
      </c>
      <c r="D4" s="13">
        <v>0</v>
      </c>
      <c r="E4" s="13">
        <f>IF(AND(ISNUMBER(C4),ISNUMBER(D4)), C4-D4, "")</f>
        <v>8140.9920000000002</v>
      </c>
      <c r="F4" s="14" t="str">
        <f>IFERROR(E4/D4, "")</f>
        <v/>
      </c>
      <c r="G4" s="56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39</v>
      </c>
    </row>
    <row r="5" spans="1:11" ht="15.6">
      <c r="A5" s="29" t="str">
        <v>8 Sycamore Way</v>
      </c>
      <c r="B5" s="30" t="str">
        <v>CT</v>
      </c>
      <c r="C5" s="11">
        <v>17217.900000000001</v>
      </c>
      <c r="D5" s="18">
        <v>0</v>
      </c>
      <c r="E5" s="18">
        <f t="shared" ref="E5" si="0">IF(AND(ISNUMBER(C5),ISNUMBER(D5)), C5-D5, "")</f>
        <v>17217.900000000001</v>
      </c>
      <c r="F5" s="19" t="str">
        <f>IFERROR(E5/D5, "")</f>
        <v/>
      </c>
      <c r="G5" s="20">
        <v>14504.5</v>
      </c>
      <c r="H5" s="20">
        <f t="shared" ref="H5" si="1">IF(AND(ISNUMBER(C5),ISNUMBER(G5)), C5-G5, "")</f>
        <v>2713.4000000000015</v>
      </c>
      <c r="I5" s="19">
        <f t="shared" ref="I5" si="2">IFERROR(H5/G5, "")</f>
        <v>0.18707297735185643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7" priority="3" stopIfTrue="1" operator="lessThanOrEqual">
      <formula>-0.1</formula>
    </cfRule>
    <cfRule type="expression" dxfId="16" priority="4">
      <formula>AND(ISNUMBER(F2), F2&gt;=0.1)</formula>
    </cfRule>
  </conditionalFormatting>
  <hyperlinks>
    <hyperlink ref="K4" r:id="rId1" display="https://us3.assetplanner.com/service_request?ID=098036" xr:uid="{D1388199-4D95-4DC7-9966-0A9CDE8463F8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1"/>
  <sheetViews>
    <sheetView workbookViewId="0">
      <pane xSplit="2" ySplit="3" topLeftCell="D4" activePane="bottomRight" state="frozen"/>
      <selection pane="bottomRight" activeCell="H29" sqref="H29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40</v>
      </c>
      <c r="E1" s="62"/>
      <c r="F1" s="62"/>
      <c r="G1" s="60" t="s">
        <v>41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27491.908000000003</v>
      </c>
      <c r="D2" s="5">
        <f>SUM(D4:D69)</f>
        <v>0</v>
      </c>
      <c r="E2" s="5">
        <f>C2-D2</f>
        <v>27491.908000000003</v>
      </c>
      <c r="F2" s="6">
        <f>IFERROR(E2/D2, 0)</f>
        <v>0</v>
      </c>
      <c r="G2" s="5">
        <f>SUM(G4:G69)</f>
        <v>15228.258</v>
      </c>
      <c r="H2" s="7">
        <f>C2-G2</f>
        <v>12263.650000000003</v>
      </c>
      <c r="I2" s="6">
        <f>IFERROR(H2/G2, 0)</f>
        <v>0.80532192191647944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8607.0079999999998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18884.900000000001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15228.258</v>
      </c>
      <c r="H5" s="20">
        <f t="shared" ref="H5" si="1">IF(AND(ISNUMBER(C5),ISNUMBER(G5)), C5-G5, "")</f>
        <v>3656.6420000000016</v>
      </c>
      <c r="I5" s="19">
        <f t="shared" ref="I5" si="2">IFERROR(H5/G5, "")</f>
        <v>0.24012214660403058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69 I4:I69">
    <cfRule type="cellIs" dxfId="15" priority="3" stopIfTrue="1" operator="lessThanOrEqual">
      <formula>-0.1</formula>
    </cfRule>
    <cfRule type="expression" dxfId="14" priority="4">
      <formula>AND(ISNUMBER(F2), F2&gt;=0.1)</formula>
    </cfRule>
  </conditionalFormatting>
  <hyperlinks>
    <hyperlink ref="K4" r:id="rId1" display="https://us3.assetplanner.com/service_request?ID=098036" xr:uid="{56F628AF-8F27-4F20-AA18-7971504A0D36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1"/>
  <sheetViews>
    <sheetView workbookViewId="0">
      <pane xSplit="2" ySplit="3" topLeftCell="C4" activePane="bottomRight" state="frozen"/>
      <selection pane="bottomRight" activeCell="G27" sqref="G27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42</v>
      </c>
      <c r="E1" s="62"/>
      <c r="F1" s="62"/>
      <c r="G1" s="60" t="s">
        <v>43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28187.115999999998</v>
      </c>
      <c r="D2" s="5">
        <f>SUM(D4:D69)</f>
        <v>0</v>
      </c>
      <c r="E2" s="5">
        <f>C2-D2</f>
        <v>28187.115999999998</v>
      </c>
      <c r="F2" s="6">
        <f>IFERROR(E2/D2, 0)</f>
        <v>0</v>
      </c>
      <c r="G2" s="5">
        <f>SUM(G4:G69)</f>
        <v>14024.129000000001</v>
      </c>
      <c r="H2" s="7">
        <f>C2-G2</f>
        <v>14162.986999999997</v>
      </c>
      <c r="I2" s="6">
        <f>IFERROR(H2/G2, 0)</f>
        <v>1.0099013635713132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9030.0159999999996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31</v>
      </c>
    </row>
    <row r="5" spans="1:11" ht="15.6">
      <c r="A5" s="29" t="str">
        <v>8 Sycamore Way</v>
      </c>
      <c r="B5" s="30" t="str">
        <v>CT</v>
      </c>
      <c r="C5" s="11">
        <v>19157.099999999999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14024.129000000001</v>
      </c>
      <c r="H5" s="20">
        <f t="shared" ref="H5" si="1">IF(AND(ISNUMBER(C5),ISNUMBER(G5)), C5-G5, "")</f>
        <v>5132.9709999999977</v>
      </c>
      <c r="I5" s="19">
        <f t="shared" ref="I5" si="2">IFERROR(H5/G5, "")</f>
        <v>0.36600996753523857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3" priority="3" stopIfTrue="1" operator="lessThanOrEqual">
      <formula>-0.1</formula>
    </cfRule>
    <cfRule type="expression" dxfId="12" priority="4">
      <formula>AND(ISNUMBER(F2), F2&gt;=0.1)</formula>
    </cfRule>
  </conditionalFormatting>
  <hyperlinks>
    <hyperlink ref="K4" r:id="rId1" display="https://us3.assetplanner.com/service_request?ID=098036" xr:uid="{C8ACB0AB-3132-4A03-AF86-E9ED5A613FE8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1"/>
  <sheetViews>
    <sheetView workbookViewId="0">
      <pane xSplit="2" ySplit="3" topLeftCell="C4" activePane="bottomRight" state="frozen"/>
      <selection pane="bottomRight" activeCell="I16" sqref="I16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1" t="str" cm="1">
        <f t="array" ref="A1">portfolio</f>
        <v>American Polyfilm, Inc.</v>
      </c>
      <c r="B1" s="61"/>
      <c r="C1" s="61"/>
      <c r="D1" s="62" t="s">
        <v>44</v>
      </c>
      <c r="E1" s="62"/>
      <c r="F1" s="62"/>
      <c r="G1" s="60" t="s">
        <v>45</v>
      </c>
      <c r="H1" s="60"/>
      <c r="I1" s="60"/>
      <c r="J1" s="4"/>
      <c r="K1" s="4"/>
    </row>
    <row r="2" spans="1:11" ht="19.5" customHeight="1">
      <c r="A2" s="63" t="s">
        <v>2</v>
      </c>
      <c r="B2" s="63"/>
      <c r="C2" s="5">
        <f>SUM(C4:C69)</f>
        <v>22422.084000000003</v>
      </c>
      <c r="D2" s="5">
        <f>SUM(D4:D69)</f>
        <v>0</v>
      </c>
      <c r="E2" s="5">
        <f>C2-D2</f>
        <v>22422.084000000003</v>
      </c>
      <c r="F2" s="6">
        <f>IFERROR(E2/D2, 0)</f>
        <v>0</v>
      </c>
      <c r="G2" s="5">
        <f>SUM(G4:G69)</f>
        <v>12001.5</v>
      </c>
      <c r="H2" s="7">
        <f>C2-G2</f>
        <v>10420.584000000003</v>
      </c>
      <c r="I2" s="6">
        <f>IFERROR(H2/G2, 0)</f>
        <v>0.86827346581677312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1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7657.9840000000004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34</v>
      </c>
      <c r="K4" s="55" t="s">
        <v>39</v>
      </c>
    </row>
    <row r="5" spans="1:11" ht="15.6">
      <c r="A5" s="29" t="str">
        <v>8 Sycamore Way</v>
      </c>
      <c r="B5" s="30" t="str">
        <v>CT</v>
      </c>
      <c r="C5" s="11">
        <v>14764.1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12001.5</v>
      </c>
      <c r="H5" s="20">
        <f t="shared" ref="H5" si="1">IF(AND(ISNUMBER(C5),ISNUMBER(G5)), C5-G5, "")</f>
        <v>2762.6000000000004</v>
      </c>
      <c r="I5" s="19">
        <f t="shared" ref="I5" si="2">IFERROR(H5/G5, "")</f>
        <v>0.2301878931800192</v>
      </c>
      <c r="J5" s="41"/>
      <c r="K5" s="41"/>
    </row>
    <row r="6" spans="1:11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1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1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1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1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11" priority="3" stopIfTrue="1" operator="lessThanOrEqual">
      <formula>-0.1</formula>
    </cfRule>
    <cfRule type="expression" dxfId="10" priority="4">
      <formula>AND(ISNUMBER(F2), F2&gt;=0.1)</formula>
    </cfRule>
  </conditionalFormatting>
  <hyperlinks>
    <hyperlink ref="K4" r:id="rId1" display="https://us3.assetplanner.com/service_request?ID=098036" xr:uid="{42F0FDDB-55C0-4B49-AE79-71D7D107CA9D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L311"/>
  <sheetViews>
    <sheetView zoomScale="80" zoomScaleNormal="80" workbookViewId="0">
      <pane xSplit="2" ySplit="3" topLeftCell="C4" activePane="bottomRight" state="frozen"/>
      <selection pane="bottomRight" activeCell="J22" sqref="J22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American Polyfilm, Inc.</v>
      </c>
      <c r="B1" s="61"/>
      <c r="C1" s="61"/>
      <c r="D1" s="62" t="s">
        <v>46</v>
      </c>
      <c r="E1" s="62"/>
      <c r="F1" s="62"/>
      <c r="G1" s="60" t="s">
        <v>47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SUM(C4:C69)</f>
        <v>17630.8</v>
      </c>
      <c r="D2" s="5">
        <f>SUM(D4:D69)</f>
        <v>0</v>
      </c>
      <c r="E2" s="5">
        <f>C2-D2</f>
        <v>17630.8</v>
      </c>
      <c r="F2" s="6">
        <f>IFERROR(E2/D2, 0)</f>
        <v>0</v>
      </c>
      <c r="G2" s="5">
        <f>SUM(G4:G69)</f>
        <v>9608</v>
      </c>
      <c r="H2" s="7">
        <f>C2-G2</f>
        <v>8022.7999999999993</v>
      </c>
      <c r="I2" s="6">
        <f>IFERROR(H2/G2, 0)</f>
        <v>0.83501248959200658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15.6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6319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48</v>
      </c>
      <c r="K4" s="55" t="s">
        <v>39</v>
      </c>
      <c r="L4" t="s">
        <v>49</v>
      </c>
    </row>
    <row r="5" spans="1:12" ht="15.6">
      <c r="A5" s="29" t="str">
        <v>8 Sycamore Way</v>
      </c>
      <c r="B5" s="30" t="str">
        <v>CT</v>
      </c>
      <c r="C5" s="11">
        <v>11311.8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9608</v>
      </c>
      <c r="H5" s="20">
        <f t="shared" ref="H5" si="1">IF(AND(ISNUMBER(C5),ISNUMBER(G5)), C5-G5, "")</f>
        <v>1703.7999999999993</v>
      </c>
      <c r="I5" s="19">
        <f t="shared" ref="I5" si="2">IFERROR(H5/G5, "")</f>
        <v>0.17733139050791</v>
      </c>
      <c r="J5" s="41"/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9" priority="3" stopIfTrue="1" operator="lessThanOrEqual">
      <formula>-0.1</formula>
    </cfRule>
    <cfRule type="expression" dxfId="8" priority="4">
      <formula>AND(ISNUMBER(F2), F2&gt;=0.1)</formula>
    </cfRule>
  </conditionalFormatting>
  <hyperlinks>
    <hyperlink ref="K4" r:id="rId1" display="https://us3.assetplanner.com/service_request?ID=098036" xr:uid="{8E437149-FC84-4A67-B428-D525CF3F06AD}"/>
  </hyperlinks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M311"/>
  <sheetViews>
    <sheetView zoomScale="70" zoomScaleNormal="70" workbookViewId="0">
      <pane xSplit="2" ySplit="3" topLeftCell="C4" activePane="bottomRight" state="frozen"/>
      <selection pane="bottomRight" activeCell="J11" sqref="J11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2" width="20.5703125" bestFit="1" customWidth="1"/>
    <col min="13" max="13" width="8.85546875" style="58"/>
  </cols>
  <sheetData>
    <row r="1" spans="1:13" ht="19.5" customHeight="1">
      <c r="A1" s="61" t="str" cm="1">
        <f t="array" ref="A1">portfolio</f>
        <v>American Polyfilm, Inc.</v>
      </c>
      <c r="B1" s="61"/>
      <c r="C1" s="61"/>
      <c r="D1" s="62" t="s">
        <v>50</v>
      </c>
      <c r="E1" s="62"/>
      <c r="F1" s="62"/>
      <c r="G1" s="60" t="s">
        <v>51</v>
      </c>
      <c r="H1" s="60"/>
      <c r="I1" s="60"/>
      <c r="J1" s="4"/>
      <c r="K1" s="4"/>
      <c r="L1" s="4"/>
    </row>
    <row r="2" spans="1:13" ht="19.5" customHeight="1">
      <c r="A2" s="63" t="s">
        <v>2</v>
      </c>
      <c r="B2" s="63"/>
      <c r="C2" s="5">
        <f>SUM(C4:C69)</f>
        <v>10610.9</v>
      </c>
      <c r="D2" s="5">
        <f>SUM(D4:D69)</f>
        <v>0</v>
      </c>
      <c r="E2" s="5">
        <f>C2-D2</f>
        <v>10610.9</v>
      </c>
      <c r="F2" s="6">
        <f>IFERROR(E2/D2, 0)</f>
        <v>0</v>
      </c>
      <c r="G2" s="5">
        <f>SUM(G4:G69)</f>
        <v>7454</v>
      </c>
      <c r="H2" s="7">
        <f>C2-G2</f>
        <v>3156.8999999999996</v>
      </c>
      <c r="I2" s="6">
        <f>IFERROR(H2/G2, 0)</f>
        <v>0.42351757445666749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  <c r="L2" s="4"/>
    </row>
    <row r="3" spans="1:13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  <c r="L3" s="25" t="s">
        <v>52</v>
      </c>
    </row>
    <row r="4" spans="1:13" ht="43.15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3113.6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15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53</v>
      </c>
      <c r="K4" s="55" t="s">
        <v>54</v>
      </c>
      <c r="L4" s="40" t="s">
        <v>55</v>
      </c>
      <c r="M4" s="59" t="s">
        <v>56</v>
      </c>
    </row>
    <row r="5" spans="1:13" ht="15.6">
      <c r="A5" s="29" t="str">
        <v>8 Sycamore Way</v>
      </c>
      <c r="B5" s="30" t="str">
        <v>CT</v>
      </c>
      <c r="C5" s="11">
        <v>7497.3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7454</v>
      </c>
      <c r="H5" s="20">
        <f t="shared" ref="H5" si="1">IF(AND(ISNUMBER(C5),ISNUMBER(G5)), C5-G5, "")</f>
        <v>43.300000000000182</v>
      </c>
      <c r="I5" s="19">
        <f t="shared" ref="I5" si="2">IFERROR(H5/G5, "")</f>
        <v>5.8089616313389027E-3</v>
      </c>
      <c r="J5" s="41"/>
      <c r="K5" s="41"/>
      <c r="L5" s="41"/>
    </row>
    <row r="6" spans="1:13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  <c r="L6" s="21"/>
    </row>
    <row r="7" spans="1:13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  <c r="L7" s="21"/>
    </row>
    <row r="8" spans="1:13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  <c r="L8" s="21"/>
    </row>
    <row r="9" spans="1:13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  <c r="L9" s="21"/>
    </row>
    <row r="10" spans="1:13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  <c r="L10" s="21"/>
    </row>
    <row r="11" spans="1:13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  <c r="L11" s="21"/>
    </row>
    <row r="12" spans="1:13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  <c r="L12" s="21"/>
    </row>
    <row r="13" spans="1:13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  <c r="L13" s="21"/>
    </row>
    <row r="14" spans="1:13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  <c r="L14" s="21"/>
    </row>
    <row r="15" spans="1:13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  <c r="L15" s="21"/>
    </row>
    <row r="16" spans="1:13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  <c r="L16" s="21"/>
    </row>
    <row r="17" spans="1:12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  <c r="L17" s="21"/>
    </row>
    <row r="18" spans="1:12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  <c r="L18" s="21"/>
    </row>
    <row r="19" spans="1:12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  <c r="L19" s="21"/>
    </row>
    <row r="20" spans="1:12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  <c r="L20" s="21"/>
    </row>
    <row r="21" spans="1:12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  <c r="L21" s="21"/>
    </row>
    <row r="22" spans="1:12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  <c r="L22" s="21"/>
    </row>
    <row r="23" spans="1:12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  <c r="L23" s="21"/>
    </row>
    <row r="24" spans="1:12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  <c r="L24" s="21"/>
    </row>
    <row r="25" spans="1:12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  <c r="L25" s="21"/>
    </row>
    <row r="26" spans="1:12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  <c r="L26" s="21"/>
    </row>
    <row r="27" spans="1:12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  <c r="L27" s="21"/>
    </row>
    <row r="28" spans="1:12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  <c r="L28" s="21"/>
    </row>
    <row r="29" spans="1:12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  <c r="L29" s="21"/>
    </row>
    <row r="30" spans="1:12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  <c r="L30" s="21"/>
    </row>
    <row r="31" spans="1:12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  <c r="L31" s="21"/>
    </row>
    <row r="32" spans="1:12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  <c r="L32" s="21"/>
    </row>
    <row r="33" spans="1:12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  <c r="L33" s="21"/>
    </row>
    <row r="34" spans="1:12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  <c r="L34" s="21"/>
    </row>
    <row r="35" spans="1:12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  <c r="L35" s="21"/>
    </row>
    <row r="36" spans="1:12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  <c r="L36" s="21"/>
    </row>
    <row r="37" spans="1:12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  <c r="L37" s="21"/>
    </row>
    <row r="38" spans="1:12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  <c r="L38" s="21"/>
    </row>
    <row r="39" spans="1:12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  <c r="L39" s="21"/>
    </row>
    <row r="40" spans="1:12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  <c r="L40" s="21"/>
    </row>
    <row r="41" spans="1:12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  <c r="L41" s="21"/>
    </row>
    <row r="42" spans="1:12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  <c r="L42" s="21"/>
    </row>
    <row r="43" spans="1:12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  <c r="L43" s="21"/>
    </row>
    <row r="44" spans="1:12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  <c r="L44" s="21"/>
    </row>
    <row r="45" spans="1:12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  <c r="L45" s="21"/>
    </row>
    <row r="46" spans="1:12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  <c r="L46" s="21"/>
    </row>
    <row r="47" spans="1:12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  <c r="L47" s="21"/>
    </row>
    <row r="48" spans="1:12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  <c r="L48" s="21"/>
    </row>
    <row r="49" spans="1:12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  <c r="L49" s="21"/>
    </row>
    <row r="50" spans="1:12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  <c r="L50" s="21"/>
    </row>
    <row r="51" spans="1:12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  <c r="L51" s="21"/>
    </row>
    <row r="52" spans="1:12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  <c r="L52" s="21"/>
    </row>
    <row r="53" spans="1:12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  <c r="L53" s="21"/>
    </row>
    <row r="54" spans="1:12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  <c r="L54" s="21"/>
    </row>
    <row r="55" spans="1:12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  <c r="L55" s="21"/>
    </row>
    <row r="56" spans="1:12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  <c r="L56" s="21"/>
    </row>
    <row r="57" spans="1:12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  <c r="L57" s="21"/>
    </row>
    <row r="58" spans="1:12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  <c r="L58" s="21"/>
    </row>
    <row r="59" spans="1:12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  <c r="L59" s="21"/>
    </row>
    <row r="60" spans="1:12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  <c r="L60" s="21"/>
    </row>
    <row r="61" spans="1:12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  <c r="L61" s="21"/>
    </row>
    <row r="62" spans="1:12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  <c r="L62" s="21"/>
    </row>
    <row r="63" spans="1:12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  <c r="L63" s="21"/>
    </row>
    <row r="64" spans="1:12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  <c r="L64" s="21"/>
    </row>
    <row r="65" spans="1:12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  <c r="L65" s="21"/>
    </row>
    <row r="66" spans="1:12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  <c r="L66" s="21"/>
    </row>
    <row r="67" spans="1:12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  <c r="L67" s="21"/>
    </row>
    <row r="68" spans="1:12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  <c r="L68" s="21"/>
    </row>
    <row r="69" spans="1:12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  <c r="L69" s="21"/>
    </row>
    <row r="70" spans="1:12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  <c r="L70" s="21"/>
    </row>
    <row r="71" spans="1:12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  <c r="L71" s="21"/>
    </row>
    <row r="72" spans="1:12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  <c r="L72" s="21"/>
    </row>
    <row r="73" spans="1:12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  <c r="L73" s="21"/>
    </row>
    <row r="74" spans="1:12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  <c r="L74" s="21"/>
    </row>
    <row r="75" spans="1:12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  <c r="L75" s="21"/>
    </row>
    <row r="76" spans="1:12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  <c r="L76" s="21"/>
    </row>
    <row r="77" spans="1:12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  <c r="L77" s="21"/>
    </row>
    <row r="78" spans="1:12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  <c r="L78" s="21"/>
    </row>
    <row r="79" spans="1:12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  <c r="L79" s="21"/>
    </row>
    <row r="80" spans="1:12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  <c r="L80" s="21"/>
    </row>
    <row r="81" spans="1:12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  <c r="L81" s="21"/>
    </row>
    <row r="82" spans="1:12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  <c r="L82" s="21"/>
    </row>
    <row r="83" spans="1:12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  <c r="L83" s="21"/>
    </row>
    <row r="84" spans="1:12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  <c r="L84" s="21"/>
    </row>
    <row r="85" spans="1:12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  <c r="L85" s="21"/>
    </row>
    <row r="86" spans="1:12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  <c r="L86" s="21"/>
    </row>
    <row r="87" spans="1:12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  <c r="L87" s="21"/>
    </row>
    <row r="88" spans="1:12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  <c r="L88" s="21"/>
    </row>
    <row r="89" spans="1:12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  <c r="L89" s="21"/>
    </row>
    <row r="90" spans="1:12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  <c r="L90" s="21"/>
    </row>
    <row r="91" spans="1:12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  <c r="L91" s="21"/>
    </row>
    <row r="92" spans="1:12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  <c r="L92" s="21"/>
    </row>
    <row r="93" spans="1:12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  <c r="L93" s="21"/>
    </row>
    <row r="94" spans="1:12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  <c r="L94" s="21"/>
    </row>
    <row r="95" spans="1:12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  <c r="L95" s="21"/>
    </row>
    <row r="96" spans="1:12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  <c r="L96" s="21"/>
    </row>
    <row r="97" spans="1:12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  <c r="L97" s="21"/>
    </row>
    <row r="98" spans="1:12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  <c r="L98" s="21"/>
    </row>
    <row r="99" spans="1:12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  <c r="L99" s="21"/>
    </row>
    <row r="100" spans="1:12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  <c r="L100" s="21"/>
    </row>
    <row r="101" spans="1:12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  <c r="L101" s="21"/>
    </row>
    <row r="102" spans="1:12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  <c r="L102" s="21"/>
    </row>
    <row r="103" spans="1:12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  <c r="L103" s="21"/>
    </row>
    <row r="104" spans="1:12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  <c r="L104" s="21"/>
    </row>
    <row r="105" spans="1:12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  <c r="L105" s="21"/>
    </row>
    <row r="106" spans="1:12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  <c r="L106" s="21"/>
    </row>
    <row r="107" spans="1:12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  <c r="L107" s="21"/>
    </row>
    <row r="108" spans="1:12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  <c r="L108" s="21"/>
    </row>
    <row r="109" spans="1:12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  <c r="L109" s="21"/>
    </row>
    <row r="110" spans="1:12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  <c r="L110" s="21"/>
    </row>
    <row r="111" spans="1:12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  <c r="L111" s="21"/>
    </row>
    <row r="112" spans="1:12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  <c r="L112" s="21"/>
    </row>
    <row r="113" spans="1:12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  <c r="L113" s="21"/>
    </row>
    <row r="114" spans="1:12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  <c r="L114" s="21"/>
    </row>
    <row r="115" spans="1:12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  <c r="L115" s="21"/>
    </row>
    <row r="116" spans="1:12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  <c r="L116" s="21"/>
    </row>
    <row r="117" spans="1:12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  <c r="L117" s="21"/>
    </row>
    <row r="118" spans="1:12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  <c r="L118" s="21"/>
    </row>
    <row r="119" spans="1:12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  <c r="L119" s="21"/>
    </row>
    <row r="120" spans="1:12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  <c r="L120" s="21"/>
    </row>
    <row r="121" spans="1:12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  <c r="L121" s="21"/>
    </row>
    <row r="122" spans="1:12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  <c r="L122" s="21"/>
    </row>
    <row r="123" spans="1:12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  <c r="L123" s="21"/>
    </row>
    <row r="124" spans="1:12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  <c r="L124" s="21"/>
    </row>
    <row r="125" spans="1:12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  <c r="L125" s="21"/>
    </row>
    <row r="126" spans="1:12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  <c r="L126" s="21"/>
    </row>
    <row r="127" spans="1:12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  <c r="L127" s="21"/>
    </row>
    <row r="128" spans="1:12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  <c r="L128" s="21"/>
    </row>
    <row r="129" spans="1:12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  <c r="L129" s="21"/>
    </row>
    <row r="130" spans="1:12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  <c r="L130" s="21"/>
    </row>
    <row r="131" spans="1:12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  <c r="L131" s="21"/>
    </row>
    <row r="132" spans="1:12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  <c r="L132" s="21"/>
    </row>
    <row r="133" spans="1:12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  <c r="L133" s="21"/>
    </row>
    <row r="134" spans="1:12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  <c r="L134" s="21"/>
    </row>
    <row r="135" spans="1:12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  <c r="L135" s="21"/>
    </row>
    <row r="136" spans="1:12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  <c r="L136" s="21"/>
    </row>
    <row r="137" spans="1:12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  <c r="L137" s="21"/>
    </row>
    <row r="138" spans="1:12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  <c r="L138" s="21"/>
    </row>
    <row r="139" spans="1:12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  <c r="L139" s="21"/>
    </row>
    <row r="140" spans="1:12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  <c r="L140" s="21"/>
    </row>
    <row r="141" spans="1:12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  <c r="L141" s="21"/>
    </row>
    <row r="142" spans="1:12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  <c r="L142" s="21"/>
    </row>
    <row r="143" spans="1:12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  <c r="L143" s="21"/>
    </row>
    <row r="144" spans="1:12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  <c r="L144" s="21"/>
    </row>
    <row r="145" spans="1:12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  <c r="L145" s="21"/>
    </row>
    <row r="146" spans="1:12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  <c r="L146" s="21"/>
    </row>
    <row r="147" spans="1:12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  <c r="L147" s="21"/>
    </row>
    <row r="148" spans="1:12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  <c r="L148" s="21"/>
    </row>
    <row r="149" spans="1:12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  <c r="L149" s="21"/>
    </row>
    <row r="150" spans="1:12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  <c r="L150" s="21"/>
    </row>
    <row r="151" spans="1:12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  <c r="L151" s="21"/>
    </row>
    <row r="152" spans="1:12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  <c r="L152" s="21"/>
    </row>
    <row r="153" spans="1:12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  <c r="L153" s="21"/>
    </row>
    <row r="154" spans="1:12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  <c r="L154" s="21"/>
    </row>
    <row r="155" spans="1:12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  <c r="L155" s="21"/>
    </row>
    <row r="156" spans="1:12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  <c r="L156" s="21"/>
    </row>
    <row r="157" spans="1:12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  <c r="L157" s="21"/>
    </row>
    <row r="158" spans="1:12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  <c r="L158" s="21"/>
    </row>
    <row r="159" spans="1:12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  <c r="L159" s="21"/>
    </row>
    <row r="160" spans="1:12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  <c r="L160" s="21"/>
    </row>
    <row r="161" spans="1:12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  <c r="L161" s="21"/>
    </row>
    <row r="162" spans="1:12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  <c r="L162" s="21"/>
    </row>
    <row r="163" spans="1:12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  <c r="L163" s="21"/>
    </row>
    <row r="164" spans="1:12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  <c r="L164" s="21"/>
    </row>
    <row r="165" spans="1:12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  <c r="L165" s="21"/>
    </row>
    <row r="166" spans="1:12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  <c r="L166" s="21"/>
    </row>
    <row r="167" spans="1:12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  <c r="L167" s="21"/>
    </row>
    <row r="168" spans="1:12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  <c r="L168" s="21"/>
    </row>
    <row r="169" spans="1:12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  <c r="L169" s="21"/>
    </row>
    <row r="170" spans="1:12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  <c r="L170" s="21"/>
    </row>
    <row r="171" spans="1:12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  <c r="L171" s="21"/>
    </row>
    <row r="172" spans="1:12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  <c r="L172" s="21"/>
    </row>
    <row r="173" spans="1:12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  <c r="L173" s="21"/>
    </row>
    <row r="174" spans="1:12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  <c r="L174" s="21"/>
    </row>
    <row r="175" spans="1:12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  <c r="L175" s="21"/>
    </row>
    <row r="176" spans="1:12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  <c r="L176" s="21"/>
    </row>
    <row r="177" spans="1:12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  <c r="L177" s="21"/>
    </row>
    <row r="178" spans="1:12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  <c r="L178" s="21"/>
    </row>
    <row r="179" spans="1:12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  <c r="L179" s="21"/>
    </row>
    <row r="180" spans="1:12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  <c r="L180" s="21"/>
    </row>
    <row r="181" spans="1:12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  <c r="L181" s="21"/>
    </row>
    <row r="182" spans="1:12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  <c r="L182" s="21"/>
    </row>
    <row r="183" spans="1:12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  <c r="L183" s="21"/>
    </row>
    <row r="184" spans="1:12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  <c r="L184" s="21"/>
    </row>
    <row r="185" spans="1:12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  <c r="L185" s="21"/>
    </row>
    <row r="186" spans="1:12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  <c r="L186" s="21"/>
    </row>
    <row r="187" spans="1:12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  <c r="L187" s="21"/>
    </row>
    <row r="188" spans="1:12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  <c r="L188" s="21"/>
    </row>
    <row r="189" spans="1:12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  <c r="L189" s="21"/>
    </row>
    <row r="190" spans="1:12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  <c r="L190" s="21"/>
    </row>
    <row r="191" spans="1:12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  <c r="L191" s="21"/>
    </row>
    <row r="192" spans="1:12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  <c r="L192" s="21"/>
    </row>
    <row r="193" spans="1:12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  <c r="L193" s="21"/>
    </row>
    <row r="194" spans="1:12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  <c r="L194" s="21"/>
    </row>
    <row r="195" spans="1:12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  <c r="L195" s="21"/>
    </row>
    <row r="196" spans="1:12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  <c r="L196" s="21"/>
    </row>
    <row r="197" spans="1:12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  <c r="L197" s="21"/>
    </row>
    <row r="198" spans="1:12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  <c r="L198" s="21"/>
    </row>
    <row r="199" spans="1:12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  <c r="L199" s="21"/>
    </row>
    <row r="200" spans="1:12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  <c r="L200" s="21"/>
    </row>
    <row r="201" spans="1:12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  <c r="L201" s="21"/>
    </row>
    <row r="202" spans="1:12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  <c r="L202" s="21"/>
    </row>
    <row r="203" spans="1:12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  <c r="L203" s="21"/>
    </row>
    <row r="204" spans="1:12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  <c r="L204" s="21"/>
    </row>
    <row r="205" spans="1:12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  <c r="L205" s="21"/>
    </row>
    <row r="206" spans="1:12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  <c r="L206" s="21"/>
    </row>
    <row r="207" spans="1:12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  <c r="L207" s="21"/>
    </row>
    <row r="208" spans="1:12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  <c r="L208" s="21"/>
    </row>
    <row r="209" spans="1:12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  <c r="L209" s="21"/>
    </row>
    <row r="210" spans="1:12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  <c r="L210" s="21"/>
    </row>
    <row r="211" spans="1:12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  <c r="L211" s="21"/>
    </row>
    <row r="212" spans="1:12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  <c r="L212" s="21"/>
    </row>
    <row r="213" spans="1:12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  <c r="L213" s="21"/>
    </row>
    <row r="214" spans="1:12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  <c r="L214" s="21"/>
    </row>
    <row r="215" spans="1:12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  <c r="L215" s="21"/>
    </row>
    <row r="216" spans="1:12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  <c r="L216" s="21"/>
    </row>
    <row r="217" spans="1:12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  <c r="L217" s="21"/>
    </row>
    <row r="218" spans="1:12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  <c r="L218" s="21"/>
    </row>
    <row r="219" spans="1:12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  <c r="L219" s="21"/>
    </row>
    <row r="220" spans="1:12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  <c r="L220" s="21"/>
    </row>
    <row r="221" spans="1:12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  <c r="L221" s="21"/>
    </row>
    <row r="222" spans="1:12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  <c r="L222" s="21"/>
    </row>
    <row r="223" spans="1:12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  <c r="L223" s="21"/>
    </row>
    <row r="224" spans="1:12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  <c r="L224" s="21"/>
    </row>
    <row r="225" spans="1:12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  <c r="L225" s="21"/>
    </row>
    <row r="226" spans="1:12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  <c r="L226" s="21"/>
    </row>
    <row r="227" spans="1:12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  <c r="L227" s="21"/>
    </row>
    <row r="228" spans="1:12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  <c r="L228" s="21"/>
    </row>
    <row r="229" spans="1:12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  <c r="L229" s="21"/>
    </row>
    <row r="230" spans="1:12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  <c r="L230" s="21"/>
    </row>
    <row r="231" spans="1:12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  <c r="L231" s="21"/>
    </row>
    <row r="232" spans="1:12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  <c r="L232" s="21"/>
    </row>
    <row r="233" spans="1:12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  <c r="L233" s="21"/>
    </row>
    <row r="234" spans="1:12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  <c r="L234" s="21"/>
    </row>
    <row r="235" spans="1:12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  <c r="L235" s="21"/>
    </row>
    <row r="236" spans="1:12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  <c r="L236" s="21"/>
    </row>
    <row r="237" spans="1:12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  <c r="L237" s="21"/>
    </row>
    <row r="238" spans="1:12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  <c r="L238" s="21"/>
    </row>
    <row r="239" spans="1:12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  <c r="L239" s="21"/>
    </row>
    <row r="240" spans="1:12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  <c r="L240" s="21"/>
    </row>
    <row r="241" spans="1:12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  <c r="L241" s="21"/>
    </row>
    <row r="242" spans="1:12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  <c r="L242" s="21"/>
    </row>
    <row r="243" spans="1:12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  <c r="L243" s="21"/>
    </row>
    <row r="244" spans="1:12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  <c r="L244" s="21"/>
    </row>
    <row r="245" spans="1:12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  <c r="L245" s="21"/>
    </row>
    <row r="246" spans="1:12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  <c r="L246" s="21"/>
    </row>
    <row r="247" spans="1:12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  <c r="L247" s="21"/>
    </row>
    <row r="248" spans="1:12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  <c r="L248" s="21"/>
    </row>
    <row r="249" spans="1:12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  <c r="L249" s="21"/>
    </row>
    <row r="250" spans="1:12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  <c r="L250" s="21"/>
    </row>
    <row r="251" spans="1:12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  <c r="L251" s="21"/>
    </row>
    <row r="252" spans="1:12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  <c r="L252" s="21"/>
    </row>
    <row r="253" spans="1:12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  <c r="L253" s="21"/>
    </row>
    <row r="254" spans="1:12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  <c r="L254" s="21"/>
    </row>
    <row r="255" spans="1:12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  <c r="L255" s="21"/>
    </row>
    <row r="256" spans="1:12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  <c r="L256" s="21"/>
    </row>
    <row r="257" spans="1:12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  <c r="L257" s="21"/>
    </row>
    <row r="258" spans="1:12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  <c r="L258" s="21"/>
    </row>
    <row r="259" spans="1:12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  <c r="L259" s="21"/>
    </row>
    <row r="260" spans="1:12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  <c r="L260" s="21"/>
    </row>
    <row r="261" spans="1:12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  <c r="L261" s="21"/>
    </row>
    <row r="262" spans="1:12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  <c r="L262" s="21"/>
    </row>
    <row r="263" spans="1:12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  <c r="L263" s="21"/>
    </row>
    <row r="264" spans="1:12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  <c r="L264" s="21"/>
    </row>
    <row r="265" spans="1:12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  <c r="L265" s="21"/>
    </row>
    <row r="266" spans="1:12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  <c r="L266" s="21"/>
    </row>
    <row r="267" spans="1:12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  <c r="L267" s="21"/>
    </row>
    <row r="268" spans="1:12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  <c r="L268" s="21"/>
    </row>
    <row r="269" spans="1:12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  <c r="L269" s="21"/>
    </row>
    <row r="270" spans="1:12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  <c r="L270" s="21"/>
    </row>
    <row r="271" spans="1:12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  <c r="L271" s="21"/>
    </row>
    <row r="272" spans="1:12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  <c r="L272" s="21"/>
    </row>
    <row r="273" spans="1:12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  <c r="L273" s="21"/>
    </row>
    <row r="274" spans="1:12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  <c r="L274" s="21"/>
    </row>
    <row r="275" spans="1:12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  <c r="L275" s="21"/>
    </row>
    <row r="276" spans="1:12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  <c r="L276" s="21"/>
    </row>
    <row r="277" spans="1:12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  <c r="L277" s="21"/>
    </row>
    <row r="278" spans="1:12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  <c r="L278" s="21"/>
    </row>
    <row r="279" spans="1:12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  <c r="L279" s="21"/>
    </row>
    <row r="280" spans="1:12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  <c r="L280" s="21"/>
    </row>
    <row r="281" spans="1:12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  <c r="L281" s="21"/>
    </row>
    <row r="282" spans="1:12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  <c r="L282" s="21"/>
    </row>
    <row r="283" spans="1:12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  <c r="L283" s="21"/>
    </row>
    <row r="284" spans="1:12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  <c r="L284" s="21"/>
    </row>
    <row r="285" spans="1:12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  <c r="L285" s="21"/>
    </row>
    <row r="286" spans="1:12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  <c r="L286" s="21"/>
    </row>
    <row r="287" spans="1:12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  <c r="L287" s="21"/>
    </row>
    <row r="288" spans="1:12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  <c r="L288" s="21"/>
    </row>
    <row r="289" spans="1:12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  <c r="L289" s="21"/>
    </row>
    <row r="290" spans="1:12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  <c r="L290" s="21"/>
    </row>
    <row r="291" spans="1:12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  <c r="L291" s="21"/>
    </row>
    <row r="292" spans="1:12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  <c r="L292" s="21"/>
    </row>
    <row r="293" spans="1:12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  <c r="L293" s="21"/>
    </row>
    <row r="294" spans="1:12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  <c r="L294" s="21"/>
    </row>
    <row r="295" spans="1:12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  <c r="L295" s="21"/>
    </row>
    <row r="296" spans="1:12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  <c r="L296" s="21"/>
    </row>
    <row r="297" spans="1:12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  <c r="L297" s="21"/>
    </row>
    <row r="298" spans="1:12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  <c r="L298" s="21"/>
    </row>
    <row r="299" spans="1:12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  <c r="L299" s="21"/>
    </row>
    <row r="300" spans="1:12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  <c r="L300" s="21"/>
    </row>
    <row r="301" spans="1:12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  <c r="L301" s="21"/>
    </row>
    <row r="302" spans="1:12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  <c r="L302" s="21"/>
    </row>
    <row r="303" spans="1:12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  <c r="L303" s="21"/>
    </row>
    <row r="304" spans="1:12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  <c r="L304" s="21"/>
    </row>
    <row r="305" spans="1:12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  <c r="L305" s="21"/>
    </row>
    <row r="306" spans="1:12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  <c r="L306" s="21"/>
    </row>
    <row r="307" spans="1:12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  <c r="L307" s="21"/>
    </row>
    <row r="308" spans="1:12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  <c r="L308" s="21"/>
    </row>
    <row r="309" spans="1:12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  <c r="L309" s="21"/>
    </row>
    <row r="310" spans="1:12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  <c r="L310" s="21"/>
    </row>
    <row r="311" spans="1:12" ht="14.45">
      <c r="C311" s="21"/>
      <c r="D311" s="21"/>
      <c r="E311" s="21"/>
      <c r="F311" s="22"/>
      <c r="G311" s="21"/>
      <c r="H311" s="21"/>
      <c r="I311" s="22"/>
      <c r="J311" s="21"/>
      <c r="K311" s="21"/>
      <c r="L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7" priority="3" stopIfTrue="1" operator="lessThanOrEqual">
      <formula>-0.1</formula>
    </cfRule>
    <cfRule type="expression" dxfId="6" priority="4">
      <formula>AND(ISNUMBER(F2), F2&gt;=0.1)</formula>
    </cfRule>
  </conditionalFormatting>
  <hyperlinks>
    <hyperlink ref="K4" r:id="rId1" display="https://us3.assetplanner.com/service_request?ID=098036" xr:uid="{30C4FA1A-B1C6-4B59-A6D0-9CE13259E4F0}"/>
    <hyperlink ref="M4" r:id="rId2" display="https://us3.assetplanner.com/service_request?ID=111671" xr:uid="{D1DE7A56-A6AA-46D7-B21A-ADCBBA559F48}"/>
  </hyperlinks>
  <pageMargins left="0.4" right="0.7" top="0.25" bottom="0.25" header="0.3" footer="0.3"/>
  <pageSetup fitToHeight="99" orientation="landscape"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L311"/>
  <sheetViews>
    <sheetView tabSelected="1" zoomScale="80" zoomScaleNormal="80" workbookViewId="0">
      <pane xSplit="2" ySplit="3" topLeftCell="C4" activePane="bottomRight" state="frozen"/>
      <selection pane="bottomRight" activeCell="J23" sqref="J23:J24"/>
      <selection pane="bottomLeft" activeCell="G22" sqref="G22"/>
      <selection pane="topRight" activeCell="G22" sqref="G22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1" t="str" cm="1">
        <f t="array" ref="A1">portfolio</f>
        <v>American Polyfilm, Inc.</v>
      </c>
      <c r="B1" s="61"/>
      <c r="C1" s="61"/>
      <c r="D1" s="62" t="s">
        <v>57</v>
      </c>
      <c r="E1" s="62"/>
      <c r="F1" s="62"/>
      <c r="G1" s="60" t="s">
        <v>58</v>
      </c>
      <c r="H1" s="60"/>
      <c r="I1" s="60"/>
      <c r="J1" s="4"/>
      <c r="K1" s="4"/>
    </row>
    <row r="2" spans="1:12" ht="19.5" customHeight="1">
      <c r="A2" s="63" t="s">
        <v>2</v>
      </c>
      <c r="B2" s="63"/>
      <c r="C2" s="5">
        <f>SUM(C4:C69)</f>
        <v>9890.2989999999991</v>
      </c>
      <c r="D2" s="5">
        <f>SUM(D4:D69)</f>
        <v>0</v>
      </c>
      <c r="E2" s="5">
        <f>C2-D2</f>
        <v>9890.2989999999991</v>
      </c>
      <c r="F2" s="6">
        <f>IFERROR(E2/D2, 0)</f>
        <v>0</v>
      </c>
      <c r="G2" s="5">
        <f>SUM(G4:G69)</f>
        <v>6602.3549999999996</v>
      </c>
      <c r="H2" s="7">
        <f>C2-G2</f>
        <v>3287.9439999999995</v>
      </c>
      <c r="I2" s="6">
        <f>IFERROR(H2/G2, 0)</f>
        <v>0.49799563943471681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3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5" t="s">
        <v>20</v>
      </c>
      <c r="K3" s="25" t="s">
        <v>21</v>
      </c>
    </row>
    <row r="4" spans="1:12" ht="28.9">
      <c r="A4" s="31" t="str" cm="1">
        <f t="array" ref="A4:A5">Sites[Site]</f>
        <v>15 Baldwin Dr</v>
      </c>
      <c r="B4" s="28" t="str" cm="1">
        <f t="array" ref="B4:B5">Sites[State]</f>
        <v>CT</v>
      </c>
      <c r="C4" s="24">
        <v>4226.299</v>
      </c>
      <c r="D4" s="13" t="s">
        <v>22</v>
      </c>
      <c r="E4" s="13" t="str">
        <f>IF(AND(ISNUMBER(C4),ISNUMBER(D4)), C4-D4, "")</f>
        <v/>
      </c>
      <c r="F4" s="14" t="str">
        <f>IFERROR(E4/D4, "")</f>
        <v/>
      </c>
      <c r="G4" s="53" t="s">
        <v>22</v>
      </c>
      <c r="H4" s="15" t="str">
        <f>IF(AND(ISNUMBER(C4),ISNUMBER(G4)), C4-G4, "")</f>
        <v/>
      </c>
      <c r="I4" s="16" t="str">
        <f>IFERROR(H4/G4, "")</f>
        <v/>
      </c>
      <c r="J4" s="40" t="s">
        <v>59</v>
      </c>
      <c r="K4" s="55" t="s">
        <v>60</v>
      </c>
      <c r="L4" s="57" t="s">
        <v>49</v>
      </c>
    </row>
    <row r="5" spans="1:12" ht="15.6">
      <c r="A5" s="29" t="str">
        <v>8 Sycamore Way</v>
      </c>
      <c r="B5" s="30" t="str">
        <v>CT</v>
      </c>
      <c r="C5" s="11">
        <v>5664</v>
      </c>
      <c r="D5" s="18" t="s">
        <v>22</v>
      </c>
      <c r="E5" s="18" t="str">
        <f t="shared" ref="E5" si="0">IF(AND(ISNUMBER(C5),ISNUMBER(D5)), C5-D5, "")</f>
        <v/>
      </c>
      <c r="F5" s="19" t="str">
        <f>IFERROR(E5/D5, "")</f>
        <v/>
      </c>
      <c r="G5" s="20">
        <v>6602.3549999999996</v>
      </c>
      <c r="H5" s="20">
        <f>IF(AND(ISNUMBER(C5),ISNUMBER(G5)), C5-G5, "")</f>
        <v>-938.35499999999956</v>
      </c>
      <c r="I5" s="19">
        <f t="shared" ref="I5" si="1">IFERROR(H5/G5, "")</f>
        <v>-0.14212428747015263</v>
      </c>
      <c r="J5" s="41" t="s">
        <v>61</v>
      </c>
      <c r="K5" s="41"/>
    </row>
    <row r="6" spans="1:12" ht="14.45">
      <c r="A6" s="21"/>
      <c r="B6" s="32"/>
      <c r="C6" s="21"/>
      <c r="D6" s="21"/>
      <c r="E6" s="21"/>
      <c r="F6" s="22"/>
      <c r="G6" s="21"/>
      <c r="H6" s="21"/>
      <c r="I6" s="22"/>
      <c r="J6" s="21"/>
      <c r="K6" s="21"/>
    </row>
    <row r="7" spans="1:12" ht="14.45">
      <c r="A7" s="21"/>
      <c r="B7" s="32"/>
      <c r="C7" s="21"/>
      <c r="D7" s="21"/>
      <c r="E7" s="21"/>
      <c r="F7" s="22"/>
      <c r="G7" s="21"/>
      <c r="H7" s="21"/>
      <c r="I7" s="22"/>
      <c r="J7" s="21"/>
      <c r="K7" s="21"/>
    </row>
    <row r="8" spans="1:12" ht="14.45">
      <c r="A8" s="21"/>
      <c r="B8" s="32"/>
      <c r="C8" s="21"/>
      <c r="D8" s="21"/>
      <c r="E8" s="21"/>
      <c r="F8" s="22"/>
      <c r="G8" s="21"/>
      <c r="H8" s="21"/>
      <c r="I8" s="22"/>
      <c r="J8" s="21"/>
      <c r="K8" s="21"/>
    </row>
    <row r="9" spans="1:12" ht="14.45">
      <c r="A9" s="21"/>
      <c r="B9" s="32"/>
      <c r="C9" s="21"/>
      <c r="D9" s="21"/>
      <c r="E9" s="21"/>
      <c r="F9" s="22"/>
      <c r="G9" s="21"/>
      <c r="H9" s="21"/>
      <c r="I9" s="22"/>
      <c r="J9" s="21"/>
      <c r="K9" s="21"/>
    </row>
    <row r="10" spans="1:12" ht="14.45">
      <c r="A10" s="21"/>
      <c r="B10" s="32"/>
      <c r="C10" s="21"/>
      <c r="D10" s="21"/>
      <c r="E10" s="21"/>
      <c r="F10" s="22"/>
      <c r="G10" s="21"/>
      <c r="H10" s="21"/>
      <c r="I10" s="22"/>
      <c r="J10" s="21"/>
      <c r="K10" s="21"/>
    </row>
    <row r="11" spans="1:12" ht="14.45">
      <c r="A11" s="21"/>
      <c r="B11" s="32"/>
      <c r="C11" s="21"/>
      <c r="D11" s="21"/>
      <c r="E11" s="21"/>
      <c r="F11" s="22"/>
      <c r="G11" s="21"/>
      <c r="H11" s="21"/>
      <c r="I11" s="22"/>
      <c r="J11" s="21"/>
      <c r="K11" s="21"/>
    </row>
    <row r="12" spans="1:12" ht="14.45">
      <c r="A12" s="21"/>
      <c r="B12" s="32"/>
      <c r="C12" s="21"/>
      <c r="D12" s="21"/>
      <c r="E12" s="21"/>
      <c r="F12" s="22"/>
      <c r="G12" s="21"/>
      <c r="H12" s="21"/>
      <c r="I12" s="22"/>
      <c r="J12" s="21"/>
      <c r="K12" s="21"/>
    </row>
    <row r="13" spans="1:12" ht="14.45">
      <c r="A13" s="21"/>
      <c r="B13" s="32"/>
      <c r="C13" s="21"/>
      <c r="D13" s="21"/>
      <c r="E13" s="21"/>
      <c r="F13" s="22"/>
      <c r="G13" s="21"/>
      <c r="H13" s="21"/>
      <c r="I13" s="22"/>
      <c r="J13" s="21"/>
      <c r="K13" s="21"/>
    </row>
    <row r="14" spans="1:12" ht="14.45">
      <c r="A14" s="21"/>
      <c r="B14" s="32"/>
      <c r="C14" s="21"/>
      <c r="D14" s="21"/>
      <c r="E14" s="21"/>
      <c r="F14" s="22"/>
      <c r="G14" s="21"/>
      <c r="H14" s="21"/>
      <c r="I14" s="22"/>
      <c r="J14" s="21"/>
      <c r="K14" s="21"/>
    </row>
    <row r="15" spans="1:12" ht="14.45">
      <c r="A15" s="21"/>
      <c r="B15" s="32"/>
      <c r="C15" s="21"/>
      <c r="D15" s="21"/>
      <c r="E15" s="21"/>
      <c r="F15" s="22"/>
      <c r="G15" s="21"/>
      <c r="H15" s="21"/>
      <c r="I15" s="22"/>
      <c r="J15" s="21"/>
      <c r="K15" s="21"/>
    </row>
    <row r="16" spans="1:12" ht="14.45">
      <c r="A16" s="21"/>
      <c r="B16" s="32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45">
      <c r="A17" s="21"/>
      <c r="B17" s="32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45">
      <c r="A18" s="21"/>
      <c r="B18" s="32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45">
      <c r="A19" s="21"/>
      <c r="B19" s="32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45">
      <c r="A20" s="21"/>
      <c r="B20" s="32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45">
      <c r="A21" s="21"/>
      <c r="B21" s="32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45">
      <c r="A22" s="21"/>
      <c r="B22" s="32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45">
      <c r="A23" s="21"/>
      <c r="B23" s="32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45">
      <c r="A24" s="21"/>
      <c r="B24" s="32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45">
      <c r="A25" s="21"/>
      <c r="B25" s="32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45">
      <c r="A26" s="21"/>
      <c r="B26" s="32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45">
      <c r="A27" s="21"/>
      <c r="B27" s="32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45">
      <c r="A28" s="21"/>
      <c r="B28" s="32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45">
      <c r="A29" s="21"/>
      <c r="B29" s="32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45">
      <c r="A30" s="21"/>
      <c r="B30" s="32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45">
      <c r="A31" s="21"/>
      <c r="B31" s="32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45">
      <c r="A32" s="21"/>
      <c r="B32" s="32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45">
      <c r="A33" s="21"/>
      <c r="B33" s="32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45">
      <c r="A34" s="21"/>
      <c r="B34" s="32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45">
      <c r="A35" s="21"/>
      <c r="B35" s="32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45">
      <c r="A36" s="21"/>
      <c r="B36" s="32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45">
      <c r="A37" s="21"/>
      <c r="B37" s="32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45">
      <c r="A38" s="21"/>
      <c r="B38" s="32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45">
      <c r="A39" s="21"/>
      <c r="B39" s="32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45">
      <c r="A40" s="21"/>
      <c r="B40" s="32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45">
      <c r="A41" s="21"/>
      <c r="B41" s="32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45">
      <c r="A42" s="21"/>
      <c r="B42" s="32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45">
      <c r="A43" s="21"/>
      <c r="B43" s="32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45">
      <c r="A44" s="21"/>
      <c r="B44" s="32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45">
      <c r="A45" s="21"/>
      <c r="B45" s="32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45">
      <c r="A46" s="21"/>
      <c r="B46" s="32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45">
      <c r="A47" s="21"/>
      <c r="B47" s="32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45">
      <c r="A48" s="21"/>
      <c r="B48" s="32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45">
      <c r="A49" s="21"/>
      <c r="B49" s="32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45">
      <c r="A50" s="21"/>
      <c r="B50" s="32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45">
      <c r="A51" s="21"/>
      <c r="B51" s="32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45">
      <c r="A52" s="21"/>
      <c r="B52" s="32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45">
      <c r="A53" s="21"/>
      <c r="B53" s="32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45">
      <c r="A54" s="21"/>
      <c r="B54" s="32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45">
      <c r="A55" s="21"/>
      <c r="B55" s="32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45">
      <c r="A56" s="21"/>
      <c r="B56" s="32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45">
      <c r="A57" s="21"/>
      <c r="B57" s="32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45">
      <c r="A58" s="21"/>
      <c r="B58" s="32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45">
      <c r="A59" s="21"/>
      <c r="B59" s="32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45">
      <c r="A60" s="21"/>
      <c r="B60" s="32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45">
      <c r="A61" s="21"/>
      <c r="B61" s="32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45">
      <c r="A62" s="21"/>
      <c r="B62" s="32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45">
      <c r="A63" s="21"/>
      <c r="B63" s="32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45">
      <c r="A64" s="21"/>
      <c r="B64" s="32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45">
      <c r="A65" s="21"/>
      <c r="B65" s="32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45">
      <c r="A66" s="21"/>
      <c r="B66" s="32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45">
      <c r="A67" s="21"/>
      <c r="B67" s="32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45">
      <c r="A68" s="21"/>
      <c r="B68" s="32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45">
      <c r="A69" s="21"/>
      <c r="B69" s="32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45">
      <c r="A70" s="21"/>
      <c r="B70" s="32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45">
      <c r="A71" s="21"/>
      <c r="B71" s="32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45">
      <c r="A72" s="21"/>
      <c r="B72" s="32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45">
      <c r="A73" s="21"/>
      <c r="B73" s="32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45">
      <c r="A74" s="21"/>
      <c r="B74" s="32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45">
      <c r="A75" s="21"/>
      <c r="B75" s="32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45">
      <c r="A76" s="21"/>
      <c r="B76" s="32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45">
      <c r="A77" s="21"/>
      <c r="B77" s="32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45">
      <c r="A78" s="21"/>
      <c r="B78" s="32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45">
      <c r="A79" s="21"/>
      <c r="B79" s="32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45">
      <c r="A80" s="21"/>
      <c r="B80" s="32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45">
      <c r="A81" s="21"/>
      <c r="B81" s="32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45">
      <c r="A82" s="21"/>
      <c r="B82" s="32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45">
      <c r="A83" s="21"/>
      <c r="B83" s="32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45">
      <c r="A84" s="21"/>
      <c r="B84" s="32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45">
      <c r="A85" s="21"/>
      <c r="B85" s="32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45">
      <c r="A86" s="21"/>
      <c r="B86" s="32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45">
      <c r="A87" s="21"/>
      <c r="B87" s="32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45">
      <c r="A88" s="21"/>
      <c r="B88" s="32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45">
      <c r="A89" s="21"/>
      <c r="B89" s="32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45">
      <c r="A90" s="21"/>
      <c r="B90" s="32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45">
      <c r="A91" s="21"/>
      <c r="B91" s="32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45">
      <c r="A92" s="21"/>
      <c r="B92" s="32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45">
      <c r="A93" s="21"/>
      <c r="B93" s="32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45">
      <c r="A94" s="21"/>
      <c r="B94" s="32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45">
      <c r="A95" s="21"/>
      <c r="B95" s="32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45">
      <c r="A96" s="21"/>
      <c r="B96" s="32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45">
      <c r="A97" s="21"/>
      <c r="B97" s="32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45">
      <c r="A98" s="21"/>
      <c r="B98" s="32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45">
      <c r="A99" s="21"/>
      <c r="B99" s="32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45">
      <c r="A100" s="21"/>
      <c r="B100" s="32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45">
      <c r="A101" s="21"/>
      <c r="B101" s="32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45">
      <c r="A102" s="21"/>
      <c r="B102" s="32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45">
      <c r="A103" s="21"/>
      <c r="B103" s="32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45">
      <c r="A104" s="21"/>
      <c r="B104" s="32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45">
      <c r="A105" s="21"/>
      <c r="B105" s="32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45">
      <c r="A106" s="21"/>
      <c r="B106" s="32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45">
      <c r="A107" s="21"/>
      <c r="B107" s="32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45">
      <c r="A108" s="21"/>
      <c r="B108" s="32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45">
      <c r="A109" s="21"/>
      <c r="B109" s="32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45">
      <c r="A110" s="21"/>
      <c r="B110" s="32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45">
      <c r="A111" s="21"/>
      <c r="B111" s="32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45">
      <c r="A112" s="21"/>
      <c r="B112" s="32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45">
      <c r="A113" s="21"/>
      <c r="B113" s="32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45">
      <c r="A114" s="21"/>
      <c r="B114" s="32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45">
      <c r="A115" s="21"/>
      <c r="B115" s="32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45">
      <c r="A116" s="21"/>
      <c r="B116" s="32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45">
      <c r="A117" s="21"/>
      <c r="B117" s="32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45">
      <c r="A118" s="21"/>
      <c r="B118" s="32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45">
      <c r="A119" s="21"/>
      <c r="B119" s="32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45">
      <c r="A120" s="21"/>
      <c r="B120" s="32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45">
      <c r="A121" s="21"/>
      <c r="B121" s="32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45">
      <c r="A122" s="21"/>
      <c r="B122" s="32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45">
      <c r="A123" s="21"/>
      <c r="B123" s="32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45">
      <c r="A124" s="21"/>
      <c r="B124" s="32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45">
      <c r="A125" s="21"/>
      <c r="B125" s="32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45">
      <c r="A126" s="21"/>
      <c r="B126" s="32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45">
      <c r="A127" s="21"/>
      <c r="B127" s="32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45">
      <c r="A128" s="21"/>
      <c r="B128" s="32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45">
      <c r="A129" s="21"/>
      <c r="B129" s="32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45">
      <c r="A130" s="21"/>
      <c r="B130" s="32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45">
      <c r="A131" s="21"/>
      <c r="B131" s="32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45">
      <c r="A132" s="21"/>
      <c r="B132" s="32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45">
      <c r="A133" s="21"/>
      <c r="B133" s="32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45">
      <c r="A134" s="21"/>
      <c r="B134" s="32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45">
      <c r="A135" s="21"/>
      <c r="B135" s="32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45">
      <c r="A136" s="21"/>
      <c r="B136" s="32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45">
      <c r="A137" s="21"/>
      <c r="B137" s="32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45">
      <c r="A138" s="21"/>
      <c r="B138" s="32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45">
      <c r="A139" s="21"/>
      <c r="B139" s="32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45">
      <c r="A140" s="21"/>
      <c r="B140" s="32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45">
      <c r="A141" s="21"/>
      <c r="B141" s="32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45">
      <c r="A142" s="21"/>
      <c r="B142" s="32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45">
      <c r="A143" s="21"/>
      <c r="B143" s="32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45">
      <c r="A144" s="21"/>
      <c r="B144" s="32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45">
      <c r="A145" s="21"/>
      <c r="B145" s="32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45">
      <c r="A146" s="21"/>
      <c r="B146" s="32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45">
      <c r="A147" s="21"/>
      <c r="B147" s="32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45">
      <c r="A148" s="21"/>
      <c r="B148" s="32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45">
      <c r="A149" s="21"/>
      <c r="B149" s="32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45">
      <c r="A150" s="21"/>
      <c r="B150" s="32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45">
      <c r="A151" s="21"/>
      <c r="B151" s="32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45">
      <c r="A152" s="21"/>
      <c r="B152" s="32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45">
      <c r="A153" s="21"/>
      <c r="B153" s="32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45">
      <c r="A154" s="21"/>
      <c r="B154" s="32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45">
      <c r="A155" s="21"/>
      <c r="B155" s="32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45">
      <c r="A156" s="21"/>
      <c r="B156" s="32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45">
      <c r="A157" s="21"/>
      <c r="B157" s="32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45">
      <c r="A158" s="21"/>
      <c r="B158" s="32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45">
      <c r="A159" s="21"/>
      <c r="B159" s="32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45">
      <c r="A160" s="21"/>
      <c r="B160" s="32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45">
      <c r="A161" s="21"/>
      <c r="B161" s="32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45">
      <c r="A162" s="21"/>
      <c r="B162" s="32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45">
      <c r="A163" s="21"/>
      <c r="B163" s="32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45">
      <c r="A164" s="21"/>
      <c r="B164" s="32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45">
      <c r="A165" s="21"/>
      <c r="B165" s="32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45">
      <c r="A166" s="21"/>
      <c r="B166" s="32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45">
      <c r="A167" s="21"/>
      <c r="B167" s="32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45">
      <c r="A168" s="21"/>
      <c r="B168" s="32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45">
      <c r="A169" s="21"/>
      <c r="B169" s="32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45">
      <c r="A170" s="21"/>
      <c r="B170" s="32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45">
      <c r="A171" s="21"/>
      <c r="B171" s="32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45">
      <c r="A172" s="21"/>
      <c r="B172" s="32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45">
      <c r="A173" s="21"/>
      <c r="B173" s="32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45">
      <c r="A174" s="21"/>
      <c r="B174" s="32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45">
      <c r="A175" s="21"/>
      <c r="B175" s="32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45">
      <c r="A176" s="21"/>
      <c r="B176" s="32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45">
      <c r="A177" s="21"/>
      <c r="B177" s="32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45">
      <c r="A178" s="21"/>
      <c r="B178" s="32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45">
      <c r="A179" s="21"/>
      <c r="B179" s="32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45">
      <c r="A180" s="21"/>
      <c r="B180" s="32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45">
      <c r="A181" s="21"/>
      <c r="B181" s="32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45">
      <c r="A182" s="21"/>
      <c r="B182" s="32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45">
      <c r="A183" s="21"/>
      <c r="B183" s="32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45">
      <c r="A184" s="21"/>
      <c r="B184" s="32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45">
      <c r="A185" s="21"/>
      <c r="B185" s="32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45">
      <c r="A186" s="21"/>
      <c r="B186" s="32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45">
      <c r="A187" s="21"/>
      <c r="B187" s="32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45">
      <c r="A188" s="21"/>
      <c r="B188" s="32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45">
      <c r="A189" s="21"/>
      <c r="B189" s="32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45">
      <c r="A190" s="21"/>
      <c r="B190" s="32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45">
      <c r="A191" s="21"/>
      <c r="B191" s="32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45">
      <c r="A192" s="21"/>
      <c r="B192" s="32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45">
      <c r="A193" s="21"/>
      <c r="B193" s="32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45">
      <c r="A194" s="21"/>
      <c r="B194" s="32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45">
      <c r="A195" s="21"/>
      <c r="B195" s="32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45">
      <c r="A196" s="21"/>
      <c r="B196" s="32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45">
      <c r="A197" s="21"/>
      <c r="B197" s="32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45">
      <c r="A198" s="21"/>
      <c r="B198" s="32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45">
      <c r="A199" s="21"/>
      <c r="B199" s="32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45">
      <c r="A200" s="21"/>
      <c r="B200" s="32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45">
      <c r="A201" s="21"/>
      <c r="B201" s="32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45">
      <c r="A202" s="21"/>
      <c r="B202" s="32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45">
      <c r="A203" s="21"/>
      <c r="B203" s="32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45">
      <c r="A204" s="21"/>
      <c r="B204" s="32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45">
      <c r="A205" s="21"/>
      <c r="B205" s="32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45">
      <c r="A206" s="21"/>
      <c r="B206" s="32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45">
      <c r="A207" s="21"/>
      <c r="B207" s="32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45">
      <c r="A208" s="21"/>
      <c r="B208" s="32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45">
      <c r="A209" s="21"/>
      <c r="B209" s="32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45">
      <c r="A210" s="21"/>
      <c r="B210" s="32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45">
      <c r="A211" s="21"/>
      <c r="B211" s="32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45">
      <c r="A212" s="21"/>
      <c r="B212" s="32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45">
      <c r="A213" s="21"/>
      <c r="B213" s="32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45">
      <c r="A214" s="21"/>
      <c r="B214" s="32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45">
      <c r="A215" s="21"/>
      <c r="B215" s="32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45">
      <c r="A216" s="21"/>
      <c r="B216" s="32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45">
      <c r="A217" s="21"/>
      <c r="B217" s="32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45">
      <c r="A218" s="21"/>
      <c r="B218" s="32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45">
      <c r="A219" s="21"/>
      <c r="B219" s="32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45">
      <c r="A220" s="21"/>
      <c r="B220" s="32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45">
      <c r="A221" s="21"/>
      <c r="B221" s="32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45">
      <c r="A222" s="21"/>
      <c r="B222" s="32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45">
      <c r="A223" s="21"/>
      <c r="B223" s="32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45">
      <c r="A224" s="21"/>
      <c r="B224" s="32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45">
      <c r="A225" s="21"/>
      <c r="B225" s="32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45">
      <c r="A226" s="21"/>
      <c r="B226" s="32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45">
      <c r="A227" s="21"/>
      <c r="B227" s="32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45">
      <c r="A228" s="21"/>
      <c r="B228" s="32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45">
      <c r="A229" s="21"/>
      <c r="B229" s="32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45">
      <c r="A230" s="21"/>
      <c r="B230" s="32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45">
      <c r="A231" s="21"/>
      <c r="B231" s="32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45">
      <c r="A232" s="21"/>
      <c r="B232" s="32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45">
      <c r="A233" s="21"/>
      <c r="B233" s="32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45">
      <c r="A234" s="21"/>
      <c r="B234" s="32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45">
      <c r="A235" s="21"/>
      <c r="B235" s="32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45">
      <c r="A236" s="21"/>
      <c r="B236" s="32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45">
      <c r="A237" s="21"/>
      <c r="B237" s="32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45">
      <c r="A238" s="21"/>
      <c r="B238" s="32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45">
      <c r="A239" s="21"/>
      <c r="B239" s="32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45">
      <c r="A240" s="21"/>
      <c r="B240" s="32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45">
      <c r="A241" s="21"/>
      <c r="B241" s="32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45">
      <c r="A242" s="21"/>
      <c r="B242" s="32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45">
      <c r="A243" s="21"/>
      <c r="B243" s="32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45">
      <c r="A244" s="21"/>
      <c r="B244" s="32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45">
      <c r="A245" s="21"/>
      <c r="B245" s="32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45">
      <c r="A246" s="21"/>
      <c r="B246" s="32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45">
      <c r="A247" s="21"/>
      <c r="B247" s="32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45">
      <c r="A248" s="21"/>
      <c r="B248" s="32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45">
      <c r="A249" s="21"/>
      <c r="B249" s="32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45">
      <c r="A250" s="21"/>
      <c r="B250" s="32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45">
      <c r="A251" s="21"/>
      <c r="B251" s="32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45">
      <c r="A252" s="21"/>
      <c r="B252" s="32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45">
      <c r="A253" s="21"/>
      <c r="B253" s="32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45">
      <c r="A254" s="21"/>
      <c r="B254" s="32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45">
      <c r="A255" s="21"/>
      <c r="B255" s="32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45">
      <c r="A256" s="21"/>
      <c r="B256" s="32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45">
      <c r="A257" s="21"/>
      <c r="B257" s="32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45">
      <c r="A258" s="21"/>
      <c r="B258" s="32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45">
      <c r="A259" s="21"/>
      <c r="B259" s="32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45">
      <c r="A260" s="21"/>
      <c r="B260" s="32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45">
      <c r="A261" s="21"/>
      <c r="B261" s="32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45">
      <c r="A262" s="21"/>
      <c r="B262" s="32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45">
      <c r="A263" s="21"/>
      <c r="B263" s="32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45">
      <c r="A264" s="21"/>
      <c r="B264" s="32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45">
      <c r="A265" s="21"/>
      <c r="B265" s="32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45">
      <c r="A266" s="21"/>
      <c r="B266" s="32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45">
      <c r="A267" s="21"/>
      <c r="B267" s="32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45">
      <c r="A268" s="21"/>
      <c r="B268" s="32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45">
      <c r="A269" s="21"/>
      <c r="B269" s="32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45">
      <c r="A270" s="21"/>
      <c r="B270" s="32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45">
      <c r="A271" s="21"/>
      <c r="B271" s="32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45">
      <c r="A272" s="21"/>
      <c r="B272" s="32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45">
      <c r="A273" s="21"/>
      <c r="B273" s="32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45">
      <c r="A274" s="21"/>
      <c r="B274" s="32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45">
      <c r="A275" s="21"/>
      <c r="B275" s="32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45">
      <c r="A276" s="21"/>
      <c r="B276" s="32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45">
      <c r="A277" s="21"/>
      <c r="B277" s="32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45">
      <c r="A278" s="21"/>
      <c r="B278" s="32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45">
      <c r="A279" s="21"/>
      <c r="B279" s="32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45">
      <c r="A280" s="21"/>
      <c r="B280" s="32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45">
      <c r="A281" s="21"/>
      <c r="B281" s="32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45">
      <c r="A282" s="21"/>
      <c r="B282" s="32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45">
      <c r="A283" s="21"/>
      <c r="B283" s="32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45">
      <c r="A284" s="21"/>
      <c r="B284" s="32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45">
      <c r="A285" s="21"/>
      <c r="B285" s="32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45">
      <c r="A286" s="21"/>
      <c r="B286" s="32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45">
      <c r="A287" s="21"/>
      <c r="B287" s="32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45">
      <c r="A288" s="21"/>
      <c r="B288" s="32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45">
      <c r="A289" s="21"/>
      <c r="B289" s="32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45">
      <c r="A290" s="21"/>
      <c r="B290" s="32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45">
      <c r="A291" s="21"/>
      <c r="B291" s="32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45">
      <c r="A292" s="21"/>
      <c r="B292" s="32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45">
      <c r="A293" s="21"/>
      <c r="B293" s="32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45">
      <c r="A294" s="21"/>
      <c r="B294" s="32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45">
      <c r="A295" s="21"/>
      <c r="B295" s="32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45">
      <c r="A296" s="21"/>
      <c r="B296" s="32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45">
      <c r="A297" s="21"/>
      <c r="B297" s="32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45">
      <c r="A298" s="21"/>
      <c r="B298" s="32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45">
      <c r="A299" s="21"/>
      <c r="B299" s="32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45">
      <c r="A300" s="21"/>
      <c r="B300" s="32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45">
      <c r="A301" s="21"/>
      <c r="B301" s="32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45">
      <c r="A302" s="21"/>
      <c r="B302" s="32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45">
      <c r="A303" s="21"/>
      <c r="B303" s="32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45">
      <c r="A304" s="21"/>
      <c r="B304" s="32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45">
      <c r="A305" s="21"/>
      <c r="B305" s="32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45">
      <c r="A306" s="21"/>
      <c r="B306" s="32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45">
      <c r="A307" s="21"/>
      <c r="B307" s="32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45">
      <c r="A308" s="21"/>
      <c r="B308" s="32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45">
      <c r="A309" s="21"/>
      <c r="B309" s="32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45">
      <c r="A310" s="21"/>
      <c r="B310" s="32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45">
      <c r="C311" s="21"/>
      <c r="D311" s="21"/>
      <c r="E311" s="21"/>
      <c r="F311" s="22"/>
      <c r="G311" s="21"/>
      <c r="H311" s="21"/>
      <c r="I311" s="22"/>
      <c r="J311" s="21"/>
      <c r="K311" s="21"/>
    </row>
  </sheetData>
  <mergeCells count="4">
    <mergeCell ref="G1:I1"/>
    <mergeCell ref="A1:C1"/>
    <mergeCell ref="D1:F1"/>
    <mergeCell ref="A2:B2"/>
  </mergeCells>
  <conditionalFormatting sqref="F2 I2 F4:F69 I4:I69">
    <cfRule type="cellIs" dxfId="5" priority="3" stopIfTrue="1" operator="lessThanOrEqual">
      <formula>-0.1</formula>
    </cfRule>
    <cfRule type="expression" dxfId="4" priority="4">
      <formula>AND(ISNUMBER(F2), F2&gt;=0.1)</formula>
    </cfRule>
  </conditionalFormatting>
  <hyperlinks>
    <hyperlink ref="K4" r:id="rId1" display="https://us3.assetplanner.com/service_request?ID=098036" xr:uid="{A84359E8-6164-4E71-BCCC-B91D57847434}"/>
  </hyperlinks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27" sqref="B2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62</v>
      </c>
      <c r="B1" t="s">
        <v>63</v>
      </c>
    </row>
    <row r="3" spans="1:12" ht="13.15">
      <c r="A3" t="s">
        <v>64</v>
      </c>
      <c r="B3" t="s">
        <v>3</v>
      </c>
      <c r="C3" t="s">
        <v>4</v>
      </c>
      <c r="D3" t="s">
        <v>65</v>
      </c>
      <c r="E3" s="2" t="s">
        <v>66</v>
      </c>
    </row>
    <row r="4" spans="1:12" ht="14.45">
      <c r="A4" s="3" t="s">
        <v>67</v>
      </c>
      <c r="B4" s="3" t="s">
        <v>68</v>
      </c>
      <c r="C4" s="51" t="s">
        <v>69</v>
      </c>
      <c r="D4" s="2" t="s">
        <v>70</v>
      </c>
      <c r="E4" t="s">
        <v>71</v>
      </c>
      <c r="G4" s="3"/>
    </row>
    <row r="5" spans="1:12" ht="14.45">
      <c r="A5" s="3" t="s">
        <v>72</v>
      </c>
      <c r="B5" s="3" t="s">
        <v>72</v>
      </c>
      <c r="C5" s="51" t="s">
        <v>69</v>
      </c>
      <c r="D5" s="2" t="s">
        <v>73</v>
      </c>
      <c r="E5" t="s">
        <v>71</v>
      </c>
      <c r="G5" s="3"/>
    </row>
    <row r="6" spans="1:12" ht="14.45">
      <c r="A6" s="48"/>
      <c r="C6" s="45"/>
      <c r="D6" s="44"/>
      <c r="G6" s="3"/>
    </row>
    <row r="7" spans="1:12" ht="12.75" customHeight="1">
      <c r="A7" s="48"/>
      <c r="C7" s="45"/>
      <c r="D7" s="44"/>
    </row>
    <row r="8" spans="1:12" ht="12.75" customHeight="1">
      <c r="A8" s="48"/>
      <c r="C8" s="45"/>
      <c r="D8" s="44"/>
    </row>
    <row r="9" spans="1:12" ht="12.75" customHeight="1">
      <c r="A9" s="48"/>
      <c r="C9" s="45"/>
      <c r="D9" s="44"/>
    </row>
    <row r="10" spans="1:12" ht="12.75" customHeight="1">
      <c r="A10" s="48"/>
      <c r="C10" s="45"/>
      <c r="D10" s="44"/>
      <c r="K10" s="42"/>
      <c r="L10" s="42"/>
    </row>
    <row r="11" spans="1:12" ht="12.75" customHeight="1">
      <c r="A11" s="48"/>
      <c r="C11" s="45"/>
      <c r="D11" s="44"/>
      <c r="K11" s="42"/>
      <c r="L11" s="42"/>
    </row>
    <row r="12" spans="1:12" ht="12.75" customHeight="1">
      <c r="A12" s="48"/>
      <c r="C12" s="45"/>
      <c r="D12" s="44"/>
      <c r="K12" s="42"/>
      <c r="L12" s="42"/>
    </row>
    <row r="13" spans="1:12" ht="12.75" customHeight="1">
      <c r="A13" s="48"/>
      <c r="C13" s="45"/>
      <c r="D13" s="44"/>
      <c r="K13" s="42"/>
      <c r="L13" s="42"/>
    </row>
    <row r="14" spans="1:12" ht="12.75" customHeight="1">
      <c r="A14" s="48"/>
      <c r="C14" s="45"/>
      <c r="D14" s="44"/>
      <c r="K14" s="42"/>
      <c r="L14" s="42"/>
    </row>
    <row r="15" spans="1:12" ht="12.75" customHeight="1">
      <c r="A15" s="48"/>
      <c r="C15" s="45"/>
      <c r="D15" s="44"/>
      <c r="K15" s="42"/>
      <c r="L15" s="42"/>
    </row>
    <row r="16" spans="1:12" ht="12.75" customHeight="1">
      <c r="A16" s="48"/>
      <c r="C16" s="45"/>
      <c r="D16" s="44"/>
      <c r="K16" s="42"/>
      <c r="L16" s="42"/>
    </row>
    <row r="17" spans="1:12" ht="12.75" customHeight="1">
      <c r="A17" s="48"/>
      <c r="C17" s="45"/>
      <c r="D17" s="44"/>
      <c r="K17" s="42"/>
      <c r="L17" s="42"/>
    </row>
    <row r="18" spans="1:12" ht="12.75" customHeight="1">
      <c r="A18" s="48"/>
      <c r="C18" s="45"/>
      <c r="D18" s="44"/>
      <c r="K18" s="42"/>
      <c r="L18" s="42"/>
    </row>
    <row r="19" spans="1:12" ht="12.75" customHeight="1">
      <c r="A19" s="48"/>
      <c r="C19" s="45"/>
      <c r="D19" s="44"/>
      <c r="K19" s="42"/>
      <c r="L19" s="42"/>
    </row>
    <row r="20" spans="1:12" ht="12.75" customHeight="1">
      <c r="A20" s="48"/>
      <c r="C20" s="45"/>
      <c r="D20" s="44"/>
      <c r="K20" s="42"/>
      <c r="L20" s="42"/>
    </row>
    <row r="21" spans="1:12" ht="12.75" customHeight="1">
      <c r="A21" s="48"/>
      <c r="C21" s="45"/>
      <c r="D21" s="44"/>
      <c r="K21" s="42"/>
      <c r="L21" s="42"/>
    </row>
    <row r="22" spans="1:12" ht="12.75" customHeight="1">
      <c r="A22" s="48"/>
      <c r="C22" s="45"/>
      <c r="D22" s="44"/>
      <c r="K22" s="42"/>
      <c r="L22" s="42"/>
    </row>
    <row r="23" spans="1:12" ht="12.75" customHeight="1">
      <c r="A23" s="48"/>
      <c r="C23" s="45"/>
      <c r="D23" s="44"/>
      <c r="K23" s="42"/>
      <c r="L23" s="42"/>
    </row>
    <row r="24" spans="1:12" ht="12.75" customHeight="1">
      <c r="A24" s="48"/>
      <c r="C24" s="45"/>
      <c r="D24" s="44"/>
      <c r="K24" s="42"/>
      <c r="L24" s="42"/>
    </row>
    <row r="25" spans="1:12" ht="12.75" customHeight="1">
      <c r="A25" s="48"/>
      <c r="C25" s="45"/>
      <c r="D25" s="44"/>
      <c r="K25" s="42"/>
      <c r="L25" s="42"/>
    </row>
    <row r="26" spans="1:12" ht="12.75" customHeight="1">
      <c r="K26" s="42"/>
      <c r="L26" s="42"/>
    </row>
    <row r="27" spans="1:12" ht="12.75" customHeight="1">
      <c r="K27" s="42"/>
      <c r="L27" s="42"/>
    </row>
    <row r="28" spans="1:12" ht="12.75" customHeight="1">
      <c r="K28" s="42"/>
      <c r="L28" s="42"/>
    </row>
    <row r="29" spans="1:12" ht="12.75" customHeight="1">
      <c r="K29" s="42"/>
      <c r="L29" s="42"/>
    </row>
    <row r="30" spans="1:12" ht="12.75" customHeight="1">
      <c r="K30" s="42"/>
      <c r="L30" s="42"/>
    </row>
    <row r="31" spans="1:12" ht="12.75" customHeight="1">
      <c r="K31" s="42"/>
      <c r="L31" s="4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0BEED6F-E6EE-40B2-939E-D6EC78A472B3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1954BBA4-0359-438C-B0EC-A756015F7C0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3AEAA9D8-2182-46BA-A58E-96C72DDA1C54}"/>
</file>

<file path=customXml/itemProps8.xml><?xml version="1.0" encoding="utf-8"?>
<ds:datastoreItem xmlns:ds="http://schemas.openxmlformats.org/officeDocument/2006/customXml" ds:itemID="{D3A7101F-9A85-4235-8B03-415370C100B2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F12EFA50-0068-4A8C-85A0-F1B26389EBC3}"/>
</file>

<file path=customXml/itemProps11.xml><?xml version="1.0" encoding="utf-8"?>
<ds:datastoreItem xmlns:ds="http://schemas.openxmlformats.org/officeDocument/2006/customXml" ds:itemID="{89CF5C07-45EB-4100-9AFB-2C6AF77FA787}"/>
</file>

<file path=customXml/itemProps12.xml><?xml version="1.0" encoding="utf-8"?>
<ds:datastoreItem xmlns:ds="http://schemas.openxmlformats.org/officeDocument/2006/customXml" ds:itemID="{F6B2B1A1-1C4B-4AC9-9A7D-7A102DD1C942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8D732231-4216-4543-A665-18A2886B0EB7}"/>
</file>

<file path=customXml/itemProps16.xml><?xml version="1.0" encoding="utf-8"?>
<ds:datastoreItem xmlns:ds="http://schemas.openxmlformats.org/officeDocument/2006/customXml" ds:itemID="{98A113BB-8B7A-453C-8BD4-8EFC67FC2D3F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0389C43E-394D-44C0-87DC-4780FCFCFB40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2026-02-20T17:52:53Z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2025-10-15T20:23:49Z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31f3bc71-090a-40fa-a539-692a5924c4aa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