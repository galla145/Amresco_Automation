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52EE3FCE-9070-48C2-995D-5986A2DA1064}" xr6:coauthVersionLast="47" xr6:coauthVersionMax="47" xr10:uidLastSave="{0EF0E715-7D42-45DE-AB14-ABBA2D1B98B1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" l="1"/>
  <c r="H4" i="28"/>
  <c r="E4" i="19"/>
  <c r="C4" i="1"/>
  <c r="G4" i="18"/>
  <c r="G2" i="18" s="1"/>
  <c r="G4" i="30"/>
  <c r="G2" i="30" s="1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<sst xmlns="http://schemas.openxmlformats.org/spreadsheetml/2006/main" count="254" uniqueCount="66">
  <si>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</si>
  <si>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</si>
  <si>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</si>
  <si>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</si>
  <si>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</si>
  <si>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</si>
  <si>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</si>
  <si>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</si>
  <si>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</si>
  <si>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</si>
  <si>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</si>
  <si>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</si>
  <si>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</si>
  <si>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</si>
  <si>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</si>
  <si>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</si>
  <si>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</si>
  <si>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</si>
  <si>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</si>
  <si>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</si>
  <si>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</si>
  <si>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</si>
  <si>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offline on 01/20, 01/21, 01/22, and 01/23, and came back online at 10:30 AM on 01/24. Upon the technician's arrival on 01/23, it was stated that he spoke with Solectria, required DMGI and remote support.</t>
  </si>
  <si>
    <t>1.SR095876</t>
  </si>
  <si>
    <t>February Actual v. Expected</t>
  </si>
  <si>
    <t>February Actual v. Forecasted</t>
  </si>
  <si>
    <t>1.Low generation on 02/01, 02/06, 02/09, 02/10, 02/11, 02/12, 02/13, 02/16 due to snow event.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</si>
  <si>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</si>
  <si>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</si>
  <si>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</si>
  <si>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</si>
  <si>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</si>
  <si>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</si>
  <si>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Site production was low on 05/01, 05/14, 05/16, 05/19 as the technician was onsite for preventive maintenance.</t>
  </si>
  <si>
    <t>1. PM7951</t>
  </si>
  <si>
    <t>June Actual v. Expected</t>
  </si>
  <si>
    <t>June Actual v. Forecasted</t>
  </si>
  <si>
    <t>1.Inverter 3 is derating approximately at 255kW from 06/24 and reporting "Operation outside MPPT Power conversion derated".  Inverter 3 has been left offline until the blower fan can be replaced.</t>
  </si>
  <si>
    <t>1.SR103447</t>
  </si>
  <si>
    <t>July Actual v. Expected</t>
  </si>
  <si>
    <t>July Actual v. Forecasted</t>
  </si>
  <si>
    <t>August Actual v. Expected</t>
  </si>
  <si>
    <t>August Actual v. Forecasted</t>
  </si>
  <si>
    <t>1.Inverter 3 is derating approximately at 255kW from 06/24 and reporting "Operation outside MPPT Power conversion derated".  Inverter 3 has been left offline until the blower fan can be replaced.
2. Site did not started for the production on 08/15 later back online at 11:30 on 08/15</t>
  </si>
  <si>
    <t>1.SR103447
2.SR106334</t>
  </si>
  <si>
    <t>September Actual v. Expected</t>
  </si>
  <si>
    <t>September Actual v. Forecasted</t>
  </si>
  <si>
    <t>1. Inverter 3 has been derating at approximately 255 kW since 06/24, and reporting 'Operation outside MPPT Power conversion derated.' After replacing the exhaust fan, the inverter came back online at 12:15 on 09/04.</t>
  </si>
  <si>
    <t>1. SR103447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</si>
  <si>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</si>
  <si>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</si>
  <si>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</si>
  <si>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</si>
  <si>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</si>
  <si>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</si>
  <si>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1.Site production was low on 12/02,12/06,12/14,12/15,12/19,12/27,12/28,12/29</t>
  </si>
  <si>
    <t>Portfolio:</t>
  </si>
  <si>
    <t>One United (Cheer Pack)</t>
  </si>
  <si>
    <t>Site DAS Name</t>
  </si>
  <si>
    <t>Update</t>
  </si>
  <si>
    <t>DAS</t>
  </si>
  <si>
    <t>Cheer Pack</t>
  </si>
  <si>
    <t>MA: West Bridgewater - One United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</si>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</sst>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45" applyNumberFormat="1" applyFill="1" applyBorder="1" applyAlignment="1">
      <alignment vertical="top" wrapText="1"/>
    </xf>
    <xf numFmtId="49" fontId="30" fillId="38" borderId="0" xfId="2" applyNumberFormat="1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87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447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44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SUM(C4:C64)</f>
        <v>2278940</v>
      </c>
      <c r="D2" s="5">
        <f>SUM(D4:D64)</f>
        <v>2490934.5759999999</v>
      </c>
      <c r="E2" s="5">
        <f>C2-D2</f>
        <v>-211994.57599999988</v>
      </c>
      <c r="F2" s="6">
        <f>IFERROR(E2/D2, 0)</f>
        <v>-8.5106440788350876E-2</v>
      </c>
      <c r="G2" s="5">
        <f>SUM(G4:G64)</f>
        <v>2494985.841</v>
      </c>
      <c r="H2" s="7">
        <f>C2-G2</f>
        <v>-216045.84100000001</v>
      </c>
      <c r="I2" s="6">
        <f>IFERROR(H2/G2, 0)</f>
        <v>-8.6592010844201026E-2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West Bridgewater - One United</v>
      </c>
      <c r="B4" s="9" t="str" cm="1">
        <f t="array" ref="B4">Sites[State]</f>
        <v>MA</v>
      </c>
      <c r="C4" s="18">
        <f>SUM('1st Qtr'!C4, '2nd Qtr'!C4, '3rd Qtr'!C4, '4th Qtr'!C4)</f>
        <v>2278940</v>
      </c>
      <c r="D4" s="11">
        <f>SUM('1st Qtr'!D4, '2nd Qtr'!D4, '3rd Qtr'!D4, '4th Qtr'!D4)</f>
        <v>2490934.5759999999</v>
      </c>
      <c r="E4" s="11">
        <f>IF(AND(ISNUMBER(C4),ISNUMBER(D4)), C4-D4, "")</f>
        <v>-211994.57599999988</v>
      </c>
      <c r="F4" s="12">
        <f>IFERROR(E4/D4, "")</f>
        <v>-8.5106440788350876E-2</v>
      </c>
      <c r="G4" s="13">
        <f>SUM('1st Qtr'!G4, '2nd Qtr'!G4, '3rd Qtr'!G4, '4th Qtr'!G4)</f>
        <v>2494985.841</v>
      </c>
      <c r="H4" s="13">
        <f>SUM('1st Qtr'!H4, '2nd Qtr'!H4, '3rd Qtr'!H4, '4th Qtr'!H4)</f>
        <v>-216045.84100000001</v>
      </c>
      <c r="I4" s="14">
        <f>IFERROR(H4/G4, "")</f>
        <v>-8.6592010844201026E-2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4 I4:I6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6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SUM(C4:C64)</f>
        <v>445448</v>
      </c>
      <c r="D2" s="5">
        <f>SUM(D4:D64)</f>
        <v>504116.39999999997</v>
      </c>
      <c r="E2" s="5">
        <f>C2-D2</f>
        <v>-58668.399999999965</v>
      </c>
      <c r="F2" s="6">
        <f>IFERROR(E2/D2, 0)</f>
        <v>-0.1163786776228664</v>
      </c>
      <c r="G2" s="5">
        <f>SUM(G4:G64)</f>
        <v>502772.30000000005</v>
      </c>
      <c r="H2" s="7">
        <f>C2-G2</f>
        <v>-57324.300000000047</v>
      </c>
      <c r="I2" s="6">
        <f>IFERROR(H2/G2, 0)</f>
        <v>-0.11401642453253698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SUM(Jan!C4, Feb!C4, Mar!C4)</f>
        <v>445448</v>
      </c>
      <c r="D4" s="11">
        <f>SUM(Jan!D4, Feb!D4, Mar!D4)</f>
        <v>504116.39999999997</v>
      </c>
      <c r="E4" s="11">
        <f>IF(AND(ISNUMBER(C4),ISNUMBER(D4)), C4-D4, "")</f>
        <v>-58668.399999999965</v>
      </c>
      <c r="F4" s="12">
        <f>IFERROR(E4/D4, "")</f>
        <v>-0.1163786776228664</v>
      </c>
      <c r="G4" s="13">
        <f>SUM(Jan!G4, Feb!G4, Mar!G4)</f>
        <v>502772.30000000005</v>
      </c>
      <c r="H4" s="13">
        <f>SUM(Jan!H4, Feb!H4, Mar!H4)</f>
        <v>-57324.3</v>
      </c>
      <c r="I4" s="14">
        <f>IFERROR(H4/G4, "")</f>
        <v>-0.11401642453253689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4 I4:I6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6"/>
  <sheetViews>
    <sheetView workbookViewId="0">
      <pane xSplit="2" ySplit="3" topLeftCell="C4" activePane="bottomRight" state="frozen"/>
      <selection pane="bottomRight" activeCell="C4" sqref="C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SUM(C4:C64)</f>
        <v>775610</v>
      </c>
      <c r="D2" s="5">
        <f>SUM(D4:D64)</f>
        <v>797858.30200000003</v>
      </c>
      <c r="E2" s="5">
        <f>C2-D2</f>
        <v>-22248.302000000025</v>
      </c>
      <c r="F2" s="6">
        <f>IFERROR(E2/D2, 0)</f>
        <v>-2.7885029138920991E-2</v>
      </c>
      <c r="G2" s="5">
        <f>SUM(G4:G64)</f>
        <v>822283.31400000001</v>
      </c>
      <c r="H2" s="7">
        <f>C2-G2</f>
        <v>-46673.314000000013</v>
      </c>
      <c r="I2" s="6">
        <f>IFERROR(H2/G2, 0)</f>
        <v>-5.6760623990966708E-2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SUM(Apr!C4, May!C4, Jun!C4)</f>
        <v>775610</v>
      </c>
      <c r="D4" s="11">
        <f>SUM(Apr!D4, May!D4, Jun!D4)</f>
        <v>797858.30200000003</v>
      </c>
      <c r="E4" s="11">
        <f>IF(AND(ISNUMBER(C4),ISNUMBER(D4)), C4-D4, "")</f>
        <v>-22248.302000000025</v>
      </c>
      <c r="F4" s="12">
        <f>IFERROR(E4/D4, "")</f>
        <v>-2.7885029138920991E-2</v>
      </c>
      <c r="G4" s="13">
        <f>SUM(Apr!G4,May!G4,Jun!G4)</f>
        <v>822283.31400000001</v>
      </c>
      <c r="H4" s="13">
        <f>SUM(Apr!H4, May!H4, Jun!H4)</f>
        <v>-46673.313999999984</v>
      </c>
      <c r="I4" s="14">
        <f>IFERROR(H4/G4, "")</f>
        <v>-5.6760623990966673E-2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6"/>
  <sheetViews>
    <sheetView workbookViewId="0">
      <pane xSplit="2" ySplit="3" topLeftCell="C4" activePane="bottomRight" state="frozen"/>
      <selection pane="bottomRight" activeCell="E19" sqref="E19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SUM(C4:C64)</f>
        <v>655908</v>
      </c>
      <c r="D2" s="5">
        <f>SUM(D4:D64)</f>
        <v>774994.22699999996</v>
      </c>
      <c r="E2" s="5">
        <f>C2-D2</f>
        <v>-119086.22699999996</v>
      </c>
      <c r="F2" s="6">
        <f>IFERROR(E2/D2, 0)</f>
        <v>-0.15366079236613456</v>
      </c>
      <c r="G2" s="5">
        <f>SUM(G4:G64)</f>
        <v>775996.00900000008</v>
      </c>
      <c r="H2" s="7">
        <f>C2-G2</f>
        <v>-120088.00900000008</v>
      </c>
      <c r="I2" s="6">
        <f>IFERROR(H2/G2, 0)</f>
        <v>-0.15475338482056558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SUM(Jul!C4, Aug!C4, Sep!C4)</f>
        <v>655908</v>
      </c>
      <c r="D4" s="11">
        <f>SUM(Jul!D4, Aug!D4, Sep!D4)</f>
        <v>774994.22699999996</v>
      </c>
      <c r="E4" s="11">
        <f>IF(AND(ISNUMBER(C4),ISNUMBER(D4)), C4-D4, "")</f>
        <v>-119086.22699999996</v>
      </c>
      <c r="F4" s="12">
        <f>IFERROR(E4/D4, "")</f>
        <v>-0.15366079236613456</v>
      </c>
      <c r="G4" s="13">
        <f>SUM(Jul!G4,Aug!G4,Sep!G4)</f>
        <v>775996.00900000008</v>
      </c>
      <c r="H4" s="13">
        <f>SUM(Jul!H4, Aug!H4, Sep!H4)</f>
        <v>-120088.00900000005</v>
      </c>
      <c r="I4" s="14">
        <f>IFERROR(H4/G4, "")</f>
        <v>-0.15475338482056553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6"/>
  <sheetViews>
    <sheetView workbookViewId="0">
      <pane xSplit="2" ySplit="3" topLeftCell="C4" activePane="bottomRight" state="frozen"/>
      <selection pane="bottomRight" activeCell="E15" sqref="E15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One United (Cheer Pack)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SUM(C4:C64)</f>
        <v>401974</v>
      </c>
      <c r="D2" s="5">
        <f>SUM(D4:D64)</f>
        <v>413965.647</v>
      </c>
      <c r="E2" s="5">
        <f>C2-D2</f>
        <v>-11991.646999999997</v>
      </c>
      <c r="F2" s="6">
        <f>IFERROR(E2/D2, 0)</f>
        <v>-2.8967734610113666E-2</v>
      </c>
      <c r="G2" s="5">
        <f>SUM(G4:G64)</f>
        <v>393934.21799999999</v>
      </c>
      <c r="H2" s="7">
        <f>C2-G2</f>
        <v>8039.7820000000065</v>
      </c>
      <c r="I2" s="6">
        <f>IFERROR(H2/G2, 0)</f>
        <v>2.0408945536180882E-2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West Bridgewater - One United</v>
      </c>
      <c r="B4" s="9" t="str" cm="1">
        <f t="array" ref="B4">Sites[State]</f>
        <v>MA</v>
      </c>
      <c r="C4" s="18">
        <f>SUM(Oct!C4, Nov!C4, Dec!C4)</f>
        <v>401974</v>
      </c>
      <c r="D4" s="11">
        <f>SUM(Oct!D4, Nov!D4, Dec!D4)</f>
        <v>413965.647</v>
      </c>
      <c r="E4" s="11">
        <f>IF(AND(ISNUMBER(C4),ISNUMBER(D4)), C4-D4, "")</f>
        <v>-11991.646999999997</v>
      </c>
      <c r="F4" s="12">
        <f>IFERROR(E4/D4, "")</f>
        <v>-2.8967734610113666E-2</v>
      </c>
      <c r="G4" s="13">
        <f>SUM(Oct!G4,Nov!G4,Dec!G4)</f>
        <v>393934.21799999999</v>
      </c>
      <c r="H4" s="13">
        <f>SUM(Oct!H4, Nov!H4, Dec!H4)</f>
        <v>8039.7820000000065</v>
      </c>
      <c r="I4" s="14">
        <f>IFERROR(H4/G4, "")</f>
        <v>2.0408945536180882E-2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</sheetData>
  <mergeCells count="4">
    <mergeCell ref="G1:I1"/>
    <mergeCell ref="A1:C1"/>
    <mergeCell ref="D1:F1"/>
    <mergeCell ref="A2:B2"/>
  </mergeCells>
  <conditionalFormatting sqref="F2 I2 F4:F64 I4:I6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F4" activePane="bottomRight" state="frozen"/>
      <selection pane="bottomRight" activeCell="J8" sqref="J8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SUM(C4:C63)</f>
        <v>106172</v>
      </c>
      <c r="D2" s="5">
        <f>SUM(D4:D63)</f>
        <v>130820.8</v>
      </c>
      <c r="E2" s="5">
        <f>C2-D2</f>
        <v>-24648.800000000003</v>
      </c>
      <c r="F2" s="6">
        <f>IFERROR(E2/D2, 0)</f>
        <v>-0.18841652092022065</v>
      </c>
      <c r="G2" s="5">
        <f>SUM(G4:G63)</f>
        <v>119585.7</v>
      </c>
      <c r="H2" s="7">
        <f>C2-G2</f>
        <v>-13413.699999999997</v>
      </c>
      <c r="I2" s="6">
        <f>IFERROR(H2/G2, 0)</f>
        <v>-0.1121680936767523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1">
        <v>106172</v>
      </c>
      <c r="D4" s="11">
        <v>130820.8</v>
      </c>
      <c r="E4" s="11">
        <f>IF(AND(ISNUMBER(C4),ISNUMBER(D4)), C4-D4, "")</f>
        <v>-24648.800000000003</v>
      </c>
      <c r="F4" s="34">
        <f>IFERROR(E4/D4, "")</f>
        <v>-0.18841652092022065</v>
      </c>
      <c r="G4" s="13">
        <v>119585.7</v>
      </c>
      <c r="H4" s="13">
        <f>IF(AND(ISNUMBER(C4),ISNUMBER(G4)), C4-G4, "")</f>
        <v>-13413.699999999997</v>
      </c>
      <c r="I4" s="14">
        <f>IFERROR(H4/G4, "")</f>
        <v>-0.1121680936767523</v>
      </c>
      <c r="J4" s="32" t="s">
        <v>22</v>
      </c>
      <c r="K4" s="43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</sheetData>
  <mergeCells count="4">
    <mergeCell ref="D1:F1"/>
    <mergeCell ref="A1:C1"/>
    <mergeCell ref="G1:I1"/>
    <mergeCell ref="A2:B2"/>
  </mergeCells>
  <conditionalFormatting sqref="F2 I2 I4:I63 F5:F6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5876" xr:uid="{85EB2569-529C-48BF-836A-CFF59F126A4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6"/>
  <sheetViews>
    <sheetView workbookViewId="0">
      <pane xSplit="2" ySplit="3" topLeftCell="C4" activePane="bottomRight" state="frozen"/>
      <selection pane="bottomRight" activeCell="J4" sqref="J4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115882</v>
      </c>
      <c r="D2" s="5">
        <f>SUM(D4:D64)</f>
        <v>152671.79999999999</v>
      </c>
      <c r="E2" s="5">
        <f>C2-D2</f>
        <v>-36789.799999999988</v>
      </c>
      <c r="F2" s="6">
        <f>IFERROR(E2/D2, 0)</f>
        <v>-0.24097312011779512</v>
      </c>
      <c r="G2" s="5">
        <f>SUM(G4:G64)</f>
        <v>152977</v>
      </c>
      <c r="H2" s="7">
        <f>C2-G2</f>
        <v>-37095</v>
      </c>
      <c r="I2" s="6">
        <f>IFERROR(H2/G2, 0)</f>
        <v>-0.24248743275132864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MA: West Bridgewater - One United</v>
      </c>
      <c r="B4" s="22" t="str" cm="1">
        <f t="array" ref="B4">Sites[State]</f>
        <v>MA</v>
      </c>
      <c r="C4" s="18">
        <v>115882</v>
      </c>
      <c r="D4" s="11">
        <v>152671.79999999999</v>
      </c>
      <c r="E4" s="11">
        <f>IF(AND(ISNUMBER(C4),ISNUMBER(D4)), C4-D4, "")</f>
        <v>-36789.799999999988</v>
      </c>
      <c r="F4" s="12">
        <f>IFERROR(E4/D4, "")</f>
        <v>-0.24097312011779512</v>
      </c>
      <c r="G4" s="13">
        <v>152977</v>
      </c>
      <c r="H4" s="13">
        <f>IF(AND(ISNUMBER(C4),ISNUMBER(G4)), C4-G4, "")</f>
        <v>-37095</v>
      </c>
      <c r="I4" s="14">
        <f>IFERROR(H4/G4, "")</f>
        <v>-0.24248743275132864</v>
      </c>
      <c r="J4" s="32" t="s">
        <v>26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6"/>
  <sheetViews>
    <sheetView zoomScale="70" zoomScaleNormal="70" workbookViewId="0">
      <pane xSplit="2" ySplit="3" topLeftCell="C4" activePane="bottomRight" state="frozen"/>
      <selection pane="bottomRight" activeCell="I11" sqref="I11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27</v>
      </c>
      <c r="E1" s="47"/>
      <c r="F1" s="47"/>
      <c r="G1" s="45" t="s">
        <v>28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223394</v>
      </c>
      <c r="D2" s="5">
        <f>SUM(D4:D64)</f>
        <v>220623.8</v>
      </c>
      <c r="E2" s="5">
        <f>C2-D2</f>
        <v>2770.2000000000116</v>
      </c>
      <c r="F2" s="6">
        <f>IFERROR(E2/D2, 0)</f>
        <v>1.2556215603212399E-2</v>
      </c>
      <c r="G2" s="5">
        <f>SUM(G4:G64)</f>
        <v>230209.6</v>
      </c>
      <c r="H2" s="7">
        <f>C2-G2</f>
        <v>-6815.6000000000058</v>
      </c>
      <c r="I2" s="6">
        <f>IFERROR(H2/G2, 0)</f>
        <v>-2.9606063344013479E-2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223394</v>
      </c>
      <c r="D4" s="11">
        <v>220623.8</v>
      </c>
      <c r="E4" s="11">
        <f>IF(AND(ISNUMBER(C4),ISNUMBER(D4)), C4-D4, "")</f>
        <v>2770.2000000000116</v>
      </c>
      <c r="F4" s="12">
        <f>IFERROR(E4/D4, "")</f>
        <v>1.2556215603212399E-2</v>
      </c>
      <c r="G4" s="13">
        <v>230209.6</v>
      </c>
      <c r="H4" s="13">
        <f>IF(AND(ISNUMBER(C4),ISNUMBER(G4)), C4-G4, "")</f>
        <v>-6815.6000000000058</v>
      </c>
      <c r="I4" s="14">
        <f>IFERROR(H4/G4, "")</f>
        <v>-2.9606063344013479E-2</v>
      </c>
      <c r="J4" s="42"/>
      <c r="K4" s="4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H22" sqref="H22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29</v>
      </c>
      <c r="E1" s="47"/>
      <c r="F1" s="47"/>
      <c r="G1" s="45" t="s">
        <v>30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250538</v>
      </c>
      <c r="D2" s="5">
        <f>SUM(D4:D64)</f>
        <v>252079.054</v>
      </c>
      <c r="E2" s="5">
        <f>C2-D2</f>
        <v>-1541.0540000000037</v>
      </c>
      <c r="F2" s="6">
        <f>IFERROR(E2/D2, 0)</f>
        <v>-6.1133758459756982E-3</v>
      </c>
      <c r="G2" s="5">
        <f>SUM(G4:G64)</f>
        <v>249148.81899999999</v>
      </c>
      <c r="H2" s="7">
        <f>C2-G2</f>
        <v>1389.1810000000114</v>
      </c>
      <c r="I2" s="6">
        <f>IFERROR(H2/G2, 0)</f>
        <v>5.5757077459797693E-3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250538</v>
      </c>
      <c r="D4" s="11">
        <v>252079.054</v>
      </c>
      <c r="E4" s="11">
        <f>IF(AND(ISNUMBER(C4),ISNUMBER(D4)), C4-D4, "")</f>
        <v>-1541.0540000000037</v>
      </c>
      <c r="F4" s="12">
        <f>IFERROR(E4/D4, "")</f>
        <v>-6.1133758459756982E-3</v>
      </c>
      <c r="G4" s="13">
        <v>249148.81899999999</v>
      </c>
      <c r="H4" s="13">
        <f>IF(AND(ISNUMBER(C4),ISNUMBER(G4)), C4-G4, "")</f>
        <v>1389.1810000000114</v>
      </c>
      <c r="I4" s="14">
        <f>IFERROR(H4/G4, "")</f>
        <v>5.5757077459797693E-3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255650</v>
      </c>
      <c r="D2" s="5">
        <f>SUM(D4:D64)</f>
        <v>257707.554</v>
      </c>
      <c r="E2" s="5">
        <f>C2-D2</f>
        <v>-2057.5540000000037</v>
      </c>
      <c r="F2" s="6">
        <f>IFERROR(E2/D2, 0)</f>
        <v>-7.9840655349978744E-3</v>
      </c>
      <c r="G2" s="5">
        <f>SUM(G4:G64)</f>
        <v>287957.88299999997</v>
      </c>
      <c r="H2" s="7">
        <f>C2-G2</f>
        <v>-32307.882999999973</v>
      </c>
      <c r="I2" s="6">
        <f>IFERROR(H2/G2, 0)</f>
        <v>-0.11219655688328552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255650</v>
      </c>
      <c r="D4" s="11">
        <v>257707.554</v>
      </c>
      <c r="E4" s="11">
        <f>IF(AND(ISNUMBER(C4),ISNUMBER(D4)), C4-D4, "")</f>
        <v>-2057.5540000000037</v>
      </c>
      <c r="F4" s="12">
        <f>IFERROR(E4/D4, "")</f>
        <v>-7.9840655349978744E-3</v>
      </c>
      <c r="G4" s="13">
        <v>287957.88299999997</v>
      </c>
      <c r="H4" s="13">
        <f>IF(AND(ISNUMBER(C4),ISNUMBER(G4)), C4-G4, "")</f>
        <v>-32307.882999999973</v>
      </c>
      <c r="I4" s="14">
        <f>IFERROR(H4/G4, "")</f>
        <v>-0.11219655688328552</v>
      </c>
      <c r="J4" s="32" t="s">
        <v>33</v>
      </c>
      <c r="K4" s="32" t="s">
        <v>34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6"/>
  <sheetViews>
    <sheetView zoomScale="80" zoomScaleNormal="80" workbookViewId="0">
      <pane xSplit="2" ySplit="3" topLeftCell="E4" activePane="bottomRight" state="frozen"/>
      <selection pane="bottomRight" activeCell="J4" sqref="J4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269422</v>
      </c>
      <c r="D2" s="5">
        <f>SUM(D4:D64)</f>
        <v>288071.69400000002</v>
      </c>
      <c r="E2" s="5">
        <f>C2-D2</f>
        <v>-18649.694000000018</v>
      </c>
      <c r="F2" s="6">
        <f>IFERROR(E2/D2, 0)</f>
        <v>-6.4739765788998399E-2</v>
      </c>
      <c r="G2" s="5">
        <f>SUM(G4:G64)</f>
        <v>285176.61200000002</v>
      </c>
      <c r="H2" s="7">
        <f>C2-G2</f>
        <v>-15754.612000000023</v>
      </c>
      <c r="I2" s="6">
        <f>IFERROR(H2/G2, 0)</f>
        <v>-5.524510544364003E-2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269422</v>
      </c>
      <c r="D4" s="11">
        <v>288071.69400000002</v>
      </c>
      <c r="E4" s="11">
        <f>IF(AND(ISNUMBER(C4),ISNUMBER(D4)), C4-D4, "")</f>
        <v>-18649.694000000018</v>
      </c>
      <c r="F4" s="12">
        <f>IFERROR(E4/D4, "")</f>
        <v>-6.4739765788998399E-2</v>
      </c>
      <c r="G4" s="13">
        <v>285176.61200000002</v>
      </c>
      <c r="H4" s="13">
        <f>IF(AND(ISNUMBER(C4),ISNUMBER(G4)), C4-G4, "")</f>
        <v>-15754.612000000023</v>
      </c>
      <c r="I4" s="14">
        <f>IFERROR(H4/G4, "")</f>
        <v>-5.524510544364003E-2</v>
      </c>
      <c r="J4" s="32" t="s">
        <v>37</v>
      </c>
      <c r="K4" s="43" t="s">
        <v>38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3447" xr:uid="{B40BE45C-808D-48DA-B2F7-FFE8683553D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6"/>
  <sheetViews>
    <sheetView workbookViewId="0">
      <pane xSplit="2" ySplit="3" topLeftCell="C4" activePane="bottomRight" state="frozen"/>
      <selection pane="bottomRight" activeCell="I12" sqref="I12"/>
      <selection pane="bottomLeft" activeCell="I12" sqref="I12"/>
      <selection pane="topRight" activeCell="I12" sqref="I12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216438</v>
      </c>
      <c r="D2" s="5">
        <f>SUM(D4:D64)</f>
        <v>293696.90000000002</v>
      </c>
      <c r="E2" s="5">
        <f>C2-D2</f>
        <v>-77258.900000000023</v>
      </c>
      <c r="F2" s="6">
        <f>IFERROR(E2/D2, 0)</f>
        <v>-0.26305657294986778</v>
      </c>
      <c r="G2" s="5">
        <f>SUM(G4:G64)</f>
        <v>286558.40000000002</v>
      </c>
      <c r="H2" s="7">
        <f>C2-G2</f>
        <v>-70120.400000000023</v>
      </c>
      <c r="I2" s="6">
        <f>IFERROR(H2/G2, 0)</f>
        <v>-0.24469846286132257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216438</v>
      </c>
      <c r="D4" s="11">
        <v>293696.90000000002</v>
      </c>
      <c r="E4" s="11">
        <f>IF(AND(ISNUMBER(C4),ISNUMBER(D4)), C4-D4, "")</f>
        <v>-77258.900000000023</v>
      </c>
      <c r="F4" s="12">
        <f>IFERROR(E4/D4, "")</f>
        <v>-0.26305657294986778</v>
      </c>
      <c r="G4" s="13">
        <v>286558.40000000002</v>
      </c>
      <c r="H4" s="13">
        <f>IF(AND(ISNUMBER(C4),ISNUMBER(G4)), C4-G4, "")</f>
        <v>-70120.400000000023</v>
      </c>
      <c r="I4" s="14">
        <f>IFERROR(H4/G4, "")</f>
        <v>-0.24469846286132257</v>
      </c>
      <c r="J4" s="32" t="s">
        <v>37</v>
      </c>
      <c r="K4" s="43" t="s">
        <v>38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4 I4:I6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447" xr:uid="{71BAC8F3-1D74-493D-B956-9EE5BF1D722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6"/>
  <sheetViews>
    <sheetView workbookViewId="0">
      <pane xSplit="2" ySplit="3" topLeftCell="C4" activePane="bottomRight" state="frozen"/>
      <selection pane="bottomRight" activeCell="I12" sqref="I12"/>
      <selection pane="bottomLeft" activeCell="I12" sqref="I12"/>
      <selection pane="topRight" activeCell="I12" sqref="I12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217760</v>
      </c>
      <c r="D2" s="5">
        <f>SUM(D4:D64)</f>
        <v>264526</v>
      </c>
      <c r="E2" s="5">
        <f>C2-D2</f>
        <v>-46766</v>
      </c>
      <c r="F2" s="6">
        <f>IFERROR(E2/D2, 0)</f>
        <v>-0.17679169533429606</v>
      </c>
      <c r="G2" s="5">
        <f>SUM(G4:G64)</f>
        <v>269305.90000000002</v>
      </c>
      <c r="H2" s="7">
        <f>C2-G2</f>
        <v>-51545.900000000023</v>
      </c>
      <c r="I2" s="6">
        <f>IFERROR(H2/G2, 0)</f>
        <v>-0.19140278768493382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72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217760</v>
      </c>
      <c r="D4" s="11">
        <v>264526</v>
      </c>
      <c r="E4" s="11">
        <f>IF(AND(ISNUMBER(C4),ISNUMBER(D4)), C4-D4, "")</f>
        <v>-46766</v>
      </c>
      <c r="F4" s="12">
        <f>IFERROR(E4/D4, "")</f>
        <v>-0.17679169533429606</v>
      </c>
      <c r="G4" s="13">
        <v>269305.90000000002</v>
      </c>
      <c r="H4" s="13">
        <f>IF(AND(ISNUMBER(C4),ISNUMBER(G4)), C4-G4, "")</f>
        <v>-51545.900000000023</v>
      </c>
      <c r="I4" s="14">
        <f>IFERROR(H4/G4, "")</f>
        <v>-0.19140278768493382</v>
      </c>
      <c r="J4" s="32" t="s">
        <v>43</v>
      </c>
      <c r="K4" s="43" t="s">
        <v>44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6"/>
  <sheetViews>
    <sheetView workbookViewId="0">
      <pane xSplit="2" ySplit="3" topLeftCell="C4" activePane="bottomRight" state="frozen"/>
      <selection pane="bottomRight" activeCell="I12" sqref="I12"/>
      <selection pane="bottomLeft" activeCell="F20" sqref="F19:F20"/>
      <selection pane="topRight" activeCell="F20" sqref="F19:F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221710</v>
      </c>
      <c r="D2" s="5">
        <f>SUM(D4:D64)</f>
        <v>216771.32699999999</v>
      </c>
      <c r="E2" s="5">
        <f>C2-D2</f>
        <v>4938.6730000000098</v>
      </c>
      <c r="F2" s="6">
        <f>IFERROR(E2/D2, 0)</f>
        <v>2.2782870171754819E-2</v>
      </c>
      <c r="G2" s="5">
        <f>SUM(G4:G64)</f>
        <v>220131.709</v>
      </c>
      <c r="H2" s="7">
        <f>C2-G2</f>
        <v>1578.2909999999974</v>
      </c>
      <c r="I2" s="6">
        <f>IFERROR(H2/G2, 0)</f>
        <v>7.1697576290565088E-3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221710</v>
      </c>
      <c r="D4" s="11">
        <v>216771.32699999999</v>
      </c>
      <c r="E4" s="11">
        <f>IF(AND(ISNUMBER(C4),ISNUMBER(D4)), C4-D4, "")</f>
        <v>4938.6730000000098</v>
      </c>
      <c r="F4" s="12">
        <f>IFERROR(E4/D4, "")</f>
        <v>2.2782870171754819E-2</v>
      </c>
      <c r="G4" s="13">
        <v>220131.709</v>
      </c>
      <c r="H4" s="13">
        <f>IF(AND(ISNUMBER(C4),ISNUMBER(G4)), C4-G4, "")</f>
        <v>1578.2909999999974</v>
      </c>
      <c r="I4" s="14">
        <f>IFERROR(H4/G4, "")</f>
        <v>7.1697576290565088E-3</v>
      </c>
      <c r="J4" s="32" t="s">
        <v>47</v>
      </c>
      <c r="K4" s="43" t="s">
        <v>48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6"/>
  <sheetViews>
    <sheetView workbookViewId="0">
      <pane xSplit="2" ySplit="3" topLeftCell="C4" activePane="bottomRight" state="frozen"/>
      <selection pane="bottomRight" activeCell="G10" sqref="G10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49</v>
      </c>
      <c r="E1" s="47"/>
      <c r="F1" s="47"/>
      <c r="G1" s="45" t="s">
        <v>50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180600</v>
      </c>
      <c r="D2" s="5">
        <f>SUM(D4:D64)</f>
        <v>182390.215</v>
      </c>
      <c r="E2" s="5">
        <f>C2-D2</f>
        <v>-1790.2149999999965</v>
      </c>
      <c r="F2" s="6">
        <f>IFERROR(E2/D2, 0)</f>
        <v>-9.8153017693410616E-3</v>
      </c>
      <c r="G2" s="5">
        <f>SUM(G4:G64)</f>
        <v>175246.43799999999</v>
      </c>
      <c r="H2" s="7">
        <f>C2-G2</f>
        <v>5353.5620000000054</v>
      </c>
      <c r="I2" s="6">
        <f>IFERROR(H2/G2, 0)</f>
        <v>3.0548763564598132E-2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180600</v>
      </c>
      <c r="D4" s="11">
        <v>182390.215</v>
      </c>
      <c r="E4" s="11">
        <f>IF(AND(ISNUMBER(C4),ISNUMBER(D4)), C4-D4, "")</f>
        <v>-1790.2149999999965</v>
      </c>
      <c r="F4" s="12">
        <f>IFERROR(E4/D4, "")</f>
        <v>-9.8153017693410616E-3</v>
      </c>
      <c r="G4" s="13">
        <v>175246.43799999999</v>
      </c>
      <c r="H4" s="13">
        <f>IF(AND(ISNUMBER(C4),ISNUMBER(G4)), C4-G4, "")</f>
        <v>5353.5620000000054</v>
      </c>
      <c r="I4" s="14">
        <f>IFERROR(H4/G4, "")</f>
        <v>3.0548763564598132E-2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6"/>
  <sheetViews>
    <sheetView zoomScale="80" zoomScaleNormal="80" workbookViewId="0">
      <pane xSplit="2" ySplit="3" topLeftCell="C4" activePane="bottomRight" state="frozen"/>
      <selection pane="bottomRight" activeCell="H30" sqref="H30"/>
      <selection pane="bottomLeft" activeCell="H17" sqref="H17"/>
      <selection pane="topRight" activeCell="H17" sqref="H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51</v>
      </c>
      <c r="E1" s="47"/>
      <c r="F1" s="47"/>
      <c r="G1" s="45" t="s">
        <v>52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124018</v>
      </c>
      <c r="D2" s="5">
        <f>SUM(D4:D64)</f>
        <v>122877.315</v>
      </c>
      <c r="E2" s="5">
        <f>C2-D2</f>
        <v>1140.6849999999977</v>
      </c>
      <c r="F2" s="6">
        <f>IFERROR(E2/D2, 0)</f>
        <v>9.2831211359069628E-3</v>
      </c>
      <c r="G2" s="5">
        <f>SUM(G4:G64)</f>
        <v>116057.024</v>
      </c>
      <c r="H2" s="7">
        <f>C2-G2</f>
        <v>7960.9759999999951</v>
      </c>
      <c r="I2" s="6">
        <f>IFERROR(H2/G2, 0)</f>
        <v>6.8595382904183336E-2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124018</v>
      </c>
      <c r="D4" s="11">
        <v>122877.315</v>
      </c>
      <c r="E4" s="11">
        <f>IF(AND(ISNUMBER(C4),ISNUMBER(D4)), C4-D4, "")</f>
        <v>1140.6849999999977</v>
      </c>
      <c r="F4" s="12">
        <f>IFERROR(E4/D4, "")</f>
        <v>9.2831211359069628E-3</v>
      </c>
      <c r="G4" s="13">
        <v>116057.024</v>
      </c>
      <c r="H4" s="13">
        <f>IF(AND(ISNUMBER(C4),ISNUMBER(G4)), C4-G4, "")</f>
        <v>7960.9759999999951</v>
      </c>
      <c r="I4" s="14">
        <f>IFERROR(H4/G4, "")</f>
        <v>6.8595382904183336E-2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6"/>
  <sheetViews>
    <sheetView tabSelected="1" zoomScale="70" zoomScaleNormal="70" workbookViewId="0">
      <pane xSplit="2" ySplit="3" topLeftCell="C4" activePane="bottomRight" state="frozen"/>
      <selection pane="bottomRight" activeCell="F18" sqref="F18"/>
      <selection pane="bottomLeft" activeCell="H23" sqref="H23"/>
      <selection pane="topRight" activeCell="H23" sqref="H2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One United (Cheer Pack)</v>
      </c>
      <c r="B1" s="46"/>
      <c r="C1" s="46"/>
      <c r="D1" s="47" t="s">
        <v>53</v>
      </c>
      <c r="E1" s="47"/>
      <c r="F1" s="47"/>
      <c r="G1" s="45" t="s">
        <v>54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97356</v>
      </c>
      <c r="D2" s="5">
        <f>SUM(D4:D64)</f>
        <v>108698.117</v>
      </c>
      <c r="E2" s="5">
        <f>C2-D2</f>
        <v>-11342.116999999998</v>
      </c>
      <c r="F2" s="6">
        <f>IFERROR(E2/D2, 0)</f>
        <v>-0.1043451102285424</v>
      </c>
      <c r="G2" s="5">
        <f>SUM(G4:G64)</f>
        <v>102630.75599999999</v>
      </c>
      <c r="H2" s="7">
        <f>C2-G2</f>
        <v>-5274.7559999999939</v>
      </c>
      <c r="I2" s="6">
        <f>IFERROR(H2/G2, 0)</f>
        <v>-5.1395470574142454E-2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West Bridgewater - One United</v>
      </c>
      <c r="B4" s="22" t="str" cm="1">
        <f t="array" ref="B4">Sites[State]</f>
        <v>MA</v>
      </c>
      <c r="C4" s="18">
        <v>97356</v>
      </c>
      <c r="D4" s="11">
        <v>108698.117</v>
      </c>
      <c r="E4" s="11">
        <f>IF(AND(ISNUMBER(C4),ISNUMBER(D4)), C4-D4, "")</f>
        <v>-11342.116999999998</v>
      </c>
      <c r="F4" s="12">
        <f>IFERROR(E4/D4, "")</f>
        <v>-0.1043451102285424</v>
      </c>
      <c r="G4" s="13">
        <v>102630.75599999999</v>
      </c>
      <c r="H4" s="13">
        <f>IF(AND(ISNUMBER(C4),ISNUMBER(G4)), C4-G4, "")</f>
        <v>-5274.7559999999939</v>
      </c>
      <c r="I4" s="14">
        <f>IFERROR(H4/G4, "")</f>
        <v>-5.1395470574142454E-2</v>
      </c>
      <c r="J4" s="44" t="s">
        <v>55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G1:I1"/>
    <mergeCell ref="A1:C1"/>
    <mergeCell ref="D1:F1"/>
    <mergeCell ref="A2:B2"/>
  </mergeCells>
  <conditionalFormatting sqref="F2 I2 F4:F64 I4:I6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2" sqref="D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38" t="s">
        <v>61</v>
      </c>
      <c r="B4" t="s">
        <v>62</v>
      </c>
      <c r="C4" s="36" t="s">
        <v>63</v>
      </c>
      <c r="D4" s="40" t="s">
        <v>64</v>
      </c>
      <c r="E4" s="41" t="s">
        <v>65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70789454-153C-4A5A-94BB-7DF11B553415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2026-01-22T20:42:29Z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686ef285-c315-4c8b-a4a9-9805700e1ee8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