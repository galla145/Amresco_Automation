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2" documentId="13_ncr:1_{B456C210-E266-4140-BECD-D9CFEEF3FA43}" xr6:coauthVersionLast="47" xr6:coauthVersionMax="47" xr10:uidLastSave="{773B62EF-DD98-4905-812D-42342BBD920C}"/>
  <bookViews>
    <workbookView xWindow="-108" yWindow="-108" windowWidth="23256" windowHeight="13896" tabRatio="866" firstSheet="16" activeTab="16"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5" i="1" l="1"/>
  <c r="I26" i="1"/>
  <c r="I27" i="1"/>
  <c r="H25" i="1"/>
  <c r="H26" i="1"/>
  <c r="H27" i="1"/>
  <c r="G25" i="1"/>
  <c r="G26" i="1"/>
  <c r="G27" i="1"/>
  <c r="F25" i="1"/>
  <c r="F26" i="1"/>
  <c r="F27" i="1"/>
  <c r="E25" i="1"/>
  <c r="E26" i="1"/>
  <c r="E27" i="1"/>
  <c r="D25" i="1"/>
  <c r="D26" i="1"/>
  <c r="D27" i="1"/>
  <c r="C25" i="1"/>
  <c r="C26" i="1"/>
  <c r="C27" i="1"/>
  <c r="I25" i="18"/>
  <c r="I26" i="18"/>
  <c r="I27" i="18"/>
  <c r="H25" i="18"/>
  <c r="H26" i="18"/>
  <c r="H27" i="18"/>
  <c r="G25" i="18"/>
  <c r="G26" i="18"/>
  <c r="G27" i="18"/>
  <c r="F25" i="18"/>
  <c r="F26" i="18"/>
  <c r="F27" i="18"/>
  <c r="E25" i="18"/>
  <c r="E26" i="18"/>
  <c r="E27" i="18"/>
  <c r="D25" i="18"/>
  <c r="D26" i="18"/>
  <c r="D27" i="18"/>
  <c r="C25" i="18"/>
  <c r="C26" i="18"/>
  <c r="C27" i="18"/>
  <c r="I27" i="29"/>
  <c r="H27" i="29"/>
  <c r="G27" i="29"/>
  <c r="F27" i="29"/>
  <c r="E27" i="29"/>
  <c r="D27" i="29"/>
  <c r="C27" i="29"/>
  <c r="G27" i="30"/>
  <c r="D27" i="30"/>
  <c r="C27" i="30"/>
  <c r="E27" i="30" s="1"/>
  <c r="F27" i="30" s="1"/>
  <c r="G27" i="34"/>
  <c r="D27" i="34"/>
  <c r="C27" i="34"/>
  <c r="E27" i="34" s="1"/>
  <c r="F27" i="34" s="1"/>
  <c r="E27" i="33"/>
  <c r="F27" i="33" s="1"/>
  <c r="H27" i="33"/>
  <c r="H25" i="33"/>
  <c r="I25" i="33" s="1"/>
  <c r="H26" i="33"/>
  <c r="I26" i="33" s="1"/>
  <c r="E25" i="33"/>
  <c r="F25" i="33" s="1"/>
  <c r="E26" i="33"/>
  <c r="F26" i="33" s="1"/>
  <c r="E17" i="33"/>
  <c r="H25" i="32"/>
  <c r="I25" i="32" s="1"/>
  <c r="H26" i="32"/>
  <c r="I26" i="32" s="1"/>
  <c r="F25" i="32"/>
  <c r="F26" i="32"/>
  <c r="E17" i="32"/>
  <c r="E18" i="32"/>
  <c r="F18" i="32" s="1"/>
  <c r="E19" i="32"/>
  <c r="F19" i="32" s="1"/>
  <c r="E20" i="32"/>
  <c r="F20" i="32" s="1"/>
  <c r="E21" i="32"/>
  <c r="F21" i="32" s="1"/>
  <c r="E22" i="32"/>
  <c r="F22" i="32" s="1"/>
  <c r="E23" i="32"/>
  <c r="F23" i="32" s="1"/>
  <c r="E24" i="32"/>
  <c r="F24" i="32" s="1"/>
  <c r="E25" i="32"/>
  <c r="E26" i="32"/>
  <c r="G6" i="30"/>
  <c r="G7" i="30"/>
  <c r="G8" i="30"/>
  <c r="G9" i="30"/>
  <c r="G10" i="30"/>
  <c r="G11" i="30"/>
  <c r="G12" i="30"/>
  <c r="G13" i="30"/>
  <c r="G14" i="30"/>
  <c r="G15" i="30"/>
  <c r="G16" i="30"/>
  <c r="G17" i="30"/>
  <c r="G18" i="30"/>
  <c r="G19" i="30"/>
  <c r="G20" i="30"/>
  <c r="G21" i="30"/>
  <c r="G22" i="30"/>
  <c r="G23" i="30"/>
  <c r="G24" i="30"/>
  <c r="G25" i="30"/>
  <c r="G26" i="30"/>
  <c r="G5" i="30"/>
  <c r="G4" i="30"/>
  <c r="D6" i="30"/>
  <c r="D7" i="30"/>
  <c r="D8" i="30"/>
  <c r="D9" i="30"/>
  <c r="D10" i="30"/>
  <c r="D11" i="30"/>
  <c r="D12" i="30"/>
  <c r="D13" i="30"/>
  <c r="D14" i="30"/>
  <c r="D15" i="30"/>
  <c r="D16" i="30"/>
  <c r="D17" i="30"/>
  <c r="D18" i="30"/>
  <c r="D19" i="30"/>
  <c r="D20" i="30"/>
  <c r="D21" i="30"/>
  <c r="D22" i="30"/>
  <c r="D23" i="30"/>
  <c r="D24" i="30"/>
  <c r="D25" i="30"/>
  <c r="D26" i="30"/>
  <c r="C6" i="30"/>
  <c r="C7" i="30"/>
  <c r="C8" i="30"/>
  <c r="C9" i="30"/>
  <c r="C10" i="30"/>
  <c r="C11" i="30"/>
  <c r="C12" i="30"/>
  <c r="C13" i="30"/>
  <c r="C14" i="30"/>
  <c r="C15" i="30"/>
  <c r="C16" i="30"/>
  <c r="C17" i="30"/>
  <c r="C18" i="30"/>
  <c r="C19" i="30"/>
  <c r="C20" i="30"/>
  <c r="C21" i="30"/>
  <c r="C22" i="30"/>
  <c r="C23" i="30"/>
  <c r="C24" i="30"/>
  <c r="C25" i="30"/>
  <c r="C26" i="30"/>
  <c r="E25" i="31"/>
  <c r="F25" i="31" s="1"/>
  <c r="H25" i="31"/>
  <c r="I25" i="31" s="1"/>
  <c r="E26" i="31"/>
  <c r="F26" i="31" s="1"/>
  <c r="H26" i="31"/>
  <c r="I26" i="31" s="1"/>
  <c r="I25" i="28"/>
  <c r="I26" i="28"/>
  <c r="H25" i="28"/>
  <c r="H26" i="28"/>
  <c r="F25" i="28"/>
  <c r="E25" i="28"/>
  <c r="E26" i="28"/>
  <c r="F26" i="28" s="1"/>
  <c r="E17" i="28"/>
  <c r="C25" i="29"/>
  <c r="D25" i="29"/>
  <c r="G25" i="29"/>
  <c r="H25" i="29"/>
  <c r="I25" i="29"/>
  <c r="C26" i="29"/>
  <c r="D26" i="29"/>
  <c r="G26" i="29"/>
  <c r="H26" i="29"/>
  <c r="E26" i="27"/>
  <c r="H25" i="27"/>
  <c r="I25" i="27"/>
  <c r="H26" i="27"/>
  <c r="I26" i="27"/>
  <c r="E25" i="27"/>
  <c r="F25" i="27"/>
  <c r="F26" i="27"/>
  <c r="E17" i="26"/>
  <c r="E17" i="20"/>
  <c r="F6" i="4"/>
  <c r="F2" i="4"/>
  <c r="I4" i="4"/>
  <c r="E17" i="4"/>
  <c r="E17" i="3"/>
  <c r="E17" i="72"/>
  <c r="F17" i="72"/>
  <c r="H18" i="33"/>
  <c r="I18" i="33" s="1"/>
  <c r="H19" i="33"/>
  <c r="I19" i="33" s="1"/>
  <c r="H20" i="33"/>
  <c r="I20" i="33" s="1"/>
  <c r="H21" i="33"/>
  <c r="I21" i="33" s="1"/>
  <c r="H22" i="33"/>
  <c r="I22" i="33" s="1"/>
  <c r="H23" i="33"/>
  <c r="I23" i="33" s="1"/>
  <c r="H24" i="33"/>
  <c r="I24" i="33" s="1"/>
  <c r="E18" i="33"/>
  <c r="F18" i="33" s="1"/>
  <c r="E19" i="33"/>
  <c r="F19" i="33" s="1"/>
  <c r="E20" i="33"/>
  <c r="F20" i="33" s="1"/>
  <c r="E21" i="33"/>
  <c r="F21" i="33" s="1"/>
  <c r="E22" i="33"/>
  <c r="F22" i="33" s="1"/>
  <c r="E23" i="33"/>
  <c r="F23" i="33" s="1"/>
  <c r="E24" i="33"/>
  <c r="F24" i="33" s="1"/>
  <c r="H18" i="32"/>
  <c r="I18" i="32" s="1"/>
  <c r="H19" i="32"/>
  <c r="I19" i="32" s="1"/>
  <c r="H20" i="32"/>
  <c r="I20" i="32" s="1"/>
  <c r="H21" i="32"/>
  <c r="I21" i="32" s="1"/>
  <c r="H22" i="32"/>
  <c r="I22" i="32" s="1"/>
  <c r="H23" i="32"/>
  <c r="I23" i="32" s="1"/>
  <c r="H24" i="32"/>
  <c r="I24" i="32" s="1"/>
  <c r="H18" i="31"/>
  <c r="I18" i="31" s="1"/>
  <c r="H19" i="31"/>
  <c r="I19" i="31" s="1"/>
  <c r="H20" i="31"/>
  <c r="I20" i="31" s="1"/>
  <c r="H21" i="31"/>
  <c r="I21" i="31" s="1"/>
  <c r="H22" i="31"/>
  <c r="I22" i="31" s="1"/>
  <c r="H23" i="31"/>
  <c r="I23" i="31" s="1"/>
  <c r="H24" i="31"/>
  <c r="I24" i="31" s="1"/>
  <c r="E18" i="31"/>
  <c r="F18" i="31" s="1"/>
  <c r="E19" i="31"/>
  <c r="F19" i="31" s="1"/>
  <c r="E20" i="31"/>
  <c r="F20" i="31"/>
  <c r="E21" i="31"/>
  <c r="F21" i="31"/>
  <c r="E22" i="31"/>
  <c r="F22" i="31" s="1"/>
  <c r="E23" i="31"/>
  <c r="F23" i="31" s="1"/>
  <c r="E24" i="31"/>
  <c r="F24" i="31"/>
  <c r="H27" i="30" l="1"/>
  <c r="I27" i="33"/>
  <c r="E16" i="30"/>
  <c r="F16" i="30" s="1"/>
  <c r="E15" i="30"/>
  <c r="F15" i="30" s="1"/>
  <c r="E14" i="30"/>
  <c r="F14" i="30" s="1"/>
  <c r="E13" i="30"/>
  <c r="F13" i="30" s="1"/>
  <c r="E23" i="30"/>
  <c r="F23" i="30" s="1"/>
  <c r="E25" i="30"/>
  <c r="F25" i="30" s="1"/>
  <c r="E22" i="30"/>
  <c r="F22" i="30" s="1"/>
  <c r="E21" i="30"/>
  <c r="F21" i="30" s="1"/>
  <c r="G25" i="34"/>
  <c r="E7" i="30"/>
  <c r="F7" i="30" s="1"/>
  <c r="E17" i="30"/>
  <c r="F17" i="30" s="1"/>
  <c r="E24" i="30"/>
  <c r="F24" i="30" s="1"/>
  <c r="E26" i="30"/>
  <c r="F26" i="30" s="1"/>
  <c r="E20" i="30"/>
  <c r="F20" i="30" s="1"/>
  <c r="E19" i="30"/>
  <c r="F19" i="30" s="1"/>
  <c r="E18" i="30"/>
  <c r="F18" i="30" s="1"/>
  <c r="E11" i="30"/>
  <c r="F11" i="30" s="1"/>
  <c r="E12" i="30"/>
  <c r="F12" i="30" s="1"/>
  <c r="E10" i="30"/>
  <c r="F10" i="30" s="1"/>
  <c r="E9" i="30"/>
  <c r="F9" i="30" s="1"/>
  <c r="E6" i="30"/>
  <c r="F6" i="30" s="1"/>
  <c r="E8" i="30"/>
  <c r="F8" i="30" s="1"/>
  <c r="C25" i="34"/>
  <c r="D26" i="34"/>
  <c r="H26" i="30"/>
  <c r="I26" i="30" s="1"/>
  <c r="H25" i="30"/>
  <c r="I26" i="29"/>
  <c r="G26" i="34"/>
  <c r="E26" i="29"/>
  <c r="F26" i="29" s="1"/>
  <c r="C26" i="34"/>
  <c r="E25" i="29"/>
  <c r="F25" i="29" s="1"/>
  <c r="D25" i="34"/>
  <c r="H18" i="28"/>
  <c r="I18" i="28" s="1"/>
  <c r="H19" i="28"/>
  <c r="I19" i="28" s="1"/>
  <c r="H20" i="28"/>
  <c r="I20" i="28" s="1"/>
  <c r="H21" i="28"/>
  <c r="I21" i="28" s="1"/>
  <c r="H22" i="28"/>
  <c r="I22" i="28" s="1"/>
  <c r="H23" i="28"/>
  <c r="I23" i="28" s="1"/>
  <c r="H24" i="28"/>
  <c r="I24" i="28" s="1"/>
  <c r="E18" i="28"/>
  <c r="F18" i="28" s="1"/>
  <c r="E19" i="28"/>
  <c r="F19" i="28" s="1"/>
  <c r="E20" i="28"/>
  <c r="F20" i="28" s="1"/>
  <c r="E21" i="28"/>
  <c r="F21" i="28" s="1"/>
  <c r="E22" i="28"/>
  <c r="F22" i="28" s="1"/>
  <c r="E23" i="28"/>
  <c r="F23" i="28" s="1"/>
  <c r="E24" i="28"/>
  <c r="F24" i="28" s="1"/>
  <c r="G5" i="29"/>
  <c r="G6" i="29"/>
  <c r="G7" i="29"/>
  <c r="G8" i="29"/>
  <c r="G9" i="29"/>
  <c r="G10" i="29"/>
  <c r="G11" i="29"/>
  <c r="G12" i="29"/>
  <c r="G13" i="29"/>
  <c r="G14" i="29"/>
  <c r="G15" i="29"/>
  <c r="G16" i="29"/>
  <c r="G17" i="29"/>
  <c r="G18" i="29"/>
  <c r="G19" i="29"/>
  <c r="G20" i="29"/>
  <c r="G21" i="29"/>
  <c r="G22" i="29"/>
  <c r="G23" i="29"/>
  <c r="G24" i="29"/>
  <c r="G4" i="29"/>
  <c r="H18" i="27"/>
  <c r="I18" i="27" s="1"/>
  <c r="H19" i="27"/>
  <c r="I19" i="27" s="1"/>
  <c r="H20" i="27"/>
  <c r="I20" i="27" s="1"/>
  <c r="H21" i="27"/>
  <c r="I21" i="27" s="1"/>
  <c r="H22" i="27"/>
  <c r="I22" i="27" s="1"/>
  <c r="H23" i="27"/>
  <c r="I23" i="27" s="1"/>
  <c r="H24" i="27"/>
  <c r="I24" i="27" s="1"/>
  <c r="E18" i="27"/>
  <c r="F18" i="27" s="1"/>
  <c r="E19" i="27"/>
  <c r="F19" i="27" s="1"/>
  <c r="E20" i="27"/>
  <c r="F20" i="27" s="1"/>
  <c r="E21" i="27"/>
  <c r="F21" i="27" s="1"/>
  <c r="E22" i="27"/>
  <c r="F22" i="27" s="1"/>
  <c r="E23" i="27"/>
  <c r="F23" i="27" s="1"/>
  <c r="E24" i="27"/>
  <c r="F24" i="27" s="1"/>
  <c r="H18" i="26"/>
  <c r="I18" i="26" s="1"/>
  <c r="H19" i="26"/>
  <c r="I19" i="26" s="1"/>
  <c r="H20" i="26"/>
  <c r="I20" i="26" s="1"/>
  <c r="H21" i="26"/>
  <c r="I21" i="26" s="1"/>
  <c r="H22" i="26"/>
  <c r="I22" i="26" s="1"/>
  <c r="H23" i="26"/>
  <c r="I23" i="26" s="1"/>
  <c r="H24" i="26"/>
  <c r="I24" i="26" s="1"/>
  <c r="E18" i="26"/>
  <c r="F18" i="26" s="1"/>
  <c r="E19" i="26"/>
  <c r="F19" i="26" s="1"/>
  <c r="E20" i="26"/>
  <c r="F20" i="26" s="1"/>
  <c r="E21" i="26"/>
  <c r="F21" i="26" s="1"/>
  <c r="E22" i="26"/>
  <c r="F22" i="26" s="1"/>
  <c r="E23" i="26"/>
  <c r="F23" i="26" s="1"/>
  <c r="E24" i="26"/>
  <c r="F24" i="26" s="1"/>
  <c r="H18" i="19"/>
  <c r="I18" i="19" s="1"/>
  <c r="H19" i="19"/>
  <c r="I19" i="19" s="1"/>
  <c r="H20" i="19"/>
  <c r="I20" i="19" s="1"/>
  <c r="H21" i="19"/>
  <c r="I21" i="19" s="1"/>
  <c r="H22" i="19"/>
  <c r="I22" i="19" s="1"/>
  <c r="H23" i="19"/>
  <c r="I23" i="19" s="1"/>
  <c r="H24" i="19"/>
  <c r="I24" i="19" s="1"/>
  <c r="E18" i="19"/>
  <c r="F18" i="19" s="1"/>
  <c r="E19" i="19"/>
  <c r="F19" i="19" s="1"/>
  <c r="E20" i="19"/>
  <c r="F20" i="19" s="1"/>
  <c r="E21" i="19"/>
  <c r="F21" i="19" s="1"/>
  <c r="E22" i="19"/>
  <c r="F22" i="19" s="1"/>
  <c r="E23" i="19"/>
  <c r="F23" i="19" s="1"/>
  <c r="E24" i="19"/>
  <c r="F24" i="19" s="1"/>
  <c r="H18" i="20"/>
  <c r="I18" i="20" s="1"/>
  <c r="H19" i="20"/>
  <c r="I19" i="20" s="1"/>
  <c r="H20" i="20"/>
  <c r="I20" i="20" s="1"/>
  <c r="H21" i="20"/>
  <c r="I21" i="20" s="1"/>
  <c r="H22" i="20"/>
  <c r="I22" i="20" s="1"/>
  <c r="H23" i="20"/>
  <c r="I23" i="20" s="1"/>
  <c r="H24" i="20"/>
  <c r="I24" i="20" s="1"/>
  <c r="E18" i="20"/>
  <c r="F18" i="20" s="1"/>
  <c r="E19" i="20"/>
  <c r="F19" i="20" s="1"/>
  <c r="E20" i="20"/>
  <c r="F20" i="20" s="1"/>
  <c r="E21" i="20"/>
  <c r="F21" i="20" s="1"/>
  <c r="E22" i="20"/>
  <c r="F22" i="20" s="1"/>
  <c r="E23" i="20"/>
  <c r="F23" i="20" s="1"/>
  <c r="E24" i="20"/>
  <c r="F24" i="20" s="1"/>
  <c r="G4" i="18"/>
  <c r="G6" i="18"/>
  <c r="G7" i="18"/>
  <c r="G8" i="18"/>
  <c r="G9" i="18"/>
  <c r="G10" i="18"/>
  <c r="G11" i="18"/>
  <c r="G12" i="18"/>
  <c r="G13" i="18"/>
  <c r="G14" i="18"/>
  <c r="G15" i="18"/>
  <c r="G16" i="18"/>
  <c r="G17" i="18"/>
  <c r="G18" i="18"/>
  <c r="G19" i="18"/>
  <c r="G20" i="18"/>
  <c r="G21" i="18"/>
  <c r="G22" i="18"/>
  <c r="G23" i="18"/>
  <c r="G24" i="18"/>
  <c r="G5" i="18"/>
  <c r="H18" i="21"/>
  <c r="I18" i="21" s="1"/>
  <c r="H19" i="21"/>
  <c r="I19" i="21" s="1"/>
  <c r="H20" i="21"/>
  <c r="I20" i="21" s="1"/>
  <c r="H21" i="21"/>
  <c r="I21" i="21" s="1"/>
  <c r="H22" i="21"/>
  <c r="I22" i="21" s="1"/>
  <c r="H23" i="21"/>
  <c r="I23" i="21" s="1"/>
  <c r="H24" i="21"/>
  <c r="I24" i="21" s="1"/>
  <c r="E18" i="21"/>
  <c r="F18" i="21" s="1"/>
  <c r="E19" i="21"/>
  <c r="F19" i="21" s="1"/>
  <c r="E20" i="21"/>
  <c r="F20" i="21" s="1"/>
  <c r="E21" i="21"/>
  <c r="F21" i="21" s="1"/>
  <c r="E22" i="21"/>
  <c r="F22" i="21" s="1"/>
  <c r="E23" i="21"/>
  <c r="F23" i="21" s="1"/>
  <c r="E24" i="21"/>
  <c r="F24" i="21" s="1"/>
  <c r="H24" i="4"/>
  <c r="I24" i="4" s="1"/>
  <c r="E24" i="4"/>
  <c r="F24" i="4" s="1"/>
  <c r="H23" i="4"/>
  <c r="I23" i="4" s="1"/>
  <c r="E23" i="4"/>
  <c r="F23" i="4" s="1"/>
  <c r="H22" i="4"/>
  <c r="I22" i="4" s="1"/>
  <c r="E22" i="4"/>
  <c r="F22" i="4" s="1"/>
  <c r="H21" i="4"/>
  <c r="I21" i="4" s="1"/>
  <c r="E21" i="4"/>
  <c r="F21" i="4" s="1"/>
  <c r="H20" i="4"/>
  <c r="I20" i="4" s="1"/>
  <c r="E20" i="4"/>
  <c r="F20" i="4" s="1"/>
  <c r="H19" i="4"/>
  <c r="I19" i="4" s="1"/>
  <c r="E19" i="4"/>
  <c r="F19" i="4" s="1"/>
  <c r="H18" i="4"/>
  <c r="I18" i="4" s="1"/>
  <c r="E18" i="4"/>
  <c r="F18" i="4" s="1"/>
  <c r="H24" i="3"/>
  <c r="I24" i="3" s="1"/>
  <c r="H18" i="3"/>
  <c r="I18" i="3" s="1"/>
  <c r="H19" i="3"/>
  <c r="I19" i="3" s="1"/>
  <c r="H20" i="3"/>
  <c r="I20" i="3" s="1"/>
  <c r="H21" i="3"/>
  <c r="I21" i="3" s="1"/>
  <c r="H22" i="3"/>
  <c r="I22" i="3" s="1"/>
  <c r="H23" i="3"/>
  <c r="I23" i="3" s="1"/>
  <c r="E18" i="3"/>
  <c r="F18" i="3" s="1"/>
  <c r="E19" i="3"/>
  <c r="F19" i="3" s="1"/>
  <c r="E20" i="3"/>
  <c r="F20" i="3" s="1"/>
  <c r="E21" i="3"/>
  <c r="F21" i="3" s="1"/>
  <c r="E22" i="3"/>
  <c r="F22" i="3" s="1"/>
  <c r="E23" i="3"/>
  <c r="F23" i="3" s="1"/>
  <c r="E24" i="3"/>
  <c r="F24" i="3" s="1"/>
  <c r="H27" i="34" l="1"/>
  <c r="I27" i="34" s="1"/>
  <c r="I27" i="30"/>
  <c r="I25" i="30"/>
  <c r="H25" i="34"/>
  <c r="I25" i="34"/>
  <c r="E25" i="34"/>
  <c r="F25" i="34" s="1"/>
  <c r="E26" i="34"/>
  <c r="F26" i="34" s="1"/>
  <c r="H26" i="34"/>
  <c r="I26" i="34" s="1"/>
  <c r="C18" i="29"/>
  <c r="D18" i="29"/>
  <c r="H18" i="29"/>
  <c r="I18" i="29" s="1"/>
  <c r="C19" i="29"/>
  <c r="D19" i="29"/>
  <c r="H19" i="29"/>
  <c r="I19" i="29" s="1"/>
  <c r="C20" i="29"/>
  <c r="D20" i="29"/>
  <c r="H20" i="29"/>
  <c r="I20" i="29" s="1"/>
  <c r="C21" i="29"/>
  <c r="D21" i="29"/>
  <c r="H21" i="29"/>
  <c r="I21" i="29" s="1"/>
  <c r="C22" i="29"/>
  <c r="D22" i="29"/>
  <c r="H22" i="29"/>
  <c r="I22" i="29" s="1"/>
  <c r="C23" i="29"/>
  <c r="D23" i="29"/>
  <c r="H23" i="29"/>
  <c r="I23" i="29" s="1"/>
  <c r="C24" i="29"/>
  <c r="D24" i="29"/>
  <c r="H24" i="29"/>
  <c r="I24" i="29" s="1"/>
  <c r="C17" i="18"/>
  <c r="D17" i="18"/>
  <c r="C18" i="18"/>
  <c r="D18" i="18"/>
  <c r="H18" i="18"/>
  <c r="C19" i="18"/>
  <c r="D19" i="18"/>
  <c r="H19" i="18"/>
  <c r="C20" i="18"/>
  <c r="D20" i="18"/>
  <c r="H20" i="18"/>
  <c r="C21" i="18"/>
  <c r="D21" i="18"/>
  <c r="H21" i="18"/>
  <c r="C22" i="18"/>
  <c r="D22" i="18"/>
  <c r="H22" i="18"/>
  <c r="C23" i="18"/>
  <c r="D23" i="18"/>
  <c r="H23" i="18"/>
  <c r="C24" i="18"/>
  <c r="D24" i="18"/>
  <c r="H24" i="18"/>
  <c r="E18" i="29" l="1"/>
  <c r="F18" i="29" s="1"/>
  <c r="I22" i="18"/>
  <c r="I20" i="18"/>
  <c r="I24" i="18"/>
  <c r="I21" i="18"/>
  <c r="I18" i="18"/>
  <c r="I19" i="18"/>
  <c r="I23" i="18"/>
  <c r="E20" i="18"/>
  <c r="F20" i="18" s="1"/>
  <c r="E17" i="18"/>
  <c r="F17" i="18" s="1"/>
  <c r="E23" i="29"/>
  <c r="F23" i="29" s="1"/>
  <c r="E20" i="29"/>
  <c r="F20" i="29" s="1"/>
  <c r="E22" i="29"/>
  <c r="F22" i="29" s="1"/>
  <c r="E24" i="29"/>
  <c r="F24" i="29" s="1"/>
  <c r="E21" i="29"/>
  <c r="F21" i="29" s="1"/>
  <c r="E19" i="29"/>
  <c r="F19" i="29" s="1"/>
  <c r="E24" i="18"/>
  <c r="F24" i="18" s="1"/>
  <c r="E22" i="18"/>
  <c r="F22" i="18" s="1"/>
  <c r="E19" i="18"/>
  <c r="F19" i="18" s="1"/>
  <c r="E18" i="18"/>
  <c r="F18" i="18" s="1"/>
  <c r="E23" i="18"/>
  <c r="F23" i="18" s="1"/>
  <c r="E21" i="18"/>
  <c r="F21" i="18" s="1"/>
  <c r="C18" i="1"/>
  <c r="D18" i="1"/>
  <c r="G18" i="1"/>
  <c r="G18" i="34" s="1"/>
  <c r="C19" i="1"/>
  <c r="D19" i="1"/>
  <c r="G19" i="1"/>
  <c r="G19" i="34" s="1"/>
  <c r="C20" i="1"/>
  <c r="D20" i="1"/>
  <c r="G20" i="1"/>
  <c r="C21" i="1"/>
  <c r="D21" i="1"/>
  <c r="G21" i="1"/>
  <c r="G21" i="34" s="1"/>
  <c r="C22" i="1"/>
  <c r="D22" i="1"/>
  <c r="G22" i="1"/>
  <c r="G22" i="34" s="1"/>
  <c r="C23" i="1"/>
  <c r="D23" i="1"/>
  <c r="G23" i="1"/>
  <c r="C24" i="1"/>
  <c r="D24" i="1"/>
  <c r="G24" i="1"/>
  <c r="G24" i="34" s="1"/>
  <c r="H18" i="30"/>
  <c r="I18" i="30" s="1"/>
  <c r="C19" i="34"/>
  <c r="D19" i="34"/>
  <c r="H19" i="30"/>
  <c r="I19" i="30" s="1"/>
  <c r="H20" i="30"/>
  <c r="I20" i="30" s="1"/>
  <c r="H21" i="30"/>
  <c r="I21" i="30" s="1"/>
  <c r="H22" i="30"/>
  <c r="I22" i="30" s="1"/>
  <c r="H23" i="30"/>
  <c r="I23" i="30" s="1"/>
  <c r="H24" i="30"/>
  <c r="I24" i="30" s="1"/>
  <c r="E18" i="72"/>
  <c r="F18" i="72" s="1"/>
  <c r="E19" i="72"/>
  <c r="F19" i="72" s="1"/>
  <c r="E20" i="72"/>
  <c r="F20" i="72" s="1"/>
  <c r="E21" i="72"/>
  <c r="F21" i="72" s="1"/>
  <c r="E22" i="72"/>
  <c r="F22" i="72" s="1"/>
  <c r="E23" i="72"/>
  <c r="F23" i="72" s="1"/>
  <c r="E24" i="72"/>
  <c r="F24" i="72" s="1"/>
  <c r="H18" i="72"/>
  <c r="H19" i="72"/>
  <c r="H20" i="72"/>
  <c r="H21" i="72"/>
  <c r="I21" i="72" s="1"/>
  <c r="H22" i="72"/>
  <c r="H23" i="72"/>
  <c r="I23" i="72" s="1"/>
  <c r="H24" i="72"/>
  <c r="I24" i="72" s="1"/>
  <c r="C16" i="29"/>
  <c r="D16" i="29"/>
  <c r="C17" i="29"/>
  <c r="D17" i="29"/>
  <c r="C16" i="18"/>
  <c r="D16" i="18"/>
  <c r="C16" i="1"/>
  <c r="D16" i="1"/>
  <c r="G16" i="1"/>
  <c r="G16" i="34" s="1"/>
  <c r="C17" i="1"/>
  <c r="D17" i="1"/>
  <c r="G17" i="1"/>
  <c r="G17" i="34" s="1"/>
  <c r="H17" i="33"/>
  <c r="I17" i="33" s="1"/>
  <c r="F17" i="33"/>
  <c r="H16" i="33"/>
  <c r="I16" i="33" s="1"/>
  <c r="E16" i="33"/>
  <c r="F16" i="33" s="1"/>
  <c r="H17" i="32"/>
  <c r="I17" i="32" s="1"/>
  <c r="F17" i="32"/>
  <c r="H16" i="32"/>
  <c r="I16" i="32" s="1"/>
  <c r="E16" i="32"/>
  <c r="F16" i="32" s="1"/>
  <c r="H17" i="31"/>
  <c r="I17" i="31" s="1"/>
  <c r="F17" i="31"/>
  <c r="H16" i="31"/>
  <c r="I16" i="31" s="1"/>
  <c r="E16" i="31"/>
  <c r="F16" i="31" s="1"/>
  <c r="H17" i="28"/>
  <c r="I17" i="28" s="1"/>
  <c r="F17" i="28"/>
  <c r="H16" i="28"/>
  <c r="I16" i="28" s="1"/>
  <c r="E16" i="28"/>
  <c r="F16" i="28" s="1"/>
  <c r="H17" i="27"/>
  <c r="I17" i="27" s="1"/>
  <c r="F17" i="27"/>
  <c r="H16" i="27"/>
  <c r="I16" i="27" s="1"/>
  <c r="E16" i="27"/>
  <c r="F16" i="27" s="1"/>
  <c r="H17" i="26"/>
  <c r="I17" i="26" s="1"/>
  <c r="F17" i="26"/>
  <c r="H16" i="26"/>
  <c r="I16" i="26" s="1"/>
  <c r="E16" i="26"/>
  <c r="F16" i="26" s="1"/>
  <c r="H17" i="19"/>
  <c r="I17" i="19" s="1"/>
  <c r="F17" i="19"/>
  <c r="H16" i="19"/>
  <c r="I16" i="19" s="1"/>
  <c r="E16" i="19"/>
  <c r="F16" i="19" s="1"/>
  <c r="H17" i="20"/>
  <c r="I17" i="20" s="1"/>
  <c r="F17" i="20"/>
  <c r="H16" i="20"/>
  <c r="I16" i="20" s="1"/>
  <c r="E16" i="20"/>
  <c r="F16" i="20" s="1"/>
  <c r="H17" i="21"/>
  <c r="I17" i="21" s="1"/>
  <c r="F17" i="21"/>
  <c r="H16" i="21"/>
  <c r="I16" i="21" s="1"/>
  <c r="E16" i="21"/>
  <c r="F16" i="21" s="1"/>
  <c r="H17" i="4"/>
  <c r="I17" i="4" s="1"/>
  <c r="F17" i="4"/>
  <c r="H16" i="4"/>
  <c r="I16" i="4" s="1"/>
  <c r="E16" i="4"/>
  <c r="F16" i="4" s="1"/>
  <c r="E16" i="3"/>
  <c r="F16" i="3"/>
  <c r="H16" i="3"/>
  <c r="I16" i="3"/>
  <c r="F17" i="3"/>
  <c r="H17" i="3"/>
  <c r="I17" i="3" s="1"/>
  <c r="E16" i="72"/>
  <c r="F16" i="72" s="1"/>
  <c r="H16" i="72"/>
  <c r="I16" i="72" s="1"/>
  <c r="H17" i="72"/>
  <c r="I17" i="72" s="1"/>
  <c r="E15" i="72"/>
  <c r="F15" i="72" s="1"/>
  <c r="E14" i="72"/>
  <c r="F14" i="72" s="1"/>
  <c r="E13" i="72"/>
  <c r="F13" i="72" s="1"/>
  <c r="E12" i="72"/>
  <c r="F12" i="72" s="1"/>
  <c r="E11" i="72"/>
  <c r="F11" i="72" s="1"/>
  <c r="E10" i="72"/>
  <c r="F10" i="72" s="1"/>
  <c r="E9" i="72"/>
  <c r="F9" i="72" s="1"/>
  <c r="E8" i="72"/>
  <c r="F8" i="72" s="1"/>
  <c r="E7" i="72"/>
  <c r="F7" i="72" s="1"/>
  <c r="E6" i="72"/>
  <c r="F6" i="72" s="1"/>
  <c r="E5" i="72"/>
  <c r="F5" i="72" s="1"/>
  <c r="E4" i="72"/>
  <c r="F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E5" i="3"/>
  <c r="F5" i="3" s="1"/>
  <c r="H5" i="3"/>
  <c r="I5" i="3" s="1"/>
  <c r="E6" i="3"/>
  <c r="F6" i="3" s="1"/>
  <c r="H6" i="3"/>
  <c r="I6" i="3" s="1"/>
  <c r="E7" i="3"/>
  <c r="F7" i="3" s="1"/>
  <c r="H7" i="3"/>
  <c r="I7" i="3" s="1"/>
  <c r="E8" i="3"/>
  <c r="F8" i="3" s="1"/>
  <c r="H8" i="3"/>
  <c r="I8" i="3" s="1"/>
  <c r="E9" i="3"/>
  <c r="F9" i="3" s="1"/>
  <c r="H9" i="3"/>
  <c r="I9" i="3" s="1"/>
  <c r="E10" i="3"/>
  <c r="F10" i="3" s="1"/>
  <c r="H10" i="3"/>
  <c r="I10" i="3" s="1"/>
  <c r="E11" i="3"/>
  <c r="F11" i="3" s="1"/>
  <c r="H11" i="3"/>
  <c r="I11" i="3" s="1"/>
  <c r="E12" i="3"/>
  <c r="F12" i="3" s="1"/>
  <c r="H12" i="3"/>
  <c r="I12" i="3"/>
  <c r="E13" i="3"/>
  <c r="F13" i="3" s="1"/>
  <c r="H13" i="3"/>
  <c r="I13" i="3" s="1"/>
  <c r="E14" i="3"/>
  <c r="F14" i="3" s="1"/>
  <c r="H14" i="3"/>
  <c r="I14" i="3" s="1"/>
  <c r="E15" i="3"/>
  <c r="F15" i="3" s="1"/>
  <c r="H15" i="3"/>
  <c r="I15" i="3" s="1"/>
  <c r="G6" i="1"/>
  <c r="G6" i="34" s="1"/>
  <c r="G7" i="1"/>
  <c r="G7" i="34" s="1"/>
  <c r="G8" i="1"/>
  <c r="G8" i="34" s="1"/>
  <c r="G9" i="1"/>
  <c r="G9" i="34" s="1"/>
  <c r="G10" i="1"/>
  <c r="G10" i="34" s="1"/>
  <c r="G11" i="1"/>
  <c r="G11" i="34" s="1"/>
  <c r="G12" i="1"/>
  <c r="G12" i="34" s="1"/>
  <c r="G13" i="1"/>
  <c r="G13" i="34" s="1"/>
  <c r="G14" i="1"/>
  <c r="G14" i="34" s="1"/>
  <c r="G15" i="1"/>
  <c r="G15" i="34" s="1"/>
  <c r="G5" i="1"/>
  <c r="G5" i="34" s="1"/>
  <c r="G4" i="1"/>
  <c r="G4" i="34" s="1"/>
  <c r="B4" i="34" a="1"/>
  <c r="B4" i="34" s="1"/>
  <c r="A4" i="34" a="1"/>
  <c r="A4" i="34" s="1"/>
  <c r="A1" i="34" a="1"/>
  <c r="A1" i="34" s="1"/>
  <c r="D5" i="30"/>
  <c r="C5" i="30"/>
  <c r="D4" i="30"/>
  <c r="C4" i="30"/>
  <c r="D15" i="29"/>
  <c r="C15" i="29"/>
  <c r="D14" i="29"/>
  <c r="C14" i="29"/>
  <c r="D13" i="29"/>
  <c r="C13" i="29"/>
  <c r="D12" i="29"/>
  <c r="C12" i="29"/>
  <c r="D11" i="29"/>
  <c r="C11" i="29"/>
  <c r="D10" i="29"/>
  <c r="C10" i="29"/>
  <c r="D9" i="29"/>
  <c r="C9" i="29"/>
  <c r="D8" i="29"/>
  <c r="C8" i="29"/>
  <c r="D7" i="29"/>
  <c r="C7" i="29"/>
  <c r="D6" i="29"/>
  <c r="C6" i="29"/>
  <c r="D5" i="29"/>
  <c r="C5" i="29"/>
  <c r="D4" i="29"/>
  <c r="C4" i="29"/>
  <c r="D15" i="18"/>
  <c r="C15" i="18"/>
  <c r="D14" i="18"/>
  <c r="C14" i="18"/>
  <c r="D13" i="18"/>
  <c r="C13" i="18"/>
  <c r="D12" i="18"/>
  <c r="C12" i="18"/>
  <c r="D11" i="18"/>
  <c r="C11" i="18"/>
  <c r="D10" i="18"/>
  <c r="C10" i="18"/>
  <c r="D9" i="18"/>
  <c r="C9" i="18"/>
  <c r="D8" i="18"/>
  <c r="C8" i="18"/>
  <c r="D7" i="18"/>
  <c r="C7" i="18"/>
  <c r="D6" i="18"/>
  <c r="C6" i="18"/>
  <c r="D5" i="18"/>
  <c r="C5" i="18"/>
  <c r="D4" i="18"/>
  <c r="C4" i="18"/>
  <c r="B4" i="30" a="1"/>
  <c r="B4" i="30" s="1"/>
  <c r="G2" i="30"/>
  <c r="A1" i="30" a="1"/>
  <c r="A1" i="30" s="1"/>
  <c r="B4" i="29" a="1"/>
  <c r="B4" i="29" s="1"/>
  <c r="A4" i="29" a="1"/>
  <c r="A4" i="29" s="1"/>
  <c r="G2" i="29"/>
  <c r="A1" i="29" a="1"/>
  <c r="A1" i="29" s="1"/>
  <c r="B4" i="18" a="1"/>
  <c r="B4" i="18" s="1"/>
  <c r="A4" i="18" a="1"/>
  <c r="A4" i="18" s="1"/>
  <c r="G2" i="18"/>
  <c r="A1" i="18" a="1"/>
  <c r="A1" i="18" s="1"/>
  <c r="C15" i="1"/>
  <c r="C14" i="1"/>
  <c r="C13" i="1"/>
  <c r="C12" i="1"/>
  <c r="C11" i="1"/>
  <c r="C10" i="1"/>
  <c r="C9" i="1"/>
  <c r="C8" i="1"/>
  <c r="C7" i="1"/>
  <c r="C6" i="1"/>
  <c r="C5" i="1"/>
  <c r="C4" i="1"/>
  <c r="D6" i="1"/>
  <c r="D7" i="1"/>
  <c r="D8" i="1"/>
  <c r="D9" i="1"/>
  <c r="D10" i="1"/>
  <c r="D11" i="1"/>
  <c r="D12" i="1"/>
  <c r="D13" i="1"/>
  <c r="D14" i="1"/>
  <c r="D15" i="1"/>
  <c r="D5" i="1"/>
  <c r="D4" i="1"/>
  <c r="B4" i="1" a="1"/>
  <c r="B4" i="1" s="1"/>
  <c r="A4" i="1" a="1"/>
  <c r="A4" i="1" s="1"/>
  <c r="A1" i="1" a="1"/>
  <c r="A1" i="1" s="1"/>
  <c r="H15" i="33"/>
  <c r="I15" i="33" s="1"/>
  <c r="E15" i="33"/>
  <c r="F15" i="33" s="1"/>
  <c r="H14" i="33"/>
  <c r="I14" i="33" s="1"/>
  <c r="E14" i="33"/>
  <c r="F14" i="33" s="1"/>
  <c r="H13" i="33"/>
  <c r="I13" i="33" s="1"/>
  <c r="E13" i="33"/>
  <c r="F13" i="33" s="1"/>
  <c r="H12" i="33"/>
  <c r="I12" i="33" s="1"/>
  <c r="E12" i="33"/>
  <c r="F12" i="33" s="1"/>
  <c r="H11" i="33"/>
  <c r="I11" i="33" s="1"/>
  <c r="E11" i="33"/>
  <c r="F11" i="33" s="1"/>
  <c r="H10" i="33"/>
  <c r="I10" i="33" s="1"/>
  <c r="E10" i="33"/>
  <c r="F10" i="33" s="1"/>
  <c r="H9" i="33"/>
  <c r="I9" i="33" s="1"/>
  <c r="E9" i="33"/>
  <c r="F9" i="33" s="1"/>
  <c r="H8" i="33"/>
  <c r="I8" i="33" s="1"/>
  <c r="E8" i="33"/>
  <c r="F8" i="33" s="1"/>
  <c r="H7" i="33"/>
  <c r="I7" i="33" s="1"/>
  <c r="E7" i="33"/>
  <c r="F7" i="33" s="1"/>
  <c r="H6" i="33"/>
  <c r="I6" i="33" s="1"/>
  <c r="E6" i="33"/>
  <c r="F6" i="33" s="1"/>
  <c r="H5" i="33"/>
  <c r="I5" i="33" s="1"/>
  <c r="E5" i="33"/>
  <c r="F5" i="33" s="1"/>
  <c r="H4" i="33"/>
  <c r="I4" i="33" s="1"/>
  <c r="E4" i="33"/>
  <c r="F4" i="33" s="1"/>
  <c r="G2" i="33"/>
  <c r="D2" i="33"/>
  <c r="C2" i="33"/>
  <c r="A1" i="33" a="1"/>
  <c r="A1" i="33" s="1"/>
  <c r="H15" i="32"/>
  <c r="I15" i="32" s="1"/>
  <c r="E15" i="32"/>
  <c r="F15" i="32" s="1"/>
  <c r="H14" i="32"/>
  <c r="I14" i="32" s="1"/>
  <c r="E14" i="32"/>
  <c r="F14" i="32" s="1"/>
  <c r="H13" i="32"/>
  <c r="I13" i="32" s="1"/>
  <c r="E13" i="32"/>
  <c r="F13" i="32" s="1"/>
  <c r="H12" i="32"/>
  <c r="I12" i="32" s="1"/>
  <c r="E12" i="32"/>
  <c r="F12" i="32" s="1"/>
  <c r="H11" i="32"/>
  <c r="I11" i="32" s="1"/>
  <c r="E11" i="32"/>
  <c r="F11" i="32" s="1"/>
  <c r="H10" i="32"/>
  <c r="I10" i="32" s="1"/>
  <c r="E10" i="32"/>
  <c r="F10" i="32" s="1"/>
  <c r="H9" i="32"/>
  <c r="I9" i="32" s="1"/>
  <c r="E9" i="32"/>
  <c r="F9" i="32" s="1"/>
  <c r="H8" i="32"/>
  <c r="I8" i="32" s="1"/>
  <c r="E8" i="32"/>
  <c r="F8" i="32" s="1"/>
  <c r="H7" i="32"/>
  <c r="I7" i="32" s="1"/>
  <c r="E7" i="32"/>
  <c r="F7" i="32" s="1"/>
  <c r="H6" i="32"/>
  <c r="I6" i="32" s="1"/>
  <c r="E6" i="32"/>
  <c r="F6" i="32" s="1"/>
  <c r="H5" i="32"/>
  <c r="I5" i="32" s="1"/>
  <c r="E5" i="32"/>
  <c r="F5" i="32" s="1"/>
  <c r="H4" i="32"/>
  <c r="I4" i="32" s="1"/>
  <c r="E4" i="32"/>
  <c r="F4" i="32" s="1"/>
  <c r="G2" i="32"/>
  <c r="D2" i="32"/>
  <c r="C2" i="32"/>
  <c r="A1" i="32" a="1"/>
  <c r="A1" i="32" s="1"/>
  <c r="H15" i="31"/>
  <c r="I15" i="31" s="1"/>
  <c r="E15" i="31"/>
  <c r="F15" i="31" s="1"/>
  <c r="H14" i="31"/>
  <c r="I14" i="31" s="1"/>
  <c r="E14" i="31"/>
  <c r="F14" i="31" s="1"/>
  <c r="H13" i="31"/>
  <c r="I13" i="31" s="1"/>
  <c r="E13" i="31"/>
  <c r="F13" i="31"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G2" i="31"/>
  <c r="D2" i="31"/>
  <c r="C2" i="31"/>
  <c r="A1" i="31" a="1"/>
  <c r="A1" i="31" s="1"/>
  <c r="H15" i="28"/>
  <c r="I15" i="28" s="1"/>
  <c r="E15" i="28"/>
  <c r="F15" i="28" s="1"/>
  <c r="H14" i="28"/>
  <c r="I14" i="28" s="1"/>
  <c r="E14" i="28"/>
  <c r="F14" i="28" s="1"/>
  <c r="H13" i="28"/>
  <c r="I13" i="28" s="1"/>
  <c r="E13" i="28"/>
  <c r="F13" i="28" s="1"/>
  <c r="H12" i="28"/>
  <c r="I12" i="28" s="1"/>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E5" i="28"/>
  <c r="F5" i="28" s="1"/>
  <c r="H4" i="28"/>
  <c r="I4" i="28" s="1"/>
  <c r="E4" i="28"/>
  <c r="F4" i="28" s="1"/>
  <c r="B4" i="28" a="1"/>
  <c r="B4" i="28" s="1"/>
  <c r="A4" i="28" a="1"/>
  <c r="A4" i="28" s="1"/>
  <c r="G2" i="28"/>
  <c r="D2" i="28"/>
  <c r="C2" i="28"/>
  <c r="A1" i="28" a="1"/>
  <c r="A1" i="28" s="1"/>
  <c r="H15" i="27"/>
  <c r="I15" i="27" s="1"/>
  <c r="E15" i="27"/>
  <c r="F15" i="27" s="1"/>
  <c r="H14" i="27"/>
  <c r="I14" i="27" s="1"/>
  <c r="E14" i="27"/>
  <c r="F14" i="27" s="1"/>
  <c r="H13" i="27"/>
  <c r="E13" i="27"/>
  <c r="F13" i="27" s="1"/>
  <c r="H12" i="27"/>
  <c r="I12" i="27" s="1"/>
  <c r="E12" i="27"/>
  <c r="F12" i="27" s="1"/>
  <c r="H11" i="27"/>
  <c r="I11" i="27" s="1"/>
  <c r="E11" i="27"/>
  <c r="F11" i="27" s="1"/>
  <c r="H10" i="27"/>
  <c r="E10" i="27"/>
  <c r="F10" i="27" s="1"/>
  <c r="H9" i="27"/>
  <c r="I9" i="27" s="1"/>
  <c r="E9" i="27"/>
  <c r="F9" i="27" s="1"/>
  <c r="H8" i="27"/>
  <c r="I8" i="27" s="1"/>
  <c r="E8" i="27"/>
  <c r="F8" i="27" s="1"/>
  <c r="H7" i="27"/>
  <c r="I7" i="27" s="1"/>
  <c r="E7" i="27"/>
  <c r="F7" i="27" s="1"/>
  <c r="H6" i="27"/>
  <c r="I6" i="27" s="1"/>
  <c r="E6" i="27"/>
  <c r="F6" i="27" s="1"/>
  <c r="H5" i="27"/>
  <c r="I5" i="27" s="1"/>
  <c r="E5" i="27"/>
  <c r="F5" i="27" s="1"/>
  <c r="H4" i="27"/>
  <c r="I4" i="27" s="1"/>
  <c r="E4" i="27"/>
  <c r="F4" i="27" s="1"/>
  <c r="G2" i="27"/>
  <c r="D2" i="27"/>
  <c r="C2" i="27"/>
  <c r="A1" i="27" a="1"/>
  <c r="A1" i="27" s="1"/>
  <c r="H15" i="26"/>
  <c r="E15" i="26"/>
  <c r="F15" i="26" s="1"/>
  <c r="H14" i="26"/>
  <c r="I14" i="26" s="1"/>
  <c r="E14" i="26"/>
  <c r="F14" i="26" s="1"/>
  <c r="H13" i="26"/>
  <c r="I13" i="26" s="1"/>
  <c r="E13" i="26"/>
  <c r="F13" i="26" s="1"/>
  <c r="H12" i="26"/>
  <c r="E12" i="26"/>
  <c r="F12" i="26" s="1"/>
  <c r="H11" i="26"/>
  <c r="I11" i="26" s="1"/>
  <c r="E11" i="26"/>
  <c r="F11" i="26" s="1"/>
  <c r="H10" i="26"/>
  <c r="I10" i="26" s="1"/>
  <c r="E10" i="26"/>
  <c r="F10" i="26" s="1"/>
  <c r="H9" i="26"/>
  <c r="E9" i="26"/>
  <c r="F9" i="26" s="1"/>
  <c r="H8" i="26"/>
  <c r="I8" i="26" s="1"/>
  <c r="E8" i="26"/>
  <c r="F8" i="26" s="1"/>
  <c r="H7" i="26"/>
  <c r="E7" i="26"/>
  <c r="F7" i="26" s="1"/>
  <c r="H6" i="26"/>
  <c r="E6" i="26"/>
  <c r="F6" i="26" s="1"/>
  <c r="H5" i="26"/>
  <c r="I5" i="26" s="1"/>
  <c r="E5" i="26"/>
  <c r="F5" i="26" s="1"/>
  <c r="H4" i="26"/>
  <c r="I4" i="26" s="1"/>
  <c r="E4" i="26"/>
  <c r="F4" i="26" s="1"/>
  <c r="G2" i="26"/>
  <c r="D2" i="26"/>
  <c r="C2" i="26"/>
  <c r="H15" i="19"/>
  <c r="I15" i="19" s="1"/>
  <c r="E15" i="19"/>
  <c r="F15" i="19" s="1"/>
  <c r="H14" i="19"/>
  <c r="I14" i="19" s="1"/>
  <c r="E14" i="19"/>
  <c r="F14" i="19" s="1"/>
  <c r="H13" i="19"/>
  <c r="I13" i="19" s="1"/>
  <c r="E13" i="19"/>
  <c r="F13" i="19" s="1"/>
  <c r="H12" i="19"/>
  <c r="I12" i="19" s="1"/>
  <c r="E12" i="19"/>
  <c r="F12" i="19" s="1"/>
  <c r="H11" i="19"/>
  <c r="I11" i="19" s="1"/>
  <c r="E11" i="19"/>
  <c r="F11" i="19" s="1"/>
  <c r="H10" i="19"/>
  <c r="I10" i="19" s="1"/>
  <c r="E10" i="19"/>
  <c r="F10" i="19" s="1"/>
  <c r="H9" i="19"/>
  <c r="I9" i="19" s="1"/>
  <c r="E9" i="19"/>
  <c r="F9" i="19" s="1"/>
  <c r="H8" i="19"/>
  <c r="I8" i="19" s="1"/>
  <c r="E8" i="19"/>
  <c r="F8" i="19" s="1"/>
  <c r="H7" i="19"/>
  <c r="I7" i="19" s="1"/>
  <c r="E7" i="19"/>
  <c r="F7" i="19" s="1"/>
  <c r="H6" i="19"/>
  <c r="I6" i="19" s="1"/>
  <c r="E6" i="19"/>
  <c r="F6" i="19" s="1"/>
  <c r="H5" i="19"/>
  <c r="I5" i="19" s="1"/>
  <c r="E5" i="19"/>
  <c r="F5" i="19" s="1"/>
  <c r="H4" i="19"/>
  <c r="I4" i="19" s="1"/>
  <c r="E4" i="19"/>
  <c r="F4" i="19" s="1"/>
  <c r="G2" i="19"/>
  <c r="D2" i="19"/>
  <c r="C2" i="19"/>
  <c r="A1" i="19" a="1"/>
  <c r="A1" i="19" s="1"/>
  <c r="H15" i="20"/>
  <c r="I15" i="20" s="1"/>
  <c r="E15" i="20"/>
  <c r="F15" i="20" s="1"/>
  <c r="H14" i="20"/>
  <c r="I14" i="20" s="1"/>
  <c r="E14" i="20"/>
  <c r="F14" i="20" s="1"/>
  <c r="H13" i="20"/>
  <c r="I13" i="20" s="1"/>
  <c r="E13" i="20"/>
  <c r="F13" i="20" s="1"/>
  <c r="H12" i="20"/>
  <c r="I12" i="20" s="1"/>
  <c r="E12" i="20"/>
  <c r="F12" i="20" s="1"/>
  <c r="H11" i="20"/>
  <c r="I11" i="20" s="1"/>
  <c r="E11" i="20"/>
  <c r="F11" i="20" s="1"/>
  <c r="H10" i="20"/>
  <c r="I10" i="20" s="1"/>
  <c r="E10" i="20"/>
  <c r="F10" i="20" s="1"/>
  <c r="H9" i="20"/>
  <c r="I9" i="20" s="1"/>
  <c r="E9" i="20"/>
  <c r="F9" i="20" s="1"/>
  <c r="H8" i="20"/>
  <c r="I8" i="20" s="1"/>
  <c r="E8" i="20"/>
  <c r="F8" i="20" s="1"/>
  <c r="H7" i="20"/>
  <c r="I7" i="20" s="1"/>
  <c r="E7" i="20"/>
  <c r="F7" i="20" s="1"/>
  <c r="H6" i="20"/>
  <c r="I6" i="20" s="1"/>
  <c r="E6" i="20"/>
  <c r="F6" i="20" s="1"/>
  <c r="H5" i="20"/>
  <c r="I5" i="20" s="1"/>
  <c r="E5" i="20"/>
  <c r="F5" i="20" s="1"/>
  <c r="H4" i="20"/>
  <c r="E4" i="20"/>
  <c r="F4" i="20" s="1"/>
  <c r="G2" i="20"/>
  <c r="D2" i="20"/>
  <c r="C2" i="20"/>
  <c r="A1" i="20" a="1"/>
  <c r="A1" i="20" s="1"/>
  <c r="H15" i="21"/>
  <c r="I15" i="21" s="1"/>
  <c r="E15" i="21"/>
  <c r="F15" i="21" s="1"/>
  <c r="H14" i="21"/>
  <c r="I14" i="21" s="1"/>
  <c r="E14" i="21"/>
  <c r="F14" i="21" s="1"/>
  <c r="H13" i="21"/>
  <c r="I13" i="21" s="1"/>
  <c r="E13" i="21"/>
  <c r="F13" i="21" s="1"/>
  <c r="H12" i="21"/>
  <c r="I12" i="21" s="1"/>
  <c r="E12" i="21"/>
  <c r="F12" i="21" s="1"/>
  <c r="H11" i="21"/>
  <c r="I11" i="21" s="1"/>
  <c r="E11" i="21"/>
  <c r="F11" i="21" s="1"/>
  <c r="H10" i="21"/>
  <c r="I10" i="21" s="1"/>
  <c r="E10" i="21"/>
  <c r="F10" i="21" s="1"/>
  <c r="H9" i="21"/>
  <c r="I9" i="21" s="1"/>
  <c r="E9" i="21"/>
  <c r="F9" i="21" s="1"/>
  <c r="H8" i="21"/>
  <c r="I8" i="21" s="1"/>
  <c r="E8" i="21"/>
  <c r="F8" i="21" s="1"/>
  <c r="H7" i="21"/>
  <c r="I7" i="21" s="1"/>
  <c r="E7" i="21"/>
  <c r="F7" i="21" s="1"/>
  <c r="H6" i="21"/>
  <c r="I6" i="21" s="1"/>
  <c r="E6" i="21"/>
  <c r="F6" i="21" s="1"/>
  <c r="H5" i="21"/>
  <c r="I5" i="21" s="1"/>
  <c r="E5" i="21"/>
  <c r="F5" i="21" s="1"/>
  <c r="H4" i="21"/>
  <c r="I4" i="21" s="1"/>
  <c r="E4" i="21"/>
  <c r="F4" i="21" s="1"/>
  <c r="G2" i="21"/>
  <c r="D2" i="21"/>
  <c r="C2" i="21"/>
  <c r="A1" i="21" a="1"/>
  <c r="A1" i="21" s="1"/>
  <c r="H15" i="4"/>
  <c r="I15" i="4" s="1"/>
  <c r="E15" i="4"/>
  <c r="F15" i="4" s="1"/>
  <c r="H14" i="4"/>
  <c r="I14" i="4" s="1"/>
  <c r="E14" i="4"/>
  <c r="F14" i="4" s="1"/>
  <c r="H13" i="4"/>
  <c r="I13" i="4" s="1"/>
  <c r="E13" i="4"/>
  <c r="F13" i="4" s="1"/>
  <c r="H12" i="4"/>
  <c r="I12" i="4" s="1"/>
  <c r="E12" i="4"/>
  <c r="F12" i="4" s="1"/>
  <c r="H11" i="4"/>
  <c r="I11" i="4" s="1"/>
  <c r="E11" i="4"/>
  <c r="F11" i="4" s="1"/>
  <c r="H10" i="4"/>
  <c r="I10" i="4" s="1"/>
  <c r="E10" i="4"/>
  <c r="F10" i="4" s="1"/>
  <c r="H9" i="4"/>
  <c r="I9" i="4" s="1"/>
  <c r="E9" i="4"/>
  <c r="F9" i="4" s="1"/>
  <c r="H8" i="4"/>
  <c r="I8" i="4" s="1"/>
  <c r="E8" i="4"/>
  <c r="F8" i="4" s="1"/>
  <c r="H7" i="4"/>
  <c r="I7" i="4" s="1"/>
  <c r="E7" i="4"/>
  <c r="F7" i="4" s="1"/>
  <c r="H6" i="4"/>
  <c r="I6" i="4" s="1"/>
  <c r="E6" i="4"/>
  <c r="H5" i="4"/>
  <c r="I5" i="4" s="1"/>
  <c r="E5" i="4"/>
  <c r="F5" i="4" s="1"/>
  <c r="H4" i="4"/>
  <c r="E4" i="4"/>
  <c r="F4" i="4" s="1"/>
  <c r="G2" i="4"/>
  <c r="D2" i="4"/>
  <c r="C2" i="4"/>
  <c r="A1" i="4" a="1"/>
  <c r="A1" i="4" s="1"/>
  <c r="G2" i="3"/>
  <c r="D2" i="3"/>
  <c r="C2" i="3"/>
  <c r="J2" i="3" s="1"/>
  <c r="A1" i="3" a="1"/>
  <c r="A1" i="3" s="1"/>
  <c r="H6" i="72"/>
  <c r="I6" i="72" s="1"/>
  <c r="H7" i="72"/>
  <c r="I7" i="72" s="1"/>
  <c r="H8" i="72"/>
  <c r="I8" i="72" s="1"/>
  <c r="H9" i="72"/>
  <c r="I9" i="72" s="1"/>
  <c r="H10" i="72"/>
  <c r="I10" i="72" s="1"/>
  <c r="H11" i="72"/>
  <c r="I11" i="72" s="1"/>
  <c r="H12" i="72"/>
  <c r="I12" i="72" s="1"/>
  <c r="H13" i="72"/>
  <c r="I13" i="72" s="1"/>
  <c r="H14" i="72"/>
  <c r="I14" i="72" s="1"/>
  <c r="H15" i="72"/>
  <c r="I15" i="72" s="1"/>
  <c r="H5" i="72"/>
  <c r="I5" i="72" s="1"/>
  <c r="H4" i="72"/>
  <c r="I4" i="72" s="1"/>
  <c r="G2" i="72"/>
  <c r="D2" i="72"/>
  <c r="C2" i="72"/>
  <c r="J2" i="72" s="1"/>
  <c r="A1" i="72" a="1"/>
  <c r="A1" i="72" s="1"/>
  <c r="D23" i="34" l="1"/>
  <c r="C23" i="34"/>
  <c r="C14" i="34"/>
  <c r="C13" i="34"/>
  <c r="D24" i="34"/>
  <c r="H22" i="1"/>
  <c r="I22" i="1" s="1"/>
  <c r="I22" i="72"/>
  <c r="H20" i="1"/>
  <c r="I20" i="1" s="1"/>
  <c r="I20" i="72"/>
  <c r="H19" i="1"/>
  <c r="H19" i="34" s="1"/>
  <c r="I19" i="34" s="1"/>
  <c r="I19" i="72"/>
  <c r="H18" i="1"/>
  <c r="I18" i="1" s="1"/>
  <c r="I18" i="72"/>
  <c r="C7" i="34"/>
  <c r="D5" i="34"/>
  <c r="C24" i="34"/>
  <c r="C20" i="34"/>
  <c r="C21" i="34"/>
  <c r="D11" i="34"/>
  <c r="C6" i="34"/>
  <c r="C12" i="34"/>
  <c r="C22" i="34"/>
  <c r="C18" i="34"/>
  <c r="D14" i="34"/>
  <c r="E14" i="34" s="1"/>
  <c r="F14" i="34" s="1"/>
  <c r="D21" i="34"/>
  <c r="D12" i="34"/>
  <c r="C15" i="34"/>
  <c r="D18" i="34"/>
  <c r="D9" i="34"/>
  <c r="C8" i="34"/>
  <c r="D22" i="34"/>
  <c r="D17" i="34"/>
  <c r="D15" i="34"/>
  <c r="D13" i="34"/>
  <c r="D10" i="34"/>
  <c r="C10" i="34"/>
  <c r="D6" i="34"/>
  <c r="D8" i="34"/>
  <c r="D7" i="34"/>
  <c r="C5" i="34"/>
  <c r="H18" i="34"/>
  <c r="I18" i="34" s="1"/>
  <c r="E19" i="34"/>
  <c r="F19" i="34" s="1"/>
  <c r="D16" i="34"/>
  <c r="D20" i="34"/>
  <c r="C9" i="34"/>
  <c r="C17" i="34"/>
  <c r="H16" i="30"/>
  <c r="I16" i="30" s="1"/>
  <c r="E13" i="29"/>
  <c r="F13" i="29" s="1"/>
  <c r="H6" i="29"/>
  <c r="I6" i="29" s="1"/>
  <c r="E17" i="29"/>
  <c r="F17" i="29" s="1"/>
  <c r="E11" i="29"/>
  <c r="F11" i="29" s="1"/>
  <c r="C11" i="34"/>
  <c r="E16" i="29"/>
  <c r="F16" i="29" s="1"/>
  <c r="C16" i="34"/>
  <c r="H13" i="29"/>
  <c r="E11" i="18"/>
  <c r="F11" i="18" s="1"/>
  <c r="E15" i="18"/>
  <c r="F15" i="18" s="1"/>
  <c r="D4" i="34"/>
  <c r="I4" i="20"/>
  <c r="H4" i="18"/>
  <c r="I4" i="18" s="1"/>
  <c r="H16" i="18"/>
  <c r="I16" i="18" s="1"/>
  <c r="E16" i="18"/>
  <c r="F16" i="18" s="1"/>
  <c r="E9" i="18"/>
  <c r="F9" i="18" s="1"/>
  <c r="E7" i="18"/>
  <c r="F7" i="18" s="1"/>
  <c r="D2" i="18"/>
  <c r="E23" i="1"/>
  <c r="F23" i="1" s="1"/>
  <c r="H16" i="1"/>
  <c r="I16" i="1" s="1"/>
  <c r="H6" i="30"/>
  <c r="I6" i="30" s="1"/>
  <c r="I13" i="27"/>
  <c r="H17" i="1"/>
  <c r="I17" i="1" s="1"/>
  <c r="H10" i="29"/>
  <c r="H7" i="29"/>
  <c r="E4" i="18"/>
  <c r="F4" i="18" s="1"/>
  <c r="E8" i="18"/>
  <c r="F8" i="18" s="1"/>
  <c r="E12" i="18"/>
  <c r="F12" i="18" s="1"/>
  <c r="E8" i="29"/>
  <c r="F8" i="29" s="1"/>
  <c r="E12" i="29"/>
  <c r="F12" i="29" s="1"/>
  <c r="E4" i="30"/>
  <c r="F4" i="30" s="1"/>
  <c r="H17" i="30"/>
  <c r="I17" i="30" s="1"/>
  <c r="E24" i="1"/>
  <c r="F24" i="1" s="1"/>
  <c r="H15" i="29"/>
  <c r="H12" i="29"/>
  <c r="D2" i="29"/>
  <c r="I10" i="27"/>
  <c r="E5" i="18"/>
  <c r="F5" i="18" s="1"/>
  <c r="E13" i="18"/>
  <c r="F13" i="18" s="1"/>
  <c r="E5" i="29"/>
  <c r="F5" i="29" s="1"/>
  <c r="E9" i="29"/>
  <c r="F9" i="29" s="1"/>
  <c r="E5" i="30"/>
  <c r="F5" i="30" s="1"/>
  <c r="H17" i="18"/>
  <c r="I17" i="18" s="1"/>
  <c r="H16" i="29"/>
  <c r="H9" i="29"/>
  <c r="E6" i="18"/>
  <c r="F6" i="18" s="1"/>
  <c r="E10" i="18"/>
  <c r="F10" i="18" s="1"/>
  <c r="E14" i="18"/>
  <c r="F14" i="18" s="1"/>
  <c r="E6" i="29"/>
  <c r="F6" i="29" s="1"/>
  <c r="E10" i="29"/>
  <c r="F10" i="29" s="1"/>
  <c r="E14" i="29"/>
  <c r="F14" i="29" s="1"/>
  <c r="H17" i="29"/>
  <c r="E21" i="1"/>
  <c r="F21" i="1" s="1"/>
  <c r="H24" i="1"/>
  <c r="I24" i="1" s="1"/>
  <c r="H23" i="1"/>
  <c r="I23" i="1" s="1"/>
  <c r="H21" i="1"/>
  <c r="I21" i="1" s="1"/>
  <c r="E19" i="1"/>
  <c r="F19" i="1" s="1"/>
  <c r="E18" i="1"/>
  <c r="F18" i="1" s="1"/>
  <c r="G20" i="34"/>
  <c r="G23" i="34"/>
  <c r="E22" i="1"/>
  <c r="F22" i="1" s="1"/>
  <c r="E20" i="1"/>
  <c r="F20" i="1" s="1"/>
  <c r="D2" i="30"/>
  <c r="E17" i="1"/>
  <c r="F17" i="1" s="1"/>
  <c r="E16" i="1"/>
  <c r="F16" i="1" s="1"/>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H2" i="3"/>
  <c r="I2" i="3" s="1"/>
  <c r="E7" i="1"/>
  <c r="F7" i="1" s="1"/>
  <c r="E15" i="1"/>
  <c r="F15" i="1" s="1"/>
  <c r="G2" i="1"/>
  <c r="E8" i="1"/>
  <c r="F8" i="1" s="1"/>
  <c r="E11" i="1"/>
  <c r="F11" i="1" s="1"/>
  <c r="E9" i="1"/>
  <c r="F9" i="1" s="1"/>
  <c r="E10" i="1"/>
  <c r="F10" i="1" s="1"/>
  <c r="E12" i="1"/>
  <c r="F12" i="1" s="1"/>
  <c r="E5" i="1"/>
  <c r="F5" i="1" s="1"/>
  <c r="E13" i="1"/>
  <c r="F13" i="1" s="1"/>
  <c r="E6" i="1"/>
  <c r="F6" i="1" s="1"/>
  <c r="E14" i="1"/>
  <c r="F14" i="1" s="1"/>
  <c r="H14" i="30"/>
  <c r="I14" i="30" s="1"/>
  <c r="H9" i="30"/>
  <c r="I9" i="30" s="1"/>
  <c r="H4" i="30"/>
  <c r="I4" i="30" s="1"/>
  <c r="H12" i="30"/>
  <c r="I12" i="30" s="1"/>
  <c r="H7" i="30"/>
  <c r="I7" i="30" s="1"/>
  <c r="H15" i="30"/>
  <c r="I15" i="30" s="1"/>
  <c r="H10" i="30"/>
  <c r="I10" i="30" s="1"/>
  <c r="H5" i="30"/>
  <c r="I5" i="30" s="1"/>
  <c r="H13" i="30"/>
  <c r="I13" i="30" s="1"/>
  <c r="H8" i="30"/>
  <c r="I8" i="30" s="1"/>
  <c r="H11" i="30"/>
  <c r="I11" i="30" s="1"/>
  <c r="E7" i="29"/>
  <c r="F7" i="29" s="1"/>
  <c r="H8" i="29"/>
  <c r="H11" i="29"/>
  <c r="I6" i="26"/>
  <c r="I9" i="26"/>
  <c r="I12" i="26"/>
  <c r="I15" i="26"/>
  <c r="H14" i="29"/>
  <c r="H4" i="29"/>
  <c r="I4" i="29" s="1"/>
  <c r="E15" i="29"/>
  <c r="F15" i="29" s="1"/>
  <c r="H5" i="29"/>
  <c r="I7" i="26"/>
  <c r="H14" i="18"/>
  <c r="I14" i="18" s="1"/>
  <c r="H9" i="18"/>
  <c r="I9" i="18" s="1"/>
  <c r="H6" i="18"/>
  <c r="I6" i="18" s="1"/>
  <c r="H12" i="18"/>
  <c r="I12" i="18" s="1"/>
  <c r="H7" i="18"/>
  <c r="I7" i="18" s="1"/>
  <c r="H15" i="18"/>
  <c r="I15" i="18" s="1"/>
  <c r="H10" i="18"/>
  <c r="I10" i="18" s="1"/>
  <c r="C4" i="34"/>
  <c r="H5" i="18"/>
  <c r="I5" i="18" s="1"/>
  <c r="H13" i="18"/>
  <c r="I13" i="18" s="1"/>
  <c r="H8" i="18"/>
  <c r="I8" i="18" s="1"/>
  <c r="H11" i="18"/>
  <c r="I11" i="18" s="1"/>
  <c r="C2" i="29"/>
  <c r="C2" i="30"/>
  <c r="E4" i="29"/>
  <c r="F4" i="29" s="1"/>
  <c r="C2" i="18"/>
  <c r="H7" i="1"/>
  <c r="I7" i="1" s="1"/>
  <c r="H4" i="1"/>
  <c r="H5" i="1"/>
  <c r="I5" i="1" s="1"/>
  <c r="H15" i="1"/>
  <c r="I15" i="1" s="1"/>
  <c r="H12" i="1"/>
  <c r="I12" i="1" s="1"/>
  <c r="H11" i="1"/>
  <c r="I11" i="1" s="1"/>
  <c r="H10" i="1"/>
  <c r="I10" i="1" s="1"/>
  <c r="H6" i="1"/>
  <c r="I6" i="1" s="1"/>
  <c r="C2" i="1"/>
  <c r="E2" i="3"/>
  <c r="F2" i="3" s="1"/>
  <c r="E4" i="1"/>
  <c r="F4" i="1" s="1"/>
  <c r="H14" i="1"/>
  <c r="I14" i="1" s="1"/>
  <c r="H13" i="1"/>
  <c r="I13" i="1" s="1"/>
  <c r="H9" i="1"/>
  <c r="I9" i="1" s="1"/>
  <c r="H8" i="1"/>
  <c r="I8" i="1" s="1"/>
  <c r="D2" i="1"/>
  <c r="E2" i="33"/>
  <c r="F2" i="33" s="1"/>
  <c r="E2" i="32"/>
  <c r="F2" i="32" s="1"/>
  <c r="E2" i="31"/>
  <c r="F2" i="31" s="1"/>
  <c r="E2" i="27"/>
  <c r="F2" i="27" s="1"/>
  <c r="E2" i="26"/>
  <c r="F2" i="26" s="1"/>
  <c r="E2" i="19"/>
  <c r="F2" i="19" s="1"/>
  <c r="E2" i="21"/>
  <c r="F2" i="21" s="1"/>
  <c r="E2" i="4"/>
  <c r="H2" i="72"/>
  <c r="E6" i="34" l="1"/>
  <c r="F6" i="34" s="1"/>
  <c r="E13" i="34"/>
  <c r="F13" i="34" s="1"/>
  <c r="E9" i="34"/>
  <c r="F9" i="34" s="1"/>
  <c r="E24" i="34"/>
  <c r="F24" i="34" s="1"/>
  <c r="E23" i="34"/>
  <c r="F23" i="34" s="1"/>
  <c r="H22" i="34"/>
  <c r="I22" i="34" s="1"/>
  <c r="E22" i="34"/>
  <c r="F22" i="34" s="1"/>
  <c r="H20" i="34"/>
  <c r="I20" i="34" s="1"/>
  <c r="I19" i="1"/>
  <c r="E12" i="34"/>
  <c r="F12" i="34" s="1"/>
  <c r="E10" i="34"/>
  <c r="F10" i="34" s="1"/>
  <c r="E5" i="34"/>
  <c r="F5" i="34" s="1"/>
  <c r="E21" i="34"/>
  <c r="F21" i="34" s="1"/>
  <c r="E20" i="34"/>
  <c r="F20" i="34" s="1"/>
  <c r="E17" i="34"/>
  <c r="F17" i="34" s="1"/>
  <c r="E11" i="34"/>
  <c r="F11" i="34" s="1"/>
  <c r="E15" i="34"/>
  <c r="F15" i="34" s="1"/>
  <c r="E8" i="34"/>
  <c r="F8" i="34" s="1"/>
  <c r="E7" i="34"/>
  <c r="F7" i="34" s="1"/>
  <c r="E18" i="34"/>
  <c r="F18" i="34" s="1"/>
  <c r="H21" i="34"/>
  <c r="I21" i="34" s="1"/>
  <c r="H24" i="34"/>
  <c r="I24" i="34" s="1"/>
  <c r="H23" i="34"/>
  <c r="I23" i="34" s="1"/>
  <c r="D2" i="34"/>
  <c r="E16" i="34"/>
  <c r="F16" i="34" s="1"/>
  <c r="H6" i="34"/>
  <c r="I6" i="34" s="1"/>
  <c r="E4" i="34"/>
  <c r="F4" i="34" s="1"/>
  <c r="I17" i="29"/>
  <c r="H17" i="34"/>
  <c r="I17" i="34" s="1"/>
  <c r="I11" i="29"/>
  <c r="H11" i="34"/>
  <c r="I11" i="34" s="1"/>
  <c r="I16" i="29"/>
  <c r="H16" i="34"/>
  <c r="I16" i="34" s="1"/>
  <c r="I15" i="29"/>
  <c r="H15" i="34"/>
  <c r="I15" i="34" s="1"/>
  <c r="I14" i="29"/>
  <c r="H14" i="34"/>
  <c r="I14" i="34" s="1"/>
  <c r="I13" i="29"/>
  <c r="H13" i="34"/>
  <c r="I13" i="34" s="1"/>
  <c r="I12" i="29"/>
  <c r="H12" i="34"/>
  <c r="I12" i="34" s="1"/>
  <c r="I10" i="29"/>
  <c r="H10" i="34"/>
  <c r="I10" i="34" s="1"/>
  <c r="I9" i="29"/>
  <c r="H9" i="34"/>
  <c r="I9" i="34" s="1"/>
  <c r="I8" i="29"/>
  <c r="H8" i="34"/>
  <c r="I8" i="34" s="1"/>
  <c r="I7" i="29"/>
  <c r="H7" i="34"/>
  <c r="I7" i="34" s="1"/>
  <c r="I5" i="29"/>
  <c r="H5" i="34"/>
  <c r="I5" i="34" s="1"/>
  <c r="E2" i="29"/>
  <c r="F2" i="29" s="1"/>
  <c r="G2" i="34"/>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<sst xmlns="http://schemas.openxmlformats.org/spreadsheetml/2006/main" count="780" uniqueCount="457">
  <si>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</si>
  <si>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</si>
  <si>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</si>
  <si>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</si>
  <si>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</si>
  <si>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</si>
  <si>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</si>
  <si>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</si>
  <si>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</si>
  <si>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</si>
  <si>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</si>
  <si>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</si>
  <si>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</si>
  <si>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</si>
  <si>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</si>
  <si>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</si>
  <si>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</si>
  <si>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</si>
  <si>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</si>
  <si>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</si>
  <si>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</si>
  <si>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</si>
  <si>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 xml:space="preserve">1. PAD 2 inverters and Meter 2 tripped offline at 13:10 on 01/07 due to missing Phase A voltage. The technician found the main breaker open and closed it, restoring PAD 2 inverters at 09:00 on 01/08.
Additionally, Inverter 19 lost communication at 13:00 on 01/07 due to a thermal event in the power head control board. It was sent for RMA. A spare inverter was installed from storage, bringing the system back online at 13:15 on 01/08.
</t>
  </si>
  <si>
    <t>1.SR095378</t>
  </si>
  <si>
    <t>1.Site was taken offline from 9:00AM to 9:45AM on 01/27 as technician was onsite to collect DGA samples.</t>
  </si>
  <si>
    <t>1.SR095405</t>
  </si>
  <si>
    <t>1. Inverter 4 tripped offline at 07:45 AM on 01/06. The technician power cycled it, restoring operation at 13:00.
2. The site tripped offline at 22:00 on 01/29 and was restored at 07:00 on 01/30 after remotely closing the recloser.</t>
  </si>
  <si>
    <t>1.SR095329
2.SR096129</t>
  </si>
  <si>
    <t>SR096129</t>
  </si>
  <si>
    <t>1.Low generation due to weather/snow.</t>
  </si>
  <si>
    <t>1. The site tripped offline at 14:00 on 01/24 due to a utility outage. After power was restored, the technician re-energized the site, bringing it back online at 08:45 on 01/25.</t>
  </si>
  <si>
    <t>1.SR095966</t>
  </si>
  <si>
    <t>1. The site tripped offline at 06:45 AM and was restored at 08:30 AM on 01/04 after a remote recloser operation.
2. Inverter 2, Module 4 tripped offline at 10:15 on 01/26. PE replaced the fuse and re-energized the inverter. It was back online at 11:00 on 01/27.</t>
  </si>
  <si>
    <t>1.SR095306
2.SR095988</t>
  </si>
  <si>
    <t>SR095988</t>
  </si>
  <si>
    <t xml:space="preserve">1. The site was taken offline from 11:00 AM to 12:00 PM on 01/09 due to technicians was onsite to collect a DGA sample. </t>
  </si>
  <si>
    <t>1.SR095426</t>
  </si>
  <si>
    <t>1.Inverters tripped offline at 8:45AM on 01/08 due to Y3 bushing on the transformer has a leak and B phase BON fuse was blown and back online at 10:30AM on 01/09 after INCOM has been replaced the Bayonet Fuse and re-energized.
2. Inverter 2 did not start production on 01/26 due to a soft shutdown fault. The technician found the keypad bulging due to water and ice intrusion. It was replaced, and the inverter was re-energized and back online at 12:15 PM on the same day.</t>
  </si>
  <si>
    <t>1.SR095387
2.SR095983</t>
  </si>
  <si>
    <t>SR095983</t>
  </si>
  <si>
    <t>1. The site was taken offline from 10:45 AM to 12:00 PM on 01/09 as a technician was onsite to collect DGA samples</t>
  </si>
  <si>
    <t>1. SR095427</t>
  </si>
  <si>
    <t>1.Site was taken offline from 8:10 AM to 9:10 AM on 01/15 due to a technician checking in to replace the capacitors and SRV board in Inverter A.</t>
  </si>
  <si>
    <t>1.SR092409</t>
  </si>
  <si>
    <t>1.Site was tripped offline due to SEL relay open at 02:45 AM on 01/02. The technician stated that a utility pole was leaning on a tree. After being re-energized, the site was back online at 10:15 AM on 01/08.</t>
  </si>
  <si>
    <t>1.SR095216</t>
  </si>
  <si>
    <t>February Actual v. Expected</t>
  </si>
  <si>
    <t>February Actual v. Forecasted</t>
  </si>
  <si>
    <t>1. Inverter 6 has been offline since 02/14/25 due to night mode. On 02/17, the technician performed necessary tests, but it worked for about 5 minutes before returning to night mode. After contacting SE for assistance, it was concluded that the DC main board had an issue. The technician RMA'd Inverter 6, replaced it with a spare, and brought it back online at 09:45 AM the same day.
2. Site was taken offline from 04:00AM to 10:00AM on 02/19/25 to work on quarterly generator load testing.</t>
  </si>
  <si>
    <t>1. SR097092
2. SR097707</t>
  </si>
  <si>
    <t>SR097707</t>
  </si>
  <si>
    <t>1. Due to rain on 2/6 and heavy snow from 02/9 to 02/13, followed by snow shed until 02/23, there was low generation due to the weather."</t>
  </si>
  <si>
    <t>1. Inverter 3 was offline on 02/14/25 due to Phase C voltage dropping to zero at 01:00 AM. The technician found no AC voltage and discovered the main AC breaker was tripped. After resetting the breaker, the inverter was brought back online at 08:00 AM the same day.</t>
  </si>
  <si>
    <t>1. SR097002</t>
  </si>
  <si>
    <t xml:space="preserve">1. Site tripped offline at 22:56 on 02/16/25 and back online at 02:45 on 02/17/25 after a brife utility outage. 
</t>
  </si>
  <si>
    <t xml:space="preserve">1. SR097177
</t>
  </si>
  <si>
    <t>1. Due to rain on 02/6 and heavy snow from 02/9 to 02/13, followed by snow shed until 02/23, there was low generation due to the weather."</t>
  </si>
  <si>
    <t>1. Site was taken offline from 08:15 AM to 10:00 AM on 02/11/25. A technician was on-site to collect transformer DGA samples</t>
  </si>
  <si>
    <t>1. SR095399</t>
  </si>
  <si>
    <t>1. Site was taken offline from 12:00 to 13:30 on 02/11/25. A technician was on-site to collect transformer DGA samples</t>
  </si>
  <si>
    <t>1. SR095398</t>
  </si>
  <si>
    <t>1. Site tripped offline at 08:15AM on 02/17/25 due to a breaker trip and was brought back online at 11:15 AM after a remote reset on the same day.</t>
  </si>
  <si>
    <t>1. SR097186</t>
  </si>
  <si>
    <t>1. Due to rain on 02/6 and heavy snow from 02/9 to 02/13, followed by snow shed until 2/23, there was low generation due to the weather."</t>
  </si>
  <si>
    <t>1.Due to rain on 02/6 and heavy snow from 02/9 to 02/13, followed by snow shed until 02/23, there was low generation due to the weather.</t>
  </si>
  <si>
    <t>1. Site tripped offline at 09:00 on 02/26/25 and brought back online at 09:25AM after utility replaced blown fuse.</t>
  </si>
  <si>
    <t>1. SR097782</t>
  </si>
  <si>
    <t>1. Due to rain on 2/6 and heavy snow from 2/9 to 2/13, followed by snow shed until 2/23, there was low generation due to the weather.</t>
  </si>
  <si>
    <t>1. Site tripped offline at 12:15 on 02/02/25 and was brought back online at 3:00 PM after the technician restored AC power by closing the SEL recloser on the same day.
2. Site tripped offline at 14:15 on 02/21/25, and the technician brought it back online at 13:00 on 02/22/25 after clearing the carcass from the B-phase connections. National Grid was contacted to reset their recloser, and the SEL recloser was closed.</t>
  </si>
  <si>
    <t>1. SR096228
2. SR097629</t>
  </si>
  <si>
    <t>SR097629</t>
  </si>
  <si>
    <t>1. Site tripped offline at 12:15 PM on 02/02 due to a relay open. On 02/03, upon the technician's arrival, it was found that a blown fuse in the B-phase cutout and failed conductors . The site was brought back online at 12:15 PM on 02/12.
2. Site tripped offline at 02:15 PM on 02/21/25, and the technician brought it back online at 12:30PM on 02/22/25 after clearing the carcass from the B-phase connections. National Grid was contacted to reset their recloser, and the SEL recloser was closed.</t>
  </si>
  <si>
    <t>1.SR096225
2.SR097630</t>
  </si>
  <si>
    <t>SR097630</t>
  </si>
  <si>
    <t>1.Due to rain on 2/6 and heavy snow from 2/9 to 2/13, followed by snow shed until 2/23, there was low generation due to the weather.</t>
  </si>
  <si>
    <t>1.Due to rain on 02/6 and heavy snow from 2/9 to 02/13, followed by snow shed until 02/23, there was low generation due to the weather.</t>
  </si>
  <si>
    <t xml:space="preserve">1. Inverter 1, Combiner Box 4, tripped offline at 11:30 AM on 02/25. Upon the technician's arrival, it was found that ARC Card 2 had tripped, most likely due to melting snow. The strings on Cards 1 and 2 were swapped, and brought back online at 10:00 AM on 02/26.
2.Site tripped offline at 22:56 on 02/16/25 and back online at 02:45 on 02/17/25 after a brife utility outage. </t>
  </si>
  <si>
    <t>1.SR097765
2.SR097177</t>
  </si>
  <si>
    <t>SR097177</t>
  </si>
  <si>
    <t>March Actual v. Expected</t>
  </si>
  <si>
    <t>March Actual v. Forecasted</t>
  </si>
  <si>
    <t>1.Site tripped offline at 18:05 on 03/17,and later the site was remotely reclosed at 07:00 AM on 03/18  
2.Inverter D (4) did not start after site recloser closed in after a relay trip on 03/18. Technician dispatched to site and found the inverter was in sleep mode caused by the outage, after troubleshooting he reset the inverter, and it was back online at 11:45 on 03/18
3.Inverters 1 &amp; 2 tripped at 9:35am on 03/20 and were back online at 12:35 on 03/21 after technician replaced the back panel boards</t>
  </si>
  <si>
    <t>1.SR098683
2.SR098696
3.SR098774</t>
  </si>
  <si>
    <t>SR098696</t>
  </si>
  <si>
    <t>SR098774</t>
  </si>
  <si>
    <t>1. The site was offline from 10:42AM to 11:53AM on 03/20 due to technician was onsite to collect DGA samples.</t>
  </si>
  <si>
    <t>1. SR098794</t>
  </si>
  <si>
    <t>1 .Inverter 4 tripped offline at 12:45 on 03/28. The technician found that the inverter's keypad was not working, so he replaced it and restarted the inverter. The inverter came back online at 15:15 on 03/28.</t>
  </si>
  <si>
    <t>1. SR099104</t>
  </si>
  <si>
    <t>1. Inverter A was taken offline from 08:30am to 11:00am on 03/03 by technician to complete preventive maintenance.</t>
  </si>
  <si>
    <t>1. PM6833, SR098027</t>
  </si>
  <si>
    <t>1. Inverters 1 and 2 was offline from 10:45AM to 11:25AM due to technician was onsite for preventive maintenance.</t>
  </si>
  <si>
    <t>1. PM6834</t>
  </si>
  <si>
    <t>1. Inverters 1.1 to 1.5 were taken offline by technician during PM Event on 03/25 from 11:00am to 02:30pm.</t>
  </si>
  <si>
    <t>1. PM6837</t>
  </si>
  <si>
    <t xml:space="preserve">1. Inverter 2 tripped offline at 10:00 AM on 03/12. The technician later troubleshot the inverter, and the bottom DMGI was RMA'd. After the replacement of the bottom DMGI, the inverter came back online at 10:45 AM on 03/19.
2. The site was taken offline from 09:15 AM to 10:30 AM on 03/19/25. Due to technician was on site for a PM event.
</t>
  </si>
  <si>
    <t>1. SR098450
2. SR098450,PM6867</t>
  </si>
  <si>
    <t>SR098450</t>
  </si>
  <si>
    <t xml:space="preserve">1. During PM inspection on 03/14, technician observed that a fallen tree caused minor damage to 4 modules on the array and technician replaced 4 modules on 03/24. </t>
  </si>
  <si>
    <t>1. PM6957, SR098592</t>
  </si>
  <si>
    <t>1. Inverter 1 Combiner box 1 was offline from 11:45am to 02:00pm on 03/20 during the PM Inspection.</t>
  </si>
  <si>
    <t>1. PM7499</t>
  </si>
  <si>
    <t>1. The site was taken offline from 08:35 AM to 09:30 AM on 03/20/25. Due to technician was on site to take DGA samples.</t>
  </si>
  <si>
    <t>1. SR098793</t>
  </si>
  <si>
    <t>1. Meter experienced intermittent communication issue from 03/15 to 03/18, 03/23 and 03/24. But all the time the energy has been backfilled.</t>
  </si>
  <si>
    <t>1. SR098928, SR098611</t>
  </si>
  <si>
    <t>SR098611</t>
  </si>
  <si>
    <t>1.The site was taken offline from 07:30 AM to 08:15 AM  on 03/21 by technicians to collect transformer DGA samples.
2. Inverter 1 was offline from 13:45 to 14:15 on 03/20 due to technician was onsite for preventive maintenance.</t>
  </si>
  <si>
    <t>1.SR098815
2. PM6868</t>
  </si>
  <si>
    <t>1.The site was taken offline from 08:30 AM to 09:45 AM  on 03/21 by technicians to collect transformer DGA samples.
2.The inverters are offline from 10:00AM to 10:45AM on 03/27 for preventive maintenance work.</t>
  </si>
  <si>
    <t>1.SR098816
2.PM6838</t>
  </si>
  <si>
    <t>1.Inverter A was offline from 09:20 AM to 10:15 AM on 03/03 due to technicians onsite to replace the keypad on Inverter A.</t>
  </si>
  <si>
    <t>1.SR091674</t>
  </si>
  <si>
    <t>1. As a part of preventive maintenenace inverter 2 combiner box 5 was offline from 10:45AM to 11:30AM.</t>
  </si>
  <si>
    <t>1. PM6958</t>
  </si>
  <si>
    <t>1.The site lost communication at 2:30PM on restored at 3:30PM on 03/13.</t>
  </si>
  <si>
    <t xml:space="preserve">1.During PM inspection site was taken offline by technician from 12:29 PM to 02:15 PM on 03/20 and on 03/18 durig PM event CBs were experienced tripping on and offline. </t>
  </si>
  <si>
    <t>1.PM6839</t>
  </si>
  <si>
    <t>1.During PM inspection site was taken offline by technician from 02:10 PM  to 03:10 PM on 03/21.</t>
  </si>
  <si>
    <t>1.PM6886</t>
  </si>
  <si>
    <t>1.The site was taken offline by technician from 10:45 to 12:15 on 03/20 to collect transformer DGA samples.
2. Inverters tripped offline from 12:45 to 13:00 on 03/10 for preventive maintenance work.</t>
  </si>
  <si>
    <t>1.SR098795
2.PM6970</t>
  </si>
  <si>
    <t>April Actual v. Expected</t>
  </si>
  <si>
    <t>April Actual v. Forecasted</t>
  </si>
  <si>
    <t>1.Inverter 25 stopped communicating at 10:00 AM PDT on 04/07. On 04/08, a technician replaced the DC board fan, which had been causing the inverter to overheat and trip offline. The inverter has been operating normally since the repair
2.Inverter 25 stopped communicating at 11:15 PDT AM on 04/12, and production couldn’t be verified. On 04/15, a technician reset the breaker, restoring production, and noted overheating due to warm weather, requiring breaker replacement. On 04/23, Inverter 25 and its breaker were replaced; PAD 2 was offline from 14:01 to 15:12 during the work. Inverter 25 is producing normally from 15:00 PDT on 04/23.</t>
  </si>
  <si>
    <t>1.SR099489
2.SR099734</t>
  </si>
  <si>
    <t>SR099734</t>
  </si>
  <si>
    <t>1. Site tripped offline from 20:05 to 21:00 on 04/29 due to utility outage.
2.Inverter 2 tripped offline at 09:45AM on 04/30 and back online at 13:30 on the same day after technician re-energizing the inverter</t>
  </si>
  <si>
    <t>1.SR100677
2.SR100708</t>
  </si>
  <si>
    <t>SR100708</t>
  </si>
  <si>
    <t>1.Inverter 4 DC string 4 has tripped offline at 16:30 on 04/08. On 04/09, technician has reset the combiner box and it has resumed operation at 12:50PM.
2.Inverter 6 did not start due to a ground fault on 04/27. A technician reset the Ground Fault Breaker, and Inverter 6 was back online at 12:30PM on the same day.</t>
  </si>
  <si>
    <t>1.SR099544
2.SR100456</t>
  </si>
  <si>
    <t>SR100456</t>
  </si>
  <si>
    <t>1.Weather station stopped communicating at 22:45 on 04/04 and it regained communication at 06:30AM on 04/05 issue got self resolved</t>
  </si>
  <si>
    <t>1.SR099440</t>
  </si>
  <si>
    <t>1.Site was offline from 04:15AM to 7:45AM on 04/20 due to utility outage.</t>
  </si>
  <si>
    <t>1.SR100031</t>
  </si>
  <si>
    <t>1. SEL Relay 1 and the production meter stopped communicating at 12:30PM on 04/16, although SEL Relay 2 voltages remained available. Technicians visited the site and restored communication by resetting the DAS equipment. However, they found that Inverter 2 had not started production on 04/16. Power Electronics remotely diagnosed the issue and re-energized the inverter. Inverter 2 was back online at 17:20 EST the same day.</t>
  </si>
  <si>
    <t>1.SR099860, SR099891</t>
  </si>
  <si>
    <t>SR099891</t>
  </si>
  <si>
    <t>1.The site tripped offline at 1:00AM on 04/11 due to four utility poles being knocked down in an accident at the intersection of Chestnut and East Main Street. Power was restored and the site came back online at 2:30AM the same day.</t>
  </si>
  <si>
    <t>1.SR099671</t>
  </si>
  <si>
    <t>1.SR099669</t>
  </si>
  <si>
    <t>1.The site tripped offline at 1:00 AM on 04/11 due to four utility poles being knocked down in an accident at the intersection of Chestnut and East Main Street. Power was restored and the site came back online at 14:30 AM the same day.</t>
  </si>
  <si>
    <t>1.SR099670</t>
  </si>
  <si>
    <t>1. Site was taken offline from 07:15AM to 09:00AM on 04/04 due to technician checked in to collect DGA samples.</t>
  </si>
  <si>
    <t>1.SR099381</t>
  </si>
  <si>
    <t>1.Inverters and relay lost communication in both PowerTrack and Locus at 13:30 on 04/11. Later, AlsoEnergy remotely pushed data via the Aquisuite, updated the firmware, and successfully backfilled the missing data.</t>
  </si>
  <si>
    <t>1.SR099675</t>
  </si>
  <si>
    <t>1.Inverter D derated by approximately 220KW compared to its peers on 04/10. On 04/11 technician checked in and RMA'D DMGI of inverter D.</t>
  </si>
  <si>
    <t>1.SR099667</t>
  </si>
  <si>
    <t>1.The site tripped offline at 12:30PM on 04/10 and was restored at 17:00  on the same day after a technician reset the SEL relay.</t>
  </si>
  <si>
    <t>1.SR099654</t>
  </si>
  <si>
    <t>1.Site was taken offline from 9:30AM to 10:30AMon 04/04 due to technician checked in to collect DGA samples.</t>
  </si>
  <si>
    <t>1.SR099382</t>
  </si>
  <si>
    <t>May Actual v. Expected</t>
  </si>
  <si>
    <t>May Actual v. Forecasted</t>
  </si>
  <si>
    <t>1. Inverter 19 was offline from 11:30 on 05/21. The technician later power cycled the inverter, and it came back online at 11:00 on 05/28.
2. The site tripped offline at 01:00 on 05/01, and meter voltages dropped to 0. The site came back online at 06:00 on 05/01 after IEUA reset the breaker.</t>
  </si>
  <si>
    <t xml:space="preserve">1.SR101805
2.SR100801
</t>
  </si>
  <si>
    <t>SR100801</t>
  </si>
  <si>
    <t xml:space="preserve">1. Inverter 1 CB1 tripped offline at 12:37 on 05/07. The technician later power-cycled CB1, and it came back online at 15:45 on 05/07.
</t>
  </si>
  <si>
    <t xml:space="preserve">1. SR101118
</t>
  </si>
  <si>
    <t>1. Site production was low on 05/05, 05/06, 05/09, 05/15, 05/21, 05/22, 05/25, 05/29 and 05/31.</t>
  </si>
  <si>
    <t>1.The meter has not been capturing full inverter production since 10:30 on 05/11 due to a drop in Phase C voltage. Later, the technician found that Line C to ground was reading 100V, compared to Lines A and B at 120V. However, the issue was not present while the technician was on-site. The meter started capturing full production again from 14:00 on 05/12.</t>
  </si>
  <si>
    <t>1. SR101288</t>
  </si>
  <si>
    <t>1. The planned site outage has started at 09:00 on 05/08. The technician was able to close the recloser, and the site came back online at 09:15 on 05/09.
2. The site tripped offline at 17:50 on 05/31 and later came back online via remote reset at 18:35 on the same day.</t>
  </si>
  <si>
    <t>1. SR100570
2. SR102227</t>
  </si>
  <si>
    <t>SR102227</t>
  </si>
  <si>
    <t>1. Site production was low on 05/05, 05/06, 05/09, 05/21, 05/22, 05/23, and 05/31 due to rain.</t>
  </si>
  <si>
    <t>1. Site production was low on 05/05, 05/06, 05/09, 05/22, 05/29, and 05/31 due to rain.</t>
  </si>
  <si>
    <t>1. Site production was low on 05/04, 05/05, 05/06, 05/09, 05/10, 05/15, 05/21, 05/22, 05/25 and 05/31 due to rain.</t>
  </si>
  <si>
    <t xml:space="preserve">1. Inverter 1 CB3 tripped offline at 12:15 on 05/02. Later, the technician found an arc fault on Inverter 1 CB3, cleared the fault, and re-energized CB3. It came back online at 17:00 on 05/02.
</t>
  </si>
  <si>
    <t>1. SR100927</t>
  </si>
  <si>
    <t>1. Technician performed an overall inspection on the inverter D and concluded the replacement of DGMI’s is not necessary on 05/21.While on site technician has taken inverter C was offline from 09:15 to 13:45 and inverter D was offline from 09:15 to 13:30.</t>
  </si>
  <si>
    <t>1. SR099667</t>
  </si>
  <si>
    <t>1. Site production was low on 05/05, 05/06, 05/09, 05/15, 05/21, 05/22, 05/29, and 05/31 due to rain.</t>
  </si>
  <si>
    <t>1. The planned site outage has started at 05:00 on 05/28, and the site auto-reclosed at 20:45 on the same day.</t>
  </si>
  <si>
    <t>1. SR101411</t>
  </si>
  <si>
    <t>1. The planned site outage commenced at 05:00 on 05/28, and the site auto-reclosed at 20:45 on the same day.
2. Combiner Box 5 tripped offline at 09:30 on 05/19. Later, the technician found that the arc card had faulted and power-cycled the combiner box. It came back online at 16:45 on 05/19.</t>
  </si>
  <si>
    <t>1. SR101412
2. SR101678</t>
  </si>
  <si>
    <t>SR101678</t>
  </si>
  <si>
    <t>June Actual v. Expected</t>
  </si>
  <si>
    <t>June Actual v. Forecasted</t>
  </si>
  <si>
    <t xml:space="preserve">1. Inverter 7 is offline at 10:15 on 06/15 and back online at 10:15 on 06/16
2.Pyranometer may have an issue. It is reporting lower irradiance than previous years (635 vs 815 W/m^2 in 2024), and there appears to be shading on the pyranometer in the late afternoon, which was not present last year. See 3/19 - 3/21 in 2025.  </t>
  </si>
  <si>
    <t>1. SR103000
2.SR101179</t>
  </si>
  <si>
    <t>SR101179</t>
  </si>
  <si>
    <t xml:space="preserve">1. Site was offline at 7:30 on 06/15 and later came back online at 15:30 on 06/15
2. Site has tripped offline at 01:15am on 06/27 and came back online at 9:00am on 06/28
</t>
  </si>
  <si>
    <t>1. SR102992
2. SR103675</t>
  </si>
  <si>
    <t>SR103675</t>
  </si>
  <si>
    <t>1.Site production was low due to low irradiance on 06/14 ,06/26 ,06/28</t>
  </si>
  <si>
    <t>1. Site was offline from 10:00 on 06/11 to 12:00 on 06/12.
2. The site was offline from 17:00 to 20:00 on 06/18, and again from 11:00 on 06/19 to 08:00 on 06/20.</t>
  </si>
  <si>
    <t>1. SR102823
2. SR103158</t>
  </si>
  <si>
    <t>SR103158</t>
  </si>
  <si>
    <t>1. Site was offline from 08:00 to 15:15 on 06/02.
2. Site was offline from 08:15 to 09:30 on 06/20.
3. The site was offline from 07:15  on 06/21 to 11:15 on 06/22, and again from 17:45 on 06/23 to 16:45  on 06/24.</t>
  </si>
  <si>
    <t>1. SR102227
2. SR103204
3. 	SR103261</t>
  </si>
  <si>
    <t>SR103204</t>
  </si>
  <si>
    <t>SR103261</t>
  </si>
  <si>
    <t>1. Site was offline from 07:00 to 07:30 on 06/21.
2. Site was offline from 12:00 to 14:45 on 06/24 due to utility outage
3. On 06/03 string BCB 2-12 AND 2-17 were identified as offline while inspecting through Aerial Thermal Flight and on 06/12 technician replaced the fuse.</t>
  </si>
  <si>
    <t>1. SR103251
2. SR103392
3. SR102789</t>
  </si>
  <si>
    <t>SR103392</t>
  </si>
  <si>
    <t>SR102789</t>
  </si>
  <si>
    <t>1. Site was offline from 07:00 to 07:30 on 06/21.
2. Site was offline from 12:00 to 14:45 on 06/24 due to utility outage
3. On 06/03 string A3-3 was identified as offline while inspecting through Aerial Thermal Flight and on 06/12 technician replaced the fuse.</t>
  </si>
  <si>
    <t>1. SR103252
2. SR103393
3. SR102790</t>
  </si>
  <si>
    <t>SR103393</t>
  </si>
  <si>
    <t>SR102790</t>
  </si>
  <si>
    <t>1. Site was offline from 07:00 to 13:00 on 06/21.
2. Site was offline from 12:00 to 14:45 on 06/24 due to utility outage.</t>
  </si>
  <si>
    <t>1. SR103253
2. SR103394</t>
  </si>
  <si>
    <t>SR103394</t>
  </si>
  <si>
    <t>1. Site was taken offline by technician from 08:30 to 09:00 on 06/10  to take measurements for the new transformer</t>
  </si>
  <si>
    <t>1. SR101999</t>
  </si>
  <si>
    <t>1. Site was offline from 11:00 on 06/05 to 18:00 on 06/06 and was offline again from 13:00 on 06/06 to 09:00 on 06/07. 
2. The site was offline from 09:00 to 12:00 on 06/12. It was offline again from 12:15 on 06/12 to 14:00 on 06/13, and once more from 15:00 on 06/13 to 10:30 on 06/14. Additionally, S3 took the site offline from 07:00 to 12:00 on 06/16 to replace the recloser.</t>
  </si>
  <si>
    <t>1. SR102523
2. SR102822</t>
  </si>
  <si>
    <t>SR102822</t>
  </si>
  <si>
    <t>1.Site production was low due to low  on 06/14 ,06/26 ,06/28 due to rain and cloudy weather</t>
  </si>
  <si>
    <t>1.Site production was low due to low irradiance on 06/14 ,06/26 ,06/28 due to rain cloudy weather</t>
  </si>
  <si>
    <t>1. Site was offline from 13:00 on 06/26 to 08:15 on 06/27 due to utility outage.</t>
  </si>
  <si>
    <t>1. SR103612</t>
  </si>
  <si>
    <t>1. SR103613</t>
  </si>
  <si>
    <t>`</t>
  </si>
  <si>
    <t>July Actual v. Expected</t>
  </si>
  <si>
    <t>July Actual v. Forecasted</t>
  </si>
  <si>
    <t>1.Inverter 20 started late for production at 14:00 on 07/21. On 07/22 inverter didn't started and after troubleshooting inverter was RMA'd. It will remain offline until new inverter is installed.
2. The Weather station issue resolved from 07/07.
3. Site tripped offline at 22:30 on 07/09 and back online on 07/10.
4. Site was offline from 09:00 to 10:00 on 07/02</t>
  </si>
  <si>
    <t>1.SR104709 ,SR104853
2.SR101179
3. SR104233
4. PM9812</t>
  </si>
  <si>
    <t>SR104853</t>
  </si>
  <si>
    <t>SR104233</t>
  </si>
  <si>
    <t xml:space="preserve">1. Site tripped offline at 15:45 on 07/06 due to  thermal event in transformer. On 07/10 site came back online at 14:15
</t>
  </si>
  <si>
    <t>1.SR104057</t>
  </si>
  <si>
    <t>1. Site tripped offline at 13:45 on 07/06 and came back online at 07:45 on 07/07
2. Site tripped offline at 12:45 on 07/10 and came back online at 07:00 on 07/12 and again offline from 10:00 to 13:00 on the same day.
3. Site relay voltages dropped to zero at 23:00 on 07/31 and remains offline.</t>
  </si>
  <si>
    <t>1.	SR104052
2.SR104273
3. SR105462</t>
  </si>
  <si>
    <t>SR104273</t>
  </si>
  <si>
    <t>SR105462</t>
  </si>
  <si>
    <t>1. Actual vs expected delta is showing 27% due to expected energy recording low possibly due to data glitch (similar event observe last 2 years).</t>
  </si>
  <si>
    <t>1Inverter A started late for production at 08:45 on 07/02 and again at 08:00 on 07/06 due to a soft shutdown alert. On 07/07, a technician replaced the LCD board for Inverter A.
2.Inverter A tripped offline at 17:15 and reporting Soft Shutdown and it came back online at 09:45 on 07/15.</t>
  </si>
  <si>
    <t>1.	SR103873
2.SR104423</t>
  </si>
  <si>
    <t>SR104423</t>
  </si>
  <si>
    <t>1. Actual vs expected delta is showing 20% due to expected energy recording low possibly due to data glitch (similar event observe last 2 years).</t>
  </si>
  <si>
    <t>August Actual v. Expected</t>
  </si>
  <si>
    <t>August Actual v. Forecasted</t>
  </si>
  <si>
    <t>1. Site was offline from 04:00 on 08/20 to 08:30 on 08/20.
2. Meter 2 reported 0 production from 12:00 on 08/12 to 09:00 on 08/14.
3. Inverter 20 was offline from 14:00 on 07/21 to 13:00 on 08/08.</t>
  </si>
  <si>
    <t>1. SR106576
2. SR106228
3. SR104853</t>
  </si>
  <si>
    <t>SR106228</t>
  </si>
  <si>
    <t>1. Site was offline from 12:00 to 15:00 on 08/16.</t>
  </si>
  <si>
    <t>1. SR106381</t>
  </si>
  <si>
    <t xml:space="preserve">1. Site was taken offline by technician for relay replacement on 08/14 from 07:00 to 09:00. and again was taken offline from 05:00 to 09:00 on 08/16.
2. Site was offline from 22:00 on 07/31 to 09:00 on 08/01. </t>
  </si>
  <si>
    <t>1. SR106309
2. SR105462</t>
  </si>
  <si>
    <t>1. Site was offline from 08:00 to 13:45 on 08/29
2.  Inverter 1 combiner box 5 was offline from 12:30 on 08/26 to 06:45 on 08/27</t>
  </si>
  <si>
    <t>1. SR107176
2. SR106969</t>
  </si>
  <si>
    <t>SR106969</t>
  </si>
  <si>
    <t>1. Site was offline from 08:00 to 14:00 on 08/29</t>
  </si>
  <si>
    <t>1. SR107177</t>
  </si>
  <si>
    <t>1. Site was offline from 08:00 to 13:45 on 08/29</t>
  </si>
  <si>
    <t>1. SR107178</t>
  </si>
  <si>
    <t>1. Actual vs expected delta is showing 17% due to expected energy recording low possibly due to data glitch (similar event observe last 2 years).</t>
  </si>
  <si>
    <t>1. Actual vs expected delta is showing 21% due to expected energy recording low possibly due to data glitch (similar event observe last 2 years).</t>
  </si>
  <si>
    <t>1. inverter power limited to 200kw on 8/24 and resolved at 06:00 on 08/25.</t>
  </si>
  <si>
    <t>1. SR106816</t>
  </si>
  <si>
    <t>1. Trackers 1, 4, 117, 129, &amp; 132 were stuck for whole month.</t>
  </si>
  <si>
    <t>1. 	SR104836</t>
  </si>
  <si>
    <t xml:space="preserve">1. Site was offline from 09:15 on 08/13 to 10:15 on 08/14
2. Weather station(POA) has been reporting continuous fluctuations around midday, indicating inconsistent readings.  </t>
  </si>
  <si>
    <t>1. SR106230
2.SR107733</t>
  </si>
  <si>
    <t>SR107733</t>
  </si>
  <si>
    <t>September Actual v. Expected</t>
  </si>
  <si>
    <t>September Actual v. Forecasted</t>
  </si>
  <si>
    <t>1. 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</si>
  <si>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1. The plant is performing as expected. The forecasted (theoretical) values may appear lower and they are based on long-term average weather data (typically over 10–15 years). In contrast, the actual vs. expected generation reflects real-time weather conditions during the period, offering a more accurate representation of current performance.</t>
  </si>
  <si>
    <t>1. Site was offline from 08:00 on 09/17 to 10:00 on 09/18.
2. Inverter A was derated to 230 kW from 09:30 to 16:00 on 09/10</t>
  </si>
  <si>
    <t>1. SR108112
2. SR107776</t>
  </si>
  <si>
    <t>SR107776</t>
  </si>
  <si>
    <t>1. The plant is performing as expected. The forecasted (theoretical) values may appear lower and they are based on long-term average weather data (typically over 10–15 years). In contrast, the actual vs. expected generation reflects real-time weather conditions during the period, offering a more accurate representation of current performance.</t>
  </si>
  <si>
    <t>1. Site production was low on 09/07, 09/24 and 09/25 due to rain.</t>
  </si>
  <si>
    <t>1. Inverter 1 was offline from 07:15 to 17:15 on 09/12.</t>
  </si>
  <si>
    <t>1. SR107896</t>
  </si>
  <si>
    <t>1. Site was offline from 16:00 on 09/07 to 12:00 on 09/08.</t>
  </si>
  <si>
    <t>1. SR107582</t>
  </si>
  <si>
    <t>1. SR107583</t>
  </si>
  <si>
    <t>1. SR107584</t>
  </si>
  <si>
    <t>1. Inverter 1 has morning shading, and Inverter 2 has evening shading.</t>
  </si>
  <si>
    <t>1. SR109126</t>
  </si>
  <si>
    <t>1. Inverters experiecing intermittent communication issue throughout the month, production can be verified at meter level.
2. Site production was low on 09/07, 09/24 and 09/25 due to rain.</t>
  </si>
  <si>
    <t>1. SR107564</t>
  </si>
  <si>
    <t>1. Meter loosing communications intermittently, production can be verified at inverter level.
2. Site production was low on 09/07, 09/24 and 09/25 due to rain.</t>
  </si>
  <si>
    <t>1. SR107537</t>
  </si>
  <si>
    <t>Site production was low on 09/07, 09/24 and 09/25 due to rain.</t>
  </si>
  <si>
    <t>1. Inverter was derated to 215kW from 09:45 to 15:00 on 09/27.</t>
  </si>
  <si>
    <t>1. SR108677</t>
  </si>
  <si>
    <t>1. Site was offline from 08:00 to 15:00 on 09/17.</t>
  </si>
  <si>
    <t>1. SR108114</t>
  </si>
  <si>
    <t>1. Trackers 1, 4, 117, 129, &amp; 132 were stuck from 09/01 to 09/12.</t>
  </si>
  <si>
    <t>1. SR104836</t>
  </si>
  <si>
    <t>1. 4 trackers were stuck: #9, 12, 42, &amp; 52 for whole month.
2. Inverter 1 was offline from 12:37 to 13:47 on 09/26.</t>
  </si>
  <si>
    <t>1. SR108532
2. SR108617</t>
  </si>
  <si>
    <t>SR108617</t>
  </si>
  <si>
    <t>October Actual v. Expected</t>
  </si>
  <si>
    <t>October Actual v. Forecasted</t>
  </si>
  <si>
    <t>Status</t>
  </si>
  <si>
    <t>1.The following optimizers are not communicating and appear to be causing inverter underperformance:
Inv 04 - 4.0.1320, 4.0.1445
Inv 05 - 5.0.1328, 5.0.1346
Inv 14 - 14.0.1670
Inv 18 - 18.0.1521
Inv 28 - 28.0.480
Inv 29 - 29.0.143
Inv 32 - 32.0.887
Inv 33 - 33.0.654, 33.0.658, 33.0.682, 33.0.683 
Inv 35 - 35.0.12, 35.0.31</t>
  </si>
  <si>
    <t>1.	SR104098</t>
  </si>
  <si>
    <t>1.Workin progress</t>
  </si>
  <si>
    <t>1. Inverter 2 is derating at ~220kW from 08:45 on 10/04 and module temperature 1 has increased.</t>
  </si>
  <si>
    <t>1.	SR109022</t>
  </si>
  <si>
    <t>1.Closed</t>
  </si>
  <si>
    <t>1. Inverter 2 has afternoon to evening shading.</t>
  </si>
  <si>
    <t>1.Site was offline from 10:15 to 13:30 on 10/09 and again site was offline from 13:30 to 14:30 on 10/10</t>
  </si>
  <si>
    <t>1.	SR108726</t>
  </si>
  <si>
    <t>1. On 10/27, the technician was on site performing a PM inspection. During the inspection, Inverter A CB 1 was taken offline from 12:00 to 16:00, and String 20 was offline from 10/25 to 10/27.
2. Inverter b has afternoon to evening shading.</t>
  </si>
  <si>
    <t xml:space="preserve">1. PM9962, </t>
  </si>
  <si>
    <t>1. work in progress</t>
  </si>
  <si>
    <t>1. Inverter 1 CB 5 and inverter 2 CB 5 had afternoon shading</t>
  </si>
  <si>
    <t>1.Site was offline at 09:00 on 10/06 and it came back online at 13:15 on 10/11
2.- Weather Station stopped communicating on 10/18 at 11:21. It came back online at 13:00 on 10/21</t>
  </si>
  <si>
    <t>1.	SR108614
2.	SR109670</t>
  </si>
  <si>
    <t>1.Closed
2.Pending</t>
  </si>
  <si>
    <t>SR109670</t>
  </si>
  <si>
    <t>1.Site tripped offline from 09:15 to 13:15 on 10/17
2.Inverter tripped offline from 13:00 to 13:00  on 10/22 due to technician was on site</t>
  </si>
  <si>
    <t>1.SR109627
2.SR109642</t>
  </si>
  <si>
    <t>1.Closed
2.Closed</t>
  </si>
  <si>
    <t>SR109642</t>
  </si>
  <si>
    <t>1.Site tripped offline at 15:00 on 10/01 and it came back online at 11:00 on 10/02 
2. Inverter 1 has morning shading, and Inverter 2 has evening shading.
3.Site offline from 07:30 to 09:30 on 10/08</t>
  </si>
  <si>
    <t>1.SR108848
2.SR109126
3.SR109174</t>
  </si>
  <si>
    <t>1.Closed
2.Closed
3.Closed</t>
  </si>
  <si>
    <t>SR109126</t>
  </si>
  <si>
    <t>SR109174</t>
  </si>
  <si>
    <t xml:space="preserve">1.Site offline 07:30 to 09:30 on 10/08 </t>
  </si>
  <si>
    <t>1.SR109175</t>
  </si>
  <si>
    <t>1. Inverter D has evening shading and inverter B has morning shading.</t>
  </si>
  <si>
    <t>1. Inverter A has eveing shading.</t>
  </si>
  <si>
    <t>1. Inverter 1 was taken offline from 10:30 to 11:45 and inverter 2 was taken offline from 08:00 to 10:45 on 10/22 during PM.</t>
  </si>
  <si>
    <t>1. PM9703</t>
  </si>
  <si>
    <t>1. Completed</t>
  </si>
  <si>
    <t>1. Inverter 1 CB 4 has afternoon to evening shading.</t>
  </si>
  <si>
    <t>1. Inverter 1 CB 3 has heavy afternoon to evening shading</t>
  </si>
  <si>
    <t>1. Inverter 2 CB 5 has heavy shading troughot the day.</t>
  </si>
  <si>
    <t>1.Tracker 60 not operating: Terrasmart deploying resources on site, tentatively end of this week.
2. EV Solar checked in to test inverters , remotely turning them on and off on 10/03
3.Inverter 1 trippeed offline at 13:30 on 10/20 and it came back online at 08:45 on 10/22
4.Site tripped offline from 12:30 to 13:45 on 10/25</t>
  </si>
  <si>
    <t>1.	SR108528
2.SR108950
3.SR109750
4.SR109982</t>
  </si>
  <si>
    <t>1.Pending
2.Closed
3.Closed</t>
  </si>
  <si>
    <t>SR108950</t>
  </si>
  <si>
    <t>SR109750</t>
  </si>
  <si>
    <t>SR109982</t>
  </si>
  <si>
    <t>1.Site tripped offline from 12:30 to 13:45 on 10/25
2. EV Solar checked in to test inverters , remotely turning them on and off on 10/03</t>
  </si>
  <si>
    <t>1.	SR109983
2.SR108950</t>
  </si>
  <si>
    <t xml:space="preserve"> </t>
  </si>
  <si>
    <t>November Actual v. Expected</t>
  </si>
  <si>
    <t>November Actual v. Forecasted</t>
  </si>
  <si>
    <t>1.Site was taken offline from 03:30 to 10:00 on 11/19 due to planned outage.
2.Inverter 18 was offline from 11/18 and back online at 10:30 on 11/25.</t>
  </si>
  <si>
    <t>1.SR093438
2.SR111486</t>
  </si>
  <si>
    <t>SR111486</t>
  </si>
  <si>
    <t>1.Inverter 2 is having seasonal shading</t>
  </si>
  <si>
    <t>1.Site was offline from 06:30 to 11:30 on 11/05.</t>
  </si>
  <si>
    <t>1.SR110658</t>
  </si>
  <si>
    <t xml:space="preserve">1.Closed
</t>
  </si>
  <si>
    <t>1.Inverter 5 is underperforming approximately 150kW to 160kW due to seasonal shading.</t>
  </si>
  <si>
    <t>1.Inverter A is derated at 217kW 11/02 later back to production on 11/03</t>
  </si>
  <si>
    <t>1.SR110499</t>
  </si>
  <si>
    <t>1.Site was offline from 05:30 to 09:15 on 11/10.</t>
  </si>
  <si>
    <t>1.SR110849</t>
  </si>
  <si>
    <t>1. Inverter 1 CB 4 and CB5 have heavy seasonal shading in the afternoon</t>
  </si>
  <si>
    <t>1. Inverter D CB 1, CB 2 and CB 5 have seasonal shading in the afternoon
Inverter C CB 5 has heavy seasonal shading in the afternoon.</t>
  </si>
  <si>
    <t>1. Inverter 2 has heavy shading in afternoon.
2. Inverter 1 has afternoon to evenig shading.</t>
  </si>
  <si>
    <t>1. Inverter 2 CB 4 and CB 5 has heavy seasonal shading in the afternoon.</t>
  </si>
  <si>
    <t>1. Inverter A has evening shading.</t>
  </si>
  <si>
    <t>1. Inverter 1 CB 4 has aftertnoon to evening shading. and inverter has morning shading.</t>
  </si>
  <si>
    <t>1. Inverter 1 CB 3 has heavy aftertnoon to evening shading</t>
  </si>
  <si>
    <t>1.Site was offline from 06:30 to 11:30 on 11/05.
2.Inverter 1 is constantly derating at 210kW from 12:00 on 11/08 and later back to production on 11/09</t>
  </si>
  <si>
    <t>1.SR110659
2.SR110811</t>
  </si>
  <si>
    <t>SR110811</t>
  </si>
  <si>
    <t>1. The production was low on 11/10 due to bad weather.
2. Inverters has evening shading.
3. Inverter 1 was taken offline from 12:50 to 13:00 on 11/13 and inverter 2 was taken offline from 12:20 to 12:40 on 11/13 to update frimeware.</t>
  </si>
  <si>
    <t xml:space="preserve">
3. SR111020</t>
  </si>
  <si>
    <t>3. Closed</t>
  </si>
  <si>
    <t>1. Site was offline from 14:00 to 15:00 on 11/10 and 14:00 to 14:45 on 11/23 
2. All the trackers were not communicated from 10/31 to 09:00 on 11/04. From 11/04 to 11/07 they did not track accurately, but tracking resumed on 11/08. Tracker 11 remained stuck for the entire month. Again the trackers were not communicated on 11/19 and 11/23 and they stuck at -49 deg from  11:30 to 17:00 on 11/28.
3. Inverter was taken offline from 13:50 to 14:30 on 11/13 to update frimware</t>
  </si>
  <si>
    <t>1. SR111501
2. SR110389, SR108532
3. SR111020</t>
  </si>
  <si>
    <t>1. Closed
2. Closed
3. Closed</t>
  </si>
  <si>
    <t>SR110389</t>
  </si>
  <si>
    <t>SR108532</t>
  </si>
  <si>
    <t>SR111020</t>
  </si>
  <si>
    <t>December Actual v. Expected</t>
  </si>
  <si>
    <t>December Actual v. Forecasted</t>
  </si>
  <si>
    <t xml:space="preserve">1.Site was offline from 09:15 to 13:00 on 12/19 </t>
  </si>
  <si>
    <t>1.SR113216</t>
  </si>
  <si>
    <t>1.Site was offline at 07:00 on 12/09 and it came back online at 11:15 on 12/11
2.Site tripped offline at 19:41 on 12/19 and it came back online at 13:30 on 12/20</t>
  </si>
  <si>
    <t xml:space="preserve">1.SR1124202.
2.SR113307
</t>
  </si>
  <si>
    <t>1.closed
2.Closed</t>
  </si>
  <si>
    <t>SR113307</t>
  </si>
  <si>
    <t>1.Site production was low on 12/02 , 12/13 , 12/14 , 12/15 ,12/19 ,12/23 ,12/27 ,12/29 due to snow</t>
  </si>
  <si>
    <t>1.Site production was low on 12/02 , 12/14 , 12/15 ,12/19 ,12/23 ,12/27 ,12/29 due to snow</t>
  </si>
  <si>
    <t>1.Inverter 5 is underperforming approximately 150kW to 160kW due to seasonal shading.
2.Inverter 5 was offline on 12/14 , 12/27 ,12/28 ,12/29 due to snow/low irradiance.</t>
  </si>
  <si>
    <t>1.Site production was low on 12/02 , 12/14 ,12/19 , 12/23,12/29 due to snow</t>
  </si>
  <si>
    <t xml:space="preserve">1.Site was offline from 07:45 to 10:00 on 12/13 
2.Site tripped offline from 07:30 to 15:15 on 12/19 </t>
  </si>
  <si>
    <t>1.	SR112697
2.	SR113170</t>
  </si>
  <si>
    <t>SR113170</t>
  </si>
  <si>
    <t>1.Site was offline from 11:00 to 11:45 on 12/19
2.Inverter module 2.3 tripped offline at 13:00 on 12/22 and it came back online at 07:00 on 12/23
3.Site tripped offline from 06:45 to 08:30 on 12/25</t>
  </si>
  <si>
    <t>1.	SR113198
2.	SR113383
3.	SR113615</t>
  </si>
  <si>
    <t>1.closed
2.Closed
3.Closed</t>
  </si>
  <si>
    <t>SR113383</t>
  </si>
  <si>
    <t>SR113615</t>
  </si>
  <si>
    <t>1.Inverter 5 combiner box 5 tripped offline at 15:15 on 12/06 and it came back online on 12/08
2.Inverters tripped offline from 12:50 to 13:23 on 12/19
3.Inverter 1 combiner box 5 tripped offline at 15:15 on 12/25 and it came back online on 12/26</t>
  </si>
  <si>
    <t>1.SR112330
2.SR113221
3.SR113625</t>
  </si>
  <si>
    <t>SR113221</t>
  </si>
  <si>
    <t>SR113625</t>
  </si>
  <si>
    <t>1.Site production was low on 12/02 , 12/14,12/19,12/23,12/27,12/29 due to snow</t>
  </si>
  <si>
    <t xml:space="preserve">1.Inverter 2 tripped offline at 09:30 on 12/11 due to  Inverter remains offline, DMGI and capacitors need to be replaced and it came back online at 12:30 on 12/17
</t>
  </si>
  <si>
    <t>1.SR112604</t>
  </si>
  <si>
    <t>1. Inverter 1 CB 4 and CB5 have heavy seasonal shading in the afternoon
2.Site production was low on 12/02 , 12/14,12/19,12/23,12/29 due to snow</t>
  </si>
  <si>
    <t>1. Inverter D CB 1, CB 2 and CB 5 have seasonal shading in the afternoon
Inverter C CB 5 has heavy seasonal shading in the afternoon.
2.Site production was low on 12/02,12/14,12/19,12/23,12/27,12/29 due to snow</t>
  </si>
  <si>
    <t>1. Inverter 2 has heavy shading in afternoon.
2. Inverter 1 has afternoon to evenig shading.
3.Site production was low on 12/02,12/14,12/19,12/23,12/27,12/29 due to snow</t>
  </si>
  <si>
    <t>1. Inverter 2 CB 4 and CB 5 has heavy seasonal shading in the afternoon.
2.Site production was low on 12/02 ,12/06, 12/14,12/19,12/23,12/29 due to snow</t>
  </si>
  <si>
    <t>1. Inverter D has evening shading and inverter B has morning shading.
2.Site production was low on 12/02 ,12/06, 12/14,12/19,12/23,12/29 due to snow</t>
  </si>
  <si>
    <t>1. Inverter A has evening shading.
2.Site production was low on 12/02 ,12/06, 12/14,12/19,12/23,12/29 due to snow</t>
  </si>
  <si>
    <t>1.Site production was low on 12/02 ,12/06, 12/14,12/19,12/23,12/27,12/29 due to snow</t>
  </si>
  <si>
    <t>1.Site production was low on 12/02,12/14,12/19,12/23,12/29 due to snow</t>
  </si>
  <si>
    <t>1.Inverters has evening shading.
2. All trackers are stuck in stow mode (listed as Safety Stow in the Terratrack portal) starting 12/26. ackingOn 12/29 all units are tracking
3.Site tripped offline from 07:45 to 09:30 on 12/30
4.Site tripped offline from 09:45 to 15:15 on 12/09</t>
  </si>
  <si>
    <t>2.	SR113685
3.	SR113820
4.SR112425</t>
  </si>
  <si>
    <t>2.Closed
3.Closed
4.Closed</t>
  </si>
  <si>
    <t>SR113820</t>
  </si>
  <si>
    <t>SR112425</t>
  </si>
  <si>
    <t>1.Site tripped offline from 09:45 to 15:45 on 12/09
2.Site tripped offline from 07:45 to 09:45 on 12/30</t>
  </si>
  <si>
    <t>1.	SR112427
2.SR113821</t>
  </si>
  <si>
    <t>SR113821</t>
  </si>
  <si>
    <t>1.CBs 4 and 17 appear to be underperforming by 10-15% compared to peers. CB 15 appears to be down 5-10%.
2.Site tripped offline at 23:00 on 12/28 and back online at 11:15 on 12/30</t>
  </si>
  <si>
    <t>1.SR113161
2.SR113703</t>
  </si>
  <si>
    <t>1.Pending
2.Closed</t>
  </si>
  <si>
    <t>SR113703</t>
  </si>
  <si>
    <t>Portfolio:</t>
  </si>
  <si>
    <t>38 DN</t>
  </si>
  <si>
    <t>Site DAS Name</t>
  </si>
  <si>
    <t>Update</t>
  </si>
  <si>
    <t>DAS</t>
  </si>
  <si>
    <t>6th St.</t>
  </si>
  <si>
    <t>CA</t>
  </si>
  <si>
    <t>AEF</t>
  </si>
  <si>
    <t>PowerTrack</t>
  </si>
  <si>
    <t>Barton Acres</t>
  </si>
  <si>
    <t>MA</t>
  </si>
  <si>
    <t>Bowden</t>
  </si>
  <si>
    <t>Blair Wire Village</t>
  </si>
  <si>
    <t>Boutilier</t>
  </si>
  <si>
    <t>Cherry Valley</t>
  </si>
  <si>
    <t>Cohasse</t>
  </si>
  <si>
    <t>ISM Dighton Solar 2</t>
  </si>
  <si>
    <t>Dudley River 1</t>
  </si>
  <si>
    <t>Dudley River 2</t>
  </si>
  <si>
    <t>Dudley River 3</t>
  </si>
  <si>
    <t>Flint Pond</t>
  </si>
  <si>
    <t>Incom</t>
  </si>
  <si>
    <t>JH</t>
  </si>
  <si>
    <t>Ledeaux</t>
  </si>
  <si>
    <t>Palombo A</t>
  </si>
  <si>
    <t>Palombo B</t>
  </si>
  <si>
    <t>St Josephs Church</t>
  </si>
  <si>
    <t>Sunset A</t>
  </si>
  <si>
    <t>Sunset B</t>
  </si>
  <si>
    <t>Woodchuck</t>
  </si>
  <si>
    <t>Spafford 1 - Rose Hill Road Solar 1 LLC</t>
  </si>
  <si>
    <t>NY: Skaneateles - Spafford 1 - (PW)</t>
  </si>
  <si>
    <t>NY</t>
  </si>
  <si>
    <t>Spafford 2 - Rose Hill Road Solar 2 LLC</t>
  </si>
  <si>
    <t>NY: Skaneateles - Spafford 2 - (PW)</t>
  </si>
  <si>
    <t>38DN New Hartford - New Paris Road Solar 1, LLC,</t>
  </si>
  <si>
    <t>NY: New Hartford - 4001 NY-12 (IRA)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</si>
</sst>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0">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family val="2"/>
      <scheme val="minor"/>
    </font>
    <font>
      <b/>
      <sz val="11"/>
      <name val="Calibri"/>
      <family val="2"/>
      <scheme val="minor"/>
    </font>
    <font>
      <b/>
      <sz val="11"/>
      <color rgb="FFFF0000"/>
      <name val="Calibri"/>
      <family val="2"/>
      <scheme val="minor"/>
    </font>
    <font>
      <u/>
      <sz val="10"/>
      <color theme="10"/>
      <name val="Arial"/>
      <family val="2"/>
    </font>
  </fonts>
  <fills count="47">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rgb="FFFFF2CC"/>
        <bgColor rgb="FF000000"/>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9" fillId="0" borderId="0" applyNumberFormat="0" applyFill="0" applyBorder="0" applyAlignment="0" applyProtection="0"/>
  </cellStyleXfs>
  <cellXfs count="118">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49" fontId="29" fillId="0" borderId="0" xfId="0" applyNumberFormat="1" applyFont="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31" fillId="0" borderId="0" xfId="0" applyFont="1"/>
    <xf numFmtId="0" fontId="26" fillId="0" borderId="0" xfId="0" applyFont="1"/>
    <xf numFmtId="49" fontId="29" fillId="0" borderId="0" xfId="0" applyNumberFormat="1" applyFont="1" applyAlignment="1">
      <alignment vertical="center" wrapText="1"/>
    </xf>
    <xf numFmtId="0" fontId="0" fillId="0" borderId="0" xfId="0" applyAlignment="1">
      <alignment horizontal="center" wrapText="1"/>
    </xf>
    <xf numFmtId="49" fontId="31" fillId="0" borderId="0" xfId="2" applyNumberFormat="1" applyFont="1" applyFill="1" applyBorder="1" applyAlignment="1">
      <alignment vertical="top" wrapText="1"/>
    </xf>
    <xf numFmtId="164" fontId="29" fillId="0" borderId="0" xfId="1" applyNumberFormat="1" applyFont="1" applyFill="1" applyBorder="1" applyAlignment="1">
      <alignment horizontal="center" vertical="center"/>
    </xf>
    <xf numFmtId="0" fontId="0" fillId="0" borderId="0" xfId="0" applyAlignment="1">
      <alignment horizontal="center" vertical="center"/>
    </xf>
    <xf numFmtId="0" fontId="23" fillId="0" borderId="0" xfId="43" applyFont="1" applyAlignment="1">
      <alignment horizontal="center" vertical="center"/>
    </xf>
    <xf numFmtId="0" fontId="0" fillId="0" borderId="0" xfId="0" applyAlignment="1">
      <alignment horizontal="left" wrapText="1"/>
    </xf>
    <xf numFmtId="0" fontId="30" fillId="43" borderId="11" xfId="0" applyFont="1" applyFill="1" applyBorder="1" applyAlignment="1">
      <alignment horizontal="center" vertical="center" wrapText="1"/>
    </xf>
    <xf numFmtId="0" fontId="25" fillId="41" borderId="11" xfId="0" applyFont="1" applyFill="1" applyBorder="1" applyAlignment="1">
      <alignment horizontal="center" vertical="center" wrapText="1"/>
    </xf>
    <xf numFmtId="9" fontId="25" fillId="41" borderId="11" xfId="2" applyFont="1" applyFill="1" applyBorder="1" applyAlignment="1">
      <alignment horizontal="center" vertical="center" wrapText="1"/>
    </xf>
    <xf numFmtId="0" fontId="25" fillId="42" borderId="11" xfId="0" applyFont="1" applyFill="1" applyBorder="1" applyAlignment="1">
      <alignment horizontal="center"/>
    </xf>
    <xf numFmtId="0" fontId="25" fillId="42" borderId="11" xfId="0" applyFont="1" applyFill="1" applyBorder="1" applyAlignment="1">
      <alignment horizontal="center" vertical="center" wrapText="1"/>
    </xf>
    <xf numFmtId="9" fontId="25" fillId="42" borderId="11" xfId="2" applyFont="1" applyFill="1" applyBorder="1" applyAlignment="1">
      <alignment horizontal="center" vertical="center" wrapText="1"/>
    </xf>
    <xf numFmtId="0" fontId="25" fillId="42" borderId="11" xfId="0" applyFont="1" applyFill="1" applyBorder="1" applyAlignment="1">
      <alignment horizontal="center" vertical="center"/>
    </xf>
    <xf numFmtId="49" fontId="28" fillId="40" borderId="1" xfId="0" applyNumberFormat="1" applyFont="1" applyFill="1" applyBorder="1" applyAlignment="1">
      <alignment horizontal="center" vertical="center"/>
    </xf>
    <xf numFmtId="49" fontId="29" fillId="40" borderId="1" xfId="0" applyNumberFormat="1" applyFont="1" applyFill="1" applyBorder="1" applyAlignment="1">
      <alignment horizontal="center" vertical="center"/>
    </xf>
    <xf numFmtId="164" fontId="29" fillId="44" borderId="1" xfId="1" applyNumberFormat="1" applyFont="1" applyFill="1" applyBorder="1" applyAlignment="1">
      <alignment horizontal="center" vertical="center"/>
    </xf>
    <xf numFmtId="3" fontId="31" fillId="3" borderId="1" xfId="0" applyNumberFormat="1" applyFont="1" applyFill="1" applyBorder="1" applyAlignment="1">
      <alignment horizontal="right" vertical="center"/>
    </xf>
    <xf numFmtId="9" fontId="31" fillId="3" borderId="1" xfId="2" applyFont="1" applyFill="1" applyBorder="1" applyAlignment="1">
      <alignment horizontal="center" vertical="center"/>
    </xf>
    <xf numFmtId="3" fontId="31" fillId="4" borderId="1" xfId="1" applyNumberFormat="1" applyFont="1" applyFill="1" applyBorder="1" applyAlignment="1">
      <alignment vertical="center"/>
    </xf>
    <xf numFmtId="9" fontId="31" fillId="37" borderId="1" xfId="2" applyFont="1" applyFill="1" applyBorder="1" applyAlignment="1">
      <alignment horizontal="center" vertical="center"/>
    </xf>
    <xf numFmtId="49" fontId="28" fillId="0" borderId="1" xfId="0" applyNumberFormat="1" applyFont="1" applyBorder="1" applyAlignment="1">
      <alignment horizontal="center" vertical="center"/>
    </xf>
    <xf numFmtId="49" fontId="29" fillId="0" borderId="1" xfId="0" applyNumberFormat="1" applyFont="1" applyBorder="1" applyAlignment="1">
      <alignment horizontal="center" vertical="center"/>
    </xf>
    <xf numFmtId="164" fontId="29" fillId="0" borderId="1" xfId="1" applyNumberFormat="1" applyFont="1" applyBorder="1" applyAlignment="1">
      <alignment horizontal="center" vertical="center"/>
    </xf>
    <xf numFmtId="3" fontId="31" fillId="0" borderId="1" xfId="0" applyNumberFormat="1" applyFont="1" applyBorder="1" applyAlignment="1">
      <alignment horizontal="right" vertical="center"/>
    </xf>
    <xf numFmtId="9" fontId="31" fillId="0" borderId="1" xfId="2" applyFont="1" applyFill="1" applyBorder="1" applyAlignment="1">
      <alignment horizontal="center" vertical="center"/>
    </xf>
    <xf numFmtId="3" fontId="31" fillId="0" borderId="1" xfId="1" applyNumberFormat="1" applyFont="1" applyFill="1" applyBorder="1" applyAlignment="1">
      <alignment vertical="center"/>
    </xf>
    <xf numFmtId="0" fontId="35" fillId="40" borderId="1" xfId="0" applyFont="1" applyFill="1" applyBorder="1" applyAlignment="1">
      <alignment horizontal="center"/>
    </xf>
    <xf numFmtId="0" fontId="29" fillId="40" borderId="1" xfId="0" applyFont="1" applyFill="1" applyBorder="1" applyAlignment="1">
      <alignment horizontal="center" vertical="center"/>
    </xf>
    <xf numFmtId="0" fontId="28" fillId="0" borderId="1" xfId="0" applyFont="1" applyBorder="1" applyAlignment="1">
      <alignment horizontal="center" vertical="center"/>
    </xf>
    <xf numFmtId="0" fontId="29" fillId="0" borderId="1" xfId="0" applyFont="1" applyBorder="1" applyAlignment="1">
      <alignment horizontal="center" vertical="center"/>
    </xf>
    <xf numFmtId="0" fontId="28" fillId="40" borderId="1" xfId="0" applyFont="1" applyFill="1" applyBorder="1" applyAlignment="1">
      <alignment horizontal="center" vertical="center"/>
    </xf>
    <xf numFmtId="0" fontId="35" fillId="40" borderId="1" xfId="0" applyFont="1" applyFill="1" applyBorder="1" applyAlignment="1">
      <alignment horizontal="left"/>
    </xf>
    <xf numFmtId="0" fontId="28" fillId="0" borderId="1" xfId="0" applyFont="1" applyBorder="1" applyAlignment="1">
      <alignment horizontal="left" vertical="center"/>
    </xf>
    <xf numFmtId="0" fontId="28" fillId="40" borderId="1" xfId="0" applyFont="1" applyFill="1" applyBorder="1" applyAlignment="1">
      <alignment horizontal="left" vertical="center"/>
    </xf>
    <xf numFmtId="49" fontId="28" fillId="40" borderId="1" xfId="0" applyNumberFormat="1" applyFont="1" applyFill="1" applyBorder="1" applyAlignment="1">
      <alignment horizontal="left" vertical="center"/>
    </xf>
    <xf numFmtId="49" fontId="28" fillId="0" borderId="1" xfId="0" applyNumberFormat="1" applyFont="1" applyBorder="1" applyAlignment="1">
      <alignment horizontal="left" vertical="center"/>
    </xf>
    <xf numFmtId="49" fontId="31" fillId="38" borderId="1" xfId="2" applyNumberFormat="1" applyFont="1" applyFill="1" applyBorder="1" applyAlignment="1">
      <alignment vertical="top" wrapText="1"/>
    </xf>
    <xf numFmtId="49" fontId="29" fillId="0" borderId="1" xfId="0" applyNumberFormat="1" applyFont="1" applyBorder="1" applyAlignment="1">
      <alignment vertical="center" wrapText="1"/>
    </xf>
    <xf numFmtId="49" fontId="28" fillId="0" borderId="1" xfId="0" applyNumberFormat="1" applyFont="1" applyBorder="1" applyAlignment="1">
      <alignment vertical="center" wrapText="1"/>
    </xf>
    <xf numFmtId="0" fontId="37" fillId="0" borderId="0" xfId="0" applyFont="1" applyAlignment="1">
      <alignment horizontal="left" vertical="top"/>
    </xf>
    <xf numFmtId="0" fontId="38" fillId="0" borderId="0" xfId="0" applyFont="1" applyAlignment="1">
      <alignment horizontal="left" vertical="top"/>
    </xf>
    <xf numFmtId="0" fontId="37" fillId="45" borderId="1" xfId="0" applyFont="1" applyFill="1" applyBorder="1" applyAlignment="1">
      <alignment horizontal="left" vertical="top"/>
    </xf>
    <xf numFmtId="49" fontId="36" fillId="38" borderId="1" xfId="2" applyNumberFormat="1" applyFont="1" applyFill="1" applyBorder="1" applyAlignment="1">
      <alignment horizontal="left" vertical="top" wrapText="1"/>
    </xf>
    <xf numFmtId="0" fontId="36" fillId="0" borderId="0" xfId="0" applyFont="1" applyAlignment="1">
      <alignment horizontal="left" vertical="top"/>
    </xf>
    <xf numFmtId="49" fontId="1" fillId="0" borderId="1" xfId="0" applyNumberFormat="1" applyFont="1" applyBorder="1" applyAlignment="1">
      <alignment horizontal="left" vertical="top" wrapText="1"/>
    </xf>
    <xf numFmtId="49" fontId="31" fillId="38" borderId="1" xfId="2" applyNumberFormat="1" applyFont="1" applyFill="1" applyBorder="1" applyAlignment="1">
      <alignment horizontal="left" vertical="top" wrapText="1"/>
    </xf>
    <xf numFmtId="49" fontId="29" fillId="0" borderId="1" xfId="0" applyNumberFormat="1" applyFont="1" applyBorder="1" applyAlignment="1">
      <alignment horizontal="left" vertical="top" wrapText="1"/>
    </xf>
    <xf numFmtId="49" fontId="28" fillId="0" borderId="1" xfId="0" applyNumberFormat="1" applyFont="1" applyBorder="1" applyAlignment="1">
      <alignment horizontal="left" vertical="top" wrapText="1"/>
    </xf>
    <xf numFmtId="49" fontId="29" fillId="0" borderId="1" xfId="0" applyNumberFormat="1" applyFont="1" applyBorder="1" applyAlignment="1">
      <alignment vertical="top" wrapText="1"/>
    </xf>
    <xf numFmtId="9" fontId="31" fillId="0" borderId="1" xfId="2" applyFont="1" applyBorder="1" applyAlignment="1">
      <alignment horizontal="center" vertical="center"/>
    </xf>
    <xf numFmtId="3" fontId="31" fillId="0" borderId="1" xfId="1" applyNumberFormat="1" applyFont="1" applyBorder="1" applyAlignment="1">
      <alignment vertical="center"/>
    </xf>
    <xf numFmtId="3" fontId="0" fillId="0" borderId="0" xfId="0" applyNumberFormat="1"/>
    <xf numFmtId="164" fontId="0" fillId="0" borderId="0" xfId="0" applyNumberFormat="1"/>
    <xf numFmtId="49" fontId="31" fillId="38" borderId="1" xfId="2" applyNumberFormat="1" applyFont="1" applyFill="1" applyBorder="1" applyAlignment="1">
      <alignment wrapText="1"/>
    </xf>
    <xf numFmtId="49" fontId="28" fillId="0" borderId="1" xfId="0" applyNumberFormat="1" applyFont="1" applyBorder="1" applyAlignment="1">
      <alignment vertical="top" wrapText="1"/>
    </xf>
    <xf numFmtId="49" fontId="24" fillId="0" borderId="1" xfId="0" applyNumberFormat="1" applyFont="1" applyBorder="1" applyAlignment="1">
      <alignment vertical="center" wrapText="1"/>
    </xf>
    <xf numFmtId="49" fontId="24" fillId="0" borderId="1" xfId="0" applyNumberFormat="1" applyFont="1" applyBorder="1" applyAlignment="1">
      <alignment horizontal="left" vertical="top" wrapText="1"/>
    </xf>
    <xf numFmtId="0" fontId="37" fillId="45" borderId="1" xfId="0" applyFont="1" applyFill="1" applyBorder="1" applyAlignment="1">
      <alignment horizontal="center" vertical="center"/>
    </xf>
    <xf numFmtId="49" fontId="29" fillId="0" borderId="1" xfId="0" applyNumberFormat="1" applyFont="1" applyBorder="1" applyAlignment="1">
      <alignment horizontal="left" vertical="center" wrapText="1"/>
    </xf>
    <xf numFmtId="49" fontId="39" fillId="38" borderId="1" xfId="45" applyNumberFormat="1" applyFill="1" applyBorder="1" applyAlignment="1">
      <alignment horizontal="left" vertical="top" wrapText="1"/>
    </xf>
    <xf numFmtId="49" fontId="39" fillId="0" borderId="1" xfId="45" applyNumberFormat="1" applyBorder="1" applyAlignment="1">
      <alignment horizontal="left" vertical="center" wrapText="1"/>
    </xf>
    <xf numFmtId="49" fontId="39" fillId="0" borderId="1" xfId="45" applyNumberFormat="1" applyBorder="1" applyAlignment="1">
      <alignment horizontal="left" vertical="top" wrapText="1"/>
    </xf>
    <xf numFmtId="0" fontId="39" fillId="0" borderId="0" xfId="45" applyAlignment="1">
      <alignment vertical="top"/>
    </xf>
    <xf numFmtId="0" fontId="39" fillId="0" borderId="0" xfId="45"/>
    <xf numFmtId="0" fontId="0" fillId="0" borderId="0" xfId="0" applyAlignment="1">
      <alignment horizontal="left" vertical="top" wrapText="1"/>
    </xf>
    <xf numFmtId="0" fontId="35" fillId="40" borderId="1" xfId="0" applyFont="1" applyFill="1" applyBorder="1" applyAlignment="1">
      <alignment horizontal="center" vertical="center"/>
    </xf>
    <xf numFmtId="0" fontId="0" fillId="0" borderId="0" xfId="0" applyAlignment="1">
      <alignment horizontal="left" vertical="top"/>
    </xf>
    <xf numFmtId="0" fontId="39" fillId="0" borderId="0" xfId="45" applyAlignment="1">
      <alignment horizontal="left" vertical="top"/>
    </xf>
    <xf numFmtId="49" fontId="39" fillId="38" borderId="1" xfId="45" applyNumberFormat="1" applyFill="1" applyBorder="1" applyAlignment="1">
      <alignment vertical="top" wrapText="1"/>
    </xf>
    <xf numFmtId="49" fontId="39" fillId="0" borderId="1" xfId="45" applyNumberFormat="1" applyBorder="1" applyAlignment="1">
      <alignment vertical="top" wrapText="1"/>
    </xf>
    <xf numFmtId="0" fontId="31" fillId="46" borderId="1" xfId="0" applyFont="1" applyFill="1" applyBorder="1" applyAlignment="1">
      <alignment horizontal="left" vertical="top" wrapText="1"/>
    </xf>
    <xf numFmtId="0" fontId="39" fillId="46" borderId="1" xfId="45" applyFill="1" applyBorder="1" applyAlignment="1">
      <alignment horizontal="left" vertical="top" wrapText="1"/>
    </xf>
    <xf numFmtId="49" fontId="24" fillId="38" borderId="1" xfId="2" applyNumberFormat="1" applyFont="1" applyFill="1" applyBorder="1" applyAlignment="1">
      <alignment horizontal="left" vertical="top" wrapText="1"/>
    </xf>
    <xf numFmtId="49" fontId="36" fillId="38" borderId="1" xfId="2" applyNumberFormat="1" applyFont="1" applyFill="1" applyBorder="1" applyAlignment="1">
      <alignment vertical="top" wrapText="1"/>
    </xf>
    <xf numFmtId="49" fontId="28" fillId="0" borderId="1" xfId="0" applyNumberFormat="1" applyFont="1" applyBorder="1" applyAlignment="1">
      <alignment horizontal="left" vertical="center" wrapText="1"/>
    </xf>
    <xf numFmtId="0" fontId="0" fillId="0" borderId="0" xfId="0" applyAlignment="1">
      <alignment vertical="top"/>
    </xf>
    <xf numFmtId="164" fontId="33" fillId="0" borderId="0" xfId="0" applyNumberFormat="1" applyFont="1"/>
    <xf numFmtId="0" fontId="23" fillId="0" borderId="0" xfId="43" applyFont="1" applyAlignment="1">
      <alignment horizontal="left" wrapText="1"/>
    </xf>
    <xf numFmtId="0" fontId="23" fillId="0" borderId="0" xfId="43" applyFont="1"/>
    <xf numFmtId="3" fontId="31" fillId="3" borderId="1" xfId="0" applyNumberFormat="1" applyFont="1" applyFill="1" applyBorder="1" applyAlignment="1">
      <alignment horizontal="right" vertical="center" wrapText="1"/>
    </xf>
    <xf numFmtId="49" fontId="39" fillId="0" borderId="1" xfId="45" applyNumberFormat="1" applyBorder="1" applyAlignment="1">
      <alignment vertical="center" wrapText="1"/>
    </xf>
    <xf numFmtId="3" fontId="31" fillId="3" borderId="1" xfId="0" applyNumberFormat="1" applyFont="1" applyFill="1" applyBorder="1" applyAlignment="1">
      <alignment horizontal="center" vertical="center"/>
    </xf>
    <xf numFmtId="3" fontId="31" fillId="4" borderId="1" xfId="1" applyNumberFormat="1" applyFont="1" applyFill="1" applyBorder="1" applyAlignment="1">
      <alignment horizontal="center" vertical="center"/>
    </xf>
    <xf numFmtId="3" fontId="31" fillId="0" borderId="1" xfId="0" applyNumberFormat="1" applyFont="1" applyBorder="1" applyAlignment="1">
      <alignment horizontal="center" vertical="center"/>
    </xf>
    <xf numFmtId="3" fontId="31" fillId="0" borderId="1" xfId="1" applyNumberFormat="1" applyFont="1" applyFill="1" applyBorder="1" applyAlignment="1">
      <alignment horizontal="center" vertical="center"/>
    </xf>
    <xf numFmtId="0" fontId="39" fillId="0" borderId="0" xfId="45" applyAlignment="1">
      <alignment vertical="top" wrapText="1"/>
    </xf>
    <xf numFmtId="3" fontId="33" fillId="0" borderId="0" xfId="0" applyNumberFormat="1" applyFont="1"/>
    <xf numFmtId="0" fontId="6" fillId="0" borderId="0" xfId="0" applyFont="1" applyAlignment="1">
      <alignment vertical="top"/>
    </xf>
    <xf numFmtId="0" fontId="6" fillId="45" borderId="1" xfId="0" applyFont="1" applyFill="1" applyBorder="1" applyAlignment="1">
      <alignment horizontal="center" vertical="top"/>
    </xf>
    <xf numFmtId="49" fontId="24" fillId="0" borderId="1" xfId="0" applyNumberFormat="1" applyFont="1" applyBorder="1" applyAlignment="1">
      <alignment vertical="top" wrapText="1"/>
    </xf>
    <xf numFmtId="0" fontId="33" fillId="0" borderId="0" xfId="0" applyFont="1" applyAlignment="1">
      <alignment vertical="top"/>
    </xf>
    <xf numFmtId="0" fontId="24" fillId="0" borderId="0" xfId="0" applyFont="1"/>
    <xf numFmtId="0" fontId="36" fillId="0" borderId="0" xfId="0" applyFont="1" applyAlignment="1">
      <alignment wrapText="1"/>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9">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27" totalsRowShown="0">
  <autoFilter ref="A3:E27"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5426" TargetMode="External"/><Relationship Id="rId13" Type="http://schemas.openxmlformats.org/officeDocument/2006/relationships/hyperlink" Target="https://us3.assetplanner.com/service_request?ID=095216" TargetMode="External"/><Relationship Id="rId3" Type="http://schemas.openxmlformats.org/officeDocument/2006/relationships/hyperlink" Target="https://us3.assetplanner.com/service_request?ID=095329" TargetMode="External"/><Relationship Id="rId7" Type="http://schemas.openxmlformats.org/officeDocument/2006/relationships/hyperlink" Target="https://us3.assetplanner.com/service_request?ID=095988" TargetMode="External"/><Relationship Id="rId12" Type="http://schemas.openxmlformats.org/officeDocument/2006/relationships/hyperlink" Target="https://us3.assetplanner.com/service_request?ID=092409" TargetMode="External"/><Relationship Id="rId2" Type="http://schemas.openxmlformats.org/officeDocument/2006/relationships/hyperlink" Target="https://us3.assetplanner.com/service_request?ID=095405" TargetMode="External"/><Relationship Id="rId1" Type="http://schemas.openxmlformats.org/officeDocument/2006/relationships/hyperlink" Target="https://us3.assetplanner.com/service_request?ID=095378" TargetMode="External"/><Relationship Id="rId6" Type="http://schemas.openxmlformats.org/officeDocument/2006/relationships/hyperlink" Target="https://us3.assetplanner.com/service_request?ID=095306" TargetMode="External"/><Relationship Id="rId11" Type="http://schemas.openxmlformats.org/officeDocument/2006/relationships/hyperlink" Target="https://us3.assetplanner.com/service_request?ID=095427" TargetMode="External"/><Relationship Id="rId5" Type="http://schemas.openxmlformats.org/officeDocument/2006/relationships/hyperlink" Target="https://us3.assetplanner.com/service_request?ID=095966" TargetMode="External"/><Relationship Id="rId10" Type="http://schemas.openxmlformats.org/officeDocument/2006/relationships/hyperlink" Target="https://us3.assetplanner.com/service_request?ID=095983" TargetMode="External"/><Relationship Id="rId4" Type="http://schemas.openxmlformats.org/officeDocument/2006/relationships/hyperlink" Target="https://us3.assetplanner.com/service_request?ID=096129" TargetMode="External"/><Relationship Id="rId9" Type="http://schemas.openxmlformats.org/officeDocument/2006/relationships/hyperlink" Target="https://us3.assetplanner.com/service_request?ID=095387" TargetMode="External"/><Relationship Id="rId14"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7782" TargetMode="External"/><Relationship Id="rId13" Type="http://schemas.openxmlformats.org/officeDocument/2006/relationships/hyperlink" Target="https://us3.assetplanner.com/service_request?ID=097765" TargetMode="External"/><Relationship Id="rId3" Type="http://schemas.openxmlformats.org/officeDocument/2006/relationships/hyperlink" Target="https://us3.assetplanner.com/service_request?ID=097002" TargetMode="External"/><Relationship Id="rId7" Type="http://schemas.openxmlformats.org/officeDocument/2006/relationships/hyperlink" Target="https://us3.assetplanner.com/service_request?ID=097186" TargetMode="External"/><Relationship Id="rId12" Type="http://schemas.openxmlformats.org/officeDocument/2006/relationships/hyperlink" Target="https://us3.assetplanner.com/service_request?ID=097630" TargetMode="External"/><Relationship Id="rId2" Type="http://schemas.openxmlformats.org/officeDocument/2006/relationships/hyperlink" Target="https://us3.assetplanner.com/service_request?ID=097707" TargetMode="External"/><Relationship Id="rId1" Type="http://schemas.openxmlformats.org/officeDocument/2006/relationships/hyperlink" Target="https://us3.assetplanner.com/service_request?ID=097092" TargetMode="External"/><Relationship Id="rId6" Type="http://schemas.openxmlformats.org/officeDocument/2006/relationships/hyperlink" Target="https://us3.assetplanner.com/service_request?ID=095398" TargetMode="External"/><Relationship Id="rId11" Type="http://schemas.openxmlformats.org/officeDocument/2006/relationships/hyperlink" Target="https://us3.assetplanner.com/service_request?ID=096225" TargetMode="External"/><Relationship Id="rId5" Type="http://schemas.openxmlformats.org/officeDocument/2006/relationships/hyperlink" Target="https://us3.assetplanner.com/service_request?ID=095399" TargetMode="External"/><Relationship Id="rId10" Type="http://schemas.openxmlformats.org/officeDocument/2006/relationships/hyperlink" Target="https://us3.assetplanner.com/service_request?ID=097629" TargetMode="External"/><Relationship Id="rId4" Type="http://schemas.openxmlformats.org/officeDocument/2006/relationships/hyperlink" Target="https://us3.assetplanner.com/service_request?ID=097177" TargetMode="External"/><Relationship Id="rId9" Type="http://schemas.openxmlformats.org/officeDocument/2006/relationships/hyperlink" Target="https://us3.assetplanner.com/service_request?ID=096228" TargetMode="External"/><Relationship Id="rId14" Type="http://schemas.openxmlformats.org/officeDocument/2006/relationships/hyperlink" Target="https://us3.assetplanner.com/service_request?ID=097177"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8450" TargetMode="External"/><Relationship Id="rId13" Type="http://schemas.openxmlformats.org/officeDocument/2006/relationships/hyperlink" Target="https://us3.assetplanner.com/service_request?ID=098815" TargetMode="External"/><Relationship Id="rId3" Type="http://schemas.openxmlformats.org/officeDocument/2006/relationships/hyperlink" Target="https://us3.assetplanner.com/service_request?ID=098774" TargetMode="External"/><Relationship Id="rId7" Type="http://schemas.openxmlformats.org/officeDocument/2006/relationships/hyperlink" Target="https://us3.assetplanner.com/service_request?ID=098450" TargetMode="External"/><Relationship Id="rId12" Type="http://schemas.openxmlformats.org/officeDocument/2006/relationships/hyperlink" Target="https://us3.assetplanner.com/service_request?ID=098611" TargetMode="External"/><Relationship Id="rId2" Type="http://schemas.openxmlformats.org/officeDocument/2006/relationships/hyperlink" Target="https://us3.assetplanner.com/service_request?ID=098696" TargetMode="External"/><Relationship Id="rId16" Type="http://schemas.openxmlformats.org/officeDocument/2006/relationships/hyperlink" Target="https://us3.assetplanner.com/service_request?ID=098795" TargetMode="External"/><Relationship Id="rId1" Type="http://schemas.openxmlformats.org/officeDocument/2006/relationships/hyperlink" Target="https://us3.assetplanner.com/service_request?ID=098683" TargetMode="External"/><Relationship Id="rId6" Type="http://schemas.openxmlformats.org/officeDocument/2006/relationships/hyperlink" Target="https://us3.assetplanner.com/service_request?ID=098027" TargetMode="External"/><Relationship Id="rId11" Type="http://schemas.openxmlformats.org/officeDocument/2006/relationships/hyperlink" Target="https://us3.assetplanner.com/service_request?ID=098928" TargetMode="External"/><Relationship Id="rId5" Type="http://schemas.openxmlformats.org/officeDocument/2006/relationships/hyperlink" Target="https://us3.assetplanner.com/service_request?ID=099104" TargetMode="External"/><Relationship Id="rId15" Type="http://schemas.openxmlformats.org/officeDocument/2006/relationships/hyperlink" Target="https://us3.assetplanner.com/service_request?ID=091674" TargetMode="External"/><Relationship Id="rId10" Type="http://schemas.openxmlformats.org/officeDocument/2006/relationships/hyperlink" Target="https://us3.assetplanner.com/service_request?ID=098793" TargetMode="External"/><Relationship Id="rId4" Type="http://schemas.openxmlformats.org/officeDocument/2006/relationships/hyperlink" Target="https://us3.assetplanner.com/service_request?ID=098794" TargetMode="External"/><Relationship Id="rId9" Type="http://schemas.openxmlformats.org/officeDocument/2006/relationships/hyperlink" Target="https://us3.assetplanner.com/service_request?ID=098592" TargetMode="External"/><Relationship Id="rId14" Type="http://schemas.openxmlformats.org/officeDocument/2006/relationships/hyperlink" Target="https://us3.assetplanner.com/service_request?ID=098816"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100031" TargetMode="External"/><Relationship Id="rId13" Type="http://schemas.openxmlformats.org/officeDocument/2006/relationships/hyperlink" Target="https://us3.assetplanner.com/service_request?ID=099670" TargetMode="External"/><Relationship Id="rId18" Type="http://schemas.openxmlformats.org/officeDocument/2006/relationships/hyperlink" Target="https://us3.assetplanner.com/service_request?ID=099382" TargetMode="External"/><Relationship Id="rId3" Type="http://schemas.openxmlformats.org/officeDocument/2006/relationships/hyperlink" Target="https://us3.assetplanner.com/service_request?ID=100677" TargetMode="External"/><Relationship Id="rId7" Type="http://schemas.openxmlformats.org/officeDocument/2006/relationships/hyperlink" Target="https://us3.assetplanner.com/service_request?ID=099440" TargetMode="External"/><Relationship Id="rId12" Type="http://schemas.openxmlformats.org/officeDocument/2006/relationships/hyperlink" Target="https://us3.assetplanner.com/service_request?ID=099669" TargetMode="External"/><Relationship Id="rId17" Type="http://schemas.openxmlformats.org/officeDocument/2006/relationships/hyperlink" Target="https://us3.assetplanner.com/service_request?ID=099654" TargetMode="External"/><Relationship Id="rId2" Type="http://schemas.openxmlformats.org/officeDocument/2006/relationships/hyperlink" Target="https://us3.assetplanner.com/service_request?ID=099734" TargetMode="External"/><Relationship Id="rId16" Type="http://schemas.openxmlformats.org/officeDocument/2006/relationships/hyperlink" Target="https://us3.assetplanner.com/service_request?ID=099667" TargetMode="External"/><Relationship Id="rId1" Type="http://schemas.openxmlformats.org/officeDocument/2006/relationships/hyperlink" Target="https://us3.assetplanner.com/service_request?ID=099489" TargetMode="External"/><Relationship Id="rId6" Type="http://schemas.openxmlformats.org/officeDocument/2006/relationships/hyperlink" Target="https://us3.assetplanner.com/service_request?ID=100456" TargetMode="External"/><Relationship Id="rId11" Type="http://schemas.openxmlformats.org/officeDocument/2006/relationships/hyperlink" Target="https://us3.assetplanner.com/service_request?ID=099671" TargetMode="External"/><Relationship Id="rId5" Type="http://schemas.openxmlformats.org/officeDocument/2006/relationships/hyperlink" Target="https://us3.assetplanner.com/service_request?ID=099544" TargetMode="External"/><Relationship Id="rId15" Type="http://schemas.openxmlformats.org/officeDocument/2006/relationships/hyperlink" Target="https://us3.assetplanner.com/service_request?ID=099675" TargetMode="External"/><Relationship Id="rId10" Type="http://schemas.openxmlformats.org/officeDocument/2006/relationships/hyperlink" Target="https://us3.assetplanner.com/service_request?ID=099891" TargetMode="External"/><Relationship Id="rId19" Type="http://schemas.openxmlformats.org/officeDocument/2006/relationships/printerSettings" Target="../printerSettings/printerSettings4.bin"/><Relationship Id="rId4" Type="http://schemas.openxmlformats.org/officeDocument/2006/relationships/hyperlink" Target="https://us3.assetplanner.com/service_request?ID=100708" TargetMode="External"/><Relationship Id="rId9" Type="http://schemas.openxmlformats.org/officeDocument/2006/relationships/hyperlink" Target="https://us3.assetplanner.com/service_request?ID=099860" TargetMode="External"/><Relationship Id="rId14" Type="http://schemas.openxmlformats.org/officeDocument/2006/relationships/hyperlink" Target="https://us3.assetplanner.com/service_request?ID=099381"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099667" TargetMode="External"/><Relationship Id="rId3" Type="http://schemas.openxmlformats.org/officeDocument/2006/relationships/hyperlink" Target="https://us3.assetplanner.com/service_request?ID=101118" TargetMode="External"/><Relationship Id="rId7" Type="http://schemas.openxmlformats.org/officeDocument/2006/relationships/hyperlink" Target="https://us3.assetplanner.com/service_request?ID=100927" TargetMode="External"/><Relationship Id="rId2" Type="http://schemas.openxmlformats.org/officeDocument/2006/relationships/hyperlink" Target="https://us3.assetplanner.com/service_request?ID=100801" TargetMode="External"/><Relationship Id="rId1" Type="http://schemas.openxmlformats.org/officeDocument/2006/relationships/hyperlink" Target="https://us3.assetplanner.com/service_request?ID=101805" TargetMode="External"/><Relationship Id="rId6" Type="http://schemas.openxmlformats.org/officeDocument/2006/relationships/hyperlink" Target="https://us3.assetplanner.com/service_request?ID=102227" TargetMode="External"/><Relationship Id="rId11" Type="http://schemas.openxmlformats.org/officeDocument/2006/relationships/hyperlink" Target="https://us3.assetplanner.com/service_request?ID=101678" TargetMode="External"/><Relationship Id="rId5" Type="http://schemas.openxmlformats.org/officeDocument/2006/relationships/hyperlink" Target="https://us3.assetplanner.com/service_request?ID=100570" TargetMode="External"/><Relationship Id="rId10" Type="http://schemas.openxmlformats.org/officeDocument/2006/relationships/hyperlink" Target="https://us3.assetplanner.com/service_request?ID=101412" TargetMode="External"/><Relationship Id="rId4" Type="http://schemas.openxmlformats.org/officeDocument/2006/relationships/hyperlink" Target="https://us3.assetplanner.com/service_request?ID=101288" TargetMode="External"/><Relationship Id="rId9" Type="http://schemas.openxmlformats.org/officeDocument/2006/relationships/hyperlink" Target="https://us3.assetplanner.com/service_request?ID=101411"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103204" TargetMode="External"/><Relationship Id="rId13" Type="http://schemas.openxmlformats.org/officeDocument/2006/relationships/hyperlink" Target="https://us3.assetplanner.com/service_request?ID=103252" TargetMode="External"/><Relationship Id="rId18" Type="http://schemas.openxmlformats.org/officeDocument/2006/relationships/hyperlink" Target="https://us3.assetplanner.com/service_request?ID=101999" TargetMode="External"/><Relationship Id="rId3" Type="http://schemas.openxmlformats.org/officeDocument/2006/relationships/hyperlink" Target="https://us3.assetplanner.com/service_request?ID=102992" TargetMode="External"/><Relationship Id="rId21" Type="http://schemas.openxmlformats.org/officeDocument/2006/relationships/hyperlink" Target="https://us3.assetplanner.com/service_request?ID=103612" TargetMode="External"/><Relationship Id="rId7" Type="http://schemas.openxmlformats.org/officeDocument/2006/relationships/hyperlink" Target="https://us3.assetplanner.com/service_request?ID=102227" TargetMode="External"/><Relationship Id="rId12" Type="http://schemas.openxmlformats.org/officeDocument/2006/relationships/hyperlink" Target="https://us3.assetplanner.com/service_request?ID=102789" TargetMode="External"/><Relationship Id="rId17" Type="http://schemas.openxmlformats.org/officeDocument/2006/relationships/hyperlink" Target="https://us3.assetplanner.com/service_request?ID=103394" TargetMode="External"/><Relationship Id="rId2" Type="http://schemas.openxmlformats.org/officeDocument/2006/relationships/hyperlink" Target="https://us3.assetplanner.com/service_request?ID=101179" TargetMode="External"/><Relationship Id="rId16" Type="http://schemas.openxmlformats.org/officeDocument/2006/relationships/hyperlink" Target="https://us3.assetplanner.com/service_request?ID=103253" TargetMode="External"/><Relationship Id="rId20" Type="http://schemas.openxmlformats.org/officeDocument/2006/relationships/hyperlink" Target="https://us3.assetplanner.com/service_request?ID=102822" TargetMode="External"/><Relationship Id="rId1" Type="http://schemas.openxmlformats.org/officeDocument/2006/relationships/hyperlink" Target="https://us3.assetplanner.com/service_request?ID=103000" TargetMode="External"/><Relationship Id="rId6" Type="http://schemas.openxmlformats.org/officeDocument/2006/relationships/hyperlink" Target="https://us3.assetplanner.com/service_request?ID=103158" TargetMode="External"/><Relationship Id="rId11" Type="http://schemas.openxmlformats.org/officeDocument/2006/relationships/hyperlink" Target="https://us3.assetplanner.com/service_request?ID=103392" TargetMode="External"/><Relationship Id="rId5" Type="http://schemas.openxmlformats.org/officeDocument/2006/relationships/hyperlink" Target="https://us3.assetplanner.com/service_request?ID=102823" TargetMode="External"/><Relationship Id="rId15" Type="http://schemas.openxmlformats.org/officeDocument/2006/relationships/hyperlink" Target="https://us3.assetplanner.com/service_request?ID=102790" TargetMode="External"/><Relationship Id="rId10" Type="http://schemas.openxmlformats.org/officeDocument/2006/relationships/hyperlink" Target="https://us3.assetplanner.com/service_request?ID=103251" TargetMode="External"/><Relationship Id="rId19" Type="http://schemas.openxmlformats.org/officeDocument/2006/relationships/hyperlink" Target="https://us3.assetplanner.com/service_request?ID=102523" TargetMode="External"/><Relationship Id="rId4" Type="http://schemas.openxmlformats.org/officeDocument/2006/relationships/hyperlink" Target="https://us3.assetplanner.com/service_request?ID=103675" TargetMode="External"/><Relationship Id="rId9" Type="http://schemas.openxmlformats.org/officeDocument/2006/relationships/hyperlink" Target="https://us3.assetplanner.com/service_request?ID=103261" TargetMode="External"/><Relationship Id="rId14" Type="http://schemas.openxmlformats.org/officeDocument/2006/relationships/hyperlink" Target="https://us3.assetplanner.com/service_request?ID=103393" TargetMode="External"/><Relationship Id="rId22" Type="http://schemas.openxmlformats.org/officeDocument/2006/relationships/hyperlink" Target="https://us3.assetplanner.com/service_request?ID=103613"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us3.assetplanner.com/service_request?ID=105462" TargetMode="External"/><Relationship Id="rId3" Type="http://schemas.openxmlformats.org/officeDocument/2006/relationships/hyperlink" Target="https://us3.assetplanner.com/service_request?ID=101179" TargetMode="External"/><Relationship Id="rId7" Type="http://schemas.openxmlformats.org/officeDocument/2006/relationships/hyperlink" Target="https://us3.assetplanner.com/service_request?ID=104273" TargetMode="External"/><Relationship Id="rId2" Type="http://schemas.openxmlformats.org/officeDocument/2006/relationships/hyperlink" Target="https://us3.assetplanner.com/service_request?ID=104853" TargetMode="External"/><Relationship Id="rId1" Type="http://schemas.openxmlformats.org/officeDocument/2006/relationships/hyperlink" Target="https://us3.assetplanner.com/service_request?ID=104709" TargetMode="External"/><Relationship Id="rId6" Type="http://schemas.openxmlformats.org/officeDocument/2006/relationships/hyperlink" Target="https://us3.assetplanner.com/service_request?ID=104052" TargetMode="External"/><Relationship Id="rId5" Type="http://schemas.openxmlformats.org/officeDocument/2006/relationships/hyperlink" Target="https://us3.assetplanner.com/service_request?ID=104057" TargetMode="External"/><Relationship Id="rId10" Type="http://schemas.openxmlformats.org/officeDocument/2006/relationships/hyperlink" Target="https://us3.assetplanner.com/service_request?ID=104423" TargetMode="External"/><Relationship Id="rId4" Type="http://schemas.openxmlformats.org/officeDocument/2006/relationships/hyperlink" Target="https://us3.assetplanner.com/service_request?ID=104233" TargetMode="External"/><Relationship Id="rId9" Type="http://schemas.openxmlformats.org/officeDocument/2006/relationships/hyperlink" Target="https://us3.assetplanner.com/service_request?ID=103873"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us3.assetplanner.com/service_request?ID=106969" TargetMode="External"/><Relationship Id="rId13" Type="http://schemas.openxmlformats.org/officeDocument/2006/relationships/hyperlink" Target="https://us3.assetplanner.com/service_request?ID=106230" TargetMode="External"/><Relationship Id="rId3" Type="http://schemas.openxmlformats.org/officeDocument/2006/relationships/hyperlink" Target="https://us3.assetplanner.com/service_request?ID=104853" TargetMode="External"/><Relationship Id="rId7" Type="http://schemas.openxmlformats.org/officeDocument/2006/relationships/hyperlink" Target="https://us3.assetplanner.com/service_request?ID=107176" TargetMode="External"/><Relationship Id="rId12" Type="http://schemas.openxmlformats.org/officeDocument/2006/relationships/hyperlink" Target="https://us3.assetplanner.com/service_request?ID=104836" TargetMode="External"/><Relationship Id="rId2" Type="http://schemas.openxmlformats.org/officeDocument/2006/relationships/hyperlink" Target="https://us3.assetplanner.com/service_request?ID=106228" TargetMode="External"/><Relationship Id="rId1" Type="http://schemas.openxmlformats.org/officeDocument/2006/relationships/hyperlink" Target="https://us3.assetplanner.com/service_request?ID=106576" TargetMode="External"/><Relationship Id="rId6" Type="http://schemas.openxmlformats.org/officeDocument/2006/relationships/hyperlink" Target="https://us3.assetplanner.com/service_request?ID=105462" TargetMode="External"/><Relationship Id="rId11" Type="http://schemas.openxmlformats.org/officeDocument/2006/relationships/hyperlink" Target="https://us3.assetplanner.com/service_request?ID=106816" TargetMode="External"/><Relationship Id="rId5" Type="http://schemas.openxmlformats.org/officeDocument/2006/relationships/hyperlink" Target="https://us3.assetplanner.com/service_request?ID=106309" TargetMode="External"/><Relationship Id="rId10" Type="http://schemas.openxmlformats.org/officeDocument/2006/relationships/hyperlink" Target="https://us3.assetplanner.com/service_request?ID=107178" TargetMode="External"/><Relationship Id="rId4" Type="http://schemas.openxmlformats.org/officeDocument/2006/relationships/hyperlink" Target="https://us3.assetplanner.com/service_request?ID=106381" TargetMode="External"/><Relationship Id="rId9" Type="http://schemas.openxmlformats.org/officeDocument/2006/relationships/hyperlink" Target="https://us3.assetplanner.com/service_request?ID=107177" TargetMode="External"/><Relationship Id="rId14" Type="http://schemas.openxmlformats.org/officeDocument/2006/relationships/hyperlink" Target="https://us3.assetplanner.com/service_request?ID=107733"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us3.assetplanner.com/service_request?ID=107564" TargetMode="External"/><Relationship Id="rId13" Type="http://schemas.openxmlformats.org/officeDocument/2006/relationships/hyperlink" Target="https://us3.assetplanner.com/service_request?ID=108532" TargetMode="External"/><Relationship Id="rId3" Type="http://schemas.openxmlformats.org/officeDocument/2006/relationships/hyperlink" Target="https://us3.assetplanner.com/service_request?ID=107896" TargetMode="External"/><Relationship Id="rId7" Type="http://schemas.openxmlformats.org/officeDocument/2006/relationships/hyperlink" Target="https://us3.assetplanner.com/service_request?ID=109126" TargetMode="External"/><Relationship Id="rId12" Type="http://schemas.openxmlformats.org/officeDocument/2006/relationships/hyperlink" Target="https://us3.assetplanner.com/service_request?ID=104836" TargetMode="External"/><Relationship Id="rId2" Type="http://schemas.openxmlformats.org/officeDocument/2006/relationships/hyperlink" Target="https://us3.assetplanner.com/service_request?ID=107776" TargetMode="External"/><Relationship Id="rId1" Type="http://schemas.openxmlformats.org/officeDocument/2006/relationships/hyperlink" Target="https://us3.assetplanner.com/service_request?ID=108112" TargetMode="External"/><Relationship Id="rId6" Type="http://schemas.openxmlformats.org/officeDocument/2006/relationships/hyperlink" Target="https://us3.assetplanner.com/service_request?ID=107584" TargetMode="External"/><Relationship Id="rId11" Type="http://schemas.openxmlformats.org/officeDocument/2006/relationships/hyperlink" Target="https://us3.assetplanner.com/service_request?ID=108114" TargetMode="External"/><Relationship Id="rId5" Type="http://schemas.openxmlformats.org/officeDocument/2006/relationships/hyperlink" Target="https://us3.assetplanner.com/service_request?ID=107583" TargetMode="External"/><Relationship Id="rId15" Type="http://schemas.openxmlformats.org/officeDocument/2006/relationships/printerSettings" Target="../printerSettings/printerSettings5.bin"/><Relationship Id="rId10" Type="http://schemas.openxmlformats.org/officeDocument/2006/relationships/hyperlink" Target="https://us3.assetplanner.com/service_request?ID=108677" TargetMode="External"/><Relationship Id="rId4" Type="http://schemas.openxmlformats.org/officeDocument/2006/relationships/hyperlink" Target="https://us3.assetplanner.com/service_request?ID=107582" TargetMode="External"/><Relationship Id="rId9" Type="http://schemas.openxmlformats.org/officeDocument/2006/relationships/hyperlink" Target="https://us3.assetplanner.com/service_request?ID=107537" TargetMode="External"/><Relationship Id="rId14" Type="http://schemas.openxmlformats.org/officeDocument/2006/relationships/hyperlink" Target="https://us3.assetplanner.com/service_request?ID=108617"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us3.assetplanner.com/service_request?ID=108848" TargetMode="External"/><Relationship Id="rId13" Type="http://schemas.openxmlformats.org/officeDocument/2006/relationships/hyperlink" Target="https://us3.assetplanner.com/service_request?ID=108950" TargetMode="External"/><Relationship Id="rId3" Type="http://schemas.openxmlformats.org/officeDocument/2006/relationships/hyperlink" Target="https://us3.assetplanner.com/service_request?ID=108726" TargetMode="External"/><Relationship Id="rId7" Type="http://schemas.openxmlformats.org/officeDocument/2006/relationships/hyperlink" Target="https://us3.assetplanner.com/service_request?ID=109642" TargetMode="External"/><Relationship Id="rId12" Type="http://schemas.openxmlformats.org/officeDocument/2006/relationships/hyperlink" Target="https://us3.assetplanner.com/service_request?ID=108528" TargetMode="External"/><Relationship Id="rId17" Type="http://schemas.openxmlformats.org/officeDocument/2006/relationships/hyperlink" Target="https://us3.assetplanner.com/service_request?ID=108950" TargetMode="External"/><Relationship Id="rId2" Type="http://schemas.openxmlformats.org/officeDocument/2006/relationships/hyperlink" Target="https://us3.assetplanner.com/service_request?ID=109022" TargetMode="External"/><Relationship Id="rId16" Type="http://schemas.openxmlformats.org/officeDocument/2006/relationships/hyperlink" Target="https://us3.assetplanner.com/service_request?ID=109983" TargetMode="External"/><Relationship Id="rId1" Type="http://schemas.openxmlformats.org/officeDocument/2006/relationships/hyperlink" Target="https://us3.assetplanner.com/service_request?ID=104098" TargetMode="External"/><Relationship Id="rId6" Type="http://schemas.openxmlformats.org/officeDocument/2006/relationships/hyperlink" Target="https://us3.assetplanner.com/service_request?ID=109627" TargetMode="External"/><Relationship Id="rId11" Type="http://schemas.openxmlformats.org/officeDocument/2006/relationships/hyperlink" Target="https://us3.assetplanner.com/service_request?ID=109175" TargetMode="External"/><Relationship Id="rId5" Type="http://schemas.openxmlformats.org/officeDocument/2006/relationships/hyperlink" Target="https://us3.assetplanner.com/service_request?ID=109670" TargetMode="External"/><Relationship Id="rId15" Type="http://schemas.openxmlformats.org/officeDocument/2006/relationships/hyperlink" Target="https://us3.assetplanner.com/service_request?ID=109982" TargetMode="External"/><Relationship Id="rId10" Type="http://schemas.openxmlformats.org/officeDocument/2006/relationships/hyperlink" Target="https://us3.assetplanner.com/service_request?ID=109174" TargetMode="External"/><Relationship Id="rId4" Type="http://schemas.openxmlformats.org/officeDocument/2006/relationships/hyperlink" Target="https://us3.assetplanner.com/service_request?ID=108614" TargetMode="External"/><Relationship Id="rId9" Type="http://schemas.openxmlformats.org/officeDocument/2006/relationships/hyperlink" Target="https://us3.assetplanner.com/service_request?ID=109126" TargetMode="External"/><Relationship Id="rId14" Type="http://schemas.openxmlformats.org/officeDocument/2006/relationships/hyperlink" Target="https://us3.assetplanner.com/service_request?ID=109750"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us3.assetplanner.com/service_request?ID=108532" TargetMode="External"/><Relationship Id="rId13" Type="http://schemas.openxmlformats.org/officeDocument/2006/relationships/printerSettings" Target="../printerSettings/printerSettings6.bin"/><Relationship Id="rId3" Type="http://schemas.openxmlformats.org/officeDocument/2006/relationships/hyperlink" Target="https://us3.assetplanner.com/service_request?ID=110499" TargetMode="External"/><Relationship Id="rId7" Type="http://schemas.openxmlformats.org/officeDocument/2006/relationships/hyperlink" Target="https://us3.assetplanner.com/service_request?ID=111501" TargetMode="External"/><Relationship Id="rId12" Type="http://schemas.openxmlformats.org/officeDocument/2006/relationships/hyperlink" Target="https://us3.assetplanner.com/service_request?ID=111486" TargetMode="External"/><Relationship Id="rId2" Type="http://schemas.openxmlformats.org/officeDocument/2006/relationships/hyperlink" Target="https://us3.assetplanner.com/service_request?ID=110658" TargetMode="External"/><Relationship Id="rId1" Type="http://schemas.openxmlformats.org/officeDocument/2006/relationships/hyperlink" Target="https://us3.assetplanner.com/service_request?ID=093438" TargetMode="External"/><Relationship Id="rId6" Type="http://schemas.openxmlformats.org/officeDocument/2006/relationships/hyperlink" Target="https://us3.assetplanner.com/service_request?ID=111020" TargetMode="External"/><Relationship Id="rId11" Type="http://schemas.openxmlformats.org/officeDocument/2006/relationships/hyperlink" Target="https://us3.assetplanner.com/service_request?ID=110811" TargetMode="External"/><Relationship Id="rId5" Type="http://schemas.openxmlformats.org/officeDocument/2006/relationships/hyperlink" Target="https://us3.assetplanner.com/service_request?ID=110659" TargetMode="External"/><Relationship Id="rId10" Type="http://schemas.openxmlformats.org/officeDocument/2006/relationships/hyperlink" Target="https://us3.assetplanner.com/service_request?ID=110389" TargetMode="External"/><Relationship Id="rId4" Type="http://schemas.openxmlformats.org/officeDocument/2006/relationships/hyperlink" Target="https://us3.assetplanner.com/service_request?ID=110849" TargetMode="External"/><Relationship Id="rId9" Type="http://schemas.openxmlformats.org/officeDocument/2006/relationships/hyperlink" Target="https://us3.assetplanner.com/service_request?ID=111020"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us3.assetplanner.com/service_request?ID=113615" TargetMode="External"/><Relationship Id="rId13" Type="http://schemas.openxmlformats.org/officeDocument/2006/relationships/hyperlink" Target="https://us3.assetplanner.com/service_request?ID=113685" TargetMode="External"/><Relationship Id="rId18" Type="http://schemas.openxmlformats.org/officeDocument/2006/relationships/hyperlink" Target="https://us3.assetplanner.com/service_request?ID=113161" TargetMode="External"/><Relationship Id="rId3" Type="http://schemas.openxmlformats.org/officeDocument/2006/relationships/hyperlink" Target="https://us3.assetplanner.com/service_request?ID=113307" TargetMode="External"/><Relationship Id="rId7" Type="http://schemas.openxmlformats.org/officeDocument/2006/relationships/hyperlink" Target="https://us3.assetplanner.com/service_request?ID=113383" TargetMode="External"/><Relationship Id="rId12" Type="http://schemas.openxmlformats.org/officeDocument/2006/relationships/hyperlink" Target="https://us3.assetplanner.com/service_request?ID=112604" TargetMode="External"/><Relationship Id="rId17" Type="http://schemas.openxmlformats.org/officeDocument/2006/relationships/hyperlink" Target="https://us3.assetplanner.com/service_request?ID=113821" TargetMode="External"/><Relationship Id="rId2" Type="http://schemas.openxmlformats.org/officeDocument/2006/relationships/hyperlink" Target="https://us3.assetplanner.com/service_request?ID=112420" TargetMode="External"/><Relationship Id="rId16" Type="http://schemas.openxmlformats.org/officeDocument/2006/relationships/hyperlink" Target="https://us3.assetplanner.com/service_request?ID=112427" TargetMode="External"/><Relationship Id="rId1" Type="http://schemas.openxmlformats.org/officeDocument/2006/relationships/hyperlink" Target="https://us3.assetplanner.com/service_request?ID=113216" TargetMode="External"/><Relationship Id="rId6" Type="http://schemas.openxmlformats.org/officeDocument/2006/relationships/hyperlink" Target="https://us3.assetplanner.com/service_request?ID=113198" TargetMode="External"/><Relationship Id="rId11" Type="http://schemas.openxmlformats.org/officeDocument/2006/relationships/hyperlink" Target="https://us3.assetplanner.com/service_request?ID=113625" TargetMode="External"/><Relationship Id="rId5" Type="http://schemas.openxmlformats.org/officeDocument/2006/relationships/hyperlink" Target="https://us3.assetplanner.com/service_request?ID=113170" TargetMode="External"/><Relationship Id="rId15" Type="http://schemas.openxmlformats.org/officeDocument/2006/relationships/hyperlink" Target="https://us3.assetplanner.com/service_request?ID=112425" TargetMode="External"/><Relationship Id="rId10" Type="http://schemas.openxmlformats.org/officeDocument/2006/relationships/hyperlink" Target="https://us3.assetplanner.com/service_request?ID=113221" TargetMode="External"/><Relationship Id="rId19" Type="http://schemas.openxmlformats.org/officeDocument/2006/relationships/hyperlink" Target="https://us3.assetplanner.com/service_request?ID=113703" TargetMode="External"/><Relationship Id="rId4" Type="http://schemas.openxmlformats.org/officeDocument/2006/relationships/hyperlink" Target="https://us3.assetplanner.com/service_request?ID=112697" TargetMode="External"/><Relationship Id="rId9" Type="http://schemas.openxmlformats.org/officeDocument/2006/relationships/hyperlink" Target="https://us3.assetplanner.com/service_request?ID=112330" TargetMode="External"/><Relationship Id="rId14" Type="http://schemas.openxmlformats.org/officeDocument/2006/relationships/hyperlink" Target="https://us3.assetplanner.com/service_request?ID=113820" TargetMode="Externa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L341"/>
  <sheetViews>
    <sheetView zoomScale="90" zoomScaleNormal="90" workbookViewId="0">
      <pane xSplit="2" ySplit="3" topLeftCell="C4" activePane="bottomRight" state="frozen"/>
      <selection pane="bottomRight" activeCell="H2" sqref="H2"/>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2" ht="19.5" customHeight="1">
      <c r="A1" s="115" t="str" cm="1">
        <f t="array" ref="A1">portfolio</f>
        <v>38 DN</v>
      </c>
      <c r="B1" s="115"/>
      <c r="C1" s="115"/>
      <c r="D1" s="116" t="s">
        <v>0</v>
      </c>
      <c r="E1" s="116"/>
      <c r="F1" s="116"/>
      <c r="G1" s="114" t="s">
        <v>1</v>
      </c>
      <c r="H1" s="114"/>
      <c r="I1" s="114"/>
    </row>
    <row r="2" spans="1:12" ht="19.5" customHeight="1">
      <c r="A2" s="117" t="s">
        <v>2</v>
      </c>
      <c r="B2" s="117"/>
      <c r="C2" s="5">
        <f>SUM(C4:C99)</f>
        <v>46689926.268141977</v>
      </c>
      <c r="D2" s="5">
        <f>SUM(D4:D99)</f>
        <v>52431876.973000005</v>
      </c>
      <c r="E2" s="5">
        <f>C2-D2</f>
        <v>-5741950.7048580274</v>
      </c>
      <c r="F2" s="6">
        <f>IFERROR(E2/D2, 0)</f>
        <v>-0.10951259112495375</v>
      </c>
      <c r="G2" s="5">
        <f>SUM(G4:G99)</f>
        <v>49876843.601000011</v>
      </c>
      <c r="H2" s="7">
        <f>C2-G2</f>
        <v>-3186917.3328580335</v>
      </c>
      <c r="I2" s="6">
        <f>IFERROR(H2/G2, 0)</f>
        <v>-6.3895730017569458E-2</v>
      </c>
    </row>
    <row r="3" spans="1:12" ht="14.25" customHeight="1">
      <c r="A3" s="17" t="s">
        <v>3</v>
      </c>
      <c r="B3" s="17" t="s">
        <v>4</v>
      </c>
      <c r="C3" s="27" t="s">
        <v>5</v>
      </c>
      <c r="D3" s="28" t="s">
        <v>6</v>
      </c>
      <c r="E3" s="28" t="s">
        <v>7</v>
      </c>
      <c r="F3" s="29" t="s">
        <v>8</v>
      </c>
      <c r="G3" s="30" t="s">
        <v>9</v>
      </c>
      <c r="H3" s="31" t="s">
        <v>7</v>
      </c>
      <c r="I3" s="32" t="s">
        <v>8</v>
      </c>
    </row>
    <row r="4" spans="1:12" ht="15.6">
      <c r="A4" s="34" t="str" cm="1">
        <f t="array" ref="A4:A27">Sites[Site]</f>
        <v>6th St.</v>
      </c>
      <c r="B4" s="35" t="str" cm="1">
        <f t="array" ref="B4:B27">Sites[State]</f>
        <v>CA</v>
      </c>
      <c r="C4" s="36">
        <f>SUM('1st Qtr'!C4, '2nd Qtr'!C4, '3rd Qtr'!C4, '4th Qtr'!C4)</f>
        <v>2110110</v>
      </c>
      <c r="D4" s="37">
        <f>SUM('1st Qtr'!D4, '2nd Qtr'!D4, '3rd Qtr'!D4, '4th Qtr'!D4)</f>
        <v>2053618.3149999999</v>
      </c>
      <c r="E4" s="37">
        <f>IF(AND(ISNUMBER(C4),ISNUMBER(D4)), C4-D4, "")</f>
        <v>56491.685000000056</v>
      </c>
      <c r="F4" s="38">
        <f>IFERROR(E4/D4, "")</f>
        <v>2.7508366373329728E-2</v>
      </c>
      <c r="G4" s="39">
        <f>SUM('1st Qtr'!G4, '2nd Qtr'!G4, '3rd Qtr'!G4, '4th Qtr'!G4)</f>
        <v>2425653.5720000002</v>
      </c>
      <c r="H4" s="39">
        <f>SUM('1st Qtr'!H4, '2nd Qtr'!H4, '3rd Qtr'!H4, '4th Qtr'!H4)</f>
        <v>-315543.57199999999</v>
      </c>
      <c r="I4" s="40">
        <f>IFERROR(H4/G4, "")</f>
        <v>-0.13008600059068945</v>
      </c>
    </row>
    <row r="5" spans="1:12" ht="15.6">
      <c r="A5" s="41" t="str">
        <v>Barton Acres</v>
      </c>
      <c r="B5" s="42" t="str">
        <v>MA</v>
      </c>
      <c r="C5" s="43">
        <f>SUM('1st Qtr'!C5, '2nd Qtr'!C5, '3rd Qtr'!C5, '4th Qtr'!C5)</f>
        <v>1576174</v>
      </c>
      <c r="D5" s="44">
        <f>SUM('1st Qtr'!D5, '2nd Qtr'!D5, '3rd Qtr'!D5, '4th Qtr'!D5)</f>
        <v>1917057.31</v>
      </c>
      <c r="E5" s="44">
        <f t="shared" ref="E5:E15" si="0">IF(AND(ISNUMBER(C5),ISNUMBER(D5)), C5-D5, "")</f>
        <v>-340883.31000000006</v>
      </c>
      <c r="F5" s="45">
        <f>IFERROR(E5/D5, "")</f>
        <v>-0.17781592038059627</v>
      </c>
      <c r="G5" s="46">
        <f>SUM('1st Qtr'!G5, '2nd Qtr'!G5, '3rd Qtr'!G5, '4th Qtr'!G5)</f>
        <v>1631667.5460000001</v>
      </c>
      <c r="H5" s="71">
        <f>SUM('1st Qtr'!H5, '2nd Qtr'!H5, '3rd Qtr'!H5, '4th Qtr'!H5)</f>
        <v>-55493.546000000017</v>
      </c>
      <c r="I5" s="45">
        <f>IFERROR(H5/G5, "")</f>
        <v>-3.4010326512923128E-2</v>
      </c>
      <c r="K5" s="72"/>
    </row>
    <row r="6" spans="1:12" ht="15.6">
      <c r="A6" s="34" t="str">
        <v>Bowden</v>
      </c>
      <c r="B6" s="35" t="str">
        <v>MA</v>
      </c>
      <c r="C6" s="36">
        <f>SUM('1st Qtr'!C6, '2nd Qtr'!C6, '3rd Qtr'!C6, '4th Qtr'!C6)</f>
        <v>3277494</v>
      </c>
      <c r="D6" s="37">
        <f>SUM('1st Qtr'!D6, '2nd Qtr'!D6, '3rd Qtr'!D6, '4th Qtr'!D6)</f>
        <v>3547480.01</v>
      </c>
      <c r="E6" s="37">
        <f t="shared" si="0"/>
        <v>-269986.00999999978</v>
      </c>
      <c r="F6" s="38">
        <f t="shared" ref="F6:F15" si="1">IFERROR(E6/D6, "")</f>
        <v>-7.610642180898429E-2</v>
      </c>
      <c r="G6" s="39">
        <f>SUM('1st Qtr'!G6, '2nd Qtr'!G6, '3rd Qtr'!G6, '4th Qtr'!G6)</f>
        <v>3518790.5440000002</v>
      </c>
      <c r="H6" s="39">
        <f>SUM('1st Qtr'!H6, '2nd Qtr'!H6, '3rd Qtr'!H6, '4th Qtr'!H6)</f>
        <v>-241296.54400000002</v>
      </c>
      <c r="I6" s="40">
        <f t="shared" ref="I6:I15" si="2">IFERROR(H6/G6, "")</f>
        <v>-6.857371616262932E-2</v>
      </c>
    </row>
    <row r="7" spans="1:12" ht="15.6">
      <c r="A7" s="41" t="str">
        <v>Blair Wire Village</v>
      </c>
      <c r="B7" s="42" t="str">
        <v>MA</v>
      </c>
      <c r="C7" s="43">
        <f>SUM('1st Qtr'!C7, '2nd Qtr'!C7, '3rd Qtr'!C7, '4th Qtr'!C7)</f>
        <v>1610118</v>
      </c>
      <c r="D7" s="44">
        <f>SUM('1st Qtr'!D7, '2nd Qtr'!D7, '3rd Qtr'!D7, '4th Qtr'!D7)</f>
        <v>2023224.7290000003</v>
      </c>
      <c r="E7" s="44">
        <f t="shared" si="0"/>
        <v>-413106.72900000028</v>
      </c>
      <c r="F7" s="45">
        <f t="shared" si="1"/>
        <v>-0.20418232491858804</v>
      </c>
      <c r="G7" s="46">
        <f>SUM('1st Qtr'!G7, '2nd Qtr'!G7, '3rd Qtr'!G7, '4th Qtr'!G7)</f>
        <v>1769243.4540000001</v>
      </c>
      <c r="H7" s="71">
        <f>SUM('1st Qtr'!H7, '2nd Qtr'!H7, '3rd Qtr'!H7, '4th Qtr'!H7)</f>
        <v>-159125.45400000003</v>
      </c>
      <c r="I7" s="45">
        <f t="shared" si="2"/>
        <v>-8.9939829162708332E-2</v>
      </c>
      <c r="L7" s="72"/>
    </row>
    <row r="8" spans="1:12" ht="15.6">
      <c r="A8" s="34" t="str">
        <v>Boutilier</v>
      </c>
      <c r="B8" s="35" t="str">
        <v>MA</v>
      </c>
      <c r="C8" s="36">
        <f>SUM('1st Qtr'!C8, '2nd Qtr'!C8, '3rd Qtr'!C8, '4th Qtr'!C8)</f>
        <v>4500211</v>
      </c>
      <c r="D8" s="37">
        <f>SUM('1st Qtr'!D8, '2nd Qtr'!D8, '3rd Qtr'!D8, '4th Qtr'!D8)</f>
        <v>4802745.3149999995</v>
      </c>
      <c r="E8" s="37">
        <f t="shared" si="0"/>
        <v>-302534.31499999948</v>
      </c>
      <c r="F8" s="38">
        <f t="shared" si="1"/>
        <v>-6.2991954633763364E-2</v>
      </c>
      <c r="G8" s="39">
        <f>SUM('1st Qtr'!G8, '2nd Qtr'!G8, '3rd Qtr'!G8, '4th Qtr'!G8)</f>
        <v>4479119.17</v>
      </c>
      <c r="H8" s="39">
        <f>SUM('1st Qtr'!H8, '2nd Qtr'!H8, '3rd Qtr'!H8, '4th Qtr'!H8)</f>
        <v>21091.829999999958</v>
      </c>
      <c r="I8" s="40">
        <f t="shared" si="2"/>
        <v>4.7089236074064891E-3</v>
      </c>
    </row>
    <row r="9" spans="1:12" ht="15.6">
      <c r="A9" s="41" t="str">
        <v>Cherry Valley</v>
      </c>
      <c r="B9" s="42" t="str">
        <v>MA</v>
      </c>
      <c r="C9" s="43">
        <f>SUM('1st Qtr'!C9, '2nd Qtr'!C9, '3rd Qtr'!C9, '4th Qtr'!C9)</f>
        <v>1516900</v>
      </c>
      <c r="D9" s="44">
        <f>SUM('1st Qtr'!D9, '2nd Qtr'!D9, '3rd Qtr'!D9, '4th Qtr'!D9)</f>
        <v>1960517.3760000002</v>
      </c>
      <c r="E9" s="44">
        <f t="shared" si="0"/>
        <v>-443617.37600000016</v>
      </c>
      <c r="F9" s="45">
        <f t="shared" si="1"/>
        <v>-0.22627566653099643</v>
      </c>
      <c r="G9" s="46">
        <f>SUM('1st Qtr'!G9, '2nd Qtr'!G9, '3rd Qtr'!G9, '4th Qtr'!G9)</f>
        <v>1651703.7449999999</v>
      </c>
      <c r="H9" s="71">
        <f>SUM('1st Qtr'!H9, '2nd Qtr'!H9, '3rd Qtr'!H9, '4th Qtr'!H9)</f>
        <v>-134803.745</v>
      </c>
      <c r="I9" s="45">
        <f t="shared" si="2"/>
        <v>-8.1614966005904413E-2</v>
      </c>
      <c r="K9" s="73"/>
    </row>
    <row r="10" spans="1:12" ht="15.6">
      <c r="A10" s="34" t="str">
        <v>Cohasse</v>
      </c>
      <c r="B10" s="35" t="str">
        <v>MA</v>
      </c>
      <c r="C10" s="36">
        <f>SUM('1st Qtr'!C10, '2nd Qtr'!C10, '3rd Qtr'!C10, '4th Qtr'!C10)</f>
        <v>1478578</v>
      </c>
      <c r="D10" s="37">
        <f>SUM('1st Qtr'!D10, '2nd Qtr'!D10, '3rd Qtr'!D10, '4th Qtr'!D10)</f>
        <v>1807920.8760000002</v>
      </c>
      <c r="E10" s="37">
        <f t="shared" si="0"/>
        <v>-329342.87600000016</v>
      </c>
      <c r="F10" s="38">
        <f t="shared" si="1"/>
        <v>-0.18216664256273576</v>
      </c>
      <c r="G10" s="39">
        <f>SUM('1st Qtr'!G10, '2nd Qtr'!G10, '3rd Qtr'!G10, '4th Qtr'!G10)</f>
        <v>1871143.7859999998</v>
      </c>
      <c r="H10" s="39">
        <f>SUM('1st Qtr'!H10, '2nd Qtr'!H10, '3rd Qtr'!H10, '4th Qtr'!H10)</f>
        <v>-392565.78600000002</v>
      </c>
      <c r="I10" s="40">
        <f t="shared" si="2"/>
        <v>-0.20979990364032883</v>
      </c>
    </row>
    <row r="11" spans="1:12" ht="15.6">
      <c r="A11" s="41" t="str">
        <v>ISM Dighton Solar 2</v>
      </c>
      <c r="B11" s="42" t="str">
        <v>MA</v>
      </c>
      <c r="C11" s="43">
        <f>SUM('1st Qtr'!C11, '2nd Qtr'!C11, '3rd Qtr'!C11, '4th Qtr'!C11)</f>
        <v>3597916</v>
      </c>
      <c r="D11" s="44">
        <f>SUM('1st Qtr'!D11, '2nd Qtr'!D11, '3rd Qtr'!D11, '4th Qtr'!D11)</f>
        <v>3597518.8849999998</v>
      </c>
      <c r="E11" s="44">
        <f t="shared" si="0"/>
        <v>397.11500000022352</v>
      </c>
      <c r="F11" s="45">
        <f t="shared" si="1"/>
        <v>1.1038579996230473E-4</v>
      </c>
      <c r="G11" s="46">
        <f>SUM('1st Qtr'!G11, '2nd Qtr'!G11, '3rd Qtr'!G11, '4th Qtr'!G11)</f>
        <v>3660911.4699999997</v>
      </c>
      <c r="H11" s="71">
        <f>SUM('1st Qtr'!H11, '2nd Qtr'!H11, '3rd Qtr'!H11, '4th Qtr'!H11)</f>
        <v>-62995.47</v>
      </c>
      <c r="I11" s="45">
        <f t="shared" si="2"/>
        <v>-1.7207591747636555E-2</v>
      </c>
    </row>
    <row r="12" spans="1:12" ht="15.6">
      <c r="A12" s="34" t="str">
        <v>Dudley River 1</v>
      </c>
      <c r="B12" s="35" t="str">
        <v>MA</v>
      </c>
      <c r="C12" s="36">
        <f>SUM('1st Qtr'!C12, '2nd Qtr'!C12, '3rd Qtr'!C12, '4th Qtr'!C12)</f>
        <v>1635678</v>
      </c>
      <c r="D12" s="37">
        <f>SUM('1st Qtr'!D12, '2nd Qtr'!D12, '3rd Qtr'!D12, '4th Qtr'!D12)</f>
        <v>1825173.223</v>
      </c>
      <c r="E12" s="37">
        <f t="shared" si="0"/>
        <v>-189495.223</v>
      </c>
      <c r="F12" s="38">
        <f t="shared" si="1"/>
        <v>-0.10382314435258401</v>
      </c>
      <c r="G12" s="39">
        <f>SUM('1st Qtr'!G12, '2nd Qtr'!G12, '3rd Qtr'!G12, '4th Qtr'!G12)</f>
        <v>1785211.4579999999</v>
      </c>
      <c r="H12" s="39">
        <f>SUM('1st Qtr'!H12, '2nd Qtr'!H12, '3rd Qtr'!H12, '4th Qtr'!H12)</f>
        <v>-149533.45799999996</v>
      </c>
      <c r="I12" s="40">
        <f t="shared" si="2"/>
        <v>-8.3762322569632508E-2</v>
      </c>
    </row>
    <row r="13" spans="1:12" ht="15.6">
      <c r="A13" s="41" t="str">
        <v>Dudley River 2</v>
      </c>
      <c r="B13" s="42" t="str">
        <v>MA</v>
      </c>
      <c r="C13" s="43">
        <f>SUM('1st Qtr'!C13, '2nd Qtr'!C13, '3rd Qtr'!C13, '4th Qtr'!C13)</f>
        <v>1608885</v>
      </c>
      <c r="D13" s="44">
        <f>SUM('1st Qtr'!D13, '2nd Qtr'!D13, '3rd Qtr'!D13, '4th Qtr'!D13)</f>
        <v>1775548.736</v>
      </c>
      <c r="E13" s="44">
        <f t="shared" si="0"/>
        <v>-166663.73600000003</v>
      </c>
      <c r="F13" s="45">
        <f t="shared" si="1"/>
        <v>-9.3866044125301903E-2</v>
      </c>
      <c r="G13" s="46">
        <f>SUM('1st Qtr'!G13, '2nd Qtr'!G13, '3rd Qtr'!G13, '4th Qtr'!G13)</f>
        <v>1709130.273</v>
      </c>
      <c r="H13" s="71">
        <f>SUM('1st Qtr'!H13, '2nd Qtr'!H13, '3rd Qtr'!H13, '4th Qtr'!H13)</f>
        <v>-100245.27299999997</v>
      </c>
      <c r="I13" s="45">
        <f t="shared" si="2"/>
        <v>-5.8652798200128753E-2</v>
      </c>
    </row>
    <row r="14" spans="1:12" ht="15.6">
      <c r="A14" s="34" t="str">
        <v>Dudley River 3</v>
      </c>
      <c r="B14" s="35" t="str">
        <v>MA</v>
      </c>
      <c r="C14" s="36">
        <f>SUM('1st Qtr'!C14, '2nd Qtr'!C14, '3rd Qtr'!C14, '4th Qtr'!C14)</f>
        <v>1677185</v>
      </c>
      <c r="D14" s="37">
        <f>SUM('1st Qtr'!D14, '2nd Qtr'!D14, '3rd Qtr'!D14, '4th Qtr'!D14)</f>
        <v>1780978.129</v>
      </c>
      <c r="E14" s="37">
        <f t="shared" si="0"/>
        <v>-103793.12899999996</v>
      </c>
      <c r="F14" s="38">
        <f t="shared" si="1"/>
        <v>-5.8278721849480929E-2</v>
      </c>
      <c r="G14" s="39">
        <f>SUM('1st Qtr'!G14, '2nd Qtr'!G14, '3rd Qtr'!G14, '4th Qtr'!G14)</f>
        <v>1735783.1130000001</v>
      </c>
      <c r="H14" s="39">
        <f>SUM('1st Qtr'!H14, '2nd Qtr'!H14, '3rd Qtr'!H14, '4th Qtr'!H14)</f>
        <v>-58598.112999999968</v>
      </c>
      <c r="I14" s="40">
        <f t="shared" si="2"/>
        <v>-3.3758891051038797E-2</v>
      </c>
    </row>
    <row r="15" spans="1:12" ht="15.6">
      <c r="A15" s="41" t="str">
        <v>Flint Pond</v>
      </c>
      <c r="B15" s="42" t="str">
        <v>MA</v>
      </c>
      <c r="C15" s="43">
        <f>SUM('1st Qtr'!C15, '2nd Qtr'!C15, '3rd Qtr'!C15, '4th Qtr'!C15)</f>
        <v>762625.5</v>
      </c>
      <c r="D15" s="44">
        <f>SUM('1st Qtr'!D15, '2nd Qtr'!D15, '3rd Qtr'!D15, '4th Qtr'!D15)</f>
        <v>815287.41999999993</v>
      </c>
      <c r="E15" s="44">
        <f t="shared" si="0"/>
        <v>-52661.919999999925</v>
      </c>
      <c r="F15" s="45">
        <f t="shared" si="1"/>
        <v>-6.459307320110487E-2</v>
      </c>
      <c r="G15" s="46">
        <f>SUM('1st Qtr'!G15, '2nd Qtr'!G15, '3rd Qtr'!G15, '4th Qtr'!G15)</f>
        <v>773032.04</v>
      </c>
      <c r="H15" s="71">
        <f>SUM('1st Qtr'!H15, '2nd Qtr'!H15, '3rd Qtr'!H15, '4th Qtr'!H15)</f>
        <v>-10406.540000000008</v>
      </c>
      <c r="I15" s="45">
        <f t="shared" si="2"/>
        <v>-1.3461977591510965E-2</v>
      </c>
    </row>
    <row r="16" spans="1:12" ht="15.6">
      <c r="A16" s="34" t="str">
        <v>Incom</v>
      </c>
      <c r="B16" s="35" t="str">
        <v>MA</v>
      </c>
      <c r="C16" s="36">
        <f>SUM('1st Qtr'!C16, '2nd Qtr'!C16, '3rd Qtr'!C16, '4th Qtr'!C16)</f>
        <v>3411059.7714642389</v>
      </c>
      <c r="D16" s="37">
        <f>SUM('1st Qtr'!D16, '2nd Qtr'!D16, '3rd Qtr'!D16, '4th Qtr'!D16)</f>
        <v>4011687.8139999993</v>
      </c>
      <c r="E16" s="37">
        <f t="shared" ref="E16:E19" si="3">IF(AND(ISNUMBER(C16),ISNUMBER(D16)), C16-D16, "")</f>
        <v>-600628.04253576044</v>
      </c>
      <c r="F16" s="38">
        <f t="shared" ref="F16:F19" si="4">IFERROR(E16/D16, "")</f>
        <v>-0.14971953710846767</v>
      </c>
      <c r="G16" s="39">
        <f>SUM('1st Qtr'!G16, '2nd Qtr'!G16, '3rd Qtr'!G16, '4th Qtr'!G16)</f>
        <v>3768278.1200000006</v>
      </c>
      <c r="H16" s="39">
        <f>SUM('1st Qtr'!H16, '2nd Qtr'!H16, '3rd Qtr'!H16, '4th Qtr'!H16)</f>
        <v>-357218.34853576095</v>
      </c>
      <c r="I16" s="40">
        <f t="shared" ref="I16:I19" si="5">IFERROR(H16/G16, "")</f>
        <v>-9.4796174050911314E-2</v>
      </c>
    </row>
    <row r="17" spans="1:9" ht="15.6">
      <c r="A17" s="41" t="str">
        <v>JH</v>
      </c>
      <c r="B17" s="42" t="str">
        <v>MA</v>
      </c>
      <c r="C17" s="43">
        <f>SUM('1st Qtr'!C17, '2nd Qtr'!C17, '3rd Qtr'!C17, '4th Qtr'!C17)</f>
        <v>1508912</v>
      </c>
      <c r="D17" s="44">
        <f>SUM('1st Qtr'!D17, '2nd Qtr'!D17, '3rd Qtr'!D17, '4th Qtr'!D17)</f>
        <v>1864828.1880000001</v>
      </c>
      <c r="E17" s="44">
        <f t="shared" si="3"/>
        <v>-355916.18800000008</v>
      </c>
      <c r="F17" s="45">
        <f t="shared" si="4"/>
        <v>-0.19085736170779077</v>
      </c>
      <c r="G17" s="46">
        <f>SUM('1st Qtr'!G17, '2nd Qtr'!G17, '3rd Qtr'!G17, '4th Qtr'!G17)</f>
        <v>1813003.6099999999</v>
      </c>
      <c r="H17" s="71">
        <f>SUM('1st Qtr'!H17, '2nd Qtr'!H17, '3rd Qtr'!H17, '4th Qtr'!H17)</f>
        <v>-304091.61</v>
      </c>
      <c r="I17" s="45">
        <f t="shared" si="5"/>
        <v>-0.16772807749676794</v>
      </c>
    </row>
    <row r="18" spans="1:9" ht="12.75" customHeight="1">
      <c r="A18" s="34" t="str">
        <v>Ledeaux</v>
      </c>
      <c r="B18" s="35" t="str">
        <v>MA</v>
      </c>
      <c r="C18" s="36">
        <f>SUM('1st Qtr'!C18, '2nd Qtr'!C18, '3rd Qtr'!C18, '4th Qtr'!C18)</f>
        <v>1372010</v>
      </c>
      <c r="D18" s="37">
        <f>SUM('1st Qtr'!D18, '2nd Qtr'!D18, '3rd Qtr'!D18, '4th Qtr'!D18)</f>
        <v>1612382.0690000001</v>
      </c>
      <c r="E18" s="37">
        <f t="shared" si="3"/>
        <v>-240372.06900000013</v>
      </c>
      <c r="F18" s="38">
        <f t="shared" si="4"/>
        <v>-0.14907885272445318</v>
      </c>
      <c r="G18" s="39">
        <f>SUM('1st Qtr'!G18, '2nd Qtr'!G18, '3rd Qtr'!G18, '4th Qtr'!G18)</f>
        <v>1751118.3459999999</v>
      </c>
      <c r="H18" s="39">
        <f>SUM('1st Qtr'!H18, '2nd Qtr'!H18, '3rd Qtr'!H18, '4th Qtr'!H18)</f>
        <v>-379108.34599999996</v>
      </c>
      <c r="I18" s="40">
        <f t="shared" si="5"/>
        <v>-0.21649498839754602</v>
      </c>
    </row>
    <row r="19" spans="1:9" ht="15.6">
      <c r="A19" s="41" t="str">
        <v>Palombo A</v>
      </c>
      <c r="B19" s="42" t="str">
        <v>MA</v>
      </c>
      <c r="C19" s="43">
        <f>SUM('1st Qtr'!C19, '2nd Qtr'!C19, '3rd Qtr'!C19, '4th Qtr'!C19)</f>
        <v>3361894.9966777409</v>
      </c>
      <c r="D19" s="44">
        <f>SUM('1st Qtr'!D19, '2nd Qtr'!D19, '3rd Qtr'!D19, '4th Qtr'!D19)</f>
        <v>3869920.7379999999</v>
      </c>
      <c r="E19" s="44">
        <f t="shared" si="3"/>
        <v>-508025.74132225895</v>
      </c>
      <c r="F19" s="45">
        <f t="shared" si="4"/>
        <v>-0.13127549004655065</v>
      </c>
      <c r="G19" s="46">
        <f>SUM('1st Qtr'!G19, '2nd Qtr'!G19, '3rd Qtr'!G19, '4th Qtr'!G19)</f>
        <v>3897038.82</v>
      </c>
      <c r="H19" s="71">
        <f>SUM('1st Qtr'!H19, '2nd Qtr'!H19, '3rd Qtr'!H19, '4th Qtr'!H19)</f>
        <v>-535143.82332225901</v>
      </c>
      <c r="I19" s="45">
        <f t="shared" si="5"/>
        <v>-0.13732062933934516</v>
      </c>
    </row>
    <row r="20" spans="1:9" ht="15.6">
      <c r="A20" s="34" t="str">
        <v>Palombo B</v>
      </c>
      <c r="B20" s="35" t="str">
        <v>MA</v>
      </c>
      <c r="C20" s="36">
        <f>SUM('1st Qtr'!C20, '2nd Qtr'!C20, '3rd Qtr'!C20, '4th Qtr'!C20)</f>
        <v>1635061</v>
      </c>
      <c r="D20" s="37">
        <f>SUM('1st Qtr'!D20, '2nd Qtr'!D20, '3rd Qtr'!D20, '4th Qtr'!D20)</f>
        <v>1731517.8570000001</v>
      </c>
      <c r="E20" s="37">
        <f t="shared" ref="E20:E24" si="6">IF(AND(ISNUMBER(C20),ISNUMBER(D20)), C20-D20, "")</f>
        <v>-96456.857000000076</v>
      </c>
      <c r="F20" s="38">
        <f t="shared" ref="F20:F24" si="7">IFERROR(E20/D20, "")</f>
        <v>-5.5706533207298056E-2</v>
      </c>
      <c r="G20" s="39">
        <f>SUM('1st Qtr'!G20, '2nd Qtr'!G20, '3rd Qtr'!G20, '4th Qtr'!G20)</f>
        <v>1690413.48</v>
      </c>
      <c r="H20" s="39">
        <f>SUM('1st Qtr'!H20, '2nd Qtr'!H20, '3rd Qtr'!H20, '4th Qtr'!H20)</f>
        <v>-55352.48000000001</v>
      </c>
      <c r="I20" s="40">
        <f t="shared" ref="I20:I24" si="8">IFERROR(H20/G20, "")</f>
        <v>-3.2744935280568169E-2</v>
      </c>
    </row>
    <row r="21" spans="1:9" ht="15.6">
      <c r="A21" s="41" t="str">
        <v>St Josephs Church</v>
      </c>
      <c r="B21" s="42" t="str">
        <v>MA</v>
      </c>
      <c r="C21" s="43">
        <f>SUM('1st Qtr'!C21, '2nd Qtr'!C21, '3rd Qtr'!C21, '4th Qtr'!C21)</f>
        <v>1591942</v>
      </c>
      <c r="D21" s="44">
        <f>SUM('1st Qtr'!D21, '2nd Qtr'!D21, '3rd Qtr'!D21, '4th Qtr'!D21)</f>
        <v>2000987.004</v>
      </c>
      <c r="E21" s="44">
        <f t="shared" si="6"/>
        <v>-409045.00399999996</v>
      </c>
      <c r="F21" s="45">
        <f t="shared" si="7"/>
        <v>-0.20442161952192267</v>
      </c>
      <c r="G21" s="46">
        <f>SUM('1st Qtr'!G21, '2nd Qtr'!G21, '3rd Qtr'!G21, '4th Qtr'!G21)</f>
        <v>1725990.3670000001</v>
      </c>
      <c r="H21" s="71">
        <f>SUM('1st Qtr'!H21, '2nd Qtr'!H21, '3rd Qtr'!H21, '4th Qtr'!H21)</f>
        <v>-134048.36700000003</v>
      </c>
      <c r="I21" s="45">
        <f t="shared" si="8"/>
        <v>-7.7664609005317825E-2</v>
      </c>
    </row>
    <row r="22" spans="1:9" ht="15.6">
      <c r="A22" s="34" t="str">
        <v>Sunset A</v>
      </c>
      <c r="B22" s="35" t="str">
        <v>MA</v>
      </c>
      <c r="C22" s="36">
        <f>SUM('1st Qtr'!C22, '2nd Qtr'!C22, '3rd Qtr'!C22, '4th Qtr'!C22)</f>
        <v>764224.5</v>
      </c>
      <c r="D22" s="37">
        <f>SUM('1st Qtr'!D22, '2nd Qtr'!D22, '3rd Qtr'!D22, '4th Qtr'!D22)</f>
        <v>974955.79900000012</v>
      </c>
      <c r="E22" s="37">
        <f t="shared" si="6"/>
        <v>-210731.29900000012</v>
      </c>
      <c r="F22" s="38">
        <f t="shared" si="7"/>
        <v>-0.21614446441176569</v>
      </c>
      <c r="G22" s="39">
        <f>SUM('1st Qtr'!G22, '2nd Qtr'!G22, '3rd Qtr'!G22, '4th Qtr'!G22)</f>
        <v>768177.39799999993</v>
      </c>
      <c r="H22" s="39">
        <f>SUM('1st Qtr'!H22, '2nd Qtr'!H22, '3rd Qtr'!H22, '4th Qtr'!H22)</f>
        <v>-3952.8979999999792</v>
      </c>
      <c r="I22" s="40">
        <f t="shared" si="8"/>
        <v>-5.1458139881381667E-3</v>
      </c>
    </row>
    <row r="23" spans="1:9" ht="15.6">
      <c r="A23" s="41" t="str">
        <v>Sunset B</v>
      </c>
      <c r="B23" s="42" t="str">
        <v>MA</v>
      </c>
      <c r="C23" s="43">
        <f>SUM('1st Qtr'!C23, '2nd Qtr'!C23, '3rd Qtr'!C23, '4th Qtr'!C23)</f>
        <v>718910.5</v>
      </c>
      <c r="D23" s="44">
        <f>SUM('1st Qtr'!D23, '2nd Qtr'!D23, '3rd Qtr'!D23, '4th Qtr'!D23)</f>
        <v>838107.14800000004</v>
      </c>
      <c r="E23" s="44">
        <f t="shared" si="6"/>
        <v>-119196.64800000004</v>
      </c>
      <c r="F23" s="45">
        <f t="shared" si="7"/>
        <v>-0.14222125212085657</v>
      </c>
      <c r="G23" s="46">
        <f>SUM('1st Qtr'!G23, '2nd Qtr'!G23, '3rd Qtr'!G23, '4th Qtr'!G23)</f>
        <v>756679.50799999991</v>
      </c>
      <c r="H23" s="71">
        <f>SUM('1st Qtr'!H23, '2nd Qtr'!H23, '3rd Qtr'!H23, '4th Qtr'!H23)</f>
        <v>-37769.007999999994</v>
      </c>
      <c r="I23" s="45">
        <f t="shared" si="8"/>
        <v>-4.9914141457098903E-2</v>
      </c>
    </row>
    <row r="24" spans="1:9" ht="15.6">
      <c r="A24" s="34" t="str">
        <v>Woodchuck</v>
      </c>
      <c r="B24" s="35" t="str">
        <v>MA</v>
      </c>
      <c r="C24" s="36">
        <f>SUM('1st Qtr'!C24, '2nd Qtr'!C24, '3rd Qtr'!C24, '4th Qtr'!C24)</f>
        <v>1549793</v>
      </c>
      <c r="D24" s="37">
        <f>SUM('1st Qtr'!D24, '2nd Qtr'!D24, '3rd Qtr'!D24, '4th Qtr'!D24)</f>
        <v>1803247.9710000001</v>
      </c>
      <c r="E24" s="37">
        <f t="shared" si="6"/>
        <v>-253454.97100000014</v>
      </c>
      <c r="F24" s="38">
        <f t="shared" si="7"/>
        <v>-0.14055469634575296</v>
      </c>
      <c r="G24" s="39">
        <f>SUM('1st Qtr'!G24, '2nd Qtr'!G24, '3rd Qtr'!G24, '4th Qtr'!G24)</f>
        <v>1819742.8840000001</v>
      </c>
      <c r="H24" s="39">
        <f>SUM('1st Qtr'!H24, '2nd Qtr'!H24, '3rd Qtr'!H24, '4th Qtr'!H24)</f>
        <v>-269949.88400000002</v>
      </c>
      <c r="I24" s="40">
        <f t="shared" si="8"/>
        <v>-0.14834506917077195</v>
      </c>
    </row>
    <row r="25" spans="1:9" ht="15.6">
      <c r="A25" s="41" t="str">
        <v>NY: Skaneateles - Spafford 1 - (PW)</v>
      </c>
      <c r="B25" s="42" t="str">
        <v>NY</v>
      </c>
      <c r="C25" s="43">
        <f>SUM('1st Qtr'!C25, '2nd Qtr'!C25, '3rd Qtr'!C25, '4th Qtr'!C25)</f>
        <v>3607363</v>
      </c>
      <c r="D25" s="44">
        <f>SUM('1st Qtr'!D25, '2nd Qtr'!D25, '3rd Qtr'!D25, '4th Qtr'!D25)</f>
        <v>4111450.9810000001</v>
      </c>
      <c r="E25" s="44">
        <f t="shared" ref="E25:E27" si="9">IF(AND(ISNUMBER(C25),ISNUMBER(D25)), C25-D25, "")</f>
        <v>-504087.98100000015</v>
      </c>
      <c r="F25" s="45">
        <f t="shared" ref="F25:F27" si="10">IFERROR(E25/D25, "")</f>
        <v>-0.12260585942274672</v>
      </c>
      <c r="G25" s="46">
        <f>SUM('1st Qtr'!G25, '2nd Qtr'!G25, '3rd Qtr'!G25, '4th Qtr'!G25)</f>
        <v>3205042.0999999996</v>
      </c>
      <c r="H25" s="71">
        <f>SUM('1st Qtr'!H25, '2nd Qtr'!H25, '3rd Qtr'!H25, '4th Qtr'!H25)</f>
        <v>402320.89999999997</v>
      </c>
      <c r="I25" s="45">
        <f t="shared" ref="I25:I27" si="11">IFERROR(H25/G25, "")</f>
        <v>0.12552749307099587</v>
      </c>
    </row>
    <row r="26" spans="1:9" ht="15.6">
      <c r="A26" s="34" t="str">
        <v>NY: Skaneateles - Spafford 2 - (PW)</v>
      </c>
      <c r="B26" s="35" t="str">
        <v>NY</v>
      </c>
      <c r="C26" s="36">
        <f>SUM('1st Qtr'!C26, '2nd Qtr'!C26, '3rd Qtr'!C26, '4th Qtr'!C26)</f>
        <v>1560110</v>
      </c>
      <c r="D26" s="37">
        <f>SUM('1st Qtr'!D26, '2nd Qtr'!D26, '3rd Qtr'!D26, '4th Qtr'!D26)</f>
        <v>1456153.439</v>
      </c>
      <c r="E26" s="37">
        <f t="shared" si="9"/>
        <v>103956.56099999999</v>
      </c>
      <c r="F26" s="38">
        <f t="shared" si="10"/>
        <v>7.1391213464009118E-2</v>
      </c>
      <c r="G26" s="39">
        <f>SUM('1st Qtr'!G26, '2nd Qtr'!G26, '3rd Qtr'!G26, '4th Qtr'!G26)</f>
        <v>1342039.02</v>
      </c>
      <c r="H26" s="39">
        <f>SUM('1st Qtr'!H26, '2nd Qtr'!H26, '3rd Qtr'!H26, '4th Qtr'!H26)</f>
        <v>218070.97999999998</v>
      </c>
      <c r="I26" s="40">
        <f t="shared" si="11"/>
        <v>0.16249227984444148</v>
      </c>
    </row>
    <row r="27" spans="1:9" ht="15.6">
      <c r="A27" s="41" t="str">
        <v>NY: New Hartford - 4001 NY-12 (IRA)</v>
      </c>
      <c r="B27" s="42" t="str">
        <v>NY</v>
      </c>
      <c r="C27" s="43">
        <f>SUM('1st Qtr'!C27, '2nd Qtr'!C27, '3rd Qtr'!C27, '4th Qtr'!C27)</f>
        <v>256771</v>
      </c>
      <c r="D27" s="44">
        <f>SUM('1st Qtr'!D27, '2nd Qtr'!D27, '3rd Qtr'!D27, '4th Qtr'!D27)</f>
        <v>249567.641</v>
      </c>
      <c r="E27" s="44">
        <f t="shared" si="9"/>
        <v>7203.3589999999967</v>
      </c>
      <c r="F27" s="45">
        <f t="shared" si="10"/>
        <v>2.8863353322316321E-2</v>
      </c>
      <c r="G27" s="46">
        <f>SUM('1st Qtr'!G27, '2nd Qtr'!G27, '3rd Qtr'!G27, '4th Qtr'!G27)</f>
        <v>327929.777</v>
      </c>
      <c r="H27" s="71">
        <f>SUM('1st Qtr'!H27, '2nd Qtr'!H27, '3rd Qtr'!H27, '4th Qtr'!H27)</f>
        <v>-71158.777000000002</v>
      </c>
      <c r="I27" s="45">
        <f t="shared" si="11"/>
        <v>-0.21699394806711927</v>
      </c>
    </row>
    <row r="28" spans="1:9" ht="13.9">
      <c r="A28" s="13"/>
      <c r="B28" s="13"/>
      <c r="C28" s="13"/>
      <c r="D28" s="13"/>
      <c r="E28" s="13"/>
      <c r="F28" s="13"/>
      <c r="G28" s="13"/>
      <c r="H28" s="13"/>
      <c r="I28" s="13"/>
    </row>
    <row r="29" spans="1:9" ht="13.9">
      <c r="A29" s="13"/>
      <c r="B29" s="13"/>
      <c r="C29" s="13"/>
      <c r="D29" s="13"/>
      <c r="E29" s="13"/>
      <c r="F29" s="13"/>
      <c r="G29" s="13"/>
      <c r="H29" s="13"/>
      <c r="I29" s="13"/>
    </row>
    <row r="30" spans="1:9" ht="13.9">
      <c r="A30" s="13"/>
      <c r="B30" s="13"/>
      <c r="C30" s="13"/>
      <c r="D30" s="13"/>
      <c r="E30" s="13"/>
      <c r="F30" s="13"/>
      <c r="G30" s="13"/>
      <c r="H30" s="13"/>
      <c r="I30" s="13"/>
    </row>
    <row r="31" spans="1:9" ht="13.9">
      <c r="A31" s="13"/>
      <c r="B31" s="13"/>
      <c r="C31" s="13"/>
      <c r="D31" s="13"/>
      <c r="E31" s="13"/>
      <c r="F31" s="13"/>
      <c r="G31" s="13"/>
      <c r="H31" s="13"/>
      <c r="I31" s="13"/>
    </row>
    <row r="32" spans="1:9" ht="13.9">
      <c r="A32" s="13"/>
      <c r="B32" s="13"/>
      <c r="C32" s="13"/>
      <c r="D32" s="13"/>
      <c r="E32" s="13"/>
      <c r="F32" s="14"/>
      <c r="G32" s="13"/>
      <c r="H32" s="13"/>
      <c r="I32" s="14"/>
    </row>
    <row r="33" spans="1:9" ht="13.9">
      <c r="A33" s="13"/>
      <c r="B33" s="13"/>
      <c r="C33" s="13"/>
      <c r="D33" s="13"/>
      <c r="E33" s="13"/>
      <c r="F33" s="14"/>
      <c r="G33" s="13"/>
      <c r="H33" s="13"/>
      <c r="I33" s="14"/>
    </row>
    <row r="34" spans="1:9" ht="13.9">
      <c r="A34" s="13"/>
      <c r="B34" s="13"/>
      <c r="C34" s="13"/>
      <c r="D34" s="13"/>
      <c r="E34" s="13"/>
      <c r="F34" s="14"/>
      <c r="G34" s="13"/>
      <c r="H34" s="13"/>
      <c r="I34" s="14"/>
    </row>
    <row r="35" spans="1:9" ht="13.9">
      <c r="A35" s="13"/>
      <c r="B35" s="13"/>
      <c r="C35" s="13"/>
      <c r="D35" s="13"/>
      <c r="E35" s="13"/>
      <c r="F35" s="14"/>
      <c r="G35" s="13"/>
      <c r="H35" s="13"/>
      <c r="I35" s="14"/>
    </row>
    <row r="36" spans="1:9" ht="13.9">
      <c r="A36" s="13"/>
      <c r="B36" s="13"/>
      <c r="C36" s="13"/>
      <c r="D36" s="13"/>
      <c r="E36" s="13"/>
      <c r="F36" s="14"/>
      <c r="G36" s="13"/>
      <c r="H36" s="13"/>
      <c r="I36" s="14"/>
    </row>
    <row r="37" spans="1:9" ht="13.9">
      <c r="A37" s="13"/>
      <c r="B37" s="13"/>
      <c r="C37" s="13"/>
      <c r="D37" s="13"/>
      <c r="E37" s="13"/>
      <c r="F37" s="14"/>
      <c r="G37" s="13"/>
      <c r="H37" s="13"/>
      <c r="I37" s="14"/>
    </row>
    <row r="38" spans="1:9" ht="13.9">
      <c r="A38" s="13"/>
      <c r="B38" s="13"/>
      <c r="C38" s="13"/>
      <c r="D38" s="13"/>
      <c r="E38" s="13"/>
      <c r="F38" s="14"/>
      <c r="G38" s="13"/>
      <c r="H38" s="13"/>
      <c r="I38" s="14"/>
    </row>
    <row r="39" spans="1:9" ht="13.9">
      <c r="A39" s="13"/>
      <c r="B39" s="13"/>
      <c r="C39" s="13"/>
      <c r="D39" s="13"/>
      <c r="E39" s="13"/>
      <c r="F39" s="14"/>
      <c r="G39" s="13"/>
      <c r="H39" s="13"/>
      <c r="I39" s="14"/>
    </row>
    <row r="40" spans="1:9" ht="13.9">
      <c r="A40" s="13"/>
      <c r="B40" s="13"/>
      <c r="C40" s="13"/>
      <c r="D40" s="13"/>
      <c r="E40" s="13"/>
      <c r="F40" s="14"/>
      <c r="G40" s="13"/>
      <c r="H40" s="13"/>
      <c r="I40" s="14"/>
    </row>
    <row r="41" spans="1:9" ht="13.9">
      <c r="A41" s="13"/>
      <c r="B41" s="13"/>
      <c r="C41" s="13"/>
      <c r="D41" s="13"/>
      <c r="E41" s="13"/>
      <c r="F41" s="14"/>
      <c r="G41" s="13"/>
      <c r="H41" s="13"/>
      <c r="I41" s="14"/>
    </row>
    <row r="42" spans="1:9" ht="13.9">
      <c r="A42" s="13"/>
      <c r="B42" s="13"/>
      <c r="C42" s="13"/>
      <c r="D42" s="13"/>
      <c r="E42" s="13"/>
      <c r="F42" s="14"/>
      <c r="G42" s="13"/>
      <c r="H42" s="13"/>
      <c r="I42" s="14"/>
    </row>
    <row r="43" spans="1:9" ht="13.9">
      <c r="A43" s="13"/>
      <c r="B43" s="13"/>
      <c r="C43" s="13"/>
      <c r="D43" s="13"/>
      <c r="E43" s="13"/>
      <c r="F43" s="14"/>
      <c r="G43" s="13"/>
      <c r="H43" s="13"/>
      <c r="I43" s="14"/>
    </row>
    <row r="44" spans="1:9" ht="13.9">
      <c r="A44" s="13"/>
      <c r="B44" s="13"/>
      <c r="C44" s="13"/>
      <c r="D44" s="13"/>
      <c r="E44" s="13"/>
      <c r="F44" s="14"/>
      <c r="G44" s="13"/>
      <c r="H44" s="13"/>
      <c r="I44" s="14"/>
    </row>
    <row r="45" spans="1:9" ht="13.9">
      <c r="A45" s="13"/>
      <c r="B45" s="13"/>
      <c r="C45" s="13"/>
      <c r="D45" s="13"/>
      <c r="E45" s="13"/>
      <c r="F45" s="14"/>
      <c r="G45" s="13"/>
      <c r="H45" s="13"/>
      <c r="I45" s="14"/>
    </row>
    <row r="46" spans="1:9" ht="13.9">
      <c r="A46" s="13"/>
      <c r="B46" s="13"/>
      <c r="C46" s="13"/>
      <c r="D46" s="13"/>
      <c r="E46" s="13"/>
      <c r="F46" s="14"/>
      <c r="G46" s="13"/>
      <c r="H46" s="13"/>
      <c r="I46" s="14"/>
    </row>
    <row r="47" spans="1:9" ht="13.9">
      <c r="A47" s="13"/>
      <c r="B47" s="13"/>
      <c r="C47" s="13"/>
      <c r="D47" s="13"/>
      <c r="E47" s="13"/>
      <c r="F47" s="14"/>
      <c r="G47" s="13"/>
      <c r="H47" s="13"/>
      <c r="I47" s="14"/>
    </row>
    <row r="48" spans="1:9" ht="13.9">
      <c r="A48" s="13"/>
      <c r="B48" s="13"/>
      <c r="C48" s="13"/>
      <c r="D48" s="13"/>
      <c r="E48" s="13"/>
      <c r="F48" s="14"/>
      <c r="G48" s="13"/>
      <c r="H48" s="13"/>
      <c r="I48" s="14"/>
    </row>
    <row r="49" spans="1:9" ht="13.9">
      <c r="A49" s="13"/>
      <c r="B49" s="13"/>
      <c r="C49" s="13"/>
      <c r="D49" s="13"/>
      <c r="E49" s="13"/>
      <c r="F49" s="14"/>
      <c r="G49" s="13"/>
      <c r="H49" s="13"/>
      <c r="I49" s="14"/>
    </row>
    <row r="50" spans="1:9" ht="13.9">
      <c r="A50" s="13"/>
      <c r="B50" s="13"/>
      <c r="C50" s="13"/>
      <c r="D50" s="13"/>
      <c r="E50" s="13"/>
      <c r="F50" s="14"/>
      <c r="G50" s="13"/>
      <c r="H50" s="13"/>
      <c r="I50" s="14"/>
    </row>
    <row r="51" spans="1:9" ht="13.9">
      <c r="A51" s="13"/>
      <c r="B51" s="13"/>
      <c r="C51" s="13"/>
      <c r="D51" s="13"/>
      <c r="E51" s="13"/>
      <c r="F51" s="14"/>
      <c r="G51" s="13"/>
      <c r="H51" s="13"/>
      <c r="I51" s="14"/>
    </row>
    <row r="52" spans="1:9" ht="13.9">
      <c r="A52" s="13"/>
      <c r="B52" s="13"/>
      <c r="C52" s="13"/>
      <c r="D52" s="13"/>
      <c r="E52" s="13"/>
      <c r="F52" s="14"/>
      <c r="G52" s="13"/>
      <c r="H52" s="13"/>
      <c r="I52" s="14"/>
    </row>
    <row r="53" spans="1:9" ht="13.9">
      <c r="A53" s="13"/>
      <c r="B53" s="13"/>
      <c r="C53" s="13"/>
      <c r="D53" s="13"/>
      <c r="E53" s="13"/>
      <c r="F53" s="14"/>
      <c r="G53" s="13"/>
      <c r="H53" s="13"/>
      <c r="I53" s="14"/>
    </row>
    <row r="54" spans="1:9" ht="13.9">
      <c r="A54" s="13"/>
      <c r="B54" s="13"/>
      <c r="C54" s="13"/>
      <c r="D54" s="13"/>
      <c r="E54" s="13"/>
      <c r="F54" s="14"/>
      <c r="G54" s="13"/>
      <c r="H54" s="13"/>
      <c r="I54" s="14"/>
    </row>
    <row r="55" spans="1:9" ht="13.9">
      <c r="A55" s="13"/>
      <c r="B55" s="13"/>
      <c r="C55" s="13"/>
      <c r="D55" s="13"/>
      <c r="E55" s="13"/>
      <c r="F55" s="14"/>
      <c r="G55" s="13"/>
      <c r="H55" s="13"/>
      <c r="I55" s="14"/>
    </row>
    <row r="56" spans="1:9" ht="13.9">
      <c r="A56" s="13"/>
      <c r="B56" s="13"/>
      <c r="C56" s="13"/>
      <c r="D56" s="13"/>
      <c r="E56" s="13"/>
      <c r="F56" s="14"/>
      <c r="G56" s="13"/>
      <c r="H56" s="13"/>
      <c r="I56" s="14"/>
    </row>
    <row r="57" spans="1:9" ht="13.9">
      <c r="A57" s="13"/>
      <c r="B57" s="13"/>
      <c r="C57" s="13"/>
      <c r="D57" s="13"/>
      <c r="E57" s="13"/>
      <c r="F57" s="14"/>
      <c r="G57" s="13"/>
      <c r="H57" s="13"/>
      <c r="I57" s="14"/>
    </row>
    <row r="58" spans="1:9" ht="13.9">
      <c r="A58" s="13"/>
      <c r="B58" s="13"/>
      <c r="C58" s="13"/>
      <c r="D58" s="13"/>
      <c r="E58" s="13"/>
      <c r="F58" s="14"/>
      <c r="G58" s="13"/>
      <c r="H58" s="13"/>
      <c r="I58" s="14"/>
    </row>
    <row r="59" spans="1:9" ht="13.9">
      <c r="A59" s="13"/>
      <c r="B59" s="13"/>
      <c r="C59" s="13"/>
      <c r="D59" s="13"/>
      <c r="E59" s="13"/>
      <c r="F59" s="14"/>
      <c r="G59" s="13"/>
      <c r="H59" s="13"/>
      <c r="I59" s="14"/>
    </row>
    <row r="60" spans="1:9" ht="13.9">
      <c r="A60" s="13"/>
      <c r="B60" s="13"/>
      <c r="C60" s="13"/>
      <c r="D60" s="13"/>
      <c r="E60" s="13"/>
      <c r="F60" s="14"/>
      <c r="G60" s="13"/>
      <c r="H60" s="13"/>
      <c r="I60" s="14"/>
    </row>
    <row r="61" spans="1:9" ht="13.9">
      <c r="A61" s="13"/>
      <c r="B61" s="13"/>
      <c r="C61" s="13"/>
      <c r="D61" s="13"/>
      <c r="E61" s="13"/>
      <c r="F61" s="14"/>
      <c r="G61" s="13"/>
      <c r="H61" s="13"/>
      <c r="I61" s="14"/>
    </row>
    <row r="62" spans="1:9" ht="13.9">
      <c r="A62" s="13"/>
      <c r="B62" s="13"/>
      <c r="C62" s="13"/>
      <c r="D62" s="13"/>
      <c r="E62" s="13"/>
      <c r="F62" s="14"/>
      <c r="G62" s="13"/>
      <c r="H62" s="13"/>
      <c r="I62" s="14"/>
    </row>
    <row r="63" spans="1:9" ht="13.9">
      <c r="A63" s="13"/>
      <c r="B63" s="13"/>
      <c r="C63" s="13"/>
      <c r="D63" s="13"/>
      <c r="E63" s="13"/>
      <c r="F63" s="14"/>
      <c r="G63" s="13"/>
      <c r="H63" s="13"/>
      <c r="I63" s="14"/>
    </row>
    <row r="64" spans="1:9" ht="13.9">
      <c r="A64" s="13"/>
      <c r="B64" s="13"/>
      <c r="C64" s="13"/>
      <c r="D64" s="13"/>
      <c r="E64" s="13"/>
      <c r="F64" s="14"/>
      <c r="G64" s="13"/>
      <c r="H64" s="13"/>
      <c r="I64" s="14"/>
    </row>
    <row r="65" spans="1:9" ht="13.9">
      <c r="A65" s="13"/>
      <c r="B65" s="13"/>
      <c r="C65" s="13"/>
      <c r="D65" s="13"/>
      <c r="E65" s="13"/>
      <c r="F65" s="14"/>
      <c r="G65" s="13"/>
      <c r="H65" s="13"/>
      <c r="I65" s="14"/>
    </row>
    <row r="66" spans="1:9" ht="13.9">
      <c r="A66" s="13"/>
      <c r="B66" s="13"/>
      <c r="C66" s="13"/>
      <c r="D66" s="13"/>
      <c r="E66" s="13"/>
      <c r="F66" s="14"/>
      <c r="G66" s="13"/>
      <c r="H66" s="13"/>
      <c r="I66" s="14"/>
    </row>
    <row r="67" spans="1:9" ht="13.9">
      <c r="A67" s="13"/>
      <c r="B67" s="13"/>
      <c r="C67" s="13"/>
      <c r="D67" s="13"/>
      <c r="E67" s="13"/>
      <c r="F67" s="14"/>
      <c r="G67" s="13"/>
      <c r="H67" s="13"/>
      <c r="I67" s="14"/>
    </row>
    <row r="68" spans="1:9" ht="13.9">
      <c r="A68" s="13"/>
      <c r="B68" s="13"/>
      <c r="C68" s="13"/>
      <c r="D68" s="13"/>
      <c r="E68" s="13"/>
      <c r="F68" s="14"/>
      <c r="G68" s="13"/>
      <c r="H68" s="13"/>
      <c r="I68" s="14"/>
    </row>
    <row r="69" spans="1:9" ht="13.9">
      <c r="A69" s="13"/>
      <c r="B69" s="13"/>
      <c r="C69" s="13"/>
      <c r="D69" s="13"/>
      <c r="E69" s="13"/>
      <c r="F69" s="14"/>
      <c r="G69" s="13"/>
      <c r="H69" s="13"/>
      <c r="I69" s="14"/>
    </row>
    <row r="70" spans="1:9" ht="13.9">
      <c r="A70" s="13"/>
      <c r="B70" s="13"/>
      <c r="C70" s="13"/>
      <c r="D70" s="13"/>
      <c r="E70" s="13"/>
      <c r="F70" s="14"/>
      <c r="G70" s="13"/>
      <c r="H70" s="13"/>
      <c r="I70" s="14"/>
    </row>
    <row r="71" spans="1:9" ht="13.9">
      <c r="A71" s="13"/>
      <c r="B71" s="13"/>
      <c r="C71" s="13"/>
      <c r="D71" s="13"/>
      <c r="E71" s="13"/>
      <c r="F71" s="14"/>
      <c r="G71" s="13"/>
      <c r="H71" s="13"/>
      <c r="I71" s="14"/>
    </row>
    <row r="72" spans="1:9" ht="13.9">
      <c r="A72" s="13"/>
      <c r="B72" s="13"/>
      <c r="C72" s="13"/>
      <c r="D72" s="13"/>
      <c r="E72" s="13"/>
      <c r="F72" s="14"/>
      <c r="G72" s="13"/>
      <c r="H72" s="13"/>
      <c r="I72" s="14"/>
    </row>
    <row r="73" spans="1:9" ht="13.9">
      <c r="A73" s="13"/>
      <c r="B73" s="13"/>
      <c r="C73" s="13"/>
      <c r="D73" s="13"/>
      <c r="E73" s="13"/>
      <c r="F73" s="14"/>
      <c r="G73" s="13"/>
      <c r="H73" s="13"/>
      <c r="I73" s="14"/>
    </row>
    <row r="74" spans="1:9" ht="13.9">
      <c r="A74" s="13"/>
      <c r="B74" s="13"/>
      <c r="C74" s="13"/>
      <c r="D74" s="13"/>
      <c r="E74" s="13"/>
      <c r="F74" s="14"/>
      <c r="G74" s="13"/>
      <c r="H74" s="13"/>
      <c r="I74" s="14"/>
    </row>
    <row r="75" spans="1:9" ht="13.9">
      <c r="A75" s="13"/>
      <c r="B75" s="13"/>
      <c r="C75" s="13"/>
      <c r="D75" s="13"/>
      <c r="E75" s="13"/>
      <c r="F75" s="14"/>
      <c r="G75" s="13"/>
      <c r="H75" s="13"/>
      <c r="I75" s="14"/>
    </row>
    <row r="76" spans="1:9" ht="13.9">
      <c r="A76" s="13"/>
      <c r="B76" s="13"/>
      <c r="C76" s="13"/>
      <c r="D76" s="13"/>
      <c r="E76" s="13"/>
      <c r="F76" s="14"/>
      <c r="G76" s="13"/>
      <c r="H76" s="13"/>
      <c r="I76" s="14"/>
    </row>
    <row r="77" spans="1:9" ht="13.9">
      <c r="A77" s="13"/>
      <c r="B77" s="13"/>
      <c r="C77" s="13"/>
      <c r="D77" s="13"/>
      <c r="E77" s="13"/>
      <c r="F77" s="14"/>
      <c r="G77" s="13"/>
      <c r="H77" s="13"/>
      <c r="I77" s="14"/>
    </row>
    <row r="78" spans="1:9" ht="13.9">
      <c r="A78" s="13"/>
      <c r="B78" s="13"/>
      <c r="C78" s="13"/>
      <c r="D78" s="13"/>
      <c r="E78" s="13"/>
      <c r="F78" s="14"/>
      <c r="G78" s="13"/>
      <c r="H78" s="13"/>
      <c r="I78" s="14"/>
    </row>
    <row r="79" spans="1:9" ht="13.9">
      <c r="A79" s="13"/>
      <c r="B79" s="13"/>
      <c r="C79" s="13"/>
      <c r="D79" s="13"/>
      <c r="E79" s="13"/>
      <c r="F79" s="14"/>
      <c r="G79" s="13"/>
      <c r="H79" s="13"/>
      <c r="I79" s="14"/>
    </row>
    <row r="80" spans="1:9" ht="13.9">
      <c r="A80" s="13"/>
      <c r="B80" s="13"/>
      <c r="C80" s="13"/>
      <c r="D80" s="13"/>
      <c r="E80" s="13"/>
      <c r="F80" s="14"/>
      <c r="G80" s="13"/>
      <c r="H80" s="13"/>
      <c r="I80" s="14"/>
    </row>
    <row r="81" spans="1:9" ht="13.9">
      <c r="A81" s="13"/>
      <c r="B81" s="13"/>
      <c r="C81" s="13"/>
      <c r="D81" s="13"/>
      <c r="E81" s="13"/>
      <c r="F81" s="14"/>
      <c r="G81" s="13"/>
      <c r="H81" s="13"/>
      <c r="I81" s="14"/>
    </row>
    <row r="82" spans="1:9" ht="13.9">
      <c r="A82" s="13"/>
      <c r="B82" s="13"/>
      <c r="C82" s="13"/>
      <c r="D82" s="13"/>
      <c r="E82" s="13"/>
      <c r="F82" s="14"/>
      <c r="G82" s="13"/>
      <c r="H82" s="13"/>
      <c r="I82" s="14"/>
    </row>
    <row r="83" spans="1:9" ht="13.9">
      <c r="A83" s="13"/>
      <c r="B83" s="13"/>
      <c r="C83" s="13"/>
      <c r="D83" s="13"/>
      <c r="E83" s="13"/>
      <c r="F83" s="14"/>
      <c r="G83" s="13"/>
      <c r="H83" s="13"/>
      <c r="I83" s="14"/>
    </row>
    <row r="84" spans="1:9" ht="13.9">
      <c r="A84" s="13"/>
      <c r="B84" s="13"/>
      <c r="C84" s="13"/>
      <c r="D84" s="13"/>
      <c r="E84" s="13"/>
      <c r="F84" s="14"/>
      <c r="G84" s="13"/>
      <c r="H84" s="13"/>
      <c r="I84" s="14"/>
    </row>
    <row r="85" spans="1:9" ht="13.9">
      <c r="A85" s="13"/>
      <c r="B85" s="13"/>
      <c r="C85" s="13"/>
      <c r="D85" s="13"/>
      <c r="E85" s="13"/>
      <c r="F85" s="14"/>
      <c r="G85" s="13"/>
      <c r="H85" s="13"/>
      <c r="I85" s="14"/>
    </row>
    <row r="86" spans="1:9" ht="13.9">
      <c r="A86" s="13"/>
      <c r="B86" s="13"/>
      <c r="C86" s="13"/>
      <c r="D86" s="13"/>
      <c r="E86" s="13"/>
      <c r="F86" s="14"/>
      <c r="G86" s="13"/>
      <c r="H86" s="13"/>
      <c r="I86" s="14"/>
    </row>
    <row r="87" spans="1:9" ht="13.9">
      <c r="A87" s="13"/>
      <c r="B87" s="13"/>
      <c r="C87" s="13"/>
      <c r="D87" s="13"/>
      <c r="E87" s="13"/>
      <c r="F87" s="14"/>
      <c r="G87" s="13"/>
      <c r="H87" s="13"/>
      <c r="I87" s="14"/>
    </row>
    <row r="88" spans="1:9" ht="13.9">
      <c r="A88" s="13"/>
      <c r="B88" s="13"/>
      <c r="C88" s="13"/>
      <c r="D88" s="13"/>
      <c r="E88" s="13"/>
      <c r="F88" s="14"/>
      <c r="G88" s="13"/>
      <c r="H88" s="13"/>
      <c r="I88" s="14"/>
    </row>
    <row r="89" spans="1:9" ht="13.9">
      <c r="A89" s="13"/>
      <c r="B89" s="13"/>
      <c r="C89" s="13"/>
      <c r="D89" s="13"/>
      <c r="E89" s="13"/>
      <c r="F89" s="14"/>
      <c r="G89" s="13"/>
      <c r="H89" s="13"/>
      <c r="I89" s="14"/>
    </row>
    <row r="90" spans="1:9" ht="13.9">
      <c r="A90" s="13"/>
      <c r="B90" s="13"/>
      <c r="C90" s="13"/>
      <c r="D90" s="13"/>
      <c r="E90" s="13"/>
      <c r="F90" s="14"/>
      <c r="G90" s="13"/>
      <c r="H90" s="13"/>
      <c r="I90" s="14"/>
    </row>
    <row r="91" spans="1:9" ht="13.9">
      <c r="A91" s="13"/>
      <c r="B91" s="13"/>
      <c r="C91" s="13"/>
      <c r="D91" s="13"/>
      <c r="E91" s="13"/>
      <c r="F91" s="14"/>
      <c r="G91" s="13"/>
      <c r="H91" s="13"/>
      <c r="I91" s="14"/>
    </row>
    <row r="92" spans="1:9" ht="13.9">
      <c r="A92" s="13"/>
      <c r="B92" s="13"/>
      <c r="C92" s="13"/>
      <c r="D92" s="13"/>
      <c r="E92" s="13"/>
      <c r="F92" s="14"/>
      <c r="G92" s="13"/>
      <c r="H92" s="13"/>
      <c r="I92" s="14"/>
    </row>
    <row r="93" spans="1:9" ht="13.9">
      <c r="A93" s="13"/>
      <c r="B93" s="13"/>
      <c r="C93" s="13"/>
      <c r="D93" s="13"/>
      <c r="E93" s="13"/>
      <c r="F93" s="14"/>
      <c r="G93" s="13"/>
      <c r="H93" s="13"/>
      <c r="I93" s="14"/>
    </row>
    <row r="94" spans="1:9" ht="13.9">
      <c r="A94" s="13"/>
      <c r="B94" s="13"/>
      <c r="C94" s="13"/>
      <c r="D94" s="13"/>
      <c r="E94" s="13"/>
      <c r="F94" s="14"/>
      <c r="G94" s="13"/>
      <c r="H94" s="13"/>
      <c r="I94" s="14"/>
    </row>
    <row r="95" spans="1:9" ht="13.9">
      <c r="A95" s="13"/>
      <c r="B95" s="13"/>
      <c r="C95" s="13"/>
      <c r="D95" s="13"/>
      <c r="E95" s="13"/>
      <c r="F95" s="14"/>
      <c r="G95" s="13"/>
      <c r="H95" s="13"/>
      <c r="I95" s="14"/>
    </row>
    <row r="96" spans="1:9" ht="13.9">
      <c r="A96" s="13"/>
      <c r="B96" s="13"/>
      <c r="C96" s="13"/>
      <c r="D96" s="13"/>
      <c r="E96" s="13"/>
      <c r="F96" s="14"/>
      <c r="G96" s="13"/>
      <c r="H96" s="13"/>
      <c r="I96" s="14"/>
    </row>
    <row r="97" spans="1:9" ht="13.9">
      <c r="A97" s="13"/>
      <c r="B97" s="13"/>
      <c r="C97" s="13"/>
      <c r="D97" s="13"/>
      <c r="E97" s="13"/>
      <c r="F97" s="14"/>
      <c r="G97" s="13"/>
      <c r="H97" s="13"/>
      <c r="I97" s="14"/>
    </row>
    <row r="98" spans="1:9" ht="13.9">
      <c r="A98" s="13"/>
      <c r="B98" s="13"/>
      <c r="C98" s="13"/>
      <c r="D98" s="13"/>
      <c r="E98" s="13"/>
      <c r="F98" s="14"/>
      <c r="G98" s="13"/>
      <c r="H98" s="13"/>
      <c r="I98" s="14"/>
    </row>
    <row r="99" spans="1:9" ht="13.9">
      <c r="A99" s="13"/>
      <c r="B99" s="13"/>
      <c r="C99" s="13"/>
      <c r="D99" s="13"/>
      <c r="E99" s="13"/>
      <c r="F99" s="14"/>
      <c r="G99" s="13"/>
      <c r="H99" s="13"/>
      <c r="I99" s="14"/>
    </row>
    <row r="100" spans="1:9" ht="13.9">
      <c r="A100" s="13"/>
      <c r="B100" s="13"/>
      <c r="C100" s="13"/>
      <c r="D100" s="13"/>
      <c r="E100" s="13"/>
      <c r="F100" s="14"/>
      <c r="G100" s="13"/>
      <c r="H100" s="13"/>
      <c r="I100" s="14"/>
    </row>
    <row r="101" spans="1:9" ht="13.9">
      <c r="A101" s="13"/>
      <c r="B101" s="13"/>
      <c r="C101" s="13"/>
      <c r="D101" s="13"/>
      <c r="E101" s="13"/>
      <c r="F101" s="14"/>
      <c r="G101" s="13"/>
      <c r="H101" s="13"/>
      <c r="I101" s="14"/>
    </row>
    <row r="102" spans="1:9" ht="13.9">
      <c r="A102" s="13"/>
      <c r="B102" s="13"/>
      <c r="C102" s="13"/>
      <c r="D102" s="13"/>
      <c r="E102" s="13"/>
      <c r="F102" s="14"/>
      <c r="G102" s="13"/>
      <c r="H102" s="13"/>
      <c r="I102" s="14"/>
    </row>
    <row r="103" spans="1:9" ht="13.9">
      <c r="A103" s="13"/>
      <c r="B103" s="13"/>
      <c r="C103" s="13"/>
      <c r="D103" s="13"/>
      <c r="E103" s="13"/>
      <c r="F103" s="14"/>
      <c r="G103" s="13"/>
      <c r="H103" s="13"/>
      <c r="I103" s="14"/>
    </row>
    <row r="104" spans="1:9" ht="13.9">
      <c r="A104" s="13"/>
      <c r="B104" s="13"/>
      <c r="C104" s="13"/>
      <c r="D104" s="13"/>
      <c r="E104" s="13"/>
      <c r="F104" s="14"/>
      <c r="G104" s="13"/>
      <c r="H104" s="13"/>
      <c r="I104" s="14"/>
    </row>
    <row r="105" spans="1:9" ht="13.9">
      <c r="A105" s="13"/>
      <c r="B105" s="13"/>
      <c r="C105" s="13"/>
      <c r="D105" s="13"/>
      <c r="E105" s="13"/>
      <c r="F105" s="14"/>
      <c r="G105" s="13"/>
      <c r="H105" s="13"/>
      <c r="I105" s="14"/>
    </row>
    <row r="106" spans="1:9" ht="13.9">
      <c r="A106" s="13"/>
      <c r="B106" s="13"/>
      <c r="C106" s="13"/>
      <c r="D106" s="13"/>
      <c r="E106" s="13"/>
      <c r="F106" s="14"/>
      <c r="G106" s="13"/>
      <c r="H106" s="13"/>
      <c r="I106" s="14"/>
    </row>
    <row r="107" spans="1:9" ht="13.9">
      <c r="A107" s="13"/>
      <c r="B107" s="13"/>
      <c r="C107" s="13"/>
      <c r="D107" s="13"/>
      <c r="E107" s="13"/>
      <c r="F107" s="14"/>
      <c r="G107" s="13"/>
      <c r="H107" s="13"/>
      <c r="I107" s="14"/>
    </row>
    <row r="108" spans="1:9" ht="13.9">
      <c r="A108" s="13"/>
      <c r="B108" s="13"/>
      <c r="C108" s="13"/>
      <c r="D108" s="13"/>
      <c r="E108" s="13"/>
      <c r="F108" s="14"/>
      <c r="G108" s="13"/>
      <c r="H108" s="13"/>
      <c r="I108" s="14"/>
    </row>
    <row r="109" spans="1:9" ht="13.9">
      <c r="A109" s="13"/>
      <c r="B109" s="13"/>
      <c r="C109" s="13"/>
      <c r="D109" s="13"/>
      <c r="E109" s="13"/>
      <c r="F109" s="14"/>
      <c r="G109" s="13"/>
      <c r="H109" s="13"/>
      <c r="I109" s="14"/>
    </row>
    <row r="110" spans="1:9" ht="13.9">
      <c r="A110" s="13"/>
      <c r="B110" s="13"/>
      <c r="C110" s="13"/>
      <c r="D110" s="13"/>
      <c r="E110" s="13"/>
      <c r="F110" s="14"/>
      <c r="G110" s="13"/>
      <c r="H110" s="13"/>
      <c r="I110" s="14"/>
    </row>
    <row r="111" spans="1:9" ht="13.9">
      <c r="A111" s="13"/>
      <c r="B111" s="13"/>
      <c r="C111" s="13"/>
      <c r="D111" s="13"/>
      <c r="E111" s="13"/>
      <c r="F111" s="14"/>
      <c r="G111" s="13"/>
      <c r="H111" s="13"/>
      <c r="I111" s="14"/>
    </row>
    <row r="112" spans="1:9" ht="13.9">
      <c r="A112" s="13"/>
      <c r="B112" s="13"/>
      <c r="C112" s="13"/>
      <c r="D112" s="13"/>
      <c r="E112" s="13"/>
      <c r="F112" s="14"/>
      <c r="G112" s="13"/>
      <c r="H112" s="13"/>
      <c r="I112" s="14"/>
    </row>
    <row r="113" spans="1:9" ht="13.9">
      <c r="A113" s="13"/>
      <c r="B113" s="13"/>
      <c r="C113" s="13"/>
      <c r="D113" s="13"/>
      <c r="E113" s="13"/>
      <c r="F113" s="14"/>
      <c r="G113" s="13"/>
      <c r="H113" s="13"/>
      <c r="I113" s="14"/>
    </row>
    <row r="114" spans="1:9" ht="13.9">
      <c r="A114" s="13"/>
      <c r="B114" s="13"/>
      <c r="C114" s="13"/>
      <c r="D114" s="13"/>
      <c r="E114" s="13"/>
      <c r="F114" s="14"/>
      <c r="G114" s="13"/>
      <c r="H114" s="13"/>
      <c r="I114" s="14"/>
    </row>
    <row r="115" spans="1:9" ht="13.9">
      <c r="A115" s="13"/>
      <c r="B115" s="13"/>
      <c r="C115" s="13"/>
      <c r="D115" s="13"/>
      <c r="E115" s="13"/>
      <c r="F115" s="14"/>
      <c r="G115" s="13"/>
      <c r="H115" s="13"/>
      <c r="I115" s="14"/>
    </row>
    <row r="116" spans="1:9" ht="13.9">
      <c r="A116" s="13"/>
      <c r="B116" s="13"/>
      <c r="C116" s="13"/>
      <c r="D116" s="13"/>
      <c r="E116" s="13"/>
      <c r="F116" s="14"/>
      <c r="G116" s="13"/>
      <c r="H116" s="13"/>
      <c r="I116" s="14"/>
    </row>
    <row r="117" spans="1:9" ht="13.9">
      <c r="A117" s="13"/>
      <c r="B117" s="13"/>
      <c r="C117" s="13"/>
      <c r="D117" s="13"/>
      <c r="E117" s="13"/>
      <c r="F117" s="14"/>
      <c r="G117" s="13"/>
      <c r="H117" s="13"/>
      <c r="I117" s="14"/>
    </row>
    <row r="118" spans="1:9" ht="13.9">
      <c r="A118" s="13"/>
      <c r="B118" s="13"/>
      <c r="C118" s="13"/>
      <c r="D118" s="13"/>
      <c r="E118" s="13"/>
      <c r="F118" s="14"/>
      <c r="G118" s="13"/>
      <c r="H118" s="13"/>
      <c r="I118" s="14"/>
    </row>
    <row r="119" spans="1:9" ht="13.9">
      <c r="A119" s="13"/>
      <c r="B119" s="13"/>
      <c r="C119" s="13"/>
      <c r="D119" s="13"/>
      <c r="E119" s="13"/>
      <c r="F119" s="14"/>
      <c r="G119" s="13"/>
      <c r="H119" s="13"/>
      <c r="I119" s="14"/>
    </row>
    <row r="120" spans="1:9" ht="13.9">
      <c r="A120" s="13"/>
      <c r="B120" s="13"/>
      <c r="C120" s="13"/>
      <c r="D120" s="13"/>
      <c r="E120" s="13"/>
      <c r="F120" s="14"/>
      <c r="G120" s="13"/>
      <c r="H120" s="13"/>
      <c r="I120" s="14"/>
    </row>
    <row r="121" spans="1:9" ht="13.9">
      <c r="A121" s="13"/>
      <c r="B121" s="13"/>
      <c r="C121" s="13"/>
      <c r="D121" s="13"/>
      <c r="E121" s="13"/>
      <c r="F121" s="14"/>
      <c r="G121" s="13"/>
      <c r="H121" s="13"/>
      <c r="I121" s="14"/>
    </row>
    <row r="122" spans="1:9" ht="13.9">
      <c r="A122" s="13"/>
      <c r="B122" s="13"/>
      <c r="C122" s="13"/>
      <c r="D122" s="13"/>
      <c r="E122" s="13"/>
      <c r="F122" s="14"/>
      <c r="G122" s="13"/>
      <c r="H122" s="13"/>
      <c r="I122" s="14"/>
    </row>
    <row r="123" spans="1:9" ht="13.9">
      <c r="A123" s="13"/>
      <c r="B123" s="13"/>
      <c r="C123" s="13"/>
      <c r="D123" s="13"/>
      <c r="E123" s="13"/>
      <c r="F123" s="14"/>
      <c r="G123" s="13"/>
      <c r="H123" s="13"/>
      <c r="I123" s="14"/>
    </row>
    <row r="124" spans="1:9" ht="13.9">
      <c r="A124" s="13"/>
      <c r="B124" s="13"/>
      <c r="C124" s="13"/>
      <c r="D124" s="13"/>
      <c r="E124" s="13"/>
      <c r="F124" s="14"/>
      <c r="G124" s="13"/>
      <c r="H124" s="13"/>
      <c r="I124" s="14"/>
    </row>
    <row r="125" spans="1:9" ht="13.9">
      <c r="A125" s="13"/>
      <c r="B125" s="13"/>
      <c r="C125" s="13"/>
      <c r="D125" s="13"/>
      <c r="E125" s="13"/>
      <c r="F125" s="14"/>
      <c r="G125" s="13"/>
      <c r="H125" s="13"/>
      <c r="I125" s="14"/>
    </row>
    <row r="126" spans="1:9" ht="13.9">
      <c r="A126" s="13"/>
      <c r="B126" s="13"/>
      <c r="C126" s="13"/>
      <c r="D126" s="13"/>
      <c r="E126" s="13"/>
      <c r="F126" s="14"/>
      <c r="G126" s="13"/>
      <c r="H126" s="13"/>
      <c r="I126" s="14"/>
    </row>
    <row r="127" spans="1:9" ht="13.9">
      <c r="A127" s="13"/>
      <c r="B127" s="13"/>
      <c r="C127" s="13"/>
      <c r="D127" s="13"/>
      <c r="E127" s="13"/>
      <c r="F127" s="14"/>
      <c r="G127" s="13"/>
      <c r="H127" s="13"/>
      <c r="I127" s="14"/>
    </row>
    <row r="128" spans="1:9" ht="13.9">
      <c r="A128" s="13"/>
      <c r="B128" s="13"/>
      <c r="C128" s="13"/>
      <c r="D128" s="13"/>
      <c r="E128" s="13"/>
      <c r="F128" s="14"/>
      <c r="G128" s="13"/>
      <c r="H128" s="13"/>
      <c r="I128" s="14"/>
    </row>
    <row r="129" spans="1:9" ht="13.9">
      <c r="A129" s="13"/>
      <c r="B129" s="13"/>
      <c r="C129" s="13"/>
      <c r="D129" s="13"/>
      <c r="E129" s="13"/>
      <c r="F129" s="14"/>
      <c r="G129" s="13"/>
      <c r="H129" s="13"/>
      <c r="I129" s="14"/>
    </row>
    <row r="130" spans="1:9" ht="13.9">
      <c r="A130" s="13"/>
      <c r="B130" s="13"/>
      <c r="C130" s="13"/>
      <c r="D130" s="13"/>
      <c r="E130" s="13"/>
      <c r="F130" s="14"/>
      <c r="G130" s="13"/>
      <c r="H130" s="13"/>
      <c r="I130" s="14"/>
    </row>
    <row r="131" spans="1:9" ht="13.9">
      <c r="A131" s="13"/>
      <c r="B131" s="13"/>
      <c r="C131" s="13"/>
      <c r="D131" s="13"/>
      <c r="E131" s="13"/>
      <c r="F131" s="14"/>
      <c r="G131" s="13"/>
      <c r="H131" s="13"/>
      <c r="I131" s="14"/>
    </row>
    <row r="132" spans="1:9" ht="13.9">
      <c r="A132" s="13"/>
      <c r="B132" s="13"/>
      <c r="C132" s="13"/>
      <c r="D132" s="13"/>
      <c r="E132" s="13"/>
      <c r="F132" s="14"/>
      <c r="G132" s="13"/>
      <c r="H132" s="13"/>
      <c r="I132" s="14"/>
    </row>
    <row r="133" spans="1:9" ht="13.9">
      <c r="A133" s="13"/>
      <c r="B133" s="13"/>
      <c r="C133" s="13"/>
      <c r="D133" s="13"/>
      <c r="E133" s="13"/>
      <c r="F133" s="14"/>
      <c r="G133" s="13"/>
      <c r="H133" s="13"/>
      <c r="I133" s="14"/>
    </row>
    <row r="134" spans="1:9" ht="13.9">
      <c r="A134" s="13"/>
      <c r="B134" s="13"/>
      <c r="C134" s="13"/>
      <c r="D134" s="13"/>
      <c r="E134" s="13"/>
      <c r="F134" s="14"/>
      <c r="G134" s="13"/>
      <c r="H134" s="13"/>
      <c r="I134" s="14"/>
    </row>
    <row r="135" spans="1:9" ht="13.9">
      <c r="A135" s="13"/>
      <c r="B135" s="13"/>
      <c r="C135" s="13"/>
      <c r="D135" s="13"/>
      <c r="E135" s="13"/>
      <c r="F135" s="14"/>
      <c r="G135" s="13"/>
      <c r="H135" s="13"/>
      <c r="I135" s="14"/>
    </row>
    <row r="136" spans="1:9" ht="13.9">
      <c r="A136" s="13"/>
      <c r="B136" s="13"/>
      <c r="C136" s="13"/>
      <c r="D136" s="13"/>
      <c r="E136" s="13"/>
      <c r="F136" s="14"/>
      <c r="G136" s="13"/>
      <c r="H136" s="13"/>
      <c r="I136" s="14"/>
    </row>
    <row r="137" spans="1:9" ht="13.9">
      <c r="A137" s="13"/>
      <c r="B137" s="13"/>
      <c r="C137" s="13"/>
      <c r="D137" s="13"/>
      <c r="E137" s="13"/>
      <c r="F137" s="14"/>
      <c r="G137" s="13"/>
      <c r="H137" s="13"/>
      <c r="I137" s="14"/>
    </row>
    <row r="138" spans="1:9" ht="13.9">
      <c r="A138" s="13"/>
      <c r="B138" s="13"/>
      <c r="C138" s="13"/>
      <c r="D138" s="13"/>
      <c r="E138" s="13"/>
      <c r="F138" s="14"/>
      <c r="G138" s="13"/>
      <c r="H138" s="13"/>
      <c r="I138" s="14"/>
    </row>
    <row r="139" spans="1:9" ht="13.9">
      <c r="A139" s="13"/>
      <c r="B139" s="13"/>
      <c r="C139" s="13"/>
      <c r="D139" s="13"/>
      <c r="E139" s="13"/>
      <c r="F139" s="14"/>
      <c r="G139" s="13"/>
      <c r="H139" s="13"/>
      <c r="I139" s="14"/>
    </row>
    <row r="140" spans="1:9" ht="13.9">
      <c r="A140" s="13"/>
      <c r="B140" s="13"/>
      <c r="C140" s="13"/>
      <c r="D140" s="13"/>
      <c r="E140" s="13"/>
      <c r="F140" s="14"/>
      <c r="G140" s="13"/>
      <c r="H140" s="13"/>
      <c r="I140" s="14"/>
    </row>
    <row r="141" spans="1:9" ht="13.9">
      <c r="A141" s="13"/>
      <c r="B141" s="13"/>
      <c r="C141" s="13"/>
      <c r="D141" s="13"/>
      <c r="E141" s="13"/>
      <c r="F141" s="14"/>
      <c r="G141" s="13"/>
      <c r="H141" s="13"/>
      <c r="I141" s="14"/>
    </row>
    <row r="142" spans="1:9" ht="13.9">
      <c r="A142" s="13"/>
      <c r="B142" s="13"/>
      <c r="C142" s="13"/>
      <c r="D142" s="13"/>
      <c r="E142" s="13"/>
      <c r="F142" s="14"/>
      <c r="G142" s="13"/>
      <c r="H142" s="13"/>
      <c r="I142" s="14"/>
    </row>
    <row r="143" spans="1:9" ht="13.9">
      <c r="A143" s="13"/>
      <c r="B143" s="13"/>
      <c r="C143" s="13"/>
      <c r="D143" s="13"/>
      <c r="E143" s="13"/>
      <c r="F143" s="14"/>
      <c r="G143" s="13"/>
      <c r="H143" s="13"/>
      <c r="I143" s="14"/>
    </row>
    <row r="144" spans="1:9" ht="13.9">
      <c r="A144" s="13"/>
      <c r="B144" s="13"/>
      <c r="C144" s="13"/>
      <c r="D144" s="13"/>
      <c r="E144" s="13"/>
      <c r="F144" s="14"/>
      <c r="G144" s="13"/>
      <c r="H144" s="13"/>
      <c r="I144" s="14"/>
    </row>
    <row r="145" spans="1:9" ht="13.9">
      <c r="A145" s="13"/>
      <c r="B145" s="13"/>
      <c r="C145" s="13"/>
      <c r="D145" s="13"/>
      <c r="E145" s="13"/>
      <c r="F145" s="14"/>
      <c r="G145" s="13"/>
      <c r="H145" s="13"/>
      <c r="I145" s="14"/>
    </row>
    <row r="146" spans="1:9" ht="13.9">
      <c r="A146" s="13"/>
      <c r="B146" s="13"/>
      <c r="C146" s="13"/>
      <c r="D146" s="13"/>
      <c r="E146" s="13"/>
      <c r="F146" s="14"/>
      <c r="G146" s="13"/>
      <c r="H146" s="13"/>
      <c r="I146" s="14"/>
    </row>
    <row r="147" spans="1:9" ht="13.9">
      <c r="A147" s="13"/>
      <c r="B147" s="13"/>
      <c r="C147" s="13"/>
      <c r="D147" s="13"/>
      <c r="E147" s="13"/>
      <c r="F147" s="14"/>
      <c r="G147" s="13"/>
      <c r="H147" s="13"/>
      <c r="I147" s="14"/>
    </row>
    <row r="148" spans="1:9" ht="13.9">
      <c r="A148" s="13"/>
      <c r="B148" s="13"/>
      <c r="C148" s="13"/>
      <c r="D148" s="13"/>
      <c r="E148" s="13"/>
      <c r="F148" s="14"/>
      <c r="G148" s="13"/>
      <c r="H148" s="13"/>
      <c r="I148" s="14"/>
    </row>
    <row r="149" spans="1:9" ht="13.9">
      <c r="A149" s="13"/>
      <c r="B149" s="13"/>
      <c r="C149" s="13"/>
      <c r="D149" s="13"/>
      <c r="E149" s="13"/>
      <c r="F149" s="14"/>
      <c r="G149" s="13"/>
      <c r="H149" s="13"/>
      <c r="I149" s="14"/>
    </row>
    <row r="150" spans="1:9" ht="13.9">
      <c r="A150" s="13"/>
      <c r="B150" s="13"/>
      <c r="C150" s="13"/>
      <c r="D150" s="13"/>
      <c r="E150" s="13"/>
      <c r="F150" s="14"/>
      <c r="G150" s="13"/>
      <c r="H150" s="13"/>
      <c r="I150" s="14"/>
    </row>
    <row r="151" spans="1:9" ht="13.9">
      <c r="A151" s="13"/>
      <c r="B151" s="13"/>
      <c r="C151" s="13"/>
      <c r="D151" s="13"/>
      <c r="E151" s="13"/>
      <c r="F151" s="14"/>
      <c r="G151" s="13"/>
      <c r="H151" s="13"/>
      <c r="I151" s="14"/>
    </row>
    <row r="152" spans="1:9" ht="13.9">
      <c r="A152" s="13"/>
      <c r="B152" s="13"/>
      <c r="C152" s="13"/>
      <c r="D152" s="13"/>
      <c r="E152" s="13"/>
      <c r="F152" s="14"/>
      <c r="G152" s="13"/>
      <c r="H152" s="13"/>
      <c r="I152" s="14"/>
    </row>
    <row r="153" spans="1:9" ht="13.9">
      <c r="A153" s="13"/>
      <c r="B153" s="13"/>
      <c r="C153" s="13"/>
      <c r="D153" s="13"/>
      <c r="E153" s="13"/>
      <c r="F153" s="14"/>
      <c r="G153" s="13"/>
      <c r="H153" s="13"/>
      <c r="I153" s="14"/>
    </row>
    <row r="154" spans="1:9" ht="13.9">
      <c r="A154" s="13"/>
      <c r="B154" s="13"/>
      <c r="C154" s="13"/>
      <c r="D154" s="13"/>
      <c r="E154" s="13"/>
      <c r="F154" s="14"/>
      <c r="G154" s="13"/>
      <c r="H154" s="13"/>
      <c r="I154" s="14"/>
    </row>
    <row r="155" spans="1:9" ht="13.9">
      <c r="A155" s="13"/>
      <c r="B155" s="13"/>
      <c r="C155" s="13"/>
      <c r="D155" s="13"/>
      <c r="E155" s="13"/>
      <c r="F155" s="14"/>
      <c r="G155" s="13"/>
      <c r="H155" s="13"/>
      <c r="I155" s="14"/>
    </row>
    <row r="156" spans="1:9" ht="13.9">
      <c r="A156" s="13"/>
      <c r="B156" s="13"/>
      <c r="C156" s="13"/>
      <c r="D156" s="13"/>
      <c r="E156" s="13"/>
      <c r="F156" s="14"/>
      <c r="G156" s="13"/>
      <c r="H156" s="13"/>
      <c r="I156" s="14"/>
    </row>
    <row r="157" spans="1:9" ht="13.9">
      <c r="A157" s="13"/>
      <c r="B157" s="13"/>
      <c r="C157" s="13"/>
      <c r="D157" s="13"/>
      <c r="E157" s="13"/>
      <c r="F157" s="14"/>
      <c r="G157" s="13"/>
      <c r="H157" s="13"/>
      <c r="I157" s="14"/>
    </row>
    <row r="158" spans="1:9" ht="13.9">
      <c r="A158" s="13"/>
      <c r="B158" s="13"/>
      <c r="C158" s="13"/>
      <c r="D158" s="13"/>
      <c r="E158" s="13"/>
      <c r="F158" s="14"/>
      <c r="G158" s="13"/>
      <c r="H158" s="13"/>
      <c r="I158" s="14"/>
    </row>
    <row r="159" spans="1:9" ht="13.9">
      <c r="A159" s="13"/>
      <c r="B159" s="13"/>
      <c r="C159" s="13"/>
      <c r="D159" s="13"/>
      <c r="E159" s="13"/>
      <c r="F159" s="14"/>
      <c r="G159" s="13"/>
      <c r="H159" s="13"/>
      <c r="I159" s="14"/>
    </row>
    <row r="160" spans="1:9" ht="13.9">
      <c r="A160" s="13"/>
      <c r="B160" s="13"/>
      <c r="C160" s="13"/>
      <c r="D160" s="13"/>
      <c r="E160" s="13"/>
      <c r="F160" s="14"/>
      <c r="G160" s="13"/>
      <c r="H160" s="13"/>
      <c r="I160" s="14"/>
    </row>
    <row r="161" spans="1:9" ht="13.9">
      <c r="A161" s="13"/>
      <c r="B161" s="13"/>
      <c r="C161" s="13"/>
      <c r="D161" s="13"/>
      <c r="E161" s="13"/>
      <c r="F161" s="14"/>
      <c r="G161" s="13"/>
      <c r="H161" s="13"/>
      <c r="I161" s="14"/>
    </row>
    <row r="162" spans="1:9" ht="13.9">
      <c r="A162" s="13"/>
      <c r="B162" s="13"/>
      <c r="C162" s="13"/>
      <c r="D162" s="13"/>
      <c r="E162" s="13"/>
      <c r="F162" s="14"/>
      <c r="G162" s="13"/>
      <c r="H162" s="13"/>
      <c r="I162" s="14"/>
    </row>
    <row r="163" spans="1:9" ht="13.9">
      <c r="A163" s="13"/>
      <c r="B163" s="13"/>
      <c r="C163" s="13"/>
      <c r="D163" s="13"/>
      <c r="E163" s="13"/>
      <c r="F163" s="14"/>
      <c r="G163" s="13"/>
      <c r="H163" s="13"/>
      <c r="I163" s="14"/>
    </row>
    <row r="164" spans="1:9" ht="13.9">
      <c r="A164" s="13"/>
      <c r="B164" s="13"/>
      <c r="C164" s="13"/>
      <c r="D164" s="13"/>
      <c r="E164" s="13"/>
      <c r="F164" s="14"/>
      <c r="G164" s="13"/>
      <c r="H164" s="13"/>
      <c r="I164" s="14"/>
    </row>
    <row r="165" spans="1:9" ht="13.9">
      <c r="A165" s="13"/>
      <c r="B165" s="13"/>
      <c r="C165" s="13"/>
      <c r="D165" s="13"/>
      <c r="E165" s="13"/>
      <c r="F165" s="14"/>
      <c r="G165" s="13"/>
      <c r="H165" s="13"/>
      <c r="I165" s="14"/>
    </row>
    <row r="166" spans="1:9" ht="13.9">
      <c r="A166" s="13"/>
      <c r="B166" s="13"/>
      <c r="C166" s="13"/>
      <c r="D166" s="13"/>
      <c r="E166" s="13"/>
      <c r="F166" s="14"/>
      <c r="G166" s="13"/>
      <c r="H166" s="13"/>
      <c r="I166" s="14"/>
    </row>
    <row r="167" spans="1:9" ht="13.9">
      <c r="A167" s="13"/>
      <c r="B167" s="13"/>
      <c r="C167" s="13"/>
      <c r="D167" s="13"/>
      <c r="E167" s="13"/>
      <c r="F167" s="14"/>
      <c r="G167" s="13"/>
      <c r="H167" s="13"/>
      <c r="I167" s="14"/>
    </row>
    <row r="168" spans="1:9" ht="13.9">
      <c r="A168" s="13"/>
      <c r="B168" s="13"/>
      <c r="C168" s="13"/>
      <c r="D168" s="13"/>
      <c r="E168" s="13"/>
      <c r="F168" s="14"/>
      <c r="G168" s="13"/>
      <c r="H168" s="13"/>
      <c r="I168" s="14"/>
    </row>
    <row r="169" spans="1:9" ht="13.9">
      <c r="A169" s="13"/>
      <c r="B169" s="13"/>
      <c r="C169" s="13"/>
      <c r="D169" s="13"/>
      <c r="E169" s="13"/>
      <c r="F169" s="14"/>
      <c r="G169" s="13"/>
      <c r="H169" s="13"/>
      <c r="I169" s="14"/>
    </row>
    <row r="170" spans="1:9" ht="13.9">
      <c r="A170" s="13"/>
      <c r="B170" s="13"/>
      <c r="C170" s="13"/>
      <c r="D170" s="13"/>
      <c r="E170" s="13"/>
      <c r="F170" s="14"/>
      <c r="G170" s="13"/>
      <c r="H170" s="13"/>
      <c r="I170" s="14"/>
    </row>
    <row r="171" spans="1:9" ht="13.9">
      <c r="A171" s="13"/>
      <c r="B171" s="13"/>
      <c r="C171" s="13"/>
      <c r="D171" s="13"/>
      <c r="E171" s="13"/>
      <c r="F171" s="14"/>
      <c r="G171" s="13"/>
      <c r="H171" s="13"/>
      <c r="I171" s="14"/>
    </row>
    <row r="172" spans="1:9" ht="13.9">
      <c r="A172" s="13"/>
      <c r="B172" s="13"/>
      <c r="C172" s="13"/>
      <c r="D172" s="13"/>
      <c r="E172" s="13"/>
      <c r="F172" s="14"/>
      <c r="G172" s="13"/>
      <c r="H172" s="13"/>
      <c r="I172" s="14"/>
    </row>
    <row r="173" spans="1:9" ht="13.9">
      <c r="A173" s="13"/>
      <c r="B173" s="13"/>
      <c r="C173" s="13"/>
      <c r="D173" s="13"/>
      <c r="E173" s="13"/>
      <c r="F173" s="14"/>
      <c r="G173" s="13"/>
      <c r="H173" s="13"/>
      <c r="I173" s="14"/>
    </row>
    <row r="174" spans="1:9" ht="13.9">
      <c r="A174" s="13"/>
      <c r="B174" s="13"/>
      <c r="C174" s="13"/>
      <c r="D174" s="13"/>
      <c r="E174" s="13"/>
      <c r="F174" s="14"/>
      <c r="G174" s="13"/>
      <c r="H174" s="13"/>
      <c r="I174" s="14"/>
    </row>
    <row r="175" spans="1:9" ht="13.9">
      <c r="A175" s="13"/>
      <c r="B175" s="13"/>
      <c r="C175" s="13"/>
      <c r="D175" s="13"/>
      <c r="E175" s="13"/>
      <c r="F175" s="14"/>
      <c r="G175" s="13"/>
      <c r="H175" s="13"/>
      <c r="I175" s="14"/>
    </row>
    <row r="176" spans="1:9" ht="13.9">
      <c r="A176" s="13"/>
      <c r="B176" s="13"/>
      <c r="C176" s="13"/>
      <c r="D176" s="13"/>
      <c r="E176" s="13"/>
      <c r="F176" s="14"/>
      <c r="G176" s="13"/>
      <c r="H176" s="13"/>
      <c r="I176" s="14"/>
    </row>
    <row r="177" spans="1:9" ht="13.9">
      <c r="A177" s="13"/>
      <c r="B177" s="13"/>
      <c r="C177" s="13"/>
      <c r="D177" s="13"/>
      <c r="E177" s="13"/>
      <c r="F177" s="14"/>
      <c r="G177" s="13"/>
      <c r="H177" s="13"/>
      <c r="I177" s="14"/>
    </row>
    <row r="178" spans="1:9" ht="13.9">
      <c r="A178" s="13"/>
      <c r="B178" s="13"/>
      <c r="C178" s="13"/>
      <c r="D178" s="13"/>
      <c r="E178" s="13"/>
      <c r="F178" s="14"/>
      <c r="G178" s="13"/>
      <c r="H178" s="13"/>
      <c r="I178" s="14"/>
    </row>
    <row r="179" spans="1:9" ht="13.9">
      <c r="A179" s="13"/>
      <c r="B179" s="13"/>
      <c r="C179" s="13"/>
      <c r="D179" s="13"/>
      <c r="E179" s="13"/>
      <c r="F179" s="14"/>
      <c r="G179" s="13"/>
      <c r="H179" s="13"/>
      <c r="I179" s="14"/>
    </row>
    <row r="180" spans="1:9" ht="13.9">
      <c r="A180" s="13"/>
      <c r="B180" s="13"/>
      <c r="C180" s="13"/>
      <c r="D180" s="13"/>
      <c r="E180" s="13"/>
      <c r="F180" s="14"/>
      <c r="G180" s="13"/>
      <c r="H180" s="13"/>
      <c r="I180" s="14"/>
    </row>
    <row r="181" spans="1:9" ht="13.9">
      <c r="A181" s="13"/>
      <c r="B181" s="13"/>
      <c r="C181" s="13"/>
      <c r="D181" s="13"/>
      <c r="E181" s="13"/>
      <c r="F181" s="14"/>
      <c r="G181" s="13"/>
      <c r="H181" s="13"/>
      <c r="I181" s="14"/>
    </row>
    <row r="182" spans="1:9" ht="13.9">
      <c r="A182" s="13"/>
      <c r="B182" s="13"/>
      <c r="C182" s="13"/>
      <c r="D182" s="13"/>
      <c r="E182" s="13"/>
      <c r="F182" s="14"/>
      <c r="G182" s="13"/>
      <c r="H182" s="13"/>
      <c r="I182" s="14"/>
    </row>
    <row r="183" spans="1:9" ht="13.9">
      <c r="A183" s="13"/>
      <c r="B183" s="13"/>
      <c r="C183" s="13"/>
      <c r="D183" s="13"/>
      <c r="E183" s="13"/>
      <c r="F183" s="14"/>
      <c r="G183" s="13"/>
      <c r="H183" s="13"/>
      <c r="I183" s="14"/>
    </row>
    <row r="184" spans="1:9" ht="13.9">
      <c r="A184" s="13"/>
      <c r="B184" s="13"/>
      <c r="C184" s="13"/>
      <c r="D184" s="13"/>
      <c r="E184" s="13"/>
      <c r="F184" s="14"/>
      <c r="G184" s="13"/>
      <c r="H184" s="13"/>
      <c r="I184" s="14"/>
    </row>
    <row r="185" spans="1:9" ht="13.9">
      <c r="A185" s="13"/>
      <c r="B185" s="13"/>
      <c r="C185" s="13"/>
      <c r="D185" s="13"/>
      <c r="E185" s="13"/>
      <c r="F185" s="14"/>
      <c r="G185" s="13"/>
      <c r="H185" s="13"/>
      <c r="I185" s="14"/>
    </row>
    <row r="186" spans="1:9" ht="13.9">
      <c r="A186" s="13"/>
      <c r="B186" s="13"/>
      <c r="C186" s="13"/>
      <c r="D186" s="13"/>
      <c r="E186" s="13"/>
      <c r="F186" s="14"/>
      <c r="G186" s="13"/>
      <c r="H186" s="13"/>
      <c r="I186" s="14"/>
    </row>
    <row r="187" spans="1:9" ht="13.9">
      <c r="A187" s="13"/>
      <c r="B187" s="13"/>
      <c r="C187" s="13"/>
      <c r="D187" s="13"/>
      <c r="E187" s="13"/>
      <c r="F187" s="14"/>
      <c r="G187" s="13"/>
      <c r="H187" s="13"/>
      <c r="I187" s="14"/>
    </row>
    <row r="188" spans="1:9" ht="13.9">
      <c r="A188" s="13"/>
      <c r="B188" s="13"/>
      <c r="C188" s="13"/>
      <c r="D188" s="13"/>
      <c r="E188" s="13"/>
      <c r="F188" s="14"/>
      <c r="G188" s="13"/>
      <c r="H188" s="13"/>
      <c r="I188" s="14"/>
    </row>
    <row r="189" spans="1:9" ht="13.9">
      <c r="A189" s="13"/>
      <c r="B189" s="13"/>
      <c r="C189" s="13"/>
      <c r="D189" s="13"/>
      <c r="E189" s="13"/>
      <c r="F189" s="14"/>
      <c r="G189" s="13"/>
      <c r="H189" s="13"/>
      <c r="I189" s="14"/>
    </row>
    <row r="190" spans="1:9" ht="13.9">
      <c r="A190" s="13"/>
      <c r="B190" s="13"/>
      <c r="C190" s="13"/>
      <c r="D190" s="13"/>
      <c r="E190" s="13"/>
      <c r="F190" s="14"/>
      <c r="G190" s="13"/>
      <c r="H190" s="13"/>
      <c r="I190" s="14"/>
    </row>
    <row r="191" spans="1:9" ht="13.9">
      <c r="A191" s="13"/>
      <c r="B191" s="13"/>
      <c r="C191" s="13"/>
      <c r="D191" s="13"/>
      <c r="E191" s="13"/>
      <c r="F191" s="14"/>
      <c r="G191" s="13"/>
      <c r="H191" s="13"/>
      <c r="I191" s="14"/>
    </row>
    <row r="192" spans="1:9" ht="13.9">
      <c r="A192" s="13"/>
      <c r="B192" s="13"/>
      <c r="C192" s="13"/>
      <c r="D192" s="13"/>
      <c r="E192" s="13"/>
      <c r="F192" s="14"/>
      <c r="G192" s="13"/>
      <c r="H192" s="13"/>
      <c r="I192" s="14"/>
    </row>
    <row r="193" spans="1:9" ht="13.9">
      <c r="A193" s="13"/>
      <c r="B193" s="13"/>
      <c r="C193" s="13"/>
      <c r="D193" s="13"/>
      <c r="E193" s="13"/>
      <c r="F193" s="14"/>
      <c r="G193" s="13"/>
      <c r="H193" s="13"/>
      <c r="I193" s="14"/>
    </row>
    <row r="194" spans="1:9" ht="13.9">
      <c r="A194" s="13"/>
      <c r="B194" s="13"/>
      <c r="C194" s="13"/>
      <c r="D194" s="13"/>
      <c r="E194" s="13"/>
      <c r="F194" s="14"/>
      <c r="G194" s="13"/>
      <c r="H194" s="13"/>
      <c r="I194" s="14"/>
    </row>
    <row r="195" spans="1:9" ht="13.9">
      <c r="A195" s="13"/>
      <c r="B195" s="13"/>
      <c r="C195" s="13"/>
      <c r="D195" s="13"/>
      <c r="E195" s="13"/>
      <c r="F195" s="14"/>
      <c r="G195" s="13"/>
      <c r="H195" s="13"/>
      <c r="I195" s="14"/>
    </row>
    <row r="196" spans="1:9" ht="13.9">
      <c r="A196" s="13"/>
      <c r="B196" s="13"/>
      <c r="C196" s="13"/>
      <c r="D196" s="13"/>
      <c r="E196" s="13"/>
      <c r="F196" s="14"/>
      <c r="G196" s="13"/>
      <c r="H196" s="13"/>
      <c r="I196" s="14"/>
    </row>
    <row r="197" spans="1:9" ht="13.9">
      <c r="A197" s="13"/>
      <c r="B197" s="13"/>
      <c r="C197" s="13"/>
      <c r="D197" s="13"/>
      <c r="E197" s="13"/>
      <c r="F197" s="14"/>
      <c r="G197" s="13"/>
      <c r="H197" s="13"/>
      <c r="I197" s="14"/>
    </row>
    <row r="198" spans="1:9" ht="13.9">
      <c r="A198" s="13"/>
      <c r="B198" s="13"/>
      <c r="C198" s="13"/>
      <c r="D198" s="13"/>
      <c r="E198" s="13"/>
      <c r="F198" s="14"/>
      <c r="G198" s="13"/>
      <c r="H198" s="13"/>
      <c r="I198" s="14"/>
    </row>
    <row r="199" spans="1:9" ht="13.9">
      <c r="A199" s="13"/>
      <c r="B199" s="13"/>
      <c r="C199" s="13"/>
      <c r="D199" s="13"/>
      <c r="E199" s="13"/>
      <c r="F199" s="14"/>
      <c r="G199" s="13"/>
      <c r="H199" s="13"/>
      <c r="I199" s="14"/>
    </row>
    <row r="200" spans="1:9" ht="13.9">
      <c r="A200" s="13"/>
      <c r="B200" s="13"/>
      <c r="C200" s="13"/>
      <c r="D200" s="13"/>
      <c r="E200" s="13"/>
      <c r="F200" s="14"/>
      <c r="G200" s="13"/>
      <c r="H200" s="13"/>
      <c r="I200" s="14"/>
    </row>
    <row r="201" spans="1:9" ht="13.9">
      <c r="A201" s="13"/>
      <c r="B201" s="13"/>
      <c r="C201" s="13"/>
      <c r="D201" s="13"/>
      <c r="E201" s="13"/>
      <c r="F201" s="14"/>
      <c r="G201" s="13"/>
      <c r="H201" s="13"/>
      <c r="I201" s="14"/>
    </row>
    <row r="202" spans="1:9" ht="13.9">
      <c r="A202" s="13"/>
      <c r="B202" s="13"/>
      <c r="C202" s="13"/>
      <c r="D202" s="13"/>
      <c r="E202" s="13"/>
      <c r="F202" s="14"/>
      <c r="G202" s="13"/>
      <c r="H202" s="13"/>
      <c r="I202" s="14"/>
    </row>
    <row r="203" spans="1:9" ht="13.9">
      <c r="A203" s="13"/>
      <c r="B203" s="13"/>
      <c r="C203" s="13"/>
      <c r="D203" s="13"/>
      <c r="E203" s="13"/>
      <c r="F203" s="14"/>
      <c r="G203" s="13"/>
      <c r="H203" s="13"/>
      <c r="I203" s="14"/>
    </row>
    <row r="204" spans="1:9" ht="13.9">
      <c r="A204" s="13"/>
      <c r="B204" s="13"/>
      <c r="C204" s="13"/>
      <c r="D204" s="13"/>
      <c r="E204" s="13"/>
      <c r="F204" s="14"/>
      <c r="G204" s="13"/>
      <c r="H204" s="13"/>
      <c r="I204" s="14"/>
    </row>
    <row r="205" spans="1:9" ht="13.9">
      <c r="A205" s="13"/>
      <c r="B205" s="13"/>
      <c r="C205" s="13"/>
      <c r="D205" s="13"/>
      <c r="E205" s="13"/>
      <c r="F205" s="14"/>
      <c r="G205" s="13"/>
      <c r="H205" s="13"/>
      <c r="I205" s="14"/>
    </row>
    <row r="206" spans="1:9" ht="13.9">
      <c r="A206" s="13"/>
      <c r="B206" s="13"/>
      <c r="C206" s="13"/>
      <c r="D206" s="13"/>
      <c r="E206" s="13"/>
      <c r="F206" s="14"/>
      <c r="G206" s="13"/>
      <c r="H206" s="13"/>
      <c r="I206" s="14"/>
    </row>
    <row r="207" spans="1:9" ht="13.9">
      <c r="A207" s="13"/>
      <c r="B207" s="13"/>
      <c r="C207" s="13"/>
      <c r="D207" s="13"/>
      <c r="E207" s="13"/>
      <c r="F207" s="14"/>
      <c r="G207" s="13"/>
      <c r="H207" s="13"/>
      <c r="I207" s="14"/>
    </row>
    <row r="208" spans="1:9" ht="13.9">
      <c r="A208" s="13"/>
      <c r="B208" s="13"/>
      <c r="C208" s="13"/>
      <c r="D208" s="13"/>
      <c r="E208" s="13"/>
      <c r="F208" s="14"/>
      <c r="G208" s="13"/>
      <c r="H208" s="13"/>
      <c r="I208" s="14"/>
    </row>
    <row r="209" spans="1:9" ht="13.9">
      <c r="A209" s="13"/>
      <c r="B209" s="13"/>
      <c r="C209" s="13"/>
      <c r="D209" s="13"/>
      <c r="E209" s="13"/>
      <c r="F209" s="14"/>
      <c r="G209" s="13"/>
      <c r="H209" s="13"/>
      <c r="I209" s="14"/>
    </row>
    <row r="210" spans="1:9" ht="13.9">
      <c r="A210" s="13"/>
      <c r="B210" s="13"/>
      <c r="C210" s="13"/>
      <c r="D210" s="13"/>
      <c r="E210" s="13"/>
      <c r="F210" s="14"/>
      <c r="G210" s="13"/>
      <c r="H210" s="13"/>
      <c r="I210" s="14"/>
    </row>
    <row r="211" spans="1:9" ht="13.9">
      <c r="A211" s="13"/>
      <c r="B211" s="13"/>
      <c r="C211" s="13"/>
      <c r="D211" s="13"/>
      <c r="E211" s="13"/>
      <c r="F211" s="14"/>
      <c r="G211" s="13"/>
      <c r="H211" s="13"/>
      <c r="I211" s="14"/>
    </row>
    <row r="212" spans="1:9" ht="13.9">
      <c r="A212" s="13"/>
      <c r="B212" s="13"/>
      <c r="C212" s="13"/>
      <c r="D212" s="13"/>
      <c r="E212" s="13"/>
      <c r="F212" s="14"/>
      <c r="G212" s="13"/>
      <c r="H212" s="13"/>
      <c r="I212" s="14"/>
    </row>
    <row r="213" spans="1:9" ht="13.9">
      <c r="A213" s="13"/>
      <c r="B213" s="13"/>
      <c r="C213" s="13"/>
      <c r="D213" s="13"/>
      <c r="E213" s="13"/>
      <c r="F213" s="14"/>
      <c r="G213" s="13"/>
      <c r="H213" s="13"/>
      <c r="I213" s="14"/>
    </row>
    <row r="214" spans="1:9" ht="13.9">
      <c r="A214" s="13"/>
      <c r="B214" s="13"/>
      <c r="C214" s="13"/>
      <c r="D214" s="13"/>
      <c r="E214" s="13"/>
      <c r="F214" s="14"/>
      <c r="G214" s="13"/>
      <c r="H214" s="13"/>
      <c r="I214" s="14"/>
    </row>
    <row r="215" spans="1:9" ht="13.9">
      <c r="A215" s="13"/>
      <c r="B215" s="13"/>
      <c r="C215" s="13"/>
      <c r="D215" s="13"/>
      <c r="E215" s="13"/>
      <c r="F215" s="14"/>
      <c r="G215" s="13"/>
      <c r="H215" s="13"/>
      <c r="I215" s="14"/>
    </row>
    <row r="216" spans="1:9" ht="13.9">
      <c r="A216" s="13"/>
      <c r="B216" s="13"/>
      <c r="C216" s="13"/>
      <c r="D216" s="13"/>
      <c r="E216" s="13"/>
      <c r="F216" s="14"/>
      <c r="G216" s="13"/>
      <c r="H216" s="13"/>
      <c r="I216" s="14"/>
    </row>
    <row r="217" spans="1:9" ht="13.9">
      <c r="A217" s="13"/>
      <c r="B217" s="13"/>
      <c r="C217" s="13"/>
      <c r="D217" s="13"/>
      <c r="E217" s="13"/>
      <c r="F217" s="14"/>
      <c r="G217" s="13"/>
      <c r="H217" s="13"/>
      <c r="I217" s="14"/>
    </row>
    <row r="218" spans="1:9" ht="13.9">
      <c r="A218" s="13"/>
      <c r="B218" s="13"/>
      <c r="C218" s="13"/>
      <c r="D218" s="13"/>
      <c r="E218" s="13"/>
      <c r="F218" s="14"/>
      <c r="G218" s="13"/>
      <c r="H218" s="13"/>
      <c r="I218" s="14"/>
    </row>
    <row r="219" spans="1:9" ht="13.9">
      <c r="A219" s="13"/>
      <c r="B219" s="13"/>
      <c r="C219" s="13"/>
      <c r="D219" s="13"/>
      <c r="E219" s="13"/>
      <c r="F219" s="14"/>
      <c r="G219" s="13"/>
      <c r="H219" s="13"/>
      <c r="I219" s="14"/>
    </row>
    <row r="220" spans="1:9" ht="13.9">
      <c r="A220" s="13"/>
      <c r="B220" s="13"/>
      <c r="C220" s="13"/>
      <c r="D220" s="13"/>
      <c r="E220" s="13"/>
      <c r="F220" s="14"/>
      <c r="G220" s="13"/>
      <c r="H220" s="13"/>
      <c r="I220" s="14"/>
    </row>
    <row r="221" spans="1:9" ht="13.9">
      <c r="A221" s="13"/>
      <c r="B221" s="13"/>
      <c r="C221" s="13"/>
      <c r="D221" s="13"/>
      <c r="E221" s="13"/>
      <c r="F221" s="14"/>
      <c r="G221" s="13"/>
      <c r="H221" s="13"/>
      <c r="I221" s="14"/>
    </row>
    <row r="222" spans="1:9" ht="13.9">
      <c r="A222" s="13"/>
      <c r="B222" s="13"/>
      <c r="C222" s="13"/>
      <c r="D222" s="13"/>
      <c r="E222" s="13"/>
      <c r="F222" s="14"/>
      <c r="G222" s="13"/>
      <c r="H222" s="13"/>
      <c r="I222" s="14"/>
    </row>
    <row r="223" spans="1:9" ht="13.9">
      <c r="A223" s="13"/>
      <c r="B223" s="13"/>
      <c r="C223" s="13"/>
      <c r="D223" s="13"/>
      <c r="E223" s="13"/>
      <c r="F223" s="14"/>
      <c r="G223" s="13"/>
      <c r="H223" s="13"/>
      <c r="I223" s="14"/>
    </row>
    <row r="224" spans="1:9" ht="13.9">
      <c r="A224" s="13"/>
      <c r="B224" s="13"/>
      <c r="C224" s="13"/>
      <c r="D224" s="13"/>
      <c r="E224" s="13"/>
      <c r="F224" s="14"/>
      <c r="G224" s="13"/>
      <c r="H224" s="13"/>
      <c r="I224" s="14"/>
    </row>
    <row r="225" spans="1:9" ht="13.9">
      <c r="A225" s="13"/>
      <c r="B225" s="13"/>
      <c r="C225" s="13"/>
      <c r="D225" s="13"/>
      <c r="E225" s="13"/>
      <c r="F225" s="14"/>
      <c r="G225" s="13"/>
      <c r="H225" s="13"/>
      <c r="I225" s="14"/>
    </row>
    <row r="226" spans="1:9" ht="13.9">
      <c r="A226" s="13"/>
      <c r="B226" s="13"/>
      <c r="C226" s="13"/>
      <c r="D226" s="13"/>
      <c r="E226" s="13"/>
      <c r="F226" s="14"/>
      <c r="G226" s="13"/>
      <c r="H226" s="13"/>
      <c r="I226" s="14"/>
    </row>
    <row r="227" spans="1:9" ht="13.9">
      <c r="A227" s="13"/>
      <c r="B227" s="13"/>
      <c r="C227" s="13"/>
      <c r="D227" s="13"/>
      <c r="E227" s="13"/>
      <c r="F227" s="14"/>
      <c r="G227" s="13"/>
      <c r="H227" s="13"/>
      <c r="I227" s="14"/>
    </row>
    <row r="228" spans="1:9" ht="13.9">
      <c r="A228" s="13"/>
      <c r="B228" s="13"/>
      <c r="C228" s="13"/>
      <c r="D228" s="13"/>
      <c r="E228" s="13"/>
      <c r="F228" s="14"/>
      <c r="G228" s="13"/>
      <c r="H228" s="13"/>
      <c r="I228" s="14"/>
    </row>
    <row r="229" spans="1:9" ht="13.9">
      <c r="A229" s="13"/>
      <c r="B229" s="13"/>
      <c r="C229" s="13"/>
      <c r="D229" s="13"/>
      <c r="E229" s="13"/>
      <c r="F229" s="14"/>
      <c r="G229" s="13"/>
      <c r="H229" s="13"/>
      <c r="I229" s="14"/>
    </row>
    <row r="230" spans="1:9" ht="13.9">
      <c r="A230" s="13"/>
      <c r="B230" s="13"/>
      <c r="C230" s="13"/>
      <c r="D230" s="13"/>
      <c r="E230" s="13"/>
      <c r="F230" s="14"/>
      <c r="G230" s="13"/>
      <c r="H230" s="13"/>
      <c r="I230" s="14"/>
    </row>
    <row r="231" spans="1:9" ht="13.9">
      <c r="A231" s="13"/>
      <c r="B231" s="13"/>
      <c r="C231" s="13"/>
      <c r="D231" s="13"/>
      <c r="E231" s="13"/>
      <c r="F231" s="14"/>
      <c r="G231" s="13"/>
      <c r="H231" s="13"/>
      <c r="I231" s="14"/>
    </row>
    <row r="232" spans="1:9" ht="13.9">
      <c r="A232" s="13"/>
      <c r="B232" s="13"/>
      <c r="C232" s="13"/>
      <c r="D232" s="13"/>
      <c r="E232" s="13"/>
      <c r="F232" s="14"/>
      <c r="G232" s="13"/>
      <c r="H232" s="13"/>
      <c r="I232" s="14"/>
    </row>
    <row r="233" spans="1:9" ht="13.9">
      <c r="A233" s="13"/>
      <c r="B233" s="13"/>
      <c r="C233" s="13"/>
      <c r="D233" s="13"/>
      <c r="E233" s="13"/>
      <c r="F233" s="14"/>
      <c r="G233" s="13"/>
      <c r="H233" s="13"/>
      <c r="I233" s="14"/>
    </row>
    <row r="234" spans="1:9" ht="13.9">
      <c r="A234" s="13"/>
      <c r="B234" s="13"/>
      <c r="C234" s="13"/>
      <c r="D234" s="13"/>
      <c r="E234" s="13"/>
      <c r="F234" s="14"/>
      <c r="G234" s="13"/>
      <c r="H234" s="13"/>
      <c r="I234" s="14"/>
    </row>
    <row r="235" spans="1:9" ht="13.9">
      <c r="A235" s="13"/>
      <c r="B235" s="13"/>
      <c r="C235" s="13"/>
      <c r="D235" s="13"/>
      <c r="E235" s="13"/>
      <c r="F235" s="14"/>
      <c r="G235" s="13"/>
      <c r="H235" s="13"/>
      <c r="I235" s="14"/>
    </row>
    <row r="236" spans="1:9" ht="13.9">
      <c r="A236" s="13"/>
      <c r="B236" s="13"/>
      <c r="C236" s="13"/>
      <c r="D236" s="13"/>
      <c r="E236" s="13"/>
      <c r="F236" s="14"/>
      <c r="G236" s="13"/>
      <c r="H236" s="13"/>
      <c r="I236" s="14"/>
    </row>
    <row r="237" spans="1:9" ht="13.9">
      <c r="A237" s="13"/>
      <c r="B237" s="13"/>
      <c r="C237" s="13"/>
      <c r="D237" s="13"/>
      <c r="E237" s="13"/>
      <c r="F237" s="14"/>
      <c r="G237" s="13"/>
      <c r="H237" s="13"/>
      <c r="I237" s="14"/>
    </row>
    <row r="238" spans="1:9" ht="13.9">
      <c r="A238" s="13"/>
      <c r="B238" s="13"/>
      <c r="C238" s="13"/>
      <c r="D238" s="13"/>
      <c r="E238" s="13"/>
      <c r="F238" s="14"/>
      <c r="G238" s="13"/>
      <c r="H238" s="13"/>
      <c r="I238" s="14"/>
    </row>
    <row r="239" spans="1:9" ht="13.9">
      <c r="A239" s="13"/>
      <c r="B239" s="13"/>
      <c r="C239" s="13"/>
      <c r="D239" s="13"/>
      <c r="E239" s="13"/>
      <c r="F239" s="14"/>
      <c r="G239" s="13"/>
      <c r="H239" s="13"/>
      <c r="I239" s="14"/>
    </row>
    <row r="240" spans="1:9" ht="13.9">
      <c r="A240" s="13"/>
      <c r="B240" s="13"/>
      <c r="C240" s="13"/>
      <c r="D240" s="13"/>
      <c r="E240" s="13"/>
      <c r="F240" s="14"/>
      <c r="G240" s="13"/>
      <c r="H240" s="13"/>
      <c r="I240" s="14"/>
    </row>
    <row r="241" spans="1:9" ht="13.9">
      <c r="A241" s="13"/>
      <c r="B241" s="13"/>
      <c r="C241" s="13"/>
      <c r="D241" s="13"/>
      <c r="E241" s="13"/>
      <c r="F241" s="14"/>
      <c r="G241" s="13"/>
      <c r="H241" s="13"/>
      <c r="I241" s="14"/>
    </row>
    <row r="242" spans="1:9" ht="13.9">
      <c r="A242" s="13"/>
      <c r="B242" s="13"/>
      <c r="C242" s="13"/>
      <c r="D242" s="13"/>
      <c r="E242" s="13"/>
      <c r="F242" s="14"/>
      <c r="G242" s="13"/>
      <c r="H242" s="13"/>
      <c r="I242" s="14"/>
    </row>
    <row r="243" spans="1:9" ht="13.9">
      <c r="A243" s="13"/>
      <c r="B243" s="13"/>
      <c r="C243" s="13"/>
      <c r="D243" s="13"/>
      <c r="E243" s="13"/>
      <c r="F243" s="14"/>
      <c r="G243" s="13"/>
      <c r="H243" s="13"/>
      <c r="I243" s="14"/>
    </row>
    <row r="244" spans="1:9" ht="13.9">
      <c r="A244" s="13"/>
      <c r="B244" s="13"/>
      <c r="C244" s="13"/>
      <c r="D244" s="13"/>
      <c r="E244" s="13"/>
      <c r="F244" s="14"/>
      <c r="G244" s="13"/>
      <c r="H244" s="13"/>
      <c r="I244" s="14"/>
    </row>
    <row r="245" spans="1:9" ht="13.9">
      <c r="A245" s="13"/>
      <c r="B245" s="13"/>
      <c r="C245" s="13"/>
      <c r="D245" s="13"/>
      <c r="E245" s="13"/>
      <c r="F245" s="14"/>
      <c r="G245" s="13"/>
      <c r="H245" s="13"/>
      <c r="I245" s="14"/>
    </row>
    <row r="246" spans="1:9" ht="13.9">
      <c r="A246" s="13"/>
      <c r="B246" s="13"/>
      <c r="C246" s="13"/>
      <c r="D246" s="13"/>
      <c r="E246" s="13"/>
      <c r="F246" s="14"/>
      <c r="G246" s="13"/>
      <c r="H246" s="13"/>
      <c r="I246" s="14"/>
    </row>
    <row r="247" spans="1:9" ht="13.9">
      <c r="A247" s="13"/>
      <c r="B247" s="13"/>
      <c r="C247" s="13"/>
      <c r="D247" s="13"/>
      <c r="E247" s="13"/>
      <c r="F247" s="14"/>
      <c r="G247" s="13"/>
      <c r="H247" s="13"/>
      <c r="I247" s="14"/>
    </row>
    <row r="248" spans="1:9" ht="13.9">
      <c r="A248" s="13"/>
      <c r="B248" s="13"/>
      <c r="C248" s="13"/>
      <c r="D248" s="13"/>
      <c r="E248" s="13"/>
      <c r="F248" s="14"/>
      <c r="G248" s="13"/>
      <c r="H248" s="13"/>
      <c r="I248" s="14"/>
    </row>
    <row r="249" spans="1:9" ht="13.9">
      <c r="A249" s="13"/>
      <c r="B249" s="13"/>
      <c r="C249" s="13"/>
      <c r="D249" s="13"/>
      <c r="E249" s="13"/>
      <c r="F249" s="14"/>
      <c r="G249" s="13"/>
      <c r="H249" s="13"/>
      <c r="I249" s="14"/>
    </row>
    <row r="250" spans="1:9" ht="13.9">
      <c r="A250" s="13"/>
      <c r="B250" s="13"/>
      <c r="C250" s="13"/>
      <c r="D250" s="13"/>
      <c r="E250" s="13"/>
      <c r="F250" s="14"/>
      <c r="G250" s="13"/>
      <c r="H250" s="13"/>
      <c r="I250" s="14"/>
    </row>
    <row r="251" spans="1:9" ht="13.9">
      <c r="A251" s="13"/>
      <c r="B251" s="13"/>
      <c r="C251" s="13"/>
      <c r="D251" s="13"/>
      <c r="E251" s="13"/>
      <c r="F251" s="14"/>
      <c r="G251" s="13"/>
      <c r="H251" s="13"/>
      <c r="I251" s="14"/>
    </row>
    <row r="252" spans="1:9" ht="13.9">
      <c r="A252" s="13"/>
      <c r="B252" s="13"/>
      <c r="C252" s="13"/>
      <c r="D252" s="13"/>
      <c r="E252" s="13"/>
      <c r="F252" s="14"/>
      <c r="G252" s="13"/>
      <c r="H252" s="13"/>
      <c r="I252" s="14"/>
    </row>
    <row r="253" spans="1:9" ht="13.9">
      <c r="A253" s="13"/>
      <c r="B253" s="13"/>
      <c r="C253" s="13"/>
      <c r="D253" s="13"/>
      <c r="E253" s="13"/>
      <c r="F253" s="14"/>
      <c r="G253" s="13"/>
      <c r="H253" s="13"/>
      <c r="I253" s="14"/>
    </row>
    <row r="254" spans="1:9" ht="13.9">
      <c r="A254" s="13"/>
      <c r="B254" s="13"/>
      <c r="C254" s="13"/>
      <c r="D254" s="13"/>
      <c r="E254" s="13"/>
      <c r="F254" s="14"/>
      <c r="G254" s="13"/>
      <c r="H254" s="13"/>
      <c r="I254" s="14"/>
    </row>
    <row r="255" spans="1:9" ht="13.9">
      <c r="A255" s="13"/>
      <c r="B255" s="13"/>
      <c r="C255" s="13"/>
      <c r="D255" s="13"/>
      <c r="E255" s="13"/>
      <c r="F255" s="14"/>
      <c r="G255" s="13"/>
      <c r="H255" s="13"/>
      <c r="I255" s="14"/>
    </row>
    <row r="256" spans="1:9" ht="13.9">
      <c r="A256" s="13"/>
      <c r="B256" s="13"/>
      <c r="C256" s="13"/>
      <c r="D256" s="13"/>
      <c r="E256" s="13"/>
      <c r="F256" s="14"/>
      <c r="G256" s="13"/>
      <c r="H256" s="13"/>
      <c r="I256" s="14"/>
    </row>
    <row r="257" spans="1:9" ht="13.9">
      <c r="A257" s="13"/>
      <c r="B257" s="13"/>
      <c r="C257" s="13"/>
      <c r="D257" s="13"/>
      <c r="E257" s="13"/>
      <c r="F257" s="14"/>
      <c r="G257" s="13"/>
      <c r="H257" s="13"/>
      <c r="I257" s="14"/>
    </row>
    <row r="258" spans="1:9" ht="13.9">
      <c r="A258" s="13"/>
      <c r="B258" s="13"/>
      <c r="C258" s="13"/>
      <c r="D258" s="13"/>
      <c r="E258" s="13"/>
      <c r="F258" s="14"/>
      <c r="G258" s="13"/>
      <c r="H258" s="13"/>
      <c r="I258" s="14"/>
    </row>
    <row r="259" spans="1:9" ht="13.9">
      <c r="A259" s="13"/>
      <c r="B259" s="13"/>
      <c r="C259" s="13"/>
      <c r="D259" s="13"/>
      <c r="E259" s="13"/>
      <c r="F259" s="14"/>
      <c r="G259" s="13"/>
      <c r="H259" s="13"/>
      <c r="I259" s="14"/>
    </row>
    <row r="260" spans="1:9" ht="13.9">
      <c r="A260" s="13"/>
      <c r="B260" s="13"/>
      <c r="C260" s="13"/>
      <c r="D260" s="13"/>
      <c r="E260" s="13"/>
      <c r="F260" s="14"/>
      <c r="G260" s="13"/>
      <c r="H260" s="13"/>
      <c r="I260" s="14"/>
    </row>
    <row r="261" spans="1:9" ht="13.9">
      <c r="A261" s="13"/>
      <c r="B261" s="13"/>
      <c r="C261" s="13"/>
      <c r="D261" s="13"/>
      <c r="E261" s="13"/>
      <c r="F261" s="14"/>
      <c r="G261" s="13"/>
      <c r="H261" s="13"/>
      <c r="I261" s="14"/>
    </row>
    <row r="262" spans="1:9" ht="13.9">
      <c r="A262" s="13"/>
      <c r="B262" s="13"/>
      <c r="C262" s="13"/>
      <c r="D262" s="13"/>
      <c r="E262" s="13"/>
      <c r="F262" s="14"/>
      <c r="G262" s="13"/>
      <c r="H262" s="13"/>
      <c r="I262" s="14"/>
    </row>
    <row r="263" spans="1:9" ht="13.9">
      <c r="A263" s="13"/>
      <c r="B263" s="13"/>
      <c r="C263" s="13"/>
      <c r="D263" s="13"/>
      <c r="E263" s="13"/>
      <c r="F263" s="14"/>
      <c r="G263" s="13"/>
      <c r="H263" s="13"/>
      <c r="I263" s="14"/>
    </row>
    <row r="264" spans="1:9" ht="13.9">
      <c r="A264" s="13"/>
      <c r="B264" s="13"/>
      <c r="C264" s="13"/>
      <c r="D264" s="13"/>
      <c r="E264" s="13"/>
      <c r="F264" s="14"/>
      <c r="G264" s="13"/>
      <c r="H264" s="13"/>
      <c r="I264" s="14"/>
    </row>
    <row r="265" spans="1:9" ht="13.9">
      <c r="A265" s="13"/>
      <c r="B265" s="13"/>
      <c r="C265" s="13"/>
      <c r="D265" s="13"/>
      <c r="E265" s="13"/>
      <c r="F265" s="14"/>
      <c r="G265" s="13"/>
      <c r="H265" s="13"/>
      <c r="I265" s="14"/>
    </row>
    <row r="266" spans="1:9" ht="13.9">
      <c r="A266" s="13"/>
      <c r="B266" s="13"/>
      <c r="C266" s="13"/>
      <c r="D266" s="13"/>
      <c r="E266" s="13"/>
      <c r="F266" s="14"/>
      <c r="G266" s="13"/>
      <c r="H266" s="13"/>
      <c r="I266" s="14"/>
    </row>
    <row r="267" spans="1:9" ht="13.9">
      <c r="A267" s="13"/>
      <c r="B267" s="13"/>
      <c r="C267" s="13"/>
      <c r="D267" s="13"/>
      <c r="E267" s="13"/>
      <c r="F267" s="14"/>
      <c r="G267" s="13"/>
      <c r="H267" s="13"/>
      <c r="I267" s="14"/>
    </row>
    <row r="268" spans="1:9" ht="13.9">
      <c r="A268" s="13"/>
      <c r="B268" s="13"/>
      <c r="C268" s="13"/>
      <c r="D268" s="13"/>
      <c r="E268" s="13"/>
      <c r="F268" s="14"/>
      <c r="G268" s="13"/>
      <c r="H268" s="13"/>
      <c r="I268" s="14"/>
    </row>
    <row r="269" spans="1:9" ht="13.9">
      <c r="A269" s="13"/>
      <c r="B269" s="13"/>
      <c r="C269" s="13"/>
      <c r="D269" s="13"/>
      <c r="E269" s="13"/>
      <c r="F269" s="14"/>
      <c r="G269" s="13"/>
      <c r="H269" s="13"/>
      <c r="I269" s="14"/>
    </row>
    <row r="270" spans="1:9" ht="13.9">
      <c r="A270" s="13"/>
      <c r="B270" s="13"/>
      <c r="C270" s="13"/>
      <c r="D270" s="13"/>
      <c r="E270" s="13"/>
      <c r="F270" s="14"/>
      <c r="G270" s="13"/>
      <c r="H270" s="13"/>
      <c r="I270" s="14"/>
    </row>
    <row r="271" spans="1:9" ht="13.9">
      <c r="A271" s="13"/>
      <c r="B271" s="13"/>
      <c r="C271" s="13"/>
      <c r="D271" s="13"/>
      <c r="E271" s="13"/>
      <c r="F271" s="14"/>
      <c r="G271" s="13"/>
      <c r="H271" s="13"/>
      <c r="I271" s="14"/>
    </row>
    <row r="272" spans="1:9" ht="13.9">
      <c r="A272" s="13"/>
      <c r="B272" s="13"/>
      <c r="C272" s="13"/>
      <c r="D272" s="13"/>
      <c r="E272" s="13"/>
      <c r="F272" s="14"/>
      <c r="G272" s="13"/>
      <c r="H272" s="13"/>
      <c r="I272" s="14"/>
    </row>
    <row r="273" spans="1:9" ht="13.9">
      <c r="A273" s="13"/>
      <c r="B273" s="13"/>
      <c r="C273" s="13"/>
      <c r="D273" s="13"/>
      <c r="E273" s="13"/>
      <c r="F273" s="14"/>
      <c r="G273" s="13"/>
      <c r="H273" s="13"/>
      <c r="I273" s="14"/>
    </row>
    <row r="274" spans="1:9" ht="13.9">
      <c r="A274" s="13"/>
      <c r="B274" s="13"/>
      <c r="C274" s="13"/>
      <c r="D274" s="13"/>
      <c r="E274" s="13"/>
      <c r="F274" s="14"/>
      <c r="G274" s="13"/>
      <c r="H274" s="13"/>
      <c r="I274" s="14"/>
    </row>
    <row r="275" spans="1:9" ht="13.9">
      <c r="A275" s="13"/>
      <c r="B275" s="13"/>
      <c r="C275" s="13"/>
      <c r="D275" s="13"/>
      <c r="E275" s="13"/>
      <c r="F275" s="14"/>
      <c r="G275" s="13"/>
      <c r="H275" s="13"/>
      <c r="I275" s="14"/>
    </row>
    <row r="276" spans="1:9" ht="13.9">
      <c r="A276" s="13"/>
      <c r="B276" s="13"/>
      <c r="C276" s="13"/>
      <c r="D276" s="13"/>
      <c r="E276" s="13"/>
      <c r="F276" s="14"/>
      <c r="G276" s="13"/>
      <c r="H276" s="13"/>
      <c r="I276" s="14"/>
    </row>
    <row r="277" spans="1:9" ht="13.9">
      <c r="A277" s="13"/>
      <c r="B277" s="13"/>
      <c r="C277" s="13"/>
      <c r="D277" s="13"/>
      <c r="E277" s="13"/>
      <c r="F277" s="14"/>
      <c r="G277" s="13"/>
      <c r="H277" s="13"/>
      <c r="I277" s="14"/>
    </row>
    <row r="278" spans="1:9" ht="13.9">
      <c r="A278" s="13"/>
      <c r="B278" s="13"/>
      <c r="C278" s="13"/>
      <c r="D278" s="13"/>
      <c r="E278" s="13"/>
      <c r="F278" s="14"/>
      <c r="G278" s="13"/>
      <c r="H278" s="13"/>
      <c r="I278" s="14"/>
    </row>
    <row r="279" spans="1:9" ht="13.9">
      <c r="A279" s="13"/>
      <c r="B279" s="13"/>
      <c r="C279" s="13"/>
      <c r="D279" s="13"/>
      <c r="E279" s="13"/>
      <c r="F279" s="14"/>
      <c r="G279" s="13"/>
      <c r="H279" s="13"/>
      <c r="I279" s="14"/>
    </row>
    <row r="280" spans="1:9" ht="13.9">
      <c r="A280" s="13"/>
      <c r="B280" s="13"/>
      <c r="C280" s="13"/>
      <c r="D280" s="13"/>
      <c r="E280" s="13"/>
      <c r="F280" s="14"/>
      <c r="G280" s="13"/>
      <c r="H280" s="13"/>
      <c r="I280" s="14"/>
    </row>
    <row r="281" spans="1:9" ht="13.9">
      <c r="A281" s="13"/>
      <c r="B281" s="13"/>
      <c r="C281" s="13"/>
      <c r="D281" s="13"/>
      <c r="E281" s="13"/>
      <c r="F281" s="14"/>
      <c r="G281" s="13"/>
      <c r="H281" s="13"/>
      <c r="I281" s="14"/>
    </row>
    <row r="282" spans="1:9" ht="13.9">
      <c r="A282" s="13"/>
      <c r="B282" s="13"/>
      <c r="C282" s="13"/>
      <c r="D282" s="13"/>
      <c r="E282" s="13"/>
      <c r="F282" s="14"/>
      <c r="G282" s="13"/>
      <c r="H282" s="13"/>
      <c r="I282" s="14"/>
    </row>
    <row r="283" spans="1:9" ht="13.9">
      <c r="A283" s="13"/>
      <c r="B283" s="13"/>
      <c r="C283" s="13"/>
      <c r="D283" s="13"/>
      <c r="E283" s="13"/>
      <c r="F283" s="14"/>
      <c r="G283" s="13"/>
      <c r="H283" s="13"/>
      <c r="I283" s="14"/>
    </row>
    <row r="284" spans="1:9" ht="13.9">
      <c r="A284" s="13"/>
      <c r="B284" s="13"/>
      <c r="C284" s="13"/>
      <c r="D284" s="13"/>
      <c r="E284" s="13"/>
      <c r="F284" s="14"/>
      <c r="G284" s="13"/>
      <c r="H284" s="13"/>
      <c r="I284" s="14"/>
    </row>
    <row r="285" spans="1:9" ht="13.9">
      <c r="A285" s="13"/>
      <c r="B285" s="13"/>
      <c r="C285" s="13"/>
      <c r="D285" s="13"/>
      <c r="E285" s="13"/>
      <c r="F285" s="14"/>
      <c r="G285" s="13"/>
      <c r="H285" s="13"/>
      <c r="I285" s="14"/>
    </row>
    <row r="286" spans="1:9" ht="13.9">
      <c r="A286" s="13"/>
      <c r="B286" s="13"/>
      <c r="C286" s="13"/>
      <c r="D286" s="13"/>
      <c r="E286" s="13"/>
      <c r="F286" s="14"/>
      <c r="G286" s="13"/>
      <c r="H286" s="13"/>
      <c r="I286" s="14"/>
    </row>
    <row r="287" spans="1:9" ht="13.9">
      <c r="A287" s="13"/>
      <c r="B287" s="13"/>
      <c r="C287" s="13"/>
      <c r="D287" s="13"/>
      <c r="E287" s="13"/>
      <c r="F287" s="14"/>
      <c r="G287" s="13"/>
      <c r="H287" s="13"/>
      <c r="I287" s="14"/>
    </row>
    <row r="288" spans="1:9" ht="13.9">
      <c r="A288" s="13"/>
      <c r="B288" s="13"/>
      <c r="C288" s="13"/>
      <c r="D288" s="13"/>
      <c r="E288" s="13"/>
      <c r="F288" s="14"/>
      <c r="G288" s="13"/>
      <c r="H288" s="13"/>
      <c r="I288" s="14"/>
    </row>
    <row r="289" spans="1:9" ht="13.9">
      <c r="A289" s="13"/>
      <c r="B289" s="13"/>
      <c r="C289" s="13"/>
      <c r="D289" s="13"/>
      <c r="E289" s="13"/>
      <c r="F289" s="14"/>
      <c r="G289" s="13"/>
      <c r="H289" s="13"/>
      <c r="I289" s="14"/>
    </row>
    <row r="290" spans="1:9" ht="13.9">
      <c r="A290" s="13"/>
      <c r="B290" s="13"/>
      <c r="C290" s="13"/>
      <c r="D290" s="13"/>
      <c r="E290" s="13"/>
      <c r="F290" s="14"/>
      <c r="G290" s="13"/>
      <c r="H290" s="13"/>
      <c r="I290" s="14"/>
    </row>
    <row r="291" spans="1:9" ht="13.9">
      <c r="A291" s="13"/>
      <c r="B291" s="13"/>
      <c r="C291" s="13"/>
      <c r="D291" s="13"/>
      <c r="E291" s="13"/>
      <c r="F291" s="14"/>
      <c r="G291" s="13"/>
      <c r="H291" s="13"/>
      <c r="I291" s="14"/>
    </row>
    <row r="292" spans="1:9" ht="13.9">
      <c r="A292" s="13"/>
      <c r="B292" s="13"/>
      <c r="C292" s="13"/>
      <c r="D292" s="13"/>
      <c r="E292" s="13"/>
      <c r="F292" s="14"/>
      <c r="G292" s="13"/>
      <c r="H292" s="13"/>
      <c r="I292" s="14"/>
    </row>
    <row r="293" spans="1:9" ht="13.9">
      <c r="A293" s="13"/>
      <c r="B293" s="13"/>
      <c r="C293" s="13"/>
      <c r="D293" s="13"/>
      <c r="E293" s="13"/>
      <c r="F293" s="14"/>
      <c r="G293" s="13"/>
      <c r="H293" s="13"/>
      <c r="I293" s="14"/>
    </row>
    <row r="294" spans="1:9" ht="13.9">
      <c r="A294" s="13"/>
      <c r="B294" s="13"/>
      <c r="C294" s="13"/>
      <c r="D294" s="13"/>
      <c r="E294" s="13"/>
      <c r="F294" s="14"/>
      <c r="G294" s="13"/>
      <c r="H294" s="13"/>
      <c r="I294" s="14"/>
    </row>
    <row r="295" spans="1:9" ht="13.9">
      <c r="A295" s="13"/>
      <c r="B295" s="13"/>
      <c r="C295" s="13"/>
      <c r="D295" s="13"/>
      <c r="E295" s="13"/>
      <c r="F295" s="14"/>
      <c r="G295" s="13"/>
      <c r="H295" s="13"/>
      <c r="I295" s="14"/>
    </row>
    <row r="296" spans="1:9" ht="13.9">
      <c r="A296" s="13"/>
      <c r="B296" s="13"/>
      <c r="C296" s="13"/>
      <c r="D296" s="13"/>
      <c r="E296" s="13"/>
      <c r="F296" s="14"/>
      <c r="G296" s="13"/>
      <c r="H296" s="13"/>
      <c r="I296" s="14"/>
    </row>
    <row r="297" spans="1:9" ht="13.9">
      <c r="A297" s="13"/>
      <c r="B297" s="13"/>
      <c r="C297" s="13"/>
      <c r="D297" s="13"/>
      <c r="E297" s="13"/>
      <c r="F297" s="14"/>
      <c r="G297" s="13"/>
      <c r="H297" s="13"/>
      <c r="I297" s="14"/>
    </row>
    <row r="298" spans="1:9" ht="13.9">
      <c r="A298" s="13"/>
      <c r="B298" s="13"/>
      <c r="C298" s="13"/>
      <c r="D298" s="13"/>
      <c r="E298" s="13"/>
      <c r="F298" s="14"/>
      <c r="G298" s="13"/>
      <c r="H298" s="13"/>
      <c r="I298" s="14"/>
    </row>
    <row r="299" spans="1:9" ht="13.9">
      <c r="A299" s="13"/>
      <c r="B299" s="13"/>
      <c r="C299" s="13"/>
      <c r="D299" s="13"/>
      <c r="E299" s="13"/>
      <c r="F299" s="14"/>
      <c r="G299" s="13"/>
      <c r="H299" s="13"/>
      <c r="I299" s="14"/>
    </row>
    <row r="300" spans="1:9" ht="13.9">
      <c r="A300" s="13"/>
      <c r="B300" s="13"/>
      <c r="C300" s="13"/>
      <c r="D300" s="13"/>
      <c r="E300" s="13"/>
      <c r="F300" s="14"/>
      <c r="G300" s="13"/>
      <c r="H300" s="13"/>
      <c r="I300" s="14"/>
    </row>
    <row r="301" spans="1:9" ht="13.9">
      <c r="A301" s="13"/>
      <c r="B301" s="13"/>
      <c r="C301" s="13"/>
      <c r="D301" s="13"/>
      <c r="E301" s="13"/>
      <c r="F301" s="14"/>
      <c r="G301" s="13"/>
      <c r="H301" s="13"/>
      <c r="I301" s="14"/>
    </row>
    <row r="302" spans="1:9" ht="13.9">
      <c r="A302" s="13"/>
      <c r="B302" s="13"/>
      <c r="C302" s="13"/>
      <c r="D302" s="13"/>
      <c r="E302" s="13"/>
      <c r="F302" s="14"/>
      <c r="G302" s="13"/>
      <c r="H302" s="13"/>
      <c r="I302" s="14"/>
    </row>
    <row r="303" spans="1:9" ht="13.9">
      <c r="A303" s="13"/>
      <c r="B303" s="13"/>
      <c r="C303" s="13"/>
      <c r="D303" s="13"/>
      <c r="E303" s="13"/>
      <c r="F303" s="14"/>
      <c r="G303" s="13"/>
      <c r="H303" s="13"/>
      <c r="I303" s="14"/>
    </row>
    <row r="304" spans="1:9" ht="13.9">
      <c r="A304" s="13"/>
      <c r="B304" s="13"/>
      <c r="C304" s="13"/>
      <c r="D304" s="13"/>
      <c r="E304" s="13"/>
      <c r="F304" s="14"/>
      <c r="G304" s="13"/>
      <c r="H304" s="13"/>
      <c r="I304" s="14"/>
    </row>
    <row r="305" spans="1:9" ht="13.9">
      <c r="A305" s="13"/>
      <c r="B305" s="13"/>
      <c r="C305" s="13"/>
      <c r="D305" s="13"/>
      <c r="E305" s="13"/>
      <c r="F305" s="14"/>
      <c r="G305" s="13"/>
      <c r="H305" s="13"/>
      <c r="I305" s="14"/>
    </row>
    <row r="306" spans="1:9" ht="13.9">
      <c r="A306" s="13"/>
      <c r="B306" s="13"/>
      <c r="C306" s="13"/>
      <c r="D306" s="13"/>
      <c r="E306" s="13"/>
      <c r="F306" s="14"/>
      <c r="G306" s="13"/>
      <c r="H306" s="13"/>
      <c r="I306" s="14"/>
    </row>
    <row r="307" spans="1:9" ht="13.9">
      <c r="A307" s="13"/>
      <c r="B307" s="13"/>
      <c r="C307" s="13"/>
      <c r="D307" s="13"/>
      <c r="E307" s="13"/>
      <c r="F307" s="14"/>
      <c r="G307" s="13"/>
      <c r="H307" s="13"/>
      <c r="I307" s="14"/>
    </row>
    <row r="308" spans="1:9" ht="13.9">
      <c r="A308" s="13"/>
      <c r="B308" s="13"/>
      <c r="C308" s="13"/>
      <c r="D308" s="13"/>
      <c r="E308" s="13"/>
      <c r="F308" s="14"/>
      <c r="G308" s="13"/>
      <c r="H308" s="13"/>
      <c r="I308" s="14"/>
    </row>
    <row r="309" spans="1:9" ht="13.9">
      <c r="A309" s="13"/>
      <c r="B309" s="13"/>
      <c r="C309" s="13"/>
      <c r="D309" s="13"/>
      <c r="E309" s="13"/>
      <c r="F309" s="14"/>
      <c r="G309" s="13"/>
      <c r="H309" s="13"/>
      <c r="I309" s="14"/>
    </row>
    <row r="310" spans="1:9" ht="13.9">
      <c r="A310" s="13"/>
      <c r="B310" s="13"/>
      <c r="C310" s="13"/>
      <c r="D310" s="13"/>
      <c r="E310" s="13"/>
      <c r="F310" s="14"/>
      <c r="G310" s="13"/>
      <c r="H310" s="13"/>
      <c r="I310" s="14"/>
    </row>
    <row r="311" spans="1:9" ht="13.9">
      <c r="A311" s="13"/>
      <c r="B311" s="13"/>
      <c r="C311" s="13"/>
      <c r="D311" s="13"/>
      <c r="E311" s="13"/>
      <c r="F311" s="14"/>
      <c r="G311" s="13"/>
      <c r="H311" s="13"/>
      <c r="I311" s="14"/>
    </row>
    <row r="312" spans="1:9" ht="13.9">
      <c r="A312" s="13"/>
      <c r="B312" s="13"/>
      <c r="C312" s="13"/>
      <c r="D312" s="13"/>
      <c r="E312" s="13"/>
      <c r="F312" s="14"/>
      <c r="G312" s="13"/>
      <c r="H312" s="13"/>
      <c r="I312" s="14"/>
    </row>
    <row r="313" spans="1:9" ht="13.9">
      <c r="A313" s="13"/>
      <c r="B313" s="13"/>
      <c r="C313" s="13"/>
      <c r="D313" s="13"/>
      <c r="E313" s="13"/>
      <c r="F313" s="14"/>
      <c r="G313" s="13"/>
      <c r="H313" s="13"/>
      <c r="I313" s="14"/>
    </row>
    <row r="314" spans="1:9" ht="13.9">
      <c r="A314" s="13"/>
      <c r="B314" s="13"/>
      <c r="C314" s="13"/>
      <c r="D314" s="13"/>
      <c r="E314" s="13"/>
      <c r="F314" s="14"/>
      <c r="G314" s="13"/>
      <c r="H314" s="13"/>
      <c r="I314" s="14"/>
    </row>
    <row r="315" spans="1:9" ht="13.9">
      <c r="A315" s="13"/>
      <c r="B315" s="13"/>
      <c r="C315" s="13"/>
      <c r="D315" s="13"/>
      <c r="E315" s="13"/>
      <c r="F315" s="14"/>
      <c r="G315" s="13"/>
      <c r="H315" s="13"/>
      <c r="I315" s="14"/>
    </row>
    <row r="316" spans="1:9" ht="13.9">
      <c r="A316" s="13"/>
      <c r="B316" s="13"/>
      <c r="C316" s="13"/>
      <c r="D316" s="13"/>
      <c r="E316" s="13"/>
      <c r="F316" s="14"/>
      <c r="G316" s="13"/>
      <c r="H316" s="13"/>
      <c r="I316" s="14"/>
    </row>
    <row r="317" spans="1:9" ht="13.9">
      <c r="A317" s="13"/>
      <c r="B317" s="13"/>
      <c r="C317" s="13"/>
      <c r="D317" s="13"/>
      <c r="E317" s="13"/>
      <c r="F317" s="14"/>
      <c r="G317" s="13"/>
      <c r="H317" s="13"/>
      <c r="I317" s="14"/>
    </row>
    <row r="318" spans="1:9" ht="13.9">
      <c r="A318" s="13"/>
      <c r="B318" s="13"/>
      <c r="C318" s="13"/>
      <c r="D318" s="13"/>
      <c r="E318" s="13"/>
      <c r="F318" s="14"/>
      <c r="G318" s="13"/>
      <c r="H318" s="13"/>
      <c r="I318" s="14"/>
    </row>
    <row r="319" spans="1:9" ht="13.9">
      <c r="A319" s="13"/>
      <c r="B319" s="13"/>
      <c r="C319" s="13"/>
      <c r="D319" s="13"/>
      <c r="E319" s="13"/>
      <c r="F319" s="14"/>
      <c r="G319" s="13"/>
      <c r="H319" s="13"/>
      <c r="I319" s="14"/>
    </row>
    <row r="320" spans="1:9" ht="13.9">
      <c r="A320" s="13"/>
      <c r="B320" s="13"/>
      <c r="C320" s="13"/>
      <c r="D320" s="13"/>
      <c r="E320" s="13"/>
      <c r="F320" s="14"/>
      <c r="G320" s="13"/>
      <c r="H320" s="13"/>
      <c r="I320" s="14"/>
    </row>
    <row r="321" spans="1:9" ht="13.9">
      <c r="A321" s="13"/>
      <c r="B321" s="13"/>
      <c r="C321" s="13"/>
      <c r="D321" s="13"/>
      <c r="E321" s="13"/>
      <c r="F321" s="14"/>
      <c r="G321" s="13"/>
      <c r="H321" s="13"/>
      <c r="I321" s="14"/>
    </row>
    <row r="322" spans="1:9" ht="13.9">
      <c r="A322" s="13"/>
      <c r="B322" s="13"/>
      <c r="C322" s="13"/>
      <c r="D322" s="13"/>
      <c r="E322" s="13"/>
      <c r="F322" s="14"/>
      <c r="G322" s="13"/>
      <c r="H322" s="13"/>
      <c r="I322" s="14"/>
    </row>
    <row r="323" spans="1:9" ht="13.9">
      <c r="A323" s="13"/>
      <c r="B323" s="13"/>
      <c r="C323" s="13"/>
      <c r="D323" s="13"/>
      <c r="E323" s="13"/>
      <c r="F323" s="14"/>
      <c r="G323" s="13"/>
      <c r="H323" s="13"/>
      <c r="I323" s="14"/>
    </row>
    <row r="324" spans="1:9" ht="13.9">
      <c r="A324" s="13"/>
      <c r="B324" s="13"/>
      <c r="C324" s="13"/>
      <c r="D324" s="13"/>
      <c r="E324" s="13"/>
      <c r="F324" s="14"/>
      <c r="G324" s="13"/>
      <c r="H324" s="13"/>
      <c r="I324" s="14"/>
    </row>
    <row r="325" spans="1:9" ht="13.9">
      <c r="A325" s="13"/>
      <c r="B325" s="13"/>
      <c r="C325" s="13"/>
      <c r="D325" s="13"/>
      <c r="E325" s="13"/>
      <c r="F325" s="14"/>
      <c r="G325" s="13"/>
      <c r="H325" s="13"/>
      <c r="I325" s="14"/>
    </row>
    <row r="326" spans="1:9" ht="13.9">
      <c r="A326" s="13"/>
      <c r="B326" s="13"/>
      <c r="C326" s="13"/>
      <c r="D326" s="13"/>
      <c r="E326" s="13"/>
      <c r="F326" s="14"/>
      <c r="G326" s="13"/>
      <c r="H326" s="13"/>
      <c r="I326" s="14"/>
    </row>
    <row r="327" spans="1:9" ht="13.9">
      <c r="A327" s="13"/>
      <c r="B327" s="13"/>
      <c r="C327" s="13"/>
      <c r="D327" s="13"/>
      <c r="E327" s="13"/>
      <c r="F327" s="14"/>
      <c r="G327" s="13"/>
      <c r="H327" s="13"/>
      <c r="I327" s="14"/>
    </row>
    <row r="328" spans="1:9" ht="13.9">
      <c r="A328" s="13"/>
      <c r="B328" s="13"/>
      <c r="C328" s="13"/>
      <c r="D328" s="13"/>
      <c r="E328" s="13"/>
      <c r="F328" s="14"/>
      <c r="G328" s="13"/>
      <c r="H328" s="13"/>
      <c r="I328" s="14"/>
    </row>
    <row r="329" spans="1:9" ht="13.9">
      <c r="A329" s="13"/>
      <c r="B329" s="13"/>
      <c r="C329" s="13"/>
      <c r="D329" s="13"/>
      <c r="E329" s="13"/>
      <c r="F329" s="14"/>
      <c r="G329" s="13"/>
      <c r="H329" s="13"/>
      <c r="I329" s="14"/>
    </row>
    <row r="330" spans="1:9" ht="13.9">
      <c r="A330" s="13"/>
      <c r="B330" s="13"/>
      <c r="C330" s="13"/>
      <c r="D330" s="13"/>
      <c r="E330" s="13"/>
      <c r="F330" s="14"/>
      <c r="G330" s="13"/>
      <c r="H330" s="13"/>
      <c r="I330" s="14"/>
    </row>
    <row r="331" spans="1:9" ht="13.9">
      <c r="A331" s="13"/>
      <c r="B331" s="13"/>
      <c r="C331" s="13"/>
      <c r="D331" s="13"/>
      <c r="E331" s="13"/>
      <c r="F331" s="14"/>
      <c r="G331" s="13"/>
      <c r="H331" s="13"/>
      <c r="I331" s="14"/>
    </row>
    <row r="332" spans="1:9" ht="13.9">
      <c r="A332" s="13"/>
      <c r="B332" s="13"/>
      <c r="C332" s="13"/>
      <c r="D332" s="13"/>
      <c r="E332" s="13"/>
      <c r="F332" s="14"/>
      <c r="G332" s="13"/>
      <c r="H332" s="13"/>
      <c r="I332" s="14"/>
    </row>
    <row r="333" spans="1:9" ht="13.9">
      <c r="A333" s="13"/>
      <c r="B333" s="13"/>
      <c r="C333" s="13"/>
      <c r="D333" s="13"/>
      <c r="E333" s="13"/>
      <c r="F333" s="14"/>
      <c r="G333" s="13"/>
      <c r="H333" s="13"/>
      <c r="I333" s="14"/>
    </row>
    <row r="334" spans="1:9" ht="13.9">
      <c r="A334" s="13"/>
      <c r="B334" s="13"/>
      <c r="C334" s="13"/>
      <c r="D334" s="13"/>
      <c r="E334" s="13"/>
      <c r="F334" s="14"/>
      <c r="G334" s="13"/>
      <c r="H334" s="13"/>
      <c r="I334" s="14"/>
    </row>
    <row r="335" spans="1:9" ht="13.9">
      <c r="A335" s="13"/>
      <c r="B335" s="13"/>
      <c r="C335" s="13"/>
      <c r="D335" s="13"/>
      <c r="E335" s="13"/>
      <c r="F335" s="14"/>
      <c r="G335" s="13"/>
      <c r="H335" s="13"/>
      <c r="I335" s="14"/>
    </row>
    <row r="336" spans="1:9" ht="13.9">
      <c r="A336" s="13"/>
      <c r="B336" s="13"/>
      <c r="C336" s="13"/>
      <c r="D336" s="13"/>
      <c r="E336" s="13"/>
      <c r="F336" s="14"/>
      <c r="G336" s="13"/>
      <c r="H336" s="13"/>
      <c r="I336" s="14"/>
    </row>
    <row r="337" spans="1:9" ht="13.9">
      <c r="A337" s="13"/>
      <c r="B337" s="13"/>
      <c r="C337" s="13"/>
      <c r="D337" s="13"/>
      <c r="E337" s="13"/>
      <c r="F337" s="14"/>
      <c r="G337" s="13"/>
      <c r="H337" s="13"/>
      <c r="I337" s="14"/>
    </row>
    <row r="338" spans="1:9" ht="13.9">
      <c r="A338" s="13"/>
      <c r="B338" s="13"/>
      <c r="C338" s="13"/>
      <c r="D338" s="13"/>
      <c r="E338" s="13"/>
      <c r="F338" s="14"/>
      <c r="G338" s="13"/>
      <c r="H338" s="13"/>
      <c r="I338" s="14"/>
    </row>
    <row r="339" spans="1:9" ht="13.9">
      <c r="A339" s="13"/>
      <c r="B339" s="13"/>
      <c r="C339" s="13"/>
      <c r="D339" s="13"/>
      <c r="E339" s="13"/>
      <c r="F339" s="14"/>
      <c r="G339" s="13"/>
      <c r="H339" s="13"/>
      <c r="I339" s="14"/>
    </row>
    <row r="340" spans="1:9" ht="13.9">
      <c r="A340" s="13"/>
      <c r="B340" s="13"/>
      <c r="C340" s="13"/>
      <c r="D340" s="13"/>
      <c r="E340" s="13"/>
      <c r="F340" s="14"/>
      <c r="G340" s="13"/>
      <c r="H340" s="13"/>
      <c r="I340" s="14"/>
    </row>
    <row r="341" spans="1:9" ht="13.9">
      <c r="A341" s="13"/>
      <c r="B341" s="13"/>
      <c r="C341" s="13"/>
      <c r="D341" s="13"/>
      <c r="E341" s="13"/>
      <c r="F341" s="14"/>
      <c r="G341" s="13"/>
      <c r="H341" s="13"/>
      <c r="I341" s="14"/>
    </row>
  </sheetData>
  <autoFilter ref="A2:I2" xr:uid="{D5C25034-9971-4A61-864F-C938F31EB1B8}"/>
  <mergeCells count="4">
    <mergeCell ref="G1:I1"/>
    <mergeCell ref="A1:C1"/>
    <mergeCell ref="D1:F1"/>
    <mergeCell ref="A2:B2"/>
  </mergeCells>
  <conditionalFormatting sqref="F2 I2 F4:F99 I4:I99">
    <cfRule type="cellIs" dxfId="38" priority="1" stopIfTrue="1" operator="lessThanOrEqual">
      <formula>-0.1</formula>
    </cfRule>
    <cfRule type="expression" dxfId="37"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41"/>
  <sheetViews>
    <sheetView zoomScale="90" zoomScaleNormal="90" workbookViewId="0">
      <pane xSplit="2" ySplit="3" topLeftCell="C4" activePane="bottomRight" state="frozen"/>
      <selection pane="bottomRight" activeCell="G2" sqref="G2"/>
      <selection pane="bottomLeft" activeCell="D28" sqref="D28"/>
      <selection pane="topRight" activeCell="D28" sqref="D28"/>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15" t="str" cm="1">
        <f t="array" ref="A1">portfolio</f>
        <v>38 DN</v>
      </c>
      <c r="B1" s="115"/>
      <c r="C1" s="115"/>
      <c r="D1" s="116" t="s">
        <v>10</v>
      </c>
      <c r="E1" s="116"/>
      <c r="F1" s="116"/>
      <c r="G1" s="114" t="s">
        <v>11</v>
      </c>
      <c r="H1" s="114"/>
      <c r="I1" s="114"/>
    </row>
    <row r="2" spans="1:9" ht="19.5" customHeight="1">
      <c r="A2" s="117" t="s">
        <v>2</v>
      </c>
      <c r="B2" s="117"/>
      <c r="C2" s="5">
        <f>SUM(C4:C99)</f>
        <v>7176121.9966777414</v>
      </c>
      <c r="D2" s="5">
        <f>SUM(D4:D99)</f>
        <v>10259800.799999999</v>
      </c>
      <c r="E2" s="5">
        <f>C2-D2</f>
        <v>-3083678.8033222575</v>
      </c>
      <c r="F2" s="6">
        <f>IFERROR(E2/D2, 0)</f>
        <v>-0.30055932502337257</v>
      </c>
      <c r="G2" s="5">
        <f>SUM(G4:G99)</f>
        <v>9158239.799999997</v>
      </c>
      <c r="H2" s="7">
        <f>C2-G2</f>
        <v>-1982117.8033222556</v>
      </c>
      <c r="I2" s="6">
        <f>IFERROR(H2/G2, 0)</f>
        <v>-0.21642999600450036</v>
      </c>
    </row>
    <row r="3" spans="1:9" ht="14.25" customHeight="1">
      <c r="A3" s="17" t="s">
        <v>3</v>
      </c>
      <c r="B3" s="17" t="s">
        <v>4</v>
      </c>
      <c r="C3" s="27" t="s">
        <v>5</v>
      </c>
      <c r="D3" s="28" t="s">
        <v>6</v>
      </c>
      <c r="E3" s="28" t="s">
        <v>7</v>
      </c>
      <c r="F3" s="29" t="s">
        <v>8</v>
      </c>
      <c r="G3" s="30" t="s">
        <v>9</v>
      </c>
      <c r="H3" s="31" t="s">
        <v>7</v>
      </c>
      <c r="I3" s="32" t="s">
        <v>8</v>
      </c>
    </row>
    <row r="4" spans="1:9" ht="15.6">
      <c r="A4" s="55" t="str" cm="1">
        <f t="array" ref="A4:A27">Sites[Site]</f>
        <v>6th St.</v>
      </c>
      <c r="B4" s="35" t="str" cm="1">
        <f t="array" ref="B4:B27">Sites[State]</f>
        <v>CA</v>
      </c>
      <c r="C4" s="36">
        <f>SUM(Jan!C4, Feb!C4, Mar!C4)</f>
        <v>444186</v>
      </c>
      <c r="D4" s="37">
        <f>SUM(Jan!D4, Feb!D4, Mar!D4)</f>
        <v>287164.39</v>
      </c>
      <c r="E4" s="37">
        <f>IF(AND(ISNUMBER(C4),ISNUMBER(D4)), C4-D4, "")</f>
        <v>157021.60999999999</v>
      </c>
      <c r="F4" s="38">
        <f>IFERROR(E4/D4, "")</f>
        <v>0.54680042326975142</v>
      </c>
      <c r="G4" s="39">
        <f>SUM(Jan!G4, Feb!G4, Mar!G4)</f>
        <v>482812.5</v>
      </c>
      <c r="H4" s="39">
        <f>SUM(Jan!H4, Feb!H4, Mar!H4)</f>
        <v>-38626.5</v>
      </c>
      <c r="I4" s="40">
        <f>IFERROR(H4/G4, "")</f>
        <v>-8.000310679611651E-2</v>
      </c>
    </row>
    <row r="5" spans="1:9" ht="15.6">
      <c r="A5" s="56" t="str">
        <v>Barton Acres</v>
      </c>
      <c r="B5" s="42" t="str">
        <v>MA</v>
      </c>
      <c r="C5" s="43">
        <f>SUM(Jan!C5, Feb!C5, Mar!C5)</f>
        <v>230538</v>
      </c>
      <c r="D5" s="44">
        <f>SUM(Jan!D5, Feb!D5, Mar!D5)</f>
        <v>438008.7</v>
      </c>
      <c r="E5" s="44">
        <f t="shared" ref="E5:E15" si="0">IF(AND(ISNUMBER(C5),ISNUMBER(D5)), C5-D5, "")</f>
        <v>-207470.7</v>
      </c>
      <c r="F5" s="45">
        <f>IFERROR(E5/D5, "")</f>
        <v>-0.47366798878652411</v>
      </c>
      <c r="G5" s="46">
        <f>SUM(Jan!G5, Feb!G5, Mar!G5)</f>
        <v>308750.26</v>
      </c>
      <c r="H5" s="46">
        <f>SUM(Jan!H5, Feb!H5, Mar!H5)</f>
        <v>-78212.260000000009</v>
      </c>
      <c r="I5" s="45">
        <f>IFERROR(H5/G5, "")</f>
        <v>-0.25331884740761029</v>
      </c>
    </row>
    <row r="6" spans="1:9" ht="15.6">
      <c r="A6" s="55" t="str">
        <v>Bowden</v>
      </c>
      <c r="B6" s="35" t="str">
        <v>MA</v>
      </c>
      <c r="C6" s="36">
        <f>SUM(Jan!C6, Feb!C6, Mar!C6)</f>
        <v>530464</v>
      </c>
      <c r="D6" s="37">
        <f>SUM(Jan!D6, Feb!D6, Mar!D6)</f>
        <v>727999</v>
      </c>
      <c r="E6" s="37">
        <f t="shared" si="0"/>
        <v>-197535</v>
      </c>
      <c r="F6" s="38">
        <f t="shared" ref="F6:F15" si="1">IFERROR(E6/D6, "")</f>
        <v>-0.27133965843359675</v>
      </c>
      <c r="G6" s="39">
        <f>SUM(Jan!G6, Feb!G6, Mar!G6)</f>
        <v>680814.9</v>
      </c>
      <c r="H6" s="39">
        <f>SUM(Jan!H6, Feb!H6, Mar!H6)</f>
        <v>-150350.90000000002</v>
      </c>
      <c r="I6" s="40">
        <f t="shared" ref="I6:I15" si="2">IFERROR(H6/G6, "")</f>
        <v>-0.22083961440914412</v>
      </c>
    </row>
    <row r="7" spans="1:9" ht="15.6">
      <c r="A7" s="56" t="str">
        <v>Blair Wire Village</v>
      </c>
      <c r="B7" s="42" t="str">
        <v>MA</v>
      </c>
      <c r="C7" s="43">
        <f>SUM(Jan!C7, Feb!C7, Mar!C7)</f>
        <v>258498</v>
      </c>
      <c r="D7" s="44">
        <f>SUM(Jan!D7, Feb!D7, Mar!D7)</f>
        <v>467163</v>
      </c>
      <c r="E7" s="44">
        <f t="shared" si="0"/>
        <v>-208665</v>
      </c>
      <c r="F7" s="45">
        <f t="shared" si="1"/>
        <v>-0.44666422640491649</v>
      </c>
      <c r="G7" s="46">
        <f>SUM(Jan!G7, Feb!G7, Mar!G7)</f>
        <v>339598.43000000005</v>
      </c>
      <c r="H7" s="46">
        <f>SUM(Jan!H7, Feb!H7, Mar!H7)</f>
        <v>-81100.430000000008</v>
      </c>
      <c r="I7" s="45">
        <f t="shared" si="2"/>
        <v>-0.23881273538278724</v>
      </c>
    </row>
    <row r="8" spans="1:9" ht="15.6">
      <c r="A8" s="55" t="str">
        <v>Boutilier</v>
      </c>
      <c r="B8" s="35" t="str">
        <v>MA</v>
      </c>
      <c r="C8" s="36">
        <f>SUM(Jan!C8, Feb!C8, Mar!C8)</f>
        <v>725439</v>
      </c>
      <c r="D8" s="37">
        <f>SUM(Jan!D8, Feb!D8, Mar!D8)</f>
        <v>1083258.7</v>
      </c>
      <c r="E8" s="37">
        <f t="shared" si="0"/>
        <v>-357819.69999999995</v>
      </c>
      <c r="F8" s="38">
        <f t="shared" si="1"/>
        <v>-0.33031786405223423</v>
      </c>
      <c r="G8" s="39">
        <f>SUM(Jan!G8, Feb!G8, Mar!G8)</f>
        <v>847559.7</v>
      </c>
      <c r="H8" s="39">
        <f>SUM(Jan!H8, Feb!H8, Mar!H8)</f>
        <v>-122120.70000000001</v>
      </c>
      <c r="I8" s="40">
        <f t="shared" si="2"/>
        <v>-0.14408507152947458</v>
      </c>
    </row>
    <row r="9" spans="1:9" ht="15.6">
      <c r="A9" s="56" t="str">
        <v>Cherry Valley</v>
      </c>
      <c r="B9" s="42" t="str">
        <v>MA</v>
      </c>
      <c r="C9" s="43">
        <f>SUM(Jan!C9, Feb!C9, Mar!C9)</f>
        <v>247783</v>
      </c>
      <c r="D9" s="44">
        <f>SUM(Jan!D9, Feb!D9, Mar!D9)</f>
        <v>453570.30000000005</v>
      </c>
      <c r="E9" s="44">
        <f t="shared" si="0"/>
        <v>-205787.30000000005</v>
      </c>
      <c r="F9" s="45">
        <f t="shared" si="1"/>
        <v>-0.45370541236937256</v>
      </c>
      <c r="G9" s="46">
        <f>SUM(Jan!G9, Feb!G9, Mar!G9)</f>
        <v>328696</v>
      </c>
      <c r="H9" s="46">
        <f>SUM(Jan!H9, Feb!H9, Mar!H9)</f>
        <v>-80913</v>
      </c>
      <c r="I9" s="45">
        <f t="shared" si="2"/>
        <v>-0.24616362839827682</v>
      </c>
    </row>
    <row r="10" spans="1:9" ht="15.6">
      <c r="A10" s="55" t="str">
        <v>Cohasse</v>
      </c>
      <c r="B10" s="35" t="str">
        <v>MA</v>
      </c>
      <c r="C10" s="36">
        <f>SUM(Jan!C10, Feb!C10, Mar!C10)</f>
        <v>256962</v>
      </c>
      <c r="D10" s="37">
        <f>SUM(Jan!D10, Feb!D10, Mar!D10)</f>
        <v>429905.6</v>
      </c>
      <c r="E10" s="37">
        <f t="shared" si="0"/>
        <v>-172943.59999999998</v>
      </c>
      <c r="F10" s="38">
        <f t="shared" si="1"/>
        <v>-0.40228273369781642</v>
      </c>
      <c r="G10" s="39">
        <f>SUM(Jan!G10, Feb!G10, Mar!G10)</f>
        <v>419649.4</v>
      </c>
      <c r="H10" s="39">
        <f>SUM(Jan!H10, Feb!H10, Mar!H10)</f>
        <v>-162687.4</v>
      </c>
      <c r="I10" s="40">
        <f t="shared" si="2"/>
        <v>-0.38767456834204933</v>
      </c>
    </row>
    <row r="11" spans="1:9" ht="15.6">
      <c r="A11" s="56" t="str">
        <v>ISM Dighton Solar 2</v>
      </c>
      <c r="B11" s="42" t="str">
        <v>MA</v>
      </c>
      <c r="C11" s="43">
        <f>SUM(Jan!C11, Feb!C11, Mar!C11)</f>
        <v>773019</v>
      </c>
      <c r="D11" s="44">
        <f>SUM(Jan!D11, Feb!D11, Mar!D11)</f>
        <v>846304.4</v>
      </c>
      <c r="E11" s="44">
        <f t="shared" si="0"/>
        <v>-73285.400000000023</v>
      </c>
      <c r="F11" s="45">
        <f t="shared" si="1"/>
        <v>-8.6594610638914341E-2</v>
      </c>
      <c r="G11" s="46">
        <f>SUM(Jan!G11, Feb!G11, Mar!G11)</f>
        <v>723680</v>
      </c>
      <c r="H11" s="46">
        <f>SUM(Jan!H11, Feb!H11, Mar!H11)</f>
        <v>49339</v>
      </c>
      <c r="I11" s="45">
        <f t="shared" si="2"/>
        <v>6.8177923944284763E-2</v>
      </c>
    </row>
    <row r="12" spans="1:9" ht="15.6">
      <c r="A12" s="55" t="str">
        <v>Dudley River 1</v>
      </c>
      <c r="B12" s="35" t="str">
        <v>MA</v>
      </c>
      <c r="C12" s="36">
        <f>SUM(Jan!C12, Feb!C12, Mar!C12)</f>
        <v>278440</v>
      </c>
      <c r="D12" s="37">
        <f>SUM(Jan!D12, Feb!D12, Mar!D12)</f>
        <v>380481</v>
      </c>
      <c r="E12" s="37">
        <f t="shared" si="0"/>
        <v>-102041</v>
      </c>
      <c r="F12" s="38">
        <f t="shared" si="1"/>
        <v>-0.26818947595280712</v>
      </c>
      <c r="G12" s="39">
        <f>SUM(Jan!G12, Feb!G12, Mar!G12)</f>
        <v>348226.75</v>
      </c>
      <c r="H12" s="39">
        <f>SUM(Jan!H12, Feb!H12, Mar!H12)</f>
        <v>-69786.75</v>
      </c>
      <c r="I12" s="40">
        <f t="shared" si="2"/>
        <v>-0.20040605726010421</v>
      </c>
    </row>
    <row r="13" spans="1:9" ht="15.6">
      <c r="A13" s="56" t="str">
        <v>Dudley River 2</v>
      </c>
      <c r="B13" s="42" t="str">
        <v>MA</v>
      </c>
      <c r="C13" s="43">
        <f>SUM(Jan!C13, Feb!C13, Mar!C13)</f>
        <v>290147</v>
      </c>
      <c r="D13" s="44">
        <f>SUM(Jan!D13, Feb!D13, Mar!D13)</f>
        <v>386502.2</v>
      </c>
      <c r="E13" s="44">
        <f t="shared" si="0"/>
        <v>-96355.200000000012</v>
      </c>
      <c r="F13" s="45">
        <f t="shared" si="1"/>
        <v>-0.24930052144593229</v>
      </c>
      <c r="G13" s="46">
        <f>SUM(Jan!G13, Feb!G13, Mar!G13)</f>
        <v>333877.69</v>
      </c>
      <c r="H13" s="46">
        <f>SUM(Jan!H13, Feb!H13, Mar!H13)</f>
        <v>-43730.689999999988</v>
      </c>
      <c r="I13" s="45">
        <f t="shared" si="2"/>
        <v>-0.13097817347424437</v>
      </c>
    </row>
    <row r="14" spans="1:9" ht="15.6">
      <c r="A14" s="55" t="str">
        <v>Dudley River 3</v>
      </c>
      <c r="B14" s="35" t="str">
        <v>MA</v>
      </c>
      <c r="C14" s="36">
        <f>SUM(Jan!C14, Feb!C14, Mar!C14)</f>
        <v>313438</v>
      </c>
      <c r="D14" s="37">
        <f>SUM(Jan!D14, Feb!D14, Mar!D14)</f>
        <v>389853.30000000005</v>
      </c>
      <c r="E14" s="37">
        <f t="shared" si="0"/>
        <v>-76415.300000000047</v>
      </c>
      <c r="F14" s="38">
        <f t="shared" si="1"/>
        <v>-0.19601039673128337</v>
      </c>
      <c r="G14" s="39">
        <f>SUM(Jan!G14, Feb!G14, Mar!G14)</f>
        <v>339181.08999999997</v>
      </c>
      <c r="H14" s="39">
        <f>SUM(Jan!H14, Feb!H14, Mar!H14)</f>
        <v>-25743.089999999982</v>
      </c>
      <c r="I14" s="40">
        <f t="shared" si="2"/>
        <v>-7.5897774843520865E-2</v>
      </c>
    </row>
    <row r="15" spans="1:9" ht="15.6">
      <c r="A15" s="56" t="str">
        <v>Flint Pond</v>
      </c>
      <c r="B15" s="42" t="str">
        <v>MA</v>
      </c>
      <c r="C15" s="43">
        <f>SUM(Jan!C15, Feb!C15, Mar!C15)</f>
        <v>132190</v>
      </c>
      <c r="D15" s="44">
        <f>SUM(Jan!D15, Feb!D15, Mar!D15)</f>
        <v>200200.69</v>
      </c>
      <c r="E15" s="44">
        <f t="shared" si="0"/>
        <v>-68010.69</v>
      </c>
      <c r="F15" s="45">
        <f t="shared" si="1"/>
        <v>-0.33971256542622308</v>
      </c>
      <c r="G15" s="46">
        <f>SUM(Jan!G15, Feb!G15, Mar!G15)</f>
        <v>148836.41999999998</v>
      </c>
      <c r="H15" s="46">
        <f>SUM(Jan!H15, Feb!H15, Mar!H15)</f>
        <v>-16646.420000000006</v>
      </c>
      <c r="I15" s="45">
        <f t="shared" si="2"/>
        <v>-0.11184372749626743</v>
      </c>
    </row>
    <row r="16" spans="1:9" ht="15.6">
      <c r="A16" s="55" t="str">
        <v>Incom</v>
      </c>
      <c r="B16" s="35" t="str">
        <v>MA</v>
      </c>
      <c r="C16" s="36">
        <f>SUM(Jan!C16, Feb!C16, Mar!C16)</f>
        <v>580235</v>
      </c>
      <c r="D16" s="37">
        <f>SUM(Jan!D16, Feb!D16, Mar!D16)</f>
        <v>859821.29999999993</v>
      </c>
      <c r="E16" s="37">
        <f t="shared" ref="E16:E18" si="3">IF(AND(ISNUMBER(C16),ISNUMBER(D16)), C16-D16, "")</f>
        <v>-279586.29999999993</v>
      </c>
      <c r="F16" s="38">
        <f t="shared" ref="F16:F18" si="4">IFERROR(E16/D16, "")</f>
        <v>-0.32516791570527498</v>
      </c>
      <c r="G16" s="39">
        <f>SUM(Jan!G16, Feb!G16, Mar!G16)</f>
        <v>822911.8</v>
      </c>
      <c r="H16" s="39">
        <f>SUM(Jan!H16, Feb!H16, Mar!H16)</f>
        <v>-242676.80000000002</v>
      </c>
      <c r="I16" s="40">
        <f t="shared" ref="I16:I18" si="5">IFERROR(H16/G16, "")</f>
        <v>-0.29490013389041209</v>
      </c>
    </row>
    <row r="17" spans="1:9" ht="15.6">
      <c r="A17" s="56" t="str">
        <v>JH</v>
      </c>
      <c r="B17" s="42" t="str">
        <v>MA</v>
      </c>
      <c r="C17" s="43">
        <f>SUM(Jan!C17, Feb!C17, Mar!C17)</f>
        <v>240983</v>
      </c>
      <c r="D17" s="44">
        <f>SUM(Jan!D17, Feb!D17, Mar!D17)</f>
        <v>419234.4</v>
      </c>
      <c r="E17" s="44">
        <f t="shared" si="3"/>
        <v>-178251.40000000002</v>
      </c>
      <c r="F17" s="45">
        <f t="shared" si="4"/>
        <v>-0.42518314336800611</v>
      </c>
      <c r="G17" s="46">
        <f>SUM(Jan!G17, Feb!G17, Mar!G17)</f>
        <v>399271.1</v>
      </c>
      <c r="H17" s="46">
        <f>SUM(Jan!H17, Feb!H17, Mar!H17)</f>
        <v>-158288.1</v>
      </c>
      <c r="I17" s="45">
        <f t="shared" si="5"/>
        <v>-0.39644266765112729</v>
      </c>
    </row>
    <row r="18" spans="1:9" ht="12.75" customHeight="1">
      <c r="A18" s="55" t="str">
        <v>Ledeaux</v>
      </c>
      <c r="B18" s="35" t="str">
        <v>MA</v>
      </c>
      <c r="C18" s="36">
        <f>SUM(Jan!C18, Feb!C18, Mar!C18)</f>
        <v>208236</v>
      </c>
      <c r="D18" s="37">
        <f>SUM(Jan!D18, Feb!D18, Mar!D18)</f>
        <v>318933.48</v>
      </c>
      <c r="E18" s="37">
        <f t="shared" si="3"/>
        <v>-110697.47999999998</v>
      </c>
      <c r="F18" s="38">
        <f t="shared" si="4"/>
        <v>-0.34708642065423795</v>
      </c>
      <c r="G18" s="39">
        <f>SUM(Jan!G18, Feb!G18, Mar!G18)</f>
        <v>378806.93</v>
      </c>
      <c r="H18" s="39">
        <f>SUM(Jan!H18, Feb!H18, Mar!H18)</f>
        <v>-170570.93</v>
      </c>
      <c r="I18" s="45">
        <f t="shared" si="5"/>
        <v>-0.4502846080455814</v>
      </c>
    </row>
    <row r="19" spans="1:9" ht="15.6">
      <c r="A19" s="56" t="str">
        <v>Palombo A</v>
      </c>
      <c r="B19" s="42" t="str">
        <v>MA</v>
      </c>
      <c r="C19" s="43">
        <f>SUM(Jan!C19, Feb!C19, Mar!C19)</f>
        <v>642572.99667774094</v>
      </c>
      <c r="D19" s="44">
        <f>SUM(Jan!D19, Feb!D19, Mar!D19)</f>
        <v>908872.2</v>
      </c>
      <c r="E19" s="44">
        <f t="shared" ref="E19:E27" si="6">IF(AND(ISNUMBER(C19),ISNUMBER(D19)), C19-D19, "")</f>
        <v>-266299.20332225901</v>
      </c>
      <c r="F19" s="45">
        <f t="shared" ref="F19:F27" si="7">IFERROR(E19/D19, "")</f>
        <v>-0.29299961350150111</v>
      </c>
      <c r="G19" s="46">
        <f>SUM(Jan!G19, Feb!G19, Mar!G19)</f>
        <v>905621</v>
      </c>
      <c r="H19" s="46">
        <f>SUM(Jan!H19, Feb!H19, Mar!H19)</f>
        <v>-263048.003322259</v>
      </c>
      <c r="I19" s="40">
        <f t="shared" ref="I19:I27" si="8">IFERROR(H19/G19, "")</f>
        <v>-0.29046146602415246</v>
      </c>
    </row>
    <row r="20" spans="1:9" ht="15.6">
      <c r="A20" s="55" t="str">
        <v>Palombo B</v>
      </c>
      <c r="B20" s="35" t="str">
        <v>MA</v>
      </c>
      <c r="C20" s="36">
        <f>SUM(Jan!C20, Feb!C20, Mar!C20)</f>
        <v>297674</v>
      </c>
      <c r="D20" s="37">
        <f>SUM(Jan!D20, Feb!D20, Mar!D20)</f>
        <v>430698.10000000003</v>
      </c>
      <c r="E20" s="37">
        <f t="shared" si="6"/>
        <v>-133024.10000000003</v>
      </c>
      <c r="F20" s="38">
        <f t="shared" si="7"/>
        <v>-0.30885694643185102</v>
      </c>
      <c r="G20" s="39">
        <f>SUM(Jan!G20, Feb!G20, Mar!G20)</f>
        <v>320372.21999999997</v>
      </c>
      <c r="H20" s="39">
        <f>SUM(Jan!H20, Feb!H20, Mar!H20)</f>
        <v>-22698.22</v>
      </c>
      <c r="I20" s="45">
        <f t="shared" si="8"/>
        <v>-7.0849526216723788E-2</v>
      </c>
    </row>
    <row r="21" spans="1:9" ht="15.6">
      <c r="A21" s="56" t="str">
        <v>St Josephs Church</v>
      </c>
      <c r="B21" s="42" t="str">
        <v>MA</v>
      </c>
      <c r="C21" s="43">
        <f>SUM(Jan!C21, Feb!C21, Mar!C21)</f>
        <v>259768</v>
      </c>
      <c r="D21" s="44">
        <f>SUM(Jan!D21, Feb!D21, Mar!D21)</f>
        <v>454634.7</v>
      </c>
      <c r="E21" s="44">
        <f t="shared" si="6"/>
        <v>-194866.7</v>
      </c>
      <c r="F21" s="45">
        <f t="shared" si="7"/>
        <v>-0.42862258424180999</v>
      </c>
      <c r="G21" s="46">
        <f>SUM(Jan!G21, Feb!G21, Mar!G21)</f>
        <v>360543.32</v>
      </c>
      <c r="H21" s="46">
        <f>SUM(Jan!H21, Feb!H21, Mar!H21)</f>
        <v>-100775.32</v>
      </c>
      <c r="I21" s="45">
        <f t="shared" si="8"/>
        <v>-0.27950960234126654</v>
      </c>
    </row>
    <row r="22" spans="1:9" ht="15.6">
      <c r="A22" s="55" t="str">
        <v>Sunset A</v>
      </c>
      <c r="B22" s="35" t="str">
        <v>MA</v>
      </c>
      <c r="C22" s="36">
        <f>SUM(Jan!C22, Feb!C22, Mar!C22)</f>
        <v>112615</v>
      </c>
      <c r="D22" s="37">
        <f>SUM(Jan!D22, Feb!D22, Mar!D22)</f>
        <v>221638.56</v>
      </c>
      <c r="E22" s="37">
        <f t="shared" si="6"/>
        <v>-109023.56</v>
      </c>
      <c r="F22" s="38">
        <f t="shared" si="7"/>
        <v>-0.49189798020705422</v>
      </c>
      <c r="G22" s="39">
        <f>SUM(Jan!G22, Feb!G22, Mar!G22)</f>
        <v>145359.43</v>
      </c>
      <c r="H22" s="39">
        <f>SUM(Jan!H22, Feb!H22, Mar!H22)</f>
        <v>-32744.429999999993</v>
      </c>
      <c r="I22" s="40">
        <f t="shared" si="8"/>
        <v>-0.22526526142817149</v>
      </c>
    </row>
    <row r="23" spans="1:9" ht="15.6">
      <c r="A23" s="56" t="str">
        <v>Sunset B</v>
      </c>
      <c r="B23" s="42" t="str">
        <v>MA</v>
      </c>
      <c r="C23" s="43">
        <f>SUM(Jan!C23, Feb!C23, Mar!C23)</f>
        <v>109183</v>
      </c>
      <c r="D23" s="44">
        <f>SUM(Jan!D23, Feb!D23, Mar!D23)</f>
        <v>174489.28000000003</v>
      </c>
      <c r="E23" s="44">
        <f t="shared" si="6"/>
        <v>-65306.280000000028</v>
      </c>
      <c r="F23" s="45">
        <f t="shared" si="7"/>
        <v>-0.37427101538845264</v>
      </c>
      <c r="G23" s="46">
        <f>SUM(Jan!G23, Feb!G23, Mar!G23)</f>
        <v>143619.53</v>
      </c>
      <c r="H23" s="46">
        <f>SUM(Jan!H23, Feb!H23, Mar!H23)</f>
        <v>-34436.53</v>
      </c>
      <c r="I23" s="45">
        <f t="shared" si="8"/>
        <v>-0.23977609451862153</v>
      </c>
    </row>
    <row r="24" spans="1:9" ht="15.6">
      <c r="A24" s="55" t="str">
        <v>Woodchuck</v>
      </c>
      <c r="B24" s="35" t="str">
        <v>MA</v>
      </c>
      <c r="C24" s="36">
        <f>SUM(Jan!C24, Feb!C24, Mar!C24)</f>
        <v>243751</v>
      </c>
      <c r="D24" s="37">
        <f>SUM(Jan!D24, Feb!D24, Mar!D24)</f>
        <v>381067.5</v>
      </c>
      <c r="E24" s="37">
        <f t="shared" si="6"/>
        <v>-137316.5</v>
      </c>
      <c r="F24" s="38">
        <f t="shared" si="7"/>
        <v>-0.36034692016506265</v>
      </c>
      <c r="G24" s="39">
        <f>SUM(Jan!G24, Feb!G24, Mar!G24)</f>
        <v>380051.32999999996</v>
      </c>
      <c r="H24" s="39">
        <f>SUM(Jan!H24, Feb!H24, Mar!H24)</f>
        <v>-136300.32999999999</v>
      </c>
      <c r="I24" s="45">
        <f t="shared" si="8"/>
        <v>-0.35863663468826701</v>
      </c>
    </row>
    <row r="25" spans="1:9" ht="15.6">
      <c r="A25" s="56" t="str">
        <v>NY: Skaneateles - Spafford 1 - (PW)</v>
      </c>
      <c r="B25" s="42" t="str">
        <v>NY</v>
      </c>
      <c r="C25" s="43">
        <f>SUM(Jan!C25, Feb!C25, Mar!C25)</f>
        <v>0</v>
      </c>
      <c r="D25" s="44">
        <f>SUM(Jan!D25, Feb!D25, Mar!D25)</f>
        <v>0</v>
      </c>
      <c r="E25" s="44">
        <f t="shared" si="6"/>
        <v>0</v>
      </c>
      <c r="F25" s="45" t="str">
        <f t="shared" si="7"/>
        <v/>
      </c>
      <c r="G25" s="46">
        <f>SUM(Jan!G25, Feb!G25, Mar!G25)</f>
        <v>0</v>
      </c>
      <c r="H25" s="46">
        <f>SUM(Jan!H25, Feb!H25, Mar!H25)</f>
        <v>0</v>
      </c>
      <c r="I25" s="45" t="str">
        <f t="shared" si="8"/>
        <v/>
      </c>
    </row>
    <row r="26" spans="1:9" ht="15.6">
      <c r="A26" s="55" t="str">
        <v>NY: Skaneateles - Spafford 2 - (PW)</v>
      </c>
      <c r="B26" s="35" t="str">
        <v>NY</v>
      </c>
      <c r="C26" s="36">
        <f>SUM(Jan!C26, Feb!C26, Mar!C26)</f>
        <v>0</v>
      </c>
      <c r="D26" s="37">
        <f>SUM(Jan!D26, Feb!D26, Mar!D26)</f>
        <v>0</v>
      </c>
      <c r="E26" s="37">
        <f t="shared" si="6"/>
        <v>0</v>
      </c>
      <c r="F26" s="38" t="str">
        <f t="shared" si="7"/>
        <v/>
      </c>
      <c r="G26" s="39">
        <f>SUM(Jan!G26, Feb!G26, Mar!G26)</f>
        <v>0</v>
      </c>
      <c r="H26" s="39">
        <f>SUM(Jan!H26, Feb!H26, Mar!H26)</f>
        <v>0</v>
      </c>
      <c r="I26" s="45" t="str">
        <f t="shared" si="8"/>
        <v/>
      </c>
    </row>
    <row r="27" spans="1:9" ht="15.6">
      <c r="A27" s="56" t="str">
        <v>NY: New Hartford - 4001 NY-12 (IRA)</v>
      </c>
      <c r="B27" s="42" t="str">
        <v>NY</v>
      </c>
      <c r="C27" s="43">
        <f>SUM(Jan!C27, Feb!C27, Mar!C27)</f>
        <v>0</v>
      </c>
      <c r="D27" s="44">
        <f>SUM(Jan!D27, Feb!D27, Mar!D27)</f>
        <v>0</v>
      </c>
      <c r="E27" s="44">
        <f t="shared" si="6"/>
        <v>0</v>
      </c>
      <c r="F27" s="45" t="str">
        <f t="shared" si="7"/>
        <v/>
      </c>
      <c r="G27" s="46">
        <f>SUM(Jan!G27, Feb!G27, Mar!G27)</f>
        <v>0</v>
      </c>
      <c r="H27" s="46">
        <f>SUM(Jan!H27, Feb!H27, Mar!H27)</f>
        <v>0</v>
      </c>
      <c r="I27" s="45" t="str">
        <f t="shared" si="8"/>
        <v/>
      </c>
    </row>
    <row r="28" spans="1:9" ht="13.9">
      <c r="A28" s="13"/>
      <c r="B28" s="13"/>
      <c r="C28" s="13"/>
      <c r="D28" s="13"/>
      <c r="E28" s="13"/>
      <c r="F28" s="13"/>
      <c r="G28" s="13"/>
      <c r="H28" s="13"/>
      <c r="I28" s="13"/>
    </row>
    <row r="29" spans="1:9" ht="13.9">
      <c r="A29" s="13"/>
      <c r="B29" s="13"/>
      <c r="C29" s="13"/>
      <c r="D29" s="13"/>
      <c r="E29" s="13"/>
      <c r="F29" s="13"/>
      <c r="G29" s="13"/>
      <c r="H29" s="13"/>
      <c r="I29" s="13"/>
    </row>
    <row r="30" spans="1:9" ht="13.9">
      <c r="A30" s="13"/>
      <c r="B30" s="13"/>
      <c r="C30" s="13"/>
      <c r="D30" s="13"/>
      <c r="E30" s="13"/>
      <c r="F30" s="13"/>
      <c r="G30" s="13"/>
      <c r="H30" s="13"/>
      <c r="I30" s="13"/>
    </row>
    <row r="31" spans="1:9" ht="13.9">
      <c r="A31" s="13"/>
      <c r="B31" s="13"/>
      <c r="C31" s="13"/>
      <c r="D31" s="13"/>
      <c r="E31" s="13"/>
      <c r="F31" s="13"/>
      <c r="G31" s="13"/>
      <c r="H31" s="13"/>
      <c r="I31" s="13"/>
    </row>
    <row r="32" spans="1:9" ht="13.9">
      <c r="A32" s="13"/>
      <c r="B32" s="13"/>
      <c r="C32" s="13"/>
      <c r="D32" s="13"/>
      <c r="E32" s="13"/>
      <c r="F32" s="14"/>
      <c r="G32" s="13"/>
      <c r="H32" s="13"/>
      <c r="I32" s="14"/>
    </row>
    <row r="33" spans="1:9" ht="13.9">
      <c r="A33" s="97"/>
      <c r="B33" s="13"/>
      <c r="C33" s="13"/>
      <c r="D33" s="13"/>
      <c r="E33" s="13"/>
      <c r="F33" s="14"/>
      <c r="G33" s="13"/>
      <c r="H33" s="13"/>
      <c r="I33" s="14"/>
    </row>
    <row r="34" spans="1:9" ht="13.9">
      <c r="A34" s="13"/>
      <c r="B34" s="13"/>
      <c r="C34" s="13"/>
      <c r="D34" s="13"/>
      <c r="E34" s="13"/>
      <c r="F34" s="14"/>
      <c r="G34" s="13"/>
      <c r="H34" s="13"/>
      <c r="I34" s="14"/>
    </row>
    <row r="35" spans="1:9" ht="13.9">
      <c r="A35" s="13"/>
      <c r="B35" s="13"/>
      <c r="C35" s="13"/>
      <c r="D35" s="13"/>
      <c r="E35" s="13"/>
      <c r="F35" s="14"/>
      <c r="G35" s="13"/>
      <c r="H35" s="13"/>
      <c r="I35" s="14"/>
    </row>
    <row r="36" spans="1:9" ht="13.9">
      <c r="A36" s="13"/>
      <c r="B36" s="13"/>
      <c r="C36" s="13"/>
      <c r="D36" s="13"/>
      <c r="E36" s="13"/>
      <c r="F36" s="14"/>
      <c r="G36" s="13"/>
      <c r="H36" s="13"/>
      <c r="I36" s="14"/>
    </row>
    <row r="37" spans="1:9" ht="13.9">
      <c r="A37" s="13"/>
      <c r="B37" s="13"/>
      <c r="C37" s="13"/>
      <c r="D37" s="13"/>
      <c r="E37" s="13"/>
      <c r="F37" s="14"/>
      <c r="G37" s="13"/>
      <c r="H37" s="13"/>
      <c r="I37" s="14"/>
    </row>
    <row r="38" spans="1:9" ht="13.9">
      <c r="A38" s="13"/>
      <c r="B38" s="13"/>
      <c r="C38" s="13"/>
      <c r="D38" s="13"/>
      <c r="E38" s="13"/>
      <c r="F38" s="14"/>
      <c r="G38" s="13"/>
      <c r="H38" s="13"/>
      <c r="I38" s="14"/>
    </row>
    <row r="39" spans="1:9" ht="13.9">
      <c r="A39" s="13"/>
      <c r="B39" s="13"/>
      <c r="C39" s="13"/>
      <c r="D39" s="13"/>
      <c r="E39" s="13"/>
      <c r="F39" s="14"/>
      <c r="G39" s="13"/>
      <c r="H39" s="13"/>
      <c r="I39" s="14"/>
    </row>
    <row r="40" spans="1:9" ht="13.9">
      <c r="A40" s="13"/>
      <c r="B40" s="13"/>
      <c r="C40" s="13"/>
      <c r="D40" s="13"/>
      <c r="E40" s="13"/>
      <c r="F40" s="14"/>
      <c r="G40" s="13"/>
      <c r="H40" s="13"/>
      <c r="I40" s="14"/>
    </row>
    <row r="41" spans="1:9" ht="13.9">
      <c r="A41" s="13"/>
      <c r="B41" s="13"/>
      <c r="C41" s="13"/>
      <c r="D41" s="13"/>
      <c r="E41" s="13"/>
      <c r="F41" s="14"/>
      <c r="G41" s="13"/>
      <c r="H41" s="13"/>
      <c r="I41" s="14"/>
    </row>
    <row r="42" spans="1:9" ht="13.9">
      <c r="A42" s="13"/>
      <c r="B42" s="13"/>
      <c r="C42" s="13"/>
      <c r="D42" s="13"/>
      <c r="E42" s="13"/>
      <c r="F42" s="14"/>
      <c r="G42" s="13"/>
      <c r="H42" s="13"/>
      <c r="I42" s="14"/>
    </row>
    <row r="43" spans="1:9" ht="13.9">
      <c r="A43" s="13"/>
      <c r="B43" s="13"/>
      <c r="C43" s="13"/>
      <c r="D43" s="13"/>
      <c r="E43" s="13"/>
      <c r="F43" s="14"/>
      <c r="G43" s="13"/>
      <c r="H43" s="13"/>
      <c r="I43" s="14"/>
    </row>
    <row r="44" spans="1:9" ht="13.9">
      <c r="A44" s="13"/>
      <c r="B44" s="13"/>
      <c r="C44" s="13"/>
      <c r="D44" s="13"/>
      <c r="E44" s="13"/>
      <c r="F44" s="14"/>
      <c r="G44" s="13"/>
      <c r="H44" s="13"/>
      <c r="I44" s="14"/>
    </row>
    <row r="45" spans="1:9" ht="13.9">
      <c r="A45" s="13"/>
      <c r="B45" s="13"/>
      <c r="C45" s="13"/>
      <c r="D45" s="13"/>
      <c r="E45" s="13"/>
      <c r="F45" s="14"/>
      <c r="G45" s="13"/>
      <c r="H45" s="13"/>
      <c r="I45" s="14"/>
    </row>
    <row r="46" spans="1:9" ht="13.9">
      <c r="A46" s="13"/>
      <c r="B46" s="13"/>
      <c r="C46" s="13"/>
      <c r="D46" s="13"/>
      <c r="E46" s="13"/>
      <c r="F46" s="14"/>
      <c r="G46" s="13"/>
      <c r="H46" s="13"/>
      <c r="I46" s="14"/>
    </row>
    <row r="47" spans="1:9" ht="13.9">
      <c r="A47" s="13"/>
      <c r="B47" s="13"/>
      <c r="C47" s="13"/>
      <c r="D47" s="13"/>
      <c r="E47" s="13"/>
      <c r="F47" s="14"/>
      <c r="G47" s="13"/>
      <c r="H47" s="13"/>
      <c r="I47" s="14"/>
    </row>
    <row r="48" spans="1:9" ht="13.9">
      <c r="A48" s="13"/>
      <c r="B48" s="13"/>
      <c r="C48" s="13"/>
      <c r="D48" s="13"/>
      <c r="E48" s="13"/>
      <c r="F48" s="14"/>
      <c r="G48" s="13"/>
      <c r="H48" s="13"/>
      <c r="I48" s="14"/>
    </row>
    <row r="49" spans="1:9" ht="13.9">
      <c r="A49" s="13"/>
      <c r="B49" s="13"/>
      <c r="C49" s="13"/>
      <c r="D49" s="13"/>
      <c r="E49" s="13"/>
      <c r="F49" s="14"/>
      <c r="G49" s="13"/>
      <c r="H49" s="13"/>
      <c r="I49" s="14"/>
    </row>
    <row r="50" spans="1:9" ht="13.9">
      <c r="A50" s="13"/>
      <c r="B50" s="13"/>
      <c r="C50" s="13"/>
      <c r="D50" s="13"/>
      <c r="E50" s="13"/>
      <c r="F50" s="14"/>
      <c r="G50" s="13"/>
      <c r="H50" s="13"/>
      <c r="I50" s="14"/>
    </row>
    <row r="51" spans="1:9" ht="13.9">
      <c r="A51" s="13"/>
      <c r="B51" s="13"/>
      <c r="C51" s="13"/>
      <c r="D51" s="13"/>
      <c r="E51" s="13"/>
      <c r="F51" s="14"/>
      <c r="G51" s="13"/>
      <c r="H51" s="13"/>
      <c r="I51" s="14"/>
    </row>
    <row r="52" spans="1:9" ht="13.9">
      <c r="A52" s="13"/>
      <c r="B52" s="13"/>
      <c r="C52" s="13"/>
      <c r="D52" s="13"/>
      <c r="E52" s="13"/>
      <c r="F52" s="14"/>
      <c r="G52" s="13"/>
      <c r="H52" s="13"/>
      <c r="I52" s="14"/>
    </row>
    <row r="53" spans="1:9" ht="13.9">
      <c r="A53" s="13"/>
      <c r="B53" s="13"/>
      <c r="C53" s="13"/>
      <c r="D53" s="13"/>
      <c r="E53" s="13"/>
      <c r="F53" s="14"/>
      <c r="G53" s="13"/>
      <c r="H53" s="13"/>
      <c r="I53" s="14"/>
    </row>
    <row r="54" spans="1:9" ht="13.9">
      <c r="A54" s="13"/>
      <c r="B54" s="13"/>
      <c r="C54" s="13"/>
      <c r="D54" s="13"/>
      <c r="E54" s="13"/>
      <c r="F54" s="14"/>
      <c r="G54" s="13"/>
      <c r="H54" s="13"/>
      <c r="I54" s="14"/>
    </row>
    <row r="55" spans="1:9" ht="13.9">
      <c r="A55" s="13"/>
      <c r="B55" s="13"/>
      <c r="C55" s="13"/>
      <c r="D55" s="13"/>
      <c r="E55" s="13"/>
      <c r="F55" s="14"/>
      <c r="G55" s="13"/>
      <c r="H55" s="13"/>
      <c r="I55" s="14"/>
    </row>
    <row r="56" spans="1:9" ht="13.9">
      <c r="A56" s="13"/>
      <c r="B56" s="13"/>
      <c r="C56" s="13"/>
      <c r="D56" s="13"/>
      <c r="E56" s="13"/>
      <c r="F56" s="14"/>
      <c r="G56" s="13"/>
      <c r="H56" s="13"/>
      <c r="I56" s="14"/>
    </row>
    <row r="57" spans="1:9" ht="13.9">
      <c r="A57" s="13"/>
      <c r="B57" s="13"/>
      <c r="C57" s="13"/>
      <c r="D57" s="13"/>
      <c r="E57" s="13"/>
      <c r="F57" s="14"/>
      <c r="G57" s="13"/>
      <c r="H57" s="13"/>
      <c r="I57" s="14"/>
    </row>
    <row r="58" spans="1:9" ht="13.9">
      <c r="A58" s="13"/>
      <c r="B58" s="13"/>
      <c r="C58" s="13"/>
      <c r="D58" s="13"/>
      <c r="E58" s="13"/>
      <c r="F58" s="14"/>
      <c r="G58" s="13"/>
      <c r="H58" s="13"/>
      <c r="I58" s="14"/>
    </row>
    <row r="59" spans="1:9" ht="13.9">
      <c r="A59" s="13"/>
      <c r="B59" s="13"/>
      <c r="C59" s="13"/>
      <c r="D59" s="13"/>
      <c r="E59" s="13"/>
      <c r="F59" s="14"/>
      <c r="G59" s="13"/>
      <c r="H59" s="13"/>
      <c r="I59" s="14"/>
    </row>
    <row r="60" spans="1:9" ht="13.9">
      <c r="A60" s="13"/>
      <c r="B60" s="13"/>
      <c r="C60" s="13"/>
      <c r="D60" s="13"/>
      <c r="E60" s="13"/>
      <c r="F60" s="14"/>
      <c r="G60" s="13"/>
      <c r="H60" s="13"/>
      <c r="I60" s="14"/>
    </row>
    <row r="61" spans="1:9" ht="13.9">
      <c r="A61" s="13"/>
      <c r="B61" s="13"/>
      <c r="C61" s="13"/>
      <c r="D61" s="13"/>
      <c r="E61" s="13"/>
      <c r="F61" s="14"/>
      <c r="G61" s="13"/>
      <c r="H61" s="13"/>
      <c r="I61" s="14"/>
    </row>
    <row r="62" spans="1:9" ht="13.9">
      <c r="A62" s="13"/>
      <c r="B62" s="13"/>
      <c r="C62" s="13"/>
      <c r="D62" s="13"/>
      <c r="E62" s="13"/>
      <c r="F62" s="14"/>
      <c r="G62" s="13"/>
      <c r="H62" s="13"/>
      <c r="I62" s="14"/>
    </row>
    <row r="63" spans="1:9" ht="13.9">
      <c r="A63" s="13"/>
      <c r="B63" s="13"/>
      <c r="C63" s="13"/>
      <c r="D63" s="13"/>
      <c r="E63" s="13"/>
      <c r="F63" s="14"/>
      <c r="G63" s="13"/>
      <c r="H63" s="13"/>
      <c r="I63" s="14"/>
    </row>
    <row r="64" spans="1:9" ht="13.9">
      <c r="A64" s="13"/>
      <c r="B64" s="13"/>
      <c r="C64" s="13"/>
      <c r="D64" s="13"/>
      <c r="E64" s="13"/>
      <c r="F64" s="14"/>
      <c r="G64" s="13"/>
      <c r="H64" s="13"/>
      <c r="I64" s="14"/>
    </row>
    <row r="65" spans="1:9" ht="13.9">
      <c r="A65" s="13"/>
      <c r="B65" s="13"/>
      <c r="C65" s="13"/>
      <c r="D65" s="13"/>
      <c r="E65" s="13"/>
      <c r="F65" s="14"/>
      <c r="G65" s="13"/>
      <c r="H65" s="13"/>
      <c r="I65" s="14"/>
    </row>
    <row r="66" spans="1:9" ht="13.9">
      <c r="A66" s="13"/>
      <c r="B66" s="13"/>
      <c r="C66" s="13"/>
      <c r="D66" s="13"/>
      <c r="E66" s="13"/>
      <c r="F66" s="14"/>
      <c r="G66" s="13"/>
      <c r="H66" s="13"/>
      <c r="I66" s="14"/>
    </row>
    <row r="67" spans="1:9" ht="13.9">
      <c r="A67" s="13"/>
      <c r="B67" s="13"/>
      <c r="C67" s="13"/>
      <c r="D67" s="13"/>
      <c r="E67" s="13"/>
      <c r="F67" s="14"/>
      <c r="G67" s="13"/>
      <c r="H67" s="13"/>
      <c r="I67" s="14"/>
    </row>
    <row r="68" spans="1:9" ht="13.9">
      <c r="A68" s="13"/>
      <c r="B68" s="13"/>
      <c r="C68" s="13"/>
      <c r="D68" s="13"/>
      <c r="E68" s="13"/>
      <c r="F68" s="14"/>
      <c r="G68" s="13"/>
      <c r="H68" s="13"/>
      <c r="I68" s="14"/>
    </row>
    <row r="69" spans="1:9" ht="13.9">
      <c r="A69" s="13"/>
      <c r="B69" s="13"/>
      <c r="C69" s="13"/>
      <c r="D69" s="13"/>
      <c r="E69" s="13"/>
      <c r="F69" s="14"/>
      <c r="G69" s="13"/>
      <c r="H69" s="13"/>
      <c r="I69" s="14"/>
    </row>
    <row r="70" spans="1:9" ht="13.9">
      <c r="A70" s="13"/>
      <c r="B70" s="13"/>
      <c r="C70" s="13"/>
      <c r="D70" s="13"/>
      <c r="E70" s="13"/>
      <c r="F70" s="14"/>
      <c r="G70" s="13"/>
      <c r="H70" s="13"/>
      <c r="I70" s="14"/>
    </row>
    <row r="71" spans="1:9" ht="13.9">
      <c r="A71" s="13"/>
      <c r="B71" s="13"/>
      <c r="C71" s="13"/>
      <c r="D71" s="13"/>
      <c r="E71" s="13"/>
      <c r="F71" s="14"/>
      <c r="G71" s="13"/>
      <c r="H71" s="13"/>
      <c r="I71" s="14"/>
    </row>
    <row r="72" spans="1:9" ht="13.9">
      <c r="A72" s="13"/>
      <c r="B72" s="13"/>
      <c r="C72" s="13"/>
      <c r="D72" s="13"/>
      <c r="E72" s="13"/>
      <c r="F72" s="14"/>
      <c r="G72" s="13"/>
      <c r="H72" s="13"/>
      <c r="I72" s="14"/>
    </row>
    <row r="73" spans="1:9" ht="13.9">
      <c r="A73" s="13"/>
      <c r="B73" s="13"/>
      <c r="C73" s="13"/>
      <c r="D73" s="13"/>
      <c r="E73" s="13"/>
      <c r="F73" s="14"/>
      <c r="G73" s="13"/>
      <c r="H73" s="13"/>
      <c r="I73" s="14"/>
    </row>
    <row r="74" spans="1:9" ht="13.9">
      <c r="A74" s="13"/>
      <c r="B74" s="13"/>
      <c r="C74" s="13"/>
      <c r="D74" s="13"/>
      <c r="E74" s="13"/>
      <c r="F74" s="14"/>
      <c r="G74" s="13"/>
      <c r="H74" s="13"/>
      <c r="I74" s="14"/>
    </row>
    <row r="75" spans="1:9" ht="13.9">
      <c r="A75" s="13"/>
      <c r="B75" s="13"/>
      <c r="C75" s="13"/>
      <c r="D75" s="13"/>
      <c r="E75" s="13"/>
      <c r="F75" s="14"/>
      <c r="G75" s="13"/>
      <c r="H75" s="13"/>
      <c r="I75" s="14"/>
    </row>
    <row r="76" spans="1:9" ht="13.9">
      <c r="A76" s="13"/>
      <c r="B76" s="13"/>
      <c r="C76" s="13"/>
      <c r="D76" s="13"/>
      <c r="E76" s="13"/>
      <c r="F76" s="14"/>
      <c r="G76" s="13"/>
      <c r="H76" s="13"/>
      <c r="I76" s="14"/>
    </row>
    <row r="77" spans="1:9" ht="13.9">
      <c r="A77" s="13"/>
      <c r="B77" s="13"/>
      <c r="C77" s="13"/>
      <c r="D77" s="13"/>
      <c r="E77" s="13"/>
      <c r="F77" s="14"/>
      <c r="G77" s="13"/>
      <c r="H77" s="13"/>
      <c r="I77" s="14"/>
    </row>
    <row r="78" spans="1:9" ht="13.9">
      <c r="A78" s="13"/>
      <c r="B78" s="13"/>
      <c r="C78" s="13"/>
      <c r="D78" s="13"/>
      <c r="E78" s="13"/>
      <c r="F78" s="14"/>
      <c r="G78" s="13"/>
      <c r="H78" s="13"/>
      <c r="I78" s="14"/>
    </row>
    <row r="79" spans="1:9" ht="13.9">
      <c r="A79" s="13"/>
      <c r="B79" s="13"/>
      <c r="C79" s="13"/>
      <c r="D79" s="13"/>
      <c r="E79" s="13"/>
      <c r="F79" s="14"/>
      <c r="G79" s="13"/>
      <c r="H79" s="13"/>
      <c r="I79" s="14"/>
    </row>
    <row r="80" spans="1:9" ht="13.9">
      <c r="A80" s="13"/>
      <c r="B80" s="13"/>
      <c r="C80" s="13"/>
      <c r="D80" s="13"/>
      <c r="E80" s="13"/>
      <c r="F80" s="14"/>
      <c r="G80" s="13"/>
      <c r="H80" s="13"/>
      <c r="I80" s="14"/>
    </row>
    <row r="81" spans="1:9" ht="13.9">
      <c r="A81" s="13"/>
      <c r="B81" s="13"/>
      <c r="C81" s="13"/>
      <c r="D81" s="13"/>
      <c r="E81" s="13"/>
      <c r="F81" s="14"/>
      <c r="G81" s="13"/>
      <c r="H81" s="13"/>
      <c r="I81" s="14"/>
    </row>
    <row r="82" spans="1:9" ht="13.9">
      <c r="A82" s="13"/>
      <c r="B82" s="13"/>
      <c r="C82" s="13"/>
      <c r="D82" s="13"/>
      <c r="E82" s="13"/>
      <c r="F82" s="14"/>
      <c r="G82" s="13"/>
      <c r="H82" s="13"/>
      <c r="I82" s="14"/>
    </row>
    <row r="83" spans="1:9" ht="13.9">
      <c r="A83" s="13"/>
      <c r="B83" s="13"/>
      <c r="C83" s="13"/>
      <c r="D83" s="13"/>
      <c r="E83" s="13"/>
      <c r="F83" s="14"/>
      <c r="G83" s="13"/>
      <c r="H83" s="13"/>
      <c r="I83" s="14"/>
    </row>
    <row r="84" spans="1:9" ht="13.9">
      <c r="A84" s="13"/>
      <c r="B84" s="13"/>
      <c r="C84" s="13"/>
      <c r="D84" s="13"/>
      <c r="E84" s="13"/>
      <c r="F84" s="14"/>
      <c r="G84" s="13"/>
      <c r="H84" s="13"/>
      <c r="I84" s="14"/>
    </row>
    <row r="85" spans="1:9" ht="13.9">
      <c r="A85" s="13"/>
      <c r="B85" s="13"/>
      <c r="C85" s="13"/>
      <c r="D85" s="13"/>
      <c r="E85" s="13"/>
      <c r="F85" s="14"/>
      <c r="G85" s="13"/>
      <c r="H85" s="13"/>
      <c r="I85" s="14"/>
    </row>
    <row r="86" spans="1:9" ht="13.9">
      <c r="A86" s="13"/>
      <c r="B86" s="13"/>
      <c r="C86" s="13"/>
      <c r="D86" s="13"/>
      <c r="E86" s="13"/>
      <c r="F86" s="14"/>
      <c r="G86" s="13"/>
      <c r="H86" s="13"/>
      <c r="I86" s="14"/>
    </row>
    <row r="87" spans="1:9" ht="13.9">
      <c r="A87" s="13"/>
      <c r="B87" s="13"/>
      <c r="C87" s="13"/>
      <c r="D87" s="13"/>
      <c r="E87" s="13"/>
      <c r="F87" s="14"/>
      <c r="G87" s="13"/>
      <c r="H87" s="13"/>
      <c r="I87" s="14"/>
    </row>
    <row r="88" spans="1:9" ht="13.9">
      <c r="A88" s="13"/>
      <c r="B88" s="13"/>
      <c r="C88" s="13"/>
      <c r="D88" s="13"/>
      <c r="E88" s="13"/>
      <c r="F88" s="14"/>
      <c r="G88" s="13"/>
      <c r="H88" s="13"/>
      <c r="I88" s="14"/>
    </row>
    <row r="89" spans="1:9" ht="13.9">
      <c r="A89" s="13"/>
      <c r="B89" s="13"/>
      <c r="C89" s="13"/>
      <c r="D89" s="13"/>
      <c r="E89" s="13"/>
      <c r="F89" s="14"/>
      <c r="G89" s="13"/>
      <c r="H89" s="13"/>
      <c r="I89" s="14"/>
    </row>
    <row r="90" spans="1:9" ht="13.9">
      <c r="A90" s="13"/>
      <c r="B90" s="13"/>
      <c r="C90" s="13"/>
      <c r="D90" s="13"/>
      <c r="E90" s="13"/>
      <c r="F90" s="14"/>
      <c r="G90" s="13"/>
      <c r="H90" s="13"/>
      <c r="I90" s="14"/>
    </row>
    <row r="91" spans="1:9" ht="13.9">
      <c r="A91" s="13"/>
      <c r="B91" s="13"/>
      <c r="C91" s="13"/>
      <c r="D91" s="13"/>
      <c r="E91" s="13"/>
      <c r="F91" s="14"/>
      <c r="G91" s="13"/>
      <c r="H91" s="13"/>
      <c r="I91" s="14"/>
    </row>
    <row r="92" spans="1:9" ht="13.9">
      <c r="A92" s="13"/>
      <c r="B92" s="13"/>
      <c r="C92" s="13"/>
      <c r="D92" s="13"/>
      <c r="E92" s="13"/>
      <c r="F92" s="14"/>
      <c r="G92" s="13"/>
      <c r="H92" s="13"/>
      <c r="I92" s="14"/>
    </row>
    <row r="93" spans="1:9" ht="13.9">
      <c r="A93" s="13"/>
      <c r="B93" s="13"/>
      <c r="C93" s="13"/>
      <c r="D93" s="13"/>
      <c r="E93" s="13"/>
      <c r="F93" s="14"/>
      <c r="G93" s="13"/>
      <c r="H93" s="13"/>
      <c r="I93" s="14"/>
    </row>
    <row r="94" spans="1:9" ht="13.9">
      <c r="A94" s="13"/>
      <c r="B94" s="13"/>
      <c r="C94" s="13"/>
      <c r="D94" s="13"/>
      <c r="E94" s="13"/>
      <c r="F94" s="14"/>
      <c r="G94" s="13"/>
      <c r="H94" s="13"/>
      <c r="I94" s="14"/>
    </row>
    <row r="95" spans="1:9" ht="13.9">
      <c r="A95" s="13"/>
      <c r="B95" s="13"/>
      <c r="C95" s="13"/>
      <c r="D95" s="13"/>
      <c r="E95" s="13"/>
      <c r="F95" s="14"/>
      <c r="G95" s="13"/>
      <c r="H95" s="13"/>
      <c r="I95" s="14"/>
    </row>
    <row r="96" spans="1:9" ht="13.9">
      <c r="A96" s="13"/>
      <c r="B96" s="13"/>
      <c r="C96" s="13"/>
      <c r="D96" s="13"/>
      <c r="E96" s="13"/>
      <c r="F96" s="14"/>
      <c r="G96" s="13"/>
      <c r="H96" s="13"/>
      <c r="I96" s="14"/>
    </row>
    <row r="97" spans="1:9" ht="13.9">
      <c r="A97" s="13"/>
      <c r="B97" s="13"/>
      <c r="C97" s="13"/>
      <c r="D97" s="13"/>
      <c r="E97" s="13"/>
      <c r="F97" s="14"/>
      <c r="G97" s="13"/>
      <c r="H97" s="13"/>
      <c r="I97" s="14"/>
    </row>
    <row r="98" spans="1:9" ht="13.9">
      <c r="A98" s="13"/>
      <c r="B98" s="13"/>
      <c r="C98" s="13"/>
      <c r="D98" s="13"/>
      <c r="E98" s="13"/>
      <c r="F98" s="14"/>
      <c r="G98" s="13"/>
      <c r="H98" s="13"/>
      <c r="I98" s="14"/>
    </row>
    <row r="99" spans="1:9" ht="13.9">
      <c r="A99" s="13"/>
      <c r="B99" s="13"/>
      <c r="C99" s="13"/>
      <c r="D99" s="13"/>
      <c r="E99" s="13"/>
      <c r="F99" s="14"/>
      <c r="G99" s="13"/>
      <c r="H99" s="13"/>
      <c r="I99" s="14"/>
    </row>
    <row r="100" spans="1:9" ht="13.9">
      <c r="A100" s="13"/>
      <c r="B100" s="13"/>
      <c r="C100" s="13"/>
      <c r="D100" s="13"/>
      <c r="E100" s="13"/>
      <c r="F100" s="14"/>
      <c r="G100" s="13"/>
      <c r="H100" s="13"/>
      <c r="I100" s="14"/>
    </row>
    <row r="101" spans="1:9" ht="13.9">
      <c r="A101" s="13"/>
      <c r="B101" s="13"/>
      <c r="C101" s="13"/>
      <c r="D101" s="13"/>
      <c r="E101" s="13"/>
      <c r="F101" s="14"/>
      <c r="G101" s="13"/>
      <c r="H101" s="13"/>
      <c r="I101" s="14"/>
    </row>
    <row r="102" spans="1:9" ht="13.9">
      <c r="A102" s="13"/>
      <c r="B102" s="13"/>
      <c r="C102" s="13"/>
      <c r="D102" s="13"/>
      <c r="E102" s="13"/>
      <c r="F102" s="14"/>
      <c r="G102" s="13"/>
      <c r="H102" s="13"/>
      <c r="I102" s="14"/>
    </row>
    <row r="103" spans="1:9" ht="13.9">
      <c r="A103" s="13"/>
      <c r="B103" s="13"/>
      <c r="C103" s="13"/>
      <c r="D103" s="13"/>
      <c r="E103" s="13"/>
      <c r="F103" s="14"/>
      <c r="G103" s="13"/>
      <c r="H103" s="13"/>
      <c r="I103" s="14"/>
    </row>
    <row r="104" spans="1:9" ht="13.9">
      <c r="A104" s="13"/>
      <c r="B104" s="13"/>
      <c r="C104" s="13"/>
      <c r="D104" s="13"/>
      <c r="E104" s="13"/>
      <c r="F104" s="14"/>
      <c r="G104" s="13"/>
      <c r="H104" s="13"/>
      <c r="I104" s="14"/>
    </row>
    <row r="105" spans="1:9" ht="13.9">
      <c r="A105" s="13"/>
      <c r="B105" s="13"/>
      <c r="C105" s="13"/>
      <c r="D105" s="13"/>
      <c r="E105" s="13"/>
      <c r="F105" s="14"/>
      <c r="G105" s="13"/>
      <c r="H105" s="13"/>
      <c r="I105" s="14"/>
    </row>
    <row r="106" spans="1:9" ht="13.9">
      <c r="A106" s="13"/>
      <c r="B106" s="13"/>
      <c r="C106" s="13"/>
      <c r="D106" s="13"/>
      <c r="E106" s="13"/>
      <c r="F106" s="14"/>
      <c r="G106" s="13"/>
      <c r="H106" s="13"/>
      <c r="I106" s="14"/>
    </row>
    <row r="107" spans="1:9" ht="13.9">
      <c r="A107" s="13"/>
      <c r="B107" s="13"/>
      <c r="C107" s="13"/>
      <c r="D107" s="13"/>
      <c r="E107" s="13"/>
      <c r="F107" s="14"/>
      <c r="G107" s="13"/>
      <c r="H107" s="13"/>
      <c r="I107" s="14"/>
    </row>
    <row r="108" spans="1:9" ht="13.9">
      <c r="A108" s="13"/>
      <c r="B108" s="13"/>
      <c r="C108" s="13"/>
      <c r="D108" s="13"/>
      <c r="E108" s="13"/>
      <c r="F108" s="14"/>
      <c r="G108" s="13"/>
      <c r="H108" s="13"/>
      <c r="I108" s="14"/>
    </row>
    <row r="109" spans="1:9" ht="13.9">
      <c r="A109" s="13"/>
      <c r="B109" s="13"/>
      <c r="C109" s="13"/>
      <c r="D109" s="13"/>
      <c r="E109" s="13"/>
      <c r="F109" s="14"/>
      <c r="G109" s="13"/>
      <c r="H109" s="13"/>
      <c r="I109" s="14"/>
    </row>
    <row r="110" spans="1:9" ht="13.9">
      <c r="A110" s="13"/>
      <c r="B110" s="13"/>
      <c r="C110" s="13"/>
      <c r="D110" s="13"/>
      <c r="E110" s="13"/>
      <c r="F110" s="14"/>
      <c r="G110" s="13"/>
      <c r="H110" s="13"/>
      <c r="I110" s="14"/>
    </row>
    <row r="111" spans="1:9" ht="13.9">
      <c r="A111" s="13"/>
      <c r="B111" s="13"/>
      <c r="C111" s="13"/>
      <c r="D111" s="13"/>
      <c r="E111" s="13"/>
      <c r="F111" s="14"/>
      <c r="G111" s="13"/>
      <c r="H111" s="13"/>
      <c r="I111" s="14"/>
    </row>
    <row r="112" spans="1:9" ht="13.9">
      <c r="A112" s="13"/>
      <c r="B112" s="13"/>
      <c r="C112" s="13"/>
      <c r="D112" s="13"/>
      <c r="E112" s="13"/>
      <c r="F112" s="14"/>
      <c r="G112" s="13"/>
      <c r="H112" s="13"/>
      <c r="I112" s="14"/>
    </row>
    <row r="113" spans="1:9" ht="13.9">
      <c r="A113" s="13"/>
      <c r="B113" s="13"/>
      <c r="C113" s="13"/>
      <c r="D113" s="13"/>
      <c r="E113" s="13"/>
      <c r="F113" s="14"/>
      <c r="G113" s="13"/>
      <c r="H113" s="13"/>
      <c r="I113" s="14"/>
    </row>
    <row r="114" spans="1:9" ht="13.9">
      <c r="A114" s="13"/>
      <c r="B114" s="13"/>
      <c r="C114" s="13"/>
      <c r="D114" s="13"/>
      <c r="E114" s="13"/>
      <c r="F114" s="14"/>
      <c r="G114" s="13"/>
      <c r="H114" s="13"/>
      <c r="I114" s="14"/>
    </row>
    <row r="115" spans="1:9" ht="13.9">
      <c r="A115" s="13"/>
      <c r="B115" s="13"/>
      <c r="C115" s="13"/>
      <c r="D115" s="13"/>
      <c r="E115" s="13"/>
      <c r="F115" s="14"/>
      <c r="G115" s="13"/>
      <c r="H115" s="13"/>
      <c r="I115" s="14"/>
    </row>
    <row r="116" spans="1:9" ht="13.9">
      <c r="A116" s="13"/>
      <c r="B116" s="13"/>
      <c r="C116" s="13"/>
      <c r="D116" s="13"/>
      <c r="E116" s="13"/>
      <c r="F116" s="14"/>
      <c r="G116" s="13"/>
      <c r="H116" s="13"/>
      <c r="I116" s="14"/>
    </row>
    <row r="117" spans="1:9" ht="13.9">
      <c r="A117" s="13"/>
      <c r="B117" s="13"/>
      <c r="C117" s="13"/>
      <c r="D117" s="13"/>
      <c r="E117" s="13"/>
      <c r="F117" s="14"/>
      <c r="G117" s="13"/>
      <c r="H117" s="13"/>
      <c r="I117" s="14"/>
    </row>
    <row r="118" spans="1:9" ht="13.9">
      <c r="A118" s="13"/>
      <c r="B118" s="13"/>
      <c r="C118" s="13"/>
      <c r="D118" s="13"/>
      <c r="E118" s="13"/>
      <c r="F118" s="14"/>
      <c r="G118" s="13"/>
      <c r="H118" s="13"/>
      <c r="I118" s="14"/>
    </row>
    <row r="119" spans="1:9" ht="13.9">
      <c r="A119" s="13"/>
      <c r="B119" s="13"/>
      <c r="C119" s="13"/>
      <c r="D119" s="13"/>
      <c r="E119" s="13"/>
      <c r="F119" s="14"/>
      <c r="G119" s="13"/>
      <c r="H119" s="13"/>
      <c r="I119" s="14"/>
    </row>
    <row r="120" spans="1:9" ht="13.9">
      <c r="A120" s="13"/>
      <c r="B120" s="13"/>
      <c r="C120" s="13"/>
      <c r="D120" s="13"/>
      <c r="E120" s="13"/>
      <c r="F120" s="14"/>
      <c r="G120" s="13"/>
      <c r="H120" s="13"/>
      <c r="I120" s="14"/>
    </row>
    <row r="121" spans="1:9" ht="13.9">
      <c r="A121" s="13"/>
      <c r="B121" s="13"/>
      <c r="C121" s="13"/>
      <c r="D121" s="13"/>
      <c r="E121" s="13"/>
      <c r="F121" s="14"/>
      <c r="G121" s="13"/>
      <c r="H121" s="13"/>
      <c r="I121" s="14"/>
    </row>
    <row r="122" spans="1:9" ht="13.9">
      <c r="A122" s="13"/>
      <c r="B122" s="13"/>
      <c r="C122" s="13"/>
      <c r="D122" s="13"/>
      <c r="E122" s="13"/>
      <c r="F122" s="14"/>
      <c r="G122" s="13"/>
      <c r="H122" s="13"/>
      <c r="I122" s="14"/>
    </row>
    <row r="123" spans="1:9" ht="13.9">
      <c r="A123" s="13"/>
      <c r="B123" s="13"/>
      <c r="C123" s="13"/>
      <c r="D123" s="13"/>
      <c r="E123" s="13"/>
      <c r="F123" s="14"/>
      <c r="G123" s="13"/>
      <c r="H123" s="13"/>
      <c r="I123" s="14"/>
    </row>
    <row r="124" spans="1:9" ht="13.9">
      <c r="A124" s="13"/>
      <c r="B124" s="13"/>
      <c r="C124" s="13"/>
      <c r="D124" s="13"/>
      <c r="E124" s="13"/>
      <c r="F124" s="14"/>
      <c r="G124" s="13"/>
      <c r="H124" s="13"/>
      <c r="I124" s="14"/>
    </row>
    <row r="125" spans="1:9" ht="13.9">
      <c r="A125" s="13"/>
      <c r="B125" s="13"/>
      <c r="C125" s="13"/>
      <c r="D125" s="13"/>
      <c r="E125" s="13"/>
      <c r="F125" s="14"/>
      <c r="G125" s="13"/>
      <c r="H125" s="13"/>
      <c r="I125" s="14"/>
    </row>
    <row r="126" spans="1:9" ht="13.9">
      <c r="A126" s="13"/>
      <c r="B126" s="13"/>
      <c r="C126" s="13"/>
      <c r="D126" s="13"/>
      <c r="E126" s="13"/>
      <c r="F126" s="14"/>
      <c r="G126" s="13"/>
      <c r="H126" s="13"/>
      <c r="I126" s="14"/>
    </row>
    <row r="127" spans="1:9" ht="13.9">
      <c r="A127" s="13"/>
      <c r="B127" s="13"/>
      <c r="C127" s="13"/>
      <c r="D127" s="13"/>
      <c r="E127" s="13"/>
      <c r="F127" s="14"/>
      <c r="G127" s="13"/>
      <c r="H127" s="13"/>
      <c r="I127" s="14"/>
    </row>
    <row r="128" spans="1:9" ht="13.9">
      <c r="A128" s="13"/>
      <c r="B128" s="13"/>
      <c r="C128" s="13"/>
      <c r="D128" s="13"/>
      <c r="E128" s="13"/>
      <c r="F128" s="14"/>
      <c r="G128" s="13"/>
      <c r="H128" s="13"/>
      <c r="I128" s="14"/>
    </row>
    <row r="129" spans="1:9" ht="13.9">
      <c r="A129" s="13"/>
      <c r="B129" s="13"/>
      <c r="C129" s="13"/>
      <c r="D129" s="13"/>
      <c r="E129" s="13"/>
      <c r="F129" s="14"/>
      <c r="G129" s="13"/>
      <c r="H129" s="13"/>
      <c r="I129" s="14"/>
    </row>
    <row r="130" spans="1:9" ht="13.9">
      <c r="A130" s="13"/>
      <c r="B130" s="13"/>
      <c r="C130" s="13"/>
      <c r="D130" s="13"/>
      <c r="E130" s="13"/>
      <c r="F130" s="14"/>
      <c r="G130" s="13"/>
      <c r="H130" s="13"/>
      <c r="I130" s="14"/>
    </row>
    <row r="131" spans="1:9" ht="13.9">
      <c r="A131" s="13"/>
      <c r="B131" s="13"/>
      <c r="C131" s="13"/>
      <c r="D131" s="13"/>
      <c r="E131" s="13"/>
      <c r="F131" s="14"/>
      <c r="G131" s="13"/>
      <c r="H131" s="13"/>
      <c r="I131" s="14"/>
    </row>
    <row r="132" spans="1:9" ht="13.9">
      <c r="A132" s="13"/>
      <c r="B132" s="13"/>
      <c r="C132" s="13"/>
      <c r="D132" s="13"/>
      <c r="E132" s="13"/>
      <c r="F132" s="14"/>
      <c r="G132" s="13"/>
      <c r="H132" s="13"/>
      <c r="I132" s="14"/>
    </row>
    <row r="133" spans="1:9" ht="13.9">
      <c r="A133" s="13"/>
      <c r="B133" s="13"/>
      <c r="C133" s="13"/>
      <c r="D133" s="13"/>
      <c r="E133" s="13"/>
      <c r="F133" s="14"/>
      <c r="G133" s="13"/>
      <c r="H133" s="13"/>
      <c r="I133" s="14"/>
    </row>
    <row r="134" spans="1:9" ht="13.9">
      <c r="A134" s="13"/>
      <c r="B134" s="13"/>
      <c r="C134" s="13"/>
      <c r="D134" s="13"/>
      <c r="E134" s="13"/>
      <c r="F134" s="14"/>
      <c r="G134" s="13"/>
      <c r="H134" s="13"/>
      <c r="I134" s="14"/>
    </row>
    <row r="135" spans="1:9" ht="13.9">
      <c r="A135" s="13"/>
      <c r="B135" s="13"/>
      <c r="C135" s="13"/>
      <c r="D135" s="13"/>
      <c r="E135" s="13"/>
      <c r="F135" s="14"/>
      <c r="G135" s="13"/>
      <c r="H135" s="13"/>
      <c r="I135" s="14"/>
    </row>
    <row r="136" spans="1:9" ht="13.9">
      <c r="A136" s="13"/>
      <c r="B136" s="13"/>
      <c r="C136" s="13"/>
      <c r="D136" s="13"/>
      <c r="E136" s="13"/>
      <c r="F136" s="14"/>
      <c r="G136" s="13"/>
      <c r="H136" s="13"/>
      <c r="I136" s="14"/>
    </row>
    <row r="137" spans="1:9" ht="13.9">
      <c r="A137" s="13"/>
      <c r="B137" s="13"/>
      <c r="C137" s="13"/>
      <c r="D137" s="13"/>
      <c r="E137" s="13"/>
      <c r="F137" s="14"/>
      <c r="G137" s="13"/>
      <c r="H137" s="13"/>
      <c r="I137" s="14"/>
    </row>
    <row r="138" spans="1:9" ht="13.9">
      <c r="A138" s="13"/>
      <c r="B138" s="13"/>
      <c r="C138" s="13"/>
      <c r="D138" s="13"/>
      <c r="E138" s="13"/>
      <c r="F138" s="14"/>
      <c r="G138" s="13"/>
      <c r="H138" s="13"/>
      <c r="I138" s="14"/>
    </row>
    <row r="139" spans="1:9" ht="13.9">
      <c r="A139" s="13"/>
      <c r="B139" s="13"/>
      <c r="C139" s="13"/>
      <c r="D139" s="13"/>
      <c r="E139" s="13"/>
      <c r="F139" s="14"/>
      <c r="G139" s="13"/>
      <c r="H139" s="13"/>
      <c r="I139" s="14"/>
    </row>
    <row r="140" spans="1:9" ht="13.9">
      <c r="A140" s="13"/>
      <c r="B140" s="13"/>
      <c r="C140" s="13"/>
      <c r="D140" s="13"/>
      <c r="E140" s="13"/>
      <c r="F140" s="14"/>
      <c r="G140" s="13"/>
      <c r="H140" s="13"/>
      <c r="I140" s="14"/>
    </row>
    <row r="141" spans="1:9" ht="13.9">
      <c r="A141" s="13"/>
      <c r="B141" s="13"/>
      <c r="C141" s="13"/>
      <c r="D141" s="13"/>
      <c r="E141" s="13"/>
      <c r="F141" s="14"/>
      <c r="G141" s="13"/>
      <c r="H141" s="13"/>
      <c r="I141" s="14"/>
    </row>
    <row r="142" spans="1:9" ht="13.9">
      <c r="A142" s="13"/>
      <c r="B142" s="13"/>
      <c r="C142" s="13"/>
      <c r="D142" s="13"/>
      <c r="E142" s="13"/>
      <c r="F142" s="14"/>
      <c r="G142" s="13"/>
      <c r="H142" s="13"/>
      <c r="I142" s="14"/>
    </row>
    <row r="143" spans="1:9" ht="13.9">
      <c r="A143" s="13"/>
      <c r="B143" s="13"/>
      <c r="C143" s="13"/>
      <c r="D143" s="13"/>
      <c r="E143" s="13"/>
      <c r="F143" s="14"/>
      <c r="G143" s="13"/>
      <c r="H143" s="13"/>
      <c r="I143" s="14"/>
    </row>
    <row r="144" spans="1:9" ht="13.9">
      <c r="A144" s="13"/>
      <c r="B144" s="13"/>
      <c r="C144" s="13"/>
      <c r="D144" s="13"/>
      <c r="E144" s="13"/>
      <c r="F144" s="14"/>
      <c r="G144" s="13"/>
      <c r="H144" s="13"/>
      <c r="I144" s="14"/>
    </row>
    <row r="145" spans="1:9" ht="13.9">
      <c r="A145" s="13"/>
      <c r="B145" s="13"/>
      <c r="C145" s="13"/>
      <c r="D145" s="13"/>
      <c r="E145" s="13"/>
      <c r="F145" s="14"/>
      <c r="G145" s="13"/>
      <c r="H145" s="13"/>
      <c r="I145" s="14"/>
    </row>
    <row r="146" spans="1:9" ht="13.9">
      <c r="A146" s="13"/>
      <c r="B146" s="13"/>
      <c r="C146" s="13"/>
      <c r="D146" s="13"/>
      <c r="E146" s="13"/>
      <c r="F146" s="14"/>
      <c r="G146" s="13"/>
      <c r="H146" s="13"/>
      <c r="I146" s="14"/>
    </row>
    <row r="147" spans="1:9" ht="13.9">
      <c r="A147" s="13"/>
      <c r="B147" s="13"/>
      <c r="C147" s="13"/>
      <c r="D147" s="13"/>
      <c r="E147" s="13"/>
      <c r="F147" s="14"/>
      <c r="G147" s="13"/>
      <c r="H147" s="13"/>
      <c r="I147" s="14"/>
    </row>
    <row r="148" spans="1:9" ht="13.9">
      <c r="A148" s="13"/>
      <c r="B148" s="13"/>
      <c r="C148" s="13"/>
      <c r="D148" s="13"/>
      <c r="E148" s="13"/>
      <c r="F148" s="14"/>
      <c r="G148" s="13"/>
      <c r="H148" s="13"/>
      <c r="I148" s="14"/>
    </row>
    <row r="149" spans="1:9" ht="13.9">
      <c r="A149" s="13"/>
      <c r="B149" s="13"/>
      <c r="C149" s="13"/>
      <c r="D149" s="13"/>
      <c r="E149" s="13"/>
      <c r="F149" s="14"/>
      <c r="G149" s="13"/>
      <c r="H149" s="13"/>
      <c r="I149" s="14"/>
    </row>
    <row r="150" spans="1:9" ht="13.9">
      <c r="A150" s="13"/>
      <c r="B150" s="13"/>
      <c r="C150" s="13"/>
      <c r="D150" s="13"/>
      <c r="E150" s="13"/>
      <c r="F150" s="14"/>
      <c r="G150" s="13"/>
      <c r="H150" s="13"/>
      <c r="I150" s="14"/>
    </row>
    <row r="151" spans="1:9" ht="13.9">
      <c r="A151" s="13"/>
      <c r="B151" s="13"/>
      <c r="C151" s="13"/>
      <c r="D151" s="13"/>
      <c r="E151" s="13"/>
      <c r="F151" s="14"/>
      <c r="G151" s="13"/>
      <c r="H151" s="13"/>
      <c r="I151" s="14"/>
    </row>
    <row r="152" spans="1:9" ht="13.9">
      <c r="A152" s="13"/>
      <c r="B152" s="13"/>
      <c r="C152" s="13"/>
      <c r="D152" s="13"/>
      <c r="E152" s="13"/>
      <c r="F152" s="14"/>
      <c r="G152" s="13"/>
      <c r="H152" s="13"/>
      <c r="I152" s="14"/>
    </row>
    <row r="153" spans="1:9" ht="13.9">
      <c r="A153" s="13"/>
      <c r="B153" s="13"/>
      <c r="C153" s="13"/>
      <c r="D153" s="13"/>
      <c r="E153" s="13"/>
      <c r="F153" s="14"/>
      <c r="G153" s="13"/>
      <c r="H153" s="13"/>
      <c r="I153" s="14"/>
    </row>
    <row r="154" spans="1:9" ht="13.9">
      <c r="A154" s="13"/>
      <c r="B154" s="13"/>
      <c r="C154" s="13"/>
      <c r="D154" s="13"/>
      <c r="E154" s="13"/>
      <c r="F154" s="14"/>
      <c r="G154" s="13"/>
      <c r="H154" s="13"/>
      <c r="I154" s="14"/>
    </row>
    <row r="155" spans="1:9" ht="13.9">
      <c r="A155" s="13"/>
      <c r="B155" s="13"/>
      <c r="C155" s="13"/>
      <c r="D155" s="13"/>
      <c r="E155" s="13"/>
      <c r="F155" s="14"/>
      <c r="G155" s="13"/>
      <c r="H155" s="13"/>
      <c r="I155" s="14"/>
    </row>
    <row r="156" spans="1:9" ht="13.9">
      <c r="A156" s="13"/>
      <c r="B156" s="13"/>
      <c r="C156" s="13"/>
      <c r="D156" s="13"/>
      <c r="E156" s="13"/>
      <c r="F156" s="14"/>
      <c r="G156" s="13"/>
      <c r="H156" s="13"/>
      <c r="I156" s="14"/>
    </row>
    <row r="157" spans="1:9" ht="13.9">
      <c r="A157" s="13"/>
      <c r="B157" s="13"/>
      <c r="C157" s="13"/>
      <c r="D157" s="13"/>
      <c r="E157" s="13"/>
      <c r="F157" s="14"/>
      <c r="G157" s="13"/>
      <c r="H157" s="13"/>
      <c r="I157" s="14"/>
    </row>
    <row r="158" spans="1:9" ht="13.9">
      <c r="A158" s="13"/>
      <c r="B158" s="13"/>
      <c r="C158" s="13"/>
      <c r="D158" s="13"/>
      <c r="E158" s="13"/>
      <c r="F158" s="14"/>
      <c r="G158" s="13"/>
      <c r="H158" s="13"/>
      <c r="I158" s="14"/>
    </row>
    <row r="159" spans="1:9" ht="13.9">
      <c r="A159" s="13"/>
      <c r="B159" s="13"/>
      <c r="C159" s="13"/>
      <c r="D159" s="13"/>
      <c r="E159" s="13"/>
      <c r="F159" s="14"/>
      <c r="G159" s="13"/>
      <c r="H159" s="13"/>
      <c r="I159" s="14"/>
    </row>
    <row r="160" spans="1:9" ht="13.9">
      <c r="A160" s="13"/>
      <c r="B160" s="13"/>
      <c r="C160" s="13"/>
      <c r="D160" s="13"/>
      <c r="E160" s="13"/>
      <c r="F160" s="14"/>
      <c r="G160" s="13"/>
      <c r="H160" s="13"/>
      <c r="I160" s="14"/>
    </row>
    <row r="161" spans="1:9" ht="13.9">
      <c r="A161" s="13"/>
      <c r="B161" s="13"/>
      <c r="C161" s="13"/>
      <c r="D161" s="13"/>
      <c r="E161" s="13"/>
      <c r="F161" s="14"/>
      <c r="G161" s="13"/>
      <c r="H161" s="13"/>
      <c r="I161" s="14"/>
    </row>
    <row r="162" spans="1:9" ht="13.9">
      <c r="A162" s="13"/>
      <c r="B162" s="13"/>
      <c r="C162" s="13"/>
      <c r="D162" s="13"/>
      <c r="E162" s="13"/>
      <c r="F162" s="14"/>
      <c r="G162" s="13"/>
      <c r="H162" s="13"/>
      <c r="I162" s="14"/>
    </row>
    <row r="163" spans="1:9" ht="13.9">
      <c r="A163" s="13"/>
      <c r="B163" s="13"/>
      <c r="C163" s="13"/>
      <c r="D163" s="13"/>
      <c r="E163" s="13"/>
      <c r="F163" s="14"/>
      <c r="G163" s="13"/>
      <c r="H163" s="13"/>
      <c r="I163" s="14"/>
    </row>
    <row r="164" spans="1:9" ht="13.9">
      <c r="A164" s="13"/>
      <c r="B164" s="13"/>
      <c r="C164" s="13"/>
      <c r="D164" s="13"/>
      <c r="E164" s="13"/>
      <c r="F164" s="14"/>
      <c r="G164" s="13"/>
      <c r="H164" s="13"/>
      <c r="I164" s="14"/>
    </row>
    <row r="165" spans="1:9" ht="13.9">
      <c r="A165" s="13"/>
      <c r="B165" s="13"/>
      <c r="C165" s="13"/>
      <c r="D165" s="13"/>
      <c r="E165" s="13"/>
      <c r="F165" s="14"/>
      <c r="G165" s="13"/>
      <c r="H165" s="13"/>
      <c r="I165" s="14"/>
    </row>
    <row r="166" spans="1:9" ht="13.9">
      <c r="A166" s="13"/>
      <c r="B166" s="13"/>
      <c r="C166" s="13"/>
      <c r="D166" s="13"/>
      <c r="E166" s="13"/>
      <c r="F166" s="14"/>
      <c r="G166" s="13"/>
      <c r="H166" s="13"/>
      <c r="I166" s="14"/>
    </row>
    <row r="167" spans="1:9" ht="13.9">
      <c r="A167" s="13"/>
      <c r="B167" s="13"/>
      <c r="C167" s="13"/>
      <c r="D167" s="13"/>
      <c r="E167" s="13"/>
      <c r="F167" s="14"/>
      <c r="G167" s="13"/>
      <c r="H167" s="13"/>
      <c r="I167" s="14"/>
    </row>
    <row r="168" spans="1:9" ht="13.9">
      <c r="A168" s="13"/>
      <c r="B168" s="13"/>
      <c r="C168" s="13"/>
      <c r="D168" s="13"/>
      <c r="E168" s="13"/>
      <c r="F168" s="14"/>
      <c r="G168" s="13"/>
      <c r="H168" s="13"/>
      <c r="I168" s="14"/>
    </row>
    <row r="169" spans="1:9" ht="13.9">
      <c r="A169" s="13"/>
      <c r="B169" s="13"/>
      <c r="C169" s="13"/>
      <c r="D169" s="13"/>
      <c r="E169" s="13"/>
      <c r="F169" s="14"/>
      <c r="G169" s="13"/>
      <c r="H169" s="13"/>
      <c r="I169" s="14"/>
    </row>
    <row r="170" spans="1:9" ht="13.9">
      <c r="A170" s="13"/>
      <c r="B170" s="13"/>
      <c r="C170" s="13"/>
      <c r="D170" s="13"/>
      <c r="E170" s="13"/>
      <c r="F170" s="14"/>
      <c r="G170" s="13"/>
      <c r="H170" s="13"/>
      <c r="I170" s="14"/>
    </row>
    <row r="171" spans="1:9" ht="13.9">
      <c r="A171" s="13"/>
      <c r="B171" s="13"/>
      <c r="C171" s="13"/>
      <c r="D171" s="13"/>
      <c r="E171" s="13"/>
      <c r="F171" s="14"/>
      <c r="G171" s="13"/>
      <c r="H171" s="13"/>
      <c r="I171" s="14"/>
    </row>
    <row r="172" spans="1:9" ht="13.9">
      <c r="A172" s="13"/>
      <c r="B172" s="13"/>
      <c r="C172" s="13"/>
      <c r="D172" s="13"/>
      <c r="E172" s="13"/>
      <c r="F172" s="14"/>
      <c r="G172" s="13"/>
      <c r="H172" s="13"/>
      <c r="I172" s="14"/>
    </row>
    <row r="173" spans="1:9" ht="13.9">
      <c r="A173" s="13"/>
      <c r="B173" s="13"/>
      <c r="C173" s="13"/>
      <c r="D173" s="13"/>
      <c r="E173" s="13"/>
      <c r="F173" s="14"/>
      <c r="G173" s="13"/>
      <c r="H173" s="13"/>
      <c r="I173" s="14"/>
    </row>
    <row r="174" spans="1:9" ht="13.9">
      <c r="A174" s="13"/>
      <c r="B174" s="13"/>
      <c r="C174" s="13"/>
      <c r="D174" s="13"/>
      <c r="E174" s="13"/>
      <c r="F174" s="14"/>
      <c r="G174" s="13"/>
      <c r="H174" s="13"/>
      <c r="I174" s="14"/>
    </row>
    <row r="175" spans="1:9" ht="13.9">
      <c r="A175" s="13"/>
      <c r="B175" s="13"/>
      <c r="C175" s="13"/>
      <c r="D175" s="13"/>
      <c r="E175" s="13"/>
      <c r="F175" s="14"/>
      <c r="G175" s="13"/>
      <c r="H175" s="13"/>
      <c r="I175" s="14"/>
    </row>
    <row r="176" spans="1:9" ht="13.9">
      <c r="A176" s="13"/>
      <c r="B176" s="13"/>
      <c r="C176" s="13"/>
      <c r="D176" s="13"/>
      <c r="E176" s="13"/>
      <c r="F176" s="14"/>
      <c r="G176" s="13"/>
      <c r="H176" s="13"/>
      <c r="I176" s="14"/>
    </row>
    <row r="177" spans="1:9" ht="13.9">
      <c r="A177" s="13"/>
      <c r="B177" s="13"/>
      <c r="C177" s="13"/>
      <c r="D177" s="13"/>
      <c r="E177" s="13"/>
      <c r="F177" s="14"/>
      <c r="G177" s="13"/>
      <c r="H177" s="13"/>
      <c r="I177" s="14"/>
    </row>
    <row r="178" spans="1:9" ht="13.9">
      <c r="A178" s="13"/>
      <c r="B178" s="13"/>
      <c r="C178" s="13"/>
      <c r="D178" s="13"/>
      <c r="E178" s="13"/>
      <c r="F178" s="14"/>
      <c r="G178" s="13"/>
      <c r="H178" s="13"/>
      <c r="I178" s="14"/>
    </row>
    <row r="179" spans="1:9" ht="13.9">
      <c r="A179" s="13"/>
      <c r="B179" s="13"/>
      <c r="C179" s="13"/>
      <c r="D179" s="13"/>
      <c r="E179" s="13"/>
      <c r="F179" s="14"/>
      <c r="G179" s="13"/>
      <c r="H179" s="13"/>
      <c r="I179" s="14"/>
    </row>
    <row r="180" spans="1:9" ht="13.9">
      <c r="A180" s="13"/>
      <c r="B180" s="13"/>
      <c r="C180" s="13"/>
      <c r="D180" s="13"/>
      <c r="E180" s="13"/>
      <c r="F180" s="14"/>
      <c r="G180" s="13"/>
      <c r="H180" s="13"/>
      <c r="I180" s="14"/>
    </row>
    <row r="181" spans="1:9" ht="13.9">
      <c r="A181" s="13"/>
      <c r="B181" s="13"/>
      <c r="C181" s="13"/>
      <c r="D181" s="13"/>
      <c r="E181" s="13"/>
      <c r="F181" s="14"/>
      <c r="G181" s="13"/>
      <c r="H181" s="13"/>
      <c r="I181" s="14"/>
    </row>
    <row r="182" spans="1:9" ht="13.9">
      <c r="A182" s="13"/>
      <c r="B182" s="13"/>
      <c r="C182" s="13"/>
      <c r="D182" s="13"/>
      <c r="E182" s="13"/>
      <c r="F182" s="14"/>
      <c r="G182" s="13"/>
      <c r="H182" s="13"/>
      <c r="I182" s="14"/>
    </row>
    <row r="183" spans="1:9" ht="13.9">
      <c r="A183" s="13"/>
      <c r="B183" s="13"/>
      <c r="C183" s="13"/>
      <c r="D183" s="13"/>
      <c r="E183" s="13"/>
      <c r="F183" s="14"/>
      <c r="G183" s="13"/>
      <c r="H183" s="13"/>
      <c r="I183" s="14"/>
    </row>
    <row r="184" spans="1:9" ht="13.9">
      <c r="A184" s="13"/>
      <c r="B184" s="13"/>
      <c r="C184" s="13"/>
      <c r="D184" s="13"/>
      <c r="E184" s="13"/>
      <c r="F184" s="14"/>
      <c r="G184" s="13"/>
      <c r="H184" s="13"/>
      <c r="I184" s="14"/>
    </row>
    <row r="185" spans="1:9" ht="13.9">
      <c r="A185" s="13"/>
      <c r="B185" s="13"/>
      <c r="C185" s="13"/>
      <c r="D185" s="13"/>
      <c r="E185" s="13"/>
      <c r="F185" s="14"/>
      <c r="G185" s="13"/>
      <c r="H185" s="13"/>
      <c r="I185" s="14"/>
    </row>
    <row r="186" spans="1:9" ht="13.9">
      <c r="A186" s="13"/>
      <c r="B186" s="13"/>
      <c r="C186" s="13"/>
      <c r="D186" s="13"/>
      <c r="E186" s="13"/>
      <c r="F186" s="14"/>
      <c r="G186" s="13"/>
      <c r="H186" s="13"/>
      <c r="I186" s="14"/>
    </row>
    <row r="187" spans="1:9" ht="13.9">
      <c r="A187" s="13"/>
      <c r="B187" s="13"/>
      <c r="C187" s="13"/>
      <c r="D187" s="13"/>
      <c r="E187" s="13"/>
      <c r="F187" s="14"/>
      <c r="G187" s="13"/>
      <c r="H187" s="13"/>
      <c r="I187" s="14"/>
    </row>
    <row r="188" spans="1:9" ht="13.9">
      <c r="A188" s="13"/>
      <c r="B188" s="13"/>
      <c r="C188" s="13"/>
      <c r="D188" s="13"/>
      <c r="E188" s="13"/>
      <c r="F188" s="14"/>
      <c r="G188" s="13"/>
      <c r="H188" s="13"/>
      <c r="I188" s="14"/>
    </row>
    <row r="189" spans="1:9" ht="13.9">
      <c r="A189" s="13"/>
      <c r="B189" s="13"/>
      <c r="C189" s="13"/>
      <c r="D189" s="13"/>
      <c r="E189" s="13"/>
      <c r="F189" s="14"/>
      <c r="G189" s="13"/>
      <c r="H189" s="13"/>
      <c r="I189" s="14"/>
    </row>
    <row r="190" spans="1:9" ht="13.9">
      <c r="A190" s="13"/>
      <c r="B190" s="13"/>
      <c r="C190" s="13"/>
      <c r="D190" s="13"/>
      <c r="E190" s="13"/>
      <c r="F190" s="14"/>
      <c r="G190" s="13"/>
      <c r="H190" s="13"/>
      <c r="I190" s="14"/>
    </row>
    <row r="191" spans="1:9" ht="13.9">
      <c r="A191" s="13"/>
      <c r="B191" s="13"/>
      <c r="C191" s="13"/>
      <c r="D191" s="13"/>
      <c r="E191" s="13"/>
      <c r="F191" s="14"/>
      <c r="G191" s="13"/>
      <c r="H191" s="13"/>
      <c r="I191" s="14"/>
    </row>
    <row r="192" spans="1:9" ht="13.9">
      <c r="A192" s="13"/>
      <c r="B192" s="13"/>
      <c r="C192" s="13"/>
      <c r="D192" s="13"/>
      <c r="E192" s="13"/>
      <c r="F192" s="14"/>
      <c r="G192" s="13"/>
      <c r="H192" s="13"/>
      <c r="I192" s="14"/>
    </row>
    <row r="193" spans="1:9" ht="13.9">
      <c r="A193" s="13"/>
      <c r="B193" s="13"/>
      <c r="C193" s="13"/>
      <c r="D193" s="13"/>
      <c r="E193" s="13"/>
      <c r="F193" s="14"/>
      <c r="G193" s="13"/>
      <c r="H193" s="13"/>
      <c r="I193" s="14"/>
    </row>
    <row r="194" spans="1:9" ht="13.9">
      <c r="A194" s="13"/>
      <c r="B194" s="13"/>
      <c r="C194" s="13"/>
      <c r="D194" s="13"/>
      <c r="E194" s="13"/>
      <c r="F194" s="14"/>
      <c r="G194" s="13"/>
      <c r="H194" s="13"/>
      <c r="I194" s="14"/>
    </row>
    <row r="195" spans="1:9" ht="13.9">
      <c r="A195" s="13"/>
      <c r="B195" s="13"/>
      <c r="C195" s="13"/>
      <c r="D195" s="13"/>
      <c r="E195" s="13"/>
      <c r="F195" s="14"/>
      <c r="G195" s="13"/>
      <c r="H195" s="13"/>
      <c r="I195" s="14"/>
    </row>
    <row r="196" spans="1:9" ht="13.9">
      <c r="A196" s="13"/>
      <c r="B196" s="13"/>
      <c r="C196" s="13"/>
      <c r="D196" s="13"/>
      <c r="E196" s="13"/>
      <c r="F196" s="14"/>
      <c r="G196" s="13"/>
      <c r="H196" s="13"/>
      <c r="I196" s="14"/>
    </row>
    <row r="197" spans="1:9" ht="13.9">
      <c r="A197" s="13"/>
      <c r="B197" s="13"/>
      <c r="C197" s="13"/>
      <c r="D197" s="13"/>
      <c r="E197" s="13"/>
      <c r="F197" s="14"/>
      <c r="G197" s="13"/>
      <c r="H197" s="13"/>
      <c r="I197" s="14"/>
    </row>
    <row r="198" spans="1:9" ht="13.9">
      <c r="A198" s="13"/>
      <c r="B198" s="13"/>
      <c r="C198" s="13"/>
      <c r="D198" s="13"/>
      <c r="E198" s="13"/>
      <c r="F198" s="14"/>
      <c r="G198" s="13"/>
      <c r="H198" s="13"/>
      <c r="I198" s="14"/>
    </row>
    <row r="199" spans="1:9" ht="13.9">
      <c r="A199" s="13"/>
      <c r="B199" s="13"/>
      <c r="C199" s="13"/>
      <c r="D199" s="13"/>
      <c r="E199" s="13"/>
      <c r="F199" s="14"/>
      <c r="G199" s="13"/>
      <c r="H199" s="13"/>
      <c r="I199" s="14"/>
    </row>
    <row r="200" spans="1:9" ht="13.9">
      <c r="A200" s="13"/>
      <c r="B200" s="13"/>
      <c r="C200" s="13"/>
      <c r="D200" s="13"/>
      <c r="E200" s="13"/>
      <c r="F200" s="14"/>
      <c r="G200" s="13"/>
      <c r="H200" s="13"/>
      <c r="I200" s="14"/>
    </row>
    <row r="201" spans="1:9" ht="13.9">
      <c r="A201" s="13"/>
      <c r="B201" s="13"/>
      <c r="C201" s="13"/>
      <c r="D201" s="13"/>
      <c r="E201" s="13"/>
      <c r="F201" s="14"/>
      <c r="G201" s="13"/>
      <c r="H201" s="13"/>
      <c r="I201" s="14"/>
    </row>
    <row r="202" spans="1:9" ht="13.9">
      <c r="A202" s="13"/>
      <c r="B202" s="13"/>
      <c r="C202" s="13"/>
      <c r="D202" s="13"/>
      <c r="E202" s="13"/>
      <c r="F202" s="14"/>
      <c r="G202" s="13"/>
      <c r="H202" s="13"/>
      <c r="I202" s="14"/>
    </row>
    <row r="203" spans="1:9" ht="13.9">
      <c r="A203" s="13"/>
      <c r="B203" s="13"/>
      <c r="C203" s="13"/>
      <c r="D203" s="13"/>
      <c r="E203" s="13"/>
      <c r="F203" s="14"/>
      <c r="G203" s="13"/>
      <c r="H203" s="13"/>
      <c r="I203" s="14"/>
    </row>
    <row r="204" spans="1:9" ht="13.9">
      <c r="A204" s="13"/>
      <c r="B204" s="13"/>
      <c r="C204" s="13"/>
      <c r="D204" s="13"/>
      <c r="E204" s="13"/>
      <c r="F204" s="14"/>
      <c r="G204" s="13"/>
      <c r="H204" s="13"/>
      <c r="I204" s="14"/>
    </row>
    <row r="205" spans="1:9" ht="13.9">
      <c r="A205" s="13"/>
      <c r="B205" s="13"/>
      <c r="C205" s="13"/>
      <c r="D205" s="13"/>
      <c r="E205" s="13"/>
      <c r="F205" s="14"/>
      <c r="G205" s="13"/>
      <c r="H205" s="13"/>
      <c r="I205" s="14"/>
    </row>
    <row r="206" spans="1:9" ht="13.9">
      <c r="A206" s="13"/>
      <c r="B206" s="13"/>
      <c r="C206" s="13"/>
      <c r="D206" s="13"/>
      <c r="E206" s="13"/>
      <c r="F206" s="14"/>
      <c r="G206" s="13"/>
      <c r="H206" s="13"/>
      <c r="I206" s="14"/>
    </row>
    <row r="207" spans="1:9" ht="13.9">
      <c r="A207" s="13"/>
      <c r="B207" s="13"/>
      <c r="C207" s="13"/>
      <c r="D207" s="13"/>
      <c r="E207" s="13"/>
      <c r="F207" s="14"/>
      <c r="G207" s="13"/>
      <c r="H207" s="13"/>
      <c r="I207" s="14"/>
    </row>
    <row r="208" spans="1:9" ht="13.9">
      <c r="A208" s="13"/>
      <c r="B208" s="13"/>
      <c r="C208" s="13"/>
      <c r="D208" s="13"/>
      <c r="E208" s="13"/>
      <c r="F208" s="14"/>
      <c r="G208" s="13"/>
      <c r="H208" s="13"/>
      <c r="I208" s="14"/>
    </row>
    <row r="209" spans="1:9" ht="13.9">
      <c r="A209" s="13"/>
      <c r="B209" s="13"/>
      <c r="C209" s="13"/>
      <c r="D209" s="13"/>
      <c r="E209" s="13"/>
      <c r="F209" s="14"/>
      <c r="G209" s="13"/>
      <c r="H209" s="13"/>
      <c r="I209" s="14"/>
    </row>
    <row r="210" spans="1:9" ht="13.9">
      <c r="A210" s="13"/>
      <c r="B210" s="13"/>
      <c r="C210" s="13"/>
      <c r="D210" s="13"/>
      <c r="E210" s="13"/>
      <c r="F210" s="14"/>
      <c r="G210" s="13"/>
      <c r="H210" s="13"/>
      <c r="I210" s="14"/>
    </row>
    <row r="211" spans="1:9" ht="13.9">
      <c r="A211" s="13"/>
      <c r="B211" s="13"/>
      <c r="C211" s="13"/>
      <c r="D211" s="13"/>
      <c r="E211" s="13"/>
      <c r="F211" s="14"/>
      <c r="G211" s="13"/>
      <c r="H211" s="13"/>
      <c r="I211" s="14"/>
    </row>
    <row r="212" spans="1:9" ht="13.9">
      <c r="A212" s="13"/>
      <c r="B212" s="13"/>
      <c r="C212" s="13"/>
      <c r="D212" s="13"/>
      <c r="E212" s="13"/>
      <c r="F212" s="14"/>
      <c r="G212" s="13"/>
      <c r="H212" s="13"/>
      <c r="I212" s="14"/>
    </row>
    <row r="213" spans="1:9" ht="13.9">
      <c r="A213" s="13"/>
      <c r="B213" s="13"/>
      <c r="C213" s="13"/>
      <c r="D213" s="13"/>
      <c r="E213" s="13"/>
      <c r="F213" s="14"/>
      <c r="G213" s="13"/>
      <c r="H213" s="13"/>
      <c r="I213" s="14"/>
    </row>
    <row r="214" spans="1:9" ht="13.9">
      <c r="A214" s="13"/>
      <c r="B214" s="13"/>
      <c r="C214" s="13"/>
      <c r="D214" s="13"/>
      <c r="E214" s="13"/>
      <c r="F214" s="14"/>
      <c r="G214" s="13"/>
      <c r="H214" s="13"/>
      <c r="I214" s="14"/>
    </row>
    <row r="215" spans="1:9" ht="13.9">
      <c r="A215" s="13"/>
      <c r="B215" s="13"/>
      <c r="C215" s="13"/>
      <c r="D215" s="13"/>
      <c r="E215" s="13"/>
      <c r="F215" s="14"/>
      <c r="G215" s="13"/>
      <c r="H215" s="13"/>
      <c r="I215" s="14"/>
    </row>
    <row r="216" spans="1:9" ht="13.9">
      <c r="A216" s="13"/>
      <c r="B216" s="13"/>
      <c r="C216" s="13"/>
      <c r="D216" s="13"/>
      <c r="E216" s="13"/>
      <c r="F216" s="14"/>
      <c r="G216" s="13"/>
      <c r="H216" s="13"/>
      <c r="I216" s="14"/>
    </row>
    <row r="217" spans="1:9" ht="13.9">
      <c r="A217" s="13"/>
      <c r="B217" s="13"/>
      <c r="C217" s="13"/>
      <c r="D217" s="13"/>
      <c r="E217" s="13"/>
      <c r="F217" s="14"/>
      <c r="G217" s="13"/>
      <c r="H217" s="13"/>
      <c r="I217" s="14"/>
    </row>
    <row r="218" spans="1:9" ht="13.9">
      <c r="A218" s="13"/>
      <c r="B218" s="13"/>
      <c r="C218" s="13"/>
      <c r="D218" s="13"/>
      <c r="E218" s="13"/>
      <c r="F218" s="14"/>
      <c r="G218" s="13"/>
      <c r="H218" s="13"/>
      <c r="I218" s="14"/>
    </row>
    <row r="219" spans="1:9" ht="13.9">
      <c r="A219" s="13"/>
      <c r="B219" s="13"/>
      <c r="C219" s="13"/>
      <c r="D219" s="13"/>
      <c r="E219" s="13"/>
      <c r="F219" s="14"/>
      <c r="G219" s="13"/>
      <c r="H219" s="13"/>
      <c r="I219" s="14"/>
    </row>
    <row r="220" spans="1:9" ht="13.9">
      <c r="A220" s="13"/>
      <c r="B220" s="13"/>
      <c r="C220" s="13"/>
      <c r="D220" s="13"/>
      <c r="E220" s="13"/>
      <c r="F220" s="14"/>
      <c r="G220" s="13"/>
      <c r="H220" s="13"/>
      <c r="I220" s="14"/>
    </row>
    <row r="221" spans="1:9" ht="13.9">
      <c r="A221" s="13"/>
      <c r="B221" s="13"/>
      <c r="C221" s="13"/>
      <c r="D221" s="13"/>
      <c r="E221" s="13"/>
      <c r="F221" s="14"/>
      <c r="G221" s="13"/>
      <c r="H221" s="13"/>
      <c r="I221" s="14"/>
    </row>
    <row r="222" spans="1:9" ht="13.9">
      <c r="A222" s="13"/>
      <c r="B222" s="13"/>
      <c r="C222" s="13"/>
      <c r="D222" s="13"/>
      <c r="E222" s="13"/>
      <c r="F222" s="14"/>
      <c r="G222" s="13"/>
      <c r="H222" s="13"/>
      <c r="I222" s="14"/>
    </row>
    <row r="223" spans="1:9" ht="13.9">
      <c r="A223" s="13"/>
      <c r="B223" s="13"/>
      <c r="C223" s="13"/>
      <c r="D223" s="13"/>
      <c r="E223" s="13"/>
      <c r="F223" s="14"/>
      <c r="G223" s="13"/>
      <c r="H223" s="13"/>
      <c r="I223" s="14"/>
    </row>
    <row r="224" spans="1:9" ht="13.9">
      <c r="A224" s="13"/>
      <c r="B224" s="13"/>
      <c r="C224" s="13"/>
      <c r="D224" s="13"/>
      <c r="E224" s="13"/>
      <c r="F224" s="14"/>
      <c r="G224" s="13"/>
      <c r="H224" s="13"/>
      <c r="I224" s="14"/>
    </row>
    <row r="225" spans="1:9" ht="13.9">
      <c r="A225" s="13"/>
      <c r="B225" s="13"/>
      <c r="C225" s="13"/>
      <c r="D225" s="13"/>
      <c r="E225" s="13"/>
      <c r="F225" s="14"/>
      <c r="G225" s="13"/>
      <c r="H225" s="13"/>
      <c r="I225" s="14"/>
    </row>
    <row r="226" spans="1:9" ht="13.9">
      <c r="A226" s="13"/>
      <c r="B226" s="13"/>
      <c r="C226" s="13"/>
      <c r="D226" s="13"/>
      <c r="E226" s="13"/>
      <c r="F226" s="14"/>
      <c r="G226" s="13"/>
      <c r="H226" s="13"/>
      <c r="I226" s="14"/>
    </row>
    <row r="227" spans="1:9" ht="13.9">
      <c r="A227" s="13"/>
      <c r="B227" s="13"/>
      <c r="C227" s="13"/>
      <c r="D227" s="13"/>
      <c r="E227" s="13"/>
      <c r="F227" s="14"/>
      <c r="G227" s="13"/>
      <c r="H227" s="13"/>
      <c r="I227" s="14"/>
    </row>
    <row r="228" spans="1:9" ht="13.9">
      <c r="A228" s="13"/>
      <c r="B228" s="13"/>
      <c r="C228" s="13"/>
      <c r="D228" s="13"/>
      <c r="E228" s="13"/>
      <c r="F228" s="14"/>
      <c r="G228" s="13"/>
      <c r="H228" s="13"/>
      <c r="I228" s="14"/>
    </row>
    <row r="229" spans="1:9" ht="13.9">
      <c r="A229" s="13"/>
      <c r="B229" s="13"/>
      <c r="C229" s="13"/>
      <c r="D229" s="13"/>
      <c r="E229" s="13"/>
      <c r="F229" s="14"/>
      <c r="G229" s="13"/>
      <c r="H229" s="13"/>
      <c r="I229" s="14"/>
    </row>
    <row r="230" spans="1:9" ht="13.9">
      <c r="A230" s="13"/>
      <c r="B230" s="13"/>
      <c r="C230" s="13"/>
      <c r="D230" s="13"/>
      <c r="E230" s="13"/>
      <c r="F230" s="14"/>
      <c r="G230" s="13"/>
      <c r="H230" s="13"/>
      <c r="I230" s="14"/>
    </row>
    <row r="231" spans="1:9" ht="13.9">
      <c r="A231" s="13"/>
      <c r="B231" s="13"/>
      <c r="C231" s="13"/>
      <c r="D231" s="13"/>
      <c r="E231" s="13"/>
      <c r="F231" s="14"/>
      <c r="G231" s="13"/>
      <c r="H231" s="13"/>
      <c r="I231" s="14"/>
    </row>
    <row r="232" spans="1:9" ht="13.9">
      <c r="A232" s="13"/>
      <c r="B232" s="13"/>
      <c r="C232" s="13"/>
      <c r="D232" s="13"/>
      <c r="E232" s="13"/>
      <c r="F232" s="14"/>
      <c r="G232" s="13"/>
      <c r="H232" s="13"/>
      <c r="I232" s="14"/>
    </row>
    <row r="233" spans="1:9" ht="13.9">
      <c r="A233" s="13"/>
      <c r="B233" s="13"/>
      <c r="C233" s="13"/>
      <c r="D233" s="13"/>
      <c r="E233" s="13"/>
      <c r="F233" s="14"/>
      <c r="G233" s="13"/>
      <c r="H233" s="13"/>
      <c r="I233" s="14"/>
    </row>
    <row r="234" spans="1:9" ht="13.9">
      <c r="A234" s="13"/>
      <c r="B234" s="13"/>
      <c r="C234" s="13"/>
      <c r="D234" s="13"/>
      <c r="E234" s="13"/>
      <c r="F234" s="14"/>
      <c r="G234" s="13"/>
      <c r="H234" s="13"/>
      <c r="I234" s="14"/>
    </row>
    <row r="235" spans="1:9" ht="13.9">
      <c r="A235" s="13"/>
      <c r="B235" s="13"/>
      <c r="C235" s="13"/>
      <c r="D235" s="13"/>
      <c r="E235" s="13"/>
      <c r="F235" s="14"/>
      <c r="G235" s="13"/>
      <c r="H235" s="13"/>
      <c r="I235" s="14"/>
    </row>
    <row r="236" spans="1:9" ht="13.9">
      <c r="A236" s="13"/>
      <c r="B236" s="13"/>
      <c r="C236" s="13"/>
      <c r="D236" s="13"/>
      <c r="E236" s="13"/>
      <c r="F236" s="14"/>
      <c r="G236" s="13"/>
      <c r="H236" s="13"/>
      <c r="I236" s="14"/>
    </row>
    <row r="237" spans="1:9" ht="13.9">
      <c r="A237" s="13"/>
      <c r="B237" s="13"/>
      <c r="C237" s="13"/>
      <c r="D237" s="13"/>
      <c r="E237" s="13"/>
      <c r="F237" s="14"/>
      <c r="G237" s="13"/>
      <c r="H237" s="13"/>
      <c r="I237" s="14"/>
    </row>
    <row r="238" spans="1:9" ht="13.9">
      <c r="A238" s="13"/>
      <c r="B238" s="13"/>
      <c r="C238" s="13"/>
      <c r="D238" s="13"/>
      <c r="E238" s="13"/>
      <c r="F238" s="14"/>
      <c r="G238" s="13"/>
      <c r="H238" s="13"/>
      <c r="I238" s="14"/>
    </row>
    <row r="239" spans="1:9" ht="13.9">
      <c r="A239" s="13"/>
      <c r="B239" s="13"/>
      <c r="C239" s="13"/>
      <c r="D239" s="13"/>
      <c r="E239" s="13"/>
      <c r="F239" s="14"/>
      <c r="G239" s="13"/>
      <c r="H239" s="13"/>
      <c r="I239" s="14"/>
    </row>
    <row r="240" spans="1:9" ht="13.9">
      <c r="A240" s="13"/>
      <c r="B240" s="13"/>
      <c r="C240" s="13"/>
      <c r="D240" s="13"/>
      <c r="E240" s="13"/>
      <c r="F240" s="14"/>
      <c r="G240" s="13"/>
      <c r="H240" s="13"/>
      <c r="I240" s="14"/>
    </row>
    <row r="241" spans="1:9" ht="13.9">
      <c r="A241" s="13"/>
      <c r="B241" s="13"/>
      <c r="C241" s="13"/>
      <c r="D241" s="13"/>
      <c r="E241" s="13"/>
      <c r="F241" s="14"/>
      <c r="G241" s="13"/>
      <c r="H241" s="13"/>
      <c r="I241" s="14"/>
    </row>
    <row r="242" spans="1:9" ht="13.9">
      <c r="A242" s="13"/>
      <c r="B242" s="13"/>
      <c r="C242" s="13"/>
      <c r="D242" s="13"/>
      <c r="E242" s="13"/>
      <c r="F242" s="14"/>
      <c r="G242" s="13"/>
      <c r="H242" s="13"/>
      <c r="I242" s="14"/>
    </row>
    <row r="243" spans="1:9" ht="13.9">
      <c r="A243" s="13"/>
      <c r="B243" s="13"/>
      <c r="C243" s="13"/>
      <c r="D243" s="13"/>
      <c r="E243" s="13"/>
      <c r="F243" s="14"/>
      <c r="G243" s="13"/>
      <c r="H243" s="13"/>
      <c r="I243" s="14"/>
    </row>
    <row r="244" spans="1:9" ht="13.9">
      <c r="A244" s="13"/>
      <c r="B244" s="13"/>
      <c r="C244" s="13"/>
      <c r="D244" s="13"/>
      <c r="E244" s="13"/>
      <c r="F244" s="14"/>
      <c r="G244" s="13"/>
      <c r="H244" s="13"/>
      <c r="I244" s="14"/>
    </row>
    <row r="245" spans="1:9" ht="13.9">
      <c r="A245" s="13"/>
      <c r="B245" s="13"/>
      <c r="C245" s="13"/>
      <c r="D245" s="13"/>
      <c r="E245" s="13"/>
      <c r="F245" s="14"/>
      <c r="G245" s="13"/>
      <c r="H245" s="13"/>
      <c r="I245" s="14"/>
    </row>
    <row r="246" spans="1:9" ht="13.9">
      <c r="A246" s="13"/>
      <c r="B246" s="13"/>
      <c r="C246" s="13"/>
      <c r="D246" s="13"/>
      <c r="E246" s="13"/>
      <c r="F246" s="14"/>
      <c r="G246" s="13"/>
      <c r="H246" s="13"/>
      <c r="I246" s="14"/>
    </row>
    <row r="247" spans="1:9" ht="13.9">
      <c r="A247" s="13"/>
      <c r="B247" s="13"/>
      <c r="C247" s="13"/>
      <c r="D247" s="13"/>
      <c r="E247" s="13"/>
      <c r="F247" s="14"/>
      <c r="G247" s="13"/>
      <c r="H247" s="13"/>
      <c r="I247" s="14"/>
    </row>
    <row r="248" spans="1:9" ht="13.9">
      <c r="A248" s="13"/>
      <c r="B248" s="13"/>
      <c r="C248" s="13"/>
      <c r="D248" s="13"/>
      <c r="E248" s="13"/>
      <c r="F248" s="14"/>
      <c r="G248" s="13"/>
      <c r="H248" s="13"/>
      <c r="I248" s="14"/>
    </row>
    <row r="249" spans="1:9" ht="13.9">
      <c r="A249" s="13"/>
      <c r="B249" s="13"/>
      <c r="C249" s="13"/>
      <c r="D249" s="13"/>
      <c r="E249" s="13"/>
      <c r="F249" s="14"/>
      <c r="G249" s="13"/>
      <c r="H249" s="13"/>
      <c r="I249" s="14"/>
    </row>
    <row r="250" spans="1:9" ht="13.9">
      <c r="A250" s="13"/>
      <c r="B250" s="13"/>
      <c r="C250" s="13"/>
      <c r="D250" s="13"/>
      <c r="E250" s="13"/>
      <c r="F250" s="14"/>
      <c r="G250" s="13"/>
      <c r="H250" s="13"/>
      <c r="I250" s="14"/>
    </row>
    <row r="251" spans="1:9" ht="13.9">
      <c r="A251" s="13"/>
      <c r="B251" s="13"/>
      <c r="C251" s="13"/>
      <c r="D251" s="13"/>
      <c r="E251" s="13"/>
      <c r="F251" s="14"/>
      <c r="G251" s="13"/>
      <c r="H251" s="13"/>
      <c r="I251" s="14"/>
    </row>
    <row r="252" spans="1:9" ht="13.9">
      <c r="A252" s="13"/>
      <c r="B252" s="13"/>
      <c r="C252" s="13"/>
      <c r="D252" s="13"/>
      <c r="E252" s="13"/>
      <c r="F252" s="14"/>
      <c r="G252" s="13"/>
      <c r="H252" s="13"/>
      <c r="I252" s="14"/>
    </row>
    <row r="253" spans="1:9" ht="13.9">
      <c r="A253" s="13"/>
      <c r="B253" s="13"/>
      <c r="C253" s="13"/>
      <c r="D253" s="13"/>
      <c r="E253" s="13"/>
      <c r="F253" s="14"/>
      <c r="G253" s="13"/>
      <c r="H253" s="13"/>
      <c r="I253" s="14"/>
    </row>
    <row r="254" spans="1:9" ht="13.9">
      <c r="A254" s="13"/>
      <c r="B254" s="13"/>
      <c r="C254" s="13"/>
      <c r="D254" s="13"/>
      <c r="E254" s="13"/>
      <c r="F254" s="14"/>
      <c r="G254" s="13"/>
      <c r="H254" s="13"/>
      <c r="I254" s="14"/>
    </row>
    <row r="255" spans="1:9" ht="13.9">
      <c r="A255" s="13"/>
      <c r="B255" s="13"/>
      <c r="C255" s="13"/>
      <c r="D255" s="13"/>
      <c r="E255" s="13"/>
      <c r="F255" s="14"/>
      <c r="G255" s="13"/>
      <c r="H255" s="13"/>
      <c r="I255" s="14"/>
    </row>
    <row r="256" spans="1:9" ht="13.9">
      <c r="A256" s="13"/>
      <c r="B256" s="13"/>
      <c r="C256" s="13"/>
      <c r="D256" s="13"/>
      <c r="E256" s="13"/>
      <c r="F256" s="14"/>
      <c r="G256" s="13"/>
      <c r="H256" s="13"/>
      <c r="I256" s="14"/>
    </row>
    <row r="257" spans="1:9" ht="13.9">
      <c r="A257" s="13"/>
      <c r="B257" s="13"/>
      <c r="C257" s="13"/>
      <c r="D257" s="13"/>
      <c r="E257" s="13"/>
      <c r="F257" s="14"/>
      <c r="G257" s="13"/>
      <c r="H257" s="13"/>
      <c r="I257" s="14"/>
    </row>
    <row r="258" spans="1:9" ht="13.9">
      <c r="A258" s="13"/>
      <c r="B258" s="13"/>
      <c r="C258" s="13"/>
      <c r="D258" s="13"/>
      <c r="E258" s="13"/>
      <c r="F258" s="14"/>
      <c r="G258" s="13"/>
      <c r="H258" s="13"/>
      <c r="I258" s="14"/>
    </row>
    <row r="259" spans="1:9" ht="13.9">
      <c r="A259" s="13"/>
      <c r="B259" s="13"/>
      <c r="C259" s="13"/>
      <c r="D259" s="13"/>
      <c r="E259" s="13"/>
      <c r="F259" s="14"/>
      <c r="G259" s="13"/>
      <c r="H259" s="13"/>
      <c r="I259" s="14"/>
    </row>
    <row r="260" spans="1:9" ht="13.9">
      <c r="A260" s="13"/>
      <c r="B260" s="13"/>
      <c r="C260" s="13"/>
      <c r="D260" s="13"/>
      <c r="E260" s="13"/>
      <c r="F260" s="14"/>
      <c r="G260" s="13"/>
      <c r="H260" s="13"/>
      <c r="I260" s="14"/>
    </row>
    <row r="261" spans="1:9" ht="13.9">
      <c r="A261" s="13"/>
      <c r="B261" s="13"/>
      <c r="C261" s="13"/>
      <c r="D261" s="13"/>
      <c r="E261" s="13"/>
      <c r="F261" s="14"/>
      <c r="G261" s="13"/>
      <c r="H261" s="13"/>
      <c r="I261" s="14"/>
    </row>
    <row r="262" spans="1:9" ht="13.9">
      <c r="A262" s="13"/>
      <c r="B262" s="13"/>
      <c r="C262" s="13"/>
      <c r="D262" s="13"/>
      <c r="E262" s="13"/>
      <c r="F262" s="14"/>
      <c r="G262" s="13"/>
      <c r="H262" s="13"/>
      <c r="I262" s="14"/>
    </row>
    <row r="263" spans="1:9" ht="13.9">
      <c r="A263" s="13"/>
      <c r="B263" s="13"/>
      <c r="C263" s="13"/>
      <c r="D263" s="13"/>
      <c r="E263" s="13"/>
      <c r="F263" s="14"/>
      <c r="G263" s="13"/>
      <c r="H263" s="13"/>
      <c r="I263" s="14"/>
    </row>
    <row r="264" spans="1:9" ht="13.9">
      <c r="A264" s="13"/>
      <c r="B264" s="13"/>
      <c r="C264" s="13"/>
      <c r="D264" s="13"/>
      <c r="E264" s="13"/>
      <c r="F264" s="14"/>
      <c r="G264" s="13"/>
      <c r="H264" s="13"/>
      <c r="I264" s="14"/>
    </row>
    <row r="265" spans="1:9" ht="13.9">
      <c r="A265" s="13"/>
      <c r="B265" s="13"/>
      <c r="C265" s="13"/>
      <c r="D265" s="13"/>
      <c r="E265" s="13"/>
      <c r="F265" s="14"/>
      <c r="G265" s="13"/>
      <c r="H265" s="13"/>
      <c r="I265" s="14"/>
    </row>
    <row r="266" spans="1:9" ht="13.9">
      <c r="A266" s="13"/>
      <c r="B266" s="13"/>
      <c r="C266" s="13"/>
      <c r="D266" s="13"/>
      <c r="E266" s="13"/>
      <c r="F266" s="14"/>
      <c r="G266" s="13"/>
      <c r="H266" s="13"/>
      <c r="I266" s="14"/>
    </row>
    <row r="267" spans="1:9" ht="13.9">
      <c r="A267" s="13"/>
      <c r="B267" s="13"/>
      <c r="C267" s="13"/>
      <c r="D267" s="13"/>
      <c r="E267" s="13"/>
      <c r="F267" s="14"/>
      <c r="G267" s="13"/>
      <c r="H267" s="13"/>
      <c r="I267" s="14"/>
    </row>
    <row r="268" spans="1:9" ht="13.9">
      <c r="A268" s="13"/>
      <c r="B268" s="13"/>
      <c r="C268" s="13"/>
      <c r="D268" s="13"/>
      <c r="E268" s="13"/>
      <c r="F268" s="14"/>
      <c r="G268" s="13"/>
      <c r="H268" s="13"/>
      <c r="I268" s="14"/>
    </row>
    <row r="269" spans="1:9" ht="13.9">
      <c r="A269" s="13"/>
      <c r="B269" s="13"/>
      <c r="C269" s="13"/>
      <c r="D269" s="13"/>
      <c r="E269" s="13"/>
      <c r="F269" s="14"/>
      <c r="G269" s="13"/>
      <c r="H269" s="13"/>
      <c r="I269" s="14"/>
    </row>
    <row r="270" spans="1:9" ht="13.9">
      <c r="A270" s="13"/>
      <c r="B270" s="13"/>
      <c r="C270" s="13"/>
      <c r="D270" s="13"/>
      <c r="E270" s="13"/>
      <c r="F270" s="14"/>
      <c r="G270" s="13"/>
      <c r="H270" s="13"/>
      <c r="I270" s="14"/>
    </row>
    <row r="271" spans="1:9" ht="13.9">
      <c r="A271" s="13"/>
      <c r="B271" s="13"/>
      <c r="C271" s="13"/>
      <c r="D271" s="13"/>
      <c r="E271" s="13"/>
      <c r="F271" s="14"/>
      <c r="G271" s="13"/>
      <c r="H271" s="13"/>
      <c r="I271" s="14"/>
    </row>
    <row r="272" spans="1:9" ht="13.9">
      <c r="A272" s="13"/>
      <c r="B272" s="13"/>
      <c r="C272" s="13"/>
      <c r="D272" s="13"/>
      <c r="E272" s="13"/>
      <c r="F272" s="14"/>
      <c r="G272" s="13"/>
      <c r="H272" s="13"/>
      <c r="I272" s="14"/>
    </row>
    <row r="273" spans="1:9" ht="13.9">
      <c r="A273" s="13"/>
      <c r="B273" s="13"/>
      <c r="C273" s="13"/>
      <c r="D273" s="13"/>
      <c r="E273" s="13"/>
      <c r="F273" s="14"/>
      <c r="G273" s="13"/>
      <c r="H273" s="13"/>
      <c r="I273" s="14"/>
    </row>
    <row r="274" spans="1:9" ht="13.9">
      <c r="A274" s="13"/>
      <c r="B274" s="13"/>
      <c r="C274" s="13"/>
      <c r="D274" s="13"/>
      <c r="E274" s="13"/>
      <c r="F274" s="14"/>
      <c r="G274" s="13"/>
      <c r="H274" s="13"/>
      <c r="I274" s="14"/>
    </row>
    <row r="275" spans="1:9" ht="13.9">
      <c r="A275" s="13"/>
      <c r="B275" s="13"/>
      <c r="C275" s="13"/>
      <c r="D275" s="13"/>
      <c r="E275" s="13"/>
      <c r="F275" s="14"/>
      <c r="G275" s="13"/>
      <c r="H275" s="13"/>
      <c r="I275" s="14"/>
    </row>
    <row r="276" spans="1:9" ht="13.9">
      <c r="A276" s="13"/>
      <c r="B276" s="13"/>
      <c r="C276" s="13"/>
      <c r="D276" s="13"/>
      <c r="E276" s="13"/>
      <c r="F276" s="14"/>
      <c r="G276" s="13"/>
      <c r="H276" s="13"/>
      <c r="I276" s="14"/>
    </row>
    <row r="277" spans="1:9" ht="13.9">
      <c r="A277" s="13"/>
      <c r="B277" s="13"/>
      <c r="C277" s="13"/>
      <c r="D277" s="13"/>
      <c r="E277" s="13"/>
      <c r="F277" s="14"/>
      <c r="G277" s="13"/>
      <c r="H277" s="13"/>
      <c r="I277" s="14"/>
    </row>
    <row r="278" spans="1:9" ht="13.9">
      <c r="A278" s="13"/>
      <c r="B278" s="13"/>
      <c r="C278" s="13"/>
      <c r="D278" s="13"/>
      <c r="E278" s="13"/>
      <c r="F278" s="14"/>
      <c r="G278" s="13"/>
      <c r="H278" s="13"/>
      <c r="I278" s="14"/>
    </row>
    <row r="279" spans="1:9" ht="13.9">
      <c r="A279" s="13"/>
      <c r="B279" s="13"/>
      <c r="C279" s="13"/>
      <c r="D279" s="13"/>
      <c r="E279" s="13"/>
      <c r="F279" s="14"/>
      <c r="G279" s="13"/>
      <c r="H279" s="13"/>
      <c r="I279" s="14"/>
    </row>
    <row r="280" spans="1:9" ht="13.9">
      <c r="A280" s="13"/>
      <c r="B280" s="13"/>
      <c r="C280" s="13"/>
      <c r="D280" s="13"/>
      <c r="E280" s="13"/>
      <c r="F280" s="14"/>
      <c r="G280" s="13"/>
      <c r="H280" s="13"/>
      <c r="I280" s="14"/>
    </row>
    <row r="281" spans="1:9" ht="13.9">
      <c r="A281" s="13"/>
      <c r="B281" s="13"/>
      <c r="C281" s="13"/>
      <c r="D281" s="13"/>
      <c r="E281" s="13"/>
      <c r="F281" s="14"/>
      <c r="G281" s="13"/>
      <c r="H281" s="13"/>
      <c r="I281" s="14"/>
    </row>
    <row r="282" spans="1:9" ht="13.9">
      <c r="A282" s="13"/>
      <c r="B282" s="13"/>
      <c r="C282" s="13"/>
      <c r="D282" s="13"/>
      <c r="E282" s="13"/>
      <c r="F282" s="14"/>
      <c r="G282" s="13"/>
      <c r="H282" s="13"/>
      <c r="I282" s="14"/>
    </row>
    <row r="283" spans="1:9" ht="13.9">
      <c r="A283" s="13"/>
      <c r="B283" s="13"/>
      <c r="C283" s="13"/>
      <c r="D283" s="13"/>
      <c r="E283" s="13"/>
      <c r="F283" s="14"/>
      <c r="G283" s="13"/>
      <c r="H283" s="13"/>
      <c r="I283" s="14"/>
    </row>
    <row r="284" spans="1:9" ht="13.9">
      <c r="A284" s="13"/>
      <c r="B284" s="13"/>
      <c r="C284" s="13"/>
      <c r="D284" s="13"/>
      <c r="E284" s="13"/>
      <c r="F284" s="14"/>
      <c r="G284" s="13"/>
      <c r="H284" s="13"/>
      <c r="I284" s="14"/>
    </row>
    <row r="285" spans="1:9" ht="13.9">
      <c r="A285" s="13"/>
      <c r="B285" s="13"/>
      <c r="C285" s="13"/>
      <c r="D285" s="13"/>
      <c r="E285" s="13"/>
      <c r="F285" s="14"/>
      <c r="G285" s="13"/>
      <c r="H285" s="13"/>
      <c r="I285" s="14"/>
    </row>
    <row r="286" spans="1:9" ht="13.9">
      <c r="A286" s="13"/>
      <c r="B286" s="13"/>
      <c r="C286" s="13"/>
      <c r="D286" s="13"/>
      <c r="E286" s="13"/>
      <c r="F286" s="14"/>
      <c r="G286" s="13"/>
      <c r="H286" s="13"/>
      <c r="I286" s="14"/>
    </row>
    <row r="287" spans="1:9" ht="13.9">
      <c r="A287" s="13"/>
      <c r="B287" s="13"/>
      <c r="C287" s="13"/>
      <c r="D287" s="13"/>
      <c r="E287" s="13"/>
      <c r="F287" s="14"/>
      <c r="G287" s="13"/>
      <c r="H287" s="13"/>
      <c r="I287" s="14"/>
    </row>
    <row r="288" spans="1:9" ht="13.9">
      <c r="A288" s="13"/>
      <c r="B288" s="13"/>
      <c r="C288" s="13"/>
      <c r="D288" s="13"/>
      <c r="E288" s="13"/>
      <c r="F288" s="14"/>
      <c r="G288" s="13"/>
      <c r="H288" s="13"/>
      <c r="I288" s="14"/>
    </row>
    <row r="289" spans="1:9" ht="13.9">
      <c r="A289" s="13"/>
      <c r="B289" s="13"/>
      <c r="C289" s="13"/>
      <c r="D289" s="13"/>
      <c r="E289" s="13"/>
      <c r="F289" s="14"/>
      <c r="G289" s="13"/>
      <c r="H289" s="13"/>
      <c r="I289" s="14"/>
    </row>
    <row r="290" spans="1:9" ht="13.9">
      <c r="A290" s="13"/>
      <c r="B290" s="13"/>
      <c r="C290" s="13"/>
      <c r="D290" s="13"/>
      <c r="E290" s="13"/>
      <c r="F290" s="14"/>
      <c r="G290" s="13"/>
      <c r="H290" s="13"/>
      <c r="I290" s="14"/>
    </row>
    <row r="291" spans="1:9" ht="13.9">
      <c r="A291" s="13"/>
      <c r="B291" s="13"/>
      <c r="C291" s="13"/>
      <c r="D291" s="13"/>
      <c r="E291" s="13"/>
      <c r="F291" s="14"/>
      <c r="G291" s="13"/>
      <c r="H291" s="13"/>
      <c r="I291" s="14"/>
    </row>
    <row r="292" spans="1:9" ht="13.9">
      <c r="A292" s="13"/>
      <c r="B292" s="13"/>
      <c r="C292" s="13"/>
      <c r="D292" s="13"/>
      <c r="E292" s="13"/>
      <c r="F292" s="14"/>
      <c r="G292" s="13"/>
      <c r="H292" s="13"/>
      <c r="I292" s="14"/>
    </row>
    <row r="293" spans="1:9" ht="13.9">
      <c r="A293" s="13"/>
      <c r="B293" s="13"/>
      <c r="C293" s="13"/>
      <c r="D293" s="13"/>
      <c r="E293" s="13"/>
      <c r="F293" s="14"/>
      <c r="G293" s="13"/>
      <c r="H293" s="13"/>
      <c r="I293" s="14"/>
    </row>
    <row r="294" spans="1:9" ht="13.9">
      <c r="A294" s="13"/>
      <c r="B294" s="13"/>
      <c r="C294" s="13"/>
      <c r="D294" s="13"/>
      <c r="E294" s="13"/>
      <c r="F294" s="14"/>
      <c r="G294" s="13"/>
      <c r="H294" s="13"/>
      <c r="I294" s="14"/>
    </row>
    <row r="295" spans="1:9" ht="13.9">
      <c r="A295" s="13"/>
      <c r="B295" s="13"/>
      <c r="C295" s="13"/>
      <c r="D295" s="13"/>
      <c r="E295" s="13"/>
      <c r="F295" s="14"/>
      <c r="G295" s="13"/>
      <c r="H295" s="13"/>
      <c r="I295" s="14"/>
    </row>
    <row r="296" spans="1:9" ht="13.9">
      <c r="A296" s="13"/>
      <c r="B296" s="13"/>
      <c r="C296" s="13"/>
      <c r="D296" s="13"/>
      <c r="E296" s="13"/>
      <c r="F296" s="14"/>
      <c r="G296" s="13"/>
      <c r="H296" s="13"/>
      <c r="I296" s="14"/>
    </row>
    <row r="297" spans="1:9" ht="13.9">
      <c r="A297" s="13"/>
      <c r="B297" s="13"/>
      <c r="C297" s="13"/>
      <c r="D297" s="13"/>
      <c r="E297" s="13"/>
      <c r="F297" s="14"/>
      <c r="G297" s="13"/>
      <c r="H297" s="13"/>
      <c r="I297" s="14"/>
    </row>
    <row r="298" spans="1:9" ht="13.9">
      <c r="A298" s="13"/>
      <c r="B298" s="13"/>
      <c r="C298" s="13"/>
      <c r="D298" s="13"/>
      <c r="E298" s="13"/>
      <c r="F298" s="14"/>
      <c r="G298" s="13"/>
      <c r="H298" s="13"/>
      <c r="I298" s="14"/>
    </row>
    <row r="299" spans="1:9" ht="13.9">
      <c r="A299" s="13"/>
      <c r="B299" s="13"/>
      <c r="C299" s="13"/>
      <c r="D299" s="13"/>
      <c r="E299" s="13"/>
      <c r="F299" s="14"/>
      <c r="G299" s="13"/>
      <c r="H299" s="13"/>
      <c r="I299" s="14"/>
    </row>
    <row r="300" spans="1:9" ht="13.9">
      <c r="A300" s="13"/>
      <c r="B300" s="13"/>
      <c r="C300" s="13"/>
      <c r="D300" s="13"/>
      <c r="E300" s="13"/>
      <c r="F300" s="14"/>
      <c r="G300" s="13"/>
      <c r="H300" s="13"/>
      <c r="I300" s="14"/>
    </row>
    <row r="301" spans="1:9" ht="13.9">
      <c r="A301" s="13"/>
      <c r="B301" s="13"/>
      <c r="C301" s="13"/>
      <c r="D301" s="13"/>
      <c r="E301" s="13"/>
      <c r="F301" s="14"/>
      <c r="G301" s="13"/>
      <c r="H301" s="13"/>
      <c r="I301" s="14"/>
    </row>
    <row r="302" spans="1:9" ht="13.9">
      <c r="A302" s="13"/>
      <c r="B302" s="13"/>
      <c r="C302" s="13"/>
      <c r="D302" s="13"/>
      <c r="E302" s="13"/>
      <c r="F302" s="14"/>
      <c r="G302" s="13"/>
      <c r="H302" s="13"/>
      <c r="I302" s="14"/>
    </row>
    <row r="303" spans="1:9" ht="13.9">
      <c r="A303" s="13"/>
      <c r="B303" s="13"/>
      <c r="C303" s="13"/>
      <c r="D303" s="13"/>
      <c r="E303" s="13"/>
      <c r="F303" s="14"/>
      <c r="G303" s="13"/>
      <c r="H303" s="13"/>
      <c r="I303" s="14"/>
    </row>
    <row r="304" spans="1:9" ht="13.9">
      <c r="A304" s="13"/>
      <c r="B304" s="13"/>
      <c r="C304" s="13"/>
      <c r="D304" s="13"/>
      <c r="E304" s="13"/>
      <c r="F304" s="14"/>
      <c r="G304" s="13"/>
      <c r="H304" s="13"/>
      <c r="I304" s="14"/>
    </row>
    <row r="305" spans="1:9" ht="13.9">
      <c r="A305" s="13"/>
      <c r="B305" s="13"/>
      <c r="C305" s="13"/>
      <c r="D305" s="13"/>
      <c r="E305" s="13"/>
      <c r="F305" s="14"/>
      <c r="G305" s="13"/>
      <c r="H305" s="13"/>
      <c r="I305" s="14"/>
    </row>
    <row r="306" spans="1:9" ht="13.9">
      <c r="A306" s="13"/>
      <c r="B306" s="13"/>
      <c r="C306" s="13"/>
      <c r="D306" s="13"/>
      <c r="E306" s="13"/>
      <c r="F306" s="14"/>
      <c r="G306" s="13"/>
      <c r="H306" s="13"/>
      <c r="I306" s="14"/>
    </row>
    <row r="307" spans="1:9" ht="13.9">
      <c r="A307" s="13"/>
      <c r="B307" s="13"/>
      <c r="C307" s="13"/>
      <c r="D307" s="13"/>
      <c r="E307" s="13"/>
      <c r="F307" s="14"/>
      <c r="G307" s="13"/>
      <c r="H307" s="13"/>
      <c r="I307" s="14"/>
    </row>
    <row r="308" spans="1:9" ht="13.9">
      <c r="A308" s="13"/>
      <c r="B308" s="13"/>
      <c r="C308" s="13"/>
      <c r="D308" s="13"/>
      <c r="E308" s="13"/>
      <c r="F308" s="14"/>
      <c r="G308" s="13"/>
      <c r="H308" s="13"/>
      <c r="I308" s="14"/>
    </row>
    <row r="309" spans="1:9" ht="13.9">
      <c r="A309" s="13"/>
      <c r="B309" s="13"/>
      <c r="C309" s="13"/>
      <c r="D309" s="13"/>
      <c r="E309" s="13"/>
      <c r="F309" s="14"/>
      <c r="G309" s="13"/>
      <c r="H309" s="13"/>
      <c r="I309" s="14"/>
    </row>
    <row r="310" spans="1:9" ht="13.9">
      <c r="A310" s="13"/>
      <c r="B310" s="13"/>
      <c r="C310" s="13"/>
      <c r="D310" s="13"/>
      <c r="E310" s="13"/>
      <c r="F310" s="14"/>
      <c r="G310" s="13"/>
      <c r="H310" s="13"/>
      <c r="I310" s="14"/>
    </row>
    <row r="311" spans="1:9" ht="13.9">
      <c r="A311" s="13"/>
      <c r="B311" s="13"/>
      <c r="C311" s="13"/>
      <c r="D311" s="13"/>
      <c r="E311" s="13"/>
      <c r="F311" s="14"/>
      <c r="G311" s="13"/>
      <c r="H311" s="13"/>
      <c r="I311" s="14"/>
    </row>
    <row r="312" spans="1:9" ht="13.9">
      <c r="A312" s="13"/>
      <c r="B312" s="13"/>
      <c r="C312" s="13"/>
      <c r="D312" s="13"/>
      <c r="E312" s="13"/>
      <c r="F312" s="14"/>
      <c r="G312" s="13"/>
      <c r="H312" s="13"/>
      <c r="I312" s="14"/>
    </row>
    <row r="313" spans="1:9" ht="13.9">
      <c r="A313" s="13"/>
      <c r="B313" s="13"/>
      <c r="C313" s="13"/>
      <c r="D313" s="13"/>
      <c r="E313" s="13"/>
      <c r="F313" s="14"/>
      <c r="G313" s="13"/>
      <c r="H313" s="13"/>
      <c r="I313" s="14"/>
    </row>
    <row r="314" spans="1:9" ht="13.9">
      <c r="A314" s="13"/>
      <c r="B314" s="13"/>
      <c r="C314" s="13"/>
      <c r="D314" s="13"/>
      <c r="E314" s="13"/>
      <c r="F314" s="14"/>
      <c r="G314" s="13"/>
      <c r="H314" s="13"/>
      <c r="I314" s="14"/>
    </row>
    <row r="315" spans="1:9" ht="13.9">
      <c r="A315" s="13"/>
      <c r="B315" s="13"/>
      <c r="C315" s="13"/>
      <c r="D315" s="13"/>
      <c r="E315" s="13"/>
      <c r="F315" s="14"/>
      <c r="G315" s="13"/>
      <c r="H315" s="13"/>
      <c r="I315" s="14"/>
    </row>
    <row r="316" spans="1:9" ht="13.9">
      <c r="A316" s="13"/>
      <c r="B316" s="13"/>
      <c r="C316" s="13"/>
      <c r="D316" s="13"/>
      <c r="E316" s="13"/>
      <c r="F316" s="14"/>
      <c r="G316" s="13"/>
      <c r="H316" s="13"/>
      <c r="I316" s="14"/>
    </row>
    <row r="317" spans="1:9" ht="13.9">
      <c r="A317" s="13"/>
      <c r="B317" s="13"/>
      <c r="C317" s="13"/>
      <c r="D317" s="13"/>
      <c r="E317" s="13"/>
      <c r="F317" s="14"/>
      <c r="G317" s="13"/>
      <c r="H317" s="13"/>
      <c r="I317" s="14"/>
    </row>
    <row r="318" spans="1:9" ht="13.9">
      <c r="A318" s="13"/>
      <c r="B318" s="13"/>
      <c r="C318" s="13"/>
      <c r="D318" s="13"/>
      <c r="E318" s="13"/>
      <c r="F318" s="14"/>
      <c r="G318" s="13"/>
      <c r="H318" s="13"/>
      <c r="I318" s="14"/>
    </row>
    <row r="319" spans="1:9" ht="13.9">
      <c r="A319" s="13"/>
      <c r="B319" s="13"/>
      <c r="C319" s="13"/>
      <c r="D319" s="13"/>
      <c r="E319" s="13"/>
      <c r="F319" s="14"/>
      <c r="G319" s="13"/>
      <c r="H319" s="13"/>
      <c r="I319" s="14"/>
    </row>
    <row r="320" spans="1:9" ht="13.9">
      <c r="A320" s="13"/>
      <c r="B320" s="13"/>
      <c r="C320" s="13"/>
      <c r="D320" s="13"/>
      <c r="E320" s="13"/>
      <c r="F320" s="14"/>
      <c r="G320" s="13"/>
      <c r="H320" s="13"/>
      <c r="I320" s="14"/>
    </row>
    <row r="321" spans="1:9" ht="13.9">
      <c r="A321" s="13"/>
      <c r="B321" s="13"/>
      <c r="C321" s="13"/>
      <c r="D321" s="13"/>
      <c r="E321" s="13"/>
      <c r="F321" s="14"/>
      <c r="G321" s="13"/>
      <c r="H321" s="13"/>
      <c r="I321" s="14"/>
    </row>
    <row r="322" spans="1:9" ht="13.9">
      <c r="A322" s="13"/>
      <c r="B322" s="13"/>
      <c r="C322" s="13"/>
      <c r="D322" s="13"/>
      <c r="E322" s="13"/>
      <c r="F322" s="14"/>
      <c r="G322" s="13"/>
      <c r="H322" s="13"/>
      <c r="I322" s="14"/>
    </row>
    <row r="323" spans="1:9" ht="13.9">
      <c r="A323" s="13"/>
      <c r="B323" s="13"/>
      <c r="C323" s="13"/>
      <c r="D323" s="13"/>
      <c r="E323" s="13"/>
      <c r="F323" s="14"/>
      <c r="G323" s="13"/>
      <c r="H323" s="13"/>
      <c r="I323" s="14"/>
    </row>
    <row r="324" spans="1:9" ht="13.9">
      <c r="A324" s="13"/>
      <c r="B324" s="13"/>
      <c r="C324" s="13"/>
      <c r="D324" s="13"/>
      <c r="E324" s="13"/>
      <c r="F324" s="14"/>
      <c r="G324" s="13"/>
      <c r="H324" s="13"/>
      <c r="I324" s="14"/>
    </row>
    <row r="325" spans="1:9" ht="13.9">
      <c r="A325" s="13"/>
      <c r="B325" s="13"/>
      <c r="C325" s="13"/>
      <c r="D325" s="13"/>
      <c r="E325" s="13"/>
      <c r="F325" s="14"/>
      <c r="G325" s="13"/>
      <c r="H325" s="13"/>
      <c r="I325" s="14"/>
    </row>
    <row r="326" spans="1:9" ht="13.9">
      <c r="A326" s="13"/>
      <c r="B326" s="13"/>
      <c r="C326" s="13"/>
      <c r="D326" s="13"/>
      <c r="E326" s="13"/>
      <c r="F326" s="14"/>
      <c r="G326" s="13"/>
      <c r="H326" s="13"/>
      <c r="I326" s="14"/>
    </row>
    <row r="327" spans="1:9" ht="13.9">
      <c r="A327" s="13"/>
      <c r="B327" s="13"/>
      <c r="C327" s="13"/>
      <c r="D327" s="13"/>
      <c r="E327" s="13"/>
      <c r="F327" s="14"/>
      <c r="G327" s="13"/>
      <c r="H327" s="13"/>
      <c r="I327" s="14"/>
    </row>
    <row r="328" spans="1:9" ht="13.9">
      <c r="A328" s="13"/>
      <c r="B328" s="13"/>
      <c r="C328" s="13"/>
      <c r="D328" s="13"/>
      <c r="E328" s="13"/>
      <c r="F328" s="14"/>
      <c r="G328" s="13"/>
      <c r="H328" s="13"/>
      <c r="I328" s="14"/>
    </row>
    <row r="329" spans="1:9" ht="13.9">
      <c r="A329" s="13"/>
      <c r="B329" s="13"/>
      <c r="C329" s="13"/>
      <c r="D329" s="13"/>
      <c r="E329" s="13"/>
      <c r="F329" s="14"/>
      <c r="G329" s="13"/>
      <c r="H329" s="13"/>
      <c r="I329" s="14"/>
    </row>
    <row r="330" spans="1:9" ht="13.9">
      <c r="A330" s="13"/>
      <c r="B330" s="13"/>
      <c r="C330" s="13"/>
      <c r="D330" s="13"/>
      <c r="E330" s="13"/>
      <c r="F330" s="14"/>
      <c r="G330" s="13"/>
      <c r="H330" s="13"/>
      <c r="I330" s="14"/>
    </row>
    <row r="331" spans="1:9" ht="13.9">
      <c r="A331" s="13"/>
      <c r="B331" s="13"/>
      <c r="C331" s="13"/>
      <c r="D331" s="13"/>
      <c r="E331" s="13"/>
      <c r="F331" s="14"/>
      <c r="G331" s="13"/>
      <c r="H331" s="13"/>
      <c r="I331" s="14"/>
    </row>
    <row r="332" spans="1:9" ht="13.9">
      <c r="A332" s="13"/>
      <c r="B332" s="13"/>
      <c r="C332" s="13"/>
      <c r="D332" s="13"/>
      <c r="E332" s="13"/>
      <c r="F332" s="14"/>
      <c r="G332" s="13"/>
      <c r="H332" s="13"/>
      <c r="I332" s="14"/>
    </row>
    <row r="333" spans="1:9" ht="13.9">
      <c r="A333" s="13"/>
      <c r="B333" s="13"/>
      <c r="C333" s="13"/>
      <c r="D333" s="13"/>
      <c r="E333" s="13"/>
      <c r="F333" s="14"/>
      <c r="G333" s="13"/>
      <c r="H333" s="13"/>
      <c r="I333" s="14"/>
    </row>
    <row r="334" spans="1:9" ht="13.9">
      <c r="A334" s="13"/>
      <c r="B334" s="13"/>
      <c r="C334" s="13"/>
      <c r="D334" s="13"/>
      <c r="E334" s="13"/>
      <c r="F334" s="14"/>
      <c r="G334" s="13"/>
      <c r="H334" s="13"/>
      <c r="I334" s="14"/>
    </row>
    <row r="335" spans="1:9" ht="13.9">
      <c r="A335" s="13"/>
      <c r="B335" s="13"/>
      <c r="C335" s="13"/>
      <c r="D335" s="13"/>
      <c r="E335" s="13"/>
      <c r="F335" s="14"/>
      <c r="G335" s="13"/>
      <c r="H335" s="13"/>
      <c r="I335" s="14"/>
    </row>
    <row r="336" spans="1:9" ht="13.9">
      <c r="A336" s="13"/>
      <c r="B336" s="13"/>
      <c r="C336" s="13"/>
      <c r="D336" s="13"/>
      <c r="E336" s="13"/>
      <c r="F336" s="14"/>
      <c r="G336" s="13"/>
      <c r="H336" s="13"/>
      <c r="I336" s="14"/>
    </row>
    <row r="337" spans="1:9" ht="13.9">
      <c r="A337" s="13"/>
      <c r="B337" s="13"/>
      <c r="C337" s="13"/>
      <c r="D337" s="13"/>
      <c r="E337" s="13"/>
      <c r="F337" s="14"/>
      <c r="G337" s="13"/>
      <c r="H337" s="13"/>
      <c r="I337" s="14"/>
    </row>
    <row r="338" spans="1:9" ht="13.9">
      <c r="A338" s="13"/>
      <c r="B338" s="13"/>
      <c r="C338" s="13"/>
      <c r="D338" s="13"/>
      <c r="E338" s="13"/>
      <c r="F338" s="14"/>
      <c r="G338" s="13"/>
      <c r="H338" s="13"/>
      <c r="I338" s="14"/>
    </row>
    <row r="339" spans="1:9" ht="13.9">
      <c r="A339" s="13"/>
      <c r="B339" s="13"/>
      <c r="C339" s="13"/>
      <c r="D339" s="13"/>
      <c r="E339" s="13"/>
      <c r="F339" s="14"/>
      <c r="G339" s="13"/>
      <c r="H339" s="13"/>
      <c r="I339" s="14"/>
    </row>
    <row r="340" spans="1:9" ht="13.9">
      <c r="A340" s="13"/>
      <c r="B340" s="13"/>
      <c r="C340" s="13"/>
      <c r="D340" s="13"/>
      <c r="E340" s="13"/>
      <c r="F340" s="14"/>
      <c r="G340" s="13"/>
      <c r="H340" s="13"/>
      <c r="I340" s="14"/>
    </row>
    <row r="341" spans="1:9" ht="13.9">
      <c r="A341" s="13"/>
      <c r="B341" s="13"/>
      <c r="C341" s="13"/>
      <c r="D341" s="13"/>
      <c r="E341" s="13"/>
      <c r="F341" s="14"/>
      <c r="G341" s="13"/>
      <c r="H341" s="13"/>
      <c r="I341" s="14"/>
    </row>
  </sheetData>
  <sortState xmlns:xlrd2="http://schemas.microsoft.com/office/spreadsheetml/2017/richdata2" ref="A3:I3">
    <sortCondition ref="A3"/>
  </sortState>
  <mergeCells count="4">
    <mergeCell ref="G1:I1"/>
    <mergeCell ref="A1:C1"/>
    <mergeCell ref="D1:F1"/>
    <mergeCell ref="A2:B2"/>
  </mergeCells>
  <conditionalFormatting sqref="F2 I2 F4:F99 I4:I99">
    <cfRule type="cellIs" dxfId="36" priority="1" stopIfTrue="1" operator="lessThanOrEqual">
      <formula>-0.1</formula>
    </cfRule>
    <cfRule type="expression" dxfId="35"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41"/>
  <sheetViews>
    <sheetView workbookViewId="0">
      <pane xSplit="2" ySplit="3" topLeftCell="C5" activePane="bottomRight" state="frozen"/>
      <selection pane="bottomRight" activeCell="G2" sqref="G2"/>
      <selection pane="bottomLeft" activeCell="D28" sqref="D28"/>
      <selection pane="topRight" activeCell="D28" sqref="D28"/>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15" t="str" cm="1">
        <f t="array" ref="A1">portfolio</f>
        <v>38 DN</v>
      </c>
      <c r="B1" s="115"/>
      <c r="C1" s="115"/>
      <c r="D1" s="116" t="s">
        <v>12</v>
      </c>
      <c r="E1" s="116"/>
      <c r="F1" s="116"/>
      <c r="G1" s="114" t="s">
        <v>13</v>
      </c>
      <c r="H1" s="114"/>
      <c r="I1" s="114"/>
    </row>
    <row r="2" spans="1:9" ht="19.5" customHeight="1">
      <c r="A2" s="117" t="s">
        <v>2</v>
      </c>
      <c r="B2" s="117"/>
      <c r="C2" s="5">
        <f>SUM(C4:C99)</f>
        <v>12658175.5</v>
      </c>
      <c r="D2" s="5">
        <f>SUM(D4:D99)</f>
        <v>12795229.66</v>
      </c>
      <c r="E2" s="5">
        <f>C2-D2</f>
        <v>-137054.16000000015</v>
      </c>
      <c r="F2" s="6">
        <f>IFERROR(E2/D2, 0)</f>
        <v>-1.0711348185367401E-2</v>
      </c>
      <c r="G2" s="5">
        <f>SUM(G4:G99)</f>
        <v>14212579.529999999</v>
      </c>
      <c r="H2" s="7">
        <f>C2-G2</f>
        <v>-1554404.0299999993</v>
      </c>
      <c r="I2" s="6">
        <f>IFERROR(H2/G2, 0)</f>
        <v>-0.10936818518545165</v>
      </c>
    </row>
    <row r="3" spans="1:9" ht="14.25" customHeight="1">
      <c r="A3" s="17" t="s">
        <v>3</v>
      </c>
      <c r="B3" s="17" t="s">
        <v>4</v>
      </c>
      <c r="C3" s="27" t="s">
        <v>5</v>
      </c>
      <c r="D3" s="28" t="s">
        <v>6</v>
      </c>
      <c r="E3" s="28" t="s">
        <v>7</v>
      </c>
      <c r="F3" s="29" t="s">
        <v>8</v>
      </c>
      <c r="G3" s="30" t="s">
        <v>9</v>
      </c>
      <c r="H3" s="31" t="s">
        <v>7</v>
      </c>
      <c r="I3" s="32" t="s">
        <v>8</v>
      </c>
    </row>
    <row r="4" spans="1:9" ht="15.6">
      <c r="A4" s="55" t="str" cm="1">
        <f t="array" ref="A4:A27">Sites[Site]</f>
        <v>6th St.</v>
      </c>
      <c r="B4" s="35" t="str" cm="1">
        <f t="array" ref="B4:B27">Sites[State]</f>
        <v>CA</v>
      </c>
      <c r="C4" s="36">
        <f>SUM(Apr!C4, May!C4, Jun!C4)</f>
        <v>670808.00000000093</v>
      </c>
      <c r="D4" s="37">
        <f>SUM(Apr!D4, May!D4, Jun!D4)</f>
        <v>713840.6</v>
      </c>
      <c r="E4" s="37">
        <f>IF(AND(ISNUMBER(C4),ISNUMBER(D4)), C4-D4, "")</f>
        <v>-43032.599999999045</v>
      </c>
      <c r="F4" s="38">
        <f>IFERROR(E4/D4, "")</f>
        <v>-6.0283206082701164E-2</v>
      </c>
      <c r="G4" s="39">
        <f>SUM(Apr!G4, May!G4, Jun!G4)</f>
        <v>723242.39999999991</v>
      </c>
      <c r="H4" s="39">
        <f>SUM(Apr!H4, May!H4, Jun!H4)</f>
        <v>-52434.399999998976</v>
      </c>
      <c r="I4" s="40">
        <f>IFERROR(H4/G4, "")</f>
        <v>-7.2499068085608617E-2</v>
      </c>
    </row>
    <row r="5" spans="1:9" ht="15.6">
      <c r="A5" s="56" t="str">
        <v>Barton Acres</v>
      </c>
      <c r="B5" s="42" t="str">
        <v>MA</v>
      </c>
      <c r="C5" s="43">
        <f>SUM(Apr!C5, May!C5, Jun!C5)</f>
        <v>511911</v>
      </c>
      <c r="D5" s="44">
        <f>SUM(Apr!D5, May!D5, Jun!D5)</f>
        <v>500054.30000000005</v>
      </c>
      <c r="E5" s="44">
        <f t="shared" ref="E5:E15" si="0">IF(AND(ISNUMBER(C5),ISNUMBER(D5)), C5-D5, "")</f>
        <v>11856.699999999953</v>
      </c>
      <c r="F5" s="45">
        <f>IFERROR(E5/D5, "")</f>
        <v>2.3710825004404426E-2</v>
      </c>
      <c r="G5" s="46">
        <f>SUM(Apr!G5, May!G5, Jun!G5)</f>
        <v>557925</v>
      </c>
      <c r="H5" s="46">
        <f>SUM(Apr!H5, May!H5, Jun!H5)</f>
        <v>-46014</v>
      </c>
      <c r="I5" s="45">
        <f>IFERROR(H5/G5, "")</f>
        <v>-8.2473450732625353E-2</v>
      </c>
    </row>
    <row r="6" spans="1:9" ht="15.6">
      <c r="A6" s="55" t="str">
        <v>Bowden</v>
      </c>
      <c r="B6" s="35" t="str">
        <v>MA</v>
      </c>
      <c r="C6" s="36">
        <f>SUM(Apr!C6, May!C6, Jun!C6)</f>
        <v>1011126</v>
      </c>
      <c r="D6" s="37">
        <f>SUM(Apr!D6, May!D6, Jun!D6)</f>
        <v>1002705.2999999999</v>
      </c>
      <c r="E6" s="37">
        <f t="shared" si="0"/>
        <v>8420.7000000000698</v>
      </c>
      <c r="F6" s="38">
        <f t="shared" ref="F6:F15" si="1">IFERROR(E6/D6, "")</f>
        <v>8.3979809421572526E-3</v>
      </c>
      <c r="G6" s="39">
        <f>SUM(Apr!G6, May!G6, Jun!G6)</f>
        <v>1109859.1000000001</v>
      </c>
      <c r="H6" s="39">
        <f>SUM(Apr!H6, May!H6, Jun!H6)</f>
        <v>-98733.100000000035</v>
      </c>
      <c r="I6" s="40">
        <f t="shared" ref="I6:I15" si="2">IFERROR(H6/G6, "")</f>
        <v>-8.8960031052590399E-2</v>
      </c>
    </row>
    <row r="7" spans="1:9" ht="15.6">
      <c r="A7" s="56" t="str">
        <v>Blair Wire Village</v>
      </c>
      <c r="B7" s="42" t="str">
        <v>MA</v>
      </c>
      <c r="C7" s="43">
        <f>SUM(Apr!C7, May!C7, Jun!C7)</f>
        <v>499832</v>
      </c>
      <c r="D7" s="44">
        <f>SUM(Apr!D7, May!D7, Jun!D7)</f>
        <v>519963.4</v>
      </c>
      <c r="E7" s="44">
        <f t="shared" si="0"/>
        <v>-20131.400000000023</v>
      </c>
      <c r="F7" s="45">
        <f t="shared" si="1"/>
        <v>-3.8716955847276989E-2</v>
      </c>
      <c r="G7" s="46">
        <f>SUM(Apr!G7, May!G7, Jun!G7)</f>
        <v>556262.9</v>
      </c>
      <c r="H7" s="46">
        <f>SUM(Apr!H7, May!H7, Jun!H7)</f>
        <v>-56430.899999999994</v>
      </c>
      <c r="I7" s="45">
        <f t="shared" si="2"/>
        <v>-0.10144645634285514</v>
      </c>
    </row>
    <row r="8" spans="1:9" ht="15.6">
      <c r="A8" s="55" t="str">
        <v>Boutilier</v>
      </c>
      <c r="B8" s="35" t="str">
        <v>MA</v>
      </c>
      <c r="C8" s="36">
        <f>SUM(Apr!C8, May!C8, Jun!C8)</f>
        <v>1423134</v>
      </c>
      <c r="D8" s="37">
        <f>SUM(Apr!D8, May!D8, Jun!D8)</f>
        <v>1368539.6</v>
      </c>
      <c r="E8" s="37">
        <f t="shared" si="0"/>
        <v>54594.399999999907</v>
      </c>
      <c r="F8" s="38">
        <f t="shared" si="1"/>
        <v>3.9892451778523547E-2</v>
      </c>
      <c r="G8" s="39">
        <f>SUM(Apr!G8, May!G8, Jun!G8)</f>
        <v>1531557.4</v>
      </c>
      <c r="H8" s="39">
        <f>SUM(Apr!H8, May!H8, Jun!H8)</f>
        <v>-108423.40000000002</v>
      </c>
      <c r="I8" s="40">
        <f t="shared" si="2"/>
        <v>-7.079290661910552E-2</v>
      </c>
    </row>
    <row r="9" spans="1:9" ht="15.6">
      <c r="A9" s="56" t="str">
        <v>Cherry Valley</v>
      </c>
      <c r="B9" s="42" t="str">
        <v>MA</v>
      </c>
      <c r="C9" s="43">
        <f>SUM(Apr!C9, May!C9, Jun!C9)</f>
        <v>472773</v>
      </c>
      <c r="D9" s="44">
        <f>SUM(Apr!D9, May!D9, Jun!D9)</f>
        <v>493158.6</v>
      </c>
      <c r="E9" s="44">
        <f t="shared" si="0"/>
        <v>-20385.599999999977</v>
      </c>
      <c r="F9" s="45">
        <f t="shared" si="1"/>
        <v>-4.1336803210975083E-2</v>
      </c>
      <c r="G9" s="46">
        <f>SUM(Apr!G9, May!G9, Jun!G9)</f>
        <v>553860</v>
      </c>
      <c r="H9" s="46">
        <f>SUM(Apr!H9, May!H9, Jun!H9)</f>
        <v>-81087</v>
      </c>
      <c r="I9" s="45">
        <f t="shared" si="2"/>
        <v>-0.14640342324775213</v>
      </c>
    </row>
    <row r="10" spans="1:9" ht="15.6">
      <c r="A10" s="55" t="str">
        <v>Cohasse</v>
      </c>
      <c r="B10" s="35" t="str">
        <v>MA</v>
      </c>
      <c r="C10" s="36">
        <f>SUM(Apr!C10, May!C10, Jun!C10)</f>
        <v>447461</v>
      </c>
      <c r="D10" s="37">
        <f>SUM(Apr!D10, May!D10, Jun!D10)</f>
        <v>454376.89999999997</v>
      </c>
      <c r="E10" s="37">
        <f t="shared" si="0"/>
        <v>-6915.8999999999651</v>
      </c>
      <c r="F10" s="38">
        <f t="shared" si="1"/>
        <v>-1.5220624111833074E-2</v>
      </c>
      <c r="G10" s="39">
        <f>SUM(Apr!G10, May!G10, Jun!G10)</f>
        <v>553831.5</v>
      </c>
      <c r="H10" s="39">
        <f>SUM(Apr!H10, May!H10, Jun!H10)</f>
        <v>-106370.5</v>
      </c>
      <c r="I10" s="40">
        <f t="shared" si="2"/>
        <v>-0.19206292888721568</v>
      </c>
    </row>
    <row r="11" spans="1:9" ht="15.6">
      <c r="A11" s="56" t="str">
        <v>ISM Dighton Solar 2</v>
      </c>
      <c r="B11" s="42" t="str">
        <v>MA</v>
      </c>
      <c r="C11" s="43">
        <f>SUM(Apr!C11, May!C11, Jun!C11)</f>
        <v>1031647</v>
      </c>
      <c r="D11" s="44">
        <f>SUM(Apr!D11, May!D11, Jun!D11)</f>
        <v>1022394</v>
      </c>
      <c r="E11" s="44">
        <f t="shared" si="0"/>
        <v>9253</v>
      </c>
      <c r="F11" s="45">
        <f t="shared" si="1"/>
        <v>9.0503269776622316E-3</v>
      </c>
      <c r="G11" s="46">
        <f>SUM(Apr!G11, May!G11, Jun!G11)</f>
        <v>1135551</v>
      </c>
      <c r="H11" s="46">
        <f>SUM(Apr!H11, May!H11, Jun!H11)</f>
        <v>-103904</v>
      </c>
      <c r="I11" s="45">
        <f t="shared" si="2"/>
        <v>-9.1500954162340567E-2</v>
      </c>
    </row>
    <row r="12" spans="1:9" ht="15.6">
      <c r="A12" s="55" t="str">
        <v>Dudley River 1</v>
      </c>
      <c r="B12" s="35" t="str">
        <v>MA</v>
      </c>
      <c r="C12" s="36">
        <f>SUM(Apr!C12, May!C12, Jun!C12)</f>
        <v>498146</v>
      </c>
      <c r="D12" s="37">
        <f>SUM(Apr!D12, May!D12, Jun!D12)</f>
        <v>507837.1</v>
      </c>
      <c r="E12" s="37">
        <f t="shared" si="0"/>
        <v>-9691.0999999999767</v>
      </c>
      <c r="F12" s="38">
        <f t="shared" si="1"/>
        <v>-1.9083087864198926E-2</v>
      </c>
      <c r="G12" s="39">
        <f>SUM(Apr!G12, May!G12, Jun!G12)</f>
        <v>559136.1</v>
      </c>
      <c r="H12" s="39">
        <f>SUM(Apr!H12, May!H12, Jun!H12)</f>
        <v>-60990.099999999977</v>
      </c>
      <c r="I12" s="40">
        <f t="shared" si="2"/>
        <v>-0.10907916695058677</v>
      </c>
    </row>
    <row r="13" spans="1:9" ht="15.6">
      <c r="A13" s="56" t="str">
        <v>Dudley River 2</v>
      </c>
      <c r="B13" s="42" t="str">
        <v>MA</v>
      </c>
      <c r="C13" s="43">
        <f>SUM(Apr!C13, May!C13, Jun!C13)</f>
        <v>479554</v>
      </c>
      <c r="D13" s="44">
        <f>SUM(Apr!D13, May!D13, Jun!D13)</f>
        <v>492777.4</v>
      </c>
      <c r="E13" s="44">
        <f t="shared" si="0"/>
        <v>-13223.400000000023</v>
      </c>
      <c r="F13" s="45">
        <f t="shared" si="1"/>
        <v>-2.6834428689302761E-2</v>
      </c>
      <c r="G13" s="46">
        <f>SUM(Apr!G13, May!G13, Jun!G13)</f>
        <v>534652.1</v>
      </c>
      <c r="H13" s="46">
        <f>SUM(Apr!H13, May!H13, Jun!H13)</f>
        <v>-55098.100000000006</v>
      </c>
      <c r="I13" s="45">
        <f t="shared" si="2"/>
        <v>-0.10305411687338366</v>
      </c>
    </row>
    <row r="14" spans="1:9" ht="15.6">
      <c r="A14" s="55" t="str">
        <v>Dudley River 3</v>
      </c>
      <c r="B14" s="35" t="str">
        <v>MA</v>
      </c>
      <c r="C14" s="36">
        <f>SUM(Apr!C14, May!C14, Jun!C14)</f>
        <v>490287</v>
      </c>
      <c r="D14" s="37">
        <f>SUM(Apr!D14, May!D14, Jun!D14)</f>
        <v>490712.8</v>
      </c>
      <c r="E14" s="37">
        <f t="shared" si="0"/>
        <v>-425.79999999998836</v>
      </c>
      <c r="F14" s="38">
        <f t="shared" si="1"/>
        <v>-8.6771732875113173E-4</v>
      </c>
      <c r="G14" s="39">
        <f>SUM(Apr!G14, May!G14, Jun!G14)</f>
        <v>541681.80000000005</v>
      </c>
      <c r="H14" s="39">
        <f>SUM(Apr!H14, May!H14, Jun!H14)</f>
        <v>-51394.799999999988</v>
      </c>
      <c r="I14" s="40">
        <f t="shared" si="2"/>
        <v>-9.4880056889487488E-2</v>
      </c>
    </row>
    <row r="15" spans="1:9" ht="15.6">
      <c r="A15" s="56" t="str">
        <v>Flint Pond</v>
      </c>
      <c r="B15" s="42" t="str">
        <v>MA</v>
      </c>
      <c r="C15" s="43">
        <f>SUM(Apr!C15, May!C15, Jun!C15)</f>
        <v>242532</v>
      </c>
      <c r="D15" s="44">
        <f>SUM(Apr!D15, May!D15, Jun!D15)</f>
        <v>201456.34999999998</v>
      </c>
      <c r="E15" s="44">
        <f t="shared" si="0"/>
        <v>41075.650000000023</v>
      </c>
      <c r="F15" s="45">
        <f t="shared" si="1"/>
        <v>0.20389354815571725</v>
      </c>
      <c r="G15" s="46">
        <f>SUM(Apr!G15, May!G15, Jun!G15)</f>
        <v>263547.02</v>
      </c>
      <c r="H15" s="46">
        <f>SUM(Apr!H15, May!H15, Jun!H15)</f>
        <v>-21015.020000000004</v>
      </c>
      <c r="I15" s="45">
        <f t="shared" si="2"/>
        <v>-7.9739167606600159E-2</v>
      </c>
    </row>
    <row r="16" spans="1:9" ht="15.6">
      <c r="A16" s="55" t="str">
        <v>Incom</v>
      </c>
      <c r="B16" s="35" t="str">
        <v>MA</v>
      </c>
      <c r="C16" s="36">
        <f>SUM(Apr!C16, May!C16, Jun!C16)</f>
        <v>1001038</v>
      </c>
      <c r="D16" s="37">
        <f>SUM(Apr!D16, May!D16, Jun!D16)</f>
        <v>1125427.5</v>
      </c>
      <c r="E16" s="37">
        <f t="shared" ref="E16:E18" si="3">IF(AND(ISNUMBER(C16),ISNUMBER(D16)), C16-D16, "")</f>
        <v>-124389.5</v>
      </c>
      <c r="F16" s="38">
        <f t="shared" ref="F16:F18" si="4">IFERROR(E16/D16, "")</f>
        <v>-0.11052644439557413</v>
      </c>
      <c r="G16" s="39">
        <f>SUM(Apr!G16, May!G16, Jun!G16)</f>
        <v>1133235.6000000001</v>
      </c>
      <c r="H16" s="39">
        <f>SUM(Apr!H16, May!H16, Jun!H16)</f>
        <v>-132197.59999999998</v>
      </c>
      <c r="I16" s="40">
        <f t="shared" ref="I16:I18" si="5">IFERROR(H16/G16, "")</f>
        <v>-0.11665500095478819</v>
      </c>
    </row>
    <row r="17" spans="1:9" ht="15.6">
      <c r="A17" s="56" t="str">
        <v>JH</v>
      </c>
      <c r="B17" s="42" t="str">
        <v>MA</v>
      </c>
      <c r="C17" s="43">
        <f>SUM(Apr!C17, May!C17, Jun!C17)</f>
        <v>475459</v>
      </c>
      <c r="D17" s="44">
        <f>SUM(Apr!D17, May!D17, Jun!D17)</f>
        <v>481539.9</v>
      </c>
      <c r="E17" s="44">
        <f t="shared" si="3"/>
        <v>-6080.9000000000233</v>
      </c>
      <c r="F17" s="45">
        <f t="shared" si="4"/>
        <v>-1.2628029369944262E-2</v>
      </c>
      <c r="G17" s="46">
        <f>SUM(Apr!G17, May!G17, Jun!G17)</f>
        <v>549012.29999999993</v>
      </c>
      <c r="H17" s="46">
        <f>SUM(Apr!H17, May!H17, Jun!H17)</f>
        <v>-73553.299999999988</v>
      </c>
      <c r="I17" s="45">
        <f t="shared" si="5"/>
        <v>-0.13397386543070164</v>
      </c>
    </row>
    <row r="18" spans="1:9" ht="12.75" customHeight="1">
      <c r="A18" s="55" t="str">
        <v>Ledeaux</v>
      </c>
      <c r="B18" s="35" t="str">
        <v>MA</v>
      </c>
      <c r="C18" s="36">
        <f>SUM(Apr!C18, May!C18, Jun!C18)</f>
        <v>443140</v>
      </c>
      <c r="D18" s="37">
        <f>SUM(Apr!D18, May!D18, Jun!D18)</f>
        <v>464368.80000000005</v>
      </c>
      <c r="E18" s="37">
        <f t="shared" si="3"/>
        <v>-21228.800000000047</v>
      </c>
      <c r="F18" s="38">
        <f t="shared" si="4"/>
        <v>-4.5715388286207095E-2</v>
      </c>
      <c r="G18" s="39">
        <f>SUM(Apr!G18, May!G18, Jun!G18)</f>
        <v>539570.19999999995</v>
      </c>
      <c r="H18" s="39">
        <f>SUM(Apr!H18, May!H18, Jun!H18)</f>
        <v>-96430.200000000012</v>
      </c>
      <c r="I18" s="40">
        <f t="shared" si="5"/>
        <v>-0.17871668969116533</v>
      </c>
    </row>
    <row r="19" spans="1:9" ht="15.6">
      <c r="A19" s="56" t="str">
        <v>Palombo A</v>
      </c>
      <c r="B19" s="42" t="str">
        <v>MA</v>
      </c>
      <c r="C19" s="43">
        <f>SUM(Apr!C19, May!C19, Jun!C19)</f>
        <v>1002886</v>
      </c>
      <c r="D19" s="44">
        <f>SUM(Apr!D19, May!D19, Jun!D19)</f>
        <v>1009720.8</v>
      </c>
      <c r="E19" s="44">
        <f t="shared" ref="E19:E27" si="6">IF(AND(ISNUMBER(C19),ISNUMBER(D19)), C19-D19, "")</f>
        <v>-6834.8000000000466</v>
      </c>
      <c r="F19" s="45">
        <f t="shared" ref="F19:F27" si="7">IFERROR(E19/D19, "")</f>
        <v>-6.7689999057165568E-3</v>
      </c>
      <c r="G19" s="46">
        <f>SUM(Apr!G19, May!G19, Jun!G19)</f>
        <v>1145758</v>
      </c>
      <c r="H19" s="46">
        <f>SUM(Apr!H19, May!H19, Jun!H19)</f>
        <v>-142872</v>
      </c>
      <c r="I19" s="45">
        <f t="shared" ref="I19:I27" si="8">IFERROR(H19/G19, "")</f>
        <v>-0.1246964891364494</v>
      </c>
    </row>
    <row r="20" spans="1:9" ht="15.6">
      <c r="A20" s="55" t="str">
        <v>Palombo B</v>
      </c>
      <c r="B20" s="35" t="str">
        <v>MA</v>
      </c>
      <c r="C20" s="36">
        <f>SUM(Apr!C20, May!C20, Jun!C20)</f>
        <v>504390</v>
      </c>
      <c r="D20" s="37">
        <f>SUM(Apr!D20, May!D20, Jun!D20)</f>
        <v>428528.69999999995</v>
      </c>
      <c r="E20" s="37">
        <f t="shared" si="6"/>
        <v>75861.300000000047</v>
      </c>
      <c r="F20" s="38">
        <f t="shared" si="7"/>
        <v>0.17702734962675792</v>
      </c>
      <c r="G20" s="39">
        <f>SUM(Apr!G20, May!G20, Jun!G20)</f>
        <v>580575.9</v>
      </c>
      <c r="H20" s="39">
        <f>SUM(Apr!H20, May!H20, Jun!H20)</f>
        <v>-76185.900000000023</v>
      </c>
      <c r="I20" s="40">
        <f t="shared" si="8"/>
        <v>-0.13122470291998001</v>
      </c>
    </row>
    <row r="21" spans="1:9" ht="15.6">
      <c r="A21" s="56" t="str">
        <v>St Josephs Church</v>
      </c>
      <c r="B21" s="42" t="str">
        <v>MA</v>
      </c>
      <c r="C21" s="43">
        <f>SUM(Apr!C21, May!C21, Jun!C21)</f>
        <v>488455</v>
      </c>
      <c r="D21" s="44">
        <f>SUM(Apr!D21, May!D21, Jun!D21)</f>
        <v>519324.2</v>
      </c>
      <c r="E21" s="44">
        <f t="shared" si="6"/>
        <v>-30869.200000000012</v>
      </c>
      <c r="F21" s="45">
        <f t="shared" si="7"/>
        <v>-5.9441096717618803E-2</v>
      </c>
      <c r="G21" s="46">
        <f>SUM(Apr!G21, May!G21, Jun!G21)</f>
        <v>544012</v>
      </c>
      <c r="H21" s="46">
        <f>SUM(Apr!H21, May!H21, Jun!H21)</f>
        <v>-55557</v>
      </c>
      <c r="I21" s="45">
        <f t="shared" si="8"/>
        <v>-0.10212458548708485</v>
      </c>
    </row>
    <row r="22" spans="1:9" ht="15.6">
      <c r="A22" s="55" t="str">
        <v>Sunset A</v>
      </c>
      <c r="B22" s="35" t="str">
        <v>MA</v>
      </c>
      <c r="C22" s="36">
        <f>SUM(Apr!C22, May!C22, Jun!C22)</f>
        <v>242029</v>
      </c>
      <c r="D22" s="37">
        <f>SUM(Apr!D22, May!D22, Jun!D22)</f>
        <v>250906.76</v>
      </c>
      <c r="E22" s="37">
        <f t="shared" si="6"/>
        <v>-8877.7600000000093</v>
      </c>
      <c r="F22" s="38">
        <f t="shared" si="7"/>
        <v>-3.5382705511800512E-2</v>
      </c>
      <c r="G22" s="39">
        <f>SUM(Apr!G22, May!G22, Jun!G22)</f>
        <v>262678.88</v>
      </c>
      <c r="H22" s="39">
        <f>SUM(Apr!H22, May!H22, Jun!H22)</f>
        <v>-20649.87999999999</v>
      </c>
      <c r="I22" s="40">
        <f t="shared" si="8"/>
        <v>-7.8612639128048625E-2</v>
      </c>
    </row>
    <row r="23" spans="1:9" ht="15.6">
      <c r="A23" s="56" t="str">
        <v>Sunset B</v>
      </c>
      <c r="B23" s="42" t="str">
        <v>MA</v>
      </c>
      <c r="C23" s="43">
        <f>SUM(Apr!C23, May!C23, Jun!C23)</f>
        <v>230349.5</v>
      </c>
      <c r="D23" s="44">
        <f>SUM(Apr!D23, May!D23, Jun!D23)</f>
        <v>242262.65000000002</v>
      </c>
      <c r="E23" s="44">
        <f t="shared" si="6"/>
        <v>-11913.150000000023</v>
      </c>
      <c r="F23" s="45">
        <f t="shared" si="7"/>
        <v>-4.9174521949627903E-2</v>
      </c>
      <c r="G23" s="46">
        <f>SUM(Apr!G23, May!G23, Jun!G23)</f>
        <v>259523.83</v>
      </c>
      <c r="H23" s="46">
        <f>SUM(Apr!H23, May!H23, Jun!H23)</f>
        <v>-29174.33</v>
      </c>
      <c r="I23" s="45">
        <f t="shared" si="8"/>
        <v>-0.11241484067185661</v>
      </c>
    </row>
    <row r="24" spans="1:9" ht="15.6">
      <c r="A24" s="55" t="str">
        <v>Woodchuck</v>
      </c>
      <c r="B24" s="35" t="str">
        <v>MA</v>
      </c>
      <c r="C24" s="36">
        <f>SUM(Apr!C24, May!C24, Jun!C24)</f>
        <v>491218</v>
      </c>
      <c r="D24" s="37">
        <f>SUM(Apr!D24, May!D24, Jun!D24)</f>
        <v>505334</v>
      </c>
      <c r="E24" s="37">
        <f t="shared" si="6"/>
        <v>-14116</v>
      </c>
      <c r="F24" s="38">
        <f t="shared" si="7"/>
        <v>-2.7934000087071125E-2</v>
      </c>
      <c r="G24" s="39">
        <f>SUM(Apr!G24, May!G24, Jun!G24)</f>
        <v>577106.5</v>
      </c>
      <c r="H24" s="39">
        <f>SUM(Apr!H24, May!H24, Jun!H24)</f>
        <v>-85888.5</v>
      </c>
      <c r="I24" s="40">
        <f t="shared" si="8"/>
        <v>-0.14882608322727262</v>
      </c>
    </row>
    <row r="25" spans="1:9" ht="15.6">
      <c r="A25" s="56" t="str">
        <v>NY: Skaneateles - Spafford 1 - (PW)</v>
      </c>
      <c r="B25" s="42" t="str">
        <v>NY</v>
      </c>
      <c r="C25" s="43">
        <f>SUM(Apr!C25, May!C25, Jun!C25)</f>
        <v>0</v>
      </c>
      <c r="D25" s="44">
        <f>SUM(Apr!D25, May!D25, Jun!D25)</f>
        <v>0</v>
      </c>
      <c r="E25" s="44">
        <f t="shared" si="6"/>
        <v>0</v>
      </c>
      <c r="F25" s="45" t="str">
        <f t="shared" si="7"/>
        <v/>
      </c>
      <c r="G25" s="46">
        <f>SUM(Apr!G25, May!G25, Jun!G25)</f>
        <v>0</v>
      </c>
      <c r="H25" s="46">
        <f>SUM(Apr!H25, May!H25, Jun!H25)</f>
        <v>0</v>
      </c>
      <c r="I25" s="45" t="str">
        <f t="shared" si="8"/>
        <v/>
      </c>
    </row>
    <row r="26" spans="1:9" ht="15.6">
      <c r="A26" s="55" t="str">
        <v>NY: Skaneateles - Spafford 2 - (PW)</v>
      </c>
      <c r="B26" s="35" t="str">
        <v>NY</v>
      </c>
      <c r="C26" s="36">
        <f>SUM(Apr!C26, May!C26, Jun!C26)</f>
        <v>0</v>
      </c>
      <c r="D26" s="37">
        <f>SUM(Apr!D26, May!D26, Jun!D26)</f>
        <v>0</v>
      </c>
      <c r="E26" s="37">
        <f t="shared" si="6"/>
        <v>0</v>
      </c>
      <c r="F26" s="38" t="str">
        <f t="shared" si="7"/>
        <v/>
      </c>
      <c r="G26" s="39">
        <f>SUM(Apr!G26, May!G26, Jun!G26)</f>
        <v>0</v>
      </c>
      <c r="H26" s="39">
        <f>SUM(Apr!H26, May!H26, Jun!H26)</f>
        <v>0</v>
      </c>
      <c r="I26" s="40" t="str">
        <f t="shared" si="8"/>
        <v/>
      </c>
    </row>
    <row r="27" spans="1:9" ht="15.6">
      <c r="A27" s="56" t="str">
        <v>NY: New Hartford - 4001 NY-12 (IRA)</v>
      </c>
      <c r="B27" s="42" t="str">
        <v>NY</v>
      </c>
      <c r="C27" s="43">
        <f>SUM(Apr!C27, May!C27, Jun!C27)</f>
        <v>0</v>
      </c>
      <c r="D27" s="44">
        <f>SUM(Apr!D27, May!D27, Jun!D27)</f>
        <v>0</v>
      </c>
      <c r="E27" s="44">
        <f t="shared" si="6"/>
        <v>0</v>
      </c>
      <c r="F27" s="45" t="str">
        <f t="shared" si="7"/>
        <v/>
      </c>
      <c r="G27" s="46">
        <f>SUM(Apr!G27, May!G27, Jun!G27)</f>
        <v>0</v>
      </c>
      <c r="H27" s="46">
        <f>SUM(Apr!H27, May!H27, Jun!H27)</f>
        <v>0</v>
      </c>
      <c r="I27" s="45" t="str">
        <f t="shared" si="8"/>
        <v/>
      </c>
    </row>
    <row r="28" spans="1:9" ht="13.9">
      <c r="A28" s="13"/>
      <c r="B28" s="13"/>
      <c r="C28" s="13"/>
      <c r="D28" s="13"/>
      <c r="E28" s="13"/>
      <c r="F28" s="13"/>
      <c r="G28" s="13"/>
      <c r="H28" s="13"/>
      <c r="I28" s="13"/>
    </row>
    <row r="29" spans="1:9" ht="13.9">
      <c r="A29" s="13"/>
      <c r="B29" s="13"/>
      <c r="C29" s="13"/>
      <c r="D29" s="13"/>
      <c r="E29" s="13"/>
      <c r="F29" s="13"/>
      <c r="G29" s="13"/>
      <c r="H29" s="13"/>
      <c r="I29" s="13"/>
    </row>
    <row r="30" spans="1:9" ht="13.9">
      <c r="A30" s="13"/>
      <c r="B30" s="13"/>
      <c r="C30" s="13"/>
      <c r="D30" s="13"/>
      <c r="E30" s="13"/>
      <c r="F30" s="13"/>
      <c r="G30" s="13"/>
      <c r="H30" s="13"/>
      <c r="I30" s="13"/>
    </row>
    <row r="31" spans="1:9" ht="13.9">
      <c r="A31" s="13"/>
      <c r="B31" s="13"/>
      <c r="C31" s="13"/>
      <c r="D31" s="13"/>
      <c r="E31" s="13"/>
      <c r="F31" s="13"/>
      <c r="G31" s="13"/>
      <c r="H31" s="13"/>
      <c r="I31" s="13"/>
    </row>
    <row r="32" spans="1:9" ht="13.9">
      <c r="A32" s="13"/>
      <c r="B32" s="13"/>
      <c r="C32" s="13"/>
      <c r="D32" s="13"/>
      <c r="E32" s="13"/>
      <c r="F32" s="14"/>
      <c r="G32" s="13"/>
      <c r="H32" s="13"/>
      <c r="I32" s="14"/>
    </row>
    <row r="33" spans="1:9" ht="13.9">
      <c r="A33" s="13"/>
      <c r="B33" s="13"/>
      <c r="C33" s="13"/>
      <c r="D33" s="13"/>
      <c r="E33" s="13"/>
      <c r="F33" s="14"/>
      <c r="G33" s="13"/>
      <c r="H33" s="13"/>
      <c r="I33" s="14"/>
    </row>
    <row r="34" spans="1:9" ht="13.9">
      <c r="A34" s="13"/>
      <c r="B34" s="13"/>
      <c r="C34" s="13"/>
      <c r="D34" s="13"/>
      <c r="E34" s="13"/>
      <c r="F34" s="14"/>
      <c r="G34" s="13"/>
      <c r="H34" s="13"/>
      <c r="I34" s="14"/>
    </row>
    <row r="35" spans="1:9" ht="13.9">
      <c r="A35" s="13"/>
      <c r="B35" s="13"/>
      <c r="C35" s="13"/>
      <c r="D35" s="13"/>
      <c r="E35" s="13"/>
      <c r="F35" s="14"/>
      <c r="G35" s="13"/>
      <c r="H35" s="13"/>
      <c r="I35" s="14"/>
    </row>
    <row r="36" spans="1:9" ht="13.9">
      <c r="A36" s="13"/>
      <c r="B36" s="13"/>
      <c r="C36" s="13"/>
      <c r="D36" s="13"/>
      <c r="E36" s="13"/>
      <c r="F36" s="14"/>
      <c r="G36" s="13"/>
      <c r="H36" s="13"/>
      <c r="I36" s="14"/>
    </row>
    <row r="37" spans="1:9" ht="13.9">
      <c r="A37" s="13"/>
      <c r="B37" s="13"/>
      <c r="C37" s="13"/>
      <c r="D37" s="13"/>
      <c r="E37" s="13"/>
      <c r="F37" s="14"/>
      <c r="G37" s="13"/>
      <c r="H37" s="13"/>
      <c r="I37" s="14"/>
    </row>
    <row r="38" spans="1:9" ht="13.9">
      <c r="A38" s="13"/>
      <c r="B38" s="13"/>
      <c r="C38" s="13"/>
      <c r="D38" s="13"/>
      <c r="E38" s="13"/>
      <c r="F38" s="14"/>
      <c r="G38" s="13"/>
      <c r="H38" s="13"/>
      <c r="I38" s="14"/>
    </row>
    <row r="39" spans="1:9" ht="13.9">
      <c r="A39" s="13"/>
      <c r="B39" s="13"/>
      <c r="C39" s="13"/>
      <c r="D39" s="13"/>
      <c r="E39" s="13"/>
      <c r="F39" s="14"/>
      <c r="G39" s="13"/>
      <c r="H39" s="13"/>
      <c r="I39" s="14"/>
    </row>
    <row r="40" spans="1:9" ht="13.9">
      <c r="A40" s="13"/>
      <c r="B40" s="13"/>
      <c r="C40" s="13"/>
      <c r="D40" s="13"/>
      <c r="E40" s="13"/>
      <c r="F40" s="14"/>
      <c r="G40" s="13"/>
      <c r="H40" s="13"/>
      <c r="I40" s="14"/>
    </row>
    <row r="41" spans="1:9" ht="13.9">
      <c r="A41" s="13"/>
      <c r="B41" s="13"/>
      <c r="C41" s="13"/>
      <c r="D41" s="13"/>
      <c r="E41" s="13"/>
      <c r="F41" s="14"/>
      <c r="G41" s="13"/>
      <c r="H41" s="13"/>
      <c r="I41" s="14"/>
    </row>
    <row r="42" spans="1:9" ht="13.9">
      <c r="A42" s="13"/>
      <c r="B42" s="13"/>
      <c r="C42" s="13"/>
      <c r="D42" s="13"/>
      <c r="E42" s="13"/>
      <c r="F42" s="14"/>
      <c r="G42" s="13"/>
      <c r="H42" s="13"/>
      <c r="I42" s="14"/>
    </row>
    <row r="43" spans="1:9" ht="13.9">
      <c r="A43" s="13"/>
      <c r="B43" s="13"/>
      <c r="C43" s="13"/>
      <c r="D43" s="13"/>
      <c r="E43" s="13"/>
      <c r="F43" s="14"/>
      <c r="G43" s="13"/>
      <c r="H43" s="13"/>
      <c r="I43" s="14"/>
    </row>
    <row r="44" spans="1:9" ht="13.9">
      <c r="A44" s="13"/>
      <c r="B44" s="13"/>
      <c r="C44" s="13"/>
      <c r="D44" s="13"/>
      <c r="E44" s="13"/>
      <c r="F44" s="14"/>
      <c r="G44" s="13"/>
      <c r="H44" s="13"/>
      <c r="I44" s="14"/>
    </row>
    <row r="45" spans="1:9" ht="13.9">
      <c r="A45" s="13"/>
      <c r="B45" s="13"/>
      <c r="C45" s="13"/>
      <c r="D45" s="13"/>
      <c r="E45" s="13"/>
      <c r="F45" s="14"/>
      <c r="G45" s="13"/>
      <c r="H45" s="13"/>
      <c r="I45" s="14"/>
    </row>
    <row r="46" spans="1:9" ht="13.9">
      <c r="A46" s="13"/>
      <c r="B46" s="13"/>
      <c r="C46" s="13"/>
      <c r="D46" s="13"/>
      <c r="E46" s="13"/>
      <c r="F46" s="14"/>
      <c r="G46" s="13"/>
      <c r="H46" s="13"/>
      <c r="I46" s="14"/>
    </row>
    <row r="47" spans="1:9" ht="13.9">
      <c r="A47" s="13"/>
      <c r="B47" s="13"/>
      <c r="C47" s="13"/>
      <c r="D47" s="13"/>
      <c r="E47" s="13"/>
      <c r="F47" s="14"/>
      <c r="G47" s="13"/>
      <c r="H47" s="13"/>
      <c r="I47" s="14"/>
    </row>
    <row r="48" spans="1:9" ht="13.9">
      <c r="A48" s="13"/>
      <c r="B48" s="13"/>
      <c r="C48" s="13"/>
      <c r="D48" s="13"/>
      <c r="E48" s="13"/>
      <c r="F48" s="14"/>
      <c r="G48" s="13"/>
      <c r="H48" s="13"/>
      <c r="I48" s="14"/>
    </row>
    <row r="49" spans="1:9" ht="13.9">
      <c r="A49" s="13"/>
      <c r="B49" s="13"/>
      <c r="C49" s="13"/>
      <c r="D49" s="13"/>
      <c r="E49" s="13"/>
      <c r="F49" s="14"/>
      <c r="G49" s="13"/>
      <c r="H49" s="13"/>
      <c r="I49" s="14"/>
    </row>
    <row r="50" spans="1:9" ht="13.9">
      <c r="A50" s="13"/>
      <c r="B50" s="13"/>
      <c r="C50" s="13"/>
      <c r="D50" s="13"/>
      <c r="E50" s="13"/>
      <c r="F50" s="14"/>
      <c r="G50" s="13"/>
      <c r="H50" s="13"/>
      <c r="I50" s="14"/>
    </row>
    <row r="51" spans="1:9" ht="13.9">
      <c r="A51" s="13"/>
      <c r="B51" s="13"/>
      <c r="C51" s="13"/>
      <c r="D51" s="13"/>
      <c r="E51" s="13"/>
      <c r="F51" s="14"/>
      <c r="G51" s="13"/>
      <c r="H51" s="13"/>
      <c r="I51" s="14"/>
    </row>
    <row r="52" spans="1:9" ht="13.9">
      <c r="A52" s="13"/>
      <c r="B52" s="13"/>
      <c r="C52" s="13"/>
      <c r="D52" s="13"/>
      <c r="E52" s="13"/>
      <c r="F52" s="14"/>
      <c r="G52" s="13"/>
      <c r="H52" s="13"/>
      <c r="I52" s="14"/>
    </row>
    <row r="53" spans="1:9" ht="13.9">
      <c r="A53" s="13"/>
      <c r="B53" s="13"/>
      <c r="C53" s="13"/>
      <c r="D53" s="13"/>
      <c r="E53" s="13"/>
      <c r="F53" s="14"/>
      <c r="G53" s="13"/>
      <c r="H53" s="13"/>
      <c r="I53" s="14"/>
    </row>
    <row r="54" spans="1:9" ht="13.9">
      <c r="A54" s="13"/>
      <c r="B54" s="13"/>
      <c r="C54" s="13"/>
      <c r="D54" s="13"/>
      <c r="E54" s="13"/>
      <c r="F54" s="14"/>
      <c r="G54" s="13"/>
      <c r="H54" s="13"/>
      <c r="I54" s="14"/>
    </row>
    <row r="55" spans="1:9" ht="13.9">
      <c r="A55" s="13"/>
      <c r="B55" s="13"/>
      <c r="C55" s="13"/>
      <c r="D55" s="13"/>
      <c r="E55" s="13"/>
      <c r="F55" s="14"/>
      <c r="G55" s="13"/>
      <c r="H55" s="13"/>
      <c r="I55" s="14"/>
    </row>
    <row r="56" spans="1:9" ht="13.9">
      <c r="A56" s="13"/>
      <c r="B56" s="13"/>
      <c r="C56" s="13"/>
      <c r="D56" s="13"/>
      <c r="E56" s="13"/>
      <c r="F56" s="14"/>
      <c r="G56" s="13"/>
      <c r="H56" s="13"/>
      <c r="I56" s="14"/>
    </row>
    <row r="57" spans="1:9" ht="13.9">
      <c r="A57" s="13"/>
      <c r="B57" s="13"/>
      <c r="C57" s="13"/>
      <c r="D57" s="13"/>
      <c r="E57" s="13"/>
      <c r="F57" s="14"/>
      <c r="G57" s="13"/>
      <c r="H57" s="13"/>
      <c r="I57" s="14"/>
    </row>
    <row r="58" spans="1:9" ht="13.9">
      <c r="A58" s="13"/>
      <c r="B58" s="13"/>
      <c r="C58" s="13"/>
      <c r="D58" s="13"/>
      <c r="E58" s="13"/>
      <c r="F58" s="14"/>
      <c r="G58" s="13"/>
      <c r="H58" s="13"/>
      <c r="I58" s="14"/>
    </row>
    <row r="59" spans="1:9" ht="13.9">
      <c r="A59" s="13"/>
      <c r="B59" s="13"/>
      <c r="C59" s="13"/>
      <c r="D59" s="13"/>
      <c r="E59" s="13"/>
      <c r="F59" s="14"/>
      <c r="G59" s="13"/>
      <c r="H59" s="13"/>
      <c r="I59" s="14"/>
    </row>
    <row r="60" spans="1:9" ht="13.9">
      <c r="A60" s="13"/>
      <c r="B60" s="13"/>
      <c r="C60" s="13"/>
      <c r="D60" s="13"/>
      <c r="E60" s="13"/>
      <c r="F60" s="14"/>
      <c r="G60" s="13"/>
      <c r="H60" s="13"/>
      <c r="I60" s="14"/>
    </row>
    <row r="61" spans="1:9" ht="13.9">
      <c r="A61" s="13"/>
      <c r="B61" s="13"/>
      <c r="C61" s="13"/>
      <c r="D61" s="13"/>
      <c r="E61" s="13"/>
      <c r="F61" s="14"/>
      <c r="G61" s="13"/>
      <c r="H61" s="13"/>
      <c r="I61" s="14"/>
    </row>
    <row r="62" spans="1:9" ht="13.9">
      <c r="A62" s="13"/>
      <c r="B62" s="13"/>
      <c r="C62" s="13"/>
      <c r="D62" s="13"/>
      <c r="E62" s="13"/>
      <c r="F62" s="14"/>
      <c r="G62" s="13"/>
      <c r="H62" s="13"/>
      <c r="I62" s="14"/>
    </row>
    <row r="63" spans="1:9" ht="13.9">
      <c r="A63" s="13"/>
      <c r="B63" s="13"/>
      <c r="C63" s="13"/>
      <c r="D63" s="13"/>
      <c r="E63" s="13"/>
      <c r="F63" s="14"/>
      <c r="G63" s="13"/>
      <c r="H63" s="13"/>
      <c r="I63" s="14"/>
    </row>
    <row r="64" spans="1:9" ht="13.9">
      <c r="A64" s="13"/>
      <c r="B64" s="13"/>
      <c r="C64" s="13"/>
      <c r="D64" s="13"/>
      <c r="E64" s="13"/>
      <c r="F64" s="14"/>
      <c r="G64" s="13"/>
      <c r="H64" s="13"/>
      <c r="I64" s="14"/>
    </row>
    <row r="65" spans="1:9" ht="13.9">
      <c r="A65" s="13"/>
      <c r="B65" s="13"/>
      <c r="C65" s="13"/>
      <c r="D65" s="13"/>
      <c r="E65" s="13"/>
      <c r="F65" s="14"/>
      <c r="G65" s="13"/>
      <c r="H65" s="13"/>
      <c r="I65" s="14"/>
    </row>
    <row r="66" spans="1:9" ht="13.9">
      <c r="A66" s="13"/>
      <c r="B66" s="13"/>
      <c r="C66" s="13"/>
      <c r="D66" s="13"/>
      <c r="E66" s="13"/>
      <c r="F66" s="14"/>
      <c r="G66" s="13"/>
      <c r="H66" s="13"/>
      <c r="I66" s="14"/>
    </row>
    <row r="67" spans="1:9" ht="13.9">
      <c r="A67" s="13"/>
      <c r="B67" s="13"/>
      <c r="C67" s="13"/>
      <c r="D67" s="13"/>
      <c r="E67" s="13"/>
      <c r="F67" s="14"/>
      <c r="G67" s="13"/>
      <c r="H67" s="13"/>
      <c r="I67" s="14"/>
    </row>
    <row r="68" spans="1:9" ht="13.9">
      <c r="A68" s="13"/>
      <c r="B68" s="13"/>
      <c r="C68" s="13"/>
      <c r="D68" s="13"/>
      <c r="E68" s="13"/>
      <c r="F68" s="14"/>
      <c r="G68" s="13"/>
      <c r="H68" s="13"/>
      <c r="I68" s="14"/>
    </row>
    <row r="69" spans="1:9" ht="13.9">
      <c r="A69" s="13"/>
      <c r="B69" s="13"/>
      <c r="C69" s="13"/>
      <c r="D69" s="13"/>
      <c r="E69" s="13"/>
      <c r="F69" s="14"/>
      <c r="G69" s="13"/>
      <c r="H69" s="13"/>
      <c r="I69" s="14"/>
    </row>
    <row r="70" spans="1:9" ht="13.9">
      <c r="A70" s="13"/>
      <c r="B70" s="13"/>
      <c r="C70" s="13"/>
      <c r="D70" s="13"/>
      <c r="E70" s="13"/>
      <c r="F70" s="14"/>
      <c r="G70" s="13"/>
      <c r="H70" s="13"/>
      <c r="I70" s="14"/>
    </row>
    <row r="71" spans="1:9" ht="13.9">
      <c r="A71" s="13"/>
      <c r="B71" s="13"/>
      <c r="C71" s="13"/>
      <c r="D71" s="13"/>
      <c r="E71" s="13"/>
      <c r="F71" s="14"/>
      <c r="G71" s="13"/>
      <c r="H71" s="13"/>
      <c r="I71" s="14"/>
    </row>
    <row r="72" spans="1:9" ht="13.9">
      <c r="A72" s="13"/>
      <c r="B72" s="13"/>
      <c r="C72" s="13"/>
      <c r="D72" s="13"/>
      <c r="E72" s="13"/>
      <c r="F72" s="14"/>
      <c r="G72" s="13"/>
      <c r="H72" s="13"/>
      <c r="I72" s="14"/>
    </row>
    <row r="73" spans="1:9" ht="13.9">
      <c r="A73" s="13"/>
      <c r="B73" s="13"/>
      <c r="C73" s="13"/>
      <c r="D73" s="13"/>
      <c r="E73" s="13"/>
      <c r="F73" s="14"/>
      <c r="G73" s="13"/>
      <c r="H73" s="13"/>
      <c r="I73" s="14"/>
    </row>
    <row r="74" spans="1:9" ht="13.9">
      <c r="A74" s="13"/>
      <c r="B74" s="13"/>
      <c r="C74" s="13"/>
      <c r="D74" s="13"/>
      <c r="E74" s="13"/>
      <c r="F74" s="14"/>
      <c r="G74" s="13"/>
      <c r="H74" s="13"/>
      <c r="I74" s="14"/>
    </row>
    <row r="75" spans="1:9" ht="13.9">
      <c r="A75" s="13"/>
      <c r="B75" s="13"/>
      <c r="C75" s="13"/>
      <c r="D75" s="13"/>
      <c r="E75" s="13"/>
      <c r="F75" s="14"/>
      <c r="G75" s="13"/>
      <c r="H75" s="13"/>
      <c r="I75" s="14"/>
    </row>
    <row r="76" spans="1:9" ht="13.9">
      <c r="A76" s="13"/>
      <c r="B76" s="13"/>
      <c r="C76" s="13"/>
      <c r="D76" s="13"/>
      <c r="E76" s="13"/>
      <c r="F76" s="14"/>
      <c r="G76" s="13"/>
      <c r="H76" s="13"/>
      <c r="I76" s="14"/>
    </row>
    <row r="77" spans="1:9" ht="13.9">
      <c r="A77" s="13"/>
      <c r="B77" s="13"/>
      <c r="C77" s="13"/>
      <c r="D77" s="13"/>
      <c r="E77" s="13"/>
      <c r="F77" s="14"/>
      <c r="G77" s="13"/>
      <c r="H77" s="13"/>
      <c r="I77" s="14"/>
    </row>
    <row r="78" spans="1:9" ht="13.9">
      <c r="A78" s="13"/>
      <c r="B78" s="13"/>
      <c r="C78" s="13"/>
      <c r="D78" s="13"/>
      <c r="E78" s="13"/>
      <c r="F78" s="14"/>
      <c r="G78" s="13"/>
      <c r="H78" s="13"/>
      <c r="I78" s="14"/>
    </row>
    <row r="79" spans="1:9" ht="13.9">
      <c r="A79" s="13"/>
      <c r="B79" s="13"/>
      <c r="C79" s="13"/>
      <c r="D79" s="13"/>
      <c r="E79" s="13"/>
      <c r="F79" s="14"/>
      <c r="G79" s="13"/>
      <c r="H79" s="13"/>
      <c r="I79" s="14"/>
    </row>
    <row r="80" spans="1:9" ht="13.9">
      <c r="A80" s="13"/>
      <c r="B80" s="13"/>
      <c r="C80" s="13"/>
      <c r="D80" s="13"/>
      <c r="E80" s="13"/>
      <c r="F80" s="14"/>
      <c r="G80" s="13"/>
      <c r="H80" s="13"/>
      <c r="I80" s="14"/>
    </row>
    <row r="81" spans="1:9" ht="13.9">
      <c r="A81" s="13"/>
      <c r="B81" s="13"/>
      <c r="C81" s="13"/>
      <c r="D81" s="13"/>
      <c r="E81" s="13"/>
      <c r="F81" s="14"/>
      <c r="G81" s="13"/>
      <c r="H81" s="13"/>
      <c r="I81" s="14"/>
    </row>
    <row r="82" spans="1:9" ht="13.9">
      <c r="A82" s="13"/>
      <c r="B82" s="13"/>
      <c r="C82" s="13"/>
      <c r="D82" s="13"/>
      <c r="E82" s="13"/>
      <c r="F82" s="14"/>
      <c r="G82" s="13"/>
      <c r="H82" s="13"/>
      <c r="I82" s="14"/>
    </row>
    <row r="83" spans="1:9" ht="13.9">
      <c r="A83" s="13"/>
      <c r="B83" s="13"/>
      <c r="C83" s="13"/>
      <c r="D83" s="13"/>
      <c r="E83" s="13"/>
      <c r="F83" s="14"/>
      <c r="G83" s="13"/>
      <c r="H83" s="13"/>
      <c r="I83" s="14"/>
    </row>
    <row r="84" spans="1:9" ht="13.9">
      <c r="A84" s="13"/>
      <c r="B84" s="13"/>
      <c r="C84" s="13"/>
      <c r="D84" s="13"/>
      <c r="E84" s="13"/>
      <c r="F84" s="14"/>
      <c r="G84" s="13"/>
      <c r="H84" s="13"/>
      <c r="I84" s="14"/>
    </row>
    <row r="85" spans="1:9" ht="13.9">
      <c r="A85" s="13"/>
      <c r="B85" s="13"/>
      <c r="C85" s="13"/>
      <c r="D85" s="13"/>
      <c r="E85" s="13"/>
      <c r="F85" s="14"/>
      <c r="G85" s="13"/>
      <c r="H85" s="13"/>
      <c r="I85" s="14"/>
    </row>
    <row r="86" spans="1:9" ht="13.9">
      <c r="A86" s="13"/>
      <c r="B86" s="13"/>
      <c r="C86" s="13"/>
      <c r="D86" s="13"/>
      <c r="E86" s="13"/>
      <c r="F86" s="14"/>
      <c r="G86" s="13"/>
      <c r="H86" s="13"/>
      <c r="I86" s="14"/>
    </row>
    <row r="87" spans="1:9" ht="13.9">
      <c r="A87" s="13"/>
      <c r="B87" s="13"/>
      <c r="C87" s="13"/>
      <c r="D87" s="13"/>
      <c r="E87" s="13"/>
      <c r="F87" s="14"/>
      <c r="G87" s="13"/>
      <c r="H87" s="13"/>
      <c r="I87" s="14"/>
    </row>
    <row r="88" spans="1:9" ht="13.9">
      <c r="A88" s="13"/>
      <c r="B88" s="13"/>
      <c r="C88" s="13"/>
      <c r="D88" s="13"/>
      <c r="E88" s="13"/>
      <c r="F88" s="14"/>
      <c r="G88" s="13"/>
      <c r="H88" s="13"/>
      <c r="I88" s="14"/>
    </row>
    <row r="89" spans="1:9" ht="13.9">
      <c r="A89" s="13"/>
      <c r="B89" s="13"/>
      <c r="C89" s="13"/>
      <c r="D89" s="13"/>
      <c r="E89" s="13"/>
      <c r="F89" s="14"/>
      <c r="G89" s="13"/>
      <c r="H89" s="13"/>
      <c r="I89" s="14"/>
    </row>
    <row r="90" spans="1:9" ht="13.9">
      <c r="A90" s="13"/>
      <c r="B90" s="13"/>
      <c r="C90" s="13"/>
      <c r="D90" s="13"/>
      <c r="E90" s="13"/>
      <c r="F90" s="14"/>
      <c r="G90" s="13"/>
      <c r="H90" s="13"/>
      <c r="I90" s="14"/>
    </row>
    <row r="91" spans="1:9" ht="13.9">
      <c r="A91" s="13"/>
      <c r="B91" s="13"/>
      <c r="C91" s="13"/>
      <c r="D91" s="13"/>
      <c r="E91" s="13"/>
      <c r="F91" s="14"/>
      <c r="G91" s="13"/>
      <c r="H91" s="13"/>
      <c r="I91" s="14"/>
    </row>
    <row r="92" spans="1:9" ht="13.9">
      <c r="A92" s="13"/>
      <c r="B92" s="13"/>
      <c r="C92" s="13"/>
      <c r="D92" s="13"/>
      <c r="E92" s="13"/>
      <c r="F92" s="14"/>
      <c r="G92" s="13"/>
      <c r="H92" s="13"/>
      <c r="I92" s="14"/>
    </row>
    <row r="93" spans="1:9" ht="13.9">
      <c r="A93" s="13"/>
      <c r="B93" s="13"/>
      <c r="C93" s="13"/>
      <c r="D93" s="13"/>
      <c r="E93" s="13"/>
      <c r="F93" s="14"/>
      <c r="G93" s="13"/>
      <c r="H93" s="13"/>
      <c r="I93" s="14"/>
    </row>
    <row r="94" spans="1:9" ht="13.9">
      <c r="A94" s="13"/>
      <c r="B94" s="13"/>
      <c r="C94" s="13"/>
      <c r="D94" s="13"/>
      <c r="E94" s="13"/>
      <c r="F94" s="14"/>
      <c r="G94" s="13"/>
      <c r="H94" s="13"/>
      <c r="I94" s="14"/>
    </row>
    <row r="95" spans="1:9" ht="13.9">
      <c r="A95" s="13"/>
      <c r="B95" s="13"/>
      <c r="C95" s="13"/>
      <c r="D95" s="13"/>
      <c r="E95" s="13"/>
      <c r="F95" s="14"/>
      <c r="G95" s="13"/>
      <c r="H95" s="13"/>
      <c r="I95" s="14"/>
    </row>
    <row r="96" spans="1:9" ht="13.9">
      <c r="A96" s="13"/>
      <c r="B96" s="13"/>
      <c r="C96" s="13"/>
      <c r="D96" s="13"/>
      <c r="E96" s="13"/>
      <c r="F96" s="14"/>
      <c r="G96" s="13"/>
      <c r="H96" s="13"/>
      <c r="I96" s="14"/>
    </row>
    <row r="97" spans="1:9" ht="13.9">
      <c r="A97" s="13"/>
      <c r="B97" s="13"/>
      <c r="C97" s="13"/>
      <c r="D97" s="13"/>
      <c r="E97" s="13"/>
      <c r="F97" s="14"/>
      <c r="G97" s="13"/>
      <c r="H97" s="13"/>
      <c r="I97" s="14"/>
    </row>
    <row r="98" spans="1:9" ht="13.9">
      <c r="A98" s="13"/>
      <c r="B98" s="13"/>
      <c r="C98" s="13"/>
      <c r="D98" s="13"/>
      <c r="E98" s="13"/>
      <c r="F98" s="14"/>
      <c r="G98" s="13"/>
      <c r="H98" s="13"/>
      <c r="I98" s="14"/>
    </row>
    <row r="99" spans="1:9" ht="13.9">
      <c r="A99" s="13"/>
      <c r="B99" s="13"/>
      <c r="C99" s="13"/>
      <c r="D99" s="13"/>
      <c r="E99" s="13"/>
      <c r="F99" s="14"/>
      <c r="G99" s="13"/>
      <c r="H99" s="13"/>
      <c r="I99" s="14"/>
    </row>
    <row r="100" spans="1:9" ht="13.9">
      <c r="A100" s="13"/>
      <c r="B100" s="13"/>
      <c r="C100" s="13"/>
      <c r="D100" s="13"/>
      <c r="E100" s="13"/>
      <c r="F100" s="14"/>
      <c r="G100" s="13"/>
      <c r="H100" s="13"/>
      <c r="I100" s="14"/>
    </row>
    <row r="101" spans="1:9" ht="13.9">
      <c r="A101" s="13"/>
      <c r="B101" s="13"/>
      <c r="C101" s="13"/>
      <c r="D101" s="13"/>
      <c r="E101" s="13"/>
      <c r="F101" s="14"/>
      <c r="G101" s="13"/>
      <c r="H101" s="13"/>
      <c r="I101" s="14"/>
    </row>
    <row r="102" spans="1:9" ht="13.9">
      <c r="A102" s="13"/>
      <c r="B102" s="13"/>
      <c r="C102" s="13"/>
      <c r="D102" s="13"/>
      <c r="E102" s="13"/>
      <c r="F102" s="14"/>
      <c r="G102" s="13"/>
      <c r="H102" s="13"/>
      <c r="I102" s="14"/>
    </row>
    <row r="103" spans="1:9" ht="13.9">
      <c r="A103" s="13"/>
      <c r="B103" s="13"/>
      <c r="C103" s="13"/>
      <c r="D103" s="13"/>
      <c r="E103" s="13"/>
      <c r="F103" s="14"/>
      <c r="G103" s="13"/>
      <c r="H103" s="13"/>
      <c r="I103" s="14"/>
    </row>
    <row r="104" spans="1:9" ht="13.9">
      <c r="A104" s="13"/>
      <c r="B104" s="13"/>
      <c r="C104" s="13"/>
      <c r="D104" s="13"/>
      <c r="E104" s="13"/>
      <c r="F104" s="14"/>
      <c r="G104" s="13"/>
      <c r="H104" s="13"/>
      <c r="I104" s="14"/>
    </row>
    <row r="105" spans="1:9" ht="13.9">
      <c r="A105" s="13"/>
      <c r="B105" s="13"/>
      <c r="C105" s="13"/>
      <c r="D105" s="13"/>
      <c r="E105" s="13"/>
      <c r="F105" s="14"/>
      <c r="G105" s="13"/>
      <c r="H105" s="13"/>
      <c r="I105" s="14"/>
    </row>
    <row r="106" spans="1:9" ht="13.9">
      <c r="A106" s="13"/>
      <c r="B106" s="13"/>
      <c r="C106" s="13"/>
      <c r="D106" s="13"/>
      <c r="E106" s="13"/>
      <c r="F106" s="14"/>
      <c r="G106" s="13"/>
      <c r="H106" s="13"/>
      <c r="I106" s="14"/>
    </row>
    <row r="107" spans="1:9" ht="13.9">
      <c r="A107" s="13"/>
      <c r="B107" s="13"/>
      <c r="C107" s="13"/>
      <c r="D107" s="13"/>
      <c r="E107" s="13"/>
      <c r="F107" s="14"/>
      <c r="G107" s="13"/>
      <c r="H107" s="13"/>
      <c r="I107" s="14"/>
    </row>
    <row r="108" spans="1:9" ht="13.9">
      <c r="A108" s="13"/>
      <c r="B108" s="13"/>
      <c r="C108" s="13"/>
      <c r="D108" s="13"/>
      <c r="E108" s="13"/>
      <c r="F108" s="14"/>
      <c r="G108" s="13"/>
      <c r="H108" s="13"/>
      <c r="I108" s="14"/>
    </row>
    <row r="109" spans="1:9" ht="13.9">
      <c r="A109" s="13"/>
      <c r="B109" s="13"/>
      <c r="C109" s="13"/>
      <c r="D109" s="13"/>
      <c r="E109" s="13"/>
      <c r="F109" s="14"/>
      <c r="G109" s="13"/>
      <c r="H109" s="13"/>
      <c r="I109" s="14"/>
    </row>
    <row r="110" spans="1:9" ht="13.9">
      <c r="A110" s="13"/>
      <c r="B110" s="13"/>
      <c r="C110" s="13"/>
      <c r="D110" s="13"/>
      <c r="E110" s="13"/>
      <c r="F110" s="14"/>
      <c r="G110" s="13"/>
      <c r="H110" s="13"/>
      <c r="I110" s="14"/>
    </row>
    <row r="111" spans="1:9" ht="13.9">
      <c r="A111" s="13"/>
      <c r="B111" s="13"/>
      <c r="C111" s="13"/>
      <c r="D111" s="13"/>
      <c r="E111" s="13"/>
      <c r="F111" s="14"/>
      <c r="G111" s="13"/>
      <c r="H111" s="13"/>
      <c r="I111" s="14"/>
    </row>
    <row r="112" spans="1:9" ht="13.9">
      <c r="A112" s="13"/>
      <c r="B112" s="13"/>
      <c r="C112" s="13"/>
      <c r="D112" s="13"/>
      <c r="E112" s="13"/>
      <c r="F112" s="14"/>
      <c r="G112" s="13"/>
      <c r="H112" s="13"/>
      <c r="I112" s="14"/>
    </row>
    <row r="113" spans="1:9" ht="13.9">
      <c r="A113" s="13"/>
      <c r="B113" s="13"/>
      <c r="C113" s="13"/>
      <c r="D113" s="13"/>
      <c r="E113" s="13"/>
      <c r="F113" s="14"/>
      <c r="G113" s="13"/>
      <c r="H113" s="13"/>
      <c r="I113" s="14"/>
    </row>
    <row r="114" spans="1:9" ht="13.9">
      <c r="A114" s="13"/>
      <c r="B114" s="13"/>
      <c r="C114" s="13"/>
      <c r="D114" s="13"/>
      <c r="E114" s="13"/>
      <c r="F114" s="14"/>
      <c r="G114" s="13"/>
      <c r="H114" s="13"/>
      <c r="I114" s="14"/>
    </row>
    <row r="115" spans="1:9" ht="13.9">
      <c r="A115" s="13"/>
      <c r="B115" s="13"/>
      <c r="C115" s="13"/>
      <c r="D115" s="13"/>
      <c r="E115" s="13"/>
      <c r="F115" s="14"/>
      <c r="G115" s="13"/>
      <c r="H115" s="13"/>
      <c r="I115" s="14"/>
    </row>
    <row r="116" spans="1:9" ht="13.9">
      <c r="A116" s="13"/>
      <c r="B116" s="13"/>
      <c r="C116" s="13"/>
      <c r="D116" s="13"/>
      <c r="E116" s="13"/>
      <c r="F116" s="14"/>
      <c r="G116" s="13"/>
      <c r="H116" s="13"/>
      <c r="I116" s="14"/>
    </row>
    <row r="117" spans="1:9" ht="13.9">
      <c r="A117" s="13"/>
      <c r="B117" s="13"/>
      <c r="C117" s="13"/>
      <c r="D117" s="13"/>
      <c r="E117" s="13"/>
      <c r="F117" s="14"/>
      <c r="G117" s="13"/>
      <c r="H117" s="13"/>
      <c r="I117" s="14"/>
    </row>
    <row r="118" spans="1:9" ht="13.9">
      <c r="A118" s="13"/>
      <c r="B118" s="13"/>
      <c r="C118" s="13"/>
      <c r="D118" s="13"/>
      <c r="E118" s="13"/>
      <c r="F118" s="14"/>
      <c r="G118" s="13"/>
      <c r="H118" s="13"/>
      <c r="I118" s="14"/>
    </row>
    <row r="119" spans="1:9" ht="13.9">
      <c r="A119" s="13"/>
      <c r="B119" s="13"/>
      <c r="C119" s="13"/>
      <c r="D119" s="13"/>
      <c r="E119" s="13"/>
      <c r="F119" s="14"/>
      <c r="G119" s="13"/>
      <c r="H119" s="13"/>
      <c r="I119" s="14"/>
    </row>
    <row r="120" spans="1:9" ht="13.9">
      <c r="A120" s="13"/>
      <c r="B120" s="13"/>
      <c r="C120" s="13"/>
      <c r="D120" s="13"/>
      <c r="E120" s="13"/>
      <c r="F120" s="14"/>
      <c r="G120" s="13"/>
      <c r="H120" s="13"/>
      <c r="I120" s="14"/>
    </row>
    <row r="121" spans="1:9" ht="13.9">
      <c r="A121" s="13"/>
      <c r="B121" s="13"/>
      <c r="C121" s="13"/>
      <c r="D121" s="13"/>
      <c r="E121" s="13"/>
      <c r="F121" s="14"/>
      <c r="G121" s="13"/>
      <c r="H121" s="13"/>
      <c r="I121" s="14"/>
    </row>
    <row r="122" spans="1:9" ht="13.9">
      <c r="A122" s="13"/>
      <c r="B122" s="13"/>
      <c r="C122" s="13"/>
      <c r="D122" s="13"/>
      <c r="E122" s="13"/>
      <c r="F122" s="14"/>
      <c r="G122" s="13"/>
      <c r="H122" s="13"/>
      <c r="I122" s="14"/>
    </row>
    <row r="123" spans="1:9" ht="13.9">
      <c r="A123" s="13"/>
      <c r="B123" s="13"/>
      <c r="C123" s="13"/>
      <c r="D123" s="13"/>
      <c r="E123" s="13"/>
      <c r="F123" s="14"/>
      <c r="G123" s="13"/>
      <c r="H123" s="13"/>
      <c r="I123" s="14"/>
    </row>
    <row r="124" spans="1:9" ht="13.9">
      <c r="A124" s="13"/>
      <c r="B124" s="13"/>
      <c r="C124" s="13"/>
      <c r="D124" s="13"/>
      <c r="E124" s="13"/>
      <c r="F124" s="14"/>
      <c r="G124" s="13"/>
      <c r="H124" s="13"/>
      <c r="I124" s="14"/>
    </row>
    <row r="125" spans="1:9" ht="13.9">
      <c r="A125" s="13"/>
      <c r="B125" s="13"/>
      <c r="C125" s="13"/>
      <c r="D125" s="13"/>
      <c r="E125" s="13"/>
      <c r="F125" s="14"/>
      <c r="G125" s="13"/>
      <c r="H125" s="13"/>
      <c r="I125" s="14"/>
    </row>
    <row r="126" spans="1:9" ht="13.9">
      <c r="A126" s="13"/>
      <c r="B126" s="13"/>
      <c r="C126" s="13"/>
      <c r="D126" s="13"/>
      <c r="E126" s="13"/>
      <c r="F126" s="14"/>
      <c r="G126" s="13"/>
      <c r="H126" s="13"/>
      <c r="I126" s="14"/>
    </row>
    <row r="127" spans="1:9" ht="13.9">
      <c r="A127" s="13"/>
      <c r="B127" s="13"/>
      <c r="C127" s="13"/>
      <c r="D127" s="13"/>
      <c r="E127" s="13"/>
      <c r="F127" s="14"/>
      <c r="G127" s="13"/>
      <c r="H127" s="13"/>
      <c r="I127" s="14"/>
    </row>
    <row r="128" spans="1:9" ht="13.9">
      <c r="A128" s="13"/>
      <c r="B128" s="13"/>
      <c r="C128" s="13"/>
      <c r="D128" s="13"/>
      <c r="E128" s="13"/>
      <c r="F128" s="14"/>
      <c r="G128" s="13"/>
      <c r="H128" s="13"/>
      <c r="I128" s="14"/>
    </row>
    <row r="129" spans="1:9" ht="13.9">
      <c r="A129" s="13"/>
      <c r="B129" s="13"/>
      <c r="C129" s="13"/>
      <c r="D129" s="13"/>
      <c r="E129" s="13"/>
      <c r="F129" s="14"/>
      <c r="G129" s="13"/>
      <c r="H129" s="13"/>
      <c r="I129" s="14"/>
    </row>
    <row r="130" spans="1:9" ht="13.9">
      <c r="A130" s="13"/>
      <c r="B130" s="13"/>
      <c r="C130" s="13"/>
      <c r="D130" s="13"/>
      <c r="E130" s="13"/>
      <c r="F130" s="14"/>
      <c r="G130" s="13"/>
      <c r="H130" s="13"/>
      <c r="I130" s="14"/>
    </row>
    <row r="131" spans="1:9" ht="13.9">
      <c r="A131" s="13"/>
      <c r="B131" s="13"/>
      <c r="C131" s="13"/>
      <c r="D131" s="13"/>
      <c r="E131" s="13"/>
      <c r="F131" s="14"/>
      <c r="G131" s="13"/>
      <c r="H131" s="13"/>
      <c r="I131" s="14"/>
    </row>
    <row r="132" spans="1:9" ht="13.9">
      <c r="A132" s="13"/>
      <c r="B132" s="13"/>
      <c r="C132" s="13"/>
      <c r="D132" s="13"/>
      <c r="E132" s="13"/>
      <c r="F132" s="14"/>
      <c r="G132" s="13"/>
      <c r="H132" s="13"/>
      <c r="I132" s="14"/>
    </row>
    <row r="133" spans="1:9" ht="13.9">
      <c r="A133" s="13"/>
      <c r="B133" s="13"/>
      <c r="C133" s="13"/>
      <c r="D133" s="13"/>
      <c r="E133" s="13"/>
      <c r="F133" s="14"/>
      <c r="G133" s="13"/>
      <c r="H133" s="13"/>
      <c r="I133" s="14"/>
    </row>
    <row r="134" spans="1:9" ht="13.9">
      <c r="A134" s="13"/>
      <c r="B134" s="13"/>
      <c r="C134" s="13"/>
      <c r="D134" s="13"/>
      <c r="E134" s="13"/>
      <c r="F134" s="14"/>
      <c r="G134" s="13"/>
      <c r="H134" s="13"/>
      <c r="I134" s="14"/>
    </row>
    <row r="135" spans="1:9" ht="13.9">
      <c r="A135" s="13"/>
      <c r="B135" s="13"/>
      <c r="C135" s="13"/>
      <c r="D135" s="13"/>
      <c r="E135" s="13"/>
      <c r="F135" s="14"/>
      <c r="G135" s="13"/>
      <c r="H135" s="13"/>
      <c r="I135" s="14"/>
    </row>
    <row r="136" spans="1:9" ht="13.9">
      <c r="A136" s="13"/>
      <c r="B136" s="13"/>
      <c r="C136" s="13"/>
      <c r="D136" s="13"/>
      <c r="E136" s="13"/>
      <c r="F136" s="14"/>
      <c r="G136" s="13"/>
      <c r="H136" s="13"/>
      <c r="I136" s="14"/>
    </row>
    <row r="137" spans="1:9" ht="13.9">
      <c r="A137" s="13"/>
      <c r="B137" s="13"/>
      <c r="C137" s="13"/>
      <c r="D137" s="13"/>
      <c r="E137" s="13"/>
      <c r="F137" s="14"/>
      <c r="G137" s="13"/>
      <c r="H137" s="13"/>
      <c r="I137" s="14"/>
    </row>
    <row r="138" spans="1:9" ht="13.9">
      <c r="A138" s="13"/>
      <c r="B138" s="13"/>
      <c r="C138" s="13"/>
      <c r="D138" s="13"/>
      <c r="E138" s="13"/>
      <c r="F138" s="14"/>
      <c r="G138" s="13"/>
      <c r="H138" s="13"/>
      <c r="I138" s="14"/>
    </row>
    <row r="139" spans="1:9" ht="13.9">
      <c r="A139" s="13"/>
      <c r="B139" s="13"/>
      <c r="C139" s="13"/>
      <c r="D139" s="13"/>
      <c r="E139" s="13"/>
      <c r="F139" s="14"/>
      <c r="G139" s="13"/>
      <c r="H139" s="13"/>
      <c r="I139" s="14"/>
    </row>
    <row r="140" spans="1:9" ht="13.9">
      <c r="A140" s="13"/>
      <c r="B140" s="13"/>
      <c r="C140" s="13"/>
      <c r="D140" s="13"/>
      <c r="E140" s="13"/>
      <c r="F140" s="14"/>
      <c r="G140" s="13"/>
      <c r="H140" s="13"/>
      <c r="I140" s="14"/>
    </row>
    <row r="141" spans="1:9" ht="13.9">
      <c r="A141" s="13"/>
      <c r="B141" s="13"/>
      <c r="C141" s="13"/>
      <c r="D141" s="13"/>
      <c r="E141" s="13"/>
      <c r="F141" s="14"/>
      <c r="G141" s="13"/>
      <c r="H141" s="13"/>
      <c r="I141" s="14"/>
    </row>
    <row r="142" spans="1:9" ht="13.9">
      <c r="A142" s="13"/>
      <c r="B142" s="13"/>
      <c r="C142" s="13"/>
      <c r="D142" s="13"/>
      <c r="E142" s="13"/>
      <c r="F142" s="14"/>
      <c r="G142" s="13"/>
      <c r="H142" s="13"/>
      <c r="I142" s="14"/>
    </row>
    <row r="143" spans="1:9" ht="13.9">
      <c r="A143" s="13"/>
      <c r="B143" s="13"/>
      <c r="C143" s="13"/>
      <c r="D143" s="13"/>
      <c r="E143" s="13"/>
      <c r="F143" s="14"/>
      <c r="G143" s="13"/>
      <c r="H143" s="13"/>
      <c r="I143" s="14"/>
    </row>
    <row r="144" spans="1:9" ht="13.9">
      <c r="A144" s="13"/>
      <c r="B144" s="13"/>
      <c r="C144" s="13"/>
      <c r="D144" s="13"/>
      <c r="E144" s="13"/>
      <c r="F144" s="14"/>
      <c r="G144" s="13"/>
      <c r="H144" s="13"/>
      <c r="I144" s="14"/>
    </row>
    <row r="145" spans="1:9" ht="13.9">
      <c r="A145" s="13"/>
      <c r="B145" s="13"/>
      <c r="C145" s="13"/>
      <c r="D145" s="13"/>
      <c r="E145" s="13"/>
      <c r="F145" s="14"/>
      <c r="G145" s="13"/>
      <c r="H145" s="13"/>
      <c r="I145" s="14"/>
    </row>
    <row r="146" spans="1:9" ht="13.9">
      <c r="A146" s="13"/>
      <c r="B146" s="13"/>
      <c r="C146" s="13"/>
      <c r="D146" s="13"/>
      <c r="E146" s="13"/>
      <c r="F146" s="14"/>
      <c r="G146" s="13"/>
      <c r="H146" s="13"/>
      <c r="I146" s="14"/>
    </row>
    <row r="147" spans="1:9" ht="13.9">
      <c r="A147" s="13"/>
      <c r="B147" s="13"/>
      <c r="C147" s="13"/>
      <c r="D147" s="13"/>
      <c r="E147" s="13"/>
      <c r="F147" s="14"/>
      <c r="G147" s="13"/>
      <c r="H147" s="13"/>
      <c r="I147" s="14"/>
    </row>
    <row r="148" spans="1:9" ht="13.9">
      <c r="A148" s="13"/>
      <c r="B148" s="13"/>
      <c r="C148" s="13"/>
      <c r="D148" s="13"/>
      <c r="E148" s="13"/>
      <c r="F148" s="14"/>
      <c r="G148" s="13"/>
      <c r="H148" s="13"/>
      <c r="I148" s="14"/>
    </row>
    <row r="149" spans="1:9" ht="13.9">
      <c r="A149" s="13"/>
      <c r="B149" s="13"/>
      <c r="C149" s="13"/>
      <c r="D149" s="13"/>
      <c r="E149" s="13"/>
      <c r="F149" s="14"/>
      <c r="G149" s="13"/>
      <c r="H149" s="13"/>
      <c r="I149" s="14"/>
    </row>
    <row r="150" spans="1:9" ht="13.9">
      <c r="A150" s="13"/>
      <c r="B150" s="13"/>
      <c r="C150" s="13"/>
      <c r="D150" s="13"/>
      <c r="E150" s="13"/>
      <c r="F150" s="14"/>
      <c r="G150" s="13"/>
      <c r="H150" s="13"/>
      <c r="I150" s="14"/>
    </row>
    <row r="151" spans="1:9" ht="13.9">
      <c r="A151" s="13"/>
      <c r="B151" s="13"/>
      <c r="C151" s="13"/>
      <c r="D151" s="13"/>
      <c r="E151" s="13"/>
      <c r="F151" s="14"/>
      <c r="G151" s="13"/>
      <c r="H151" s="13"/>
      <c r="I151" s="14"/>
    </row>
    <row r="152" spans="1:9" ht="13.9">
      <c r="A152" s="13"/>
      <c r="B152" s="13"/>
      <c r="C152" s="13"/>
      <c r="D152" s="13"/>
      <c r="E152" s="13"/>
      <c r="F152" s="14"/>
      <c r="G152" s="13"/>
      <c r="H152" s="13"/>
      <c r="I152" s="14"/>
    </row>
    <row r="153" spans="1:9" ht="13.9">
      <c r="A153" s="13"/>
      <c r="B153" s="13"/>
      <c r="C153" s="13"/>
      <c r="D153" s="13"/>
      <c r="E153" s="13"/>
      <c r="F153" s="14"/>
      <c r="G153" s="13"/>
      <c r="H153" s="13"/>
      <c r="I153" s="14"/>
    </row>
    <row r="154" spans="1:9" ht="13.9">
      <c r="A154" s="13"/>
      <c r="B154" s="13"/>
      <c r="C154" s="13"/>
      <c r="D154" s="13"/>
      <c r="E154" s="13"/>
      <c r="F154" s="14"/>
      <c r="G154" s="13"/>
      <c r="H154" s="13"/>
      <c r="I154" s="14"/>
    </row>
    <row r="155" spans="1:9" ht="13.9">
      <c r="A155" s="13"/>
      <c r="B155" s="13"/>
      <c r="C155" s="13"/>
      <c r="D155" s="13"/>
      <c r="E155" s="13"/>
      <c r="F155" s="14"/>
      <c r="G155" s="13"/>
      <c r="H155" s="13"/>
      <c r="I155" s="14"/>
    </row>
    <row r="156" spans="1:9" ht="13.9">
      <c r="A156" s="13"/>
      <c r="B156" s="13"/>
      <c r="C156" s="13"/>
      <c r="D156" s="13"/>
      <c r="E156" s="13"/>
      <c r="F156" s="14"/>
      <c r="G156" s="13"/>
      <c r="H156" s="13"/>
      <c r="I156" s="14"/>
    </row>
    <row r="157" spans="1:9" ht="13.9">
      <c r="A157" s="13"/>
      <c r="B157" s="13"/>
      <c r="C157" s="13"/>
      <c r="D157" s="13"/>
      <c r="E157" s="13"/>
      <c r="F157" s="14"/>
      <c r="G157" s="13"/>
      <c r="H157" s="13"/>
      <c r="I157" s="14"/>
    </row>
    <row r="158" spans="1:9" ht="13.9">
      <c r="A158" s="13"/>
      <c r="B158" s="13"/>
      <c r="C158" s="13"/>
      <c r="D158" s="13"/>
      <c r="E158" s="13"/>
      <c r="F158" s="14"/>
      <c r="G158" s="13"/>
      <c r="H158" s="13"/>
      <c r="I158" s="14"/>
    </row>
    <row r="159" spans="1:9" ht="13.9">
      <c r="A159" s="13"/>
      <c r="B159" s="13"/>
      <c r="C159" s="13"/>
      <c r="D159" s="13"/>
      <c r="E159" s="13"/>
      <c r="F159" s="14"/>
      <c r="G159" s="13"/>
      <c r="H159" s="13"/>
      <c r="I159" s="14"/>
    </row>
    <row r="160" spans="1:9" ht="13.9">
      <c r="A160" s="13"/>
      <c r="B160" s="13"/>
      <c r="C160" s="13"/>
      <c r="D160" s="13"/>
      <c r="E160" s="13"/>
      <c r="F160" s="14"/>
      <c r="G160" s="13"/>
      <c r="H160" s="13"/>
      <c r="I160" s="14"/>
    </row>
    <row r="161" spans="1:9" ht="13.9">
      <c r="A161" s="13"/>
      <c r="B161" s="13"/>
      <c r="C161" s="13"/>
      <c r="D161" s="13"/>
      <c r="E161" s="13"/>
      <c r="F161" s="14"/>
      <c r="G161" s="13"/>
      <c r="H161" s="13"/>
      <c r="I161" s="14"/>
    </row>
    <row r="162" spans="1:9" ht="13.9">
      <c r="A162" s="13"/>
      <c r="B162" s="13"/>
      <c r="C162" s="13"/>
      <c r="D162" s="13"/>
      <c r="E162" s="13"/>
      <c r="F162" s="14"/>
      <c r="G162" s="13"/>
      <c r="H162" s="13"/>
      <c r="I162" s="14"/>
    </row>
    <row r="163" spans="1:9" ht="13.9">
      <c r="A163" s="13"/>
      <c r="B163" s="13"/>
      <c r="C163" s="13"/>
      <c r="D163" s="13"/>
      <c r="E163" s="13"/>
      <c r="F163" s="14"/>
      <c r="G163" s="13"/>
      <c r="H163" s="13"/>
      <c r="I163" s="14"/>
    </row>
    <row r="164" spans="1:9" ht="13.9">
      <c r="A164" s="13"/>
      <c r="B164" s="13"/>
      <c r="C164" s="13"/>
      <c r="D164" s="13"/>
      <c r="E164" s="13"/>
      <c r="F164" s="14"/>
      <c r="G164" s="13"/>
      <c r="H164" s="13"/>
      <c r="I164" s="14"/>
    </row>
    <row r="165" spans="1:9" ht="13.9">
      <c r="A165" s="13"/>
      <c r="B165" s="13"/>
      <c r="C165" s="13"/>
      <c r="D165" s="13"/>
      <c r="E165" s="13"/>
      <c r="F165" s="14"/>
      <c r="G165" s="13"/>
      <c r="H165" s="13"/>
      <c r="I165" s="14"/>
    </row>
    <row r="166" spans="1:9" ht="13.9">
      <c r="A166" s="13"/>
      <c r="B166" s="13"/>
      <c r="C166" s="13"/>
      <c r="D166" s="13"/>
      <c r="E166" s="13"/>
      <c r="F166" s="14"/>
      <c r="G166" s="13"/>
      <c r="H166" s="13"/>
      <c r="I166" s="14"/>
    </row>
    <row r="167" spans="1:9" ht="13.9">
      <c r="A167" s="13"/>
      <c r="B167" s="13"/>
      <c r="C167" s="13"/>
      <c r="D167" s="13"/>
      <c r="E167" s="13"/>
      <c r="F167" s="14"/>
      <c r="G167" s="13"/>
      <c r="H167" s="13"/>
      <c r="I167" s="14"/>
    </row>
    <row r="168" spans="1:9" ht="13.9">
      <c r="A168" s="13"/>
      <c r="B168" s="13"/>
      <c r="C168" s="13"/>
      <c r="D168" s="13"/>
      <c r="E168" s="13"/>
      <c r="F168" s="14"/>
      <c r="G168" s="13"/>
      <c r="H168" s="13"/>
      <c r="I168" s="14"/>
    </row>
    <row r="169" spans="1:9" ht="13.9">
      <c r="A169" s="13"/>
      <c r="B169" s="13"/>
      <c r="C169" s="13"/>
      <c r="D169" s="13"/>
      <c r="E169" s="13"/>
      <c r="F169" s="14"/>
      <c r="G169" s="13"/>
      <c r="H169" s="13"/>
      <c r="I169" s="14"/>
    </row>
    <row r="170" spans="1:9" ht="13.9">
      <c r="A170" s="13"/>
      <c r="B170" s="13"/>
      <c r="C170" s="13"/>
      <c r="D170" s="13"/>
      <c r="E170" s="13"/>
      <c r="F170" s="14"/>
      <c r="G170" s="13"/>
      <c r="H170" s="13"/>
      <c r="I170" s="14"/>
    </row>
    <row r="171" spans="1:9" ht="13.9">
      <c r="A171" s="13"/>
      <c r="B171" s="13"/>
      <c r="C171" s="13"/>
      <c r="D171" s="13"/>
      <c r="E171" s="13"/>
      <c r="F171" s="14"/>
      <c r="G171" s="13"/>
      <c r="H171" s="13"/>
      <c r="I171" s="14"/>
    </row>
    <row r="172" spans="1:9" ht="13.9">
      <c r="A172" s="13"/>
      <c r="B172" s="13"/>
      <c r="C172" s="13"/>
      <c r="D172" s="13"/>
      <c r="E172" s="13"/>
      <c r="F172" s="14"/>
      <c r="G172" s="13"/>
      <c r="H172" s="13"/>
      <c r="I172" s="14"/>
    </row>
    <row r="173" spans="1:9" ht="13.9">
      <c r="A173" s="13"/>
      <c r="B173" s="13"/>
      <c r="C173" s="13"/>
      <c r="D173" s="13"/>
      <c r="E173" s="13"/>
      <c r="F173" s="14"/>
      <c r="G173" s="13"/>
      <c r="H173" s="13"/>
      <c r="I173" s="14"/>
    </row>
    <row r="174" spans="1:9" ht="13.9">
      <c r="A174" s="13"/>
      <c r="B174" s="13"/>
      <c r="C174" s="13"/>
      <c r="D174" s="13"/>
      <c r="E174" s="13"/>
      <c r="F174" s="14"/>
      <c r="G174" s="13"/>
      <c r="H174" s="13"/>
      <c r="I174" s="14"/>
    </row>
    <row r="175" spans="1:9" ht="13.9">
      <c r="A175" s="13"/>
      <c r="B175" s="13"/>
      <c r="C175" s="13"/>
      <c r="D175" s="13"/>
      <c r="E175" s="13"/>
      <c r="F175" s="14"/>
      <c r="G175" s="13"/>
      <c r="H175" s="13"/>
      <c r="I175" s="14"/>
    </row>
    <row r="176" spans="1:9" ht="13.9">
      <c r="A176" s="13"/>
      <c r="B176" s="13"/>
      <c r="C176" s="13"/>
      <c r="D176" s="13"/>
      <c r="E176" s="13"/>
      <c r="F176" s="14"/>
      <c r="G176" s="13"/>
      <c r="H176" s="13"/>
      <c r="I176" s="14"/>
    </row>
    <row r="177" spans="1:9" ht="13.9">
      <c r="A177" s="13"/>
      <c r="B177" s="13"/>
      <c r="C177" s="13"/>
      <c r="D177" s="13"/>
      <c r="E177" s="13"/>
      <c r="F177" s="14"/>
      <c r="G177" s="13"/>
      <c r="H177" s="13"/>
      <c r="I177" s="14"/>
    </row>
    <row r="178" spans="1:9" ht="13.9">
      <c r="A178" s="13"/>
      <c r="B178" s="13"/>
      <c r="C178" s="13"/>
      <c r="D178" s="13"/>
      <c r="E178" s="13"/>
      <c r="F178" s="14"/>
      <c r="G178" s="13"/>
      <c r="H178" s="13"/>
      <c r="I178" s="14"/>
    </row>
    <row r="179" spans="1:9" ht="13.9">
      <c r="A179" s="13"/>
      <c r="B179" s="13"/>
      <c r="C179" s="13"/>
      <c r="D179" s="13"/>
      <c r="E179" s="13"/>
      <c r="F179" s="14"/>
      <c r="G179" s="13"/>
      <c r="H179" s="13"/>
      <c r="I179" s="14"/>
    </row>
    <row r="180" spans="1:9" ht="13.9">
      <c r="A180" s="13"/>
      <c r="B180" s="13"/>
      <c r="C180" s="13"/>
      <c r="D180" s="13"/>
      <c r="E180" s="13"/>
      <c r="F180" s="14"/>
      <c r="G180" s="13"/>
      <c r="H180" s="13"/>
      <c r="I180" s="14"/>
    </row>
    <row r="181" spans="1:9" ht="13.9">
      <c r="A181" s="13"/>
      <c r="B181" s="13"/>
      <c r="C181" s="13"/>
      <c r="D181" s="13"/>
      <c r="E181" s="13"/>
      <c r="F181" s="14"/>
      <c r="G181" s="13"/>
      <c r="H181" s="13"/>
      <c r="I181" s="14"/>
    </row>
    <row r="182" spans="1:9" ht="13.9">
      <c r="A182" s="13"/>
      <c r="B182" s="13"/>
      <c r="C182" s="13"/>
      <c r="D182" s="13"/>
      <c r="E182" s="13"/>
      <c r="F182" s="14"/>
      <c r="G182" s="13"/>
      <c r="H182" s="13"/>
      <c r="I182" s="14"/>
    </row>
    <row r="183" spans="1:9" ht="13.9">
      <c r="A183" s="13"/>
      <c r="B183" s="13"/>
      <c r="C183" s="13"/>
      <c r="D183" s="13"/>
      <c r="E183" s="13"/>
      <c r="F183" s="14"/>
      <c r="G183" s="13"/>
      <c r="H183" s="13"/>
      <c r="I183" s="14"/>
    </row>
    <row r="184" spans="1:9" ht="13.9">
      <c r="A184" s="13"/>
      <c r="B184" s="13"/>
      <c r="C184" s="13"/>
      <c r="D184" s="13"/>
      <c r="E184" s="13"/>
      <c r="F184" s="14"/>
      <c r="G184" s="13"/>
      <c r="H184" s="13"/>
      <c r="I184" s="14"/>
    </row>
    <row r="185" spans="1:9" ht="13.9">
      <c r="A185" s="13"/>
      <c r="B185" s="13"/>
      <c r="C185" s="13"/>
      <c r="D185" s="13"/>
      <c r="E185" s="13"/>
      <c r="F185" s="14"/>
      <c r="G185" s="13"/>
      <c r="H185" s="13"/>
      <c r="I185" s="14"/>
    </row>
    <row r="186" spans="1:9" ht="13.9">
      <c r="A186" s="13"/>
      <c r="B186" s="13"/>
      <c r="C186" s="13"/>
      <c r="D186" s="13"/>
      <c r="E186" s="13"/>
      <c r="F186" s="14"/>
      <c r="G186" s="13"/>
      <c r="H186" s="13"/>
      <c r="I186" s="14"/>
    </row>
    <row r="187" spans="1:9" ht="13.9">
      <c r="A187" s="13"/>
      <c r="B187" s="13"/>
      <c r="C187" s="13"/>
      <c r="D187" s="13"/>
      <c r="E187" s="13"/>
      <c r="F187" s="14"/>
      <c r="G187" s="13"/>
      <c r="H187" s="13"/>
      <c r="I187" s="14"/>
    </row>
    <row r="188" spans="1:9" ht="13.9">
      <c r="A188" s="13"/>
      <c r="B188" s="13"/>
      <c r="C188" s="13"/>
      <c r="D188" s="13"/>
      <c r="E188" s="13"/>
      <c r="F188" s="14"/>
      <c r="G188" s="13"/>
      <c r="H188" s="13"/>
      <c r="I188" s="14"/>
    </row>
    <row r="189" spans="1:9" ht="13.9">
      <c r="A189" s="13"/>
      <c r="B189" s="13"/>
      <c r="C189" s="13"/>
      <c r="D189" s="13"/>
      <c r="E189" s="13"/>
      <c r="F189" s="14"/>
      <c r="G189" s="13"/>
      <c r="H189" s="13"/>
      <c r="I189" s="14"/>
    </row>
    <row r="190" spans="1:9" ht="13.9">
      <c r="A190" s="13"/>
      <c r="B190" s="13"/>
      <c r="C190" s="13"/>
      <c r="D190" s="13"/>
      <c r="E190" s="13"/>
      <c r="F190" s="14"/>
      <c r="G190" s="13"/>
      <c r="H190" s="13"/>
      <c r="I190" s="14"/>
    </row>
    <row r="191" spans="1:9" ht="13.9">
      <c r="A191" s="13"/>
      <c r="B191" s="13"/>
      <c r="C191" s="13"/>
      <c r="D191" s="13"/>
      <c r="E191" s="13"/>
      <c r="F191" s="14"/>
      <c r="G191" s="13"/>
      <c r="H191" s="13"/>
      <c r="I191" s="14"/>
    </row>
    <row r="192" spans="1:9" ht="13.9">
      <c r="A192" s="13"/>
      <c r="B192" s="13"/>
      <c r="C192" s="13"/>
      <c r="D192" s="13"/>
      <c r="E192" s="13"/>
      <c r="F192" s="14"/>
      <c r="G192" s="13"/>
      <c r="H192" s="13"/>
      <c r="I192" s="14"/>
    </row>
    <row r="193" spans="1:9" ht="13.9">
      <c r="A193" s="13"/>
      <c r="B193" s="13"/>
      <c r="C193" s="13"/>
      <c r="D193" s="13"/>
      <c r="E193" s="13"/>
      <c r="F193" s="14"/>
      <c r="G193" s="13"/>
      <c r="H193" s="13"/>
      <c r="I193" s="14"/>
    </row>
    <row r="194" spans="1:9" ht="13.9">
      <c r="A194" s="13"/>
      <c r="B194" s="13"/>
      <c r="C194" s="13"/>
      <c r="D194" s="13"/>
      <c r="E194" s="13"/>
      <c r="F194" s="14"/>
      <c r="G194" s="13"/>
      <c r="H194" s="13"/>
      <c r="I194" s="14"/>
    </row>
    <row r="195" spans="1:9" ht="13.9">
      <c r="A195" s="13"/>
      <c r="B195" s="13"/>
      <c r="C195" s="13"/>
      <c r="D195" s="13"/>
      <c r="E195" s="13"/>
      <c r="F195" s="14"/>
      <c r="G195" s="13"/>
      <c r="H195" s="13"/>
      <c r="I195" s="14"/>
    </row>
    <row r="196" spans="1:9" ht="13.9">
      <c r="A196" s="13"/>
      <c r="B196" s="13"/>
      <c r="C196" s="13"/>
      <c r="D196" s="13"/>
      <c r="E196" s="13"/>
      <c r="F196" s="14"/>
      <c r="G196" s="13"/>
      <c r="H196" s="13"/>
      <c r="I196" s="14"/>
    </row>
    <row r="197" spans="1:9" ht="13.9">
      <c r="A197" s="13"/>
      <c r="B197" s="13"/>
      <c r="C197" s="13"/>
      <c r="D197" s="13"/>
      <c r="E197" s="13"/>
      <c r="F197" s="14"/>
      <c r="G197" s="13"/>
      <c r="H197" s="13"/>
      <c r="I197" s="14"/>
    </row>
    <row r="198" spans="1:9" ht="13.9">
      <c r="A198" s="13"/>
      <c r="B198" s="13"/>
      <c r="C198" s="13"/>
      <c r="D198" s="13"/>
      <c r="E198" s="13"/>
      <c r="F198" s="14"/>
      <c r="G198" s="13"/>
      <c r="H198" s="13"/>
      <c r="I198" s="14"/>
    </row>
    <row r="199" spans="1:9" ht="13.9">
      <c r="A199" s="13"/>
      <c r="B199" s="13"/>
      <c r="C199" s="13"/>
      <c r="D199" s="13"/>
      <c r="E199" s="13"/>
      <c r="F199" s="14"/>
      <c r="G199" s="13"/>
      <c r="H199" s="13"/>
      <c r="I199" s="14"/>
    </row>
    <row r="200" spans="1:9" ht="13.9">
      <c r="A200" s="13"/>
      <c r="B200" s="13"/>
      <c r="C200" s="13"/>
      <c r="D200" s="13"/>
      <c r="E200" s="13"/>
      <c r="F200" s="14"/>
      <c r="G200" s="13"/>
      <c r="H200" s="13"/>
      <c r="I200" s="14"/>
    </row>
    <row r="201" spans="1:9" ht="13.9">
      <c r="A201" s="13"/>
      <c r="B201" s="13"/>
      <c r="C201" s="13"/>
      <c r="D201" s="13"/>
      <c r="E201" s="13"/>
      <c r="F201" s="14"/>
      <c r="G201" s="13"/>
      <c r="H201" s="13"/>
      <c r="I201" s="14"/>
    </row>
    <row r="202" spans="1:9" ht="13.9">
      <c r="A202" s="13"/>
      <c r="B202" s="13"/>
      <c r="C202" s="13"/>
      <c r="D202" s="13"/>
      <c r="E202" s="13"/>
      <c r="F202" s="14"/>
      <c r="G202" s="13"/>
      <c r="H202" s="13"/>
      <c r="I202" s="14"/>
    </row>
    <row r="203" spans="1:9" ht="13.9">
      <c r="A203" s="13"/>
      <c r="B203" s="13"/>
      <c r="C203" s="13"/>
      <c r="D203" s="13"/>
      <c r="E203" s="13"/>
      <c r="F203" s="14"/>
      <c r="G203" s="13"/>
      <c r="H203" s="13"/>
      <c r="I203" s="14"/>
    </row>
    <row r="204" spans="1:9" ht="13.9">
      <c r="A204" s="13"/>
      <c r="B204" s="13"/>
      <c r="C204" s="13"/>
      <c r="D204" s="13"/>
      <c r="E204" s="13"/>
      <c r="F204" s="14"/>
      <c r="G204" s="13"/>
      <c r="H204" s="13"/>
      <c r="I204" s="14"/>
    </row>
    <row r="205" spans="1:9" ht="13.9">
      <c r="A205" s="13"/>
      <c r="B205" s="13"/>
      <c r="C205" s="13"/>
      <c r="D205" s="13"/>
      <c r="E205" s="13"/>
      <c r="F205" s="14"/>
      <c r="G205" s="13"/>
      <c r="H205" s="13"/>
      <c r="I205" s="14"/>
    </row>
    <row r="206" spans="1:9" ht="13.9">
      <c r="A206" s="13"/>
      <c r="B206" s="13"/>
      <c r="C206" s="13"/>
      <c r="D206" s="13"/>
      <c r="E206" s="13"/>
      <c r="F206" s="14"/>
      <c r="G206" s="13"/>
      <c r="H206" s="13"/>
      <c r="I206" s="14"/>
    </row>
    <row r="207" spans="1:9" ht="13.9">
      <c r="A207" s="13"/>
      <c r="B207" s="13"/>
      <c r="C207" s="13"/>
      <c r="D207" s="13"/>
      <c r="E207" s="13"/>
      <c r="F207" s="14"/>
      <c r="G207" s="13"/>
      <c r="H207" s="13"/>
      <c r="I207" s="14"/>
    </row>
    <row r="208" spans="1:9" ht="13.9">
      <c r="A208" s="13"/>
      <c r="B208" s="13"/>
      <c r="C208" s="13"/>
      <c r="D208" s="13"/>
      <c r="E208" s="13"/>
      <c r="F208" s="14"/>
      <c r="G208" s="13"/>
      <c r="H208" s="13"/>
      <c r="I208" s="14"/>
    </row>
    <row r="209" spans="1:9" ht="13.9">
      <c r="A209" s="13"/>
      <c r="B209" s="13"/>
      <c r="C209" s="13"/>
      <c r="D209" s="13"/>
      <c r="E209" s="13"/>
      <c r="F209" s="14"/>
      <c r="G209" s="13"/>
      <c r="H209" s="13"/>
      <c r="I209" s="14"/>
    </row>
    <row r="210" spans="1:9" ht="13.9">
      <c r="A210" s="13"/>
      <c r="B210" s="13"/>
      <c r="C210" s="13"/>
      <c r="D210" s="13"/>
      <c r="E210" s="13"/>
      <c r="F210" s="14"/>
      <c r="G210" s="13"/>
      <c r="H210" s="13"/>
      <c r="I210" s="14"/>
    </row>
    <row r="211" spans="1:9" ht="13.9">
      <c r="A211" s="13"/>
      <c r="B211" s="13"/>
      <c r="C211" s="13"/>
      <c r="D211" s="13"/>
      <c r="E211" s="13"/>
      <c r="F211" s="14"/>
      <c r="G211" s="13"/>
      <c r="H211" s="13"/>
      <c r="I211" s="14"/>
    </row>
    <row r="212" spans="1:9" ht="13.9">
      <c r="A212" s="13"/>
      <c r="B212" s="13"/>
      <c r="C212" s="13"/>
      <c r="D212" s="13"/>
      <c r="E212" s="13"/>
      <c r="F212" s="14"/>
      <c r="G212" s="13"/>
      <c r="H212" s="13"/>
      <c r="I212" s="14"/>
    </row>
    <row r="213" spans="1:9" ht="13.9">
      <c r="A213" s="13"/>
      <c r="B213" s="13"/>
      <c r="C213" s="13"/>
      <c r="D213" s="13"/>
      <c r="E213" s="13"/>
      <c r="F213" s="14"/>
      <c r="G213" s="13"/>
      <c r="H213" s="13"/>
      <c r="I213" s="14"/>
    </row>
    <row r="214" spans="1:9" ht="13.9">
      <c r="A214" s="13"/>
      <c r="B214" s="13"/>
      <c r="C214" s="13"/>
      <c r="D214" s="13"/>
      <c r="E214" s="13"/>
      <c r="F214" s="14"/>
      <c r="G214" s="13"/>
      <c r="H214" s="13"/>
      <c r="I214" s="14"/>
    </row>
    <row r="215" spans="1:9" ht="13.9">
      <c r="A215" s="13"/>
      <c r="B215" s="13"/>
      <c r="C215" s="13"/>
      <c r="D215" s="13"/>
      <c r="E215" s="13"/>
      <c r="F215" s="14"/>
      <c r="G215" s="13"/>
      <c r="H215" s="13"/>
      <c r="I215" s="14"/>
    </row>
    <row r="216" spans="1:9" ht="13.9">
      <c r="A216" s="13"/>
      <c r="B216" s="13"/>
      <c r="C216" s="13"/>
      <c r="D216" s="13"/>
      <c r="E216" s="13"/>
      <c r="F216" s="14"/>
      <c r="G216" s="13"/>
      <c r="H216" s="13"/>
      <c r="I216" s="14"/>
    </row>
    <row r="217" spans="1:9" ht="13.9">
      <c r="A217" s="13"/>
      <c r="B217" s="13"/>
      <c r="C217" s="13"/>
      <c r="D217" s="13"/>
      <c r="E217" s="13"/>
      <c r="F217" s="14"/>
      <c r="G217" s="13"/>
      <c r="H217" s="13"/>
      <c r="I217" s="14"/>
    </row>
    <row r="218" spans="1:9" ht="13.9">
      <c r="A218" s="13"/>
      <c r="B218" s="13"/>
      <c r="C218" s="13"/>
      <c r="D218" s="13"/>
      <c r="E218" s="13"/>
      <c r="F218" s="14"/>
      <c r="G218" s="13"/>
      <c r="H218" s="13"/>
      <c r="I218" s="14"/>
    </row>
    <row r="219" spans="1:9" ht="13.9">
      <c r="A219" s="13"/>
      <c r="B219" s="13"/>
      <c r="C219" s="13"/>
      <c r="D219" s="13"/>
      <c r="E219" s="13"/>
      <c r="F219" s="14"/>
      <c r="G219" s="13"/>
      <c r="H219" s="13"/>
      <c r="I219" s="14"/>
    </row>
    <row r="220" spans="1:9" ht="13.9">
      <c r="A220" s="13"/>
      <c r="B220" s="13"/>
      <c r="C220" s="13"/>
      <c r="D220" s="13"/>
      <c r="E220" s="13"/>
      <c r="F220" s="14"/>
      <c r="G220" s="13"/>
      <c r="H220" s="13"/>
      <c r="I220" s="14"/>
    </row>
    <row r="221" spans="1:9" ht="13.9">
      <c r="A221" s="13"/>
      <c r="B221" s="13"/>
      <c r="C221" s="13"/>
      <c r="D221" s="13"/>
      <c r="E221" s="13"/>
      <c r="F221" s="14"/>
      <c r="G221" s="13"/>
      <c r="H221" s="13"/>
      <c r="I221" s="14"/>
    </row>
    <row r="222" spans="1:9" ht="13.9">
      <c r="A222" s="13"/>
      <c r="B222" s="13"/>
      <c r="C222" s="13"/>
      <c r="D222" s="13"/>
      <c r="E222" s="13"/>
      <c r="F222" s="14"/>
      <c r="G222" s="13"/>
      <c r="H222" s="13"/>
      <c r="I222" s="14"/>
    </row>
    <row r="223" spans="1:9" ht="13.9">
      <c r="A223" s="13"/>
      <c r="B223" s="13"/>
      <c r="C223" s="13"/>
      <c r="D223" s="13"/>
      <c r="E223" s="13"/>
      <c r="F223" s="14"/>
      <c r="G223" s="13"/>
      <c r="H223" s="13"/>
      <c r="I223" s="14"/>
    </row>
    <row r="224" spans="1:9" ht="13.9">
      <c r="A224" s="13"/>
      <c r="B224" s="13"/>
      <c r="C224" s="13"/>
      <c r="D224" s="13"/>
      <c r="E224" s="13"/>
      <c r="F224" s="14"/>
      <c r="G224" s="13"/>
      <c r="H224" s="13"/>
      <c r="I224" s="14"/>
    </row>
    <row r="225" spans="1:9" ht="13.9">
      <c r="A225" s="13"/>
      <c r="B225" s="13"/>
      <c r="C225" s="13"/>
      <c r="D225" s="13"/>
      <c r="E225" s="13"/>
      <c r="F225" s="14"/>
      <c r="G225" s="13"/>
      <c r="H225" s="13"/>
      <c r="I225" s="14"/>
    </row>
    <row r="226" spans="1:9" ht="13.9">
      <c r="A226" s="13"/>
      <c r="B226" s="13"/>
      <c r="C226" s="13"/>
      <c r="D226" s="13"/>
      <c r="E226" s="13"/>
      <c r="F226" s="14"/>
      <c r="G226" s="13"/>
      <c r="H226" s="13"/>
      <c r="I226" s="14"/>
    </row>
    <row r="227" spans="1:9" ht="13.9">
      <c r="A227" s="13"/>
      <c r="B227" s="13"/>
      <c r="C227" s="13"/>
      <c r="D227" s="13"/>
      <c r="E227" s="13"/>
      <c r="F227" s="14"/>
      <c r="G227" s="13"/>
      <c r="H227" s="13"/>
      <c r="I227" s="14"/>
    </row>
    <row r="228" spans="1:9" ht="13.9">
      <c r="A228" s="13"/>
      <c r="B228" s="13"/>
      <c r="C228" s="13"/>
      <c r="D228" s="13"/>
      <c r="E228" s="13"/>
      <c r="F228" s="14"/>
      <c r="G228" s="13"/>
      <c r="H228" s="13"/>
      <c r="I228" s="14"/>
    </row>
    <row r="229" spans="1:9" ht="13.9">
      <c r="A229" s="13"/>
      <c r="B229" s="13"/>
      <c r="C229" s="13"/>
      <c r="D229" s="13"/>
      <c r="E229" s="13"/>
      <c r="F229" s="14"/>
      <c r="G229" s="13"/>
      <c r="H229" s="13"/>
      <c r="I229" s="14"/>
    </row>
    <row r="230" spans="1:9" ht="13.9">
      <c r="A230" s="13"/>
      <c r="B230" s="13"/>
      <c r="C230" s="13"/>
      <c r="D230" s="13"/>
      <c r="E230" s="13"/>
      <c r="F230" s="14"/>
      <c r="G230" s="13"/>
      <c r="H230" s="13"/>
      <c r="I230" s="14"/>
    </row>
    <row r="231" spans="1:9" ht="13.9">
      <c r="A231" s="13"/>
      <c r="B231" s="13"/>
      <c r="C231" s="13"/>
      <c r="D231" s="13"/>
      <c r="E231" s="13"/>
      <c r="F231" s="14"/>
      <c r="G231" s="13"/>
      <c r="H231" s="13"/>
      <c r="I231" s="14"/>
    </row>
    <row r="232" spans="1:9" ht="13.9">
      <c r="A232" s="13"/>
      <c r="B232" s="13"/>
      <c r="C232" s="13"/>
      <c r="D232" s="13"/>
      <c r="E232" s="13"/>
      <c r="F232" s="14"/>
      <c r="G232" s="13"/>
      <c r="H232" s="13"/>
      <c r="I232" s="14"/>
    </row>
    <row r="233" spans="1:9" ht="13.9">
      <c r="A233" s="13"/>
      <c r="B233" s="13"/>
      <c r="C233" s="13"/>
      <c r="D233" s="13"/>
      <c r="E233" s="13"/>
      <c r="F233" s="14"/>
      <c r="G233" s="13"/>
      <c r="H233" s="13"/>
      <c r="I233" s="14"/>
    </row>
    <row r="234" spans="1:9" ht="13.9">
      <c r="A234" s="13"/>
      <c r="B234" s="13"/>
      <c r="C234" s="13"/>
      <c r="D234" s="13"/>
      <c r="E234" s="13"/>
      <c r="F234" s="14"/>
      <c r="G234" s="13"/>
      <c r="H234" s="13"/>
      <c r="I234" s="14"/>
    </row>
    <row r="235" spans="1:9" ht="13.9">
      <c r="A235" s="13"/>
      <c r="B235" s="13"/>
      <c r="C235" s="13"/>
      <c r="D235" s="13"/>
      <c r="E235" s="13"/>
      <c r="F235" s="14"/>
      <c r="G235" s="13"/>
      <c r="H235" s="13"/>
      <c r="I235" s="14"/>
    </row>
    <row r="236" spans="1:9" ht="13.9">
      <c r="A236" s="13"/>
      <c r="B236" s="13"/>
      <c r="C236" s="13"/>
      <c r="D236" s="13"/>
      <c r="E236" s="13"/>
      <c r="F236" s="14"/>
      <c r="G236" s="13"/>
      <c r="H236" s="13"/>
      <c r="I236" s="14"/>
    </row>
    <row r="237" spans="1:9" ht="13.9">
      <c r="A237" s="13"/>
      <c r="B237" s="13"/>
      <c r="C237" s="13"/>
      <c r="D237" s="13"/>
      <c r="E237" s="13"/>
      <c r="F237" s="14"/>
      <c r="G237" s="13"/>
      <c r="H237" s="13"/>
      <c r="I237" s="14"/>
    </row>
    <row r="238" spans="1:9" ht="13.9">
      <c r="A238" s="13"/>
      <c r="B238" s="13"/>
      <c r="C238" s="13"/>
      <c r="D238" s="13"/>
      <c r="E238" s="13"/>
      <c r="F238" s="14"/>
      <c r="G238" s="13"/>
      <c r="H238" s="13"/>
      <c r="I238" s="14"/>
    </row>
    <row r="239" spans="1:9" ht="13.9">
      <c r="A239" s="13"/>
      <c r="B239" s="13"/>
      <c r="C239" s="13"/>
      <c r="D239" s="13"/>
      <c r="E239" s="13"/>
      <c r="F239" s="14"/>
      <c r="G239" s="13"/>
      <c r="H239" s="13"/>
      <c r="I239" s="14"/>
    </row>
    <row r="240" spans="1:9" ht="13.9">
      <c r="A240" s="13"/>
      <c r="B240" s="13"/>
      <c r="C240" s="13"/>
      <c r="D240" s="13"/>
      <c r="E240" s="13"/>
      <c r="F240" s="14"/>
      <c r="G240" s="13"/>
      <c r="H240" s="13"/>
      <c r="I240" s="14"/>
    </row>
    <row r="241" spans="1:9" ht="13.9">
      <c r="A241" s="13"/>
      <c r="B241" s="13"/>
      <c r="C241" s="13"/>
      <c r="D241" s="13"/>
      <c r="E241" s="13"/>
      <c r="F241" s="14"/>
      <c r="G241" s="13"/>
      <c r="H241" s="13"/>
      <c r="I241" s="14"/>
    </row>
    <row r="242" spans="1:9" ht="13.9">
      <c r="A242" s="13"/>
      <c r="B242" s="13"/>
      <c r="C242" s="13"/>
      <c r="D242" s="13"/>
      <c r="E242" s="13"/>
      <c r="F242" s="14"/>
      <c r="G242" s="13"/>
      <c r="H242" s="13"/>
      <c r="I242" s="14"/>
    </row>
    <row r="243" spans="1:9" ht="13.9">
      <c r="A243" s="13"/>
      <c r="B243" s="13"/>
      <c r="C243" s="13"/>
      <c r="D243" s="13"/>
      <c r="E243" s="13"/>
      <c r="F243" s="14"/>
      <c r="G243" s="13"/>
      <c r="H243" s="13"/>
      <c r="I243" s="14"/>
    </row>
    <row r="244" spans="1:9" ht="13.9">
      <c r="A244" s="13"/>
      <c r="B244" s="13"/>
      <c r="C244" s="13"/>
      <c r="D244" s="13"/>
      <c r="E244" s="13"/>
      <c r="F244" s="14"/>
      <c r="G244" s="13"/>
      <c r="H244" s="13"/>
      <c r="I244" s="14"/>
    </row>
    <row r="245" spans="1:9" ht="13.9">
      <c r="A245" s="13"/>
      <c r="B245" s="13"/>
      <c r="C245" s="13"/>
      <c r="D245" s="13"/>
      <c r="E245" s="13"/>
      <c r="F245" s="14"/>
      <c r="G245" s="13"/>
      <c r="H245" s="13"/>
      <c r="I245" s="14"/>
    </row>
    <row r="246" spans="1:9" ht="13.9">
      <c r="A246" s="13"/>
      <c r="B246" s="13"/>
      <c r="C246" s="13"/>
      <c r="D246" s="13"/>
      <c r="E246" s="13"/>
      <c r="F246" s="14"/>
      <c r="G246" s="13"/>
      <c r="H246" s="13"/>
      <c r="I246" s="14"/>
    </row>
    <row r="247" spans="1:9" ht="13.9">
      <c r="A247" s="13"/>
      <c r="B247" s="13"/>
      <c r="C247" s="13"/>
      <c r="D247" s="13"/>
      <c r="E247" s="13"/>
      <c r="F247" s="14"/>
      <c r="G247" s="13"/>
      <c r="H247" s="13"/>
      <c r="I247" s="14"/>
    </row>
    <row r="248" spans="1:9" ht="13.9">
      <c r="A248" s="13"/>
      <c r="B248" s="13"/>
      <c r="C248" s="13"/>
      <c r="D248" s="13"/>
      <c r="E248" s="13"/>
      <c r="F248" s="14"/>
      <c r="G248" s="13"/>
      <c r="H248" s="13"/>
      <c r="I248" s="14"/>
    </row>
    <row r="249" spans="1:9" ht="13.9">
      <c r="A249" s="13"/>
      <c r="B249" s="13"/>
      <c r="C249" s="13"/>
      <c r="D249" s="13"/>
      <c r="E249" s="13"/>
      <c r="F249" s="14"/>
      <c r="G249" s="13"/>
      <c r="H249" s="13"/>
      <c r="I249" s="14"/>
    </row>
    <row r="250" spans="1:9" ht="13.9">
      <c r="A250" s="13"/>
      <c r="B250" s="13"/>
      <c r="C250" s="13"/>
      <c r="D250" s="13"/>
      <c r="E250" s="13"/>
      <c r="F250" s="14"/>
      <c r="G250" s="13"/>
      <c r="H250" s="13"/>
      <c r="I250" s="14"/>
    </row>
    <row r="251" spans="1:9" ht="13.9">
      <c r="A251" s="13"/>
      <c r="B251" s="13"/>
      <c r="C251" s="13"/>
      <c r="D251" s="13"/>
      <c r="E251" s="13"/>
      <c r="F251" s="14"/>
      <c r="G251" s="13"/>
      <c r="H251" s="13"/>
      <c r="I251" s="14"/>
    </row>
    <row r="252" spans="1:9" ht="13.9">
      <c r="A252" s="13"/>
      <c r="B252" s="13"/>
      <c r="C252" s="13"/>
      <c r="D252" s="13"/>
      <c r="E252" s="13"/>
      <c r="F252" s="14"/>
      <c r="G252" s="13"/>
      <c r="H252" s="13"/>
      <c r="I252" s="14"/>
    </row>
    <row r="253" spans="1:9" ht="13.9">
      <c r="A253" s="13"/>
      <c r="B253" s="13"/>
      <c r="C253" s="13"/>
      <c r="D253" s="13"/>
      <c r="E253" s="13"/>
      <c r="F253" s="14"/>
      <c r="G253" s="13"/>
      <c r="H253" s="13"/>
      <c r="I253" s="14"/>
    </row>
    <row r="254" spans="1:9" ht="13.9">
      <c r="A254" s="13"/>
      <c r="B254" s="13"/>
      <c r="C254" s="13"/>
      <c r="D254" s="13"/>
      <c r="E254" s="13"/>
      <c r="F254" s="14"/>
      <c r="G254" s="13"/>
      <c r="H254" s="13"/>
      <c r="I254" s="14"/>
    </row>
    <row r="255" spans="1:9" ht="13.9">
      <c r="A255" s="13"/>
      <c r="B255" s="13"/>
      <c r="C255" s="13"/>
      <c r="D255" s="13"/>
      <c r="E255" s="13"/>
      <c r="F255" s="14"/>
      <c r="G255" s="13"/>
      <c r="H255" s="13"/>
      <c r="I255" s="14"/>
    </row>
    <row r="256" spans="1:9" ht="13.9">
      <c r="A256" s="13"/>
      <c r="B256" s="13"/>
      <c r="C256" s="13"/>
      <c r="D256" s="13"/>
      <c r="E256" s="13"/>
      <c r="F256" s="14"/>
      <c r="G256" s="13"/>
      <c r="H256" s="13"/>
      <c r="I256" s="14"/>
    </row>
    <row r="257" spans="1:9" ht="13.9">
      <c r="A257" s="13"/>
      <c r="B257" s="13"/>
      <c r="C257" s="13"/>
      <c r="D257" s="13"/>
      <c r="E257" s="13"/>
      <c r="F257" s="14"/>
      <c r="G257" s="13"/>
      <c r="H257" s="13"/>
      <c r="I257" s="14"/>
    </row>
    <row r="258" spans="1:9" ht="13.9">
      <c r="A258" s="13"/>
      <c r="B258" s="13"/>
      <c r="C258" s="13"/>
      <c r="D258" s="13"/>
      <c r="E258" s="13"/>
      <c r="F258" s="14"/>
      <c r="G258" s="13"/>
      <c r="H258" s="13"/>
      <c r="I258" s="14"/>
    </row>
    <row r="259" spans="1:9" ht="13.9">
      <c r="A259" s="13"/>
      <c r="B259" s="13"/>
      <c r="C259" s="13"/>
      <c r="D259" s="13"/>
      <c r="E259" s="13"/>
      <c r="F259" s="14"/>
      <c r="G259" s="13"/>
      <c r="H259" s="13"/>
      <c r="I259" s="14"/>
    </row>
    <row r="260" spans="1:9" ht="13.9">
      <c r="A260" s="13"/>
      <c r="B260" s="13"/>
      <c r="C260" s="13"/>
      <c r="D260" s="13"/>
      <c r="E260" s="13"/>
      <c r="F260" s="14"/>
      <c r="G260" s="13"/>
      <c r="H260" s="13"/>
      <c r="I260" s="14"/>
    </row>
    <row r="261" spans="1:9" ht="13.9">
      <c r="A261" s="13"/>
      <c r="B261" s="13"/>
      <c r="C261" s="13"/>
      <c r="D261" s="13"/>
      <c r="E261" s="13"/>
      <c r="F261" s="14"/>
      <c r="G261" s="13"/>
      <c r="H261" s="13"/>
      <c r="I261" s="14"/>
    </row>
    <row r="262" spans="1:9" ht="13.9">
      <c r="A262" s="13"/>
      <c r="B262" s="13"/>
      <c r="C262" s="13"/>
      <c r="D262" s="13"/>
      <c r="E262" s="13"/>
      <c r="F262" s="14"/>
      <c r="G262" s="13"/>
      <c r="H262" s="13"/>
      <c r="I262" s="14"/>
    </row>
    <row r="263" spans="1:9" ht="13.9">
      <c r="A263" s="13"/>
      <c r="B263" s="13"/>
      <c r="C263" s="13"/>
      <c r="D263" s="13"/>
      <c r="E263" s="13"/>
      <c r="F263" s="14"/>
      <c r="G263" s="13"/>
      <c r="H263" s="13"/>
      <c r="I263" s="14"/>
    </row>
    <row r="264" spans="1:9" ht="13.9">
      <c r="A264" s="13"/>
      <c r="B264" s="13"/>
      <c r="C264" s="13"/>
      <c r="D264" s="13"/>
      <c r="E264" s="13"/>
      <c r="F264" s="14"/>
      <c r="G264" s="13"/>
      <c r="H264" s="13"/>
      <c r="I264" s="14"/>
    </row>
    <row r="265" spans="1:9" ht="13.9">
      <c r="A265" s="13"/>
      <c r="B265" s="13"/>
      <c r="C265" s="13"/>
      <c r="D265" s="13"/>
      <c r="E265" s="13"/>
      <c r="F265" s="14"/>
      <c r="G265" s="13"/>
      <c r="H265" s="13"/>
      <c r="I265" s="14"/>
    </row>
    <row r="266" spans="1:9" ht="13.9">
      <c r="A266" s="13"/>
      <c r="B266" s="13"/>
      <c r="C266" s="13"/>
      <c r="D266" s="13"/>
      <c r="E266" s="13"/>
      <c r="F266" s="14"/>
      <c r="G266" s="13"/>
      <c r="H266" s="13"/>
      <c r="I266" s="14"/>
    </row>
    <row r="267" spans="1:9" ht="13.9">
      <c r="A267" s="13"/>
      <c r="B267" s="13"/>
      <c r="C267" s="13"/>
      <c r="D267" s="13"/>
      <c r="E267" s="13"/>
      <c r="F267" s="14"/>
      <c r="G267" s="13"/>
      <c r="H267" s="13"/>
      <c r="I267" s="14"/>
    </row>
    <row r="268" spans="1:9" ht="13.9">
      <c r="A268" s="13"/>
      <c r="B268" s="13"/>
      <c r="C268" s="13"/>
      <c r="D268" s="13"/>
      <c r="E268" s="13"/>
      <c r="F268" s="14"/>
      <c r="G268" s="13"/>
      <c r="H268" s="13"/>
      <c r="I268" s="14"/>
    </row>
    <row r="269" spans="1:9" ht="13.9">
      <c r="A269" s="13"/>
      <c r="B269" s="13"/>
      <c r="C269" s="13"/>
      <c r="D269" s="13"/>
      <c r="E269" s="13"/>
      <c r="F269" s="14"/>
      <c r="G269" s="13"/>
      <c r="H269" s="13"/>
      <c r="I269" s="14"/>
    </row>
    <row r="270" spans="1:9" ht="13.9">
      <c r="A270" s="13"/>
      <c r="B270" s="13"/>
      <c r="C270" s="13"/>
      <c r="D270" s="13"/>
      <c r="E270" s="13"/>
      <c r="F270" s="14"/>
      <c r="G270" s="13"/>
      <c r="H270" s="13"/>
      <c r="I270" s="14"/>
    </row>
    <row r="271" spans="1:9" ht="13.9">
      <c r="A271" s="13"/>
      <c r="B271" s="13"/>
      <c r="C271" s="13"/>
      <c r="D271" s="13"/>
      <c r="E271" s="13"/>
      <c r="F271" s="14"/>
      <c r="G271" s="13"/>
      <c r="H271" s="13"/>
      <c r="I271" s="14"/>
    </row>
    <row r="272" spans="1:9" ht="13.9">
      <c r="A272" s="13"/>
      <c r="B272" s="13"/>
      <c r="C272" s="13"/>
      <c r="D272" s="13"/>
      <c r="E272" s="13"/>
      <c r="F272" s="14"/>
      <c r="G272" s="13"/>
      <c r="H272" s="13"/>
      <c r="I272" s="14"/>
    </row>
    <row r="273" spans="1:9" ht="13.9">
      <c r="A273" s="13"/>
      <c r="B273" s="13"/>
      <c r="C273" s="13"/>
      <c r="D273" s="13"/>
      <c r="E273" s="13"/>
      <c r="F273" s="14"/>
      <c r="G273" s="13"/>
      <c r="H273" s="13"/>
      <c r="I273" s="14"/>
    </row>
    <row r="274" spans="1:9" ht="13.9">
      <c r="A274" s="13"/>
      <c r="B274" s="13"/>
      <c r="C274" s="13"/>
      <c r="D274" s="13"/>
      <c r="E274" s="13"/>
      <c r="F274" s="14"/>
      <c r="G274" s="13"/>
      <c r="H274" s="13"/>
      <c r="I274" s="14"/>
    </row>
    <row r="275" spans="1:9" ht="13.9">
      <c r="A275" s="13"/>
      <c r="B275" s="13"/>
      <c r="C275" s="13"/>
      <c r="D275" s="13"/>
      <c r="E275" s="13"/>
      <c r="F275" s="14"/>
      <c r="G275" s="13"/>
      <c r="H275" s="13"/>
      <c r="I275" s="14"/>
    </row>
    <row r="276" spans="1:9" ht="13.9">
      <c r="A276" s="13"/>
      <c r="B276" s="13"/>
      <c r="C276" s="13"/>
      <c r="D276" s="13"/>
      <c r="E276" s="13"/>
      <c r="F276" s="14"/>
      <c r="G276" s="13"/>
      <c r="H276" s="13"/>
      <c r="I276" s="14"/>
    </row>
    <row r="277" spans="1:9" ht="13.9">
      <c r="A277" s="13"/>
      <c r="B277" s="13"/>
      <c r="C277" s="13"/>
      <c r="D277" s="13"/>
      <c r="E277" s="13"/>
      <c r="F277" s="14"/>
      <c r="G277" s="13"/>
      <c r="H277" s="13"/>
      <c r="I277" s="14"/>
    </row>
    <row r="278" spans="1:9" ht="13.9">
      <c r="A278" s="13"/>
      <c r="B278" s="13"/>
      <c r="C278" s="13"/>
      <c r="D278" s="13"/>
      <c r="E278" s="13"/>
      <c r="F278" s="14"/>
      <c r="G278" s="13"/>
      <c r="H278" s="13"/>
      <c r="I278" s="14"/>
    </row>
    <row r="279" spans="1:9" ht="13.9">
      <c r="A279" s="13"/>
      <c r="B279" s="13"/>
      <c r="C279" s="13"/>
      <c r="D279" s="13"/>
      <c r="E279" s="13"/>
      <c r="F279" s="14"/>
      <c r="G279" s="13"/>
      <c r="H279" s="13"/>
      <c r="I279" s="14"/>
    </row>
    <row r="280" spans="1:9" ht="13.9">
      <c r="A280" s="13"/>
      <c r="B280" s="13"/>
      <c r="C280" s="13"/>
      <c r="D280" s="13"/>
      <c r="E280" s="13"/>
      <c r="F280" s="14"/>
      <c r="G280" s="13"/>
      <c r="H280" s="13"/>
      <c r="I280" s="14"/>
    </row>
    <row r="281" spans="1:9" ht="13.9">
      <c r="A281" s="13"/>
      <c r="B281" s="13"/>
      <c r="C281" s="13"/>
      <c r="D281" s="13"/>
      <c r="E281" s="13"/>
      <c r="F281" s="14"/>
      <c r="G281" s="13"/>
      <c r="H281" s="13"/>
      <c r="I281" s="14"/>
    </row>
    <row r="282" spans="1:9" ht="13.9">
      <c r="A282" s="13"/>
      <c r="B282" s="13"/>
      <c r="C282" s="13"/>
      <c r="D282" s="13"/>
      <c r="E282" s="13"/>
      <c r="F282" s="14"/>
      <c r="G282" s="13"/>
      <c r="H282" s="13"/>
      <c r="I282" s="14"/>
    </row>
    <row r="283" spans="1:9" ht="13.9">
      <c r="A283" s="13"/>
      <c r="B283" s="13"/>
      <c r="C283" s="13"/>
      <c r="D283" s="13"/>
      <c r="E283" s="13"/>
      <c r="F283" s="14"/>
      <c r="G283" s="13"/>
      <c r="H283" s="13"/>
      <c r="I283" s="14"/>
    </row>
    <row r="284" spans="1:9" ht="13.9">
      <c r="A284" s="13"/>
      <c r="B284" s="13"/>
      <c r="C284" s="13"/>
      <c r="D284" s="13"/>
      <c r="E284" s="13"/>
      <c r="F284" s="14"/>
      <c r="G284" s="13"/>
      <c r="H284" s="13"/>
      <c r="I284" s="14"/>
    </row>
    <row r="285" spans="1:9" ht="13.9">
      <c r="A285" s="13"/>
      <c r="B285" s="13"/>
      <c r="C285" s="13"/>
      <c r="D285" s="13"/>
      <c r="E285" s="13"/>
      <c r="F285" s="14"/>
      <c r="G285" s="13"/>
      <c r="H285" s="13"/>
      <c r="I285" s="14"/>
    </row>
    <row r="286" spans="1:9" ht="13.9">
      <c r="A286" s="13"/>
      <c r="B286" s="13"/>
      <c r="C286" s="13"/>
      <c r="D286" s="13"/>
      <c r="E286" s="13"/>
      <c r="F286" s="14"/>
      <c r="G286" s="13"/>
      <c r="H286" s="13"/>
      <c r="I286" s="14"/>
    </row>
    <row r="287" spans="1:9" ht="13.9">
      <c r="A287" s="13"/>
      <c r="B287" s="13"/>
      <c r="C287" s="13"/>
      <c r="D287" s="13"/>
      <c r="E287" s="13"/>
      <c r="F287" s="14"/>
      <c r="G287" s="13"/>
      <c r="H287" s="13"/>
      <c r="I287" s="14"/>
    </row>
    <row r="288" spans="1:9" ht="13.9">
      <c r="A288" s="13"/>
      <c r="B288" s="13"/>
      <c r="C288" s="13"/>
      <c r="D288" s="13"/>
      <c r="E288" s="13"/>
      <c r="F288" s="14"/>
      <c r="G288" s="13"/>
      <c r="H288" s="13"/>
      <c r="I288" s="14"/>
    </row>
    <row r="289" spans="1:9" ht="13.9">
      <c r="A289" s="13"/>
      <c r="B289" s="13"/>
      <c r="C289" s="13"/>
      <c r="D289" s="13"/>
      <c r="E289" s="13"/>
      <c r="F289" s="14"/>
      <c r="G289" s="13"/>
      <c r="H289" s="13"/>
      <c r="I289" s="14"/>
    </row>
    <row r="290" spans="1:9" ht="13.9">
      <c r="A290" s="13"/>
      <c r="B290" s="13"/>
      <c r="C290" s="13"/>
      <c r="D290" s="13"/>
      <c r="E290" s="13"/>
      <c r="F290" s="14"/>
      <c r="G290" s="13"/>
      <c r="H290" s="13"/>
      <c r="I290" s="14"/>
    </row>
    <row r="291" spans="1:9" ht="13.9">
      <c r="A291" s="13"/>
      <c r="B291" s="13"/>
      <c r="C291" s="13"/>
      <c r="D291" s="13"/>
      <c r="E291" s="13"/>
      <c r="F291" s="14"/>
      <c r="G291" s="13"/>
      <c r="H291" s="13"/>
      <c r="I291" s="14"/>
    </row>
    <row r="292" spans="1:9" ht="13.9">
      <c r="A292" s="13"/>
      <c r="B292" s="13"/>
      <c r="C292" s="13"/>
      <c r="D292" s="13"/>
      <c r="E292" s="13"/>
      <c r="F292" s="14"/>
      <c r="G292" s="13"/>
      <c r="H292" s="13"/>
      <c r="I292" s="14"/>
    </row>
    <row r="293" spans="1:9" ht="13.9">
      <c r="A293" s="13"/>
      <c r="B293" s="13"/>
      <c r="C293" s="13"/>
      <c r="D293" s="13"/>
      <c r="E293" s="13"/>
      <c r="F293" s="14"/>
      <c r="G293" s="13"/>
      <c r="H293" s="13"/>
      <c r="I293" s="14"/>
    </row>
    <row r="294" spans="1:9" ht="13.9">
      <c r="A294" s="13"/>
      <c r="B294" s="13"/>
      <c r="C294" s="13"/>
      <c r="D294" s="13"/>
      <c r="E294" s="13"/>
      <c r="F294" s="14"/>
      <c r="G294" s="13"/>
      <c r="H294" s="13"/>
      <c r="I294" s="14"/>
    </row>
    <row r="295" spans="1:9" ht="13.9">
      <c r="A295" s="13"/>
      <c r="B295" s="13"/>
      <c r="C295" s="13"/>
      <c r="D295" s="13"/>
      <c r="E295" s="13"/>
      <c r="F295" s="14"/>
      <c r="G295" s="13"/>
      <c r="H295" s="13"/>
      <c r="I295" s="14"/>
    </row>
    <row r="296" spans="1:9" ht="13.9">
      <c r="A296" s="13"/>
      <c r="B296" s="13"/>
      <c r="C296" s="13"/>
      <c r="D296" s="13"/>
      <c r="E296" s="13"/>
      <c r="F296" s="14"/>
      <c r="G296" s="13"/>
      <c r="H296" s="13"/>
      <c r="I296" s="14"/>
    </row>
    <row r="297" spans="1:9" ht="13.9">
      <c r="A297" s="13"/>
      <c r="B297" s="13"/>
      <c r="C297" s="13"/>
      <c r="D297" s="13"/>
      <c r="E297" s="13"/>
      <c r="F297" s="14"/>
      <c r="G297" s="13"/>
      <c r="H297" s="13"/>
      <c r="I297" s="14"/>
    </row>
    <row r="298" spans="1:9" ht="13.9">
      <c r="A298" s="13"/>
      <c r="B298" s="13"/>
      <c r="C298" s="13"/>
      <c r="D298" s="13"/>
      <c r="E298" s="13"/>
      <c r="F298" s="14"/>
      <c r="G298" s="13"/>
      <c r="H298" s="13"/>
      <c r="I298" s="14"/>
    </row>
    <row r="299" spans="1:9" ht="13.9">
      <c r="A299" s="13"/>
      <c r="B299" s="13"/>
      <c r="C299" s="13"/>
      <c r="D299" s="13"/>
      <c r="E299" s="13"/>
      <c r="F299" s="14"/>
      <c r="G299" s="13"/>
      <c r="H299" s="13"/>
      <c r="I299" s="14"/>
    </row>
    <row r="300" spans="1:9" ht="13.9">
      <c r="A300" s="13"/>
      <c r="B300" s="13"/>
      <c r="C300" s="13"/>
      <c r="D300" s="13"/>
      <c r="E300" s="13"/>
      <c r="F300" s="14"/>
      <c r="G300" s="13"/>
      <c r="H300" s="13"/>
      <c r="I300" s="14"/>
    </row>
    <row r="301" spans="1:9" ht="13.9">
      <c r="A301" s="13"/>
      <c r="B301" s="13"/>
      <c r="C301" s="13"/>
      <c r="D301" s="13"/>
      <c r="E301" s="13"/>
      <c r="F301" s="14"/>
      <c r="G301" s="13"/>
      <c r="H301" s="13"/>
      <c r="I301" s="14"/>
    </row>
    <row r="302" spans="1:9" ht="13.9">
      <c r="A302" s="13"/>
      <c r="B302" s="13"/>
      <c r="C302" s="13"/>
      <c r="D302" s="13"/>
      <c r="E302" s="13"/>
      <c r="F302" s="14"/>
      <c r="G302" s="13"/>
      <c r="H302" s="13"/>
      <c r="I302" s="14"/>
    </row>
    <row r="303" spans="1:9" ht="13.9">
      <c r="A303" s="13"/>
      <c r="B303" s="13"/>
      <c r="C303" s="13"/>
      <c r="D303" s="13"/>
      <c r="E303" s="13"/>
      <c r="F303" s="14"/>
      <c r="G303" s="13"/>
      <c r="H303" s="13"/>
      <c r="I303" s="14"/>
    </row>
    <row r="304" spans="1:9" ht="13.9">
      <c r="A304" s="13"/>
      <c r="B304" s="13"/>
      <c r="C304" s="13"/>
      <c r="D304" s="13"/>
      <c r="E304" s="13"/>
      <c r="F304" s="14"/>
      <c r="G304" s="13"/>
      <c r="H304" s="13"/>
      <c r="I304" s="14"/>
    </row>
    <row r="305" spans="1:9" ht="13.9">
      <c r="A305" s="13"/>
      <c r="B305" s="13"/>
      <c r="C305" s="13"/>
      <c r="D305" s="13"/>
      <c r="E305" s="13"/>
      <c r="F305" s="14"/>
      <c r="G305" s="13"/>
      <c r="H305" s="13"/>
      <c r="I305" s="14"/>
    </row>
    <row r="306" spans="1:9" ht="13.9">
      <c r="A306" s="13"/>
      <c r="B306" s="13"/>
      <c r="C306" s="13"/>
      <c r="D306" s="13"/>
      <c r="E306" s="13"/>
      <c r="F306" s="14"/>
      <c r="G306" s="13"/>
      <c r="H306" s="13"/>
      <c r="I306" s="14"/>
    </row>
    <row r="307" spans="1:9" ht="13.9">
      <c r="A307" s="13"/>
      <c r="B307" s="13"/>
      <c r="C307" s="13"/>
      <c r="D307" s="13"/>
      <c r="E307" s="13"/>
      <c r="F307" s="14"/>
      <c r="G307" s="13"/>
      <c r="H307" s="13"/>
      <c r="I307" s="14"/>
    </row>
    <row r="308" spans="1:9" ht="13.9">
      <c r="A308" s="13"/>
      <c r="B308" s="13"/>
      <c r="C308" s="13"/>
      <c r="D308" s="13"/>
      <c r="E308" s="13"/>
      <c r="F308" s="14"/>
      <c r="G308" s="13"/>
      <c r="H308" s="13"/>
      <c r="I308" s="14"/>
    </row>
    <row r="309" spans="1:9" ht="13.9">
      <c r="A309" s="13"/>
      <c r="B309" s="13"/>
      <c r="C309" s="13"/>
      <c r="D309" s="13"/>
      <c r="E309" s="13"/>
      <c r="F309" s="14"/>
      <c r="G309" s="13"/>
      <c r="H309" s="13"/>
      <c r="I309" s="14"/>
    </row>
    <row r="310" spans="1:9" ht="13.9">
      <c r="A310" s="13"/>
      <c r="B310" s="13"/>
      <c r="C310" s="13"/>
      <c r="D310" s="13"/>
      <c r="E310" s="13"/>
      <c r="F310" s="14"/>
      <c r="G310" s="13"/>
      <c r="H310" s="13"/>
      <c r="I310" s="14"/>
    </row>
    <row r="311" spans="1:9" ht="13.9">
      <c r="A311" s="13"/>
      <c r="B311" s="13"/>
      <c r="C311" s="13"/>
      <c r="D311" s="13"/>
      <c r="E311" s="13"/>
      <c r="F311" s="14"/>
      <c r="G311" s="13"/>
      <c r="H311" s="13"/>
      <c r="I311" s="14"/>
    </row>
    <row r="312" spans="1:9" ht="13.9">
      <c r="A312" s="13"/>
      <c r="B312" s="13"/>
      <c r="C312" s="13"/>
      <c r="D312" s="13"/>
      <c r="E312" s="13"/>
      <c r="F312" s="14"/>
      <c r="G312" s="13"/>
      <c r="H312" s="13"/>
      <c r="I312" s="14"/>
    </row>
    <row r="313" spans="1:9" ht="13.9">
      <c r="A313" s="13"/>
      <c r="B313" s="13"/>
      <c r="C313" s="13"/>
      <c r="D313" s="13"/>
      <c r="E313" s="13"/>
      <c r="F313" s="14"/>
      <c r="G313" s="13"/>
      <c r="H313" s="13"/>
      <c r="I313" s="14"/>
    </row>
    <row r="314" spans="1:9" ht="13.9">
      <c r="A314" s="13"/>
      <c r="B314" s="13"/>
      <c r="C314" s="13"/>
      <c r="D314" s="13"/>
      <c r="E314" s="13"/>
      <c r="F314" s="14"/>
      <c r="G314" s="13"/>
      <c r="H314" s="13"/>
      <c r="I314" s="14"/>
    </row>
    <row r="315" spans="1:9" ht="13.9">
      <c r="A315" s="13"/>
      <c r="B315" s="13"/>
      <c r="C315" s="13"/>
      <c r="D315" s="13"/>
      <c r="E315" s="13"/>
      <c r="F315" s="14"/>
      <c r="G315" s="13"/>
      <c r="H315" s="13"/>
      <c r="I315" s="14"/>
    </row>
    <row r="316" spans="1:9" ht="13.9">
      <c r="A316" s="13"/>
      <c r="B316" s="13"/>
      <c r="C316" s="13"/>
      <c r="D316" s="13"/>
      <c r="E316" s="13"/>
      <c r="F316" s="14"/>
      <c r="G316" s="13"/>
      <c r="H316" s="13"/>
      <c r="I316" s="14"/>
    </row>
    <row r="317" spans="1:9" ht="13.9">
      <c r="A317" s="13"/>
      <c r="B317" s="13"/>
      <c r="C317" s="13"/>
      <c r="D317" s="13"/>
      <c r="E317" s="13"/>
      <c r="F317" s="14"/>
      <c r="G317" s="13"/>
      <c r="H317" s="13"/>
      <c r="I317" s="14"/>
    </row>
    <row r="318" spans="1:9" ht="13.9">
      <c r="A318" s="13"/>
      <c r="B318" s="13"/>
      <c r="C318" s="13"/>
      <c r="D318" s="13"/>
      <c r="E318" s="13"/>
      <c r="F318" s="14"/>
      <c r="G318" s="13"/>
      <c r="H318" s="13"/>
      <c r="I318" s="14"/>
    </row>
    <row r="319" spans="1:9" ht="13.9">
      <c r="A319" s="13"/>
      <c r="B319" s="13"/>
      <c r="C319" s="13"/>
      <c r="D319" s="13"/>
      <c r="E319" s="13"/>
      <c r="F319" s="14"/>
      <c r="G319" s="13"/>
      <c r="H319" s="13"/>
      <c r="I319" s="14"/>
    </row>
    <row r="320" spans="1:9" ht="13.9">
      <c r="A320" s="13"/>
      <c r="B320" s="13"/>
      <c r="C320" s="13"/>
      <c r="D320" s="13"/>
      <c r="E320" s="13"/>
      <c r="F320" s="14"/>
      <c r="G320" s="13"/>
      <c r="H320" s="13"/>
      <c r="I320" s="14"/>
    </row>
    <row r="321" spans="1:9" ht="13.9">
      <c r="A321" s="13"/>
      <c r="B321" s="13"/>
      <c r="C321" s="13"/>
      <c r="D321" s="13"/>
      <c r="E321" s="13"/>
      <c r="F321" s="14"/>
      <c r="G321" s="13"/>
      <c r="H321" s="13"/>
      <c r="I321" s="14"/>
    </row>
    <row r="322" spans="1:9" ht="13.9">
      <c r="A322" s="13"/>
      <c r="B322" s="13"/>
      <c r="C322" s="13"/>
      <c r="D322" s="13"/>
      <c r="E322" s="13"/>
      <c r="F322" s="14"/>
      <c r="G322" s="13"/>
      <c r="H322" s="13"/>
      <c r="I322" s="14"/>
    </row>
    <row r="323" spans="1:9" ht="13.9">
      <c r="A323" s="13"/>
      <c r="B323" s="13"/>
      <c r="C323" s="13"/>
      <c r="D323" s="13"/>
      <c r="E323" s="13"/>
      <c r="F323" s="14"/>
      <c r="G323" s="13"/>
      <c r="H323" s="13"/>
      <c r="I323" s="14"/>
    </row>
    <row r="324" spans="1:9" ht="13.9">
      <c r="A324" s="13"/>
      <c r="B324" s="13"/>
      <c r="C324" s="13"/>
      <c r="D324" s="13"/>
      <c r="E324" s="13"/>
      <c r="F324" s="14"/>
      <c r="G324" s="13"/>
      <c r="H324" s="13"/>
      <c r="I324" s="14"/>
    </row>
    <row r="325" spans="1:9" ht="13.9">
      <c r="A325" s="13"/>
      <c r="B325" s="13"/>
      <c r="C325" s="13"/>
      <c r="D325" s="13"/>
      <c r="E325" s="13"/>
      <c r="F325" s="14"/>
      <c r="G325" s="13"/>
      <c r="H325" s="13"/>
      <c r="I325" s="14"/>
    </row>
    <row r="326" spans="1:9" ht="13.9">
      <c r="A326" s="13"/>
      <c r="B326" s="13"/>
      <c r="C326" s="13"/>
      <c r="D326" s="13"/>
      <c r="E326" s="13"/>
      <c r="F326" s="14"/>
      <c r="G326" s="13"/>
      <c r="H326" s="13"/>
      <c r="I326" s="14"/>
    </row>
    <row r="327" spans="1:9" ht="13.9">
      <c r="A327" s="13"/>
      <c r="B327" s="13"/>
      <c r="C327" s="13"/>
      <c r="D327" s="13"/>
      <c r="E327" s="13"/>
      <c r="F327" s="14"/>
      <c r="G327" s="13"/>
      <c r="H327" s="13"/>
      <c r="I327" s="14"/>
    </row>
    <row r="328" spans="1:9" ht="13.9">
      <c r="A328" s="13"/>
      <c r="B328" s="13"/>
      <c r="C328" s="13"/>
      <c r="D328" s="13"/>
      <c r="E328" s="13"/>
      <c r="F328" s="14"/>
      <c r="G328" s="13"/>
      <c r="H328" s="13"/>
      <c r="I328" s="14"/>
    </row>
    <row r="329" spans="1:9" ht="13.9">
      <c r="A329" s="13"/>
      <c r="B329" s="13"/>
      <c r="C329" s="13"/>
      <c r="D329" s="13"/>
      <c r="E329" s="13"/>
      <c r="F329" s="14"/>
      <c r="G329" s="13"/>
      <c r="H329" s="13"/>
      <c r="I329" s="14"/>
    </row>
    <row r="330" spans="1:9" ht="13.9">
      <c r="A330" s="13"/>
      <c r="B330" s="13"/>
      <c r="C330" s="13"/>
      <c r="D330" s="13"/>
      <c r="E330" s="13"/>
      <c r="F330" s="14"/>
      <c r="G330" s="13"/>
      <c r="H330" s="13"/>
      <c r="I330" s="14"/>
    </row>
    <row r="331" spans="1:9" ht="13.9">
      <c r="A331" s="13"/>
      <c r="B331" s="13"/>
      <c r="C331" s="13"/>
      <c r="D331" s="13"/>
      <c r="E331" s="13"/>
      <c r="F331" s="14"/>
      <c r="G331" s="13"/>
      <c r="H331" s="13"/>
      <c r="I331" s="14"/>
    </row>
    <row r="332" spans="1:9" ht="13.9">
      <c r="A332" s="13"/>
      <c r="B332" s="13"/>
      <c r="C332" s="13"/>
      <c r="D332" s="13"/>
      <c r="E332" s="13"/>
      <c r="F332" s="14"/>
      <c r="G332" s="13"/>
      <c r="H332" s="13"/>
      <c r="I332" s="14"/>
    </row>
    <row r="333" spans="1:9" ht="13.9">
      <c r="A333" s="13"/>
      <c r="B333" s="13"/>
      <c r="C333" s="13"/>
      <c r="D333" s="13"/>
      <c r="E333" s="13"/>
      <c r="F333" s="14"/>
      <c r="G333" s="13"/>
      <c r="H333" s="13"/>
      <c r="I333" s="14"/>
    </row>
    <row r="334" spans="1:9" ht="13.9">
      <c r="A334" s="13"/>
      <c r="B334" s="13"/>
      <c r="C334" s="13"/>
      <c r="D334" s="13"/>
      <c r="E334" s="13"/>
      <c r="F334" s="14"/>
      <c r="G334" s="13"/>
      <c r="H334" s="13"/>
      <c r="I334" s="14"/>
    </row>
    <row r="335" spans="1:9" ht="13.9">
      <c r="A335" s="13"/>
      <c r="B335" s="13"/>
      <c r="C335" s="13"/>
      <c r="D335" s="13"/>
      <c r="E335" s="13"/>
      <c r="F335" s="14"/>
      <c r="G335" s="13"/>
      <c r="H335" s="13"/>
      <c r="I335" s="14"/>
    </row>
    <row r="336" spans="1:9" ht="13.9">
      <c r="A336" s="13"/>
      <c r="B336" s="13"/>
      <c r="C336" s="13"/>
      <c r="D336" s="13"/>
      <c r="E336" s="13"/>
      <c r="F336" s="14"/>
      <c r="G336" s="13"/>
      <c r="H336" s="13"/>
      <c r="I336" s="14"/>
    </row>
    <row r="337" spans="1:9" ht="13.9">
      <c r="A337" s="13"/>
      <c r="B337" s="13"/>
      <c r="C337" s="13"/>
      <c r="D337" s="13"/>
      <c r="E337" s="13"/>
      <c r="F337" s="14"/>
      <c r="G337" s="13"/>
      <c r="H337" s="13"/>
      <c r="I337" s="14"/>
    </row>
    <row r="338" spans="1:9" ht="13.9">
      <c r="A338" s="13"/>
      <c r="B338" s="13"/>
      <c r="C338" s="13"/>
      <c r="D338" s="13"/>
      <c r="E338" s="13"/>
      <c r="F338" s="14"/>
      <c r="G338" s="13"/>
      <c r="H338" s="13"/>
      <c r="I338" s="14"/>
    </row>
    <row r="339" spans="1:9" ht="13.9">
      <c r="A339" s="13"/>
      <c r="B339" s="13"/>
      <c r="C339" s="13"/>
      <c r="D339" s="13"/>
      <c r="E339" s="13"/>
      <c r="F339" s="14"/>
      <c r="G339" s="13"/>
      <c r="H339" s="13"/>
      <c r="I339" s="14"/>
    </row>
    <row r="340" spans="1:9" ht="13.9">
      <c r="A340" s="13"/>
      <c r="B340" s="13"/>
      <c r="C340" s="13"/>
      <c r="D340" s="13"/>
      <c r="E340" s="13"/>
      <c r="F340" s="14"/>
      <c r="G340" s="13"/>
      <c r="H340" s="13"/>
      <c r="I340" s="14"/>
    </row>
    <row r="341" spans="1:9" ht="13.9">
      <c r="A341" s="13"/>
      <c r="B341" s="13"/>
      <c r="C341" s="13"/>
      <c r="D341" s="13"/>
      <c r="E341" s="13"/>
      <c r="F341" s="14"/>
      <c r="G341" s="13"/>
      <c r="H341" s="13"/>
      <c r="I341" s="14"/>
    </row>
  </sheetData>
  <sortState xmlns:xlrd2="http://schemas.microsoft.com/office/spreadsheetml/2017/richdata2" ref="A3:I4">
    <sortCondition ref="A3:A4"/>
  </sortState>
  <mergeCells count="4">
    <mergeCell ref="G1:I1"/>
    <mergeCell ref="A1:C1"/>
    <mergeCell ref="D1:F1"/>
    <mergeCell ref="A2:B2"/>
  </mergeCells>
  <conditionalFormatting sqref="F2 I2 F4:F99 I4:I99">
    <cfRule type="cellIs" dxfId="34" priority="1" stopIfTrue="1" operator="lessThanOrEqual">
      <formula>-0.1</formula>
    </cfRule>
    <cfRule type="expression" dxfId="33"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41"/>
  <sheetViews>
    <sheetView workbookViewId="0">
      <pane xSplit="2" ySplit="3" topLeftCell="C8" activePane="bottomRight" state="frozen"/>
      <selection pane="bottomRight" activeCell="G2" sqref="G2"/>
      <selection pane="bottomLeft" activeCell="D28" sqref="D28"/>
      <selection pane="topRight" activeCell="D28" sqref="D28"/>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15" t="str" cm="1">
        <f t="array" ref="A1">portfolio</f>
        <v>38 DN</v>
      </c>
      <c r="B1" s="115"/>
      <c r="C1" s="115"/>
      <c r="D1" s="116" t="s">
        <v>14</v>
      </c>
      <c r="E1" s="116"/>
      <c r="F1" s="116"/>
      <c r="G1" s="114" t="s">
        <v>15</v>
      </c>
      <c r="H1" s="114"/>
      <c r="I1" s="114"/>
    </row>
    <row r="2" spans="1:9" ht="19.5" customHeight="1">
      <c r="A2" s="117" t="s">
        <v>2</v>
      </c>
      <c r="B2" s="117"/>
      <c r="C2" s="5">
        <f>SUM(C4:C99)</f>
        <v>17562481.27146424</v>
      </c>
      <c r="D2" s="5">
        <f>SUM(D4:D99)</f>
        <v>18236619.065999996</v>
      </c>
      <c r="E2" s="5">
        <f>C2-D2</f>
        <v>-674137.79453575611</v>
      </c>
      <c r="F2" s="6">
        <f>IFERROR(E2/D2, 0)</f>
        <v>-3.6966160892871074E-2</v>
      </c>
      <c r="G2" s="5">
        <f>SUM(G4:G99)</f>
        <v>16876439.264999997</v>
      </c>
      <c r="H2" s="7">
        <f>C2-G2</f>
        <v>686042.00646424294</v>
      </c>
      <c r="I2" s="6">
        <f>IFERROR(H2/G2, 0)</f>
        <v>4.0650874019795377E-2</v>
      </c>
    </row>
    <row r="3" spans="1:9" ht="14.25" customHeight="1">
      <c r="A3" s="17" t="s">
        <v>3</v>
      </c>
      <c r="B3" s="17" t="s">
        <v>4</v>
      </c>
      <c r="C3" s="27" t="s">
        <v>5</v>
      </c>
      <c r="D3" s="28" t="s">
        <v>6</v>
      </c>
      <c r="E3" s="28" t="s">
        <v>7</v>
      </c>
      <c r="F3" s="29" t="s">
        <v>8</v>
      </c>
      <c r="G3" s="30" t="s">
        <v>9</v>
      </c>
      <c r="H3" s="31" t="s">
        <v>7</v>
      </c>
      <c r="I3" s="32" t="s">
        <v>8</v>
      </c>
    </row>
    <row r="4" spans="1:9" ht="15.6">
      <c r="A4" s="55" t="str" cm="1">
        <f t="array" ref="A4:A27">Sites[Site]</f>
        <v>6th St.</v>
      </c>
      <c r="B4" s="35" t="str" cm="1">
        <f t="array" ref="B4:B27">Sites[State]</f>
        <v>CA</v>
      </c>
      <c r="C4" s="36">
        <f>SUM(Jul!C4, Aug!C4, Sep!C4)</f>
        <v>598624.99999999907</v>
      </c>
      <c r="D4" s="37">
        <f>SUM(Jul!D4, Aug!D4, Sep!D4)</f>
        <v>743772.2649999999</v>
      </c>
      <c r="E4" s="37">
        <f>IF(AND(ISNUMBER(C4),ISNUMBER(D4)), C4-D4, "")</f>
        <v>-145147.26500000083</v>
      </c>
      <c r="F4" s="38">
        <f>IFERROR(E4/D4, "")</f>
        <v>-0.19515014451365814</v>
      </c>
      <c r="G4" s="39">
        <f>SUM(Jul!G4,Aug!G4,Sep!G4)</f>
        <v>743190.57200000004</v>
      </c>
      <c r="H4" s="39">
        <f>SUM(Jul!H4, Aug!H4, Sep!H4)</f>
        <v>-144565.572000001</v>
      </c>
      <c r="I4" s="40">
        <f>IFERROR(H4/G4, "")</f>
        <v>-0.1945201909800344</v>
      </c>
    </row>
    <row r="5" spans="1:9" ht="15.6">
      <c r="A5" s="56" t="str">
        <v>Barton Acres</v>
      </c>
      <c r="B5" s="42" t="str">
        <v>MA</v>
      </c>
      <c r="C5" s="43">
        <f>SUM(Jul!C5, Aug!C5, Sep!C5)</f>
        <v>596179</v>
      </c>
      <c r="D5" s="44">
        <f>SUM(Jul!D5, Aug!D5, Sep!D5)</f>
        <v>605364.01</v>
      </c>
      <c r="E5" s="44">
        <f t="shared" ref="E5:E15" si="0">IF(AND(ISNUMBER(C5),ISNUMBER(D5)), C5-D5, "")</f>
        <v>-9185.0100000000093</v>
      </c>
      <c r="F5" s="45">
        <f>IFERROR(E5/D5, "")</f>
        <v>-1.5172705757648211E-2</v>
      </c>
      <c r="G5" s="46">
        <f>SUM(Jul!G5,Aug!G5,Sep!G5)</f>
        <v>533358.73600000003</v>
      </c>
      <c r="H5" s="46">
        <f>SUM(Jul!H5, Aug!H5, Sep!H5)</f>
        <v>62820.263999999996</v>
      </c>
      <c r="I5" s="45">
        <f>IFERROR(H5/G5, "")</f>
        <v>0.11778238502500124</v>
      </c>
    </row>
    <row r="6" spans="1:9" ht="15.6">
      <c r="A6" s="55" t="str">
        <v>Bowden</v>
      </c>
      <c r="B6" s="35" t="str">
        <v>MA</v>
      </c>
      <c r="C6" s="36">
        <f>SUM(Jul!C6, Aug!C6, Sep!C6)</f>
        <v>1173440</v>
      </c>
      <c r="D6" s="37">
        <f>SUM(Jul!D6, Aug!D6, Sep!D6)</f>
        <v>1172912.51</v>
      </c>
      <c r="E6" s="37">
        <f t="shared" si="0"/>
        <v>527.48999999999069</v>
      </c>
      <c r="F6" s="38">
        <f t="shared" ref="F6:F15" si="1">IFERROR(E6/D6, "")</f>
        <v>4.4972663817865723E-4</v>
      </c>
      <c r="G6" s="39">
        <f>SUM(Jul!G6,Aug!G6,Sep!G6)</f>
        <v>1112167.4439999999</v>
      </c>
      <c r="H6" s="39">
        <f>SUM(Jul!H6, Aug!H6, Sep!H6)</f>
        <v>61272.556000000041</v>
      </c>
      <c r="I6" s="40">
        <f t="shared" ref="I6:I15" si="2">IFERROR(H6/G6, "")</f>
        <v>5.5092923579590093E-2</v>
      </c>
    </row>
    <row r="7" spans="1:9" ht="15.6">
      <c r="A7" s="56" t="str">
        <v>Blair Wire Village</v>
      </c>
      <c r="B7" s="42" t="str">
        <v>MA</v>
      </c>
      <c r="C7" s="43">
        <f>SUM(Jul!C7, Aug!C7, Sep!C7)</f>
        <v>567235</v>
      </c>
      <c r="D7" s="44">
        <f>SUM(Jul!D7, Aug!D7, Sep!D7)</f>
        <v>618195.72900000005</v>
      </c>
      <c r="E7" s="44">
        <f t="shared" si="0"/>
        <v>-50960.72900000005</v>
      </c>
      <c r="F7" s="45">
        <f t="shared" si="1"/>
        <v>-8.2434618373107602E-2</v>
      </c>
      <c r="G7" s="46">
        <f>SUM(Jul!G7,Aug!G7,Sep!G7)</f>
        <v>557949.06400000001</v>
      </c>
      <c r="H7" s="46">
        <f>SUM(Jul!H7, Aug!H7, Sep!H7)</f>
        <v>9285.9360000000161</v>
      </c>
      <c r="I7" s="45">
        <f t="shared" si="2"/>
        <v>1.6642981589444904E-2</v>
      </c>
    </row>
    <row r="8" spans="1:9" ht="15.6">
      <c r="A8" s="55" t="str">
        <v>Boutilier</v>
      </c>
      <c r="B8" s="35" t="str">
        <v>MA</v>
      </c>
      <c r="C8" s="36">
        <f>SUM(Jul!C8, Aug!C8, Sep!C8)</f>
        <v>1563343</v>
      </c>
      <c r="D8" s="37">
        <f>SUM(Jul!D8, Aug!D8, Sep!D8)</f>
        <v>1480347.2149999999</v>
      </c>
      <c r="E8" s="37">
        <f t="shared" si="0"/>
        <v>82995.785000000149</v>
      </c>
      <c r="F8" s="38">
        <f t="shared" si="1"/>
        <v>5.6065079975173363E-2</v>
      </c>
      <c r="G8" s="39">
        <f>SUM(Jul!G8,Aug!G8,Sep!G8)</f>
        <v>1464145.87</v>
      </c>
      <c r="H8" s="39">
        <f>SUM(Jul!H8, Aug!H8, Sep!H8)</f>
        <v>99197.13</v>
      </c>
      <c r="I8" s="40">
        <f t="shared" si="2"/>
        <v>6.7750851901115558E-2</v>
      </c>
    </row>
    <row r="9" spans="1:9" ht="15.6">
      <c r="A9" s="56" t="str">
        <v>Cherry Valley</v>
      </c>
      <c r="B9" s="42" t="str">
        <v>MA</v>
      </c>
      <c r="C9" s="43">
        <f>SUM(Jul!C9, Aug!C9, Sep!C9)</f>
        <v>536983</v>
      </c>
      <c r="D9" s="44">
        <f>SUM(Jul!D9, Aug!D9, Sep!D9)</f>
        <v>600273.87599999993</v>
      </c>
      <c r="E9" s="44">
        <f t="shared" si="0"/>
        <v>-63290.875999999931</v>
      </c>
      <c r="F9" s="45">
        <f t="shared" si="1"/>
        <v>-0.10543666571290192</v>
      </c>
      <c r="G9" s="46">
        <f>SUM(Jul!G9,Aug!G9,Sep!G9)</f>
        <v>521877.33500000002</v>
      </c>
      <c r="H9" s="46">
        <f>SUM(Jul!H9, Aug!H9, Sep!H9)</f>
        <v>15105.665000000008</v>
      </c>
      <c r="I9" s="45">
        <f t="shared" si="2"/>
        <v>2.8944857319776127E-2</v>
      </c>
    </row>
    <row r="10" spans="1:9" ht="15.6">
      <c r="A10" s="55" t="str">
        <v>Cohasse</v>
      </c>
      <c r="B10" s="35" t="str">
        <v>MA</v>
      </c>
      <c r="C10" s="36">
        <f>SUM(Jul!C10, Aug!C10, Sep!C10)</f>
        <v>506157</v>
      </c>
      <c r="D10" s="37">
        <f>SUM(Jul!D10, Aug!D10, Sep!D10)</f>
        <v>536734.97600000002</v>
      </c>
      <c r="E10" s="37">
        <f t="shared" si="0"/>
        <v>-30577.976000000024</v>
      </c>
      <c r="F10" s="38">
        <f t="shared" si="1"/>
        <v>-5.6970343590949477E-2</v>
      </c>
      <c r="G10" s="39">
        <f>SUM(Jul!G10,Aug!G10,Sep!G10)</f>
        <v>550233.50599999994</v>
      </c>
      <c r="H10" s="39">
        <f>SUM(Jul!H10, Aug!H10, Sep!H10)</f>
        <v>-44076.505999999994</v>
      </c>
      <c r="I10" s="40">
        <f t="shared" si="2"/>
        <v>-8.0105092691320032E-2</v>
      </c>
    </row>
    <row r="11" spans="1:9" ht="15.6">
      <c r="A11" s="56" t="str">
        <v>ISM Dighton Solar 2</v>
      </c>
      <c r="B11" s="42" t="str">
        <v>MA</v>
      </c>
      <c r="C11" s="43">
        <f>SUM(Jul!C11, Aug!C11, Sep!C11)</f>
        <v>1173946</v>
      </c>
      <c r="D11" s="44">
        <f>SUM(Jul!D11, Aug!D11, Sep!D11)</f>
        <v>1119670.585</v>
      </c>
      <c r="E11" s="44">
        <f t="shared" si="0"/>
        <v>54275.415000000037</v>
      </c>
      <c r="F11" s="45">
        <f t="shared" si="1"/>
        <v>4.8474449295280934E-2</v>
      </c>
      <c r="G11" s="46">
        <f>SUM(Jul!G11,Aug!G11,Sep!G11)</f>
        <v>1106156.27</v>
      </c>
      <c r="H11" s="46">
        <f>SUM(Jul!H11, Aug!H11, Sep!H11)</f>
        <v>67789.729999999981</v>
      </c>
      <c r="I11" s="45">
        <f t="shared" si="2"/>
        <v>6.1284044432528488E-2</v>
      </c>
    </row>
    <row r="12" spans="1:9" ht="15.6">
      <c r="A12" s="55" t="str">
        <v>Dudley River 1</v>
      </c>
      <c r="B12" s="35" t="str">
        <v>MA</v>
      </c>
      <c r="C12" s="36">
        <f>SUM(Jul!C12, Aug!C12, Sep!C12)</f>
        <v>554583</v>
      </c>
      <c r="D12" s="37">
        <f>SUM(Jul!D12, Aug!D12, Sep!D12)</f>
        <v>598126.92299999995</v>
      </c>
      <c r="E12" s="37">
        <f t="shared" si="0"/>
        <v>-43543.922999999952</v>
      </c>
      <c r="F12" s="38">
        <f t="shared" si="1"/>
        <v>-7.2800473153086867E-2</v>
      </c>
      <c r="G12" s="39">
        <f>SUM(Jul!G12,Aug!G12,Sep!G12)</f>
        <v>560902.11800000002</v>
      </c>
      <c r="H12" s="39">
        <f>SUM(Jul!H12, Aug!H12, Sep!H12)</f>
        <v>-6319.1179999999877</v>
      </c>
      <c r="I12" s="40">
        <f t="shared" si="2"/>
        <v>-1.1265990619775103E-2</v>
      </c>
    </row>
    <row r="13" spans="1:9" ht="15.6">
      <c r="A13" s="56" t="str">
        <v>Dudley River 2</v>
      </c>
      <c r="B13" s="42" t="str">
        <v>MA</v>
      </c>
      <c r="C13" s="43">
        <f>SUM(Jul!C13, Aug!C13, Sep!C13)</f>
        <v>533692</v>
      </c>
      <c r="D13" s="44">
        <f>SUM(Jul!D13, Aug!D13, Sep!D13)</f>
        <v>563357.27599999995</v>
      </c>
      <c r="E13" s="44">
        <f t="shared" si="0"/>
        <v>-29665.275999999954</v>
      </c>
      <c r="F13" s="45">
        <f t="shared" si="1"/>
        <v>-5.2658015195316224E-2</v>
      </c>
      <c r="G13" s="46">
        <f>SUM(Jul!G13,Aug!G13,Sep!G13)</f>
        <v>534339.33299999998</v>
      </c>
      <c r="H13" s="46">
        <f>SUM(Jul!H13, Aug!H13, Sep!H13)</f>
        <v>-647.33299999998417</v>
      </c>
      <c r="I13" s="45">
        <f t="shared" si="2"/>
        <v>-1.2114642513130962E-3</v>
      </c>
    </row>
    <row r="14" spans="1:9" ht="15.6">
      <c r="A14" s="55" t="str">
        <v>Dudley River 3</v>
      </c>
      <c r="B14" s="35" t="str">
        <v>MA</v>
      </c>
      <c r="C14" s="36">
        <f>SUM(Jul!C14, Aug!C14, Sep!C14)</f>
        <v>555172</v>
      </c>
      <c r="D14" s="37">
        <f>SUM(Jul!D14, Aug!D14, Sep!D14)</f>
        <v>563617.47899999993</v>
      </c>
      <c r="E14" s="37">
        <f t="shared" si="0"/>
        <v>-8445.4789999999339</v>
      </c>
      <c r="F14" s="38">
        <f t="shared" si="1"/>
        <v>-1.4984416407710335E-2</v>
      </c>
      <c r="G14" s="39">
        <f>SUM(Jul!G14,Aug!G14,Sep!G14)</f>
        <v>541743.16300000006</v>
      </c>
      <c r="H14" s="39">
        <f>SUM(Jul!H14, Aug!H14, Sep!H14)</f>
        <v>13428.837</v>
      </c>
      <c r="I14" s="40">
        <f t="shared" si="2"/>
        <v>2.478819838839387E-2</v>
      </c>
    </row>
    <row r="15" spans="1:9" ht="15.6">
      <c r="A15" s="56" t="str">
        <v>Flint Pond</v>
      </c>
      <c r="B15" s="42" t="str">
        <v>MA</v>
      </c>
      <c r="C15" s="43">
        <f>SUM(Jul!C15, Aug!C15, Sep!C15)</f>
        <v>270342</v>
      </c>
      <c r="D15" s="44">
        <f>SUM(Jul!D15, Aug!D15, Sep!D15)</f>
        <v>234356.68999999997</v>
      </c>
      <c r="E15" s="44">
        <f t="shared" si="0"/>
        <v>35985.310000000027</v>
      </c>
      <c r="F15" s="45">
        <f t="shared" si="1"/>
        <v>0.15354931834888105</v>
      </c>
      <c r="G15" s="46">
        <f>SUM(Jul!G15,Aug!G15,Sep!G15)</f>
        <v>249951.97</v>
      </c>
      <c r="H15" s="46">
        <f>SUM(Jul!H15, Aug!H15, Sep!H15)</f>
        <v>20390.03</v>
      </c>
      <c r="I15" s="45">
        <f t="shared" si="2"/>
        <v>8.1575792341224584E-2</v>
      </c>
    </row>
    <row r="16" spans="1:9" ht="15.6">
      <c r="A16" s="55" t="str">
        <v>Incom</v>
      </c>
      <c r="B16" s="35" t="str">
        <v>MA</v>
      </c>
      <c r="C16" s="36">
        <f>SUM(Jul!C16, Aug!C16, Sep!C16)</f>
        <v>1187950.7714642391</v>
      </c>
      <c r="D16" s="37">
        <f>SUM(Jul!D16, Aug!D16, Sep!D16)</f>
        <v>1282443.7139999999</v>
      </c>
      <c r="E16" s="37">
        <f t="shared" ref="E16:E19" si="3">IF(AND(ISNUMBER(C16),ISNUMBER(D16)), C16-D16, "")</f>
        <v>-94492.942535760812</v>
      </c>
      <c r="F16" s="38">
        <f t="shared" ref="F16:F19" si="4">IFERROR(E16/D16, "")</f>
        <v>-7.3681941362582729E-2</v>
      </c>
      <c r="G16" s="39">
        <f>SUM(Jul!G16,Aug!G16,Sep!G16)</f>
        <v>1131982.1200000001</v>
      </c>
      <c r="H16" s="39">
        <f>SUM(Jul!H16, Aug!H16, Sep!H16)</f>
        <v>55968.651464239054</v>
      </c>
      <c r="I16" s="40">
        <f t="shared" ref="I16:I19" si="5">IFERROR(H16/G16, "")</f>
        <v>4.9443052567154547E-2</v>
      </c>
    </row>
    <row r="17" spans="1:9" ht="15.6">
      <c r="A17" s="56" t="str">
        <v>JH</v>
      </c>
      <c r="B17" s="42" t="str">
        <v>MA</v>
      </c>
      <c r="C17" s="43">
        <f>SUM(Jul!C17, Aug!C17, Sep!C17)</f>
        <v>536582</v>
      </c>
      <c r="D17" s="44">
        <f>SUM(Jul!D17, Aug!D17, Sep!D17)</f>
        <v>561501.28799999994</v>
      </c>
      <c r="E17" s="44">
        <f t="shared" si="3"/>
        <v>-24919.287999999942</v>
      </c>
      <c r="F17" s="45">
        <f t="shared" si="4"/>
        <v>-4.4379752161850687E-2</v>
      </c>
      <c r="G17" s="46">
        <f>SUM(Jul!G17,Aug!G17,Sep!G17)</f>
        <v>540273.87999999989</v>
      </c>
      <c r="H17" s="46">
        <f>SUM(Jul!H17, Aug!H17, Sep!H17)</f>
        <v>-3691.8799999999756</v>
      </c>
      <c r="I17" s="45">
        <f t="shared" si="5"/>
        <v>-6.8333490414157656E-3</v>
      </c>
    </row>
    <row r="18" spans="1:9" ht="12.75" customHeight="1">
      <c r="A18" s="55" t="str">
        <v>Ledeaux</v>
      </c>
      <c r="B18" s="34" t="str">
        <v>MA</v>
      </c>
      <c r="C18" s="36">
        <f>SUM(Jul!C18, Aug!C18, Sep!C18)</f>
        <v>489843</v>
      </c>
      <c r="D18" s="37">
        <f>SUM(Jul!D18, Aug!D18, Sep!D18)</f>
        <v>536992.65899999999</v>
      </c>
      <c r="E18" s="37">
        <f t="shared" si="3"/>
        <v>-47149.658999999985</v>
      </c>
      <c r="F18" s="38">
        <f t="shared" si="4"/>
        <v>-8.7803172370741825E-2</v>
      </c>
      <c r="G18" s="39">
        <f>SUM(Jul!G18,Aug!G18,Sep!G18)</f>
        <v>526740.03600000008</v>
      </c>
      <c r="H18" s="39">
        <f>SUM(Jul!H18, Aug!H18, Sep!H18)</f>
        <v>-36897.035999999993</v>
      </c>
      <c r="I18" s="40">
        <f t="shared" si="5"/>
        <v>-7.0047904997295449E-2</v>
      </c>
    </row>
    <row r="19" spans="1:9" ht="15.6">
      <c r="A19" s="56" t="str">
        <v>Palombo A</v>
      </c>
      <c r="B19" s="41" t="str">
        <v>MA</v>
      </c>
      <c r="C19" s="43">
        <f>SUM(Jul!C19, Aug!C19, Sep!C19)</f>
        <v>1129565</v>
      </c>
      <c r="D19" s="44">
        <f>SUM(Jul!D19, Aug!D19, Sep!D19)</f>
        <v>1171110.838</v>
      </c>
      <c r="E19" s="44">
        <f t="shared" si="3"/>
        <v>-41545.837999999989</v>
      </c>
      <c r="F19" s="45">
        <f t="shared" si="4"/>
        <v>-3.5475581517929719E-2</v>
      </c>
      <c r="G19" s="46">
        <f>SUM(Jul!G19,Aug!G19,Sep!G19)</f>
        <v>1116392.42</v>
      </c>
      <c r="H19" s="46">
        <f>SUM(Jul!H19, Aug!H19, Sep!H19)</f>
        <v>13172.580000000016</v>
      </c>
      <c r="I19" s="45">
        <f t="shared" si="5"/>
        <v>1.179923812094677E-2</v>
      </c>
    </row>
    <row r="20" spans="1:9" ht="15.6">
      <c r="A20" s="55" t="str">
        <v>Palombo B</v>
      </c>
      <c r="B20" s="34" t="str">
        <v>MA</v>
      </c>
      <c r="C20" s="36">
        <f>SUM(Jul!C20, Aug!C20, Sep!C20)</f>
        <v>569054</v>
      </c>
      <c r="D20" s="37">
        <f>SUM(Jul!D20, Aug!D20, Sep!D20)</f>
        <v>494527.75699999998</v>
      </c>
      <c r="E20" s="37">
        <f t="shared" ref="E20:E24" si="6">IF(AND(ISNUMBER(C20),ISNUMBER(D20)), C20-D20, "")</f>
        <v>74526.243000000017</v>
      </c>
      <c r="F20" s="38">
        <f t="shared" ref="F20:F24" si="7">IFERROR(E20/D20, "")</f>
        <v>0.15070184018002455</v>
      </c>
      <c r="G20" s="39">
        <f>SUM(Jul!G20,Aug!G20,Sep!G20)</f>
        <v>549745.64</v>
      </c>
      <c r="H20" s="39">
        <f>SUM(Jul!H20, Aug!H20, Sep!H20)</f>
        <v>19308.360000000015</v>
      </c>
      <c r="I20" s="40">
        <f t="shared" ref="I20:I24" si="8">IFERROR(H20/G20, "")</f>
        <v>3.5122352220928965E-2</v>
      </c>
    </row>
    <row r="21" spans="1:9" ht="15.6">
      <c r="A21" s="56" t="str">
        <v>St Josephs Church</v>
      </c>
      <c r="B21" s="41" t="str">
        <v>MA</v>
      </c>
      <c r="C21" s="43">
        <f>SUM(Jul!C21, Aug!C21, Sep!C21)</f>
        <v>554911</v>
      </c>
      <c r="D21" s="44">
        <f>SUM(Jul!D21, Aug!D21, Sep!D21)</f>
        <v>612588.60800000001</v>
      </c>
      <c r="E21" s="44">
        <f t="shared" si="6"/>
        <v>-57677.608000000007</v>
      </c>
      <c r="F21" s="45">
        <f t="shared" si="7"/>
        <v>-9.4153902385334609E-2</v>
      </c>
      <c r="G21" s="46">
        <f>SUM(Jul!G21,Aug!G21,Sep!G21)</f>
        <v>533345.66800000006</v>
      </c>
      <c r="H21" s="46">
        <f>SUM(Jul!H21, Aug!H21, Sep!H21)</f>
        <v>21565.331999999995</v>
      </c>
      <c r="I21" s="45">
        <f t="shared" si="8"/>
        <v>4.0434062361222725E-2</v>
      </c>
    </row>
    <row r="22" spans="1:9" ht="15.6">
      <c r="A22" s="55" t="str">
        <v>Sunset A</v>
      </c>
      <c r="B22" s="34" t="str">
        <v>MA</v>
      </c>
      <c r="C22" s="36">
        <f>SUM(Jul!C22, Aug!C22, Sep!C22)</f>
        <v>278507.5</v>
      </c>
      <c r="D22" s="37">
        <f>SUM(Jul!D22, Aug!D22, Sep!D22)</f>
        <v>302100.43900000001</v>
      </c>
      <c r="E22" s="37">
        <f t="shared" si="6"/>
        <v>-23592.939000000013</v>
      </c>
      <c r="F22" s="38">
        <f t="shared" si="7"/>
        <v>-7.8096341329712576E-2</v>
      </c>
      <c r="G22" s="39">
        <f>SUM(Jul!G22,Aug!G22,Sep!G22)</f>
        <v>251089.43799999997</v>
      </c>
      <c r="H22" s="39">
        <f>SUM(Jul!H22, Aug!H22, Sep!H22)</f>
        <v>27418.062000000005</v>
      </c>
      <c r="I22" s="40">
        <f t="shared" si="8"/>
        <v>0.10919639718178831</v>
      </c>
    </row>
    <row r="23" spans="1:9" ht="15.6">
      <c r="A23" s="56" t="str">
        <v>Sunset B</v>
      </c>
      <c r="B23" s="41" t="str">
        <v>MA</v>
      </c>
      <c r="C23" s="43">
        <f>SUM(Jul!C23, Aug!C23, Sep!C23)</f>
        <v>258640</v>
      </c>
      <c r="D23" s="44">
        <f>SUM(Jul!D23, Aug!D23, Sep!D23)</f>
        <v>275190.91799999995</v>
      </c>
      <c r="E23" s="44">
        <f t="shared" si="6"/>
        <v>-16550.917999999947</v>
      </c>
      <c r="F23" s="45">
        <f t="shared" si="7"/>
        <v>-6.0143401970845382E-2</v>
      </c>
      <c r="G23" s="46">
        <f>SUM(Jul!G23,Aug!G23,Sep!G23)</f>
        <v>245790.41800000001</v>
      </c>
      <c r="H23" s="46">
        <f>SUM(Jul!H23, Aug!H23, Sep!H23)</f>
        <v>12849.582000000009</v>
      </c>
      <c r="I23" s="45">
        <f t="shared" si="8"/>
        <v>5.2278612423369612E-2</v>
      </c>
    </row>
    <row r="24" spans="1:9" ht="15.6">
      <c r="A24" s="55" t="str">
        <v>Woodchuck</v>
      </c>
      <c r="B24" s="34" t="str">
        <v>MA</v>
      </c>
      <c r="C24" s="36">
        <f>SUM(Jul!C24, Aug!C24, Sep!C24)</f>
        <v>556946</v>
      </c>
      <c r="D24" s="37">
        <f>SUM(Jul!D24, Aug!D24, Sep!D24)</f>
        <v>588360.19099999999</v>
      </c>
      <c r="E24" s="37">
        <f t="shared" si="6"/>
        <v>-31414.190999999992</v>
      </c>
      <c r="F24" s="38">
        <f t="shared" si="7"/>
        <v>-5.3392788092286127E-2</v>
      </c>
      <c r="G24" s="39">
        <f>SUM(Jul!G24,Aug!G24,Sep!G24)</f>
        <v>560190.74399999995</v>
      </c>
      <c r="H24" s="39">
        <f>SUM(Jul!H24, Aug!H24, Sep!H24)</f>
        <v>-3244.7440000000061</v>
      </c>
      <c r="I24" s="40">
        <f t="shared" si="8"/>
        <v>-5.7922128038588342E-3</v>
      </c>
    </row>
    <row r="25" spans="1:9" ht="15.6">
      <c r="A25" s="56" t="str">
        <v>NY: Skaneateles - Spafford 1 - (PW)</v>
      </c>
      <c r="B25" s="41" t="str">
        <v>NY</v>
      </c>
      <c r="C25" s="43">
        <f>SUM(Jul!C25, Aug!C25, Sep!C25)</f>
        <v>2354870</v>
      </c>
      <c r="D25" s="44">
        <f>SUM(Jul!D25, Aug!D25, Sep!D25)</f>
        <v>2642874.5810000002</v>
      </c>
      <c r="E25" s="44">
        <f t="shared" ref="E25:E27" si="9">IF(AND(ISNUMBER(C25),ISNUMBER(D25)), C25-D25, "")</f>
        <v>-288004.58100000024</v>
      </c>
      <c r="F25" s="45">
        <f t="shared" ref="F25:F27" si="10">IFERROR(E25/D25, "")</f>
        <v>-0.10897398729039431</v>
      </c>
      <c r="G25" s="46">
        <f>SUM(Jul!G25,Aug!G25,Sep!G25)</f>
        <v>2070559.9</v>
      </c>
      <c r="H25" s="46">
        <f>SUM(Jul!H25, Aug!H25, Sep!H25)</f>
        <v>284310.09999999998</v>
      </c>
      <c r="I25" s="45">
        <f t="shared" ref="I25:I27" si="11">IFERROR(H25/G25, "")</f>
        <v>0.13731073416422293</v>
      </c>
    </row>
    <row r="26" spans="1:9" ht="15.6">
      <c r="A26" s="55" t="str">
        <v>NY: Skaneateles - Spafford 2 - (PW)</v>
      </c>
      <c r="B26" s="34" t="str">
        <v>NY</v>
      </c>
      <c r="C26" s="36">
        <f>SUM(Jul!C26, Aug!C26, Sep!C26)</f>
        <v>1015915</v>
      </c>
      <c r="D26" s="37">
        <f>SUM(Jul!D26, Aug!D26, Sep!D26)</f>
        <v>932198.53899999999</v>
      </c>
      <c r="E26" s="37">
        <f t="shared" si="9"/>
        <v>83716.46100000001</v>
      </c>
      <c r="F26" s="38">
        <f t="shared" si="10"/>
        <v>8.9805398203912021E-2</v>
      </c>
      <c r="G26" s="39">
        <f>SUM(Jul!G26,Aug!G26,Sep!G26)</f>
        <v>874313.62</v>
      </c>
      <c r="H26" s="39">
        <f>SUM(Jul!H26, Aug!H26, Sep!H26)</f>
        <v>141601.38</v>
      </c>
      <c r="I26" s="40">
        <f t="shared" si="11"/>
        <v>0.1619571933467078</v>
      </c>
    </row>
    <row r="27" spans="1:9" ht="15.6">
      <c r="A27" s="56" t="str">
        <v>NY: New Hartford - 4001 NY-12 (IRA)</v>
      </c>
      <c r="B27" s="41" t="str">
        <v>NY</v>
      </c>
      <c r="C27" s="43">
        <f>SUM(Jul!C27, Aug!C27, Sep!C27)</f>
        <v>0</v>
      </c>
      <c r="D27" s="44">
        <f>SUM(Jul!D27, Aug!D27, Sep!D27)</f>
        <v>0</v>
      </c>
      <c r="E27" s="44">
        <f t="shared" si="9"/>
        <v>0</v>
      </c>
      <c r="F27" s="45" t="str">
        <f t="shared" si="10"/>
        <v/>
      </c>
      <c r="G27" s="46">
        <f>SUM(Jul!G27,Aug!G27,Sep!G27)</f>
        <v>0</v>
      </c>
      <c r="H27" s="46">
        <f>SUM(Jul!H27, Aug!H27, Sep!H27)</f>
        <v>0</v>
      </c>
      <c r="I27" s="45" t="str">
        <f t="shared" si="11"/>
        <v/>
      </c>
    </row>
    <row r="28" spans="1:9" ht="15.6">
      <c r="A28" s="9"/>
      <c r="B28" s="13"/>
      <c r="C28" s="13"/>
      <c r="D28" s="13"/>
      <c r="E28" s="13"/>
      <c r="F28" s="13"/>
      <c r="G28" s="13"/>
      <c r="H28" s="13"/>
      <c r="I28" s="13"/>
    </row>
    <row r="29" spans="1:9" ht="15.6">
      <c r="A29" s="9"/>
      <c r="B29" s="13"/>
      <c r="C29" s="13"/>
      <c r="D29" s="13"/>
      <c r="E29" s="13"/>
      <c r="F29" s="13"/>
      <c r="G29" s="13"/>
      <c r="H29" s="13"/>
      <c r="I29" s="13"/>
    </row>
    <row r="30" spans="1:9" ht="15.6">
      <c r="A30" s="9"/>
      <c r="B30" s="13"/>
      <c r="C30" s="13"/>
      <c r="D30" s="13"/>
      <c r="E30" s="13"/>
      <c r="F30" s="13"/>
      <c r="G30" s="13"/>
      <c r="H30" s="13"/>
      <c r="I30" s="13"/>
    </row>
    <row r="31" spans="1:9" ht="13.9">
      <c r="A31" s="13"/>
      <c r="B31" s="13"/>
      <c r="C31" s="13"/>
      <c r="D31" s="13"/>
      <c r="E31" s="13"/>
      <c r="F31" s="13"/>
      <c r="G31" s="13"/>
      <c r="H31" s="13"/>
      <c r="I31" s="13"/>
    </row>
    <row r="32" spans="1:9" ht="13.9">
      <c r="A32" s="13"/>
      <c r="B32" s="13"/>
      <c r="C32" s="13"/>
      <c r="D32" s="13"/>
      <c r="E32" s="13"/>
      <c r="F32" s="14"/>
      <c r="G32" s="13"/>
      <c r="H32" s="13"/>
      <c r="I32" s="14"/>
    </row>
    <row r="33" spans="1:9" ht="13.9">
      <c r="A33" s="13"/>
      <c r="B33" s="13"/>
      <c r="C33" s="13"/>
      <c r="D33" s="13"/>
      <c r="E33" s="13"/>
      <c r="F33" s="14"/>
      <c r="G33" s="13"/>
      <c r="H33" s="13"/>
      <c r="I33" s="14"/>
    </row>
    <row r="34" spans="1:9" ht="13.9">
      <c r="A34" s="13"/>
      <c r="B34" s="13"/>
      <c r="C34" s="13"/>
      <c r="D34" s="13"/>
      <c r="E34" s="13"/>
      <c r="F34" s="14"/>
      <c r="G34" s="13"/>
      <c r="H34" s="13"/>
      <c r="I34" s="14"/>
    </row>
    <row r="35" spans="1:9" ht="13.9">
      <c r="A35" s="13"/>
      <c r="B35" s="13"/>
      <c r="C35" s="13"/>
      <c r="D35" s="13"/>
      <c r="E35" s="13"/>
      <c r="F35" s="14"/>
      <c r="G35" s="13"/>
      <c r="H35" s="13"/>
      <c r="I35" s="14"/>
    </row>
    <row r="36" spans="1:9" ht="13.9">
      <c r="A36" s="13"/>
      <c r="B36" s="13"/>
      <c r="C36" s="13"/>
      <c r="D36" s="13"/>
      <c r="E36" s="13"/>
      <c r="F36" s="14"/>
      <c r="G36" s="13"/>
      <c r="H36" s="13"/>
      <c r="I36" s="14"/>
    </row>
    <row r="37" spans="1:9" ht="13.9">
      <c r="A37" s="13"/>
      <c r="B37" s="13"/>
      <c r="C37" s="13"/>
      <c r="D37" s="13"/>
      <c r="E37" s="13"/>
      <c r="F37" s="14"/>
      <c r="G37" s="13"/>
      <c r="H37" s="13"/>
      <c r="I37" s="14"/>
    </row>
    <row r="38" spans="1:9" ht="13.9">
      <c r="A38" s="13"/>
      <c r="B38" s="13"/>
      <c r="C38" s="13"/>
      <c r="D38" s="13"/>
      <c r="E38" s="13"/>
      <c r="F38" s="14"/>
      <c r="G38" s="13"/>
      <c r="H38" s="13"/>
      <c r="I38" s="14"/>
    </row>
    <row r="39" spans="1:9" ht="13.9">
      <c r="A39" s="13"/>
      <c r="B39" s="13"/>
      <c r="C39" s="13"/>
      <c r="D39" s="13"/>
      <c r="E39" s="13"/>
      <c r="F39" s="14"/>
      <c r="G39" s="13"/>
      <c r="H39" s="13"/>
      <c r="I39" s="14"/>
    </row>
    <row r="40" spans="1:9" ht="13.9">
      <c r="A40" s="13"/>
      <c r="B40" s="13"/>
      <c r="C40" s="13"/>
      <c r="D40" s="13"/>
      <c r="E40" s="13"/>
      <c r="F40" s="14"/>
      <c r="G40" s="13"/>
      <c r="H40" s="13"/>
      <c r="I40" s="14"/>
    </row>
    <row r="41" spans="1:9" ht="13.9">
      <c r="A41" s="13"/>
      <c r="B41" s="13"/>
      <c r="C41" s="13"/>
      <c r="D41" s="13"/>
      <c r="E41" s="13"/>
      <c r="F41" s="14"/>
      <c r="G41" s="13"/>
      <c r="H41" s="13"/>
      <c r="I41" s="14"/>
    </row>
    <row r="42" spans="1:9" ht="13.9">
      <c r="A42" s="13"/>
      <c r="B42" s="13"/>
      <c r="C42" s="13"/>
      <c r="D42" s="13"/>
      <c r="E42" s="13"/>
      <c r="F42" s="14"/>
      <c r="G42" s="13"/>
      <c r="H42" s="13"/>
      <c r="I42" s="14"/>
    </row>
    <row r="43" spans="1:9" ht="13.9">
      <c r="A43" s="13"/>
      <c r="B43" s="13"/>
      <c r="C43" s="13"/>
      <c r="D43" s="13"/>
      <c r="E43" s="13"/>
      <c r="F43" s="14"/>
      <c r="G43" s="13"/>
      <c r="H43" s="13"/>
      <c r="I43" s="14"/>
    </row>
    <row r="44" spans="1:9" ht="13.9">
      <c r="A44" s="13"/>
      <c r="B44" s="13"/>
      <c r="C44" s="13"/>
      <c r="D44" s="13"/>
      <c r="E44" s="13"/>
      <c r="F44" s="14"/>
      <c r="G44" s="13"/>
      <c r="H44" s="13"/>
      <c r="I44" s="14"/>
    </row>
    <row r="45" spans="1:9" ht="13.9">
      <c r="A45" s="13"/>
      <c r="B45" s="13"/>
      <c r="C45" s="13"/>
      <c r="D45" s="13"/>
      <c r="E45" s="13"/>
      <c r="F45" s="14"/>
      <c r="G45" s="13"/>
      <c r="H45" s="13"/>
      <c r="I45" s="14"/>
    </row>
    <row r="46" spans="1:9" ht="13.9">
      <c r="A46" s="13"/>
      <c r="B46" s="13"/>
      <c r="C46" s="13"/>
      <c r="D46" s="13"/>
      <c r="E46" s="13"/>
      <c r="F46" s="14"/>
      <c r="G46" s="13"/>
      <c r="H46" s="13"/>
      <c r="I46" s="14"/>
    </row>
    <row r="47" spans="1:9" ht="13.9">
      <c r="A47" s="13"/>
      <c r="B47" s="13"/>
      <c r="C47" s="13"/>
      <c r="D47" s="13"/>
      <c r="E47" s="13"/>
      <c r="F47" s="14"/>
      <c r="G47" s="13"/>
      <c r="H47" s="13"/>
      <c r="I47" s="14"/>
    </row>
    <row r="48" spans="1:9" ht="13.9">
      <c r="A48" s="13"/>
      <c r="B48" s="13"/>
      <c r="C48" s="13"/>
      <c r="D48" s="13"/>
      <c r="E48" s="13"/>
      <c r="F48" s="14"/>
      <c r="G48" s="13"/>
      <c r="H48" s="13"/>
      <c r="I48" s="14"/>
    </row>
    <row r="49" spans="1:9" ht="13.9">
      <c r="A49" s="13"/>
      <c r="B49" s="13"/>
      <c r="C49" s="13"/>
      <c r="D49" s="13"/>
      <c r="E49" s="13"/>
      <c r="F49" s="14"/>
      <c r="G49" s="13"/>
      <c r="H49" s="13"/>
      <c r="I49" s="14"/>
    </row>
    <row r="50" spans="1:9" ht="13.9">
      <c r="A50" s="13"/>
      <c r="B50" s="13"/>
      <c r="C50" s="13"/>
      <c r="D50" s="13"/>
      <c r="E50" s="13"/>
      <c r="F50" s="14"/>
      <c r="G50" s="13"/>
      <c r="H50" s="13"/>
      <c r="I50" s="14"/>
    </row>
    <row r="51" spans="1:9" ht="13.9">
      <c r="A51" s="13"/>
      <c r="B51" s="13"/>
      <c r="C51" s="13"/>
      <c r="D51" s="13"/>
      <c r="E51" s="13"/>
      <c r="F51" s="14"/>
      <c r="G51" s="13"/>
      <c r="H51" s="13"/>
      <c r="I51" s="14"/>
    </row>
    <row r="52" spans="1:9" ht="13.9">
      <c r="A52" s="13"/>
      <c r="B52" s="13"/>
      <c r="C52" s="13"/>
      <c r="D52" s="13"/>
      <c r="E52" s="13"/>
      <c r="F52" s="14"/>
      <c r="G52" s="13"/>
      <c r="H52" s="13"/>
      <c r="I52" s="14"/>
    </row>
    <row r="53" spans="1:9" ht="13.9">
      <c r="A53" s="13"/>
      <c r="B53" s="13"/>
      <c r="C53" s="13"/>
      <c r="D53" s="13"/>
      <c r="E53" s="13"/>
      <c r="F53" s="14"/>
      <c r="G53" s="13"/>
      <c r="H53" s="13"/>
      <c r="I53" s="14"/>
    </row>
    <row r="54" spans="1:9" ht="13.9">
      <c r="A54" s="13"/>
      <c r="B54" s="13"/>
      <c r="C54" s="13"/>
      <c r="D54" s="13"/>
      <c r="E54" s="13"/>
      <c r="F54" s="14"/>
      <c r="G54" s="13"/>
      <c r="H54" s="13"/>
      <c r="I54" s="14"/>
    </row>
    <row r="55" spans="1:9" ht="13.9">
      <c r="A55" s="13"/>
      <c r="B55" s="13"/>
      <c r="C55" s="13"/>
      <c r="D55" s="13"/>
      <c r="E55" s="13"/>
      <c r="F55" s="14"/>
      <c r="G55" s="13"/>
      <c r="H55" s="13"/>
      <c r="I55" s="14"/>
    </row>
    <row r="56" spans="1:9" ht="13.9">
      <c r="A56" s="13"/>
      <c r="B56" s="13"/>
      <c r="C56" s="13"/>
      <c r="D56" s="13"/>
      <c r="E56" s="13"/>
      <c r="F56" s="14"/>
      <c r="G56" s="13"/>
      <c r="H56" s="13"/>
      <c r="I56" s="14"/>
    </row>
    <row r="57" spans="1:9" ht="13.9">
      <c r="A57" s="13"/>
      <c r="B57" s="13"/>
      <c r="C57" s="13"/>
      <c r="D57" s="13"/>
      <c r="E57" s="13"/>
      <c r="F57" s="14"/>
      <c r="G57" s="13"/>
      <c r="H57" s="13"/>
      <c r="I57" s="14"/>
    </row>
    <row r="58" spans="1:9" ht="13.9">
      <c r="A58" s="13"/>
      <c r="B58" s="13"/>
      <c r="C58" s="13"/>
      <c r="D58" s="13"/>
      <c r="E58" s="13"/>
      <c r="F58" s="14"/>
      <c r="G58" s="13"/>
      <c r="H58" s="13"/>
      <c r="I58" s="14"/>
    </row>
    <row r="59" spans="1:9" ht="13.9">
      <c r="A59" s="13"/>
      <c r="B59" s="13"/>
      <c r="C59" s="13"/>
      <c r="D59" s="13"/>
      <c r="E59" s="13"/>
      <c r="F59" s="14"/>
      <c r="G59" s="13"/>
      <c r="H59" s="13"/>
      <c r="I59" s="14"/>
    </row>
    <row r="60" spans="1:9" ht="13.9">
      <c r="A60" s="13"/>
      <c r="B60" s="13"/>
      <c r="C60" s="13"/>
      <c r="D60" s="13"/>
      <c r="E60" s="13"/>
      <c r="F60" s="14"/>
      <c r="G60" s="13"/>
      <c r="H60" s="13"/>
      <c r="I60" s="14"/>
    </row>
    <row r="61" spans="1:9" ht="13.9">
      <c r="A61" s="13"/>
      <c r="B61" s="13"/>
      <c r="C61" s="13"/>
      <c r="D61" s="13"/>
      <c r="E61" s="13"/>
      <c r="F61" s="14"/>
      <c r="G61" s="13"/>
      <c r="H61" s="13"/>
      <c r="I61" s="14"/>
    </row>
    <row r="62" spans="1:9" ht="13.9">
      <c r="A62" s="13"/>
      <c r="B62" s="13"/>
      <c r="C62" s="13"/>
      <c r="D62" s="13"/>
      <c r="E62" s="13"/>
      <c r="F62" s="14"/>
      <c r="G62" s="13"/>
      <c r="H62" s="13"/>
      <c r="I62" s="14"/>
    </row>
    <row r="63" spans="1:9" ht="13.9">
      <c r="A63" s="13"/>
      <c r="B63" s="13"/>
      <c r="C63" s="13"/>
      <c r="D63" s="13"/>
      <c r="E63" s="13"/>
      <c r="F63" s="14"/>
      <c r="G63" s="13"/>
      <c r="H63" s="13"/>
      <c r="I63" s="14"/>
    </row>
    <row r="64" spans="1:9" ht="13.9">
      <c r="A64" s="13"/>
      <c r="B64" s="13"/>
      <c r="C64" s="13"/>
      <c r="D64" s="13"/>
      <c r="E64" s="13"/>
      <c r="F64" s="14"/>
      <c r="G64" s="13"/>
      <c r="H64" s="13"/>
      <c r="I64" s="14"/>
    </row>
    <row r="65" spans="1:9" ht="13.9">
      <c r="A65" s="13"/>
      <c r="B65" s="13"/>
      <c r="C65" s="13"/>
      <c r="D65" s="13"/>
      <c r="E65" s="13"/>
      <c r="F65" s="14"/>
      <c r="G65" s="13"/>
      <c r="H65" s="13"/>
      <c r="I65" s="14"/>
    </row>
    <row r="66" spans="1:9" ht="13.9">
      <c r="A66" s="13"/>
      <c r="B66" s="13"/>
      <c r="C66" s="13"/>
      <c r="D66" s="13"/>
      <c r="E66" s="13"/>
      <c r="F66" s="14"/>
      <c r="G66" s="13"/>
      <c r="H66" s="13"/>
      <c r="I66" s="14"/>
    </row>
    <row r="67" spans="1:9" ht="13.9">
      <c r="A67" s="13"/>
      <c r="B67" s="13"/>
      <c r="C67" s="13"/>
      <c r="D67" s="13"/>
      <c r="E67" s="13"/>
      <c r="F67" s="14"/>
      <c r="G67" s="13"/>
      <c r="H67" s="13"/>
      <c r="I67" s="14"/>
    </row>
    <row r="68" spans="1:9" ht="13.9">
      <c r="A68" s="13"/>
      <c r="B68" s="13"/>
      <c r="C68" s="13"/>
      <c r="D68" s="13"/>
      <c r="E68" s="13"/>
      <c r="F68" s="14"/>
      <c r="G68" s="13"/>
      <c r="H68" s="13"/>
      <c r="I68" s="14"/>
    </row>
    <row r="69" spans="1:9" ht="13.9">
      <c r="A69" s="13"/>
      <c r="B69" s="13"/>
      <c r="C69" s="13"/>
      <c r="D69" s="13"/>
      <c r="E69" s="13"/>
      <c r="F69" s="14"/>
      <c r="G69" s="13"/>
      <c r="H69" s="13"/>
      <c r="I69" s="14"/>
    </row>
    <row r="70" spans="1:9" ht="13.9">
      <c r="A70" s="13"/>
      <c r="B70" s="13"/>
      <c r="C70" s="13"/>
      <c r="D70" s="13"/>
      <c r="E70" s="13"/>
      <c r="F70" s="14"/>
      <c r="G70" s="13"/>
      <c r="H70" s="13"/>
      <c r="I70" s="14"/>
    </row>
    <row r="71" spans="1:9" ht="13.9">
      <c r="A71" s="13"/>
      <c r="B71" s="13"/>
      <c r="C71" s="13"/>
      <c r="D71" s="13"/>
      <c r="E71" s="13"/>
      <c r="F71" s="14"/>
      <c r="G71" s="13"/>
      <c r="H71" s="13"/>
      <c r="I71" s="14"/>
    </row>
    <row r="72" spans="1:9" ht="13.9">
      <c r="A72" s="13"/>
      <c r="B72" s="13"/>
      <c r="C72" s="13"/>
      <c r="D72" s="13"/>
      <c r="E72" s="13"/>
      <c r="F72" s="14"/>
      <c r="G72" s="13"/>
      <c r="H72" s="13"/>
      <c r="I72" s="14"/>
    </row>
    <row r="73" spans="1:9" ht="13.9">
      <c r="A73" s="13"/>
      <c r="B73" s="13"/>
      <c r="C73" s="13"/>
      <c r="D73" s="13"/>
      <c r="E73" s="13"/>
      <c r="F73" s="14"/>
      <c r="G73" s="13"/>
      <c r="H73" s="13"/>
      <c r="I73" s="14"/>
    </row>
    <row r="74" spans="1:9" ht="13.9">
      <c r="A74" s="13"/>
      <c r="B74" s="13"/>
      <c r="C74" s="13"/>
      <c r="D74" s="13"/>
      <c r="E74" s="13"/>
      <c r="F74" s="14"/>
      <c r="G74" s="13"/>
      <c r="H74" s="13"/>
      <c r="I74" s="14"/>
    </row>
    <row r="75" spans="1:9" ht="13.9">
      <c r="A75" s="13"/>
      <c r="B75" s="13"/>
      <c r="C75" s="13"/>
      <c r="D75" s="13"/>
      <c r="E75" s="13"/>
      <c r="F75" s="14"/>
      <c r="G75" s="13"/>
      <c r="H75" s="13"/>
      <c r="I75" s="14"/>
    </row>
    <row r="76" spans="1:9" ht="13.9">
      <c r="A76" s="13"/>
      <c r="B76" s="13"/>
      <c r="C76" s="13"/>
      <c r="D76" s="13"/>
      <c r="E76" s="13"/>
      <c r="F76" s="14"/>
      <c r="G76" s="13"/>
      <c r="H76" s="13"/>
      <c r="I76" s="14"/>
    </row>
    <row r="77" spans="1:9" ht="13.9">
      <c r="A77" s="13"/>
      <c r="B77" s="13"/>
      <c r="C77" s="13"/>
      <c r="D77" s="13"/>
      <c r="E77" s="13"/>
      <c r="F77" s="14"/>
      <c r="G77" s="13"/>
      <c r="H77" s="13"/>
      <c r="I77" s="14"/>
    </row>
    <row r="78" spans="1:9" ht="13.9">
      <c r="A78" s="13"/>
      <c r="B78" s="13"/>
      <c r="C78" s="13"/>
      <c r="D78" s="13"/>
      <c r="E78" s="13"/>
      <c r="F78" s="14"/>
      <c r="G78" s="13"/>
      <c r="H78" s="13"/>
      <c r="I78" s="14"/>
    </row>
    <row r="79" spans="1:9" ht="13.9">
      <c r="A79" s="13"/>
      <c r="B79" s="13"/>
      <c r="C79" s="13"/>
      <c r="D79" s="13"/>
      <c r="E79" s="13"/>
      <c r="F79" s="14"/>
      <c r="G79" s="13"/>
      <c r="H79" s="13"/>
      <c r="I79" s="14"/>
    </row>
    <row r="80" spans="1:9" ht="13.9">
      <c r="A80" s="13"/>
      <c r="B80" s="13"/>
      <c r="C80" s="13"/>
      <c r="D80" s="13"/>
      <c r="E80" s="13"/>
      <c r="F80" s="14"/>
      <c r="G80" s="13"/>
      <c r="H80" s="13"/>
      <c r="I80" s="14"/>
    </row>
    <row r="81" spans="1:9" ht="13.9">
      <c r="A81" s="13"/>
      <c r="B81" s="13"/>
      <c r="C81" s="13"/>
      <c r="D81" s="13"/>
      <c r="E81" s="13"/>
      <c r="F81" s="14"/>
      <c r="G81" s="13"/>
      <c r="H81" s="13"/>
      <c r="I81" s="14"/>
    </row>
    <row r="82" spans="1:9" ht="13.9">
      <c r="A82" s="13"/>
      <c r="B82" s="13"/>
      <c r="C82" s="13"/>
      <c r="D82" s="13"/>
      <c r="E82" s="13"/>
      <c r="F82" s="14"/>
      <c r="G82" s="13"/>
      <c r="H82" s="13"/>
      <c r="I82" s="14"/>
    </row>
    <row r="83" spans="1:9" ht="13.9">
      <c r="A83" s="13"/>
      <c r="B83" s="13"/>
      <c r="C83" s="13"/>
      <c r="D83" s="13"/>
      <c r="E83" s="13"/>
      <c r="F83" s="14"/>
      <c r="G83" s="13"/>
      <c r="H83" s="13"/>
      <c r="I83" s="14"/>
    </row>
    <row r="84" spans="1:9" ht="13.9">
      <c r="A84" s="13"/>
      <c r="B84" s="13"/>
      <c r="C84" s="13"/>
      <c r="D84" s="13"/>
      <c r="E84" s="13"/>
      <c r="F84" s="14"/>
      <c r="G84" s="13"/>
      <c r="H84" s="13"/>
      <c r="I84" s="14"/>
    </row>
    <row r="85" spans="1:9" ht="13.9">
      <c r="A85" s="13"/>
      <c r="B85" s="13"/>
      <c r="C85" s="13"/>
      <c r="D85" s="13"/>
      <c r="E85" s="13"/>
      <c r="F85" s="14"/>
      <c r="G85" s="13"/>
      <c r="H85" s="13"/>
      <c r="I85" s="14"/>
    </row>
    <row r="86" spans="1:9" ht="13.9">
      <c r="A86" s="13"/>
      <c r="B86" s="13"/>
      <c r="C86" s="13"/>
      <c r="D86" s="13"/>
      <c r="E86" s="13"/>
      <c r="F86" s="14"/>
      <c r="G86" s="13"/>
      <c r="H86" s="13"/>
      <c r="I86" s="14"/>
    </row>
    <row r="87" spans="1:9" ht="13.9">
      <c r="A87" s="13"/>
      <c r="B87" s="13"/>
      <c r="C87" s="13"/>
      <c r="D87" s="13"/>
      <c r="E87" s="13"/>
      <c r="F87" s="14"/>
      <c r="G87" s="13"/>
      <c r="H87" s="13"/>
      <c r="I87" s="14"/>
    </row>
    <row r="88" spans="1:9" ht="13.9">
      <c r="A88" s="13"/>
      <c r="B88" s="13"/>
      <c r="C88" s="13"/>
      <c r="D88" s="13"/>
      <c r="E88" s="13"/>
      <c r="F88" s="14"/>
      <c r="G88" s="13"/>
      <c r="H88" s="13"/>
      <c r="I88" s="14"/>
    </row>
    <row r="89" spans="1:9" ht="13.9">
      <c r="A89" s="13"/>
      <c r="B89" s="13"/>
      <c r="C89" s="13"/>
      <c r="D89" s="13"/>
      <c r="E89" s="13"/>
      <c r="F89" s="14"/>
      <c r="G89" s="13"/>
      <c r="H89" s="13"/>
      <c r="I89" s="14"/>
    </row>
    <row r="90" spans="1:9" ht="13.9">
      <c r="A90" s="13"/>
      <c r="B90" s="13"/>
      <c r="C90" s="13"/>
      <c r="D90" s="13"/>
      <c r="E90" s="13"/>
      <c r="F90" s="14"/>
      <c r="G90" s="13"/>
      <c r="H90" s="13"/>
      <c r="I90" s="14"/>
    </row>
    <row r="91" spans="1:9" ht="13.9">
      <c r="A91" s="13"/>
      <c r="B91" s="13"/>
      <c r="C91" s="13"/>
      <c r="D91" s="13"/>
      <c r="E91" s="13"/>
      <c r="F91" s="14"/>
      <c r="G91" s="13"/>
      <c r="H91" s="13"/>
      <c r="I91" s="14"/>
    </row>
    <row r="92" spans="1:9" ht="13.9">
      <c r="A92" s="13"/>
      <c r="B92" s="13"/>
      <c r="C92" s="13"/>
      <c r="D92" s="13"/>
      <c r="E92" s="13"/>
      <c r="F92" s="14"/>
      <c r="G92" s="13"/>
      <c r="H92" s="13"/>
      <c r="I92" s="14"/>
    </row>
    <row r="93" spans="1:9" ht="13.9">
      <c r="A93" s="13"/>
      <c r="B93" s="13"/>
      <c r="C93" s="13"/>
      <c r="D93" s="13"/>
      <c r="E93" s="13"/>
      <c r="F93" s="14"/>
      <c r="G93" s="13"/>
      <c r="H93" s="13"/>
      <c r="I93" s="14"/>
    </row>
    <row r="94" spans="1:9" ht="13.9">
      <c r="A94" s="13"/>
      <c r="B94" s="13"/>
      <c r="C94" s="13"/>
      <c r="D94" s="13"/>
      <c r="E94" s="13"/>
      <c r="F94" s="14"/>
      <c r="G94" s="13"/>
      <c r="H94" s="13"/>
      <c r="I94" s="14"/>
    </row>
    <row r="95" spans="1:9" ht="13.9">
      <c r="A95" s="13"/>
      <c r="B95" s="13"/>
      <c r="C95" s="13"/>
      <c r="D95" s="13"/>
      <c r="E95" s="13"/>
      <c r="F95" s="14"/>
      <c r="G95" s="13"/>
      <c r="H95" s="13"/>
      <c r="I95" s="14"/>
    </row>
    <row r="96" spans="1:9" ht="13.9">
      <c r="A96" s="13"/>
      <c r="B96" s="13"/>
      <c r="C96" s="13"/>
      <c r="D96" s="13"/>
      <c r="E96" s="13"/>
      <c r="F96" s="14"/>
      <c r="G96" s="13"/>
      <c r="H96" s="13"/>
      <c r="I96" s="14"/>
    </row>
    <row r="97" spans="1:9" ht="13.9">
      <c r="A97" s="13"/>
      <c r="B97" s="13"/>
      <c r="C97" s="13"/>
      <c r="D97" s="13"/>
      <c r="E97" s="13"/>
      <c r="F97" s="14"/>
      <c r="G97" s="13"/>
      <c r="H97" s="13"/>
      <c r="I97" s="14"/>
    </row>
    <row r="98" spans="1:9" ht="13.9">
      <c r="A98" s="13"/>
      <c r="B98" s="13"/>
      <c r="C98" s="13"/>
      <c r="D98" s="13"/>
      <c r="E98" s="13"/>
      <c r="F98" s="14"/>
      <c r="G98" s="13"/>
      <c r="H98" s="13"/>
      <c r="I98" s="14"/>
    </row>
    <row r="99" spans="1:9" ht="13.9">
      <c r="A99" s="13"/>
      <c r="B99" s="13"/>
      <c r="C99" s="13"/>
      <c r="D99" s="13"/>
      <c r="E99" s="13"/>
      <c r="F99" s="14"/>
      <c r="G99" s="13"/>
      <c r="H99" s="13"/>
      <c r="I99" s="14"/>
    </row>
    <row r="100" spans="1:9" ht="13.9">
      <c r="A100" s="13"/>
      <c r="B100" s="13"/>
      <c r="C100" s="13"/>
      <c r="D100" s="13"/>
      <c r="E100" s="13"/>
      <c r="F100" s="14"/>
      <c r="G100" s="13"/>
      <c r="H100" s="13"/>
      <c r="I100" s="14"/>
    </row>
    <row r="101" spans="1:9" ht="13.9">
      <c r="A101" s="13"/>
      <c r="B101" s="13"/>
      <c r="C101" s="13"/>
      <c r="D101" s="13"/>
      <c r="E101" s="13"/>
      <c r="F101" s="14"/>
      <c r="G101" s="13"/>
      <c r="H101" s="13"/>
      <c r="I101" s="14"/>
    </row>
    <row r="102" spans="1:9" ht="13.9">
      <c r="A102" s="13"/>
      <c r="B102" s="13"/>
      <c r="C102" s="13"/>
      <c r="D102" s="13"/>
      <c r="E102" s="13"/>
      <c r="F102" s="14"/>
      <c r="G102" s="13"/>
      <c r="H102" s="13"/>
      <c r="I102" s="14"/>
    </row>
    <row r="103" spans="1:9" ht="13.9">
      <c r="A103" s="13"/>
      <c r="B103" s="13"/>
      <c r="C103" s="13"/>
      <c r="D103" s="13"/>
      <c r="E103" s="13"/>
      <c r="F103" s="14"/>
      <c r="G103" s="13"/>
      <c r="H103" s="13"/>
      <c r="I103" s="14"/>
    </row>
    <row r="104" spans="1:9" ht="13.9">
      <c r="A104" s="13"/>
      <c r="B104" s="13"/>
      <c r="C104" s="13"/>
      <c r="D104" s="13"/>
      <c r="E104" s="13"/>
      <c r="F104" s="14"/>
      <c r="G104" s="13"/>
      <c r="H104" s="13"/>
      <c r="I104" s="14"/>
    </row>
    <row r="105" spans="1:9" ht="13.9">
      <c r="A105" s="13"/>
      <c r="B105" s="13"/>
      <c r="C105" s="13"/>
      <c r="D105" s="13"/>
      <c r="E105" s="13"/>
      <c r="F105" s="14"/>
      <c r="G105" s="13"/>
      <c r="H105" s="13"/>
      <c r="I105" s="14"/>
    </row>
    <row r="106" spans="1:9" ht="13.9">
      <c r="A106" s="13"/>
      <c r="B106" s="13"/>
      <c r="C106" s="13"/>
      <c r="D106" s="13"/>
      <c r="E106" s="13"/>
      <c r="F106" s="14"/>
      <c r="G106" s="13"/>
      <c r="H106" s="13"/>
      <c r="I106" s="14"/>
    </row>
    <row r="107" spans="1:9" ht="13.9">
      <c r="A107" s="13"/>
      <c r="B107" s="13"/>
      <c r="C107" s="13"/>
      <c r="D107" s="13"/>
      <c r="E107" s="13"/>
      <c r="F107" s="14"/>
      <c r="G107" s="13"/>
      <c r="H107" s="13"/>
      <c r="I107" s="14"/>
    </row>
    <row r="108" spans="1:9" ht="13.9">
      <c r="A108" s="13"/>
      <c r="B108" s="13"/>
      <c r="C108" s="13"/>
      <c r="D108" s="13"/>
      <c r="E108" s="13"/>
      <c r="F108" s="14"/>
      <c r="G108" s="13"/>
      <c r="H108" s="13"/>
      <c r="I108" s="14"/>
    </row>
    <row r="109" spans="1:9" ht="13.9">
      <c r="A109" s="13"/>
      <c r="B109" s="13"/>
      <c r="C109" s="13"/>
      <c r="D109" s="13"/>
      <c r="E109" s="13"/>
      <c r="F109" s="14"/>
      <c r="G109" s="13"/>
      <c r="H109" s="13"/>
      <c r="I109" s="14"/>
    </row>
    <row r="110" spans="1:9" ht="13.9">
      <c r="A110" s="13"/>
      <c r="B110" s="13"/>
      <c r="C110" s="13"/>
      <c r="D110" s="13"/>
      <c r="E110" s="13"/>
      <c r="F110" s="14"/>
      <c r="G110" s="13"/>
      <c r="H110" s="13"/>
      <c r="I110" s="14"/>
    </row>
    <row r="111" spans="1:9" ht="13.9">
      <c r="A111" s="13"/>
      <c r="B111" s="13"/>
      <c r="C111" s="13"/>
      <c r="D111" s="13"/>
      <c r="E111" s="13"/>
      <c r="F111" s="14"/>
      <c r="G111" s="13"/>
      <c r="H111" s="13"/>
      <c r="I111" s="14"/>
    </row>
    <row r="112" spans="1:9" ht="13.9">
      <c r="A112" s="13"/>
      <c r="B112" s="13"/>
      <c r="C112" s="13"/>
      <c r="D112" s="13"/>
      <c r="E112" s="13"/>
      <c r="F112" s="14"/>
      <c r="G112" s="13"/>
      <c r="H112" s="13"/>
      <c r="I112" s="14"/>
    </row>
    <row r="113" spans="1:9" ht="13.9">
      <c r="A113" s="13"/>
      <c r="B113" s="13"/>
      <c r="C113" s="13"/>
      <c r="D113" s="13"/>
      <c r="E113" s="13"/>
      <c r="F113" s="14"/>
      <c r="G113" s="13"/>
      <c r="H113" s="13"/>
      <c r="I113" s="14"/>
    </row>
    <row r="114" spans="1:9" ht="13.9">
      <c r="A114" s="13"/>
      <c r="B114" s="13"/>
      <c r="C114" s="13"/>
      <c r="D114" s="13"/>
      <c r="E114" s="13"/>
      <c r="F114" s="14"/>
      <c r="G114" s="13"/>
      <c r="H114" s="13"/>
      <c r="I114" s="14"/>
    </row>
    <row r="115" spans="1:9" ht="13.9">
      <c r="A115" s="13"/>
      <c r="B115" s="13"/>
      <c r="C115" s="13"/>
      <c r="D115" s="13"/>
      <c r="E115" s="13"/>
      <c r="F115" s="14"/>
      <c r="G115" s="13"/>
      <c r="H115" s="13"/>
      <c r="I115" s="14"/>
    </row>
    <row r="116" spans="1:9" ht="13.9">
      <c r="A116" s="13"/>
      <c r="B116" s="13"/>
      <c r="C116" s="13"/>
      <c r="D116" s="13"/>
      <c r="E116" s="13"/>
      <c r="F116" s="14"/>
      <c r="G116" s="13"/>
      <c r="H116" s="13"/>
      <c r="I116" s="14"/>
    </row>
    <row r="117" spans="1:9" ht="13.9">
      <c r="A117" s="13"/>
      <c r="B117" s="13"/>
      <c r="C117" s="13"/>
      <c r="D117" s="13"/>
      <c r="E117" s="13"/>
      <c r="F117" s="14"/>
      <c r="G117" s="13"/>
      <c r="H117" s="13"/>
      <c r="I117" s="14"/>
    </row>
    <row r="118" spans="1:9" ht="13.9">
      <c r="A118" s="13"/>
      <c r="B118" s="13"/>
      <c r="C118" s="13"/>
      <c r="D118" s="13"/>
      <c r="E118" s="13"/>
      <c r="F118" s="14"/>
      <c r="G118" s="13"/>
      <c r="H118" s="13"/>
      <c r="I118" s="14"/>
    </row>
    <row r="119" spans="1:9" ht="13.9">
      <c r="A119" s="13"/>
      <c r="B119" s="13"/>
      <c r="C119" s="13"/>
      <c r="D119" s="13"/>
      <c r="E119" s="13"/>
      <c r="F119" s="14"/>
      <c r="G119" s="13"/>
      <c r="H119" s="13"/>
      <c r="I119" s="14"/>
    </row>
    <row r="120" spans="1:9" ht="13.9">
      <c r="A120" s="13"/>
      <c r="B120" s="13"/>
      <c r="C120" s="13"/>
      <c r="D120" s="13"/>
      <c r="E120" s="13"/>
      <c r="F120" s="14"/>
      <c r="G120" s="13"/>
      <c r="H120" s="13"/>
      <c r="I120" s="14"/>
    </row>
    <row r="121" spans="1:9" ht="13.9">
      <c r="A121" s="13"/>
      <c r="B121" s="13"/>
      <c r="C121" s="13"/>
      <c r="D121" s="13"/>
      <c r="E121" s="13"/>
      <c r="F121" s="14"/>
      <c r="G121" s="13"/>
      <c r="H121" s="13"/>
      <c r="I121" s="14"/>
    </row>
    <row r="122" spans="1:9" ht="13.9">
      <c r="A122" s="13"/>
      <c r="B122" s="13"/>
      <c r="C122" s="13"/>
      <c r="D122" s="13"/>
      <c r="E122" s="13"/>
      <c r="F122" s="14"/>
      <c r="G122" s="13"/>
      <c r="H122" s="13"/>
      <c r="I122" s="14"/>
    </row>
    <row r="123" spans="1:9" ht="13.9">
      <c r="A123" s="13"/>
      <c r="B123" s="13"/>
      <c r="C123" s="13"/>
      <c r="D123" s="13"/>
      <c r="E123" s="13"/>
      <c r="F123" s="14"/>
      <c r="G123" s="13"/>
      <c r="H123" s="13"/>
      <c r="I123" s="14"/>
    </row>
    <row r="124" spans="1:9" ht="13.9">
      <c r="A124" s="13"/>
      <c r="B124" s="13"/>
      <c r="C124" s="13"/>
      <c r="D124" s="13"/>
      <c r="E124" s="13"/>
      <c r="F124" s="14"/>
      <c r="G124" s="13"/>
      <c r="H124" s="13"/>
      <c r="I124" s="14"/>
    </row>
    <row r="125" spans="1:9" ht="13.9">
      <c r="A125" s="13"/>
      <c r="B125" s="13"/>
      <c r="C125" s="13"/>
      <c r="D125" s="13"/>
      <c r="E125" s="13"/>
      <c r="F125" s="14"/>
      <c r="G125" s="13"/>
      <c r="H125" s="13"/>
      <c r="I125" s="14"/>
    </row>
    <row r="126" spans="1:9" ht="13.9">
      <c r="A126" s="13"/>
      <c r="B126" s="13"/>
      <c r="C126" s="13"/>
      <c r="D126" s="13"/>
      <c r="E126" s="13"/>
      <c r="F126" s="14"/>
      <c r="G126" s="13"/>
      <c r="H126" s="13"/>
      <c r="I126" s="14"/>
    </row>
    <row r="127" spans="1:9" ht="13.9">
      <c r="A127" s="13"/>
      <c r="B127" s="13"/>
      <c r="C127" s="13"/>
      <c r="D127" s="13"/>
      <c r="E127" s="13"/>
      <c r="F127" s="14"/>
      <c r="G127" s="13"/>
      <c r="H127" s="13"/>
      <c r="I127" s="14"/>
    </row>
    <row r="128" spans="1:9" ht="13.9">
      <c r="A128" s="13"/>
      <c r="B128" s="13"/>
      <c r="C128" s="13"/>
      <c r="D128" s="13"/>
      <c r="E128" s="13"/>
      <c r="F128" s="14"/>
      <c r="G128" s="13"/>
      <c r="H128" s="13"/>
      <c r="I128" s="14"/>
    </row>
    <row r="129" spans="1:9" ht="13.9">
      <c r="A129" s="13"/>
      <c r="B129" s="13"/>
      <c r="C129" s="13"/>
      <c r="D129" s="13"/>
      <c r="E129" s="13"/>
      <c r="F129" s="14"/>
      <c r="G129" s="13"/>
      <c r="H129" s="13"/>
      <c r="I129" s="14"/>
    </row>
    <row r="130" spans="1:9" ht="13.9">
      <c r="A130" s="13"/>
      <c r="B130" s="13"/>
      <c r="C130" s="13"/>
      <c r="D130" s="13"/>
      <c r="E130" s="13"/>
      <c r="F130" s="14"/>
      <c r="G130" s="13"/>
      <c r="H130" s="13"/>
      <c r="I130" s="14"/>
    </row>
    <row r="131" spans="1:9" ht="13.9">
      <c r="A131" s="13"/>
      <c r="B131" s="13"/>
      <c r="C131" s="13"/>
      <c r="D131" s="13"/>
      <c r="E131" s="13"/>
      <c r="F131" s="14"/>
      <c r="G131" s="13"/>
      <c r="H131" s="13"/>
      <c r="I131" s="14"/>
    </row>
    <row r="132" spans="1:9" ht="13.9">
      <c r="A132" s="13"/>
      <c r="B132" s="13"/>
      <c r="C132" s="13"/>
      <c r="D132" s="13"/>
      <c r="E132" s="13"/>
      <c r="F132" s="14"/>
      <c r="G132" s="13"/>
      <c r="H132" s="13"/>
      <c r="I132" s="14"/>
    </row>
    <row r="133" spans="1:9" ht="13.9">
      <c r="A133" s="13"/>
      <c r="B133" s="13"/>
      <c r="C133" s="13"/>
      <c r="D133" s="13"/>
      <c r="E133" s="13"/>
      <c r="F133" s="14"/>
      <c r="G133" s="13"/>
      <c r="H133" s="13"/>
      <c r="I133" s="14"/>
    </row>
    <row r="134" spans="1:9" ht="13.9">
      <c r="A134" s="13"/>
      <c r="B134" s="13"/>
      <c r="C134" s="13"/>
      <c r="D134" s="13"/>
      <c r="E134" s="13"/>
      <c r="F134" s="14"/>
      <c r="G134" s="13"/>
      <c r="H134" s="13"/>
      <c r="I134" s="14"/>
    </row>
    <row r="135" spans="1:9" ht="13.9">
      <c r="A135" s="13"/>
      <c r="B135" s="13"/>
      <c r="C135" s="13"/>
      <c r="D135" s="13"/>
      <c r="E135" s="13"/>
      <c r="F135" s="14"/>
      <c r="G135" s="13"/>
      <c r="H135" s="13"/>
      <c r="I135" s="14"/>
    </row>
    <row r="136" spans="1:9" ht="13.9">
      <c r="A136" s="13"/>
      <c r="B136" s="13"/>
      <c r="C136" s="13"/>
      <c r="D136" s="13"/>
      <c r="E136" s="13"/>
      <c r="F136" s="14"/>
      <c r="G136" s="13"/>
      <c r="H136" s="13"/>
      <c r="I136" s="14"/>
    </row>
    <row r="137" spans="1:9" ht="13.9">
      <c r="A137" s="13"/>
      <c r="B137" s="13"/>
      <c r="C137" s="13"/>
      <c r="D137" s="13"/>
      <c r="E137" s="13"/>
      <c r="F137" s="14"/>
      <c r="G137" s="13"/>
      <c r="H137" s="13"/>
      <c r="I137" s="14"/>
    </row>
    <row r="138" spans="1:9" ht="13.9">
      <c r="A138" s="13"/>
      <c r="B138" s="13"/>
      <c r="C138" s="13"/>
      <c r="D138" s="13"/>
      <c r="E138" s="13"/>
      <c r="F138" s="14"/>
      <c r="G138" s="13"/>
      <c r="H138" s="13"/>
      <c r="I138" s="14"/>
    </row>
    <row r="139" spans="1:9" ht="13.9">
      <c r="A139" s="13"/>
      <c r="B139" s="13"/>
      <c r="C139" s="13"/>
      <c r="D139" s="13"/>
      <c r="E139" s="13"/>
      <c r="F139" s="14"/>
      <c r="G139" s="13"/>
      <c r="H139" s="13"/>
      <c r="I139" s="14"/>
    </row>
    <row r="140" spans="1:9" ht="13.9">
      <c r="A140" s="13"/>
      <c r="B140" s="13"/>
      <c r="C140" s="13"/>
      <c r="D140" s="13"/>
      <c r="E140" s="13"/>
      <c r="F140" s="14"/>
      <c r="G140" s="13"/>
      <c r="H140" s="13"/>
      <c r="I140" s="14"/>
    </row>
    <row r="141" spans="1:9" ht="13.9">
      <c r="A141" s="13"/>
      <c r="B141" s="13"/>
      <c r="C141" s="13"/>
      <c r="D141" s="13"/>
      <c r="E141" s="13"/>
      <c r="F141" s="14"/>
      <c r="G141" s="13"/>
      <c r="H141" s="13"/>
      <c r="I141" s="14"/>
    </row>
    <row r="142" spans="1:9" ht="13.9">
      <c r="A142" s="13"/>
      <c r="B142" s="13"/>
      <c r="C142" s="13"/>
      <c r="D142" s="13"/>
      <c r="E142" s="13"/>
      <c r="F142" s="14"/>
      <c r="G142" s="13"/>
      <c r="H142" s="13"/>
      <c r="I142" s="14"/>
    </row>
    <row r="143" spans="1:9" ht="13.9">
      <c r="A143" s="13"/>
      <c r="B143" s="13"/>
      <c r="C143" s="13"/>
      <c r="D143" s="13"/>
      <c r="E143" s="13"/>
      <c r="F143" s="14"/>
      <c r="G143" s="13"/>
      <c r="H143" s="13"/>
      <c r="I143" s="14"/>
    </row>
    <row r="144" spans="1:9" ht="13.9">
      <c r="A144" s="13"/>
      <c r="B144" s="13"/>
      <c r="C144" s="13"/>
      <c r="D144" s="13"/>
      <c r="E144" s="13"/>
      <c r="F144" s="14"/>
      <c r="G144" s="13"/>
      <c r="H144" s="13"/>
      <c r="I144" s="14"/>
    </row>
    <row r="145" spans="1:9" ht="13.9">
      <c r="A145" s="13"/>
      <c r="B145" s="13"/>
      <c r="C145" s="13"/>
      <c r="D145" s="13"/>
      <c r="E145" s="13"/>
      <c r="F145" s="14"/>
      <c r="G145" s="13"/>
      <c r="H145" s="13"/>
      <c r="I145" s="14"/>
    </row>
    <row r="146" spans="1:9" ht="13.9">
      <c r="A146" s="13"/>
      <c r="B146" s="13"/>
      <c r="C146" s="13"/>
      <c r="D146" s="13"/>
      <c r="E146" s="13"/>
      <c r="F146" s="14"/>
      <c r="G146" s="13"/>
      <c r="H146" s="13"/>
      <c r="I146" s="14"/>
    </row>
    <row r="147" spans="1:9" ht="13.9">
      <c r="A147" s="13"/>
      <c r="B147" s="13"/>
      <c r="C147" s="13"/>
      <c r="D147" s="13"/>
      <c r="E147" s="13"/>
      <c r="F147" s="14"/>
      <c r="G147" s="13"/>
      <c r="H147" s="13"/>
      <c r="I147" s="14"/>
    </row>
    <row r="148" spans="1:9" ht="13.9">
      <c r="A148" s="13"/>
      <c r="B148" s="13"/>
      <c r="C148" s="13"/>
      <c r="D148" s="13"/>
      <c r="E148" s="13"/>
      <c r="F148" s="14"/>
      <c r="G148" s="13"/>
      <c r="H148" s="13"/>
      <c r="I148" s="14"/>
    </row>
    <row r="149" spans="1:9" ht="13.9">
      <c r="A149" s="13"/>
      <c r="B149" s="13"/>
      <c r="C149" s="13"/>
      <c r="D149" s="13"/>
      <c r="E149" s="13"/>
      <c r="F149" s="14"/>
      <c r="G149" s="13"/>
      <c r="H149" s="13"/>
      <c r="I149" s="14"/>
    </row>
    <row r="150" spans="1:9" ht="13.9">
      <c r="A150" s="13"/>
      <c r="B150" s="13"/>
      <c r="C150" s="13"/>
      <c r="D150" s="13"/>
      <c r="E150" s="13"/>
      <c r="F150" s="14"/>
      <c r="G150" s="13"/>
      <c r="H150" s="13"/>
      <c r="I150" s="14"/>
    </row>
    <row r="151" spans="1:9" ht="13.9">
      <c r="A151" s="13"/>
      <c r="B151" s="13"/>
      <c r="C151" s="13"/>
      <c r="D151" s="13"/>
      <c r="E151" s="13"/>
      <c r="F151" s="14"/>
      <c r="G151" s="13"/>
      <c r="H151" s="13"/>
      <c r="I151" s="14"/>
    </row>
    <row r="152" spans="1:9" ht="13.9">
      <c r="A152" s="13"/>
      <c r="B152" s="13"/>
      <c r="C152" s="13"/>
      <c r="D152" s="13"/>
      <c r="E152" s="13"/>
      <c r="F152" s="14"/>
      <c r="G152" s="13"/>
      <c r="H152" s="13"/>
      <c r="I152" s="14"/>
    </row>
    <row r="153" spans="1:9" ht="13.9">
      <c r="A153" s="13"/>
      <c r="B153" s="13"/>
      <c r="C153" s="13"/>
      <c r="D153" s="13"/>
      <c r="E153" s="13"/>
      <c r="F153" s="14"/>
      <c r="G153" s="13"/>
      <c r="H153" s="13"/>
      <c r="I153" s="14"/>
    </row>
    <row r="154" spans="1:9" ht="13.9">
      <c r="A154" s="13"/>
      <c r="B154" s="13"/>
      <c r="C154" s="13"/>
      <c r="D154" s="13"/>
      <c r="E154" s="13"/>
      <c r="F154" s="14"/>
      <c r="G154" s="13"/>
      <c r="H154" s="13"/>
      <c r="I154" s="14"/>
    </row>
    <row r="155" spans="1:9" ht="13.9">
      <c r="A155" s="13"/>
      <c r="B155" s="13"/>
      <c r="C155" s="13"/>
      <c r="D155" s="13"/>
      <c r="E155" s="13"/>
      <c r="F155" s="14"/>
      <c r="G155" s="13"/>
      <c r="H155" s="13"/>
      <c r="I155" s="14"/>
    </row>
    <row r="156" spans="1:9" ht="13.9">
      <c r="A156" s="13"/>
      <c r="B156" s="13"/>
      <c r="C156" s="13"/>
      <c r="D156" s="13"/>
      <c r="E156" s="13"/>
      <c r="F156" s="14"/>
      <c r="G156" s="13"/>
      <c r="H156" s="13"/>
      <c r="I156" s="14"/>
    </row>
    <row r="157" spans="1:9" ht="13.9">
      <c r="A157" s="13"/>
      <c r="B157" s="13"/>
      <c r="C157" s="13"/>
      <c r="D157" s="13"/>
      <c r="E157" s="13"/>
      <c r="F157" s="14"/>
      <c r="G157" s="13"/>
      <c r="H157" s="13"/>
      <c r="I157" s="14"/>
    </row>
    <row r="158" spans="1:9" ht="13.9">
      <c r="A158" s="13"/>
      <c r="B158" s="13"/>
      <c r="C158" s="13"/>
      <c r="D158" s="13"/>
      <c r="E158" s="13"/>
      <c r="F158" s="14"/>
      <c r="G158" s="13"/>
      <c r="H158" s="13"/>
      <c r="I158" s="14"/>
    </row>
    <row r="159" spans="1:9" ht="13.9">
      <c r="A159" s="13"/>
      <c r="B159" s="13"/>
      <c r="C159" s="13"/>
      <c r="D159" s="13"/>
      <c r="E159" s="13"/>
      <c r="F159" s="14"/>
      <c r="G159" s="13"/>
      <c r="H159" s="13"/>
      <c r="I159" s="14"/>
    </row>
    <row r="160" spans="1:9" ht="13.9">
      <c r="A160" s="13"/>
      <c r="B160" s="13"/>
      <c r="C160" s="13"/>
      <c r="D160" s="13"/>
      <c r="E160" s="13"/>
      <c r="F160" s="14"/>
      <c r="G160" s="13"/>
      <c r="H160" s="13"/>
      <c r="I160" s="14"/>
    </row>
    <row r="161" spans="1:9" ht="13.9">
      <c r="A161" s="13"/>
      <c r="B161" s="13"/>
      <c r="C161" s="13"/>
      <c r="D161" s="13"/>
      <c r="E161" s="13"/>
      <c r="F161" s="14"/>
      <c r="G161" s="13"/>
      <c r="H161" s="13"/>
      <c r="I161" s="14"/>
    </row>
    <row r="162" spans="1:9" ht="13.9">
      <c r="A162" s="13"/>
      <c r="B162" s="13"/>
      <c r="C162" s="13"/>
      <c r="D162" s="13"/>
      <c r="E162" s="13"/>
      <c r="F162" s="14"/>
      <c r="G162" s="13"/>
      <c r="H162" s="13"/>
      <c r="I162" s="14"/>
    </row>
    <row r="163" spans="1:9" ht="13.9">
      <c r="A163" s="13"/>
      <c r="B163" s="13"/>
      <c r="C163" s="13"/>
      <c r="D163" s="13"/>
      <c r="E163" s="13"/>
      <c r="F163" s="14"/>
      <c r="G163" s="13"/>
      <c r="H163" s="13"/>
      <c r="I163" s="14"/>
    </row>
    <row r="164" spans="1:9" ht="13.9">
      <c r="A164" s="13"/>
      <c r="B164" s="13"/>
      <c r="C164" s="13"/>
      <c r="D164" s="13"/>
      <c r="E164" s="13"/>
      <c r="F164" s="14"/>
      <c r="G164" s="13"/>
      <c r="H164" s="13"/>
      <c r="I164" s="14"/>
    </row>
    <row r="165" spans="1:9" ht="13.9">
      <c r="A165" s="13"/>
      <c r="B165" s="13"/>
      <c r="C165" s="13"/>
      <c r="D165" s="13"/>
      <c r="E165" s="13"/>
      <c r="F165" s="14"/>
      <c r="G165" s="13"/>
      <c r="H165" s="13"/>
      <c r="I165" s="14"/>
    </row>
    <row r="166" spans="1:9" ht="13.9">
      <c r="A166" s="13"/>
      <c r="B166" s="13"/>
      <c r="C166" s="13"/>
      <c r="D166" s="13"/>
      <c r="E166" s="13"/>
      <c r="F166" s="14"/>
      <c r="G166" s="13"/>
      <c r="H166" s="13"/>
      <c r="I166" s="14"/>
    </row>
    <row r="167" spans="1:9" ht="13.9">
      <c r="A167" s="13"/>
      <c r="B167" s="13"/>
      <c r="C167" s="13"/>
      <c r="D167" s="13"/>
      <c r="E167" s="13"/>
      <c r="F167" s="14"/>
      <c r="G167" s="13"/>
      <c r="H167" s="13"/>
      <c r="I167" s="14"/>
    </row>
    <row r="168" spans="1:9" ht="13.9">
      <c r="A168" s="13"/>
      <c r="B168" s="13"/>
      <c r="C168" s="13"/>
      <c r="D168" s="13"/>
      <c r="E168" s="13"/>
      <c r="F168" s="14"/>
      <c r="G168" s="13"/>
      <c r="H168" s="13"/>
      <c r="I168" s="14"/>
    </row>
    <row r="169" spans="1:9" ht="13.9">
      <c r="A169" s="13"/>
      <c r="B169" s="13"/>
      <c r="C169" s="13"/>
      <c r="D169" s="13"/>
      <c r="E169" s="13"/>
      <c r="F169" s="14"/>
      <c r="G169" s="13"/>
      <c r="H169" s="13"/>
      <c r="I169" s="14"/>
    </row>
    <row r="170" spans="1:9" ht="13.9">
      <c r="A170" s="13"/>
      <c r="B170" s="13"/>
      <c r="C170" s="13"/>
      <c r="D170" s="13"/>
      <c r="E170" s="13"/>
      <c r="F170" s="14"/>
      <c r="G170" s="13"/>
      <c r="H170" s="13"/>
      <c r="I170" s="14"/>
    </row>
    <row r="171" spans="1:9" ht="13.9">
      <c r="A171" s="13"/>
      <c r="B171" s="13"/>
      <c r="C171" s="13"/>
      <c r="D171" s="13"/>
      <c r="E171" s="13"/>
      <c r="F171" s="14"/>
      <c r="G171" s="13"/>
      <c r="H171" s="13"/>
      <c r="I171" s="14"/>
    </row>
    <row r="172" spans="1:9" ht="13.9">
      <c r="A172" s="13"/>
      <c r="B172" s="13"/>
      <c r="C172" s="13"/>
      <c r="D172" s="13"/>
      <c r="E172" s="13"/>
      <c r="F172" s="14"/>
      <c r="G172" s="13"/>
      <c r="H172" s="13"/>
      <c r="I172" s="14"/>
    </row>
    <row r="173" spans="1:9" ht="13.9">
      <c r="A173" s="13"/>
      <c r="B173" s="13"/>
      <c r="C173" s="13"/>
      <c r="D173" s="13"/>
      <c r="E173" s="13"/>
      <c r="F173" s="14"/>
      <c r="G173" s="13"/>
      <c r="H173" s="13"/>
      <c r="I173" s="14"/>
    </row>
    <row r="174" spans="1:9" ht="13.9">
      <c r="A174" s="13"/>
      <c r="B174" s="13"/>
      <c r="C174" s="13"/>
      <c r="D174" s="13"/>
      <c r="E174" s="13"/>
      <c r="F174" s="14"/>
      <c r="G174" s="13"/>
      <c r="H174" s="13"/>
      <c r="I174" s="14"/>
    </row>
    <row r="175" spans="1:9" ht="13.9">
      <c r="A175" s="13"/>
      <c r="B175" s="13"/>
      <c r="C175" s="13"/>
      <c r="D175" s="13"/>
      <c r="E175" s="13"/>
      <c r="F175" s="14"/>
      <c r="G175" s="13"/>
      <c r="H175" s="13"/>
      <c r="I175" s="14"/>
    </row>
    <row r="176" spans="1:9" ht="13.9">
      <c r="A176" s="13"/>
      <c r="B176" s="13"/>
      <c r="C176" s="13"/>
      <c r="D176" s="13"/>
      <c r="E176" s="13"/>
      <c r="F176" s="14"/>
      <c r="G176" s="13"/>
      <c r="H176" s="13"/>
      <c r="I176" s="14"/>
    </row>
    <row r="177" spans="1:9" ht="13.9">
      <c r="A177" s="13"/>
      <c r="B177" s="13"/>
      <c r="C177" s="13"/>
      <c r="D177" s="13"/>
      <c r="E177" s="13"/>
      <c r="F177" s="14"/>
      <c r="G177" s="13"/>
      <c r="H177" s="13"/>
      <c r="I177" s="14"/>
    </row>
    <row r="178" spans="1:9" ht="13.9">
      <c r="A178" s="13"/>
      <c r="B178" s="13"/>
      <c r="C178" s="13"/>
      <c r="D178" s="13"/>
      <c r="E178" s="13"/>
      <c r="F178" s="14"/>
      <c r="G178" s="13"/>
      <c r="H178" s="13"/>
      <c r="I178" s="14"/>
    </row>
    <row r="179" spans="1:9" ht="13.9">
      <c r="A179" s="13"/>
      <c r="B179" s="13"/>
      <c r="C179" s="13"/>
      <c r="D179" s="13"/>
      <c r="E179" s="13"/>
      <c r="F179" s="14"/>
      <c r="G179" s="13"/>
      <c r="H179" s="13"/>
      <c r="I179" s="14"/>
    </row>
    <row r="180" spans="1:9" ht="13.9">
      <c r="A180" s="13"/>
      <c r="B180" s="13"/>
      <c r="C180" s="13"/>
      <c r="D180" s="13"/>
      <c r="E180" s="13"/>
      <c r="F180" s="14"/>
      <c r="G180" s="13"/>
      <c r="H180" s="13"/>
      <c r="I180" s="14"/>
    </row>
    <row r="181" spans="1:9" ht="13.9">
      <c r="A181" s="13"/>
      <c r="B181" s="13"/>
      <c r="C181" s="13"/>
      <c r="D181" s="13"/>
      <c r="E181" s="13"/>
      <c r="F181" s="14"/>
      <c r="G181" s="13"/>
      <c r="H181" s="13"/>
      <c r="I181" s="14"/>
    </row>
    <row r="182" spans="1:9" ht="13.9">
      <c r="A182" s="13"/>
      <c r="B182" s="13"/>
      <c r="C182" s="13"/>
      <c r="D182" s="13"/>
      <c r="E182" s="13"/>
      <c r="F182" s="14"/>
      <c r="G182" s="13"/>
      <c r="H182" s="13"/>
      <c r="I182" s="14"/>
    </row>
    <row r="183" spans="1:9" ht="13.9">
      <c r="A183" s="13"/>
      <c r="B183" s="13"/>
      <c r="C183" s="13"/>
      <c r="D183" s="13"/>
      <c r="E183" s="13"/>
      <c r="F183" s="14"/>
      <c r="G183" s="13"/>
      <c r="H183" s="13"/>
      <c r="I183" s="14"/>
    </row>
    <row r="184" spans="1:9" ht="13.9">
      <c r="A184" s="13"/>
      <c r="B184" s="13"/>
      <c r="C184" s="13"/>
      <c r="D184" s="13"/>
      <c r="E184" s="13"/>
      <c r="F184" s="14"/>
      <c r="G184" s="13"/>
      <c r="H184" s="13"/>
      <c r="I184" s="14"/>
    </row>
    <row r="185" spans="1:9" ht="13.9">
      <c r="A185" s="13"/>
      <c r="B185" s="13"/>
      <c r="C185" s="13"/>
      <c r="D185" s="13"/>
      <c r="E185" s="13"/>
      <c r="F185" s="14"/>
      <c r="G185" s="13"/>
      <c r="H185" s="13"/>
      <c r="I185" s="14"/>
    </row>
    <row r="186" spans="1:9" ht="13.9">
      <c r="A186" s="13"/>
      <c r="B186" s="13"/>
      <c r="C186" s="13"/>
      <c r="D186" s="13"/>
      <c r="E186" s="13"/>
      <c r="F186" s="14"/>
      <c r="G186" s="13"/>
      <c r="H186" s="13"/>
      <c r="I186" s="14"/>
    </row>
    <row r="187" spans="1:9" ht="13.9">
      <c r="A187" s="13"/>
      <c r="B187" s="13"/>
      <c r="C187" s="13"/>
      <c r="D187" s="13"/>
      <c r="E187" s="13"/>
      <c r="F187" s="14"/>
      <c r="G187" s="13"/>
      <c r="H187" s="13"/>
      <c r="I187" s="14"/>
    </row>
    <row r="188" spans="1:9" ht="13.9">
      <c r="A188" s="13"/>
      <c r="B188" s="13"/>
      <c r="C188" s="13"/>
      <c r="D188" s="13"/>
      <c r="E188" s="13"/>
      <c r="F188" s="14"/>
      <c r="G188" s="13"/>
      <c r="H188" s="13"/>
      <c r="I188" s="14"/>
    </row>
    <row r="189" spans="1:9" ht="13.9">
      <c r="A189" s="13"/>
      <c r="B189" s="13"/>
      <c r="C189" s="13"/>
      <c r="D189" s="13"/>
      <c r="E189" s="13"/>
      <c r="F189" s="14"/>
      <c r="G189" s="13"/>
      <c r="H189" s="13"/>
      <c r="I189" s="14"/>
    </row>
    <row r="190" spans="1:9" ht="13.9">
      <c r="A190" s="13"/>
      <c r="B190" s="13"/>
      <c r="C190" s="13"/>
      <c r="D190" s="13"/>
      <c r="E190" s="13"/>
      <c r="F190" s="14"/>
      <c r="G190" s="13"/>
      <c r="H190" s="13"/>
      <c r="I190" s="14"/>
    </row>
    <row r="191" spans="1:9" ht="13.9">
      <c r="A191" s="13"/>
      <c r="B191" s="13"/>
      <c r="C191" s="13"/>
      <c r="D191" s="13"/>
      <c r="E191" s="13"/>
      <c r="F191" s="14"/>
      <c r="G191" s="13"/>
      <c r="H191" s="13"/>
      <c r="I191" s="14"/>
    </row>
    <row r="192" spans="1:9" ht="13.9">
      <c r="A192" s="13"/>
      <c r="B192" s="13"/>
      <c r="C192" s="13"/>
      <c r="D192" s="13"/>
      <c r="E192" s="13"/>
      <c r="F192" s="14"/>
      <c r="G192" s="13"/>
      <c r="H192" s="13"/>
      <c r="I192" s="14"/>
    </row>
    <row r="193" spans="1:9" ht="13.9">
      <c r="A193" s="13"/>
      <c r="B193" s="13"/>
      <c r="C193" s="13"/>
      <c r="D193" s="13"/>
      <c r="E193" s="13"/>
      <c r="F193" s="14"/>
      <c r="G193" s="13"/>
      <c r="H193" s="13"/>
      <c r="I193" s="14"/>
    </row>
    <row r="194" spans="1:9" ht="13.9">
      <c r="A194" s="13"/>
      <c r="B194" s="13"/>
      <c r="C194" s="13"/>
      <c r="D194" s="13"/>
      <c r="E194" s="13"/>
      <c r="F194" s="14"/>
      <c r="G194" s="13"/>
      <c r="H194" s="13"/>
      <c r="I194" s="14"/>
    </row>
    <row r="195" spans="1:9" ht="13.9">
      <c r="A195" s="13"/>
      <c r="B195" s="13"/>
      <c r="C195" s="13"/>
      <c r="D195" s="13"/>
      <c r="E195" s="13"/>
      <c r="F195" s="14"/>
      <c r="G195" s="13"/>
      <c r="H195" s="13"/>
      <c r="I195" s="14"/>
    </row>
    <row r="196" spans="1:9" ht="13.9">
      <c r="A196" s="13"/>
      <c r="B196" s="13"/>
      <c r="C196" s="13"/>
      <c r="D196" s="13"/>
      <c r="E196" s="13"/>
      <c r="F196" s="14"/>
      <c r="G196" s="13"/>
      <c r="H196" s="13"/>
      <c r="I196" s="14"/>
    </row>
    <row r="197" spans="1:9" ht="13.9">
      <c r="A197" s="13"/>
      <c r="B197" s="13"/>
      <c r="C197" s="13"/>
      <c r="D197" s="13"/>
      <c r="E197" s="13"/>
      <c r="F197" s="14"/>
      <c r="G197" s="13"/>
      <c r="H197" s="13"/>
      <c r="I197" s="14"/>
    </row>
    <row r="198" spans="1:9" ht="13.9">
      <c r="A198" s="13"/>
      <c r="B198" s="13"/>
      <c r="C198" s="13"/>
      <c r="D198" s="13"/>
      <c r="E198" s="13"/>
      <c r="F198" s="14"/>
      <c r="G198" s="13"/>
      <c r="H198" s="13"/>
      <c r="I198" s="14"/>
    </row>
    <row r="199" spans="1:9" ht="13.9">
      <c r="A199" s="13"/>
      <c r="B199" s="13"/>
      <c r="C199" s="13"/>
      <c r="D199" s="13"/>
      <c r="E199" s="13"/>
      <c r="F199" s="14"/>
      <c r="G199" s="13"/>
      <c r="H199" s="13"/>
      <c r="I199" s="14"/>
    </row>
    <row r="200" spans="1:9" ht="13.9">
      <c r="A200" s="13"/>
      <c r="B200" s="13"/>
      <c r="C200" s="13"/>
      <c r="D200" s="13"/>
      <c r="E200" s="13"/>
      <c r="F200" s="14"/>
      <c r="G200" s="13"/>
      <c r="H200" s="13"/>
      <c r="I200" s="14"/>
    </row>
    <row r="201" spans="1:9" ht="13.9">
      <c r="A201" s="13"/>
      <c r="B201" s="13"/>
      <c r="C201" s="13"/>
      <c r="D201" s="13"/>
      <c r="E201" s="13"/>
      <c r="F201" s="14"/>
      <c r="G201" s="13"/>
      <c r="H201" s="13"/>
      <c r="I201" s="14"/>
    </row>
    <row r="202" spans="1:9" ht="13.9">
      <c r="A202" s="13"/>
      <c r="B202" s="13"/>
      <c r="C202" s="13"/>
      <c r="D202" s="13"/>
      <c r="E202" s="13"/>
      <c r="F202" s="14"/>
      <c r="G202" s="13"/>
      <c r="H202" s="13"/>
      <c r="I202" s="14"/>
    </row>
    <row r="203" spans="1:9" ht="13.9">
      <c r="A203" s="13"/>
      <c r="B203" s="13"/>
      <c r="C203" s="13"/>
      <c r="D203" s="13"/>
      <c r="E203" s="13"/>
      <c r="F203" s="14"/>
      <c r="G203" s="13"/>
      <c r="H203" s="13"/>
      <c r="I203" s="14"/>
    </row>
    <row r="204" spans="1:9" ht="13.9">
      <c r="A204" s="13"/>
      <c r="B204" s="13"/>
      <c r="C204" s="13"/>
      <c r="D204" s="13"/>
      <c r="E204" s="13"/>
      <c r="F204" s="14"/>
      <c r="G204" s="13"/>
      <c r="H204" s="13"/>
      <c r="I204" s="14"/>
    </row>
    <row r="205" spans="1:9" ht="13.9">
      <c r="A205" s="13"/>
      <c r="B205" s="13"/>
      <c r="C205" s="13"/>
      <c r="D205" s="13"/>
      <c r="E205" s="13"/>
      <c r="F205" s="14"/>
      <c r="G205" s="13"/>
      <c r="H205" s="13"/>
      <c r="I205" s="14"/>
    </row>
    <row r="206" spans="1:9" ht="13.9">
      <c r="A206" s="13"/>
      <c r="B206" s="13"/>
      <c r="C206" s="13"/>
      <c r="D206" s="13"/>
      <c r="E206" s="13"/>
      <c r="F206" s="14"/>
      <c r="G206" s="13"/>
      <c r="H206" s="13"/>
      <c r="I206" s="14"/>
    </row>
    <row r="207" spans="1:9" ht="13.9">
      <c r="A207" s="13"/>
      <c r="B207" s="13"/>
      <c r="C207" s="13"/>
      <c r="D207" s="13"/>
      <c r="E207" s="13"/>
      <c r="F207" s="14"/>
      <c r="G207" s="13"/>
      <c r="H207" s="13"/>
      <c r="I207" s="14"/>
    </row>
    <row r="208" spans="1:9" ht="13.9">
      <c r="A208" s="13"/>
      <c r="B208" s="13"/>
      <c r="C208" s="13"/>
      <c r="D208" s="13"/>
      <c r="E208" s="13"/>
      <c r="F208" s="14"/>
      <c r="G208" s="13"/>
      <c r="H208" s="13"/>
      <c r="I208" s="14"/>
    </row>
    <row r="209" spans="1:9" ht="13.9">
      <c r="A209" s="13"/>
      <c r="B209" s="13"/>
      <c r="C209" s="13"/>
      <c r="D209" s="13"/>
      <c r="E209" s="13"/>
      <c r="F209" s="14"/>
      <c r="G209" s="13"/>
      <c r="H209" s="13"/>
      <c r="I209" s="14"/>
    </row>
    <row r="210" spans="1:9" ht="13.9">
      <c r="A210" s="13"/>
      <c r="B210" s="13"/>
      <c r="C210" s="13"/>
      <c r="D210" s="13"/>
      <c r="E210" s="13"/>
      <c r="F210" s="14"/>
      <c r="G210" s="13"/>
      <c r="H210" s="13"/>
      <c r="I210" s="14"/>
    </row>
    <row r="211" spans="1:9" ht="13.9">
      <c r="A211" s="13"/>
      <c r="B211" s="13"/>
      <c r="C211" s="13"/>
      <c r="D211" s="13"/>
      <c r="E211" s="13"/>
      <c r="F211" s="14"/>
      <c r="G211" s="13"/>
      <c r="H211" s="13"/>
      <c r="I211" s="14"/>
    </row>
    <row r="212" spans="1:9" ht="13.9">
      <c r="A212" s="13"/>
      <c r="B212" s="13"/>
      <c r="C212" s="13"/>
      <c r="D212" s="13"/>
      <c r="E212" s="13"/>
      <c r="F212" s="14"/>
      <c r="G212" s="13"/>
      <c r="H212" s="13"/>
      <c r="I212" s="14"/>
    </row>
    <row r="213" spans="1:9" ht="13.9">
      <c r="A213" s="13"/>
      <c r="B213" s="13"/>
      <c r="C213" s="13"/>
      <c r="D213" s="13"/>
      <c r="E213" s="13"/>
      <c r="F213" s="14"/>
      <c r="G213" s="13"/>
      <c r="H213" s="13"/>
      <c r="I213" s="14"/>
    </row>
    <row r="214" spans="1:9" ht="13.9">
      <c r="A214" s="13"/>
      <c r="B214" s="13"/>
      <c r="C214" s="13"/>
      <c r="D214" s="13"/>
      <c r="E214" s="13"/>
      <c r="F214" s="14"/>
      <c r="G214" s="13"/>
      <c r="H214" s="13"/>
      <c r="I214" s="14"/>
    </row>
    <row r="215" spans="1:9" ht="13.9">
      <c r="A215" s="13"/>
      <c r="B215" s="13"/>
      <c r="C215" s="13"/>
      <c r="D215" s="13"/>
      <c r="E215" s="13"/>
      <c r="F215" s="14"/>
      <c r="G215" s="13"/>
      <c r="H215" s="13"/>
      <c r="I215" s="14"/>
    </row>
    <row r="216" spans="1:9" ht="13.9">
      <c r="A216" s="13"/>
      <c r="B216" s="13"/>
      <c r="C216" s="13"/>
      <c r="D216" s="13"/>
      <c r="E216" s="13"/>
      <c r="F216" s="14"/>
      <c r="G216" s="13"/>
      <c r="H216" s="13"/>
      <c r="I216" s="14"/>
    </row>
    <row r="217" spans="1:9" ht="13.9">
      <c r="A217" s="13"/>
      <c r="B217" s="13"/>
      <c r="C217" s="13"/>
      <c r="D217" s="13"/>
      <c r="E217" s="13"/>
      <c r="F217" s="14"/>
      <c r="G217" s="13"/>
      <c r="H217" s="13"/>
      <c r="I217" s="14"/>
    </row>
    <row r="218" spans="1:9" ht="13.9">
      <c r="A218" s="13"/>
      <c r="B218" s="13"/>
      <c r="C218" s="13"/>
      <c r="D218" s="13"/>
      <c r="E218" s="13"/>
      <c r="F218" s="14"/>
      <c r="G218" s="13"/>
      <c r="H218" s="13"/>
      <c r="I218" s="14"/>
    </row>
    <row r="219" spans="1:9" ht="13.9">
      <c r="A219" s="13"/>
      <c r="B219" s="13"/>
      <c r="C219" s="13"/>
      <c r="D219" s="13"/>
      <c r="E219" s="13"/>
      <c r="F219" s="14"/>
      <c r="G219" s="13"/>
      <c r="H219" s="13"/>
      <c r="I219" s="14"/>
    </row>
    <row r="220" spans="1:9" ht="13.9">
      <c r="A220" s="13"/>
      <c r="B220" s="13"/>
      <c r="C220" s="13"/>
      <c r="D220" s="13"/>
      <c r="E220" s="13"/>
      <c r="F220" s="14"/>
      <c r="G220" s="13"/>
      <c r="H220" s="13"/>
      <c r="I220" s="14"/>
    </row>
    <row r="221" spans="1:9" ht="13.9">
      <c r="A221" s="13"/>
      <c r="B221" s="13"/>
      <c r="C221" s="13"/>
      <c r="D221" s="13"/>
      <c r="E221" s="13"/>
      <c r="F221" s="14"/>
      <c r="G221" s="13"/>
      <c r="H221" s="13"/>
      <c r="I221" s="14"/>
    </row>
    <row r="222" spans="1:9" ht="13.9">
      <c r="A222" s="13"/>
      <c r="B222" s="13"/>
      <c r="C222" s="13"/>
      <c r="D222" s="13"/>
      <c r="E222" s="13"/>
      <c r="F222" s="14"/>
      <c r="G222" s="13"/>
      <c r="H222" s="13"/>
      <c r="I222" s="14"/>
    </row>
    <row r="223" spans="1:9" ht="13.9">
      <c r="A223" s="13"/>
      <c r="B223" s="13"/>
      <c r="C223" s="13"/>
      <c r="D223" s="13"/>
      <c r="E223" s="13"/>
      <c r="F223" s="14"/>
      <c r="G223" s="13"/>
      <c r="H223" s="13"/>
      <c r="I223" s="14"/>
    </row>
    <row r="224" spans="1:9" ht="13.9">
      <c r="A224" s="13"/>
      <c r="B224" s="13"/>
      <c r="C224" s="13"/>
      <c r="D224" s="13"/>
      <c r="E224" s="13"/>
      <c r="F224" s="14"/>
      <c r="G224" s="13"/>
      <c r="H224" s="13"/>
      <c r="I224" s="14"/>
    </row>
    <row r="225" spans="1:9" ht="13.9">
      <c r="A225" s="13"/>
      <c r="B225" s="13"/>
      <c r="C225" s="13"/>
      <c r="D225" s="13"/>
      <c r="E225" s="13"/>
      <c r="F225" s="14"/>
      <c r="G225" s="13"/>
      <c r="H225" s="13"/>
      <c r="I225" s="14"/>
    </row>
    <row r="226" spans="1:9" ht="13.9">
      <c r="A226" s="13"/>
      <c r="B226" s="13"/>
      <c r="C226" s="13"/>
      <c r="D226" s="13"/>
      <c r="E226" s="13"/>
      <c r="F226" s="14"/>
      <c r="G226" s="13"/>
      <c r="H226" s="13"/>
      <c r="I226" s="14"/>
    </row>
    <row r="227" spans="1:9" ht="13.9">
      <c r="A227" s="13"/>
      <c r="B227" s="13"/>
      <c r="C227" s="13"/>
      <c r="D227" s="13"/>
      <c r="E227" s="13"/>
      <c r="F227" s="14"/>
      <c r="G227" s="13"/>
      <c r="H227" s="13"/>
      <c r="I227" s="14"/>
    </row>
    <row r="228" spans="1:9" ht="13.9">
      <c r="A228" s="13"/>
      <c r="B228" s="13"/>
      <c r="C228" s="13"/>
      <c r="D228" s="13"/>
      <c r="E228" s="13"/>
      <c r="F228" s="14"/>
      <c r="G228" s="13"/>
      <c r="H228" s="13"/>
      <c r="I228" s="14"/>
    </row>
    <row r="229" spans="1:9" ht="13.9">
      <c r="A229" s="13"/>
      <c r="B229" s="13"/>
      <c r="C229" s="13"/>
      <c r="D229" s="13"/>
      <c r="E229" s="13"/>
      <c r="F229" s="14"/>
      <c r="G229" s="13"/>
      <c r="H229" s="13"/>
      <c r="I229" s="14"/>
    </row>
    <row r="230" spans="1:9" ht="13.9">
      <c r="A230" s="13"/>
      <c r="B230" s="13"/>
      <c r="C230" s="13"/>
      <c r="D230" s="13"/>
      <c r="E230" s="13"/>
      <c r="F230" s="14"/>
      <c r="G230" s="13"/>
      <c r="H230" s="13"/>
      <c r="I230" s="14"/>
    </row>
    <row r="231" spans="1:9" ht="13.9">
      <c r="A231" s="13"/>
      <c r="B231" s="13"/>
      <c r="C231" s="13"/>
      <c r="D231" s="13"/>
      <c r="E231" s="13"/>
      <c r="F231" s="14"/>
      <c r="G231" s="13"/>
      <c r="H231" s="13"/>
      <c r="I231" s="14"/>
    </row>
    <row r="232" spans="1:9" ht="13.9">
      <c r="A232" s="13"/>
      <c r="B232" s="13"/>
      <c r="C232" s="13"/>
      <c r="D232" s="13"/>
      <c r="E232" s="13"/>
      <c r="F232" s="14"/>
      <c r="G232" s="13"/>
      <c r="H232" s="13"/>
      <c r="I232" s="14"/>
    </row>
    <row r="233" spans="1:9" ht="13.9">
      <c r="A233" s="13"/>
      <c r="B233" s="13"/>
      <c r="C233" s="13"/>
      <c r="D233" s="13"/>
      <c r="E233" s="13"/>
      <c r="F233" s="14"/>
      <c r="G233" s="13"/>
      <c r="H233" s="13"/>
      <c r="I233" s="14"/>
    </row>
    <row r="234" spans="1:9" ht="13.9">
      <c r="A234" s="13"/>
      <c r="B234" s="13"/>
      <c r="C234" s="13"/>
      <c r="D234" s="13"/>
      <c r="E234" s="13"/>
      <c r="F234" s="14"/>
      <c r="G234" s="13"/>
      <c r="H234" s="13"/>
      <c r="I234" s="14"/>
    </row>
    <row r="235" spans="1:9" ht="13.9">
      <c r="A235" s="13"/>
      <c r="B235" s="13"/>
      <c r="C235" s="13"/>
      <c r="D235" s="13"/>
      <c r="E235" s="13"/>
      <c r="F235" s="14"/>
      <c r="G235" s="13"/>
      <c r="H235" s="13"/>
      <c r="I235" s="14"/>
    </row>
    <row r="236" spans="1:9" ht="13.9">
      <c r="A236" s="13"/>
      <c r="B236" s="13"/>
      <c r="C236" s="13"/>
      <c r="D236" s="13"/>
      <c r="E236" s="13"/>
      <c r="F236" s="14"/>
      <c r="G236" s="13"/>
      <c r="H236" s="13"/>
      <c r="I236" s="14"/>
    </row>
    <row r="237" spans="1:9" ht="13.9">
      <c r="A237" s="13"/>
      <c r="B237" s="13"/>
      <c r="C237" s="13"/>
      <c r="D237" s="13"/>
      <c r="E237" s="13"/>
      <c r="F237" s="14"/>
      <c r="G237" s="13"/>
      <c r="H237" s="13"/>
      <c r="I237" s="14"/>
    </row>
    <row r="238" spans="1:9" ht="13.9">
      <c r="A238" s="13"/>
      <c r="B238" s="13"/>
      <c r="C238" s="13"/>
      <c r="D238" s="13"/>
      <c r="E238" s="13"/>
      <c r="F238" s="14"/>
      <c r="G238" s="13"/>
      <c r="H238" s="13"/>
      <c r="I238" s="14"/>
    </row>
    <row r="239" spans="1:9" ht="13.9">
      <c r="A239" s="13"/>
      <c r="B239" s="13"/>
      <c r="C239" s="13"/>
      <c r="D239" s="13"/>
      <c r="E239" s="13"/>
      <c r="F239" s="14"/>
      <c r="G239" s="13"/>
      <c r="H239" s="13"/>
      <c r="I239" s="14"/>
    </row>
    <row r="240" spans="1:9" ht="13.9">
      <c r="A240" s="13"/>
      <c r="B240" s="13"/>
      <c r="C240" s="13"/>
      <c r="D240" s="13"/>
      <c r="E240" s="13"/>
      <c r="F240" s="14"/>
      <c r="G240" s="13"/>
      <c r="H240" s="13"/>
      <c r="I240" s="14"/>
    </row>
    <row r="241" spans="1:9" ht="13.9">
      <c r="A241" s="13"/>
      <c r="B241" s="13"/>
      <c r="C241" s="13"/>
      <c r="D241" s="13"/>
      <c r="E241" s="13"/>
      <c r="F241" s="14"/>
      <c r="G241" s="13"/>
      <c r="H241" s="13"/>
      <c r="I241" s="14"/>
    </row>
    <row r="242" spans="1:9" ht="13.9">
      <c r="A242" s="13"/>
      <c r="B242" s="13"/>
      <c r="C242" s="13"/>
      <c r="D242" s="13"/>
      <c r="E242" s="13"/>
      <c r="F242" s="14"/>
      <c r="G242" s="13"/>
      <c r="H242" s="13"/>
      <c r="I242" s="14"/>
    </row>
    <row r="243" spans="1:9" ht="13.9">
      <c r="A243" s="13"/>
      <c r="B243" s="13"/>
      <c r="C243" s="13"/>
      <c r="D243" s="13"/>
      <c r="E243" s="13"/>
      <c r="F243" s="14"/>
      <c r="G243" s="13"/>
      <c r="H243" s="13"/>
      <c r="I243" s="14"/>
    </row>
    <row r="244" spans="1:9" ht="13.9">
      <c r="A244" s="13"/>
      <c r="B244" s="13"/>
      <c r="C244" s="13"/>
      <c r="D244" s="13"/>
      <c r="E244" s="13"/>
      <c r="F244" s="14"/>
      <c r="G244" s="13"/>
      <c r="H244" s="13"/>
      <c r="I244" s="14"/>
    </row>
    <row r="245" spans="1:9" ht="13.9">
      <c r="A245" s="13"/>
      <c r="B245" s="13"/>
      <c r="C245" s="13"/>
      <c r="D245" s="13"/>
      <c r="E245" s="13"/>
      <c r="F245" s="14"/>
      <c r="G245" s="13"/>
      <c r="H245" s="13"/>
      <c r="I245" s="14"/>
    </row>
    <row r="246" spans="1:9" ht="13.9">
      <c r="A246" s="13"/>
      <c r="B246" s="13"/>
      <c r="C246" s="13"/>
      <c r="D246" s="13"/>
      <c r="E246" s="13"/>
      <c r="F246" s="14"/>
      <c r="G246" s="13"/>
      <c r="H246" s="13"/>
      <c r="I246" s="14"/>
    </row>
    <row r="247" spans="1:9" ht="13.9">
      <c r="A247" s="13"/>
      <c r="B247" s="13"/>
      <c r="C247" s="13"/>
      <c r="D247" s="13"/>
      <c r="E247" s="13"/>
      <c r="F247" s="14"/>
      <c r="G247" s="13"/>
      <c r="H247" s="13"/>
      <c r="I247" s="14"/>
    </row>
    <row r="248" spans="1:9" ht="13.9">
      <c r="A248" s="13"/>
      <c r="B248" s="13"/>
      <c r="C248" s="13"/>
      <c r="D248" s="13"/>
      <c r="E248" s="13"/>
      <c r="F248" s="14"/>
      <c r="G248" s="13"/>
      <c r="H248" s="13"/>
      <c r="I248" s="14"/>
    </row>
    <row r="249" spans="1:9" ht="13.9">
      <c r="A249" s="13"/>
      <c r="B249" s="13"/>
      <c r="C249" s="13"/>
      <c r="D249" s="13"/>
      <c r="E249" s="13"/>
      <c r="F249" s="14"/>
      <c r="G249" s="13"/>
      <c r="H249" s="13"/>
      <c r="I249" s="14"/>
    </row>
    <row r="250" spans="1:9" ht="13.9">
      <c r="A250" s="13"/>
      <c r="B250" s="13"/>
      <c r="C250" s="13"/>
      <c r="D250" s="13"/>
      <c r="E250" s="13"/>
      <c r="F250" s="14"/>
      <c r="G250" s="13"/>
      <c r="H250" s="13"/>
      <c r="I250" s="14"/>
    </row>
    <row r="251" spans="1:9" ht="13.9">
      <c r="A251" s="13"/>
      <c r="B251" s="13"/>
      <c r="C251" s="13"/>
      <c r="D251" s="13"/>
      <c r="E251" s="13"/>
      <c r="F251" s="14"/>
      <c r="G251" s="13"/>
      <c r="H251" s="13"/>
      <c r="I251" s="14"/>
    </row>
    <row r="252" spans="1:9" ht="13.9">
      <c r="A252" s="13"/>
      <c r="B252" s="13"/>
      <c r="C252" s="13"/>
      <c r="D252" s="13"/>
      <c r="E252" s="13"/>
      <c r="F252" s="14"/>
      <c r="G252" s="13"/>
      <c r="H252" s="13"/>
      <c r="I252" s="14"/>
    </row>
    <row r="253" spans="1:9" ht="13.9">
      <c r="A253" s="13"/>
      <c r="B253" s="13"/>
      <c r="C253" s="13"/>
      <c r="D253" s="13"/>
      <c r="E253" s="13"/>
      <c r="F253" s="14"/>
      <c r="G253" s="13"/>
      <c r="H253" s="13"/>
      <c r="I253" s="14"/>
    </row>
    <row r="254" spans="1:9" ht="13.9">
      <c r="A254" s="13"/>
      <c r="B254" s="13"/>
      <c r="C254" s="13"/>
      <c r="D254" s="13"/>
      <c r="E254" s="13"/>
      <c r="F254" s="14"/>
      <c r="G254" s="13"/>
      <c r="H254" s="13"/>
      <c r="I254" s="14"/>
    </row>
    <row r="255" spans="1:9" ht="13.9">
      <c r="A255" s="13"/>
      <c r="B255" s="13"/>
      <c r="C255" s="13"/>
      <c r="D255" s="13"/>
      <c r="E255" s="13"/>
      <c r="F255" s="14"/>
      <c r="G255" s="13"/>
      <c r="H255" s="13"/>
      <c r="I255" s="14"/>
    </row>
    <row r="256" spans="1:9" ht="13.9">
      <c r="A256" s="13"/>
      <c r="B256" s="13"/>
      <c r="C256" s="13"/>
      <c r="D256" s="13"/>
      <c r="E256" s="13"/>
      <c r="F256" s="14"/>
      <c r="G256" s="13"/>
      <c r="H256" s="13"/>
      <c r="I256" s="14"/>
    </row>
    <row r="257" spans="1:9" ht="13.9">
      <c r="A257" s="13"/>
      <c r="B257" s="13"/>
      <c r="C257" s="13"/>
      <c r="D257" s="13"/>
      <c r="E257" s="13"/>
      <c r="F257" s="14"/>
      <c r="G257" s="13"/>
      <c r="H257" s="13"/>
      <c r="I257" s="14"/>
    </row>
    <row r="258" spans="1:9" ht="13.9">
      <c r="A258" s="13"/>
      <c r="B258" s="13"/>
      <c r="C258" s="13"/>
      <c r="D258" s="13"/>
      <c r="E258" s="13"/>
      <c r="F258" s="14"/>
      <c r="G258" s="13"/>
      <c r="H258" s="13"/>
      <c r="I258" s="14"/>
    </row>
    <row r="259" spans="1:9" ht="13.9">
      <c r="A259" s="13"/>
      <c r="B259" s="13"/>
      <c r="C259" s="13"/>
      <c r="D259" s="13"/>
      <c r="E259" s="13"/>
      <c r="F259" s="14"/>
      <c r="G259" s="13"/>
      <c r="H259" s="13"/>
      <c r="I259" s="14"/>
    </row>
    <row r="260" spans="1:9" ht="13.9">
      <c r="A260" s="13"/>
      <c r="B260" s="13"/>
      <c r="C260" s="13"/>
      <c r="D260" s="13"/>
      <c r="E260" s="13"/>
      <c r="F260" s="14"/>
      <c r="G260" s="13"/>
      <c r="H260" s="13"/>
      <c r="I260" s="14"/>
    </row>
    <row r="261" spans="1:9" ht="13.9">
      <c r="A261" s="13"/>
      <c r="B261" s="13"/>
      <c r="C261" s="13"/>
      <c r="D261" s="13"/>
      <c r="E261" s="13"/>
      <c r="F261" s="14"/>
      <c r="G261" s="13"/>
      <c r="H261" s="13"/>
      <c r="I261" s="14"/>
    </row>
    <row r="262" spans="1:9" ht="13.9">
      <c r="A262" s="13"/>
      <c r="B262" s="13"/>
      <c r="C262" s="13"/>
      <c r="D262" s="13"/>
      <c r="E262" s="13"/>
      <c r="F262" s="14"/>
      <c r="G262" s="13"/>
      <c r="H262" s="13"/>
      <c r="I262" s="14"/>
    </row>
    <row r="263" spans="1:9" ht="13.9">
      <c r="A263" s="13"/>
      <c r="B263" s="13"/>
      <c r="C263" s="13"/>
      <c r="D263" s="13"/>
      <c r="E263" s="13"/>
      <c r="F263" s="14"/>
      <c r="G263" s="13"/>
      <c r="H263" s="13"/>
      <c r="I263" s="14"/>
    </row>
    <row r="264" spans="1:9" ht="13.9">
      <c r="A264" s="13"/>
      <c r="B264" s="13"/>
      <c r="C264" s="13"/>
      <c r="D264" s="13"/>
      <c r="E264" s="13"/>
      <c r="F264" s="14"/>
      <c r="G264" s="13"/>
      <c r="H264" s="13"/>
      <c r="I264" s="14"/>
    </row>
    <row r="265" spans="1:9" ht="13.9">
      <c r="A265" s="13"/>
      <c r="B265" s="13"/>
      <c r="C265" s="13"/>
      <c r="D265" s="13"/>
      <c r="E265" s="13"/>
      <c r="F265" s="14"/>
      <c r="G265" s="13"/>
      <c r="H265" s="13"/>
      <c r="I265" s="14"/>
    </row>
    <row r="266" spans="1:9" ht="13.9">
      <c r="A266" s="13"/>
      <c r="B266" s="13"/>
      <c r="C266" s="13"/>
      <c r="D266" s="13"/>
      <c r="E266" s="13"/>
      <c r="F266" s="14"/>
      <c r="G266" s="13"/>
      <c r="H266" s="13"/>
      <c r="I266" s="14"/>
    </row>
    <row r="267" spans="1:9" ht="13.9">
      <c r="A267" s="13"/>
      <c r="B267" s="13"/>
      <c r="C267" s="13"/>
      <c r="D267" s="13"/>
      <c r="E267" s="13"/>
      <c r="F267" s="14"/>
      <c r="G267" s="13"/>
      <c r="H267" s="13"/>
      <c r="I267" s="14"/>
    </row>
    <row r="268" spans="1:9" ht="13.9">
      <c r="A268" s="13"/>
      <c r="B268" s="13"/>
      <c r="C268" s="13"/>
      <c r="D268" s="13"/>
      <c r="E268" s="13"/>
      <c r="F268" s="14"/>
      <c r="G268" s="13"/>
      <c r="H268" s="13"/>
      <c r="I268" s="14"/>
    </row>
    <row r="269" spans="1:9" ht="13.9">
      <c r="A269" s="13"/>
      <c r="B269" s="13"/>
      <c r="C269" s="13"/>
      <c r="D269" s="13"/>
      <c r="E269" s="13"/>
      <c r="F269" s="14"/>
      <c r="G269" s="13"/>
      <c r="H269" s="13"/>
      <c r="I269" s="14"/>
    </row>
    <row r="270" spans="1:9" ht="13.9">
      <c r="A270" s="13"/>
      <c r="B270" s="13"/>
      <c r="C270" s="13"/>
      <c r="D270" s="13"/>
      <c r="E270" s="13"/>
      <c r="F270" s="14"/>
      <c r="G270" s="13"/>
      <c r="H270" s="13"/>
      <c r="I270" s="14"/>
    </row>
    <row r="271" spans="1:9" ht="13.9">
      <c r="A271" s="13"/>
      <c r="B271" s="13"/>
      <c r="C271" s="13"/>
      <c r="D271" s="13"/>
      <c r="E271" s="13"/>
      <c r="F271" s="14"/>
      <c r="G271" s="13"/>
      <c r="H271" s="13"/>
      <c r="I271" s="14"/>
    </row>
    <row r="272" spans="1:9" ht="13.9">
      <c r="A272" s="13"/>
      <c r="B272" s="13"/>
      <c r="C272" s="13"/>
      <c r="D272" s="13"/>
      <c r="E272" s="13"/>
      <c r="F272" s="14"/>
      <c r="G272" s="13"/>
      <c r="H272" s="13"/>
      <c r="I272" s="14"/>
    </row>
    <row r="273" spans="1:9" ht="13.9">
      <c r="A273" s="13"/>
      <c r="B273" s="13"/>
      <c r="C273" s="13"/>
      <c r="D273" s="13"/>
      <c r="E273" s="13"/>
      <c r="F273" s="14"/>
      <c r="G273" s="13"/>
      <c r="H273" s="13"/>
      <c r="I273" s="14"/>
    </row>
    <row r="274" spans="1:9" ht="13.9">
      <c r="A274" s="13"/>
      <c r="B274" s="13"/>
      <c r="C274" s="13"/>
      <c r="D274" s="13"/>
      <c r="E274" s="13"/>
      <c r="F274" s="14"/>
      <c r="G274" s="13"/>
      <c r="H274" s="13"/>
      <c r="I274" s="14"/>
    </row>
    <row r="275" spans="1:9" ht="13.9">
      <c r="A275" s="13"/>
      <c r="B275" s="13"/>
      <c r="C275" s="13"/>
      <c r="D275" s="13"/>
      <c r="E275" s="13"/>
      <c r="F275" s="14"/>
      <c r="G275" s="13"/>
      <c r="H275" s="13"/>
      <c r="I275" s="14"/>
    </row>
    <row r="276" spans="1:9" ht="13.9">
      <c r="A276" s="13"/>
      <c r="B276" s="13"/>
      <c r="C276" s="13"/>
      <c r="D276" s="13"/>
      <c r="E276" s="13"/>
      <c r="F276" s="14"/>
      <c r="G276" s="13"/>
      <c r="H276" s="13"/>
      <c r="I276" s="14"/>
    </row>
    <row r="277" spans="1:9" ht="13.9">
      <c r="A277" s="13"/>
      <c r="B277" s="13"/>
      <c r="C277" s="13"/>
      <c r="D277" s="13"/>
      <c r="E277" s="13"/>
      <c r="F277" s="14"/>
      <c r="G277" s="13"/>
      <c r="H277" s="13"/>
      <c r="I277" s="14"/>
    </row>
    <row r="278" spans="1:9" ht="13.9">
      <c r="A278" s="13"/>
      <c r="B278" s="13"/>
      <c r="C278" s="13"/>
      <c r="D278" s="13"/>
      <c r="E278" s="13"/>
      <c r="F278" s="14"/>
      <c r="G278" s="13"/>
      <c r="H278" s="13"/>
      <c r="I278" s="14"/>
    </row>
    <row r="279" spans="1:9" ht="13.9">
      <c r="A279" s="13"/>
      <c r="B279" s="13"/>
      <c r="C279" s="13"/>
      <c r="D279" s="13"/>
      <c r="E279" s="13"/>
      <c r="F279" s="14"/>
      <c r="G279" s="13"/>
      <c r="H279" s="13"/>
      <c r="I279" s="14"/>
    </row>
    <row r="280" spans="1:9" ht="13.9">
      <c r="A280" s="13"/>
      <c r="B280" s="13"/>
      <c r="C280" s="13"/>
      <c r="D280" s="13"/>
      <c r="E280" s="13"/>
      <c r="F280" s="14"/>
      <c r="G280" s="13"/>
      <c r="H280" s="13"/>
      <c r="I280" s="14"/>
    </row>
    <row r="281" spans="1:9" ht="13.9">
      <c r="A281" s="13"/>
      <c r="B281" s="13"/>
      <c r="C281" s="13"/>
      <c r="D281" s="13"/>
      <c r="E281" s="13"/>
      <c r="F281" s="14"/>
      <c r="G281" s="13"/>
      <c r="H281" s="13"/>
      <c r="I281" s="14"/>
    </row>
    <row r="282" spans="1:9" ht="13.9">
      <c r="A282" s="13"/>
      <c r="B282" s="13"/>
      <c r="C282" s="13"/>
      <c r="D282" s="13"/>
      <c r="E282" s="13"/>
      <c r="F282" s="14"/>
      <c r="G282" s="13"/>
      <c r="H282" s="13"/>
      <c r="I282" s="14"/>
    </row>
    <row r="283" spans="1:9" ht="13.9">
      <c r="A283" s="13"/>
      <c r="B283" s="13"/>
      <c r="C283" s="13"/>
      <c r="D283" s="13"/>
      <c r="E283" s="13"/>
      <c r="F283" s="14"/>
      <c r="G283" s="13"/>
      <c r="H283" s="13"/>
      <c r="I283" s="14"/>
    </row>
    <row r="284" spans="1:9" ht="13.9">
      <c r="A284" s="13"/>
      <c r="B284" s="13"/>
      <c r="C284" s="13"/>
      <c r="D284" s="13"/>
      <c r="E284" s="13"/>
      <c r="F284" s="14"/>
      <c r="G284" s="13"/>
      <c r="H284" s="13"/>
      <c r="I284" s="14"/>
    </row>
    <row r="285" spans="1:9" ht="13.9">
      <c r="A285" s="13"/>
      <c r="B285" s="13"/>
      <c r="C285" s="13"/>
      <c r="D285" s="13"/>
      <c r="E285" s="13"/>
      <c r="F285" s="14"/>
      <c r="G285" s="13"/>
      <c r="H285" s="13"/>
      <c r="I285" s="14"/>
    </row>
    <row r="286" spans="1:9" ht="13.9">
      <c r="A286" s="13"/>
      <c r="B286" s="13"/>
      <c r="C286" s="13"/>
      <c r="D286" s="13"/>
      <c r="E286" s="13"/>
      <c r="F286" s="14"/>
      <c r="G286" s="13"/>
      <c r="H286" s="13"/>
      <c r="I286" s="14"/>
    </row>
    <row r="287" spans="1:9" ht="13.9">
      <c r="A287" s="13"/>
      <c r="B287" s="13"/>
      <c r="C287" s="13"/>
      <c r="D287" s="13"/>
      <c r="E287" s="13"/>
      <c r="F287" s="14"/>
      <c r="G287" s="13"/>
      <c r="H287" s="13"/>
      <c r="I287" s="14"/>
    </row>
    <row r="288" spans="1:9" ht="13.9">
      <c r="A288" s="13"/>
      <c r="B288" s="13"/>
      <c r="C288" s="13"/>
      <c r="D288" s="13"/>
      <c r="E288" s="13"/>
      <c r="F288" s="14"/>
      <c r="G288" s="13"/>
      <c r="H288" s="13"/>
      <c r="I288" s="14"/>
    </row>
    <row r="289" spans="1:9" ht="13.9">
      <c r="A289" s="13"/>
      <c r="B289" s="13"/>
      <c r="C289" s="13"/>
      <c r="D289" s="13"/>
      <c r="E289" s="13"/>
      <c r="F289" s="14"/>
      <c r="G289" s="13"/>
      <c r="H289" s="13"/>
      <c r="I289" s="14"/>
    </row>
    <row r="290" spans="1:9" ht="13.9">
      <c r="A290" s="13"/>
      <c r="B290" s="13"/>
      <c r="C290" s="13"/>
      <c r="D290" s="13"/>
      <c r="E290" s="13"/>
      <c r="F290" s="14"/>
      <c r="G290" s="13"/>
      <c r="H290" s="13"/>
      <c r="I290" s="14"/>
    </row>
    <row r="291" spans="1:9" ht="13.9">
      <c r="A291" s="13"/>
      <c r="B291" s="13"/>
      <c r="C291" s="13"/>
      <c r="D291" s="13"/>
      <c r="E291" s="13"/>
      <c r="F291" s="14"/>
      <c r="G291" s="13"/>
      <c r="H291" s="13"/>
      <c r="I291" s="14"/>
    </row>
    <row r="292" spans="1:9" ht="13.9">
      <c r="A292" s="13"/>
      <c r="B292" s="13"/>
      <c r="C292" s="13"/>
      <c r="D292" s="13"/>
      <c r="E292" s="13"/>
      <c r="F292" s="14"/>
      <c r="G292" s="13"/>
      <c r="H292" s="13"/>
      <c r="I292" s="14"/>
    </row>
    <row r="293" spans="1:9" ht="13.9">
      <c r="A293" s="13"/>
      <c r="B293" s="13"/>
      <c r="C293" s="13"/>
      <c r="D293" s="13"/>
      <c r="E293" s="13"/>
      <c r="F293" s="14"/>
      <c r="G293" s="13"/>
      <c r="H293" s="13"/>
      <c r="I293" s="14"/>
    </row>
    <row r="294" spans="1:9" ht="13.9">
      <c r="A294" s="13"/>
      <c r="B294" s="13"/>
      <c r="C294" s="13"/>
      <c r="D294" s="13"/>
      <c r="E294" s="13"/>
      <c r="F294" s="14"/>
      <c r="G294" s="13"/>
      <c r="H294" s="13"/>
      <c r="I294" s="14"/>
    </row>
    <row r="295" spans="1:9" ht="13.9">
      <c r="A295" s="13"/>
      <c r="B295" s="13"/>
      <c r="C295" s="13"/>
      <c r="D295" s="13"/>
      <c r="E295" s="13"/>
      <c r="F295" s="14"/>
      <c r="G295" s="13"/>
      <c r="H295" s="13"/>
      <c r="I295" s="14"/>
    </row>
    <row r="296" spans="1:9" ht="13.9">
      <c r="A296" s="13"/>
      <c r="B296" s="13"/>
      <c r="C296" s="13"/>
      <c r="D296" s="13"/>
      <c r="E296" s="13"/>
      <c r="F296" s="14"/>
      <c r="G296" s="13"/>
      <c r="H296" s="13"/>
      <c r="I296" s="14"/>
    </row>
    <row r="297" spans="1:9" ht="13.9">
      <c r="A297" s="13"/>
      <c r="B297" s="13"/>
      <c r="C297" s="13"/>
      <c r="D297" s="13"/>
      <c r="E297" s="13"/>
      <c r="F297" s="14"/>
      <c r="G297" s="13"/>
      <c r="H297" s="13"/>
      <c r="I297" s="14"/>
    </row>
    <row r="298" spans="1:9" ht="13.9">
      <c r="A298" s="13"/>
      <c r="B298" s="13"/>
      <c r="C298" s="13"/>
      <c r="D298" s="13"/>
      <c r="E298" s="13"/>
      <c r="F298" s="14"/>
      <c r="G298" s="13"/>
      <c r="H298" s="13"/>
      <c r="I298" s="14"/>
    </row>
    <row r="299" spans="1:9" ht="13.9">
      <c r="A299" s="13"/>
      <c r="B299" s="13"/>
      <c r="C299" s="13"/>
      <c r="D299" s="13"/>
      <c r="E299" s="13"/>
      <c r="F299" s="14"/>
      <c r="G299" s="13"/>
      <c r="H299" s="13"/>
      <c r="I299" s="14"/>
    </row>
    <row r="300" spans="1:9" ht="13.9">
      <c r="A300" s="13"/>
      <c r="B300" s="13"/>
      <c r="C300" s="13"/>
      <c r="D300" s="13"/>
      <c r="E300" s="13"/>
      <c r="F300" s="14"/>
      <c r="G300" s="13"/>
      <c r="H300" s="13"/>
      <c r="I300" s="14"/>
    </row>
    <row r="301" spans="1:9" ht="13.9">
      <c r="A301" s="13"/>
      <c r="B301" s="13"/>
      <c r="C301" s="13"/>
      <c r="D301" s="13"/>
      <c r="E301" s="13"/>
      <c r="F301" s="14"/>
      <c r="G301" s="13"/>
      <c r="H301" s="13"/>
      <c r="I301" s="14"/>
    </row>
    <row r="302" spans="1:9" ht="13.9">
      <c r="A302" s="13"/>
      <c r="B302" s="13"/>
      <c r="C302" s="13"/>
      <c r="D302" s="13"/>
      <c r="E302" s="13"/>
      <c r="F302" s="14"/>
      <c r="G302" s="13"/>
      <c r="H302" s="13"/>
      <c r="I302" s="14"/>
    </row>
    <row r="303" spans="1:9" ht="13.9">
      <c r="A303" s="13"/>
      <c r="B303" s="13"/>
      <c r="C303" s="13"/>
      <c r="D303" s="13"/>
      <c r="E303" s="13"/>
      <c r="F303" s="14"/>
      <c r="G303" s="13"/>
      <c r="H303" s="13"/>
      <c r="I303" s="14"/>
    </row>
    <row r="304" spans="1:9" ht="13.9">
      <c r="A304" s="13"/>
      <c r="B304" s="13"/>
      <c r="C304" s="13"/>
      <c r="D304" s="13"/>
      <c r="E304" s="13"/>
      <c r="F304" s="14"/>
      <c r="G304" s="13"/>
      <c r="H304" s="13"/>
      <c r="I304" s="14"/>
    </row>
    <row r="305" spans="1:9" ht="13.9">
      <c r="A305" s="13"/>
      <c r="B305" s="13"/>
      <c r="C305" s="13"/>
      <c r="D305" s="13"/>
      <c r="E305" s="13"/>
      <c r="F305" s="14"/>
      <c r="G305" s="13"/>
      <c r="H305" s="13"/>
      <c r="I305" s="14"/>
    </row>
    <row r="306" spans="1:9" ht="13.9">
      <c r="A306" s="13"/>
      <c r="B306" s="13"/>
      <c r="C306" s="13"/>
      <c r="D306" s="13"/>
      <c r="E306" s="13"/>
      <c r="F306" s="14"/>
      <c r="G306" s="13"/>
      <c r="H306" s="13"/>
      <c r="I306" s="14"/>
    </row>
    <row r="307" spans="1:9" ht="13.9">
      <c r="A307" s="13"/>
      <c r="B307" s="13"/>
      <c r="C307" s="13"/>
      <c r="D307" s="13"/>
      <c r="E307" s="13"/>
      <c r="F307" s="14"/>
      <c r="G307" s="13"/>
      <c r="H307" s="13"/>
      <c r="I307" s="14"/>
    </row>
    <row r="308" spans="1:9" ht="13.9">
      <c r="A308" s="13"/>
      <c r="B308" s="13"/>
      <c r="C308" s="13"/>
      <c r="D308" s="13"/>
      <c r="E308" s="13"/>
      <c r="F308" s="14"/>
      <c r="G308" s="13"/>
      <c r="H308" s="13"/>
      <c r="I308" s="14"/>
    </row>
    <row r="309" spans="1:9" ht="13.9">
      <c r="A309" s="13"/>
      <c r="B309" s="13"/>
      <c r="C309" s="13"/>
      <c r="D309" s="13"/>
      <c r="E309" s="13"/>
      <c r="F309" s="14"/>
      <c r="G309" s="13"/>
      <c r="H309" s="13"/>
      <c r="I309" s="14"/>
    </row>
    <row r="310" spans="1:9" ht="13.9">
      <c r="A310" s="13"/>
      <c r="B310" s="13"/>
      <c r="C310" s="13"/>
      <c r="D310" s="13"/>
      <c r="E310" s="13"/>
      <c r="F310" s="14"/>
      <c r="G310" s="13"/>
      <c r="H310" s="13"/>
      <c r="I310" s="14"/>
    </row>
    <row r="311" spans="1:9" ht="13.9">
      <c r="A311" s="13"/>
      <c r="B311" s="13"/>
      <c r="C311" s="13"/>
      <c r="D311" s="13"/>
      <c r="E311" s="13"/>
      <c r="F311" s="14"/>
      <c r="G311" s="13"/>
      <c r="H311" s="13"/>
      <c r="I311" s="14"/>
    </row>
    <row r="312" spans="1:9" ht="13.9">
      <c r="A312" s="13"/>
      <c r="B312" s="13"/>
      <c r="C312" s="13"/>
      <c r="D312" s="13"/>
      <c r="E312" s="13"/>
      <c r="F312" s="14"/>
      <c r="G312" s="13"/>
      <c r="H312" s="13"/>
      <c r="I312" s="14"/>
    </row>
    <row r="313" spans="1:9" ht="13.9">
      <c r="A313" s="13"/>
      <c r="B313" s="13"/>
      <c r="C313" s="13"/>
      <c r="D313" s="13"/>
      <c r="E313" s="13"/>
      <c r="F313" s="14"/>
      <c r="G313" s="13"/>
      <c r="H313" s="13"/>
      <c r="I313" s="14"/>
    </row>
    <row r="314" spans="1:9" ht="13.9">
      <c r="A314" s="13"/>
      <c r="B314" s="13"/>
      <c r="C314" s="13"/>
      <c r="D314" s="13"/>
      <c r="E314" s="13"/>
      <c r="F314" s="14"/>
      <c r="G314" s="13"/>
      <c r="H314" s="13"/>
      <c r="I314" s="14"/>
    </row>
    <row r="315" spans="1:9" ht="13.9">
      <c r="A315" s="13"/>
      <c r="B315" s="13"/>
      <c r="C315" s="13"/>
      <c r="D315" s="13"/>
      <c r="E315" s="13"/>
      <c r="F315" s="14"/>
      <c r="G315" s="13"/>
      <c r="H315" s="13"/>
      <c r="I315" s="14"/>
    </row>
    <row r="316" spans="1:9" ht="13.9">
      <c r="A316" s="13"/>
      <c r="B316" s="13"/>
      <c r="C316" s="13"/>
      <c r="D316" s="13"/>
      <c r="E316" s="13"/>
      <c r="F316" s="14"/>
      <c r="G316" s="13"/>
      <c r="H316" s="13"/>
      <c r="I316" s="14"/>
    </row>
    <row r="317" spans="1:9" ht="13.9">
      <c r="A317" s="13"/>
      <c r="B317" s="13"/>
      <c r="C317" s="13"/>
      <c r="D317" s="13"/>
      <c r="E317" s="13"/>
      <c r="F317" s="14"/>
      <c r="G317" s="13"/>
      <c r="H317" s="13"/>
      <c r="I317" s="14"/>
    </row>
    <row r="318" spans="1:9" ht="13.9">
      <c r="A318" s="13"/>
      <c r="B318" s="13"/>
      <c r="C318" s="13"/>
      <c r="D318" s="13"/>
      <c r="E318" s="13"/>
      <c r="F318" s="14"/>
      <c r="G318" s="13"/>
      <c r="H318" s="13"/>
      <c r="I318" s="14"/>
    </row>
    <row r="319" spans="1:9" ht="13.9">
      <c r="A319" s="13"/>
      <c r="B319" s="13"/>
      <c r="C319" s="13"/>
      <c r="D319" s="13"/>
      <c r="E319" s="13"/>
      <c r="F319" s="14"/>
      <c r="G319" s="13"/>
      <c r="H319" s="13"/>
      <c r="I319" s="14"/>
    </row>
    <row r="320" spans="1:9" ht="13.9">
      <c r="A320" s="13"/>
      <c r="B320" s="13"/>
      <c r="C320" s="13"/>
      <c r="D320" s="13"/>
      <c r="E320" s="13"/>
      <c r="F320" s="14"/>
      <c r="G320" s="13"/>
      <c r="H320" s="13"/>
      <c r="I320" s="14"/>
    </row>
    <row r="321" spans="1:9" ht="13.9">
      <c r="A321" s="13"/>
      <c r="B321" s="13"/>
      <c r="C321" s="13"/>
      <c r="D321" s="13"/>
      <c r="E321" s="13"/>
      <c r="F321" s="14"/>
      <c r="G321" s="13"/>
      <c r="H321" s="13"/>
      <c r="I321" s="14"/>
    </row>
    <row r="322" spans="1:9" ht="13.9">
      <c r="A322" s="13"/>
      <c r="B322" s="13"/>
      <c r="C322" s="13"/>
      <c r="D322" s="13"/>
      <c r="E322" s="13"/>
      <c r="F322" s="14"/>
      <c r="G322" s="13"/>
      <c r="H322" s="13"/>
      <c r="I322" s="14"/>
    </row>
    <row r="323" spans="1:9" ht="13.9">
      <c r="A323" s="13"/>
      <c r="B323" s="13"/>
      <c r="C323" s="13"/>
      <c r="D323" s="13"/>
      <c r="E323" s="13"/>
      <c r="F323" s="14"/>
      <c r="G323" s="13"/>
      <c r="H323" s="13"/>
      <c r="I323" s="14"/>
    </row>
    <row r="324" spans="1:9" ht="13.9">
      <c r="A324" s="13"/>
      <c r="B324" s="13"/>
      <c r="C324" s="13"/>
      <c r="D324" s="13"/>
      <c r="E324" s="13"/>
      <c r="F324" s="14"/>
      <c r="G324" s="13"/>
      <c r="H324" s="13"/>
      <c r="I324" s="14"/>
    </row>
    <row r="325" spans="1:9" ht="13.9">
      <c r="A325" s="13"/>
      <c r="B325" s="13"/>
      <c r="C325" s="13"/>
      <c r="D325" s="13"/>
      <c r="E325" s="13"/>
      <c r="F325" s="14"/>
      <c r="G325" s="13"/>
      <c r="H325" s="13"/>
      <c r="I325" s="14"/>
    </row>
    <row r="326" spans="1:9" ht="13.9">
      <c r="A326" s="13"/>
      <c r="B326" s="13"/>
      <c r="C326" s="13"/>
      <c r="D326" s="13"/>
      <c r="E326" s="13"/>
      <c r="F326" s="14"/>
      <c r="G326" s="13"/>
      <c r="H326" s="13"/>
      <c r="I326" s="14"/>
    </row>
    <row r="327" spans="1:9" ht="13.9">
      <c r="A327" s="13"/>
      <c r="B327" s="13"/>
      <c r="C327" s="13"/>
      <c r="D327" s="13"/>
      <c r="E327" s="13"/>
      <c r="F327" s="14"/>
      <c r="G327" s="13"/>
      <c r="H327" s="13"/>
      <c r="I327" s="14"/>
    </row>
    <row r="328" spans="1:9" ht="13.9">
      <c r="A328" s="13"/>
      <c r="B328" s="13"/>
      <c r="C328" s="13"/>
      <c r="D328" s="13"/>
      <c r="E328" s="13"/>
      <c r="F328" s="14"/>
      <c r="G328" s="13"/>
      <c r="H328" s="13"/>
      <c r="I328" s="14"/>
    </row>
    <row r="329" spans="1:9" ht="13.9">
      <c r="A329" s="13"/>
      <c r="B329" s="13"/>
      <c r="C329" s="13"/>
      <c r="D329" s="13"/>
      <c r="E329" s="13"/>
      <c r="F329" s="14"/>
      <c r="G329" s="13"/>
      <c r="H329" s="13"/>
      <c r="I329" s="14"/>
    </row>
    <row r="330" spans="1:9" ht="13.9">
      <c r="A330" s="13"/>
      <c r="B330" s="13"/>
      <c r="C330" s="13"/>
      <c r="D330" s="13"/>
      <c r="E330" s="13"/>
      <c r="F330" s="14"/>
      <c r="G330" s="13"/>
      <c r="H330" s="13"/>
      <c r="I330" s="14"/>
    </row>
    <row r="331" spans="1:9" ht="13.9">
      <c r="A331" s="13"/>
      <c r="B331" s="13"/>
      <c r="C331" s="13"/>
      <c r="D331" s="13"/>
      <c r="E331" s="13"/>
      <c r="F331" s="14"/>
      <c r="G331" s="13"/>
      <c r="H331" s="13"/>
      <c r="I331" s="14"/>
    </row>
    <row r="332" spans="1:9" ht="13.9">
      <c r="A332" s="13"/>
      <c r="B332" s="13"/>
      <c r="C332" s="13"/>
      <c r="D332" s="13"/>
      <c r="E332" s="13"/>
      <c r="F332" s="14"/>
      <c r="G332" s="13"/>
      <c r="H332" s="13"/>
      <c r="I332" s="14"/>
    </row>
    <row r="333" spans="1:9" ht="13.9">
      <c r="A333" s="13"/>
      <c r="B333" s="13"/>
      <c r="C333" s="13"/>
      <c r="D333" s="13"/>
      <c r="E333" s="13"/>
      <c r="F333" s="14"/>
      <c r="G333" s="13"/>
      <c r="H333" s="13"/>
      <c r="I333" s="14"/>
    </row>
    <row r="334" spans="1:9" ht="13.9">
      <c r="A334" s="13"/>
      <c r="B334" s="13"/>
      <c r="C334" s="13"/>
      <c r="D334" s="13"/>
      <c r="E334" s="13"/>
      <c r="F334" s="14"/>
      <c r="G334" s="13"/>
      <c r="H334" s="13"/>
      <c r="I334" s="14"/>
    </row>
    <row r="335" spans="1:9" ht="13.9">
      <c r="A335" s="13"/>
      <c r="B335" s="13"/>
      <c r="C335" s="13"/>
      <c r="D335" s="13"/>
      <c r="E335" s="13"/>
      <c r="F335" s="14"/>
      <c r="G335" s="13"/>
      <c r="H335" s="13"/>
      <c r="I335" s="14"/>
    </row>
    <row r="336" spans="1:9" ht="13.9">
      <c r="A336" s="13"/>
      <c r="B336" s="13"/>
      <c r="C336" s="13"/>
      <c r="D336" s="13"/>
      <c r="E336" s="13"/>
      <c r="F336" s="14"/>
      <c r="G336" s="13"/>
      <c r="H336" s="13"/>
      <c r="I336" s="14"/>
    </row>
    <row r="337" spans="1:9" ht="13.9">
      <c r="A337" s="13"/>
      <c r="B337" s="13"/>
      <c r="C337" s="13"/>
      <c r="D337" s="13"/>
      <c r="E337" s="13"/>
      <c r="F337" s="14"/>
      <c r="G337" s="13"/>
      <c r="H337" s="13"/>
      <c r="I337" s="14"/>
    </row>
    <row r="338" spans="1:9" ht="13.9">
      <c r="A338" s="13"/>
      <c r="B338" s="13"/>
      <c r="C338" s="13"/>
      <c r="D338" s="13"/>
      <c r="E338" s="13"/>
      <c r="F338" s="14"/>
      <c r="G338" s="13"/>
      <c r="H338" s="13"/>
      <c r="I338" s="14"/>
    </row>
    <row r="339" spans="1:9" ht="13.9">
      <c r="A339" s="13"/>
      <c r="B339" s="13"/>
      <c r="C339" s="13"/>
      <c r="D339" s="13"/>
      <c r="E339" s="13"/>
      <c r="F339" s="14"/>
      <c r="G339" s="13"/>
      <c r="H339" s="13"/>
      <c r="I339" s="14"/>
    </row>
    <row r="340" spans="1:9" ht="13.9">
      <c r="A340" s="13"/>
      <c r="B340" s="13"/>
      <c r="C340" s="13"/>
      <c r="D340" s="13"/>
      <c r="E340" s="13"/>
      <c r="F340" s="14"/>
      <c r="G340" s="13"/>
      <c r="H340" s="13"/>
      <c r="I340" s="14"/>
    </row>
    <row r="341" spans="1:9" ht="13.9">
      <c r="A341" s="13"/>
      <c r="B341" s="13"/>
      <c r="C341" s="13"/>
      <c r="D341" s="13"/>
      <c r="E341" s="13"/>
      <c r="F341" s="14"/>
      <c r="G341" s="13"/>
      <c r="H341" s="13"/>
      <c r="I341" s="14"/>
    </row>
  </sheetData>
  <mergeCells count="4">
    <mergeCell ref="G1:I1"/>
    <mergeCell ref="A1:C1"/>
    <mergeCell ref="D1:F1"/>
    <mergeCell ref="A2:B2"/>
  </mergeCells>
  <conditionalFormatting sqref="F2 I2 F4:F99 I4:I99">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41"/>
  <sheetViews>
    <sheetView workbookViewId="0">
      <pane xSplit="2" ySplit="3" topLeftCell="C15" activePane="bottomRight" state="frozen"/>
      <selection pane="bottomRight" activeCell="I25" sqref="I25:I27"/>
      <selection pane="bottomLeft" activeCell="D28" sqref="D28"/>
      <selection pane="topRight" activeCell="D28" sqref="D28"/>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15" t="str" cm="1">
        <f t="array" ref="A1">portfolio</f>
        <v>38 DN</v>
      </c>
      <c r="B1" s="115"/>
      <c r="C1" s="115"/>
      <c r="D1" s="116" t="s">
        <v>16</v>
      </c>
      <c r="E1" s="116"/>
      <c r="F1" s="116"/>
      <c r="G1" s="114" t="s">
        <v>17</v>
      </c>
      <c r="H1" s="114"/>
      <c r="I1" s="114"/>
    </row>
    <row r="2" spans="1:9" ht="19.5" customHeight="1">
      <c r="A2" s="117" t="s">
        <v>2</v>
      </c>
      <c r="B2" s="117"/>
      <c r="C2" s="5">
        <f>SUM(C4:C99)</f>
        <v>9293147.5</v>
      </c>
      <c r="D2" s="5">
        <f>SUM(D4:D99)</f>
        <v>11140227.447000001</v>
      </c>
      <c r="E2" s="5">
        <f>C2-D2</f>
        <v>-1847079.9470000006</v>
      </c>
      <c r="F2" s="6">
        <f>IFERROR(E2/D2, 0)</f>
        <v>-0.16580271415350759</v>
      </c>
      <c r="G2" s="5">
        <f>SUM(G4:G99)</f>
        <v>9629585.006000001</v>
      </c>
      <c r="H2" s="7">
        <f>C2-G2</f>
        <v>-336437.50600000098</v>
      </c>
      <c r="I2" s="6">
        <f>IFERROR(H2/G2, 0)</f>
        <v>-3.4937902909665738E-2</v>
      </c>
    </row>
    <row r="3" spans="1:9" ht="14.25" customHeight="1">
      <c r="A3" s="17" t="s">
        <v>3</v>
      </c>
      <c r="B3" s="17" t="s">
        <v>4</v>
      </c>
      <c r="C3" s="27" t="s">
        <v>5</v>
      </c>
      <c r="D3" s="28" t="s">
        <v>6</v>
      </c>
      <c r="E3" s="28" t="s">
        <v>7</v>
      </c>
      <c r="F3" s="29" t="s">
        <v>8</v>
      </c>
      <c r="G3" s="30" t="s">
        <v>9</v>
      </c>
      <c r="H3" s="31" t="s">
        <v>7</v>
      </c>
      <c r="I3" s="32" t="s">
        <v>8</v>
      </c>
    </row>
    <row r="4" spans="1:9" ht="15.6">
      <c r="A4" s="55" t="str" cm="1">
        <f t="array" ref="A4:A27">Sites[Site]</f>
        <v>6th St.</v>
      </c>
      <c r="B4" s="35" t="str" cm="1">
        <f t="array" ref="B4:B27">Sites[State]</f>
        <v>CA</v>
      </c>
      <c r="C4" s="36">
        <f>SUM(Oct!C4, Nov!C4, Dec!C4)</f>
        <v>396491</v>
      </c>
      <c r="D4" s="37">
        <f>SUM(Oct!D4, Nov!D4, Dec!D4)</f>
        <v>308841.06</v>
      </c>
      <c r="E4" s="37">
        <f>IF(AND(ISNUMBER(C4),ISNUMBER(D4)), C4-D4, "")</f>
        <v>87649.94</v>
      </c>
      <c r="F4" s="38">
        <f>IFERROR(E4/D4, "")</f>
        <v>0.28380274306790687</v>
      </c>
      <c r="G4" s="39">
        <f>SUM(Oct!G4,Nov!G4,Dec!G4)</f>
        <v>476408.1</v>
      </c>
      <c r="H4" s="39">
        <f>SUM(Oct!H4, Nov!H4, Dec!H4)</f>
        <v>-79917.100000000006</v>
      </c>
      <c r="I4" s="40">
        <f>IFERROR(H4/G4, "")</f>
        <v>-0.16774924691666662</v>
      </c>
    </row>
    <row r="5" spans="1:9" ht="15.6">
      <c r="A5" s="56" t="str">
        <v>Barton Acres</v>
      </c>
      <c r="B5" s="42" t="str">
        <v>MA</v>
      </c>
      <c r="C5" s="43">
        <f>SUM(Oct!C5, Nov!C5, Dec!C5)</f>
        <v>237546</v>
      </c>
      <c r="D5" s="44">
        <f>SUM(Oct!D5, Nov!D5, Dec!D5)</f>
        <v>373630.30000000005</v>
      </c>
      <c r="E5" s="44">
        <f t="shared" ref="E5:E27" si="0">IF(AND(ISNUMBER(C5),ISNUMBER(D5)), C5-D5, "")</f>
        <v>-136084.30000000005</v>
      </c>
      <c r="F5" s="45">
        <f>IFERROR(E5/D5, "")</f>
        <v>-0.36422179892797779</v>
      </c>
      <c r="G5" s="44">
        <f>SUM(Oct!G5,Nov!G5,Dec!G5)</f>
        <v>231633.55</v>
      </c>
      <c r="H5" s="46">
        <f>SUM(Oct!H5, Nov!H5, Dec!H5)</f>
        <v>5912.4499999999971</v>
      </c>
      <c r="I5" s="45">
        <f>IFERROR(H5/G5, "")</f>
        <v>2.5525015698287218E-2</v>
      </c>
    </row>
    <row r="6" spans="1:9" ht="15.6">
      <c r="A6" s="55" t="str">
        <v>Bowden</v>
      </c>
      <c r="B6" s="35" t="str">
        <v>MA</v>
      </c>
      <c r="C6" s="36">
        <f>SUM(Oct!C6, Nov!C6, Dec!C6)</f>
        <v>562464</v>
      </c>
      <c r="D6" s="37">
        <f>SUM(Oct!D6, Nov!D6, Dec!D6)</f>
        <v>643863.20000000007</v>
      </c>
      <c r="E6" s="37">
        <f t="shared" si="0"/>
        <v>-81399.20000000007</v>
      </c>
      <c r="F6" s="38">
        <f t="shared" ref="F6:F27" si="1">IFERROR(E6/D6, "")</f>
        <v>-0.12642312839124842</v>
      </c>
      <c r="G6" s="39">
        <f>SUM(Oct!G6,Nov!G6,Dec!G6)</f>
        <v>615949.1</v>
      </c>
      <c r="H6" s="39">
        <f>SUM(Oct!H6, Nov!H6, Dec!H6)</f>
        <v>-53485.100000000006</v>
      </c>
      <c r="I6" s="40">
        <f t="shared" ref="I6:I15" si="2">IFERROR(H6/G6, "")</f>
        <v>-8.6833636091034158E-2</v>
      </c>
    </row>
    <row r="7" spans="1:9" ht="15.6">
      <c r="A7" s="56" t="str">
        <v>Blair Wire Village</v>
      </c>
      <c r="B7" s="42" t="str">
        <v>MA</v>
      </c>
      <c r="C7" s="43">
        <f>SUM(Oct!C7, Nov!C7, Dec!C7)</f>
        <v>284553</v>
      </c>
      <c r="D7" s="44">
        <f>SUM(Oct!D7, Nov!D7, Dec!D7)</f>
        <v>417902.6</v>
      </c>
      <c r="E7" s="44">
        <f t="shared" si="0"/>
        <v>-133349.59999999998</v>
      </c>
      <c r="F7" s="45">
        <f t="shared" si="1"/>
        <v>-0.31909253495910289</v>
      </c>
      <c r="G7" s="44">
        <f>SUM(Oct!G7,Nov!G7,Dec!G7)</f>
        <v>315433.06</v>
      </c>
      <c r="H7" s="46">
        <f>SUM(Oct!H7, Nov!H7, Dec!H7)</f>
        <v>-30880.060000000012</v>
      </c>
      <c r="I7" s="45">
        <f t="shared" si="2"/>
        <v>-9.7897347855675027E-2</v>
      </c>
    </row>
    <row r="8" spans="1:9" ht="15.6">
      <c r="A8" s="55" t="str">
        <v>Boutilier</v>
      </c>
      <c r="B8" s="35" t="str">
        <v>MA</v>
      </c>
      <c r="C8" s="36">
        <f>SUM(Oct!C8, Nov!C8, Dec!C8)</f>
        <v>788295</v>
      </c>
      <c r="D8" s="37">
        <f>SUM(Oct!D8, Nov!D8, Dec!D8)</f>
        <v>870599.79999999993</v>
      </c>
      <c r="E8" s="37">
        <f t="shared" si="0"/>
        <v>-82304.79999999993</v>
      </c>
      <c r="F8" s="38">
        <f t="shared" si="1"/>
        <v>-9.4538041474394943E-2</v>
      </c>
      <c r="G8" s="39">
        <f>SUM(Oct!G8,Nov!G8,Dec!G8)</f>
        <v>635856.19999999995</v>
      </c>
      <c r="H8" s="39">
        <f>SUM(Oct!H8, Nov!H8, Dec!H8)</f>
        <v>152438.79999999999</v>
      </c>
      <c r="I8" s="40">
        <f t="shared" si="2"/>
        <v>0.23973785267801115</v>
      </c>
    </row>
    <row r="9" spans="1:9" ht="15.6">
      <c r="A9" s="56" t="str">
        <v>Cherry Valley</v>
      </c>
      <c r="B9" s="42" t="str">
        <v>MA</v>
      </c>
      <c r="C9" s="43">
        <f>SUM(Oct!C9, Nov!C9, Dec!C9)</f>
        <v>259361</v>
      </c>
      <c r="D9" s="44">
        <f>SUM(Oct!D9, Nov!D9, Dec!D9)</f>
        <v>413514.6</v>
      </c>
      <c r="E9" s="44">
        <f t="shared" si="0"/>
        <v>-154153.59999999998</v>
      </c>
      <c r="F9" s="45">
        <f t="shared" si="1"/>
        <v>-0.37278877214976203</v>
      </c>
      <c r="G9" s="44">
        <f>SUM(Oct!G9,Nov!G9,Dec!G9)</f>
        <v>247270.40999999997</v>
      </c>
      <c r="H9" s="46">
        <f>SUM(Oct!H9, Nov!H9, Dec!H9)</f>
        <v>12090.590000000004</v>
      </c>
      <c r="I9" s="45">
        <f t="shared" si="2"/>
        <v>4.8896226604711844E-2</v>
      </c>
    </row>
    <row r="10" spans="1:9" ht="15.6">
      <c r="A10" s="55" t="str">
        <v>Cohasse</v>
      </c>
      <c r="B10" s="35" t="str">
        <v>MA</v>
      </c>
      <c r="C10" s="36">
        <f>SUM(Oct!C10, Nov!C10, Dec!C10)</f>
        <v>267998</v>
      </c>
      <c r="D10" s="37">
        <f>SUM(Oct!D10, Nov!D10, Dec!D10)</f>
        <v>386903.4</v>
      </c>
      <c r="E10" s="37">
        <f t="shared" si="0"/>
        <v>-118905.40000000002</v>
      </c>
      <c r="F10" s="38">
        <f t="shared" si="1"/>
        <v>-0.30732580794069014</v>
      </c>
      <c r="G10" s="39">
        <f>SUM(Oct!G10,Nov!G10,Dec!G10)</f>
        <v>347429.38</v>
      </c>
      <c r="H10" s="39">
        <f>SUM(Oct!H10, Nov!H10, Dec!H10)</f>
        <v>-79431.38</v>
      </c>
      <c r="I10" s="40">
        <f t="shared" si="2"/>
        <v>-0.22862597285238226</v>
      </c>
    </row>
    <row r="11" spans="1:9" ht="15.6">
      <c r="A11" s="56" t="str">
        <v>ISM Dighton Solar 2</v>
      </c>
      <c r="B11" s="42" t="str">
        <v>MA</v>
      </c>
      <c r="C11" s="43">
        <f>SUM(Oct!C11, Nov!C11, Dec!C11)</f>
        <v>619304</v>
      </c>
      <c r="D11" s="44">
        <f>SUM(Oct!D11, Nov!D11, Dec!D11)</f>
        <v>609149.89999999991</v>
      </c>
      <c r="E11" s="44">
        <f t="shared" si="0"/>
        <v>10154.100000000093</v>
      </c>
      <c r="F11" s="45">
        <f t="shared" si="1"/>
        <v>1.6669296014002619E-2</v>
      </c>
      <c r="G11" s="44">
        <f>SUM(Oct!G11,Nov!G11,Dec!G11)</f>
        <v>695524.2</v>
      </c>
      <c r="H11" s="46">
        <f>SUM(Oct!H11, Nov!H11, Dec!H11)</f>
        <v>-76220.199999999983</v>
      </c>
      <c r="I11" s="45">
        <f t="shared" si="2"/>
        <v>-0.1095866973428099</v>
      </c>
    </row>
    <row r="12" spans="1:9" ht="15.6">
      <c r="A12" s="55" t="str">
        <v>Dudley River 1</v>
      </c>
      <c r="B12" s="35" t="str">
        <v>MA</v>
      </c>
      <c r="C12" s="36">
        <f>SUM(Oct!C12, Nov!C12, Dec!C12)</f>
        <v>304509</v>
      </c>
      <c r="D12" s="37">
        <f>SUM(Oct!D12, Nov!D12, Dec!D12)</f>
        <v>338728.2</v>
      </c>
      <c r="E12" s="37">
        <f t="shared" si="0"/>
        <v>-34219.200000000012</v>
      </c>
      <c r="F12" s="38">
        <f t="shared" si="1"/>
        <v>-0.10102258979323248</v>
      </c>
      <c r="G12" s="39">
        <f>SUM(Oct!G12,Nov!G12,Dec!G12)</f>
        <v>316946.49</v>
      </c>
      <c r="H12" s="39">
        <f>SUM(Oct!H12, Nov!H12, Dec!H12)</f>
        <v>-12437.489999999991</v>
      </c>
      <c r="I12" s="40">
        <f t="shared" si="2"/>
        <v>-3.924160826011984E-2</v>
      </c>
    </row>
    <row r="13" spans="1:9" ht="15.6">
      <c r="A13" s="56" t="str">
        <v>Dudley River 2</v>
      </c>
      <c r="B13" s="42" t="str">
        <v>MA</v>
      </c>
      <c r="C13" s="43">
        <f>SUM(Oct!C13, Nov!C13, Dec!C13)</f>
        <v>305492</v>
      </c>
      <c r="D13" s="44">
        <f>SUM(Oct!D13, Nov!D13, Dec!D13)</f>
        <v>332911.86</v>
      </c>
      <c r="E13" s="44">
        <f t="shared" si="0"/>
        <v>-27419.859999999986</v>
      </c>
      <c r="F13" s="45">
        <f t="shared" si="1"/>
        <v>-8.2363722337798317E-2</v>
      </c>
      <c r="G13" s="44">
        <f>SUM(Oct!G13,Nov!G13,Dec!G13)</f>
        <v>306261.14999999997</v>
      </c>
      <c r="H13" s="46">
        <f>SUM(Oct!H13, Nov!H13, Dec!H13)</f>
        <v>-769.14999999999418</v>
      </c>
      <c r="I13" s="45">
        <f t="shared" si="2"/>
        <v>-2.5114187679370834E-3</v>
      </c>
    </row>
    <row r="14" spans="1:9" ht="15.6">
      <c r="A14" s="55" t="str">
        <v>Dudley River 3</v>
      </c>
      <c r="B14" s="35" t="str">
        <v>MA</v>
      </c>
      <c r="C14" s="36">
        <f>SUM(Oct!C14, Nov!C14, Dec!C14)</f>
        <v>318288</v>
      </c>
      <c r="D14" s="37">
        <f>SUM(Oct!D14, Nov!D14, Dec!D14)</f>
        <v>336794.55</v>
      </c>
      <c r="E14" s="37">
        <f t="shared" si="0"/>
        <v>-18506.549999999988</v>
      </c>
      <c r="F14" s="38">
        <f t="shared" si="1"/>
        <v>-5.4949078006161292E-2</v>
      </c>
      <c r="G14" s="39">
        <f>SUM(Oct!G14,Nov!G14,Dec!G14)</f>
        <v>313177.06</v>
      </c>
      <c r="H14" s="39">
        <f>SUM(Oct!H14, Nov!H14, Dec!H14)</f>
        <v>5110.9400000000023</v>
      </c>
      <c r="I14" s="40">
        <f t="shared" si="2"/>
        <v>1.6319649976917219E-2</v>
      </c>
    </row>
    <row r="15" spans="1:9" ht="15.6">
      <c r="A15" s="56" t="str">
        <v>Flint Pond</v>
      </c>
      <c r="B15" s="42" t="str">
        <v>MA</v>
      </c>
      <c r="C15" s="43">
        <f>SUM(Oct!C15, Nov!C15, Dec!C15)</f>
        <v>117561.5</v>
      </c>
      <c r="D15" s="44">
        <f>SUM(Oct!D15, Nov!D15, Dec!D15)</f>
        <v>179273.69</v>
      </c>
      <c r="E15" s="44">
        <f t="shared" si="0"/>
        <v>-61712.19</v>
      </c>
      <c r="F15" s="45">
        <f t="shared" si="1"/>
        <v>-0.34423450535323952</v>
      </c>
      <c r="G15" s="44">
        <f>SUM(Oct!G15,Nov!G15,Dec!G15)</f>
        <v>110696.63</v>
      </c>
      <c r="H15" s="46">
        <f>SUM(Oct!H15, Nov!H15, Dec!H15)</f>
        <v>6864.8700000000026</v>
      </c>
      <c r="I15" s="45">
        <f t="shared" si="2"/>
        <v>6.2015167038057095E-2</v>
      </c>
    </row>
    <row r="16" spans="1:9" ht="15.6">
      <c r="A16" s="55" t="str">
        <v>Incom</v>
      </c>
      <c r="B16" s="35" t="str">
        <v>MA</v>
      </c>
      <c r="C16" s="36">
        <f>SUM(Oct!C16, Nov!C16, Dec!C16)</f>
        <v>641836</v>
      </c>
      <c r="D16" s="37">
        <f>SUM(Oct!D16, Nov!D16, Dec!D16)</f>
        <v>743995.3</v>
      </c>
      <c r="E16" s="37">
        <f t="shared" si="0"/>
        <v>-102159.30000000005</v>
      </c>
      <c r="F16" s="38">
        <f t="shared" si="1"/>
        <v>-0.13731175452318051</v>
      </c>
      <c r="G16" s="39">
        <f>SUM(Oct!G16,Nov!G16,Dec!G16)</f>
        <v>680148.6</v>
      </c>
      <c r="H16" s="39">
        <f>SUM(Oct!H16, Nov!H16, Dec!H16)</f>
        <v>-38312.599999999977</v>
      </c>
      <c r="I16" s="40">
        <f t="shared" ref="I16:I18" si="3">IFERROR(H16/G16, "")</f>
        <v>-5.6329749116590076E-2</v>
      </c>
    </row>
    <row r="17" spans="1:9" ht="15.6">
      <c r="A17" s="56" t="str">
        <v>JH</v>
      </c>
      <c r="B17" s="42" t="str">
        <v>MA</v>
      </c>
      <c r="C17" s="43">
        <f>SUM(Oct!C17, Nov!C17, Dec!C17)</f>
        <v>255888</v>
      </c>
      <c r="D17" s="44">
        <f>SUM(Oct!D17, Nov!D17, Dec!D17)</f>
        <v>402552.6</v>
      </c>
      <c r="E17" s="44">
        <f t="shared" si="0"/>
        <v>-146664.59999999998</v>
      </c>
      <c r="F17" s="45">
        <f t="shared" si="1"/>
        <v>-0.36433648671005969</v>
      </c>
      <c r="G17" s="44">
        <f>SUM(Oct!G17,Nov!G17,Dec!G17)</f>
        <v>324446.33</v>
      </c>
      <c r="H17" s="46">
        <f>SUM(Oct!H17, Nov!H17, Dec!H17)</f>
        <v>-68558.33</v>
      </c>
      <c r="I17" s="45">
        <f t="shared" si="3"/>
        <v>-0.21130869318201256</v>
      </c>
    </row>
    <row r="18" spans="1:9" ht="12.75" customHeight="1">
      <c r="A18" s="55" t="str">
        <v>Ledeaux</v>
      </c>
      <c r="B18" s="35" t="str">
        <v>MA</v>
      </c>
      <c r="C18" s="36">
        <f>SUM(Oct!C18, Nov!C18, Dec!C18)</f>
        <v>230791</v>
      </c>
      <c r="D18" s="37">
        <f>SUM(Oct!D18, Nov!D18, Dec!D18)</f>
        <v>292087.13</v>
      </c>
      <c r="E18" s="37">
        <f t="shared" si="0"/>
        <v>-61296.130000000005</v>
      </c>
      <c r="F18" s="38">
        <f t="shared" si="1"/>
        <v>-0.20985563451563238</v>
      </c>
      <c r="G18" s="39">
        <f>SUM(Oct!G18,Nov!G18,Dec!G18)</f>
        <v>306001.18</v>
      </c>
      <c r="H18" s="46">
        <f>SUM(Oct!H18, Nov!H18, Dec!H18)</f>
        <v>-75210.180000000008</v>
      </c>
      <c r="I18" s="45">
        <f t="shared" si="3"/>
        <v>-0.2457839541664513</v>
      </c>
    </row>
    <row r="19" spans="1:9" ht="15.6">
      <c r="A19" s="56" t="str">
        <v>Palombo A</v>
      </c>
      <c r="B19" s="42" t="str">
        <v>MA</v>
      </c>
      <c r="C19" s="43">
        <f>SUM(Oct!C19, Nov!C19, Dec!C19)</f>
        <v>586871</v>
      </c>
      <c r="D19" s="44">
        <f>SUM(Oct!D19, Nov!D19, Dec!D19)</f>
        <v>780216.9</v>
      </c>
      <c r="E19" s="44">
        <f t="shared" si="0"/>
        <v>-193345.90000000002</v>
      </c>
      <c r="F19" s="45">
        <f t="shared" si="1"/>
        <v>-0.24781044860730397</v>
      </c>
      <c r="G19" s="44">
        <f>SUM(Oct!G19,Nov!G19,Dec!G19)</f>
        <v>729267.39999999991</v>
      </c>
      <c r="H19" s="39">
        <f>SUM(Oct!H19, Nov!H19, Dec!H19)</f>
        <v>-142396.40000000002</v>
      </c>
      <c r="I19" s="40">
        <f t="shared" ref="I19:I24" si="4">IFERROR(H19/G19, "")</f>
        <v>-0.19525951660529464</v>
      </c>
    </row>
    <row r="20" spans="1:9" ht="15.6">
      <c r="A20" s="55" t="str">
        <v>Palombo B</v>
      </c>
      <c r="B20" s="35" t="str">
        <v>MA</v>
      </c>
      <c r="C20" s="36">
        <f>SUM(Oct!C20, Nov!C20, Dec!C20)</f>
        <v>263943</v>
      </c>
      <c r="D20" s="37">
        <f>SUM(Oct!D20, Nov!D20, Dec!D20)</f>
        <v>377763.3</v>
      </c>
      <c r="E20" s="37">
        <f t="shared" si="0"/>
        <v>-113820.29999999999</v>
      </c>
      <c r="F20" s="38">
        <f t="shared" si="1"/>
        <v>-0.30130057631326279</v>
      </c>
      <c r="G20" s="39">
        <f>SUM(Oct!G20,Nov!G20,Dec!G20)</f>
        <v>239719.72000000003</v>
      </c>
      <c r="H20" s="46">
        <f>SUM(Oct!H20, Nov!H20, Dec!H20)</f>
        <v>24223.279999999999</v>
      </c>
      <c r="I20" s="45">
        <f t="shared" si="4"/>
        <v>0.10104834095417764</v>
      </c>
    </row>
    <row r="21" spans="1:9" ht="15.6">
      <c r="A21" s="56" t="str">
        <v>St Josephs Church</v>
      </c>
      <c r="B21" s="42" t="str">
        <v>MA</v>
      </c>
      <c r="C21" s="43">
        <f>SUM(Oct!C21, Nov!C21, Dec!C21)</f>
        <v>288808</v>
      </c>
      <c r="D21" s="44">
        <f>SUM(Oct!D21, Nov!D21, Dec!D21)</f>
        <v>414439.49600000004</v>
      </c>
      <c r="E21" s="44">
        <f t="shared" si="0"/>
        <v>-125631.49600000004</v>
      </c>
      <c r="F21" s="45">
        <f t="shared" si="1"/>
        <v>-0.30313591540512835</v>
      </c>
      <c r="G21" s="44">
        <f>SUM(Oct!G21,Nov!G21,Dec!G21)</f>
        <v>288089.37900000002</v>
      </c>
      <c r="H21" s="46">
        <f>SUM(Oct!H21, Nov!H21, Dec!H21)</f>
        <v>718.62099999999919</v>
      </c>
      <c r="I21" s="45">
        <f t="shared" si="4"/>
        <v>2.4944376724141543E-3</v>
      </c>
    </row>
    <row r="22" spans="1:9" ht="15.6">
      <c r="A22" s="55" t="str">
        <v>Sunset A</v>
      </c>
      <c r="B22" s="35" t="str">
        <v>MA</v>
      </c>
      <c r="C22" s="36">
        <f>SUM(Oct!C22, Nov!C22, Dec!C22)</f>
        <v>131073</v>
      </c>
      <c r="D22" s="37">
        <f>SUM(Oct!D22, Nov!D22, Dec!D22)</f>
        <v>200310.03999999998</v>
      </c>
      <c r="E22" s="37">
        <f t="shared" si="0"/>
        <v>-69237.039999999979</v>
      </c>
      <c r="F22" s="38">
        <f t="shared" si="1"/>
        <v>-0.34564937433989823</v>
      </c>
      <c r="G22" s="39">
        <f>SUM(Oct!G22,Nov!G22,Dec!G22)</f>
        <v>109049.65</v>
      </c>
      <c r="H22" s="39">
        <f>SUM(Oct!H22, Nov!H22, Dec!H22)</f>
        <v>22023.35</v>
      </c>
      <c r="I22" s="40">
        <f t="shared" si="4"/>
        <v>0.20195709018781813</v>
      </c>
    </row>
    <row r="23" spans="1:9" ht="15.6">
      <c r="A23" s="56" t="str">
        <v>Sunset B</v>
      </c>
      <c r="B23" s="42" t="str">
        <v>MA</v>
      </c>
      <c r="C23" s="43">
        <f>SUM(Oct!C23, Nov!C23, Dec!C23)</f>
        <v>120738</v>
      </c>
      <c r="D23" s="44">
        <f>SUM(Oct!D23, Nov!D23, Dec!D23)</f>
        <v>146164.29999999999</v>
      </c>
      <c r="E23" s="44">
        <f t="shared" si="0"/>
        <v>-25426.299999999988</v>
      </c>
      <c r="F23" s="45">
        <f t="shared" si="1"/>
        <v>-0.17395697855084991</v>
      </c>
      <c r="G23" s="44">
        <f>SUM(Oct!G23,Nov!G23,Dec!G23)</f>
        <v>107745.73000000001</v>
      </c>
      <c r="H23" s="46">
        <f>SUM(Oct!H23, Nov!H23, Dec!H23)</f>
        <v>12992.269999999997</v>
      </c>
      <c r="I23" s="45">
        <f t="shared" si="4"/>
        <v>0.12058269037668588</v>
      </c>
    </row>
    <row r="24" spans="1:9" ht="15.6">
      <c r="A24" s="55" t="str">
        <v>Woodchuck</v>
      </c>
      <c r="B24" s="35" t="str">
        <v>MA</v>
      </c>
      <c r="C24" s="36">
        <f>SUM(Oct!C24, Nov!C24, Dec!C24)</f>
        <v>257878</v>
      </c>
      <c r="D24" s="37">
        <f>SUM(Oct!D24, Nov!D24, Dec!D24)</f>
        <v>328486.28000000003</v>
      </c>
      <c r="E24" s="37">
        <f t="shared" si="0"/>
        <v>-70608.280000000028</v>
      </c>
      <c r="F24" s="38">
        <f t="shared" si="1"/>
        <v>-0.21495046916419164</v>
      </c>
      <c r="G24" s="39">
        <f>SUM(Oct!G24,Nov!G24,Dec!G24)</f>
        <v>302394.31</v>
      </c>
      <c r="H24" s="46">
        <f>SUM(Oct!H24, Nov!H24, Dec!H24)</f>
        <v>-44516.310000000012</v>
      </c>
      <c r="I24" s="45">
        <f t="shared" si="4"/>
        <v>-0.1472127898173746</v>
      </c>
    </row>
    <row r="25" spans="1:9" ht="15.6">
      <c r="A25" s="56" t="str">
        <v>NY: Skaneateles - Spafford 1 - (PW)</v>
      </c>
      <c r="B25" s="42" t="str">
        <v>NY</v>
      </c>
      <c r="C25" s="43">
        <f>SUM(Oct!C25, Nov!C25, Dec!C25)</f>
        <v>1252493</v>
      </c>
      <c r="D25" s="44">
        <f>SUM(Oct!D25, Nov!D25, Dec!D25)</f>
        <v>1468576.4</v>
      </c>
      <c r="E25" s="44">
        <f t="shared" si="0"/>
        <v>-216083.39999999991</v>
      </c>
      <c r="F25" s="45">
        <f t="shared" si="1"/>
        <v>-0.14713800385189352</v>
      </c>
      <c r="G25" s="44">
        <f>SUM(Oct!G25,Nov!G25,Dec!G25)</f>
        <v>1134482.2</v>
      </c>
      <c r="H25" s="46">
        <f>SUM(Oct!H25, Nov!H25, Dec!H25)</f>
        <v>118010.79999999999</v>
      </c>
      <c r="I25" s="45">
        <f t="shared" ref="I25:I27" si="5">IFERROR(H25/G25, "")</f>
        <v>0.10402172903197598</v>
      </c>
    </row>
    <row r="26" spans="1:9" ht="15.6">
      <c r="A26" s="55" t="str">
        <v>NY: Skaneateles - Spafford 2 - (PW)</v>
      </c>
      <c r="B26" s="35" t="str">
        <v>NY</v>
      </c>
      <c r="C26" s="36">
        <f>SUM(Oct!C26, Nov!C26, Dec!C26)</f>
        <v>544195</v>
      </c>
      <c r="D26" s="37">
        <f>SUM(Oct!D26, Nov!D26, Dec!D26)</f>
        <v>523954.9</v>
      </c>
      <c r="E26" s="37">
        <f t="shared" si="0"/>
        <v>20240.099999999977</v>
      </c>
      <c r="F26" s="38">
        <f t="shared" si="1"/>
        <v>3.8629469826506016E-2</v>
      </c>
      <c r="G26" s="39">
        <f>SUM(Oct!G26,Nov!G26,Dec!G26)</f>
        <v>467725.4</v>
      </c>
      <c r="H26" s="46">
        <f>SUM(Oct!H26, Nov!H26, Dec!H26)</f>
        <v>76469.599999999991</v>
      </c>
      <c r="I26" s="45">
        <f t="shared" si="5"/>
        <v>0.16349251077662233</v>
      </c>
    </row>
    <row r="27" spans="1:9" ht="15.6">
      <c r="A27" s="56" t="str">
        <v>NY: New Hartford - 4001 NY-12 (IRA)</v>
      </c>
      <c r="B27" s="42" t="str">
        <v>NY</v>
      </c>
      <c r="C27" s="43">
        <f>SUM(Oct!C27, Nov!C27, Dec!C27)</f>
        <v>256771</v>
      </c>
      <c r="D27" s="44">
        <f>SUM(Oct!D27, Nov!D27, Dec!D27)</f>
        <v>249567.641</v>
      </c>
      <c r="E27" s="44">
        <f t="shared" si="0"/>
        <v>7203.3589999999967</v>
      </c>
      <c r="F27" s="45">
        <f t="shared" si="1"/>
        <v>2.8863353322316321E-2</v>
      </c>
      <c r="G27" s="44">
        <f>SUM(Oct!G27,Nov!G27,Dec!G27)</f>
        <v>327929.777</v>
      </c>
      <c r="H27" s="46">
        <f>SUM(Oct!H27, Nov!H27, Dec!H27)</f>
        <v>-71158.777000000002</v>
      </c>
      <c r="I27" s="45">
        <f t="shared" si="5"/>
        <v>-0.21699394806711927</v>
      </c>
    </row>
    <row r="28" spans="1:9" ht="14.45">
      <c r="A28" s="13"/>
      <c r="B28" s="8"/>
      <c r="C28" s="23"/>
      <c r="D28" s="10"/>
      <c r="E28" s="10"/>
      <c r="F28" s="11"/>
      <c r="G28" s="12"/>
      <c r="H28" s="12"/>
      <c r="I28" s="11"/>
    </row>
    <row r="29" spans="1:9" ht="14.45">
      <c r="A29" s="13"/>
      <c r="B29" s="8"/>
      <c r="C29" s="23"/>
      <c r="D29" s="10"/>
      <c r="E29" s="10"/>
      <c r="F29" s="11"/>
      <c r="G29" s="12"/>
      <c r="H29" s="12"/>
      <c r="I29" s="11"/>
    </row>
    <row r="30" spans="1:9" ht="13.9">
      <c r="A30" s="13"/>
      <c r="B30" s="13"/>
      <c r="C30" s="13"/>
      <c r="D30" s="13"/>
      <c r="E30" s="13"/>
      <c r="F30" s="13"/>
      <c r="G30" s="13"/>
      <c r="H30" s="13"/>
      <c r="I30" s="13"/>
    </row>
    <row r="31" spans="1:9" ht="13.9">
      <c r="A31" s="13"/>
      <c r="B31" s="13"/>
      <c r="C31" s="13"/>
      <c r="D31" s="13"/>
      <c r="E31" s="13"/>
      <c r="F31" s="13"/>
      <c r="G31" s="13"/>
      <c r="H31" s="13"/>
      <c r="I31" s="13"/>
    </row>
    <row r="32" spans="1:9" ht="13.9">
      <c r="A32" s="13"/>
      <c r="B32" s="13"/>
      <c r="C32" s="13"/>
      <c r="D32" s="13"/>
      <c r="E32" s="13"/>
      <c r="F32" s="14"/>
      <c r="G32" s="13"/>
      <c r="H32" s="13"/>
      <c r="I32" s="14"/>
    </row>
    <row r="33" spans="1:9" ht="13.9">
      <c r="A33" s="13"/>
      <c r="B33" s="13"/>
      <c r="C33" s="13"/>
      <c r="D33" s="13"/>
      <c r="E33" s="13"/>
      <c r="F33" s="14"/>
      <c r="G33" s="13"/>
      <c r="H33" s="13"/>
      <c r="I33" s="14"/>
    </row>
    <row r="34" spans="1:9" ht="13.9">
      <c r="A34" s="13"/>
      <c r="B34" s="13"/>
      <c r="C34" s="13"/>
      <c r="D34" s="13"/>
      <c r="E34" s="13"/>
      <c r="F34" s="14"/>
      <c r="G34" s="13"/>
      <c r="H34" s="13"/>
      <c r="I34" s="14"/>
    </row>
    <row r="35" spans="1:9" ht="13.9">
      <c r="A35" s="13"/>
      <c r="B35" s="13"/>
      <c r="C35" s="13"/>
      <c r="D35" s="13"/>
      <c r="E35" s="13"/>
      <c r="F35" s="14"/>
      <c r="G35" s="13"/>
      <c r="H35" s="13"/>
      <c r="I35" s="14"/>
    </row>
    <row r="36" spans="1:9" ht="13.9">
      <c r="A36" s="13"/>
      <c r="B36" s="13"/>
      <c r="C36" s="13"/>
      <c r="D36" s="13"/>
      <c r="E36" s="13"/>
      <c r="F36" s="14"/>
      <c r="G36" s="13"/>
      <c r="H36" s="13"/>
      <c r="I36" s="14"/>
    </row>
    <row r="37" spans="1:9" ht="13.9">
      <c r="A37" s="13"/>
      <c r="B37" s="13"/>
      <c r="C37" s="13"/>
      <c r="D37" s="13"/>
      <c r="E37" s="13"/>
      <c r="F37" s="14"/>
      <c r="G37" s="13"/>
      <c r="H37" s="13"/>
      <c r="I37" s="14"/>
    </row>
    <row r="38" spans="1:9" ht="13.9">
      <c r="A38" s="13"/>
      <c r="B38" s="13"/>
      <c r="C38" s="13"/>
      <c r="D38" s="13"/>
      <c r="E38" s="13"/>
      <c r="F38" s="14"/>
      <c r="G38" s="13"/>
      <c r="H38" s="13"/>
      <c r="I38" s="14"/>
    </row>
    <row r="39" spans="1:9" ht="13.9">
      <c r="A39" s="13"/>
      <c r="B39" s="13"/>
      <c r="C39" s="13"/>
      <c r="D39" s="13"/>
      <c r="E39" s="13"/>
      <c r="F39" s="14"/>
      <c r="G39" s="13"/>
      <c r="H39" s="13"/>
      <c r="I39" s="14"/>
    </row>
    <row r="40" spans="1:9" ht="13.9">
      <c r="A40" s="13"/>
      <c r="B40" s="13"/>
      <c r="C40" s="13"/>
      <c r="D40" s="13"/>
      <c r="E40" s="13"/>
      <c r="F40" s="14"/>
      <c r="G40" s="13"/>
      <c r="H40" s="13"/>
      <c r="I40" s="14"/>
    </row>
    <row r="41" spans="1:9" ht="13.9">
      <c r="A41" s="13"/>
      <c r="B41" s="13"/>
      <c r="C41" s="13"/>
      <c r="D41" s="13"/>
      <c r="E41" s="13"/>
      <c r="F41" s="14"/>
      <c r="G41" s="13"/>
      <c r="H41" s="13"/>
      <c r="I41" s="14"/>
    </row>
    <row r="42" spans="1:9" ht="13.9">
      <c r="A42" s="13"/>
      <c r="B42" s="13"/>
      <c r="C42" s="13"/>
      <c r="D42" s="13"/>
      <c r="E42" s="13"/>
      <c r="F42" s="14"/>
      <c r="G42" s="13"/>
      <c r="H42" s="13"/>
      <c r="I42" s="14"/>
    </row>
    <row r="43" spans="1:9" ht="13.9">
      <c r="A43" s="13"/>
      <c r="B43" s="13"/>
      <c r="C43" s="13"/>
      <c r="D43" s="13"/>
      <c r="E43" s="13"/>
      <c r="F43" s="14"/>
      <c r="G43" s="13"/>
      <c r="H43" s="13"/>
      <c r="I43" s="14"/>
    </row>
    <row r="44" spans="1:9" ht="13.9">
      <c r="A44" s="13"/>
      <c r="B44" s="13"/>
      <c r="C44" s="13"/>
      <c r="D44" s="13"/>
      <c r="E44" s="13"/>
      <c r="F44" s="14"/>
      <c r="G44" s="13"/>
      <c r="H44" s="13"/>
      <c r="I44" s="14"/>
    </row>
    <row r="45" spans="1:9" ht="13.9">
      <c r="A45" s="13"/>
      <c r="B45" s="13"/>
      <c r="C45" s="13"/>
      <c r="D45" s="13"/>
      <c r="E45" s="13"/>
      <c r="F45" s="14"/>
      <c r="G45" s="13"/>
      <c r="H45" s="13"/>
      <c r="I45" s="14"/>
    </row>
    <row r="46" spans="1:9" ht="13.9">
      <c r="A46" s="13"/>
      <c r="B46" s="13"/>
      <c r="C46" s="13"/>
      <c r="D46" s="13"/>
      <c r="E46" s="13"/>
      <c r="F46" s="14"/>
      <c r="G46" s="13"/>
      <c r="H46" s="13"/>
      <c r="I46" s="14"/>
    </row>
    <row r="47" spans="1:9" ht="13.9">
      <c r="A47" s="13"/>
      <c r="B47" s="13"/>
      <c r="C47" s="13"/>
      <c r="D47" s="13"/>
      <c r="E47" s="13"/>
      <c r="F47" s="14"/>
      <c r="G47" s="13"/>
      <c r="H47" s="13"/>
      <c r="I47" s="14"/>
    </row>
    <row r="48" spans="1:9" ht="13.9">
      <c r="A48" s="13"/>
      <c r="B48" s="13"/>
      <c r="C48" s="13"/>
      <c r="D48" s="13"/>
      <c r="E48" s="13"/>
      <c r="F48" s="14"/>
      <c r="G48" s="13"/>
      <c r="H48" s="13"/>
      <c r="I48" s="14"/>
    </row>
    <row r="49" spans="1:9" ht="13.9">
      <c r="A49" s="13"/>
      <c r="B49" s="13"/>
      <c r="C49" s="13"/>
      <c r="D49" s="13"/>
      <c r="E49" s="13"/>
      <c r="F49" s="14"/>
      <c r="G49" s="13"/>
      <c r="H49" s="13"/>
      <c r="I49" s="14"/>
    </row>
    <row r="50" spans="1:9" ht="13.9">
      <c r="A50" s="13"/>
      <c r="B50" s="13"/>
      <c r="C50" s="13"/>
      <c r="D50" s="13"/>
      <c r="E50" s="13"/>
      <c r="F50" s="14"/>
      <c r="G50" s="13"/>
      <c r="H50" s="13"/>
      <c r="I50" s="14"/>
    </row>
    <row r="51" spans="1:9" ht="13.9">
      <c r="A51" s="13"/>
      <c r="B51" s="13"/>
      <c r="C51" s="13"/>
      <c r="D51" s="13"/>
      <c r="E51" s="13"/>
      <c r="F51" s="14"/>
      <c r="G51" s="13"/>
      <c r="H51" s="13"/>
      <c r="I51" s="14"/>
    </row>
    <row r="52" spans="1:9" ht="13.9">
      <c r="A52" s="13"/>
      <c r="B52" s="13"/>
      <c r="C52" s="13"/>
      <c r="D52" s="13"/>
      <c r="E52" s="13"/>
      <c r="F52" s="14"/>
      <c r="G52" s="13"/>
      <c r="H52" s="13"/>
      <c r="I52" s="14"/>
    </row>
    <row r="53" spans="1:9" ht="13.9">
      <c r="A53" s="13"/>
      <c r="B53" s="13"/>
      <c r="C53" s="13"/>
      <c r="D53" s="13"/>
      <c r="E53" s="13"/>
      <c r="F53" s="14"/>
      <c r="G53" s="13"/>
      <c r="H53" s="13"/>
      <c r="I53" s="14"/>
    </row>
    <row r="54" spans="1:9" ht="13.9">
      <c r="A54" s="13"/>
      <c r="B54" s="13"/>
      <c r="C54" s="13"/>
      <c r="D54" s="13"/>
      <c r="E54" s="13"/>
      <c r="F54" s="14"/>
      <c r="G54" s="13"/>
      <c r="H54" s="13"/>
      <c r="I54" s="14"/>
    </row>
    <row r="55" spans="1:9" ht="13.9">
      <c r="A55" s="13"/>
      <c r="B55" s="13"/>
      <c r="C55" s="13"/>
      <c r="D55" s="13"/>
      <c r="E55" s="13"/>
      <c r="F55" s="14"/>
      <c r="G55" s="13"/>
      <c r="H55" s="13"/>
      <c r="I55" s="14"/>
    </row>
    <row r="56" spans="1:9" ht="13.9">
      <c r="A56" s="13"/>
      <c r="B56" s="13"/>
      <c r="C56" s="13"/>
      <c r="D56" s="13"/>
      <c r="E56" s="13"/>
      <c r="F56" s="14"/>
      <c r="G56" s="13"/>
      <c r="H56" s="13"/>
      <c r="I56" s="14"/>
    </row>
    <row r="57" spans="1:9" ht="13.9">
      <c r="A57" s="13"/>
      <c r="B57" s="13"/>
      <c r="C57" s="13"/>
      <c r="D57" s="13"/>
      <c r="E57" s="13"/>
      <c r="F57" s="14"/>
      <c r="G57" s="13"/>
      <c r="H57" s="13"/>
      <c r="I57" s="14"/>
    </row>
    <row r="58" spans="1:9" ht="13.9">
      <c r="A58" s="13"/>
      <c r="B58" s="13"/>
      <c r="C58" s="13"/>
      <c r="D58" s="13"/>
      <c r="E58" s="13"/>
      <c r="F58" s="14"/>
      <c r="G58" s="13"/>
      <c r="H58" s="13"/>
      <c r="I58" s="14"/>
    </row>
    <row r="59" spans="1:9" ht="13.9">
      <c r="A59" s="13"/>
      <c r="B59" s="13"/>
      <c r="C59" s="13"/>
      <c r="D59" s="13"/>
      <c r="E59" s="13"/>
      <c r="F59" s="14"/>
      <c r="G59" s="13"/>
      <c r="H59" s="13"/>
      <c r="I59" s="14"/>
    </row>
    <row r="60" spans="1:9" ht="13.9">
      <c r="A60" s="13"/>
      <c r="B60" s="13"/>
      <c r="C60" s="13"/>
      <c r="D60" s="13"/>
      <c r="E60" s="13"/>
      <c r="F60" s="14"/>
      <c r="G60" s="13"/>
      <c r="H60" s="13"/>
      <c r="I60" s="14"/>
    </row>
    <row r="61" spans="1:9" ht="13.9">
      <c r="A61" s="13"/>
      <c r="B61" s="13"/>
      <c r="C61" s="13"/>
      <c r="D61" s="13"/>
      <c r="E61" s="13"/>
      <c r="F61" s="14"/>
      <c r="G61" s="13"/>
      <c r="H61" s="13"/>
      <c r="I61" s="14"/>
    </row>
    <row r="62" spans="1:9" ht="13.9">
      <c r="A62" s="13"/>
      <c r="B62" s="13"/>
      <c r="C62" s="13"/>
      <c r="D62" s="13"/>
      <c r="E62" s="13"/>
      <c r="F62" s="14"/>
      <c r="G62" s="13"/>
      <c r="H62" s="13"/>
      <c r="I62" s="14"/>
    </row>
    <row r="63" spans="1:9" ht="13.9">
      <c r="A63" s="13"/>
      <c r="B63" s="13"/>
      <c r="C63" s="13"/>
      <c r="D63" s="13"/>
      <c r="E63" s="13"/>
      <c r="F63" s="14"/>
      <c r="G63" s="13"/>
      <c r="H63" s="13"/>
      <c r="I63" s="14"/>
    </row>
    <row r="64" spans="1:9" ht="13.9">
      <c r="A64" s="13"/>
      <c r="B64" s="13"/>
      <c r="C64" s="13"/>
      <c r="D64" s="13"/>
      <c r="E64" s="13"/>
      <c r="F64" s="14"/>
      <c r="G64" s="13"/>
      <c r="H64" s="13"/>
      <c r="I64" s="14"/>
    </row>
    <row r="65" spans="1:9" ht="13.9">
      <c r="A65" s="13"/>
      <c r="B65" s="13"/>
      <c r="C65" s="13"/>
      <c r="D65" s="13"/>
      <c r="E65" s="13"/>
      <c r="F65" s="14"/>
      <c r="G65" s="13"/>
      <c r="H65" s="13"/>
      <c r="I65" s="14"/>
    </row>
    <row r="66" spans="1:9" ht="13.9">
      <c r="A66" s="13"/>
      <c r="B66" s="13"/>
      <c r="C66" s="13"/>
      <c r="D66" s="13"/>
      <c r="E66" s="13"/>
      <c r="F66" s="14"/>
      <c r="G66" s="13"/>
      <c r="H66" s="13"/>
      <c r="I66" s="14"/>
    </row>
    <row r="67" spans="1:9" ht="13.9">
      <c r="A67" s="13"/>
      <c r="B67" s="13"/>
      <c r="C67" s="13"/>
      <c r="D67" s="13"/>
      <c r="E67" s="13"/>
      <c r="F67" s="14"/>
      <c r="G67" s="13"/>
      <c r="H67" s="13"/>
      <c r="I67" s="14"/>
    </row>
    <row r="68" spans="1:9" ht="13.9">
      <c r="A68" s="13"/>
      <c r="B68" s="13"/>
      <c r="C68" s="13"/>
      <c r="D68" s="13"/>
      <c r="E68" s="13"/>
      <c r="F68" s="14"/>
      <c r="G68" s="13"/>
      <c r="H68" s="13"/>
      <c r="I68" s="14"/>
    </row>
    <row r="69" spans="1:9" ht="13.9">
      <c r="A69" s="13"/>
      <c r="B69" s="13"/>
      <c r="C69" s="13"/>
      <c r="D69" s="13"/>
      <c r="E69" s="13"/>
      <c r="F69" s="14"/>
      <c r="G69" s="13"/>
      <c r="H69" s="13"/>
      <c r="I69" s="14"/>
    </row>
    <row r="70" spans="1:9" ht="13.9">
      <c r="A70" s="13"/>
      <c r="B70" s="13"/>
      <c r="C70" s="13"/>
      <c r="D70" s="13"/>
      <c r="E70" s="13"/>
      <c r="F70" s="14"/>
      <c r="G70" s="13"/>
      <c r="H70" s="13"/>
      <c r="I70" s="14"/>
    </row>
    <row r="71" spans="1:9" ht="13.9">
      <c r="A71" s="13"/>
      <c r="B71" s="13"/>
      <c r="C71" s="13"/>
      <c r="D71" s="13"/>
      <c r="E71" s="13"/>
      <c r="F71" s="14"/>
      <c r="G71" s="13"/>
      <c r="H71" s="13"/>
      <c r="I71" s="14"/>
    </row>
    <row r="72" spans="1:9" ht="13.9">
      <c r="A72" s="13"/>
      <c r="B72" s="13"/>
      <c r="C72" s="13"/>
      <c r="D72" s="13"/>
      <c r="E72" s="13"/>
      <c r="F72" s="14"/>
      <c r="G72" s="13"/>
      <c r="H72" s="13"/>
      <c r="I72" s="14"/>
    </row>
    <row r="73" spans="1:9" ht="13.9">
      <c r="A73" s="13"/>
      <c r="B73" s="13"/>
      <c r="C73" s="13"/>
      <c r="D73" s="13"/>
      <c r="E73" s="13"/>
      <c r="F73" s="14"/>
      <c r="G73" s="13"/>
      <c r="H73" s="13"/>
      <c r="I73" s="14"/>
    </row>
    <row r="74" spans="1:9" ht="13.9">
      <c r="A74" s="13"/>
      <c r="B74" s="13"/>
      <c r="C74" s="13"/>
      <c r="D74" s="13"/>
      <c r="E74" s="13"/>
      <c r="F74" s="14"/>
      <c r="G74" s="13"/>
      <c r="H74" s="13"/>
      <c r="I74" s="14"/>
    </row>
    <row r="75" spans="1:9" ht="13.9">
      <c r="A75" s="13"/>
      <c r="B75" s="13"/>
      <c r="C75" s="13"/>
      <c r="D75" s="13"/>
      <c r="E75" s="13"/>
      <c r="F75" s="14"/>
      <c r="G75" s="13"/>
      <c r="H75" s="13"/>
      <c r="I75" s="14"/>
    </row>
    <row r="76" spans="1:9" ht="13.9">
      <c r="A76" s="13"/>
      <c r="B76" s="13"/>
      <c r="C76" s="13"/>
      <c r="D76" s="13"/>
      <c r="E76" s="13"/>
      <c r="F76" s="14"/>
      <c r="G76" s="13"/>
      <c r="H76" s="13"/>
      <c r="I76" s="14"/>
    </row>
    <row r="77" spans="1:9" ht="13.9">
      <c r="A77" s="13"/>
      <c r="B77" s="13"/>
      <c r="C77" s="13"/>
      <c r="D77" s="13"/>
      <c r="E77" s="13"/>
      <c r="F77" s="14"/>
      <c r="G77" s="13"/>
      <c r="H77" s="13"/>
      <c r="I77" s="14"/>
    </row>
    <row r="78" spans="1:9" ht="13.9">
      <c r="A78" s="13"/>
      <c r="B78" s="13"/>
      <c r="C78" s="13"/>
      <c r="D78" s="13"/>
      <c r="E78" s="13"/>
      <c r="F78" s="14"/>
      <c r="G78" s="13"/>
      <c r="H78" s="13"/>
      <c r="I78" s="14"/>
    </row>
    <row r="79" spans="1:9" ht="13.9">
      <c r="A79" s="13"/>
      <c r="B79" s="13"/>
      <c r="C79" s="13"/>
      <c r="D79" s="13"/>
      <c r="E79" s="13"/>
      <c r="F79" s="14"/>
      <c r="G79" s="13"/>
      <c r="H79" s="13"/>
      <c r="I79" s="14"/>
    </row>
    <row r="80" spans="1:9" ht="13.9">
      <c r="A80" s="13"/>
      <c r="B80" s="13"/>
      <c r="C80" s="13"/>
      <c r="D80" s="13"/>
      <c r="E80" s="13"/>
      <c r="F80" s="14"/>
      <c r="G80" s="13"/>
      <c r="H80" s="13"/>
      <c r="I80" s="14"/>
    </row>
    <row r="81" spans="1:9" ht="13.9">
      <c r="A81" s="13"/>
      <c r="B81" s="13"/>
      <c r="C81" s="13"/>
      <c r="D81" s="13"/>
      <c r="E81" s="13"/>
      <c r="F81" s="14"/>
      <c r="G81" s="13"/>
      <c r="H81" s="13"/>
      <c r="I81" s="14"/>
    </row>
    <row r="82" spans="1:9" ht="13.9">
      <c r="A82" s="13"/>
      <c r="B82" s="13"/>
      <c r="C82" s="13"/>
      <c r="D82" s="13"/>
      <c r="E82" s="13"/>
      <c r="F82" s="14"/>
      <c r="G82" s="13"/>
      <c r="H82" s="13"/>
      <c r="I82" s="14"/>
    </row>
    <row r="83" spans="1:9" ht="13.9">
      <c r="A83" s="13"/>
      <c r="B83" s="13"/>
      <c r="C83" s="13"/>
      <c r="D83" s="13"/>
      <c r="E83" s="13"/>
      <c r="F83" s="14"/>
      <c r="G83" s="13"/>
      <c r="H83" s="13"/>
      <c r="I83" s="14"/>
    </row>
    <row r="84" spans="1:9" ht="13.9">
      <c r="A84" s="13"/>
      <c r="B84" s="13"/>
      <c r="C84" s="13"/>
      <c r="D84" s="13"/>
      <c r="E84" s="13"/>
      <c r="F84" s="14"/>
      <c r="G84" s="13"/>
      <c r="H84" s="13"/>
      <c r="I84" s="14"/>
    </row>
    <row r="85" spans="1:9" ht="13.9">
      <c r="A85" s="13"/>
      <c r="B85" s="13"/>
      <c r="C85" s="13"/>
      <c r="D85" s="13"/>
      <c r="E85" s="13"/>
      <c r="F85" s="14"/>
      <c r="G85" s="13"/>
      <c r="H85" s="13"/>
      <c r="I85" s="14"/>
    </row>
    <row r="86" spans="1:9" ht="13.9">
      <c r="A86" s="13"/>
      <c r="B86" s="13"/>
      <c r="C86" s="13"/>
      <c r="D86" s="13"/>
      <c r="E86" s="13"/>
      <c r="F86" s="14"/>
      <c r="G86" s="13"/>
      <c r="H86" s="13"/>
      <c r="I86" s="14"/>
    </row>
    <row r="87" spans="1:9" ht="13.9">
      <c r="A87" s="13"/>
      <c r="B87" s="13"/>
      <c r="C87" s="13"/>
      <c r="D87" s="13"/>
      <c r="E87" s="13"/>
      <c r="F87" s="14"/>
      <c r="G87" s="13"/>
      <c r="H87" s="13"/>
      <c r="I87" s="14"/>
    </row>
    <row r="88" spans="1:9" ht="13.9">
      <c r="A88" s="13"/>
      <c r="B88" s="13"/>
      <c r="C88" s="13"/>
      <c r="D88" s="13"/>
      <c r="E88" s="13"/>
      <c r="F88" s="14"/>
      <c r="G88" s="13"/>
      <c r="H88" s="13"/>
      <c r="I88" s="14"/>
    </row>
    <row r="89" spans="1:9" ht="13.9">
      <c r="A89" s="13"/>
      <c r="B89" s="13"/>
      <c r="C89" s="13"/>
      <c r="D89" s="13"/>
      <c r="E89" s="13"/>
      <c r="F89" s="14"/>
      <c r="G89" s="13"/>
      <c r="H89" s="13"/>
      <c r="I89" s="14"/>
    </row>
    <row r="90" spans="1:9" ht="13.9">
      <c r="A90" s="13"/>
      <c r="B90" s="13"/>
      <c r="C90" s="13"/>
      <c r="D90" s="13"/>
      <c r="E90" s="13"/>
      <c r="F90" s="14"/>
      <c r="G90" s="13"/>
      <c r="H90" s="13"/>
      <c r="I90" s="14"/>
    </row>
    <row r="91" spans="1:9" ht="13.9">
      <c r="A91" s="13"/>
      <c r="B91" s="13"/>
      <c r="C91" s="13"/>
      <c r="D91" s="13"/>
      <c r="E91" s="13"/>
      <c r="F91" s="14"/>
      <c r="G91" s="13"/>
      <c r="H91" s="13"/>
      <c r="I91" s="14"/>
    </row>
    <row r="92" spans="1:9" ht="13.9">
      <c r="A92" s="13"/>
      <c r="B92" s="13"/>
      <c r="C92" s="13"/>
      <c r="D92" s="13"/>
      <c r="E92" s="13"/>
      <c r="F92" s="14"/>
      <c r="G92" s="13"/>
      <c r="H92" s="13"/>
      <c r="I92" s="14"/>
    </row>
    <row r="93" spans="1:9" ht="13.9">
      <c r="A93" s="13"/>
      <c r="B93" s="13"/>
      <c r="C93" s="13"/>
      <c r="D93" s="13"/>
      <c r="E93" s="13"/>
      <c r="F93" s="14"/>
      <c r="G93" s="13"/>
      <c r="H93" s="13"/>
      <c r="I93" s="14"/>
    </row>
    <row r="94" spans="1:9" ht="13.9">
      <c r="A94" s="13"/>
      <c r="B94" s="13"/>
      <c r="C94" s="13"/>
      <c r="D94" s="13"/>
      <c r="E94" s="13"/>
      <c r="F94" s="14"/>
      <c r="G94" s="13"/>
      <c r="H94" s="13"/>
      <c r="I94" s="14"/>
    </row>
    <row r="95" spans="1:9" ht="13.9">
      <c r="A95" s="13"/>
      <c r="B95" s="13"/>
      <c r="C95" s="13"/>
      <c r="D95" s="13"/>
      <c r="E95" s="13"/>
      <c r="F95" s="14"/>
      <c r="G95" s="13"/>
      <c r="H95" s="13"/>
      <c r="I95" s="14"/>
    </row>
    <row r="96" spans="1:9" ht="13.9">
      <c r="A96" s="13"/>
      <c r="B96" s="13"/>
      <c r="C96" s="13"/>
      <c r="D96" s="13"/>
      <c r="E96" s="13"/>
      <c r="F96" s="14"/>
      <c r="G96" s="13"/>
      <c r="H96" s="13"/>
      <c r="I96" s="14"/>
    </row>
    <row r="97" spans="1:9" ht="13.9">
      <c r="A97" s="13"/>
      <c r="B97" s="13"/>
      <c r="C97" s="13"/>
      <c r="D97" s="13"/>
      <c r="E97" s="13"/>
      <c r="F97" s="14"/>
      <c r="G97" s="13"/>
      <c r="H97" s="13"/>
      <c r="I97" s="14"/>
    </row>
    <row r="98" spans="1:9" ht="13.9">
      <c r="A98" s="13"/>
      <c r="B98" s="13"/>
      <c r="C98" s="13"/>
      <c r="D98" s="13"/>
      <c r="E98" s="13"/>
      <c r="F98" s="14"/>
      <c r="G98" s="13"/>
      <c r="H98" s="13"/>
      <c r="I98" s="14"/>
    </row>
    <row r="99" spans="1:9" ht="13.9">
      <c r="A99" s="13"/>
      <c r="B99" s="13"/>
      <c r="C99" s="13"/>
      <c r="D99" s="13"/>
      <c r="E99" s="13"/>
      <c r="F99" s="14"/>
      <c r="G99" s="13"/>
      <c r="H99" s="13"/>
      <c r="I99" s="14"/>
    </row>
    <row r="100" spans="1:9" ht="13.9">
      <c r="A100" s="13"/>
      <c r="B100" s="13"/>
      <c r="C100" s="13"/>
      <c r="D100" s="13"/>
      <c r="E100" s="13"/>
      <c r="F100" s="14"/>
      <c r="G100" s="13"/>
      <c r="H100" s="13"/>
      <c r="I100" s="14"/>
    </row>
    <row r="101" spans="1:9" ht="13.9">
      <c r="A101" s="13"/>
      <c r="B101" s="13"/>
      <c r="C101" s="13"/>
      <c r="D101" s="13"/>
      <c r="E101" s="13"/>
      <c r="F101" s="14"/>
      <c r="G101" s="13"/>
      <c r="H101" s="13"/>
      <c r="I101" s="14"/>
    </row>
    <row r="102" spans="1:9" ht="13.9">
      <c r="A102" s="13"/>
      <c r="B102" s="13"/>
      <c r="C102" s="13"/>
      <c r="D102" s="13"/>
      <c r="E102" s="13"/>
      <c r="F102" s="14"/>
      <c r="G102" s="13"/>
      <c r="H102" s="13"/>
      <c r="I102" s="14"/>
    </row>
    <row r="103" spans="1:9" ht="13.9">
      <c r="A103" s="13"/>
      <c r="B103" s="13"/>
      <c r="C103" s="13"/>
      <c r="D103" s="13"/>
      <c r="E103" s="13"/>
      <c r="F103" s="14"/>
      <c r="G103" s="13"/>
      <c r="H103" s="13"/>
      <c r="I103" s="14"/>
    </row>
    <row r="104" spans="1:9" ht="13.9">
      <c r="A104" s="13"/>
      <c r="B104" s="13"/>
      <c r="C104" s="13"/>
      <c r="D104" s="13"/>
      <c r="E104" s="13"/>
      <c r="F104" s="14"/>
      <c r="G104" s="13"/>
      <c r="H104" s="13"/>
      <c r="I104" s="14"/>
    </row>
    <row r="105" spans="1:9" ht="13.9">
      <c r="A105" s="13"/>
      <c r="B105" s="13"/>
      <c r="C105" s="13"/>
      <c r="D105" s="13"/>
      <c r="E105" s="13"/>
      <c r="F105" s="14"/>
      <c r="G105" s="13"/>
      <c r="H105" s="13"/>
      <c r="I105" s="14"/>
    </row>
    <row r="106" spans="1:9" ht="13.9">
      <c r="A106" s="13"/>
      <c r="B106" s="13"/>
      <c r="C106" s="13"/>
      <c r="D106" s="13"/>
      <c r="E106" s="13"/>
      <c r="F106" s="14"/>
      <c r="G106" s="13"/>
      <c r="H106" s="13"/>
      <c r="I106" s="14"/>
    </row>
    <row r="107" spans="1:9" ht="13.9">
      <c r="A107" s="13"/>
      <c r="B107" s="13"/>
      <c r="C107" s="13"/>
      <c r="D107" s="13"/>
      <c r="E107" s="13"/>
      <c r="F107" s="14"/>
      <c r="G107" s="13"/>
      <c r="H107" s="13"/>
      <c r="I107" s="14"/>
    </row>
    <row r="108" spans="1:9" ht="13.9">
      <c r="A108" s="13"/>
      <c r="B108" s="13"/>
      <c r="C108" s="13"/>
      <c r="D108" s="13"/>
      <c r="E108" s="13"/>
      <c r="F108" s="14"/>
      <c r="G108" s="13"/>
      <c r="H108" s="13"/>
      <c r="I108" s="14"/>
    </row>
    <row r="109" spans="1:9" ht="13.9">
      <c r="A109" s="13"/>
      <c r="B109" s="13"/>
      <c r="C109" s="13"/>
      <c r="D109" s="13"/>
      <c r="E109" s="13"/>
      <c r="F109" s="14"/>
      <c r="G109" s="13"/>
      <c r="H109" s="13"/>
      <c r="I109" s="14"/>
    </row>
    <row r="110" spans="1:9" ht="13.9">
      <c r="A110" s="13"/>
      <c r="B110" s="13"/>
      <c r="C110" s="13"/>
      <c r="D110" s="13"/>
      <c r="E110" s="13"/>
      <c r="F110" s="14"/>
      <c r="G110" s="13"/>
      <c r="H110" s="13"/>
      <c r="I110" s="14"/>
    </row>
    <row r="111" spans="1:9" ht="13.9">
      <c r="A111" s="13"/>
      <c r="B111" s="13"/>
      <c r="C111" s="13"/>
      <c r="D111" s="13"/>
      <c r="E111" s="13"/>
      <c r="F111" s="14"/>
      <c r="G111" s="13"/>
      <c r="H111" s="13"/>
      <c r="I111" s="14"/>
    </row>
    <row r="112" spans="1:9" ht="13.9">
      <c r="A112" s="13"/>
      <c r="B112" s="13"/>
      <c r="C112" s="13"/>
      <c r="D112" s="13"/>
      <c r="E112" s="13"/>
      <c r="F112" s="14"/>
      <c r="G112" s="13"/>
      <c r="H112" s="13"/>
      <c r="I112" s="14"/>
    </row>
    <row r="113" spans="1:9" ht="13.9">
      <c r="A113" s="13"/>
      <c r="B113" s="13"/>
      <c r="C113" s="13"/>
      <c r="D113" s="13"/>
      <c r="E113" s="13"/>
      <c r="F113" s="14"/>
      <c r="G113" s="13"/>
      <c r="H113" s="13"/>
      <c r="I113" s="14"/>
    </row>
    <row r="114" spans="1:9" ht="13.9">
      <c r="A114" s="13"/>
      <c r="B114" s="13"/>
      <c r="C114" s="13"/>
      <c r="D114" s="13"/>
      <c r="E114" s="13"/>
      <c r="F114" s="14"/>
      <c r="G114" s="13"/>
      <c r="H114" s="13"/>
      <c r="I114" s="14"/>
    </row>
    <row r="115" spans="1:9" ht="13.9">
      <c r="A115" s="13"/>
      <c r="B115" s="13"/>
      <c r="C115" s="13"/>
      <c r="D115" s="13"/>
      <c r="E115" s="13"/>
      <c r="F115" s="14"/>
      <c r="G115" s="13"/>
      <c r="H115" s="13"/>
      <c r="I115" s="14"/>
    </row>
    <row r="116" spans="1:9" ht="13.9">
      <c r="A116" s="13"/>
      <c r="B116" s="13"/>
      <c r="C116" s="13"/>
      <c r="D116" s="13"/>
      <c r="E116" s="13"/>
      <c r="F116" s="14"/>
      <c r="G116" s="13"/>
      <c r="H116" s="13"/>
      <c r="I116" s="14"/>
    </row>
    <row r="117" spans="1:9" ht="13.9">
      <c r="A117" s="13"/>
      <c r="B117" s="13"/>
      <c r="C117" s="13"/>
      <c r="D117" s="13"/>
      <c r="E117" s="13"/>
      <c r="F117" s="14"/>
      <c r="G117" s="13"/>
      <c r="H117" s="13"/>
      <c r="I117" s="14"/>
    </row>
    <row r="118" spans="1:9" ht="13.9">
      <c r="A118" s="13"/>
      <c r="B118" s="13"/>
      <c r="C118" s="13"/>
      <c r="D118" s="13"/>
      <c r="E118" s="13"/>
      <c r="F118" s="14"/>
      <c r="G118" s="13"/>
      <c r="H118" s="13"/>
      <c r="I118" s="14"/>
    </row>
    <row r="119" spans="1:9" ht="13.9">
      <c r="A119" s="13"/>
      <c r="B119" s="13"/>
      <c r="C119" s="13"/>
      <c r="D119" s="13"/>
      <c r="E119" s="13"/>
      <c r="F119" s="14"/>
      <c r="G119" s="13"/>
      <c r="H119" s="13"/>
      <c r="I119" s="14"/>
    </row>
    <row r="120" spans="1:9" ht="13.9">
      <c r="A120" s="13"/>
      <c r="B120" s="13"/>
      <c r="C120" s="13"/>
      <c r="D120" s="13"/>
      <c r="E120" s="13"/>
      <c r="F120" s="14"/>
      <c r="G120" s="13"/>
      <c r="H120" s="13"/>
      <c r="I120" s="14"/>
    </row>
    <row r="121" spans="1:9" ht="13.9">
      <c r="A121" s="13"/>
      <c r="B121" s="13"/>
      <c r="C121" s="13"/>
      <c r="D121" s="13"/>
      <c r="E121" s="13"/>
      <c r="F121" s="14"/>
      <c r="G121" s="13"/>
      <c r="H121" s="13"/>
      <c r="I121" s="14"/>
    </row>
    <row r="122" spans="1:9" ht="13.9">
      <c r="A122" s="13"/>
      <c r="B122" s="13"/>
      <c r="C122" s="13"/>
      <c r="D122" s="13"/>
      <c r="E122" s="13"/>
      <c r="F122" s="14"/>
      <c r="G122" s="13"/>
      <c r="H122" s="13"/>
      <c r="I122" s="14"/>
    </row>
    <row r="123" spans="1:9" ht="13.9">
      <c r="A123" s="13"/>
      <c r="B123" s="13"/>
      <c r="C123" s="13"/>
      <c r="D123" s="13"/>
      <c r="E123" s="13"/>
      <c r="F123" s="14"/>
      <c r="G123" s="13"/>
      <c r="H123" s="13"/>
      <c r="I123" s="14"/>
    </row>
    <row r="124" spans="1:9" ht="13.9">
      <c r="A124" s="13"/>
      <c r="B124" s="13"/>
      <c r="C124" s="13"/>
      <c r="D124" s="13"/>
      <c r="E124" s="13"/>
      <c r="F124" s="14"/>
      <c r="G124" s="13"/>
      <c r="H124" s="13"/>
      <c r="I124" s="14"/>
    </row>
    <row r="125" spans="1:9" ht="13.9">
      <c r="A125" s="13"/>
      <c r="B125" s="13"/>
      <c r="C125" s="13"/>
      <c r="D125" s="13"/>
      <c r="E125" s="13"/>
      <c r="F125" s="14"/>
      <c r="G125" s="13"/>
      <c r="H125" s="13"/>
      <c r="I125" s="14"/>
    </row>
    <row r="126" spans="1:9" ht="13.9">
      <c r="A126" s="13"/>
      <c r="B126" s="13"/>
      <c r="C126" s="13"/>
      <c r="D126" s="13"/>
      <c r="E126" s="13"/>
      <c r="F126" s="14"/>
      <c r="G126" s="13"/>
      <c r="H126" s="13"/>
      <c r="I126" s="14"/>
    </row>
    <row r="127" spans="1:9" ht="13.9">
      <c r="A127" s="13"/>
      <c r="B127" s="13"/>
      <c r="C127" s="13"/>
      <c r="D127" s="13"/>
      <c r="E127" s="13"/>
      <c r="F127" s="14"/>
      <c r="G127" s="13"/>
      <c r="H127" s="13"/>
      <c r="I127" s="14"/>
    </row>
    <row r="128" spans="1:9" ht="13.9">
      <c r="A128" s="13"/>
      <c r="B128" s="13"/>
      <c r="C128" s="13"/>
      <c r="D128" s="13"/>
      <c r="E128" s="13"/>
      <c r="F128" s="14"/>
      <c r="G128" s="13"/>
      <c r="H128" s="13"/>
      <c r="I128" s="14"/>
    </row>
    <row r="129" spans="1:9" ht="13.9">
      <c r="A129" s="13"/>
      <c r="B129" s="13"/>
      <c r="C129" s="13"/>
      <c r="D129" s="13"/>
      <c r="E129" s="13"/>
      <c r="F129" s="14"/>
      <c r="G129" s="13"/>
      <c r="H129" s="13"/>
      <c r="I129" s="14"/>
    </row>
    <row r="130" spans="1:9" ht="13.9">
      <c r="A130" s="13"/>
      <c r="B130" s="13"/>
      <c r="C130" s="13"/>
      <c r="D130" s="13"/>
      <c r="E130" s="13"/>
      <c r="F130" s="14"/>
      <c r="G130" s="13"/>
      <c r="H130" s="13"/>
      <c r="I130" s="14"/>
    </row>
    <row r="131" spans="1:9" ht="13.9">
      <c r="A131" s="13"/>
      <c r="B131" s="13"/>
      <c r="C131" s="13"/>
      <c r="D131" s="13"/>
      <c r="E131" s="13"/>
      <c r="F131" s="14"/>
      <c r="G131" s="13"/>
      <c r="H131" s="13"/>
      <c r="I131" s="14"/>
    </row>
    <row r="132" spans="1:9" ht="13.9">
      <c r="A132" s="13"/>
      <c r="B132" s="13"/>
      <c r="C132" s="13"/>
      <c r="D132" s="13"/>
      <c r="E132" s="13"/>
      <c r="F132" s="14"/>
      <c r="G132" s="13"/>
      <c r="H132" s="13"/>
      <c r="I132" s="14"/>
    </row>
    <row r="133" spans="1:9" ht="13.9">
      <c r="A133" s="13"/>
      <c r="B133" s="13"/>
      <c r="C133" s="13"/>
      <c r="D133" s="13"/>
      <c r="E133" s="13"/>
      <c r="F133" s="14"/>
      <c r="G133" s="13"/>
      <c r="H133" s="13"/>
      <c r="I133" s="14"/>
    </row>
    <row r="134" spans="1:9" ht="13.9">
      <c r="A134" s="13"/>
      <c r="B134" s="13"/>
      <c r="C134" s="13"/>
      <c r="D134" s="13"/>
      <c r="E134" s="13"/>
      <c r="F134" s="14"/>
      <c r="G134" s="13"/>
      <c r="H134" s="13"/>
      <c r="I134" s="14"/>
    </row>
    <row r="135" spans="1:9" ht="13.9">
      <c r="A135" s="13"/>
      <c r="B135" s="13"/>
      <c r="C135" s="13"/>
      <c r="D135" s="13"/>
      <c r="E135" s="13"/>
      <c r="F135" s="14"/>
      <c r="G135" s="13"/>
      <c r="H135" s="13"/>
      <c r="I135" s="14"/>
    </row>
    <row r="136" spans="1:9" ht="13.9">
      <c r="A136" s="13"/>
      <c r="B136" s="13"/>
      <c r="C136" s="13"/>
      <c r="D136" s="13"/>
      <c r="E136" s="13"/>
      <c r="F136" s="14"/>
      <c r="G136" s="13"/>
      <c r="H136" s="13"/>
      <c r="I136" s="14"/>
    </row>
    <row r="137" spans="1:9" ht="13.9">
      <c r="A137" s="13"/>
      <c r="B137" s="13"/>
      <c r="C137" s="13"/>
      <c r="D137" s="13"/>
      <c r="E137" s="13"/>
      <c r="F137" s="14"/>
      <c r="G137" s="13"/>
      <c r="H137" s="13"/>
      <c r="I137" s="14"/>
    </row>
    <row r="138" spans="1:9" ht="13.9">
      <c r="A138" s="13"/>
      <c r="B138" s="13"/>
      <c r="C138" s="13"/>
      <c r="D138" s="13"/>
      <c r="E138" s="13"/>
      <c r="F138" s="14"/>
      <c r="G138" s="13"/>
      <c r="H138" s="13"/>
      <c r="I138" s="14"/>
    </row>
    <row r="139" spans="1:9" ht="13.9">
      <c r="A139" s="13"/>
      <c r="B139" s="13"/>
      <c r="C139" s="13"/>
      <c r="D139" s="13"/>
      <c r="E139" s="13"/>
      <c r="F139" s="14"/>
      <c r="G139" s="13"/>
      <c r="H139" s="13"/>
      <c r="I139" s="14"/>
    </row>
    <row r="140" spans="1:9" ht="13.9">
      <c r="A140" s="13"/>
      <c r="B140" s="13"/>
      <c r="C140" s="13"/>
      <c r="D140" s="13"/>
      <c r="E140" s="13"/>
      <c r="F140" s="14"/>
      <c r="G140" s="13"/>
      <c r="H140" s="13"/>
      <c r="I140" s="14"/>
    </row>
    <row r="141" spans="1:9" ht="13.9">
      <c r="A141" s="13"/>
      <c r="B141" s="13"/>
      <c r="C141" s="13"/>
      <c r="D141" s="13"/>
      <c r="E141" s="13"/>
      <c r="F141" s="14"/>
      <c r="G141" s="13"/>
      <c r="H141" s="13"/>
      <c r="I141" s="14"/>
    </row>
    <row r="142" spans="1:9" ht="13.9">
      <c r="A142" s="13"/>
      <c r="B142" s="13"/>
      <c r="C142" s="13"/>
      <c r="D142" s="13"/>
      <c r="E142" s="13"/>
      <c r="F142" s="14"/>
      <c r="G142" s="13"/>
      <c r="H142" s="13"/>
      <c r="I142" s="14"/>
    </row>
    <row r="143" spans="1:9" ht="13.9">
      <c r="A143" s="13"/>
      <c r="B143" s="13"/>
      <c r="C143" s="13"/>
      <c r="D143" s="13"/>
      <c r="E143" s="13"/>
      <c r="F143" s="14"/>
      <c r="G143" s="13"/>
      <c r="H143" s="13"/>
      <c r="I143" s="14"/>
    </row>
    <row r="144" spans="1:9" ht="13.9">
      <c r="A144" s="13"/>
      <c r="B144" s="13"/>
      <c r="C144" s="13"/>
      <c r="D144" s="13"/>
      <c r="E144" s="13"/>
      <c r="F144" s="14"/>
      <c r="G144" s="13"/>
      <c r="H144" s="13"/>
      <c r="I144" s="14"/>
    </row>
    <row r="145" spans="1:9" ht="13.9">
      <c r="A145" s="13"/>
      <c r="B145" s="13"/>
      <c r="C145" s="13"/>
      <c r="D145" s="13"/>
      <c r="E145" s="13"/>
      <c r="F145" s="14"/>
      <c r="G145" s="13"/>
      <c r="H145" s="13"/>
      <c r="I145" s="14"/>
    </row>
    <row r="146" spans="1:9" ht="13.9">
      <c r="A146" s="13"/>
      <c r="B146" s="13"/>
      <c r="C146" s="13"/>
      <c r="D146" s="13"/>
      <c r="E146" s="13"/>
      <c r="F146" s="14"/>
      <c r="G146" s="13"/>
      <c r="H146" s="13"/>
      <c r="I146" s="14"/>
    </row>
    <row r="147" spans="1:9" ht="13.9">
      <c r="A147" s="13"/>
      <c r="B147" s="13"/>
      <c r="C147" s="13"/>
      <c r="D147" s="13"/>
      <c r="E147" s="13"/>
      <c r="F147" s="14"/>
      <c r="G147" s="13"/>
      <c r="H147" s="13"/>
      <c r="I147" s="14"/>
    </row>
    <row r="148" spans="1:9" ht="13.9">
      <c r="A148" s="13"/>
      <c r="B148" s="13"/>
      <c r="C148" s="13"/>
      <c r="D148" s="13"/>
      <c r="E148" s="13"/>
      <c r="F148" s="14"/>
      <c r="G148" s="13"/>
      <c r="H148" s="13"/>
      <c r="I148" s="14"/>
    </row>
    <row r="149" spans="1:9" ht="13.9">
      <c r="A149" s="13"/>
      <c r="B149" s="13"/>
      <c r="C149" s="13"/>
      <c r="D149" s="13"/>
      <c r="E149" s="13"/>
      <c r="F149" s="14"/>
      <c r="G149" s="13"/>
      <c r="H149" s="13"/>
      <c r="I149" s="14"/>
    </row>
    <row r="150" spans="1:9" ht="13.9">
      <c r="A150" s="13"/>
      <c r="B150" s="13"/>
      <c r="C150" s="13"/>
      <c r="D150" s="13"/>
      <c r="E150" s="13"/>
      <c r="F150" s="14"/>
      <c r="G150" s="13"/>
      <c r="H150" s="13"/>
      <c r="I150" s="14"/>
    </row>
    <row r="151" spans="1:9" ht="13.9">
      <c r="A151" s="13"/>
      <c r="B151" s="13"/>
      <c r="C151" s="13"/>
      <c r="D151" s="13"/>
      <c r="E151" s="13"/>
      <c r="F151" s="14"/>
      <c r="G151" s="13"/>
      <c r="H151" s="13"/>
      <c r="I151" s="14"/>
    </row>
    <row r="152" spans="1:9" ht="13.9">
      <c r="A152" s="13"/>
      <c r="B152" s="13"/>
      <c r="C152" s="13"/>
      <c r="D152" s="13"/>
      <c r="E152" s="13"/>
      <c r="F152" s="14"/>
      <c r="G152" s="13"/>
      <c r="H152" s="13"/>
      <c r="I152" s="14"/>
    </row>
    <row r="153" spans="1:9" ht="13.9">
      <c r="A153" s="13"/>
      <c r="B153" s="13"/>
      <c r="C153" s="13"/>
      <c r="D153" s="13"/>
      <c r="E153" s="13"/>
      <c r="F153" s="14"/>
      <c r="G153" s="13"/>
      <c r="H153" s="13"/>
      <c r="I153" s="14"/>
    </row>
    <row r="154" spans="1:9" ht="13.9">
      <c r="A154" s="13"/>
      <c r="B154" s="13"/>
      <c r="C154" s="13"/>
      <c r="D154" s="13"/>
      <c r="E154" s="13"/>
      <c r="F154" s="14"/>
      <c r="G154" s="13"/>
      <c r="H154" s="13"/>
      <c r="I154" s="14"/>
    </row>
    <row r="155" spans="1:9" ht="13.9">
      <c r="A155" s="13"/>
      <c r="B155" s="13"/>
      <c r="C155" s="13"/>
      <c r="D155" s="13"/>
      <c r="E155" s="13"/>
      <c r="F155" s="14"/>
      <c r="G155" s="13"/>
      <c r="H155" s="13"/>
      <c r="I155" s="14"/>
    </row>
    <row r="156" spans="1:9" ht="13.9">
      <c r="A156" s="13"/>
      <c r="B156" s="13"/>
      <c r="C156" s="13"/>
      <c r="D156" s="13"/>
      <c r="E156" s="13"/>
      <c r="F156" s="14"/>
      <c r="G156" s="13"/>
      <c r="H156" s="13"/>
      <c r="I156" s="14"/>
    </row>
    <row r="157" spans="1:9" ht="13.9">
      <c r="A157" s="13"/>
      <c r="B157" s="13"/>
      <c r="C157" s="13"/>
      <c r="D157" s="13"/>
      <c r="E157" s="13"/>
      <c r="F157" s="14"/>
      <c r="G157" s="13"/>
      <c r="H157" s="13"/>
      <c r="I157" s="14"/>
    </row>
    <row r="158" spans="1:9" ht="13.9">
      <c r="A158" s="13"/>
      <c r="B158" s="13"/>
      <c r="C158" s="13"/>
      <c r="D158" s="13"/>
      <c r="E158" s="13"/>
      <c r="F158" s="14"/>
      <c r="G158" s="13"/>
      <c r="H158" s="13"/>
      <c r="I158" s="14"/>
    </row>
    <row r="159" spans="1:9" ht="13.9">
      <c r="A159" s="13"/>
      <c r="B159" s="13"/>
      <c r="C159" s="13"/>
      <c r="D159" s="13"/>
      <c r="E159" s="13"/>
      <c r="F159" s="14"/>
      <c r="G159" s="13"/>
      <c r="H159" s="13"/>
      <c r="I159" s="14"/>
    </row>
    <row r="160" spans="1:9" ht="13.9">
      <c r="A160" s="13"/>
      <c r="B160" s="13"/>
      <c r="C160" s="13"/>
      <c r="D160" s="13"/>
      <c r="E160" s="13"/>
      <c r="F160" s="14"/>
      <c r="G160" s="13"/>
      <c r="H160" s="13"/>
      <c r="I160" s="14"/>
    </row>
    <row r="161" spans="1:9" ht="13.9">
      <c r="A161" s="13"/>
      <c r="B161" s="13"/>
      <c r="C161" s="13"/>
      <c r="D161" s="13"/>
      <c r="E161" s="13"/>
      <c r="F161" s="14"/>
      <c r="G161" s="13"/>
      <c r="H161" s="13"/>
      <c r="I161" s="14"/>
    </row>
    <row r="162" spans="1:9" ht="13.9">
      <c r="A162" s="13"/>
      <c r="B162" s="13"/>
      <c r="C162" s="13"/>
      <c r="D162" s="13"/>
      <c r="E162" s="13"/>
      <c r="F162" s="14"/>
      <c r="G162" s="13"/>
      <c r="H162" s="13"/>
      <c r="I162" s="14"/>
    </row>
    <row r="163" spans="1:9" ht="13.9">
      <c r="A163" s="13"/>
      <c r="B163" s="13"/>
      <c r="C163" s="13"/>
      <c r="D163" s="13"/>
      <c r="E163" s="13"/>
      <c r="F163" s="14"/>
      <c r="G163" s="13"/>
      <c r="H163" s="13"/>
      <c r="I163" s="14"/>
    </row>
    <row r="164" spans="1:9" ht="13.9">
      <c r="A164" s="13"/>
      <c r="B164" s="13"/>
      <c r="C164" s="13"/>
      <c r="D164" s="13"/>
      <c r="E164" s="13"/>
      <c r="F164" s="14"/>
      <c r="G164" s="13"/>
      <c r="H164" s="13"/>
      <c r="I164" s="14"/>
    </row>
    <row r="165" spans="1:9" ht="13.9">
      <c r="A165" s="13"/>
      <c r="B165" s="13"/>
      <c r="C165" s="13"/>
      <c r="D165" s="13"/>
      <c r="E165" s="13"/>
      <c r="F165" s="14"/>
      <c r="G165" s="13"/>
      <c r="H165" s="13"/>
      <c r="I165" s="14"/>
    </row>
    <row r="166" spans="1:9" ht="13.9">
      <c r="A166" s="13"/>
      <c r="B166" s="13"/>
      <c r="C166" s="13"/>
      <c r="D166" s="13"/>
      <c r="E166" s="13"/>
      <c r="F166" s="14"/>
      <c r="G166" s="13"/>
      <c r="H166" s="13"/>
      <c r="I166" s="14"/>
    </row>
    <row r="167" spans="1:9" ht="13.9">
      <c r="A167" s="13"/>
      <c r="B167" s="13"/>
      <c r="C167" s="13"/>
      <c r="D167" s="13"/>
      <c r="E167" s="13"/>
      <c r="F167" s="14"/>
      <c r="G167" s="13"/>
      <c r="H167" s="13"/>
      <c r="I167" s="14"/>
    </row>
    <row r="168" spans="1:9" ht="13.9">
      <c r="A168" s="13"/>
      <c r="B168" s="13"/>
      <c r="C168" s="13"/>
      <c r="D168" s="13"/>
      <c r="E168" s="13"/>
      <c r="F168" s="14"/>
      <c r="G168" s="13"/>
      <c r="H168" s="13"/>
      <c r="I168" s="14"/>
    </row>
    <row r="169" spans="1:9" ht="13.9">
      <c r="A169" s="13"/>
      <c r="B169" s="13"/>
      <c r="C169" s="13"/>
      <c r="D169" s="13"/>
      <c r="E169" s="13"/>
      <c r="F169" s="14"/>
      <c r="G169" s="13"/>
      <c r="H169" s="13"/>
      <c r="I169" s="14"/>
    </row>
    <row r="170" spans="1:9" ht="13.9">
      <c r="A170" s="13"/>
      <c r="B170" s="13"/>
      <c r="C170" s="13"/>
      <c r="D170" s="13"/>
      <c r="E170" s="13"/>
      <c r="F170" s="14"/>
      <c r="G170" s="13"/>
      <c r="H170" s="13"/>
      <c r="I170" s="14"/>
    </row>
    <row r="171" spans="1:9" ht="13.9">
      <c r="A171" s="13"/>
      <c r="B171" s="13"/>
      <c r="C171" s="13"/>
      <c r="D171" s="13"/>
      <c r="E171" s="13"/>
      <c r="F171" s="14"/>
      <c r="G171" s="13"/>
      <c r="H171" s="13"/>
      <c r="I171" s="14"/>
    </row>
    <row r="172" spans="1:9" ht="13.9">
      <c r="A172" s="13"/>
      <c r="B172" s="13"/>
      <c r="C172" s="13"/>
      <c r="D172" s="13"/>
      <c r="E172" s="13"/>
      <c r="F172" s="14"/>
      <c r="G172" s="13"/>
      <c r="H172" s="13"/>
      <c r="I172" s="14"/>
    </row>
    <row r="173" spans="1:9" ht="13.9">
      <c r="A173" s="13"/>
      <c r="B173" s="13"/>
      <c r="C173" s="13"/>
      <c r="D173" s="13"/>
      <c r="E173" s="13"/>
      <c r="F173" s="14"/>
      <c r="G173" s="13"/>
      <c r="H173" s="13"/>
      <c r="I173" s="14"/>
    </row>
    <row r="174" spans="1:9" ht="13.9">
      <c r="A174" s="13"/>
      <c r="B174" s="13"/>
      <c r="C174" s="13"/>
      <c r="D174" s="13"/>
      <c r="E174" s="13"/>
      <c r="F174" s="14"/>
      <c r="G174" s="13"/>
      <c r="H174" s="13"/>
      <c r="I174" s="14"/>
    </row>
    <row r="175" spans="1:9" ht="13.9">
      <c r="A175" s="13"/>
      <c r="B175" s="13"/>
      <c r="C175" s="13"/>
      <c r="D175" s="13"/>
      <c r="E175" s="13"/>
      <c r="F175" s="14"/>
      <c r="G175" s="13"/>
      <c r="H175" s="13"/>
      <c r="I175" s="14"/>
    </row>
    <row r="176" spans="1:9" ht="13.9">
      <c r="A176" s="13"/>
      <c r="B176" s="13"/>
      <c r="C176" s="13"/>
      <c r="D176" s="13"/>
      <c r="E176" s="13"/>
      <c r="F176" s="14"/>
      <c r="G176" s="13"/>
      <c r="H176" s="13"/>
      <c r="I176" s="14"/>
    </row>
    <row r="177" spans="1:9" ht="13.9">
      <c r="A177" s="13"/>
      <c r="B177" s="13"/>
      <c r="C177" s="13"/>
      <c r="D177" s="13"/>
      <c r="E177" s="13"/>
      <c r="F177" s="14"/>
      <c r="G177" s="13"/>
      <c r="H177" s="13"/>
      <c r="I177" s="14"/>
    </row>
    <row r="178" spans="1:9" ht="13.9">
      <c r="A178" s="13"/>
      <c r="B178" s="13"/>
      <c r="C178" s="13"/>
      <c r="D178" s="13"/>
      <c r="E178" s="13"/>
      <c r="F178" s="14"/>
      <c r="G178" s="13"/>
      <c r="H178" s="13"/>
      <c r="I178" s="14"/>
    </row>
    <row r="179" spans="1:9" ht="13.9">
      <c r="A179" s="13"/>
      <c r="B179" s="13"/>
      <c r="C179" s="13"/>
      <c r="D179" s="13"/>
      <c r="E179" s="13"/>
      <c r="F179" s="14"/>
      <c r="G179" s="13"/>
      <c r="H179" s="13"/>
      <c r="I179" s="14"/>
    </row>
    <row r="180" spans="1:9" ht="13.9">
      <c r="A180" s="13"/>
      <c r="B180" s="13"/>
      <c r="C180" s="13"/>
      <c r="D180" s="13"/>
      <c r="E180" s="13"/>
      <c r="F180" s="14"/>
      <c r="G180" s="13"/>
      <c r="H180" s="13"/>
      <c r="I180" s="14"/>
    </row>
    <row r="181" spans="1:9" ht="13.9">
      <c r="A181" s="13"/>
      <c r="B181" s="13"/>
      <c r="C181" s="13"/>
      <c r="D181" s="13"/>
      <c r="E181" s="13"/>
      <c r="F181" s="14"/>
      <c r="G181" s="13"/>
      <c r="H181" s="13"/>
      <c r="I181" s="14"/>
    </row>
    <row r="182" spans="1:9" ht="13.9">
      <c r="A182" s="13"/>
      <c r="B182" s="13"/>
      <c r="C182" s="13"/>
      <c r="D182" s="13"/>
      <c r="E182" s="13"/>
      <c r="F182" s="14"/>
      <c r="G182" s="13"/>
      <c r="H182" s="13"/>
      <c r="I182" s="14"/>
    </row>
    <row r="183" spans="1:9" ht="13.9">
      <c r="A183" s="13"/>
      <c r="B183" s="13"/>
      <c r="C183" s="13"/>
      <c r="D183" s="13"/>
      <c r="E183" s="13"/>
      <c r="F183" s="14"/>
      <c r="G183" s="13"/>
      <c r="H183" s="13"/>
      <c r="I183" s="14"/>
    </row>
    <row r="184" spans="1:9" ht="13.9">
      <c r="A184" s="13"/>
      <c r="B184" s="13"/>
      <c r="C184" s="13"/>
      <c r="D184" s="13"/>
      <c r="E184" s="13"/>
      <c r="F184" s="14"/>
      <c r="G184" s="13"/>
      <c r="H184" s="13"/>
      <c r="I184" s="14"/>
    </row>
    <row r="185" spans="1:9" ht="13.9">
      <c r="A185" s="13"/>
      <c r="B185" s="13"/>
      <c r="C185" s="13"/>
      <c r="D185" s="13"/>
      <c r="E185" s="13"/>
      <c r="F185" s="14"/>
      <c r="G185" s="13"/>
      <c r="H185" s="13"/>
      <c r="I185" s="14"/>
    </row>
    <row r="186" spans="1:9" ht="13.9">
      <c r="A186" s="13"/>
      <c r="B186" s="13"/>
      <c r="C186" s="13"/>
      <c r="D186" s="13"/>
      <c r="E186" s="13"/>
      <c r="F186" s="14"/>
      <c r="G186" s="13"/>
      <c r="H186" s="13"/>
      <c r="I186" s="14"/>
    </row>
    <row r="187" spans="1:9" ht="13.9">
      <c r="A187" s="13"/>
      <c r="B187" s="13"/>
      <c r="C187" s="13"/>
      <c r="D187" s="13"/>
      <c r="E187" s="13"/>
      <c r="F187" s="14"/>
      <c r="G187" s="13"/>
      <c r="H187" s="13"/>
      <c r="I187" s="14"/>
    </row>
    <row r="188" spans="1:9" ht="13.9">
      <c r="A188" s="13"/>
      <c r="B188" s="13"/>
      <c r="C188" s="13"/>
      <c r="D188" s="13"/>
      <c r="E188" s="13"/>
      <c r="F188" s="14"/>
      <c r="G188" s="13"/>
      <c r="H188" s="13"/>
      <c r="I188" s="14"/>
    </row>
    <row r="189" spans="1:9" ht="13.9">
      <c r="A189" s="13"/>
      <c r="B189" s="13"/>
      <c r="C189" s="13"/>
      <c r="D189" s="13"/>
      <c r="E189" s="13"/>
      <c r="F189" s="14"/>
      <c r="G189" s="13"/>
      <c r="H189" s="13"/>
      <c r="I189" s="14"/>
    </row>
    <row r="190" spans="1:9" ht="13.9">
      <c r="A190" s="13"/>
      <c r="B190" s="13"/>
      <c r="C190" s="13"/>
      <c r="D190" s="13"/>
      <c r="E190" s="13"/>
      <c r="F190" s="14"/>
      <c r="G190" s="13"/>
      <c r="H190" s="13"/>
      <c r="I190" s="14"/>
    </row>
    <row r="191" spans="1:9" ht="13.9">
      <c r="A191" s="13"/>
      <c r="B191" s="13"/>
      <c r="C191" s="13"/>
      <c r="D191" s="13"/>
      <c r="E191" s="13"/>
      <c r="F191" s="14"/>
      <c r="G191" s="13"/>
      <c r="H191" s="13"/>
      <c r="I191" s="14"/>
    </row>
    <row r="192" spans="1:9" ht="13.9">
      <c r="A192" s="13"/>
      <c r="B192" s="13"/>
      <c r="C192" s="13"/>
      <c r="D192" s="13"/>
      <c r="E192" s="13"/>
      <c r="F192" s="14"/>
      <c r="G192" s="13"/>
      <c r="H192" s="13"/>
      <c r="I192" s="14"/>
    </row>
    <row r="193" spans="1:9" ht="13.9">
      <c r="A193" s="13"/>
      <c r="B193" s="13"/>
      <c r="C193" s="13"/>
      <c r="D193" s="13"/>
      <c r="E193" s="13"/>
      <c r="F193" s="14"/>
      <c r="G193" s="13"/>
      <c r="H193" s="13"/>
      <c r="I193" s="14"/>
    </row>
    <row r="194" spans="1:9" ht="13.9">
      <c r="A194" s="13"/>
      <c r="B194" s="13"/>
      <c r="C194" s="13"/>
      <c r="D194" s="13"/>
      <c r="E194" s="13"/>
      <c r="F194" s="14"/>
      <c r="G194" s="13"/>
      <c r="H194" s="13"/>
      <c r="I194" s="14"/>
    </row>
    <row r="195" spans="1:9" ht="13.9">
      <c r="A195" s="13"/>
      <c r="B195" s="13"/>
      <c r="C195" s="13"/>
      <c r="D195" s="13"/>
      <c r="E195" s="13"/>
      <c r="F195" s="14"/>
      <c r="G195" s="13"/>
      <c r="H195" s="13"/>
      <c r="I195" s="14"/>
    </row>
    <row r="196" spans="1:9" ht="13.9">
      <c r="A196" s="13"/>
      <c r="B196" s="13"/>
      <c r="C196" s="13"/>
      <c r="D196" s="13"/>
      <c r="E196" s="13"/>
      <c r="F196" s="14"/>
      <c r="G196" s="13"/>
      <c r="H196" s="13"/>
      <c r="I196" s="14"/>
    </row>
    <row r="197" spans="1:9" ht="13.9">
      <c r="A197" s="13"/>
      <c r="B197" s="13"/>
      <c r="C197" s="13"/>
      <c r="D197" s="13"/>
      <c r="E197" s="13"/>
      <c r="F197" s="14"/>
      <c r="G197" s="13"/>
      <c r="H197" s="13"/>
      <c r="I197" s="14"/>
    </row>
    <row r="198" spans="1:9" ht="13.9">
      <c r="A198" s="13"/>
      <c r="B198" s="13"/>
      <c r="C198" s="13"/>
      <c r="D198" s="13"/>
      <c r="E198" s="13"/>
      <c r="F198" s="14"/>
      <c r="G198" s="13"/>
      <c r="H198" s="13"/>
      <c r="I198" s="14"/>
    </row>
    <row r="199" spans="1:9" ht="13.9">
      <c r="A199" s="13"/>
      <c r="B199" s="13"/>
      <c r="C199" s="13"/>
      <c r="D199" s="13"/>
      <c r="E199" s="13"/>
      <c r="F199" s="14"/>
      <c r="G199" s="13"/>
      <c r="H199" s="13"/>
      <c r="I199" s="14"/>
    </row>
    <row r="200" spans="1:9" ht="13.9">
      <c r="A200" s="13"/>
      <c r="B200" s="13"/>
      <c r="C200" s="13"/>
      <c r="D200" s="13"/>
      <c r="E200" s="13"/>
      <c r="F200" s="14"/>
      <c r="G200" s="13"/>
      <c r="H200" s="13"/>
      <c r="I200" s="14"/>
    </row>
    <row r="201" spans="1:9" ht="13.9">
      <c r="A201" s="13"/>
      <c r="B201" s="13"/>
      <c r="C201" s="13"/>
      <c r="D201" s="13"/>
      <c r="E201" s="13"/>
      <c r="F201" s="14"/>
      <c r="G201" s="13"/>
      <c r="H201" s="13"/>
      <c r="I201" s="14"/>
    </row>
    <row r="202" spans="1:9" ht="13.9">
      <c r="A202" s="13"/>
      <c r="B202" s="13"/>
      <c r="C202" s="13"/>
      <c r="D202" s="13"/>
      <c r="E202" s="13"/>
      <c r="F202" s="14"/>
      <c r="G202" s="13"/>
      <c r="H202" s="13"/>
      <c r="I202" s="14"/>
    </row>
    <row r="203" spans="1:9" ht="13.9">
      <c r="A203" s="13"/>
      <c r="B203" s="13"/>
      <c r="C203" s="13"/>
      <c r="D203" s="13"/>
      <c r="E203" s="13"/>
      <c r="F203" s="14"/>
      <c r="G203" s="13"/>
      <c r="H203" s="13"/>
      <c r="I203" s="14"/>
    </row>
    <row r="204" spans="1:9" ht="13.9">
      <c r="A204" s="13"/>
      <c r="B204" s="13"/>
      <c r="C204" s="13"/>
      <c r="D204" s="13"/>
      <c r="E204" s="13"/>
      <c r="F204" s="14"/>
      <c r="G204" s="13"/>
      <c r="H204" s="13"/>
      <c r="I204" s="14"/>
    </row>
    <row r="205" spans="1:9" ht="13.9">
      <c r="A205" s="13"/>
      <c r="B205" s="13"/>
      <c r="C205" s="13"/>
      <c r="D205" s="13"/>
      <c r="E205" s="13"/>
      <c r="F205" s="14"/>
      <c r="G205" s="13"/>
      <c r="H205" s="13"/>
      <c r="I205" s="14"/>
    </row>
    <row r="206" spans="1:9" ht="13.9">
      <c r="A206" s="13"/>
      <c r="B206" s="13"/>
      <c r="C206" s="13"/>
      <c r="D206" s="13"/>
      <c r="E206" s="13"/>
      <c r="F206" s="14"/>
      <c r="G206" s="13"/>
      <c r="H206" s="13"/>
      <c r="I206" s="14"/>
    </row>
    <row r="207" spans="1:9" ht="13.9">
      <c r="A207" s="13"/>
      <c r="B207" s="13"/>
      <c r="C207" s="13"/>
      <c r="D207" s="13"/>
      <c r="E207" s="13"/>
      <c r="F207" s="14"/>
      <c r="G207" s="13"/>
      <c r="H207" s="13"/>
      <c r="I207" s="14"/>
    </row>
    <row r="208" spans="1:9" ht="13.9">
      <c r="A208" s="13"/>
      <c r="B208" s="13"/>
      <c r="C208" s="13"/>
      <c r="D208" s="13"/>
      <c r="E208" s="13"/>
      <c r="F208" s="14"/>
      <c r="G208" s="13"/>
      <c r="H208" s="13"/>
      <c r="I208" s="14"/>
    </row>
    <row r="209" spans="1:9" ht="13.9">
      <c r="A209" s="13"/>
      <c r="B209" s="13"/>
      <c r="C209" s="13"/>
      <c r="D209" s="13"/>
      <c r="E209" s="13"/>
      <c r="F209" s="14"/>
      <c r="G209" s="13"/>
      <c r="H209" s="13"/>
      <c r="I209" s="14"/>
    </row>
    <row r="210" spans="1:9" ht="13.9">
      <c r="A210" s="13"/>
      <c r="B210" s="13"/>
      <c r="C210" s="13"/>
      <c r="D210" s="13"/>
      <c r="E210" s="13"/>
      <c r="F210" s="14"/>
      <c r="G210" s="13"/>
      <c r="H210" s="13"/>
      <c r="I210" s="14"/>
    </row>
    <row r="211" spans="1:9" ht="13.9">
      <c r="A211" s="13"/>
      <c r="B211" s="13"/>
      <c r="C211" s="13"/>
      <c r="D211" s="13"/>
      <c r="E211" s="13"/>
      <c r="F211" s="14"/>
      <c r="G211" s="13"/>
      <c r="H211" s="13"/>
      <c r="I211" s="14"/>
    </row>
    <row r="212" spans="1:9" ht="13.9">
      <c r="A212" s="13"/>
      <c r="B212" s="13"/>
      <c r="C212" s="13"/>
      <c r="D212" s="13"/>
      <c r="E212" s="13"/>
      <c r="F212" s="14"/>
      <c r="G212" s="13"/>
      <c r="H212" s="13"/>
      <c r="I212" s="14"/>
    </row>
    <row r="213" spans="1:9" ht="13.9">
      <c r="A213" s="13"/>
      <c r="B213" s="13"/>
      <c r="C213" s="13"/>
      <c r="D213" s="13"/>
      <c r="E213" s="13"/>
      <c r="F213" s="14"/>
      <c r="G213" s="13"/>
      <c r="H213" s="13"/>
      <c r="I213" s="14"/>
    </row>
    <row r="214" spans="1:9" ht="13.9">
      <c r="A214" s="13"/>
      <c r="B214" s="13"/>
      <c r="C214" s="13"/>
      <c r="D214" s="13"/>
      <c r="E214" s="13"/>
      <c r="F214" s="14"/>
      <c r="G214" s="13"/>
      <c r="H214" s="13"/>
      <c r="I214" s="14"/>
    </row>
    <row r="215" spans="1:9" ht="13.9">
      <c r="A215" s="13"/>
      <c r="B215" s="13"/>
      <c r="C215" s="13"/>
      <c r="D215" s="13"/>
      <c r="E215" s="13"/>
      <c r="F215" s="14"/>
      <c r="G215" s="13"/>
      <c r="H215" s="13"/>
      <c r="I215" s="14"/>
    </row>
    <row r="216" spans="1:9" ht="13.9">
      <c r="A216" s="13"/>
      <c r="B216" s="13"/>
      <c r="C216" s="13"/>
      <c r="D216" s="13"/>
      <c r="E216" s="13"/>
      <c r="F216" s="14"/>
      <c r="G216" s="13"/>
      <c r="H216" s="13"/>
      <c r="I216" s="14"/>
    </row>
    <row r="217" spans="1:9" ht="13.9">
      <c r="A217" s="13"/>
      <c r="B217" s="13"/>
      <c r="C217" s="13"/>
      <c r="D217" s="13"/>
      <c r="E217" s="13"/>
      <c r="F217" s="14"/>
      <c r="G217" s="13"/>
      <c r="H217" s="13"/>
      <c r="I217" s="14"/>
    </row>
    <row r="218" spans="1:9" ht="13.9">
      <c r="A218" s="13"/>
      <c r="B218" s="13"/>
      <c r="C218" s="13"/>
      <c r="D218" s="13"/>
      <c r="E218" s="13"/>
      <c r="F218" s="14"/>
      <c r="G218" s="13"/>
      <c r="H218" s="13"/>
      <c r="I218" s="14"/>
    </row>
    <row r="219" spans="1:9" ht="13.9">
      <c r="A219" s="13"/>
      <c r="B219" s="13"/>
      <c r="C219" s="13"/>
      <c r="D219" s="13"/>
      <c r="E219" s="13"/>
      <c r="F219" s="14"/>
      <c r="G219" s="13"/>
      <c r="H219" s="13"/>
      <c r="I219" s="14"/>
    </row>
    <row r="220" spans="1:9" ht="13.9">
      <c r="A220" s="13"/>
      <c r="B220" s="13"/>
      <c r="C220" s="13"/>
      <c r="D220" s="13"/>
      <c r="E220" s="13"/>
      <c r="F220" s="14"/>
      <c r="G220" s="13"/>
      <c r="H220" s="13"/>
      <c r="I220" s="14"/>
    </row>
    <row r="221" spans="1:9" ht="13.9">
      <c r="A221" s="13"/>
      <c r="B221" s="13"/>
      <c r="C221" s="13"/>
      <c r="D221" s="13"/>
      <c r="E221" s="13"/>
      <c r="F221" s="14"/>
      <c r="G221" s="13"/>
      <c r="H221" s="13"/>
      <c r="I221" s="14"/>
    </row>
    <row r="222" spans="1:9" ht="13.9">
      <c r="A222" s="13"/>
      <c r="B222" s="13"/>
      <c r="C222" s="13"/>
      <c r="D222" s="13"/>
      <c r="E222" s="13"/>
      <c r="F222" s="14"/>
      <c r="G222" s="13"/>
      <c r="H222" s="13"/>
      <c r="I222" s="14"/>
    </row>
    <row r="223" spans="1:9" ht="13.9">
      <c r="A223" s="13"/>
      <c r="B223" s="13"/>
      <c r="C223" s="13"/>
      <c r="D223" s="13"/>
      <c r="E223" s="13"/>
      <c r="F223" s="14"/>
      <c r="G223" s="13"/>
      <c r="H223" s="13"/>
      <c r="I223" s="14"/>
    </row>
    <row r="224" spans="1:9" ht="13.9">
      <c r="A224" s="13"/>
      <c r="B224" s="13"/>
      <c r="C224" s="13"/>
      <c r="D224" s="13"/>
      <c r="E224" s="13"/>
      <c r="F224" s="14"/>
      <c r="G224" s="13"/>
      <c r="H224" s="13"/>
      <c r="I224" s="14"/>
    </row>
    <row r="225" spans="1:9" ht="13.9">
      <c r="A225" s="13"/>
      <c r="B225" s="13"/>
      <c r="C225" s="13"/>
      <c r="D225" s="13"/>
      <c r="E225" s="13"/>
      <c r="F225" s="14"/>
      <c r="G225" s="13"/>
      <c r="H225" s="13"/>
      <c r="I225" s="14"/>
    </row>
    <row r="226" spans="1:9" ht="13.9">
      <c r="A226" s="13"/>
      <c r="B226" s="13"/>
      <c r="C226" s="13"/>
      <c r="D226" s="13"/>
      <c r="E226" s="13"/>
      <c r="F226" s="14"/>
      <c r="G226" s="13"/>
      <c r="H226" s="13"/>
      <c r="I226" s="14"/>
    </row>
    <row r="227" spans="1:9" ht="13.9">
      <c r="A227" s="13"/>
      <c r="B227" s="13"/>
      <c r="C227" s="13"/>
      <c r="D227" s="13"/>
      <c r="E227" s="13"/>
      <c r="F227" s="14"/>
      <c r="G227" s="13"/>
      <c r="H227" s="13"/>
      <c r="I227" s="14"/>
    </row>
    <row r="228" spans="1:9" ht="13.9">
      <c r="A228" s="13"/>
      <c r="B228" s="13"/>
      <c r="C228" s="13"/>
      <c r="D228" s="13"/>
      <c r="E228" s="13"/>
      <c r="F228" s="14"/>
      <c r="G228" s="13"/>
      <c r="H228" s="13"/>
      <c r="I228" s="14"/>
    </row>
    <row r="229" spans="1:9" ht="13.9">
      <c r="A229" s="13"/>
      <c r="B229" s="13"/>
      <c r="C229" s="13"/>
      <c r="D229" s="13"/>
      <c r="E229" s="13"/>
      <c r="F229" s="14"/>
      <c r="G229" s="13"/>
      <c r="H229" s="13"/>
      <c r="I229" s="14"/>
    </row>
    <row r="230" spans="1:9" ht="13.9">
      <c r="A230" s="13"/>
      <c r="B230" s="13"/>
      <c r="C230" s="13"/>
      <c r="D230" s="13"/>
      <c r="E230" s="13"/>
      <c r="F230" s="14"/>
      <c r="G230" s="13"/>
      <c r="H230" s="13"/>
      <c r="I230" s="14"/>
    </row>
    <row r="231" spans="1:9" ht="13.9">
      <c r="A231" s="13"/>
      <c r="B231" s="13"/>
      <c r="C231" s="13"/>
      <c r="D231" s="13"/>
      <c r="E231" s="13"/>
      <c r="F231" s="14"/>
      <c r="G231" s="13"/>
      <c r="H231" s="13"/>
      <c r="I231" s="14"/>
    </row>
    <row r="232" spans="1:9" ht="13.9">
      <c r="A232" s="13"/>
      <c r="B232" s="13"/>
      <c r="C232" s="13"/>
      <c r="D232" s="13"/>
      <c r="E232" s="13"/>
      <c r="F232" s="14"/>
      <c r="G232" s="13"/>
      <c r="H232" s="13"/>
      <c r="I232" s="14"/>
    </row>
    <row r="233" spans="1:9" ht="13.9">
      <c r="A233" s="13"/>
      <c r="B233" s="13"/>
      <c r="C233" s="13"/>
      <c r="D233" s="13"/>
      <c r="E233" s="13"/>
      <c r="F233" s="14"/>
      <c r="G233" s="13"/>
      <c r="H233" s="13"/>
      <c r="I233" s="14"/>
    </row>
    <row r="234" spans="1:9" ht="13.9">
      <c r="A234" s="13"/>
      <c r="B234" s="13"/>
      <c r="C234" s="13"/>
      <c r="D234" s="13"/>
      <c r="E234" s="13"/>
      <c r="F234" s="14"/>
      <c r="G234" s="13"/>
      <c r="H234" s="13"/>
      <c r="I234" s="14"/>
    </row>
    <row r="235" spans="1:9" ht="13.9">
      <c r="A235" s="13"/>
      <c r="B235" s="13"/>
      <c r="C235" s="13"/>
      <c r="D235" s="13"/>
      <c r="E235" s="13"/>
      <c r="F235" s="14"/>
      <c r="G235" s="13"/>
      <c r="H235" s="13"/>
      <c r="I235" s="14"/>
    </row>
    <row r="236" spans="1:9" ht="13.9">
      <c r="A236" s="13"/>
      <c r="B236" s="13"/>
      <c r="C236" s="13"/>
      <c r="D236" s="13"/>
      <c r="E236" s="13"/>
      <c r="F236" s="14"/>
      <c r="G236" s="13"/>
      <c r="H236" s="13"/>
      <c r="I236" s="14"/>
    </row>
    <row r="237" spans="1:9" ht="13.9">
      <c r="A237" s="13"/>
      <c r="B237" s="13"/>
      <c r="C237" s="13"/>
      <c r="D237" s="13"/>
      <c r="E237" s="13"/>
      <c r="F237" s="14"/>
      <c r="G237" s="13"/>
      <c r="H237" s="13"/>
      <c r="I237" s="14"/>
    </row>
    <row r="238" spans="1:9" ht="13.9">
      <c r="A238" s="13"/>
      <c r="B238" s="13"/>
      <c r="C238" s="13"/>
      <c r="D238" s="13"/>
      <c r="E238" s="13"/>
      <c r="F238" s="14"/>
      <c r="G238" s="13"/>
      <c r="H238" s="13"/>
      <c r="I238" s="14"/>
    </row>
    <row r="239" spans="1:9" ht="13.9">
      <c r="A239" s="13"/>
      <c r="B239" s="13"/>
      <c r="C239" s="13"/>
      <c r="D239" s="13"/>
      <c r="E239" s="13"/>
      <c r="F239" s="14"/>
      <c r="G239" s="13"/>
      <c r="H239" s="13"/>
      <c r="I239" s="14"/>
    </row>
    <row r="240" spans="1:9" ht="13.9">
      <c r="A240" s="13"/>
      <c r="B240" s="13"/>
      <c r="C240" s="13"/>
      <c r="D240" s="13"/>
      <c r="E240" s="13"/>
      <c r="F240" s="14"/>
      <c r="G240" s="13"/>
      <c r="H240" s="13"/>
      <c r="I240" s="14"/>
    </row>
    <row r="241" spans="1:9" ht="13.9">
      <c r="A241" s="13"/>
      <c r="B241" s="13"/>
      <c r="C241" s="13"/>
      <c r="D241" s="13"/>
      <c r="E241" s="13"/>
      <c r="F241" s="14"/>
      <c r="G241" s="13"/>
      <c r="H241" s="13"/>
      <c r="I241" s="14"/>
    </row>
    <row r="242" spans="1:9" ht="13.9">
      <c r="A242" s="13"/>
      <c r="B242" s="13"/>
      <c r="C242" s="13"/>
      <c r="D242" s="13"/>
      <c r="E242" s="13"/>
      <c r="F242" s="14"/>
      <c r="G242" s="13"/>
      <c r="H242" s="13"/>
      <c r="I242" s="14"/>
    </row>
    <row r="243" spans="1:9" ht="13.9">
      <c r="A243" s="13"/>
      <c r="B243" s="13"/>
      <c r="C243" s="13"/>
      <c r="D243" s="13"/>
      <c r="E243" s="13"/>
      <c r="F243" s="14"/>
      <c r="G243" s="13"/>
      <c r="H243" s="13"/>
      <c r="I243" s="14"/>
    </row>
    <row r="244" spans="1:9" ht="13.9">
      <c r="A244" s="13"/>
      <c r="B244" s="13"/>
      <c r="C244" s="13"/>
      <c r="D244" s="13"/>
      <c r="E244" s="13"/>
      <c r="F244" s="14"/>
      <c r="G244" s="13"/>
      <c r="H244" s="13"/>
      <c r="I244" s="14"/>
    </row>
    <row r="245" spans="1:9" ht="13.9">
      <c r="A245" s="13"/>
      <c r="B245" s="13"/>
      <c r="C245" s="13"/>
      <c r="D245" s="13"/>
      <c r="E245" s="13"/>
      <c r="F245" s="14"/>
      <c r="G245" s="13"/>
      <c r="H245" s="13"/>
      <c r="I245" s="14"/>
    </row>
    <row r="246" spans="1:9" ht="13.9">
      <c r="A246" s="13"/>
      <c r="B246" s="13"/>
      <c r="C246" s="13"/>
      <c r="D246" s="13"/>
      <c r="E246" s="13"/>
      <c r="F246" s="14"/>
      <c r="G246" s="13"/>
      <c r="H246" s="13"/>
      <c r="I246" s="14"/>
    </row>
    <row r="247" spans="1:9" ht="13.9">
      <c r="A247" s="13"/>
      <c r="B247" s="13"/>
      <c r="C247" s="13"/>
      <c r="D247" s="13"/>
      <c r="E247" s="13"/>
      <c r="F247" s="14"/>
      <c r="G247" s="13"/>
      <c r="H247" s="13"/>
      <c r="I247" s="14"/>
    </row>
    <row r="248" spans="1:9" ht="13.9">
      <c r="A248" s="13"/>
      <c r="B248" s="13"/>
      <c r="C248" s="13"/>
      <c r="D248" s="13"/>
      <c r="E248" s="13"/>
      <c r="F248" s="14"/>
      <c r="G248" s="13"/>
      <c r="H248" s="13"/>
      <c r="I248" s="14"/>
    </row>
    <row r="249" spans="1:9" ht="13.9">
      <c r="A249" s="13"/>
      <c r="B249" s="13"/>
      <c r="C249" s="13"/>
      <c r="D249" s="13"/>
      <c r="E249" s="13"/>
      <c r="F249" s="14"/>
      <c r="G249" s="13"/>
      <c r="H249" s="13"/>
      <c r="I249" s="14"/>
    </row>
    <row r="250" spans="1:9" ht="13.9">
      <c r="A250" s="13"/>
      <c r="B250" s="13"/>
      <c r="C250" s="13"/>
      <c r="D250" s="13"/>
      <c r="E250" s="13"/>
      <c r="F250" s="14"/>
      <c r="G250" s="13"/>
      <c r="H250" s="13"/>
      <c r="I250" s="14"/>
    </row>
    <row r="251" spans="1:9" ht="13.9">
      <c r="A251" s="13"/>
      <c r="B251" s="13"/>
      <c r="C251" s="13"/>
      <c r="D251" s="13"/>
      <c r="E251" s="13"/>
      <c r="F251" s="14"/>
      <c r="G251" s="13"/>
      <c r="H251" s="13"/>
      <c r="I251" s="14"/>
    </row>
    <row r="252" spans="1:9" ht="13.9">
      <c r="A252" s="13"/>
      <c r="B252" s="13"/>
      <c r="C252" s="13"/>
      <c r="D252" s="13"/>
      <c r="E252" s="13"/>
      <c r="F252" s="14"/>
      <c r="G252" s="13"/>
      <c r="H252" s="13"/>
      <c r="I252" s="14"/>
    </row>
    <row r="253" spans="1:9" ht="13.9">
      <c r="A253" s="13"/>
      <c r="B253" s="13"/>
      <c r="C253" s="13"/>
      <c r="D253" s="13"/>
      <c r="E253" s="13"/>
      <c r="F253" s="14"/>
      <c r="G253" s="13"/>
      <c r="H253" s="13"/>
      <c r="I253" s="14"/>
    </row>
    <row r="254" spans="1:9" ht="13.9">
      <c r="A254" s="13"/>
      <c r="B254" s="13"/>
      <c r="C254" s="13"/>
      <c r="D254" s="13"/>
      <c r="E254" s="13"/>
      <c r="F254" s="14"/>
      <c r="G254" s="13"/>
      <c r="H254" s="13"/>
      <c r="I254" s="14"/>
    </row>
    <row r="255" spans="1:9" ht="13.9">
      <c r="A255" s="13"/>
      <c r="B255" s="13"/>
      <c r="C255" s="13"/>
      <c r="D255" s="13"/>
      <c r="E255" s="13"/>
      <c r="F255" s="14"/>
      <c r="G255" s="13"/>
      <c r="H255" s="13"/>
      <c r="I255" s="14"/>
    </row>
    <row r="256" spans="1:9" ht="13.9">
      <c r="A256" s="13"/>
      <c r="B256" s="13"/>
      <c r="C256" s="13"/>
      <c r="D256" s="13"/>
      <c r="E256" s="13"/>
      <c r="F256" s="14"/>
      <c r="G256" s="13"/>
      <c r="H256" s="13"/>
      <c r="I256" s="14"/>
    </row>
    <row r="257" spans="1:9" ht="13.9">
      <c r="A257" s="13"/>
      <c r="B257" s="13"/>
      <c r="C257" s="13"/>
      <c r="D257" s="13"/>
      <c r="E257" s="13"/>
      <c r="F257" s="14"/>
      <c r="G257" s="13"/>
      <c r="H257" s="13"/>
      <c r="I257" s="14"/>
    </row>
    <row r="258" spans="1:9" ht="13.9">
      <c r="A258" s="13"/>
      <c r="B258" s="13"/>
      <c r="C258" s="13"/>
      <c r="D258" s="13"/>
      <c r="E258" s="13"/>
      <c r="F258" s="14"/>
      <c r="G258" s="13"/>
      <c r="H258" s="13"/>
      <c r="I258" s="14"/>
    </row>
    <row r="259" spans="1:9" ht="13.9">
      <c r="A259" s="13"/>
      <c r="B259" s="13"/>
      <c r="C259" s="13"/>
      <c r="D259" s="13"/>
      <c r="E259" s="13"/>
      <c r="F259" s="14"/>
      <c r="G259" s="13"/>
      <c r="H259" s="13"/>
      <c r="I259" s="14"/>
    </row>
    <row r="260" spans="1:9" ht="13.9">
      <c r="A260" s="13"/>
      <c r="B260" s="13"/>
      <c r="C260" s="13"/>
      <c r="D260" s="13"/>
      <c r="E260" s="13"/>
      <c r="F260" s="14"/>
      <c r="G260" s="13"/>
      <c r="H260" s="13"/>
      <c r="I260" s="14"/>
    </row>
    <row r="261" spans="1:9" ht="13.9">
      <c r="A261" s="13"/>
      <c r="B261" s="13"/>
      <c r="C261" s="13"/>
      <c r="D261" s="13"/>
      <c r="E261" s="13"/>
      <c r="F261" s="14"/>
      <c r="G261" s="13"/>
      <c r="H261" s="13"/>
      <c r="I261" s="14"/>
    </row>
    <row r="262" spans="1:9" ht="13.9">
      <c r="A262" s="13"/>
      <c r="B262" s="13"/>
      <c r="C262" s="13"/>
      <c r="D262" s="13"/>
      <c r="E262" s="13"/>
      <c r="F262" s="14"/>
      <c r="G262" s="13"/>
      <c r="H262" s="13"/>
      <c r="I262" s="14"/>
    </row>
    <row r="263" spans="1:9" ht="13.9">
      <c r="A263" s="13"/>
      <c r="B263" s="13"/>
      <c r="C263" s="13"/>
      <c r="D263" s="13"/>
      <c r="E263" s="13"/>
      <c r="F263" s="14"/>
      <c r="G263" s="13"/>
      <c r="H263" s="13"/>
      <c r="I263" s="14"/>
    </row>
    <row r="264" spans="1:9" ht="13.9">
      <c r="A264" s="13"/>
      <c r="B264" s="13"/>
      <c r="C264" s="13"/>
      <c r="D264" s="13"/>
      <c r="E264" s="13"/>
      <c r="F264" s="14"/>
      <c r="G264" s="13"/>
      <c r="H264" s="13"/>
      <c r="I264" s="14"/>
    </row>
    <row r="265" spans="1:9" ht="13.9">
      <c r="A265" s="13"/>
      <c r="B265" s="13"/>
      <c r="C265" s="13"/>
      <c r="D265" s="13"/>
      <c r="E265" s="13"/>
      <c r="F265" s="14"/>
      <c r="G265" s="13"/>
      <c r="H265" s="13"/>
      <c r="I265" s="14"/>
    </row>
    <row r="266" spans="1:9" ht="13.9">
      <c r="A266" s="13"/>
      <c r="B266" s="13"/>
      <c r="C266" s="13"/>
      <c r="D266" s="13"/>
      <c r="E266" s="13"/>
      <c r="F266" s="14"/>
      <c r="G266" s="13"/>
      <c r="H266" s="13"/>
      <c r="I266" s="14"/>
    </row>
    <row r="267" spans="1:9" ht="13.9">
      <c r="A267" s="13"/>
      <c r="B267" s="13"/>
      <c r="C267" s="13"/>
      <c r="D267" s="13"/>
      <c r="E267" s="13"/>
      <c r="F267" s="14"/>
      <c r="G267" s="13"/>
      <c r="H267" s="13"/>
      <c r="I267" s="14"/>
    </row>
    <row r="268" spans="1:9" ht="13.9">
      <c r="A268" s="13"/>
      <c r="B268" s="13"/>
      <c r="C268" s="13"/>
      <c r="D268" s="13"/>
      <c r="E268" s="13"/>
      <c r="F268" s="14"/>
      <c r="G268" s="13"/>
      <c r="H268" s="13"/>
      <c r="I268" s="14"/>
    </row>
    <row r="269" spans="1:9" ht="13.9">
      <c r="A269" s="13"/>
      <c r="B269" s="13"/>
      <c r="C269" s="13"/>
      <c r="D269" s="13"/>
      <c r="E269" s="13"/>
      <c r="F269" s="14"/>
      <c r="G269" s="13"/>
      <c r="H269" s="13"/>
      <c r="I269" s="14"/>
    </row>
    <row r="270" spans="1:9" ht="13.9">
      <c r="A270" s="13"/>
      <c r="B270" s="13"/>
      <c r="C270" s="13"/>
      <c r="D270" s="13"/>
      <c r="E270" s="13"/>
      <c r="F270" s="14"/>
      <c r="G270" s="13"/>
      <c r="H270" s="13"/>
      <c r="I270" s="14"/>
    </row>
    <row r="271" spans="1:9" ht="13.9">
      <c r="A271" s="13"/>
      <c r="B271" s="13"/>
      <c r="C271" s="13"/>
      <c r="D271" s="13"/>
      <c r="E271" s="13"/>
      <c r="F271" s="14"/>
      <c r="G271" s="13"/>
      <c r="H271" s="13"/>
      <c r="I271" s="14"/>
    </row>
    <row r="272" spans="1:9" ht="13.9">
      <c r="A272" s="13"/>
      <c r="B272" s="13"/>
      <c r="C272" s="13"/>
      <c r="D272" s="13"/>
      <c r="E272" s="13"/>
      <c r="F272" s="14"/>
      <c r="G272" s="13"/>
      <c r="H272" s="13"/>
      <c r="I272" s="14"/>
    </row>
    <row r="273" spans="1:9" ht="13.9">
      <c r="A273" s="13"/>
      <c r="B273" s="13"/>
      <c r="C273" s="13"/>
      <c r="D273" s="13"/>
      <c r="E273" s="13"/>
      <c r="F273" s="14"/>
      <c r="G273" s="13"/>
      <c r="H273" s="13"/>
      <c r="I273" s="14"/>
    </row>
    <row r="274" spans="1:9" ht="13.9">
      <c r="A274" s="13"/>
      <c r="B274" s="13"/>
      <c r="C274" s="13"/>
      <c r="D274" s="13"/>
      <c r="E274" s="13"/>
      <c r="F274" s="14"/>
      <c r="G274" s="13"/>
      <c r="H274" s="13"/>
      <c r="I274" s="14"/>
    </row>
    <row r="275" spans="1:9" ht="13.9">
      <c r="A275" s="13"/>
      <c r="B275" s="13"/>
      <c r="C275" s="13"/>
      <c r="D275" s="13"/>
      <c r="E275" s="13"/>
      <c r="F275" s="14"/>
      <c r="G275" s="13"/>
      <c r="H275" s="13"/>
      <c r="I275" s="14"/>
    </row>
    <row r="276" spans="1:9" ht="13.9">
      <c r="A276" s="13"/>
      <c r="B276" s="13"/>
      <c r="C276" s="13"/>
      <c r="D276" s="13"/>
      <c r="E276" s="13"/>
      <c r="F276" s="14"/>
      <c r="G276" s="13"/>
      <c r="H276" s="13"/>
      <c r="I276" s="14"/>
    </row>
    <row r="277" spans="1:9" ht="13.9">
      <c r="A277" s="13"/>
      <c r="B277" s="13"/>
      <c r="C277" s="13"/>
      <c r="D277" s="13"/>
      <c r="E277" s="13"/>
      <c r="F277" s="14"/>
      <c r="G277" s="13"/>
      <c r="H277" s="13"/>
      <c r="I277" s="14"/>
    </row>
    <row r="278" spans="1:9" ht="13.9">
      <c r="A278" s="13"/>
      <c r="B278" s="13"/>
      <c r="C278" s="13"/>
      <c r="D278" s="13"/>
      <c r="E278" s="13"/>
      <c r="F278" s="14"/>
      <c r="G278" s="13"/>
      <c r="H278" s="13"/>
      <c r="I278" s="14"/>
    </row>
    <row r="279" spans="1:9" ht="13.9">
      <c r="A279" s="13"/>
      <c r="B279" s="13"/>
      <c r="C279" s="13"/>
      <c r="D279" s="13"/>
      <c r="E279" s="13"/>
      <c r="F279" s="14"/>
      <c r="G279" s="13"/>
      <c r="H279" s="13"/>
      <c r="I279" s="14"/>
    </row>
    <row r="280" spans="1:9" ht="13.9">
      <c r="A280" s="13"/>
      <c r="B280" s="13"/>
      <c r="C280" s="13"/>
      <c r="D280" s="13"/>
      <c r="E280" s="13"/>
      <c r="F280" s="14"/>
      <c r="G280" s="13"/>
      <c r="H280" s="13"/>
      <c r="I280" s="14"/>
    </row>
    <row r="281" spans="1:9" ht="13.9">
      <c r="A281" s="13"/>
      <c r="B281" s="13"/>
      <c r="C281" s="13"/>
      <c r="D281" s="13"/>
      <c r="E281" s="13"/>
      <c r="F281" s="14"/>
      <c r="G281" s="13"/>
      <c r="H281" s="13"/>
      <c r="I281" s="14"/>
    </row>
    <row r="282" spans="1:9" ht="13.9">
      <c r="A282" s="13"/>
      <c r="B282" s="13"/>
      <c r="C282" s="13"/>
      <c r="D282" s="13"/>
      <c r="E282" s="13"/>
      <c r="F282" s="14"/>
      <c r="G282" s="13"/>
      <c r="H282" s="13"/>
      <c r="I282" s="14"/>
    </row>
    <row r="283" spans="1:9" ht="13.9">
      <c r="A283" s="13"/>
      <c r="B283" s="13"/>
      <c r="C283" s="13"/>
      <c r="D283" s="13"/>
      <c r="E283" s="13"/>
      <c r="F283" s="14"/>
      <c r="G283" s="13"/>
      <c r="H283" s="13"/>
      <c r="I283" s="14"/>
    </row>
    <row r="284" spans="1:9" ht="13.9">
      <c r="A284" s="13"/>
      <c r="B284" s="13"/>
      <c r="C284" s="13"/>
      <c r="D284" s="13"/>
      <c r="E284" s="13"/>
      <c r="F284" s="14"/>
      <c r="G284" s="13"/>
      <c r="H284" s="13"/>
      <c r="I284" s="14"/>
    </row>
    <row r="285" spans="1:9" ht="13.9">
      <c r="A285" s="13"/>
      <c r="B285" s="13"/>
      <c r="C285" s="13"/>
      <c r="D285" s="13"/>
      <c r="E285" s="13"/>
      <c r="F285" s="14"/>
      <c r="G285" s="13"/>
      <c r="H285" s="13"/>
      <c r="I285" s="14"/>
    </row>
    <row r="286" spans="1:9" ht="13.9">
      <c r="A286" s="13"/>
      <c r="B286" s="13"/>
      <c r="C286" s="13"/>
      <c r="D286" s="13"/>
      <c r="E286" s="13"/>
      <c r="F286" s="14"/>
      <c r="G286" s="13"/>
      <c r="H286" s="13"/>
      <c r="I286" s="14"/>
    </row>
    <row r="287" spans="1:9" ht="13.9">
      <c r="A287" s="13"/>
      <c r="B287" s="13"/>
      <c r="C287" s="13"/>
      <c r="D287" s="13"/>
      <c r="E287" s="13"/>
      <c r="F287" s="14"/>
      <c r="G287" s="13"/>
      <c r="H287" s="13"/>
      <c r="I287" s="14"/>
    </row>
    <row r="288" spans="1:9" ht="13.9">
      <c r="A288" s="13"/>
      <c r="B288" s="13"/>
      <c r="C288" s="13"/>
      <c r="D288" s="13"/>
      <c r="E288" s="13"/>
      <c r="F288" s="14"/>
      <c r="G288" s="13"/>
      <c r="H288" s="13"/>
      <c r="I288" s="14"/>
    </row>
    <row r="289" spans="1:9" ht="13.9">
      <c r="A289" s="13"/>
      <c r="B289" s="13"/>
      <c r="C289" s="13"/>
      <c r="D289" s="13"/>
      <c r="E289" s="13"/>
      <c r="F289" s="14"/>
      <c r="G289" s="13"/>
      <c r="H289" s="13"/>
      <c r="I289" s="14"/>
    </row>
    <row r="290" spans="1:9" ht="13.9">
      <c r="A290" s="13"/>
      <c r="B290" s="13"/>
      <c r="C290" s="13"/>
      <c r="D290" s="13"/>
      <c r="E290" s="13"/>
      <c r="F290" s="14"/>
      <c r="G290" s="13"/>
      <c r="H290" s="13"/>
      <c r="I290" s="14"/>
    </row>
    <row r="291" spans="1:9" ht="13.9">
      <c r="A291" s="13"/>
      <c r="B291" s="13"/>
      <c r="C291" s="13"/>
      <c r="D291" s="13"/>
      <c r="E291" s="13"/>
      <c r="F291" s="14"/>
      <c r="G291" s="13"/>
      <c r="H291" s="13"/>
      <c r="I291" s="14"/>
    </row>
    <row r="292" spans="1:9" ht="13.9">
      <c r="A292" s="13"/>
      <c r="B292" s="13"/>
      <c r="C292" s="13"/>
      <c r="D292" s="13"/>
      <c r="E292" s="13"/>
      <c r="F292" s="14"/>
      <c r="G292" s="13"/>
      <c r="H292" s="13"/>
      <c r="I292" s="14"/>
    </row>
    <row r="293" spans="1:9" ht="13.9">
      <c r="A293" s="13"/>
      <c r="B293" s="13"/>
      <c r="C293" s="13"/>
      <c r="D293" s="13"/>
      <c r="E293" s="13"/>
      <c r="F293" s="14"/>
      <c r="G293" s="13"/>
      <c r="H293" s="13"/>
      <c r="I293" s="14"/>
    </row>
    <row r="294" spans="1:9" ht="13.9">
      <c r="A294" s="13"/>
      <c r="B294" s="13"/>
      <c r="C294" s="13"/>
      <c r="D294" s="13"/>
      <c r="E294" s="13"/>
      <c r="F294" s="14"/>
      <c r="G294" s="13"/>
      <c r="H294" s="13"/>
      <c r="I294" s="14"/>
    </row>
    <row r="295" spans="1:9" ht="13.9">
      <c r="A295" s="13"/>
      <c r="B295" s="13"/>
      <c r="C295" s="13"/>
      <c r="D295" s="13"/>
      <c r="E295" s="13"/>
      <c r="F295" s="14"/>
      <c r="G295" s="13"/>
      <c r="H295" s="13"/>
      <c r="I295" s="14"/>
    </row>
    <row r="296" spans="1:9" ht="13.9">
      <c r="A296" s="13"/>
      <c r="B296" s="13"/>
      <c r="C296" s="13"/>
      <c r="D296" s="13"/>
      <c r="E296" s="13"/>
      <c r="F296" s="14"/>
      <c r="G296" s="13"/>
      <c r="H296" s="13"/>
      <c r="I296" s="14"/>
    </row>
    <row r="297" spans="1:9" ht="13.9">
      <c r="A297" s="13"/>
      <c r="B297" s="13"/>
      <c r="C297" s="13"/>
      <c r="D297" s="13"/>
      <c r="E297" s="13"/>
      <c r="F297" s="14"/>
      <c r="G297" s="13"/>
      <c r="H297" s="13"/>
      <c r="I297" s="14"/>
    </row>
    <row r="298" spans="1:9" ht="13.9">
      <c r="A298" s="13"/>
      <c r="B298" s="13"/>
      <c r="C298" s="13"/>
      <c r="D298" s="13"/>
      <c r="E298" s="13"/>
      <c r="F298" s="14"/>
      <c r="G298" s="13"/>
      <c r="H298" s="13"/>
      <c r="I298" s="14"/>
    </row>
    <row r="299" spans="1:9" ht="13.9">
      <c r="A299" s="13"/>
      <c r="B299" s="13"/>
      <c r="C299" s="13"/>
      <c r="D299" s="13"/>
      <c r="E299" s="13"/>
      <c r="F299" s="14"/>
      <c r="G299" s="13"/>
      <c r="H299" s="13"/>
      <c r="I299" s="14"/>
    </row>
    <row r="300" spans="1:9" ht="13.9">
      <c r="A300" s="13"/>
      <c r="B300" s="13"/>
      <c r="C300" s="13"/>
      <c r="D300" s="13"/>
      <c r="E300" s="13"/>
      <c r="F300" s="14"/>
      <c r="G300" s="13"/>
      <c r="H300" s="13"/>
      <c r="I300" s="14"/>
    </row>
    <row r="301" spans="1:9" ht="13.9">
      <c r="A301" s="13"/>
      <c r="B301" s="13"/>
      <c r="C301" s="13"/>
      <c r="D301" s="13"/>
      <c r="E301" s="13"/>
      <c r="F301" s="14"/>
      <c r="G301" s="13"/>
      <c r="H301" s="13"/>
      <c r="I301" s="14"/>
    </row>
    <row r="302" spans="1:9" ht="13.9">
      <c r="A302" s="13"/>
      <c r="B302" s="13"/>
      <c r="C302" s="13"/>
      <c r="D302" s="13"/>
      <c r="E302" s="13"/>
      <c r="F302" s="14"/>
      <c r="G302" s="13"/>
      <c r="H302" s="13"/>
      <c r="I302" s="14"/>
    </row>
    <row r="303" spans="1:9" ht="13.9">
      <c r="A303" s="13"/>
      <c r="B303" s="13"/>
      <c r="C303" s="13"/>
      <c r="D303" s="13"/>
      <c r="E303" s="13"/>
      <c r="F303" s="14"/>
      <c r="G303" s="13"/>
      <c r="H303" s="13"/>
      <c r="I303" s="14"/>
    </row>
    <row r="304" spans="1:9" ht="13.9">
      <c r="A304" s="13"/>
      <c r="B304" s="13"/>
      <c r="C304" s="13"/>
      <c r="D304" s="13"/>
      <c r="E304" s="13"/>
      <c r="F304" s="14"/>
      <c r="G304" s="13"/>
      <c r="H304" s="13"/>
      <c r="I304" s="14"/>
    </row>
    <row r="305" spans="1:9" ht="13.9">
      <c r="A305" s="13"/>
      <c r="B305" s="13"/>
      <c r="C305" s="13"/>
      <c r="D305" s="13"/>
      <c r="E305" s="13"/>
      <c r="F305" s="14"/>
      <c r="G305" s="13"/>
      <c r="H305" s="13"/>
      <c r="I305" s="14"/>
    </row>
    <row r="306" spans="1:9" ht="13.9">
      <c r="A306" s="13"/>
      <c r="B306" s="13"/>
      <c r="C306" s="13"/>
      <c r="D306" s="13"/>
      <c r="E306" s="13"/>
      <c r="F306" s="14"/>
      <c r="G306" s="13"/>
      <c r="H306" s="13"/>
      <c r="I306" s="14"/>
    </row>
    <row r="307" spans="1:9" ht="13.9">
      <c r="A307" s="13"/>
      <c r="B307" s="13"/>
      <c r="C307" s="13"/>
      <c r="D307" s="13"/>
      <c r="E307" s="13"/>
      <c r="F307" s="14"/>
      <c r="G307" s="13"/>
      <c r="H307" s="13"/>
      <c r="I307" s="14"/>
    </row>
    <row r="308" spans="1:9" ht="13.9">
      <c r="A308" s="13"/>
      <c r="B308" s="13"/>
      <c r="C308" s="13"/>
      <c r="D308" s="13"/>
      <c r="E308" s="13"/>
      <c r="F308" s="14"/>
      <c r="G308" s="13"/>
      <c r="H308" s="13"/>
      <c r="I308" s="14"/>
    </row>
    <row r="309" spans="1:9" ht="13.9">
      <c r="A309" s="13"/>
      <c r="B309" s="13"/>
      <c r="C309" s="13"/>
      <c r="D309" s="13"/>
      <c r="E309" s="13"/>
      <c r="F309" s="14"/>
      <c r="G309" s="13"/>
      <c r="H309" s="13"/>
      <c r="I309" s="14"/>
    </row>
    <row r="310" spans="1:9" ht="13.9">
      <c r="A310" s="13"/>
      <c r="B310" s="13"/>
      <c r="C310" s="13"/>
      <c r="D310" s="13"/>
      <c r="E310" s="13"/>
      <c r="F310" s="14"/>
      <c r="G310" s="13"/>
      <c r="H310" s="13"/>
      <c r="I310" s="14"/>
    </row>
    <row r="311" spans="1:9" ht="13.9">
      <c r="A311" s="13"/>
      <c r="B311" s="13"/>
      <c r="C311" s="13"/>
      <c r="D311" s="13"/>
      <c r="E311" s="13"/>
      <c r="F311" s="14"/>
      <c r="G311" s="13"/>
      <c r="H311" s="13"/>
      <c r="I311" s="14"/>
    </row>
    <row r="312" spans="1:9" ht="13.9">
      <c r="A312" s="13"/>
      <c r="B312" s="13"/>
      <c r="C312" s="13"/>
      <c r="D312" s="13"/>
      <c r="E312" s="13"/>
      <c r="F312" s="14"/>
      <c r="G312" s="13"/>
      <c r="H312" s="13"/>
      <c r="I312" s="14"/>
    </row>
    <row r="313" spans="1:9" ht="13.9">
      <c r="A313" s="13"/>
      <c r="B313" s="13"/>
      <c r="C313" s="13"/>
      <c r="D313" s="13"/>
      <c r="E313" s="13"/>
      <c r="F313" s="14"/>
      <c r="G313" s="13"/>
      <c r="H313" s="13"/>
      <c r="I313" s="14"/>
    </row>
    <row r="314" spans="1:9" ht="13.9">
      <c r="A314" s="13"/>
      <c r="B314" s="13"/>
      <c r="C314" s="13"/>
      <c r="D314" s="13"/>
      <c r="E314" s="13"/>
      <c r="F314" s="14"/>
      <c r="G314" s="13"/>
      <c r="H314" s="13"/>
      <c r="I314" s="14"/>
    </row>
    <row r="315" spans="1:9" ht="13.9">
      <c r="A315" s="13"/>
      <c r="B315" s="13"/>
      <c r="C315" s="13"/>
      <c r="D315" s="13"/>
      <c r="E315" s="13"/>
      <c r="F315" s="14"/>
      <c r="G315" s="13"/>
      <c r="H315" s="13"/>
      <c r="I315" s="14"/>
    </row>
    <row r="316" spans="1:9" ht="13.9">
      <c r="A316" s="13"/>
      <c r="B316" s="13"/>
      <c r="C316" s="13"/>
      <c r="D316" s="13"/>
      <c r="E316" s="13"/>
      <c r="F316" s="14"/>
      <c r="G316" s="13"/>
      <c r="H316" s="13"/>
      <c r="I316" s="14"/>
    </row>
    <row r="317" spans="1:9" ht="13.9">
      <c r="A317" s="13"/>
      <c r="B317" s="13"/>
      <c r="C317" s="13"/>
      <c r="D317" s="13"/>
      <c r="E317" s="13"/>
      <c r="F317" s="14"/>
      <c r="G317" s="13"/>
      <c r="H317" s="13"/>
      <c r="I317" s="14"/>
    </row>
    <row r="318" spans="1:9" ht="13.9">
      <c r="A318" s="13"/>
      <c r="B318" s="13"/>
      <c r="C318" s="13"/>
      <c r="D318" s="13"/>
      <c r="E318" s="13"/>
      <c r="F318" s="14"/>
      <c r="G318" s="13"/>
      <c r="H318" s="13"/>
      <c r="I318" s="14"/>
    </row>
    <row r="319" spans="1:9" ht="13.9">
      <c r="A319" s="13"/>
      <c r="B319" s="13"/>
      <c r="C319" s="13"/>
      <c r="D319" s="13"/>
      <c r="E319" s="13"/>
      <c r="F319" s="14"/>
      <c r="G319" s="13"/>
      <c r="H319" s="13"/>
      <c r="I319" s="14"/>
    </row>
    <row r="320" spans="1:9" ht="13.9">
      <c r="A320" s="13"/>
      <c r="B320" s="13"/>
      <c r="C320" s="13"/>
      <c r="D320" s="13"/>
      <c r="E320" s="13"/>
      <c r="F320" s="14"/>
      <c r="G320" s="13"/>
      <c r="H320" s="13"/>
      <c r="I320" s="14"/>
    </row>
    <row r="321" spans="1:9" ht="13.9">
      <c r="A321" s="13"/>
      <c r="B321" s="13"/>
      <c r="C321" s="13"/>
      <c r="D321" s="13"/>
      <c r="E321" s="13"/>
      <c r="F321" s="14"/>
      <c r="G321" s="13"/>
      <c r="H321" s="13"/>
      <c r="I321" s="14"/>
    </row>
    <row r="322" spans="1:9" ht="13.9">
      <c r="A322" s="13"/>
      <c r="B322" s="13"/>
      <c r="C322" s="13"/>
      <c r="D322" s="13"/>
      <c r="E322" s="13"/>
      <c r="F322" s="14"/>
      <c r="G322" s="13"/>
      <c r="H322" s="13"/>
      <c r="I322" s="14"/>
    </row>
    <row r="323" spans="1:9" ht="13.9">
      <c r="A323" s="13"/>
      <c r="B323" s="13"/>
      <c r="C323" s="13"/>
      <c r="D323" s="13"/>
      <c r="E323" s="13"/>
      <c r="F323" s="14"/>
      <c r="G323" s="13"/>
      <c r="H323" s="13"/>
      <c r="I323" s="14"/>
    </row>
    <row r="324" spans="1:9" ht="13.9">
      <c r="A324" s="13"/>
      <c r="B324" s="13"/>
      <c r="C324" s="13"/>
      <c r="D324" s="13"/>
      <c r="E324" s="13"/>
      <c r="F324" s="14"/>
      <c r="G324" s="13"/>
      <c r="H324" s="13"/>
      <c r="I324" s="14"/>
    </row>
    <row r="325" spans="1:9" ht="13.9">
      <c r="A325" s="13"/>
      <c r="B325" s="13"/>
      <c r="C325" s="13"/>
      <c r="D325" s="13"/>
      <c r="E325" s="13"/>
      <c r="F325" s="14"/>
      <c r="G325" s="13"/>
      <c r="H325" s="13"/>
      <c r="I325" s="14"/>
    </row>
    <row r="326" spans="1:9" ht="13.9">
      <c r="A326" s="13"/>
      <c r="B326" s="13"/>
      <c r="C326" s="13"/>
      <c r="D326" s="13"/>
      <c r="E326" s="13"/>
      <c r="F326" s="14"/>
      <c r="G326" s="13"/>
      <c r="H326" s="13"/>
      <c r="I326" s="14"/>
    </row>
    <row r="327" spans="1:9" ht="13.9">
      <c r="A327" s="13"/>
      <c r="B327" s="13"/>
      <c r="C327" s="13"/>
      <c r="D327" s="13"/>
      <c r="E327" s="13"/>
      <c r="F327" s="14"/>
      <c r="G327" s="13"/>
      <c r="H327" s="13"/>
      <c r="I327" s="14"/>
    </row>
    <row r="328" spans="1:9" ht="13.9">
      <c r="A328" s="13"/>
      <c r="B328" s="13"/>
      <c r="C328" s="13"/>
      <c r="D328" s="13"/>
      <c r="E328" s="13"/>
      <c r="F328" s="14"/>
      <c r="G328" s="13"/>
      <c r="H328" s="13"/>
      <c r="I328" s="14"/>
    </row>
    <row r="329" spans="1:9" ht="13.9">
      <c r="A329" s="13"/>
      <c r="B329" s="13"/>
      <c r="C329" s="13"/>
      <c r="D329" s="13"/>
      <c r="E329" s="13"/>
      <c r="F329" s="14"/>
      <c r="G329" s="13"/>
      <c r="H329" s="13"/>
      <c r="I329" s="14"/>
    </row>
    <row r="330" spans="1:9" ht="13.9">
      <c r="A330" s="13"/>
      <c r="B330" s="13"/>
      <c r="C330" s="13"/>
      <c r="D330" s="13"/>
      <c r="E330" s="13"/>
      <c r="F330" s="14"/>
      <c r="G330" s="13"/>
      <c r="H330" s="13"/>
      <c r="I330" s="14"/>
    </row>
    <row r="331" spans="1:9" ht="13.9">
      <c r="A331" s="13"/>
      <c r="B331" s="13"/>
      <c r="C331" s="13"/>
      <c r="D331" s="13"/>
      <c r="E331" s="13"/>
      <c r="F331" s="14"/>
      <c r="G331" s="13"/>
      <c r="H331" s="13"/>
      <c r="I331" s="14"/>
    </row>
    <row r="332" spans="1:9" ht="13.9">
      <c r="A332" s="13"/>
      <c r="B332" s="13"/>
      <c r="C332" s="13"/>
      <c r="D332" s="13"/>
      <c r="E332" s="13"/>
      <c r="F332" s="14"/>
      <c r="G332" s="13"/>
      <c r="H332" s="13"/>
      <c r="I332" s="14"/>
    </row>
    <row r="333" spans="1:9" ht="13.9">
      <c r="A333" s="13"/>
      <c r="B333" s="13"/>
      <c r="C333" s="13"/>
      <c r="D333" s="13"/>
      <c r="E333" s="13"/>
      <c r="F333" s="14"/>
      <c r="G333" s="13"/>
      <c r="H333" s="13"/>
      <c r="I333" s="14"/>
    </row>
    <row r="334" spans="1:9" ht="13.9">
      <c r="A334" s="13"/>
      <c r="B334" s="13"/>
      <c r="C334" s="13"/>
      <c r="D334" s="13"/>
      <c r="E334" s="13"/>
      <c r="F334" s="14"/>
      <c r="G334" s="13"/>
      <c r="H334" s="13"/>
      <c r="I334" s="14"/>
    </row>
    <row r="335" spans="1:9" ht="13.9">
      <c r="A335" s="13"/>
      <c r="B335" s="13"/>
      <c r="C335" s="13"/>
      <c r="D335" s="13"/>
      <c r="E335" s="13"/>
      <c r="F335" s="14"/>
      <c r="G335" s="13"/>
      <c r="H335" s="13"/>
      <c r="I335" s="14"/>
    </row>
    <row r="336" spans="1:9" ht="13.9">
      <c r="A336" s="13"/>
      <c r="B336" s="13"/>
      <c r="C336" s="13"/>
      <c r="D336" s="13"/>
      <c r="E336" s="13"/>
      <c r="F336" s="14"/>
      <c r="G336" s="13"/>
      <c r="H336" s="13"/>
      <c r="I336" s="14"/>
    </row>
    <row r="337" spans="1:9" ht="13.9">
      <c r="A337" s="13"/>
      <c r="B337" s="13"/>
      <c r="C337" s="13"/>
      <c r="D337" s="13"/>
      <c r="E337" s="13"/>
      <c r="F337" s="14"/>
      <c r="G337" s="13"/>
      <c r="H337" s="13"/>
      <c r="I337" s="14"/>
    </row>
    <row r="338" spans="1:9" ht="13.9">
      <c r="A338" s="13"/>
      <c r="B338" s="13"/>
      <c r="C338" s="13"/>
      <c r="D338" s="13"/>
      <c r="E338" s="13"/>
      <c r="F338" s="14"/>
      <c r="G338" s="13"/>
      <c r="H338" s="13"/>
      <c r="I338" s="14"/>
    </row>
    <row r="339" spans="1:9" ht="13.9">
      <c r="A339" s="13"/>
      <c r="B339" s="13"/>
      <c r="C339" s="13"/>
      <c r="D339" s="13"/>
      <c r="E339" s="13"/>
      <c r="F339" s="14"/>
      <c r="G339" s="13"/>
      <c r="H339" s="13"/>
      <c r="I339" s="14"/>
    </row>
    <row r="340" spans="1:9" ht="13.9">
      <c r="A340" s="13"/>
      <c r="B340" s="13"/>
      <c r="C340" s="13"/>
      <c r="D340" s="13"/>
      <c r="E340" s="13"/>
      <c r="F340" s="14"/>
      <c r="G340" s="13"/>
      <c r="H340" s="13"/>
      <c r="I340" s="14"/>
    </row>
    <row r="341" spans="1:9" ht="13.9">
      <c r="A341" s="13"/>
      <c r="B341" s="13"/>
      <c r="C341" s="13"/>
      <c r="D341" s="13"/>
      <c r="E341" s="13"/>
      <c r="F341" s="14"/>
      <c r="G341" s="13"/>
      <c r="H341" s="13"/>
      <c r="I341" s="14"/>
    </row>
  </sheetData>
  <mergeCells count="4">
    <mergeCell ref="G1:I1"/>
    <mergeCell ref="A1:C1"/>
    <mergeCell ref="D1:F1"/>
    <mergeCell ref="A2:B2"/>
  </mergeCells>
  <conditionalFormatting sqref="F2 I2 F4:F99 I4:I99">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L340"/>
  <sheetViews>
    <sheetView zoomScale="60" zoomScaleNormal="60" workbookViewId="0">
      <pane xSplit="2" ySplit="3" topLeftCell="C12" activePane="bottomRight" state="frozen"/>
      <selection pane="bottomRight" activeCell="J21" sqref="J21"/>
      <selection pane="bottomLeft" activeCell="D28" sqref="D28"/>
      <selection pane="topRight" activeCell="D28" sqref="D28"/>
    </sheetView>
  </sheetViews>
  <sheetFormatPr defaultRowHeight="13.9"/>
  <cols>
    <col min="1" max="1" width="14.5703125" customWidth="1"/>
    <col min="2" max="2" width="14.5703125" style="19" customWidth="1"/>
    <col min="3" max="5" width="14.5703125" customWidth="1"/>
    <col min="6" max="6" width="14.5703125" style="1" customWidth="1"/>
    <col min="7" max="8" width="14.5703125" customWidth="1"/>
    <col min="9" max="9" width="14.5703125" style="1" customWidth="1"/>
    <col min="10" max="10" width="96.140625" bestFit="1" customWidth="1"/>
    <col min="11" max="11" width="19.28515625" bestFit="1" customWidth="1"/>
  </cols>
  <sheetData>
    <row r="1" spans="1:12" ht="15.6">
      <c r="A1" s="115" t="str" cm="1">
        <f t="array" ref="A1">portfolio</f>
        <v>38 DN</v>
      </c>
      <c r="B1" s="115"/>
      <c r="C1" s="115"/>
      <c r="D1" s="116" t="s">
        <v>18</v>
      </c>
      <c r="E1" s="116"/>
      <c r="F1" s="116"/>
      <c r="G1" s="114" t="s">
        <v>19</v>
      </c>
      <c r="H1" s="114"/>
      <c r="I1" s="114"/>
      <c r="J1" s="4"/>
      <c r="K1" s="4"/>
    </row>
    <row r="2" spans="1:12" ht="15.6">
      <c r="A2" s="117" t="s">
        <v>2</v>
      </c>
      <c r="B2" s="117"/>
      <c r="C2" s="5">
        <f>SUM(C4:C98)</f>
        <v>1879993.2466777409</v>
      </c>
      <c r="D2" s="5">
        <f>SUM(D4:D98)</f>
        <v>3100330.8500000006</v>
      </c>
      <c r="E2" s="5">
        <f>C2-D2</f>
        <v>-1220337.6033222596</v>
      </c>
      <c r="F2" s="6">
        <f>IFERROR(E2/D2, 0)</f>
        <v>-0.39361528248582223</v>
      </c>
      <c r="G2" s="5">
        <f>SUM(G4:G98)</f>
        <v>2316666.0300000003</v>
      </c>
      <c r="H2" s="7">
        <f>C2-G2</f>
        <v>-436672.78332225932</v>
      </c>
      <c r="I2" s="6">
        <f>IFERROR(H2/G2, 0)</f>
        <v>-0.18849190071745442</v>
      </c>
      <c r="J2" s="16"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5.6">
      <c r="A3" s="17" t="s">
        <v>3</v>
      </c>
      <c r="B3" s="17" t="s">
        <v>4</v>
      </c>
      <c r="C3" s="27" t="s">
        <v>5</v>
      </c>
      <c r="D3" s="28" t="s">
        <v>6</v>
      </c>
      <c r="E3" s="28" t="s">
        <v>7</v>
      </c>
      <c r="F3" s="29" t="s">
        <v>8</v>
      </c>
      <c r="G3" s="33" t="s">
        <v>9</v>
      </c>
      <c r="H3" s="31" t="s">
        <v>7</v>
      </c>
      <c r="I3" s="32" t="s">
        <v>8</v>
      </c>
      <c r="J3" s="15" t="s">
        <v>20</v>
      </c>
      <c r="K3" s="15" t="s">
        <v>21</v>
      </c>
    </row>
    <row r="4" spans="1:12" ht="80.25" customHeight="1">
      <c r="A4" s="52" t="str" cm="1">
        <f t="array" ref="A4:A27">Sites[Site]</f>
        <v>6th St.</v>
      </c>
      <c r="B4" s="48" t="str" cm="1">
        <f t="array" ref="B4:B27">Sites[State]</f>
        <v>CA</v>
      </c>
      <c r="C4" s="37">
        <v>129016</v>
      </c>
      <c r="D4" s="37">
        <v>74840.77</v>
      </c>
      <c r="E4" s="37">
        <f>IF(AND(ISNUMBER(C4),ISNUMBER(D4)), C4-D4, "")</f>
        <v>54175.229999999996</v>
      </c>
      <c r="F4" s="40">
        <f>IFERROR(E4/D4, "")</f>
        <v>0.72387323112789981</v>
      </c>
      <c r="G4" s="39">
        <v>144521</v>
      </c>
      <c r="H4" s="39">
        <f>IF(AND(ISNUMBER(C4),ISNUMBER(G4)), C4-G4, "")</f>
        <v>-15505</v>
      </c>
      <c r="I4" s="40">
        <f>IFERROR(H4/G4, "")</f>
        <v>-0.10728544640571266</v>
      </c>
      <c r="J4" s="66" t="s">
        <v>22</v>
      </c>
      <c r="K4" s="80" t="s">
        <v>23</v>
      </c>
    </row>
    <row r="5" spans="1:12" ht="15.6">
      <c r="A5" s="53" t="str">
        <v>Barton Acres</v>
      </c>
      <c r="B5" s="50" t="str">
        <v>MA</v>
      </c>
      <c r="C5" s="44">
        <v>56999</v>
      </c>
      <c r="D5" s="44">
        <v>142857.9</v>
      </c>
      <c r="E5" s="44">
        <f t="shared" ref="E5:E17" si="0">IF(AND(ISNUMBER(C5),ISNUMBER(D5)), C5-D5, "")</f>
        <v>-85858.9</v>
      </c>
      <c r="F5" s="45">
        <f t="shared" ref="F5:F24" si="1">IFERROR(E5/D5, "")</f>
        <v>-0.60100911465169238</v>
      </c>
      <c r="G5" s="46">
        <v>69105.149999999994</v>
      </c>
      <c r="H5" s="46">
        <f t="shared" ref="H5:H6" si="2">IF(AND(ISNUMBER(C5),ISNUMBER(G5)), C5-G5, "")</f>
        <v>-12106.149999999994</v>
      </c>
      <c r="I5" s="45">
        <f t="shared" ref="I5:I6" si="3">IFERROR(H5/G5, "")</f>
        <v>-0.1751844833561608</v>
      </c>
      <c r="J5" s="79" t="s">
        <v>24</v>
      </c>
      <c r="K5" s="81" t="s">
        <v>25</v>
      </c>
    </row>
    <row r="6" spans="1:12" ht="36" customHeight="1">
      <c r="A6" s="54" t="str">
        <v>Bowden</v>
      </c>
      <c r="B6" s="48" t="str">
        <v>MA</v>
      </c>
      <c r="C6" s="37">
        <v>138818</v>
      </c>
      <c r="D6" s="37">
        <v>194548.5</v>
      </c>
      <c r="E6" s="37">
        <f t="shared" si="0"/>
        <v>-55730.5</v>
      </c>
      <c r="F6" s="40">
        <f t="shared" si="1"/>
        <v>-0.28646070260115086</v>
      </c>
      <c r="G6" s="39">
        <v>166837.29999999999</v>
      </c>
      <c r="H6" s="39">
        <f t="shared" si="2"/>
        <v>-28019.299999999988</v>
      </c>
      <c r="I6" s="40">
        <f t="shared" si="3"/>
        <v>-0.16794385907707682</v>
      </c>
      <c r="J6" s="66" t="s">
        <v>26</v>
      </c>
      <c r="K6" s="80" t="s">
        <v>27</v>
      </c>
      <c r="L6" s="83" t="s">
        <v>28</v>
      </c>
    </row>
    <row r="7" spans="1:12" ht="15.6">
      <c r="A7" s="53" t="str">
        <v>Blair Wire Village</v>
      </c>
      <c r="B7" s="50" t="str">
        <v>MA</v>
      </c>
      <c r="C7" s="44">
        <v>67575</v>
      </c>
      <c r="D7" s="44">
        <v>148603.1</v>
      </c>
      <c r="E7" s="44">
        <f t="shared" si="0"/>
        <v>-81028.100000000006</v>
      </c>
      <c r="F7" s="45">
        <f t="shared" si="1"/>
        <v>-0.54526520644589516</v>
      </c>
      <c r="G7" s="46">
        <v>82695.73</v>
      </c>
      <c r="H7" s="46">
        <f t="shared" ref="H7:H15" si="4">IF(AND(ISNUMBER(C7),ISNUMBER(G7)), C7-G7, "")</f>
        <v>-15120.729999999996</v>
      </c>
      <c r="I7" s="45">
        <f t="shared" ref="I7:I24" si="5">IFERROR(H7/G7, "")</f>
        <v>-0.18284777218847933</v>
      </c>
      <c r="J7" s="79" t="s">
        <v>29</v>
      </c>
      <c r="K7" s="79"/>
    </row>
    <row r="8" spans="1:12" ht="15.6">
      <c r="A8" s="54" t="str">
        <v>Boutilier</v>
      </c>
      <c r="B8" s="48" t="str">
        <v>MA</v>
      </c>
      <c r="C8" s="37">
        <v>197770</v>
      </c>
      <c r="D8" s="37">
        <v>316212.5</v>
      </c>
      <c r="E8" s="37">
        <f t="shared" si="0"/>
        <v>-118442.5</v>
      </c>
      <c r="F8" s="40">
        <f t="shared" si="1"/>
        <v>-0.37456615408941774</v>
      </c>
      <c r="G8" s="39">
        <v>189703.5</v>
      </c>
      <c r="H8" s="39">
        <f t="shared" si="4"/>
        <v>8066.5</v>
      </c>
      <c r="I8" s="40">
        <f t="shared" si="5"/>
        <v>4.2521619263745793E-2</v>
      </c>
      <c r="J8" s="66"/>
      <c r="K8" s="66"/>
    </row>
    <row r="9" spans="1:12" ht="28.9">
      <c r="A9" s="53" t="str">
        <v>Cherry Valley</v>
      </c>
      <c r="B9" s="50" t="str">
        <v>MA</v>
      </c>
      <c r="C9" s="44">
        <v>62784</v>
      </c>
      <c r="D9" s="44">
        <v>141889.9</v>
      </c>
      <c r="E9" s="44">
        <f t="shared" si="0"/>
        <v>-79105.899999999994</v>
      </c>
      <c r="F9" s="45">
        <f t="shared" si="1"/>
        <v>-0.55751607408279236</v>
      </c>
      <c r="G9" s="46">
        <v>77483</v>
      </c>
      <c r="H9" s="46">
        <f t="shared" si="4"/>
        <v>-14699</v>
      </c>
      <c r="I9" s="45">
        <f t="shared" si="5"/>
        <v>-0.18970612908638024</v>
      </c>
      <c r="J9" s="79" t="s">
        <v>30</v>
      </c>
      <c r="K9" s="81" t="s">
        <v>31</v>
      </c>
    </row>
    <row r="10" spans="1:12" ht="15.6">
      <c r="A10" s="54" t="str">
        <v>Cohasse</v>
      </c>
      <c r="B10" s="48" t="str">
        <v>MA</v>
      </c>
      <c r="C10" s="37">
        <v>68246</v>
      </c>
      <c r="D10" s="37">
        <v>140408.6</v>
      </c>
      <c r="E10" s="37">
        <f t="shared" si="0"/>
        <v>-72162.600000000006</v>
      </c>
      <c r="F10" s="40">
        <f t="shared" si="1"/>
        <v>-0.51394715138531399</v>
      </c>
      <c r="G10" s="39">
        <v>113608.5</v>
      </c>
      <c r="H10" s="39">
        <f t="shared" si="4"/>
        <v>-45362.5</v>
      </c>
      <c r="I10" s="40">
        <f t="shared" si="5"/>
        <v>-0.39928790539440273</v>
      </c>
      <c r="J10" s="66" t="s">
        <v>29</v>
      </c>
      <c r="K10" s="66"/>
    </row>
    <row r="11" spans="1:12" ht="43.15">
      <c r="A11" s="53" t="str">
        <v>ISM Dighton Solar 2</v>
      </c>
      <c r="B11" s="50" t="str">
        <v>MA</v>
      </c>
      <c r="C11" s="44">
        <v>216783</v>
      </c>
      <c r="D11" s="44">
        <v>272074.2</v>
      </c>
      <c r="E11" s="44">
        <f t="shared" si="0"/>
        <v>-55291.200000000012</v>
      </c>
      <c r="F11" s="45">
        <f t="shared" si="1"/>
        <v>-0.20322103308582737</v>
      </c>
      <c r="G11" s="46">
        <v>194872.6</v>
      </c>
      <c r="H11" s="46">
        <f t="shared" si="4"/>
        <v>21910.399999999994</v>
      </c>
      <c r="I11" s="45">
        <f t="shared" si="5"/>
        <v>0.11243448283647878</v>
      </c>
      <c r="J11" s="79" t="s">
        <v>32</v>
      </c>
      <c r="K11" s="82" t="s">
        <v>33</v>
      </c>
      <c r="L11" s="83" t="s">
        <v>34</v>
      </c>
    </row>
    <row r="12" spans="1:12" ht="28.9">
      <c r="A12" s="54" t="str">
        <v>Dudley River 1</v>
      </c>
      <c r="B12" s="48" t="str">
        <v>MA</v>
      </c>
      <c r="C12" s="37">
        <v>81072</v>
      </c>
      <c r="D12" s="37">
        <v>112668.6</v>
      </c>
      <c r="E12" s="37">
        <f t="shared" si="0"/>
        <v>-31596.600000000006</v>
      </c>
      <c r="F12" s="40">
        <f t="shared" si="1"/>
        <v>-0.28043838300999574</v>
      </c>
      <c r="G12" s="39">
        <v>83342.55</v>
      </c>
      <c r="H12" s="39">
        <f t="shared" si="4"/>
        <v>-2270.5500000000029</v>
      </c>
      <c r="I12" s="40">
        <f t="shared" si="5"/>
        <v>-2.7243586859293397E-2</v>
      </c>
      <c r="J12" s="66" t="s">
        <v>35</v>
      </c>
      <c r="K12" s="80" t="s">
        <v>36</v>
      </c>
    </row>
    <row r="13" spans="1:12" ht="86.45">
      <c r="A13" s="53" t="str">
        <v>Dudley River 2</v>
      </c>
      <c r="B13" s="50" t="str">
        <v>MA</v>
      </c>
      <c r="C13" s="44">
        <v>77646</v>
      </c>
      <c r="D13" s="44">
        <v>116307.2</v>
      </c>
      <c r="E13" s="44">
        <f t="shared" si="0"/>
        <v>-38661.199999999997</v>
      </c>
      <c r="F13" s="45">
        <f t="shared" si="1"/>
        <v>-0.33240590436361633</v>
      </c>
      <c r="G13" s="46">
        <v>81508.990000000005</v>
      </c>
      <c r="H13" s="46">
        <f t="shared" si="4"/>
        <v>-3862.9900000000052</v>
      </c>
      <c r="I13" s="45">
        <f t="shared" si="5"/>
        <v>-4.7393422492414704E-2</v>
      </c>
      <c r="J13" s="79" t="s">
        <v>37</v>
      </c>
      <c r="K13" s="82" t="s">
        <v>38</v>
      </c>
      <c r="L13" s="83" t="s">
        <v>39</v>
      </c>
    </row>
    <row r="14" spans="1:12" ht="28.9">
      <c r="A14" s="54" t="str">
        <v>Dudley River 3</v>
      </c>
      <c r="B14" s="48" t="str">
        <v>MA</v>
      </c>
      <c r="C14" s="37">
        <v>94540</v>
      </c>
      <c r="D14" s="37">
        <v>117412.4</v>
      </c>
      <c r="E14" s="37">
        <f t="shared" si="0"/>
        <v>-22872.399999999994</v>
      </c>
      <c r="F14" s="40">
        <f t="shared" si="1"/>
        <v>-0.19480395597057887</v>
      </c>
      <c r="G14" s="39">
        <v>83727.59</v>
      </c>
      <c r="H14" s="39">
        <f t="shared" si="4"/>
        <v>10812.410000000003</v>
      </c>
      <c r="I14" s="40">
        <f t="shared" si="5"/>
        <v>0.12913795798971406</v>
      </c>
      <c r="J14" s="66" t="s">
        <v>40</v>
      </c>
      <c r="K14" s="80" t="s">
        <v>41</v>
      </c>
    </row>
    <row r="15" spans="1:12" ht="28.9">
      <c r="A15" s="53" t="str">
        <v>Flint Pond</v>
      </c>
      <c r="B15" s="50" t="str">
        <v>MA</v>
      </c>
      <c r="C15" s="44">
        <v>30334</v>
      </c>
      <c r="D15" s="44">
        <v>62237.73</v>
      </c>
      <c r="E15" s="44">
        <f t="shared" si="0"/>
        <v>-31903.730000000003</v>
      </c>
      <c r="F15" s="45">
        <f t="shared" si="1"/>
        <v>-0.51261075877928075</v>
      </c>
      <c r="G15" s="46">
        <v>33375.620000000003</v>
      </c>
      <c r="H15" s="46">
        <f t="shared" si="4"/>
        <v>-3041.6200000000026</v>
      </c>
      <c r="I15" s="45">
        <f t="shared" si="5"/>
        <v>-9.1132988690547242E-2</v>
      </c>
      <c r="J15" s="79" t="s">
        <v>42</v>
      </c>
      <c r="K15" s="81" t="s">
        <v>43</v>
      </c>
    </row>
    <row r="16" spans="1:12" ht="28.9">
      <c r="A16" s="54" t="str">
        <v>Incom</v>
      </c>
      <c r="B16" s="48" t="str">
        <v>MA</v>
      </c>
      <c r="C16" s="37">
        <v>130021</v>
      </c>
      <c r="D16" s="37">
        <v>227416.1</v>
      </c>
      <c r="E16" s="37">
        <f t="shared" ref="E16:E24" si="6">IF(AND(ISNUMBER(C16),ISNUMBER(D16)), C16-D16, "")</f>
        <v>-97395.1</v>
      </c>
      <c r="F16" s="40">
        <f t="shared" si="1"/>
        <v>-0.42826827124376859</v>
      </c>
      <c r="G16" s="39">
        <v>219053.9</v>
      </c>
      <c r="H16" s="39">
        <f t="shared" ref="H16:H17" si="7">IF(AND(ISNUMBER(C16),ISNUMBER(G16)), C16-G16, "")</f>
        <v>-89032.9</v>
      </c>
      <c r="I16" s="40">
        <f t="shared" si="5"/>
        <v>-0.40644288917019966</v>
      </c>
      <c r="J16" s="66" t="s">
        <v>44</v>
      </c>
      <c r="K16" s="80" t="s">
        <v>45</v>
      </c>
    </row>
    <row r="17" spans="1:11" ht="15.6">
      <c r="A17" s="53" t="str">
        <v>JH</v>
      </c>
      <c r="B17" s="49" t="str">
        <v>MA</v>
      </c>
      <c r="C17" s="44">
        <v>61371</v>
      </c>
      <c r="D17" s="44">
        <v>130704.5</v>
      </c>
      <c r="E17" s="44">
        <f t="shared" si="0"/>
        <v>-69333.5</v>
      </c>
      <c r="F17" s="45">
        <f t="shared" si="1"/>
        <v>-0.53045993060682683</v>
      </c>
      <c r="G17" s="46">
        <v>105686.5</v>
      </c>
      <c r="H17" s="46">
        <f t="shared" si="7"/>
        <v>-44315.5</v>
      </c>
      <c r="I17" s="45">
        <f t="shared" si="5"/>
        <v>-0.41931088644245007</v>
      </c>
      <c r="J17" s="58" t="s">
        <v>29</v>
      </c>
      <c r="K17" s="58"/>
    </row>
    <row r="18" spans="1:11" ht="15.6">
      <c r="A18" s="54" t="str">
        <v>Ledeaux</v>
      </c>
      <c r="B18" s="51" t="str">
        <v>MA</v>
      </c>
      <c r="C18" s="37">
        <v>55084</v>
      </c>
      <c r="D18" s="37">
        <v>97988.62</v>
      </c>
      <c r="E18" s="37">
        <f t="shared" si="6"/>
        <v>-42904.619999999995</v>
      </c>
      <c r="F18" s="40">
        <f t="shared" si="1"/>
        <v>-0.43785308947100182</v>
      </c>
      <c r="G18" s="39">
        <v>98275.13</v>
      </c>
      <c r="H18" s="39">
        <f t="shared" ref="H18:H24" si="8">IF(AND(ISNUMBER(C18),ISNUMBER(G18)), C18-G18, "")</f>
        <v>-43191.130000000005</v>
      </c>
      <c r="I18" s="40">
        <f t="shared" si="5"/>
        <v>-0.43949196505769061</v>
      </c>
      <c r="J18" s="57" t="s">
        <v>29</v>
      </c>
      <c r="K18" s="57"/>
    </row>
    <row r="19" spans="1:11" ht="15.6">
      <c r="A19" s="53" t="str">
        <v>Palombo A</v>
      </c>
      <c r="B19" s="49" t="str">
        <v>MA</v>
      </c>
      <c r="C19" s="44">
        <v>160890.996677741</v>
      </c>
      <c r="D19" s="44">
        <v>285170.7</v>
      </c>
      <c r="E19" s="44">
        <f t="shared" si="6"/>
        <v>-124279.70332225901</v>
      </c>
      <c r="F19" s="45">
        <f t="shared" si="1"/>
        <v>-0.43580810834443723</v>
      </c>
      <c r="G19" s="46">
        <v>250093</v>
      </c>
      <c r="H19" s="46">
        <f t="shared" si="8"/>
        <v>-89202.003322258999</v>
      </c>
      <c r="I19" s="45">
        <f t="shared" si="5"/>
        <v>-0.35667533006625135</v>
      </c>
      <c r="J19" s="58" t="s">
        <v>29</v>
      </c>
      <c r="K19" s="58"/>
    </row>
    <row r="20" spans="1:11" ht="15.6">
      <c r="A20" s="54" t="str">
        <v>Palombo B</v>
      </c>
      <c r="B20" s="51" t="str">
        <v>MA</v>
      </c>
      <c r="C20" s="37">
        <v>65753</v>
      </c>
      <c r="D20" s="37">
        <v>144714.1</v>
      </c>
      <c r="E20" s="37">
        <f t="shared" si="6"/>
        <v>-78961.100000000006</v>
      </c>
      <c r="F20" s="40">
        <f t="shared" si="1"/>
        <v>-0.54563515234521032</v>
      </c>
      <c r="G20" s="39">
        <v>71408.820000000007</v>
      </c>
      <c r="H20" s="39">
        <f t="shared" si="8"/>
        <v>-5655.820000000007</v>
      </c>
      <c r="I20" s="40">
        <f t="shared" si="5"/>
        <v>-7.9203381319002425E-2</v>
      </c>
      <c r="J20" s="57" t="s">
        <v>29</v>
      </c>
      <c r="K20" s="57"/>
    </row>
    <row r="21" spans="1:11" ht="15.6">
      <c r="A21" s="53" t="str">
        <v>St Josephs Church</v>
      </c>
      <c r="B21" s="49" t="str">
        <v>MA</v>
      </c>
      <c r="C21" s="44">
        <v>69927</v>
      </c>
      <c r="D21" s="44">
        <v>146021.70000000001</v>
      </c>
      <c r="E21" s="44">
        <f t="shared" si="6"/>
        <v>-76094.700000000012</v>
      </c>
      <c r="F21" s="45">
        <f t="shared" si="1"/>
        <v>-0.52111912133607541</v>
      </c>
      <c r="G21" s="46">
        <v>91072.42</v>
      </c>
      <c r="H21" s="46">
        <f t="shared" si="8"/>
        <v>-21145.42</v>
      </c>
      <c r="I21" s="45">
        <f t="shared" si="5"/>
        <v>-0.23218247631939504</v>
      </c>
      <c r="J21" s="58" t="s">
        <v>29</v>
      </c>
      <c r="K21" s="58"/>
    </row>
    <row r="22" spans="1:11" ht="15.6">
      <c r="A22" s="54" t="str">
        <v>Sunset A</v>
      </c>
      <c r="B22" s="51" t="str">
        <v>MA</v>
      </c>
      <c r="C22" s="37">
        <v>27107</v>
      </c>
      <c r="D22" s="37">
        <v>67386.600000000006</v>
      </c>
      <c r="E22" s="37">
        <f t="shared" si="6"/>
        <v>-40279.600000000006</v>
      </c>
      <c r="F22" s="40">
        <f t="shared" si="1"/>
        <v>-0.59773901636230353</v>
      </c>
      <c r="G22" s="39">
        <v>32533.05</v>
      </c>
      <c r="H22" s="39">
        <f t="shared" si="8"/>
        <v>-5426.0499999999993</v>
      </c>
      <c r="I22" s="40">
        <f t="shared" si="5"/>
        <v>-0.16678577631055186</v>
      </c>
      <c r="J22" s="57" t="s">
        <v>29</v>
      </c>
      <c r="K22" s="57"/>
    </row>
    <row r="23" spans="1:11" ht="15.6">
      <c r="A23" s="53" t="str">
        <v>Sunset B</v>
      </c>
      <c r="B23" s="49" t="str">
        <v>MA</v>
      </c>
      <c r="C23" s="44">
        <v>26946.25</v>
      </c>
      <c r="D23" s="44">
        <v>49373.03</v>
      </c>
      <c r="E23" s="44">
        <f t="shared" si="6"/>
        <v>-22426.78</v>
      </c>
      <c r="F23" s="45">
        <f t="shared" si="1"/>
        <v>-0.45423138908023264</v>
      </c>
      <c r="G23" s="46">
        <v>32145.45</v>
      </c>
      <c r="H23" s="46">
        <f t="shared" si="8"/>
        <v>-5199.2000000000007</v>
      </c>
      <c r="I23" s="45">
        <f t="shared" si="5"/>
        <v>-0.16173984187497767</v>
      </c>
      <c r="J23" s="58" t="s">
        <v>29</v>
      </c>
      <c r="K23" s="58"/>
    </row>
    <row r="24" spans="1:11" ht="15.6">
      <c r="A24" s="54" t="str">
        <v>Woodchuck</v>
      </c>
      <c r="B24" s="51" t="str">
        <v>MA</v>
      </c>
      <c r="C24" s="37">
        <v>61310</v>
      </c>
      <c r="D24" s="37">
        <v>111494.1</v>
      </c>
      <c r="E24" s="37">
        <f t="shared" si="6"/>
        <v>-50184.100000000006</v>
      </c>
      <c r="F24" s="40">
        <f t="shared" si="1"/>
        <v>-0.45010543158785982</v>
      </c>
      <c r="G24" s="39">
        <v>95616.23</v>
      </c>
      <c r="H24" s="39">
        <f t="shared" si="8"/>
        <v>-34306.229999999996</v>
      </c>
      <c r="I24" s="40">
        <f t="shared" si="5"/>
        <v>-0.35879086636233198</v>
      </c>
      <c r="J24" s="57" t="s">
        <v>29</v>
      </c>
      <c r="K24" s="57"/>
    </row>
    <row r="25" spans="1:11" ht="14.45">
      <c r="A25" s="13" t="str">
        <v>NY: Skaneateles - Spafford 1 - (PW)</v>
      </c>
      <c r="B25" s="18" t="str">
        <v>NY</v>
      </c>
      <c r="C25" s="21"/>
      <c r="D25" s="13"/>
      <c r="E25" s="13"/>
      <c r="F25" s="13"/>
      <c r="G25" s="13"/>
      <c r="H25" s="13"/>
      <c r="I25" s="13"/>
      <c r="J25" s="22"/>
      <c r="K25" s="13"/>
    </row>
    <row r="26" spans="1:11" ht="14.45">
      <c r="A26" s="13" t="str">
        <v>NY: Skaneateles - Spafford 2 - (PW)</v>
      </c>
      <c r="B26" s="18" t="str">
        <v>NY</v>
      </c>
      <c r="C26" s="13"/>
      <c r="D26" s="13"/>
      <c r="E26" s="13"/>
      <c r="F26" s="13"/>
      <c r="G26" s="13"/>
      <c r="H26" s="13"/>
      <c r="I26" s="13"/>
      <c r="J26" s="20"/>
      <c r="K26" s="13"/>
    </row>
    <row r="27" spans="1:11" ht="14.45">
      <c r="A27" s="13" t="str">
        <v>NY: New Hartford - 4001 NY-12 (IRA)</v>
      </c>
      <c r="B27" s="18" t="str">
        <v>NY</v>
      </c>
      <c r="C27" s="13"/>
      <c r="D27" s="13"/>
      <c r="E27" s="13"/>
      <c r="F27" s="13"/>
      <c r="G27" s="13"/>
      <c r="H27" s="13"/>
      <c r="I27" s="13"/>
      <c r="J27" s="13"/>
      <c r="K27" s="13"/>
    </row>
    <row r="28" spans="1:11" ht="14.45">
      <c r="A28" s="13"/>
      <c r="B28" s="18"/>
      <c r="C28" s="13"/>
      <c r="D28" s="13"/>
      <c r="E28" s="13"/>
      <c r="F28" s="13"/>
      <c r="G28" s="13"/>
      <c r="H28" s="13"/>
      <c r="I28" s="13"/>
      <c r="J28" s="13"/>
      <c r="K28" s="13"/>
    </row>
    <row r="29" spans="1:11" ht="14.45">
      <c r="A29" s="13"/>
      <c r="B29" s="18"/>
      <c r="C29" s="13"/>
      <c r="D29" s="13"/>
      <c r="E29" s="13"/>
      <c r="F29" s="13"/>
      <c r="G29" s="13"/>
      <c r="H29" s="13"/>
      <c r="I29" s="13"/>
      <c r="J29" s="13"/>
      <c r="K29" s="13"/>
    </row>
    <row r="30" spans="1:11" ht="14.45">
      <c r="A30" s="13"/>
      <c r="B30" s="18"/>
      <c r="C30" s="13"/>
      <c r="D30" s="13"/>
      <c r="E30" s="13"/>
      <c r="F30" s="13"/>
      <c r="G30" s="13"/>
      <c r="H30" s="13"/>
      <c r="I30" s="13"/>
      <c r="J30" s="13"/>
      <c r="K30" s="13"/>
    </row>
    <row r="31" spans="1:11" ht="14.45">
      <c r="A31" s="13"/>
      <c r="B31" s="18"/>
      <c r="C31" s="13"/>
      <c r="D31" s="13"/>
      <c r="E31" s="13"/>
      <c r="F31" s="14"/>
      <c r="G31" s="13"/>
      <c r="H31" s="13"/>
      <c r="I31" s="14"/>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sheetData>
  <mergeCells count="4">
    <mergeCell ref="D1:F1"/>
    <mergeCell ref="A1:C1"/>
    <mergeCell ref="G1:I1"/>
    <mergeCell ref="A2:B2"/>
  </mergeCells>
  <conditionalFormatting sqref="F2 I2 I4:I98">
    <cfRule type="cellIs" dxfId="28" priority="6" stopIfTrue="1" operator="lessThanOrEqual">
      <formula>-0.1</formula>
    </cfRule>
    <cfRule type="expression" dxfId="27" priority="7">
      <formula>AND(ISNUMBER(F2), F2&gt;=0.1)</formula>
    </cfRule>
  </conditionalFormatting>
  <conditionalFormatting sqref="F4:F98">
    <cfRule type="cellIs" dxfId="26" priority="1" stopIfTrue="1" operator="lessThanOrEqual">
      <formula>-0.1</formula>
    </cfRule>
    <cfRule type="expression" dxfId="25" priority="2">
      <formula>AND(ISNUMBER(F4), F4&gt;=0.1)</formula>
    </cfRule>
  </conditionalFormatting>
  <hyperlinks>
    <hyperlink ref="K4" r:id="rId1" display="https://us3.assetplanner.com/service_request?ID=095378" xr:uid="{43AD1C65-EB2C-4C7E-9249-950E8B7142ED}"/>
    <hyperlink ref="K5" r:id="rId2" display="https://us3.assetplanner.com/service_request?ID=095405" xr:uid="{51302829-C319-4062-9CE8-2D4EAA373FA7}"/>
    <hyperlink ref="K6" r:id="rId3" display="https://us3.assetplanner.com/service_request?ID=095329" xr:uid="{899A955E-5DD1-4C12-9563-206C23772347}"/>
    <hyperlink ref="L6" r:id="rId4" display="https://us3.assetplanner.com/service_request?ID=096129" xr:uid="{6BE29F3D-B3A5-4480-8E14-F97270F1279F}"/>
    <hyperlink ref="K9" r:id="rId5" display="https://us3.assetplanner.com/service_request?ID=095966" xr:uid="{EE37A5CA-A8A4-46BD-A273-917BFE98B602}"/>
    <hyperlink ref="K11" r:id="rId6" display="https://us3.assetplanner.com/service_request?ID=095306" xr:uid="{2B5C4398-D5D1-4455-92C9-F4292E1D7C36}"/>
    <hyperlink ref="L11" r:id="rId7" display="https://us3.assetplanner.com/service_request?ID=095988" xr:uid="{F1540334-6D2F-48ED-B2AE-6811330D605F}"/>
    <hyperlink ref="K12" r:id="rId8" display="https://us3.assetplanner.com/service_request?ID=095426" xr:uid="{87174EDF-BFDC-4FDB-B718-42013D4CF3A0}"/>
    <hyperlink ref="K13" r:id="rId9" display="https://us3.assetplanner.com/service_request?ID=095387" xr:uid="{40A78E8B-664A-47CA-B6E3-3A9AEB77F536}"/>
    <hyperlink ref="L13" r:id="rId10" display="https://us3.assetplanner.com/service_request?ID=095983" xr:uid="{28BF1442-08EE-42A2-A190-CA16704B207C}"/>
    <hyperlink ref="K14" r:id="rId11" display="https://us3.assetplanner.com/service_request?ID=095427" xr:uid="{A0AD1E88-637A-47E7-9B22-057219AB6C2E}"/>
    <hyperlink ref="K15" r:id="rId12" display="https://us3.assetplanner.com/service_request?ID=092409" xr:uid="{D4B8005F-5311-4DCA-872F-5BDBC9FBE19E}"/>
    <hyperlink ref="K16" r:id="rId13" display="https://us3.assetplanner.com/service_request?ID=095216" xr:uid="{01079E08-FC8E-470D-8E4F-5373DA73711C}"/>
  </hyperlinks>
  <pageMargins left="0.4" right="0.7" top="0.25" bottom="0.25" header="0.3" footer="0.3"/>
  <pageSetup fitToHeight="99" orientation="landscape" r:id="rId1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L341"/>
  <sheetViews>
    <sheetView zoomScaleNormal="100" workbookViewId="0">
      <pane xSplit="2" ySplit="3" topLeftCell="C6" activePane="bottomRight" state="frozen"/>
      <selection pane="bottomRight" activeCell="I21" sqref="I21"/>
      <selection pane="bottomLeft" activeCell="J14" sqref="J14"/>
      <selection pane="topRight" activeCell="J14" sqref="J14"/>
    </sheetView>
  </sheetViews>
  <sheetFormatPr defaultRowHeight="14.45"/>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style="64" customWidth="1"/>
    <col min="11" max="11" width="20.5703125" style="64" bestFit="1" customWidth="1"/>
  </cols>
  <sheetData>
    <row r="1" spans="1:12" ht="19.5" customHeight="1">
      <c r="A1" s="115" t="str" cm="1">
        <f t="array" ref="A1">portfolio</f>
        <v>38 DN</v>
      </c>
      <c r="B1" s="115"/>
      <c r="C1" s="115"/>
      <c r="D1" s="116" t="s">
        <v>46</v>
      </c>
      <c r="E1" s="116"/>
      <c r="F1" s="116"/>
      <c r="G1" s="114" t="s">
        <v>47</v>
      </c>
      <c r="H1" s="114"/>
      <c r="I1" s="114"/>
      <c r="J1" s="60"/>
      <c r="K1" s="60"/>
    </row>
    <row r="2" spans="1:12" ht="19.5" customHeight="1">
      <c r="A2" s="117" t="s">
        <v>2</v>
      </c>
      <c r="B2" s="117"/>
      <c r="C2" s="5">
        <f>SUM(C4:C99)</f>
        <v>1480981.75</v>
      </c>
      <c r="D2" s="5">
        <f>SUM(D4:D99)</f>
        <v>3093806.68</v>
      </c>
      <c r="E2" s="5">
        <f>C2-D2</f>
        <v>-1612824.9300000002</v>
      </c>
      <c r="F2" s="6">
        <f>IFERROR(E2/D2, 0)</f>
        <v>-0.52130759831444928</v>
      </c>
      <c r="G2" s="5">
        <f>SUM(G4:G99)</f>
        <v>2901680.55</v>
      </c>
      <c r="H2" s="7">
        <f>C2-G2</f>
        <v>-1420698.7999999998</v>
      </c>
      <c r="I2" s="6">
        <f>IFERROR(H2/G2, 0)</f>
        <v>-0.48961240754086449</v>
      </c>
      <c r="J2" s="61"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60"/>
    </row>
    <row r="3" spans="1:12" ht="14.25" customHeight="1">
      <c r="A3" s="17" t="s">
        <v>3</v>
      </c>
      <c r="B3" s="17" t="s">
        <v>4</v>
      </c>
      <c r="C3" s="27" t="s">
        <v>5</v>
      </c>
      <c r="D3" s="28" t="s">
        <v>6</v>
      </c>
      <c r="E3" s="28" t="s">
        <v>7</v>
      </c>
      <c r="F3" s="29" t="s">
        <v>8</v>
      </c>
      <c r="G3" s="30" t="s">
        <v>9</v>
      </c>
      <c r="H3" s="31" t="s">
        <v>7</v>
      </c>
      <c r="I3" s="32" t="s">
        <v>8</v>
      </c>
      <c r="J3" s="78" t="s">
        <v>20</v>
      </c>
      <c r="K3" s="62" t="s">
        <v>21</v>
      </c>
    </row>
    <row r="4" spans="1:12" ht="100.9">
      <c r="A4" s="52" t="str" cm="1">
        <f t="array" ref="A4:A27">Sites[Site]</f>
        <v>6th St.</v>
      </c>
      <c r="B4" s="48" t="str" cm="1">
        <f t="array" ref="B4:B27">Sites[State]</f>
        <v>CA</v>
      </c>
      <c r="C4" s="36">
        <v>140097</v>
      </c>
      <c r="D4" s="37">
        <v>83888.82</v>
      </c>
      <c r="E4" s="37">
        <f>IF(AND(ISNUMBER(C4),ISNUMBER(D4)), C4-D4, "")</f>
        <v>56208.179999999993</v>
      </c>
      <c r="F4" s="38">
        <f>IFERROR(E4/D4, "")</f>
        <v>0.67003183499302987</v>
      </c>
      <c r="G4" s="39">
        <v>146883.4</v>
      </c>
      <c r="H4" s="39">
        <f>IF(AND(ISNUMBER(C4),ISNUMBER(G4)), C4-G4, "")</f>
        <v>-6786.3999999999942</v>
      </c>
      <c r="I4" s="40">
        <f>IFERROR(H4/G4, "")</f>
        <v>-4.6202634198282411E-2</v>
      </c>
      <c r="J4" s="63" t="s">
        <v>48</v>
      </c>
      <c r="K4" s="80" t="s">
        <v>49</v>
      </c>
      <c r="L4" s="84" t="s">
        <v>50</v>
      </c>
    </row>
    <row r="5" spans="1:12" ht="28.9">
      <c r="A5" s="53" t="str">
        <v>Barton Acres</v>
      </c>
      <c r="B5" s="50" t="str">
        <v>MA</v>
      </c>
      <c r="C5" s="43">
        <v>24856</v>
      </c>
      <c r="D5" s="44">
        <v>131629.6</v>
      </c>
      <c r="E5" s="44">
        <f t="shared" ref="E5:E17" si="0">IF(AND(ISNUMBER(C5),ISNUMBER(D5)), C5-D5, "")</f>
        <v>-106773.6</v>
      </c>
      <c r="F5" s="45">
        <f>IFERROR(E5/D5, "")</f>
        <v>-0.81116709311583413</v>
      </c>
      <c r="G5" s="46">
        <v>97688.41</v>
      </c>
      <c r="H5" s="46">
        <f t="shared" ref="H5:H15" si="1">IF(AND(ISNUMBER(C5),ISNUMBER(G5)), C5-G5, "")</f>
        <v>-72832.41</v>
      </c>
      <c r="I5" s="45">
        <f t="shared" ref="I5:I23" si="2">IFERROR(H5/G5, "")</f>
        <v>-0.74555835231630851</v>
      </c>
      <c r="J5" s="65" t="s">
        <v>51</v>
      </c>
      <c r="K5" s="65"/>
    </row>
    <row r="6" spans="1:12" ht="57.6">
      <c r="A6" s="54" t="str">
        <v>Bowden</v>
      </c>
      <c r="B6" s="48" t="str">
        <v>MA</v>
      </c>
      <c r="C6" s="36">
        <v>98772</v>
      </c>
      <c r="D6" s="37">
        <v>222831.5</v>
      </c>
      <c r="E6" s="37">
        <f t="shared" si="0"/>
        <v>-124059.5</v>
      </c>
      <c r="F6" s="38">
        <f t="shared" ref="F6:F15" si="3">IFERROR(E6/D6, "")</f>
        <v>-0.5567413045283095</v>
      </c>
      <c r="G6" s="39">
        <v>215787.2</v>
      </c>
      <c r="H6" s="39">
        <f t="shared" si="1"/>
        <v>-117015.20000000001</v>
      </c>
      <c r="I6" s="40">
        <f t="shared" si="2"/>
        <v>-0.5422712746631867</v>
      </c>
      <c r="J6" s="63" t="s">
        <v>52</v>
      </c>
      <c r="K6" s="80" t="s">
        <v>53</v>
      </c>
    </row>
    <row r="7" spans="1:12" ht="41.25" customHeight="1">
      <c r="A7" s="53" t="str">
        <v>Blair Wire Village</v>
      </c>
      <c r="B7" s="50" t="str">
        <v>MA</v>
      </c>
      <c r="C7" s="43">
        <v>38463</v>
      </c>
      <c r="D7" s="44">
        <v>142760</v>
      </c>
      <c r="E7" s="44">
        <f t="shared" si="0"/>
        <v>-104297</v>
      </c>
      <c r="F7" s="45">
        <f t="shared" si="3"/>
        <v>-0.73057579153824603</v>
      </c>
      <c r="G7" s="46">
        <v>107644.1</v>
      </c>
      <c r="H7" s="46">
        <f t="shared" si="1"/>
        <v>-69181.100000000006</v>
      </c>
      <c r="I7" s="45">
        <f t="shared" si="2"/>
        <v>-0.64268362130390799</v>
      </c>
      <c r="J7" s="65" t="s">
        <v>54</v>
      </c>
      <c r="K7" s="82" t="s">
        <v>55</v>
      </c>
    </row>
    <row r="8" spans="1:12" ht="28.9">
      <c r="A8" s="54" t="str">
        <v>Boutilier</v>
      </c>
      <c r="B8" s="48" t="str">
        <v>MA</v>
      </c>
      <c r="C8" s="36">
        <v>99725</v>
      </c>
      <c r="D8" s="37">
        <v>329455.90000000002</v>
      </c>
      <c r="E8" s="37">
        <f t="shared" si="0"/>
        <v>-229730.90000000002</v>
      </c>
      <c r="F8" s="38">
        <f t="shared" si="3"/>
        <v>-0.69730394872272738</v>
      </c>
      <c r="G8" s="39">
        <v>268167.8</v>
      </c>
      <c r="H8" s="39">
        <f t="shared" si="1"/>
        <v>-168442.8</v>
      </c>
      <c r="I8" s="40">
        <f t="shared" si="2"/>
        <v>-0.62812462942978242</v>
      </c>
      <c r="J8" s="63" t="s">
        <v>56</v>
      </c>
      <c r="K8" s="63"/>
    </row>
    <row r="9" spans="1:12" ht="28.9">
      <c r="A9" s="53" t="str">
        <v>Cherry Valley</v>
      </c>
      <c r="B9" s="50" t="str">
        <v>MA</v>
      </c>
      <c r="C9" s="43">
        <v>39146</v>
      </c>
      <c r="D9" s="44">
        <v>139696.5</v>
      </c>
      <c r="E9" s="44">
        <f t="shared" si="0"/>
        <v>-100550.5</v>
      </c>
      <c r="F9" s="45">
        <f t="shared" si="3"/>
        <v>-0.71977823352768322</v>
      </c>
      <c r="G9" s="46">
        <v>104227</v>
      </c>
      <c r="H9" s="46">
        <f t="shared" si="1"/>
        <v>-65081</v>
      </c>
      <c r="I9" s="45">
        <f t="shared" si="2"/>
        <v>-0.62441593828854325</v>
      </c>
      <c r="J9" s="65" t="s">
        <v>57</v>
      </c>
      <c r="K9" s="82" t="s">
        <v>58</v>
      </c>
    </row>
    <row r="10" spans="1:12" ht="28.9">
      <c r="A10" s="54" t="str">
        <v>Cohasse</v>
      </c>
      <c r="B10" s="48" t="str">
        <v>MA</v>
      </c>
      <c r="C10" s="36">
        <v>45443</v>
      </c>
      <c r="D10" s="37">
        <v>128875.9</v>
      </c>
      <c r="E10" s="37">
        <f t="shared" si="0"/>
        <v>-83432.899999999994</v>
      </c>
      <c r="F10" s="38">
        <f t="shared" si="3"/>
        <v>-0.64738946536939801</v>
      </c>
      <c r="G10" s="39">
        <v>135078.29999999999</v>
      </c>
      <c r="H10" s="39">
        <f t="shared" si="1"/>
        <v>-89635.299999999988</v>
      </c>
      <c r="I10" s="40">
        <f t="shared" si="2"/>
        <v>-0.66358030860619355</v>
      </c>
      <c r="J10" s="63" t="s">
        <v>59</v>
      </c>
      <c r="K10" s="80" t="s">
        <v>60</v>
      </c>
    </row>
    <row r="11" spans="1:12" ht="28.9">
      <c r="A11" s="53" t="str">
        <v>ISM Dighton Solar 2</v>
      </c>
      <c r="B11" s="50" t="str">
        <v>MA</v>
      </c>
      <c r="C11" s="43">
        <v>233433</v>
      </c>
      <c r="D11" s="44">
        <v>259693.3</v>
      </c>
      <c r="E11" s="44">
        <f t="shared" si="0"/>
        <v>-26260.299999999988</v>
      </c>
      <c r="F11" s="45">
        <f t="shared" si="3"/>
        <v>-0.10112043706941992</v>
      </c>
      <c r="G11" s="46">
        <v>225679.4</v>
      </c>
      <c r="H11" s="46">
        <f t="shared" si="1"/>
        <v>7753.6000000000058</v>
      </c>
      <c r="I11" s="45">
        <f t="shared" si="2"/>
        <v>3.4356702472622694E-2</v>
      </c>
      <c r="J11" s="65" t="s">
        <v>61</v>
      </c>
      <c r="K11" s="82" t="s">
        <v>62</v>
      </c>
    </row>
    <row r="12" spans="1:12" ht="28.9">
      <c r="A12" s="54" t="str">
        <v>Dudley River 1</v>
      </c>
      <c r="B12" s="48" t="str">
        <v>MA</v>
      </c>
      <c r="C12" s="36">
        <v>61369</v>
      </c>
      <c r="D12" s="37">
        <v>112575.9</v>
      </c>
      <c r="E12" s="37">
        <f t="shared" si="0"/>
        <v>-51206.899999999994</v>
      </c>
      <c r="F12" s="38">
        <f t="shared" si="3"/>
        <v>-0.45486556181207521</v>
      </c>
      <c r="G12" s="39">
        <v>109352.8</v>
      </c>
      <c r="H12" s="39">
        <f t="shared" si="1"/>
        <v>-47983.8</v>
      </c>
      <c r="I12" s="40">
        <f t="shared" si="2"/>
        <v>-0.4387980920470258</v>
      </c>
      <c r="J12" s="63" t="s">
        <v>63</v>
      </c>
      <c r="K12" s="63"/>
    </row>
    <row r="13" spans="1:12" ht="28.9">
      <c r="A13" s="53" t="str">
        <v>Dudley River 2</v>
      </c>
      <c r="B13" s="50" t="str">
        <v>MA</v>
      </c>
      <c r="C13" s="43">
        <v>62968</v>
      </c>
      <c r="D13" s="44">
        <v>114772</v>
      </c>
      <c r="E13" s="44">
        <f t="shared" si="0"/>
        <v>-51804</v>
      </c>
      <c r="F13" s="45">
        <f t="shared" si="3"/>
        <v>-0.45136444428954797</v>
      </c>
      <c r="G13" s="46">
        <v>104036.4</v>
      </c>
      <c r="H13" s="46">
        <f t="shared" si="1"/>
        <v>-41068.399999999994</v>
      </c>
      <c r="I13" s="45">
        <f t="shared" si="2"/>
        <v>-0.39475029893383468</v>
      </c>
      <c r="J13" s="65" t="s">
        <v>56</v>
      </c>
      <c r="K13" s="65"/>
    </row>
    <row r="14" spans="1:12" ht="28.9">
      <c r="A14" s="54" t="str">
        <v>Dudley River 3</v>
      </c>
      <c r="B14" s="48" t="str">
        <v>MA</v>
      </c>
      <c r="C14" s="36">
        <v>64188</v>
      </c>
      <c r="D14" s="37">
        <v>116653.8</v>
      </c>
      <c r="E14" s="37">
        <f t="shared" si="0"/>
        <v>-52465.8</v>
      </c>
      <c r="F14" s="38">
        <f t="shared" si="3"/>
        <v>-0.44975645885517662</v>
      </c>
      <c r="G14" s="39">
        <v>105482.7</v>
      </c>
      <c r="H14" s="39">
        <f t="shared" si="1"/>
        <v>-41294.699999999997</v>
      </c>
      <c r="I14" s="40">
        <f t="shared" si="2"/>
        <v>-0.39148315316160848</v>
      </c>
      <c r="J14" s="63" t="s">
        <v>64</v>
      </c>
      <c r="K14" s="63"/>
    </row>
    <row r="15" spans="1:12" ht="28.9">
      <c r="A15" s="53" t="str">
        <v>Flint Pond</v>
      </c>
      <c r="B15" s="50" t="str">
        <v>MA</v>
      </c>
      <c r="C15" s="43">
        <v>29507.5</v>
      </c>
      <c r="D15" s="44">
        <v>62544.76</v>
      </c>
      <c r="E15" s="44">
        <f t="shared" si="0"/>
        <v>-33037.26</v>
      </c>
      <c r="F15" s="45">
        <f t="shared" si="3"/>
        <v>-0.52821787148915433</v>
      </c>
      <c r="G15" s="46">
        <v>47235.91</v>
      </c>
      <c r="H15" s="46">
        <f t="shared" si="1"/>
        <v>-17728.410000000003</v>
      </c>
      <c r="I15" s="45">
        <f t="shared" si="2"/>
        <v>-0.37531636418140357</v>
      </c>
      <c r="J15" s="65" t="s">
        <v>65</v>
      </c>
      <c r="K15" s="82" t="s">
        <v>66</v>
      </c>
    </row>
    <row r="16" spans="1:12" ht="28.9">
      <c r="A16" s="54" t="str">
        <v>Incom</v>
      </c>
      <c r="B16" s="48" t="str">
        <v>MA</v>
      </c>
      <c r="C16" s="36">
        <v>131063</v>
      </c>
      <c r="D16" s="37">
        <v>271075.59999999998</v>
      </c>
      <c r="E16" s="37">
        <f t="shared" ref="E16:E24" si="4">IF(AND(ISNUMBER(C16),ISNUMBER(D16)), C16-D16, "")</f>
        <v>-140012.59999999998</v>
      </c>
      <c r="F16" s="38">
        <f t="shared" ref="F16:F24" si="5">IFERROR(E16/D16, "")</f>
        <v>-0.51650757205738906</v>
      </c>
      <c r="G16" s="39">
        <v>262450.7</v>
      </c>
      <c r="H16" s="39">
        <f t="shared" ref="H16:H24" si="6">IF(AND(ISNUMBER(C16),ISNUMBER(G16)), C16-G16, "")</f>
        <v>-131387.70000000001</v>
      </c>
      <c r="I16" s="40">
        <f t="shared" ref="I16:I24" si="7">IFERROR(H16/G16, "")</f>
        <v>-0.50061859236801431</v>
      </c>
      <c r="J16" s="63" t="s">
        <v>67</v>
      </c>
      <c r="K16" s="63"/>
    </row>
    <row r="17" spans="1:12" ht="72">
      <c r="A17" s="53" t="str">
        <v>JH</v>
      </c>
      <c r="B17" s="50" t="str">
        <v>MA</v>
      </c>
      <c r="C17" s="43">
        <v>36137</v>
      </c>
      <c r="D17" s="44">
        <v>123566.6</v>
      </c>
      <c r="E17" s="44">
        <f t="shared" si="0"/>
        <v>-87429.6</v>
      </c>
      <c r="F17" s="45">
        <f t="shared" si="5"/>
        <v>-0.70755042220146869</v>
      </c>
      <c r="G17" s="46">
        <v>128903.6</v>
      </c>
      <c r="H17" s="46">
        <f t="shared" si="6"/>
        <v>-92766.6</v>
      </c>
      <c r="I17" s="45">
        <f t="shared" si="2"/>
        <v>-0.71965872171141843</v>
      </c>
      <c r="J17" s="65" t="s">
        <v>68</v>
      </c>
      <c r="K17" s="82" t="s">
        <v>69</v>
      </c>
      <c r="L17" s="84" t="s">
        <v>70</v>
      </c>
    </row>
    <row r="18" spans="1:12" ht="98.1" customHeight="1">
      <c r="A18" s="52" t="str">
        <v>Ledeaux</v>
      </c>
      <c r="B18" s="48" t="str">
        <v>MA</v>
      </c>
      <c r="C18" s="36">
        <v>21586</v>
      </c>
      <c r="D18" s="37">
        <v>77598.960000000006</v>
      </c>
      <c r="E18" s="37">
        <f t="shared" si="4"/>
        <v>-56012.960000000006</v>
      </c>
      <c r="F18" s="38">
        <f t="shared" si="5"/>
        <v>-0.72182616880432415</v>
      </c>
      <c r="G18" s="39">
        <v>121085.5</v>
      </c>
      <c r="H18" s="39">
        <f t="shared" si="6"/>
        <v>-99499.5</v>
      </c>
      <c r="I18" s="40">
        <f t="shared" si="7"/>
        <v>-0.82172927394279249</v>
      </c>
      <c r="J18" s="63" t="s">
        <v>71</v>
      </c>
      <c r="K18" s="80" t="s">
        <v>72</v>
      </c>
      <c r="L18" s="84" t="s">
        <v>73</v>
      </c>
    </row>
    <row r="19" spans="1:12" ht="28.9">
      <c r="A19" s="53" t="str">
        <v>Palombo A</v>
      </c>
      <c r="B19" s="50" t="str">
        <v>MA</v>
      </c>
      <c r="C19" s="43">
        <v>170055</v>
      </c>
      <c r="D19" s="44">
        <v>276728</v>
      </c>
      <c r="E19" s="44">
        <f t="shared" si="4"/>
        <v>-106673</v>
      </c>
      <c r="F19" s="45">
        <f t="shared" si="5"/>
        <v>-0.38547960452140728</v>
      </c>
      <c r="G19" s="46">
        <v>292221</v>
      </c>
      <c r="H19" s="46">
        <f t="shared" si="6"/>
        <v>-122166</v>
      </c>
      <c r="I19" s="45">
        <f t="shared" si="2"/>
        <v>-0.41806030367427394</v>
      </c>
      <c r="J19" s="65" t="s">
        <v>74</v>
      </c>
      <c r="K19" s="65"/>
    </row>
    <row r="20" spans="1:12" ht="28.9">
      <c r="A20" s="54" t="str">
        <v>Palombo B</v>
      </c>
      <c r="B20" s="48" t="str">
        <v>MA</v>
      </c>
      <c r="C20" s="36">
        <v>76780</v>
      </c>
      <c r="D20" s="37">
        <v>129139.3</v>
      </c>
      <c r="E20" s="37">
        <f t="shared" si="4"/>
        <v>-52359.3</v>
      </c>
      <c r="F20" s="38">
        <f t="shared" si="5"/>
        <v>-0.40544822528850633</v>
      </c>
      <c r="G20" s="39">
        <v>101396.5</v>
      </c>
      <c r="H20" s="39">
        <f t="shared" si="6"/>
        <v>-24616.5</v>
      </c>
      <c r="I20" s="40">
        <f t="shared" si="7"/>
        <v>-0.24277465198502907</v>
      </c>
      <c r="J20" s="63" t="s">
        <v>64</v>
      </c>
      <c r="K20" s="63"/>
    </row>
    <row r="21" spans="1:12" ht="28.9">
      <c r="A21" s="53" t="str">
        <v>St Josephs Church</v>
      </c>
      <c r="B21" s="50" t="str">
        <v>MA</v>
      </c>
      <c r="C21" s="43">
        <v>41512</v>
      </c>
      <c r="D21" s="44">
        <v>137398.20000000001</v>
      </c>
      <c r="E21" s="44">
        <f t="shared" si="4"/>
        <v>-95886.200000000012</v>
      </c>
      <c r="F21" s="45">
        <f t="shared" si="5"/>
        <v>-0.69787086002582277</v>
      </c>
      <c r="G21" s="46">
        <v>115376.7</v>
      </c>
      <c r="H21" s="46">
        <f t="shared" si="6"/>
        <v>-73864.7</v>
      </c>
      <c r="I21" s="45">
        <f t="shared" si="2"/>
        <v>-0.64020465137241744</v>
      </c>
      <c r="J21" s="65" t="s">
        <v>64</v>
      </c>
      <c r="K21" s="65"/>
    </row>
    <row r="22" spans="1:12" ht="28.9">
      <c r="A22" s="54" t="str">
        <v>Sunset A</v>
      </c>
      <c r="B22" s="48" t="str">
        <v>MA</v>
      </c>
      <c r="C22" s="36">
        <v>15903.5</v>
      </c>
      <c r="D22" s="37">
        <v>68409.08</v>
      </c>
      <c r="E22" s="37">
        <f t="shared" si="4"/>
        <v>-52505.58</v>
      </c>
      <c r="F22" s="38">
        <f t="shared" si="5"/>
        <v>-0.76752355096721081</v>
      </c>
      <c r="G22" s="39">
        <v>45991.62</v>
      </c>
      <c r="H22" s="39">
        <f t="shared" si="6"/>
        <v>-30088.120000000003</v>
      </c>
      <c r="I22" s="40">
        <f t="shared" si="7"/>
        <v>-0.65420874498441239</v>
      </c>
      <c r="J22" s="63" t="s">
        <v>64</v>
      </c>
      <c r="K22" s="63"/>
    </row>
    <row r="23" spans="1:12" ht="36.75" customHeight="1">
      <c r="A23" s="53" t="str">
        <v>Sunset B</v>
      </c>
      <c r="B23" s="50" t="str">
        <v>MA</v>
      </c>
      <c r="C23" s="43">
        <v>15154.75</v>
      </c>
      <c r="D23" s="44">
        <v>51245.760000000002</v>
      </c>
      <c r="E23" s="44">
        <f t="shared" si="4"/>
        <v>-36091.01</v>
      </c>
      <c r="F23" s="45">
        <f t="shared" si="5"/>
        <v>-0.70427309498385815</v>
      </c>
      <c r="G23" s="46">
        <v>45441.21</v>
      </c>
      <c r="H23" s="46">
        <f t="shared" si="6"/>
        <v>-30286.46</v>
      </c>
      <c r="I23" s="45">
        <f t="shared" si="2"/>
        <v>-0.66649765708263486</v>
      </c>
      <c r="J23" s="85" t="s">
        <v>75</v>
      </c>
      <c r="K23" s="65"/>
    </row>
    <row r="24" spans="1:12" ht="86.45">
      <c r="A24" s="54" t="str">
        <v>Woodchuck</v>
      </c>
      <c r="B24" s="48" t="str">
        <v>MA</v>
      </c>
      <c r="C24" s="36">
        <v>34823</v>
      </c>
      <c r="D24" s="37">
        <v>113267.2</v>
      </c>
      <c r="E24" s="37">
        <f t="shared" si="4"/>
        <v>-78444.2</v>
      </c>
      <c r="F24" s="38">
        <f t="shared" si="5"/>
        <v>-0.69255883433156284</v>
      </c>
      <c r="G24" s="39">
        <v>121550.3</v>
      </c>
      <c r="H24" s="39">
        <f t="shared" si="6"/>
        <v>-86727.3</v>
      </c>
      <c r="I24" s="40">
        <f t="shared" si="7"/>
        <v>-0.71350955118991888</v>
      </c>
      <c r="J24" s="63" t="s">
        <v>76</v>
      </c>
      <c r="K24" s="80" t="s">
        <v>77</v>
      </c>
      <c r="L24" s="84" t="s">
        <v>78</v>
      </c>
    </row>
    <row r="25" spans="1:12">
      <c r="A25" s="13" t="str">
        <v>NY: Skaneateles - Spafford 1 - (PW)</v>
      </c>
      <c r="B25" s="18" t="str">
        <v>NY</v>
      </c>
      <c r="C25" s="13"/>
      <c r="D25" s="13"/>
      <c r="E25" s="13"/>
      <c r="F25" s="13"/>
      <c r="G25" s="13"/>
      <c r="H25" s="13"/>
      <c r="I25" s="13"/>
    </row>
    <row r="26" spans="1:12">
      <c r="A26" s="13" t="str">
        <v>NY: Skaneateles - Spafford 2 - (PW)</v>
      </c>
      <c r="B26" s="18" t="str">
        <v>NY</v>
      </c>
      <c r="C26" s="13"/>
      <c r="D26" s="13"/>
      <c r="E26" s="13"/>
      <c r="F26" s="13"/>
      <c r="G26" s="13"/>
      <c r="H26" s="13"/>
      <c r="I26" s="13"/>
    </row>
    <row r="27" spans="1:12">
      <c r="A27" s="13" t="str">
        <v>NY: New Hartford - 4001 NY-12 (IRA)</v>
      </c>
      <c r="B27" s="18" t="str">
        <v>NY</v>
      </c>
      <c r="C27" s="13"/>
      <c r="D27" s="13"/>
      <c r="E27" s="13"/>
      <c r="F27" s="13"/>
      <c r="G27" s="13"/>
      <c r="H27" s="13"/>
      <c r="I27" s="13"/>
    </row>
    <row r="28" spans="1:12">
      <c r="A28" s="13"/>
      <c r="B28" s="18"/>
      <c r="C28" s="13"/>
      <c r="D28" s="13"/>
      <c r="E28" s="13"/>
      <c r="F28" s="13"/>
      <c r="G28" s="13"/>
      <c r="H28" s="13"/>
      <c r="I28" s="13"/>
    </row>
    <row r="29" spans="1:12">
      <c r="A29" s="13"/>
      <c r="B29" s="18"/>
      <c r="C29" s="13"/>
      <c r="D29" s="13"/>
      <c r="E29" s="13"/>
      <c r="F29" s="13"/>
      <c r="G29" s="13"/>
      <c r="H29" s="13"/>
      <c r="I29" s="13"/>
    </row>
    <row r="30" spans="1:12">
      <c r="A30" s="13"/>
      <c r="B30" s="18"/>
      <c r="C30" s="13"/>
      <c r="D30" s="13"/>
      <c r="E30" s="13"/>
      <c r="F30" s="13"/>
      <c r="G30" s="13"/>
      <c r="H30" s="13"/>
      <c r="I30" s="13"/>
    </row>
    <row r="31" spans="1:12">
      <c r="A31" s="13"/>
      <c r="B31" s="18"/>
      <c r="C31" s="13"/>
      <c r="D31" s="13"/>
      <c r="E31" s="13"/>
      <c r="F31" s="13"/>
      <c r="G31" s="13"/>
      <c r="H31" s="13"/>
      <c r="I31" s="13"/>
    </row>
    <row r="32" spans="1:12">
      <c r="A32" s="13"/>
      <c r="B32" s="18"/>
      <c r="C32" s="13"/>
      <c r="D32" s="13"/>
      <c r="E32" s="13"/>
      <c r="F32" s="14"/>
      <c r="G32" s="13"/>
      <c r="H32" s="13"/>
      <c r="I32" s="14"/>
    </row>
    <row r="33" spans="1:9">
      <c r="A33" s="13"/>
      <c r="B33" s="18"/>
      <c r="C33" s="13"/>
      <c r="D33" s="13"/>
      <c r="E33" s="13"/>
      <c r="F33" s="14"/>
      <c r="G33" s="13"/>
      <c r="H33" s="13"/>
      <c r="I33" s="14"/>
    </row>
    <row r="34" spans="1:9">
      <c r="A34" s="13"/>
      <c r="B34" s="18"/>
      <c r="C34" s="13"/>
      <c r="D34" s="13"/>
      <c r="E34" s="13"/>
      <c r="F34" s="14"/>
      <c r="G34" s="13"/>
      <c r="H34" s="13"/>
      <c r="I34" s="14"/>
    </row>
    <row r="35" spans="1:9">
      <c r="A35" s="13"/>
      <c r="B35" s="18"/>
      <c r="C35" s="13"/>
      <c r="D35" s="13"/>
      <c r="E35" s="13"/>
      <c r="F35" s="14"/>
      <c r="G35" s="13"/>
      <c r="H35" s="13"/>
      <c r="I35" s="14"/>
    </row>
    <row r="36" spans="1:9">
      <c r="A36" s="13"/>
      <c r="B36" s="18"/>
      <c r="C36" s="13"/>
      <c r="D36" s="13"/>
      <c r="E36" s="13"/>
      <c r="F36" s="14"/>
      <c r="G36" s="13"/>
      <c r="H36" s="13"/>
      <c r="I36" s="14"/>
    </row>
    <row r="37" spans="1:9">
      <c r="A37" s="13"/>
      <c r="B37" s="18"/>
      <c r="C37" s="13"/>
      <c r="D37" s="13"/>
      <c r="E37" s="13"/>
      <c r="F37" s="14"/>
      <c r="G37" s="13"/>
      <c r="H37" s="13"/>
      <c r="I37" s="14"/>
    </row>
    <row r="38" spans="1:9">
      <c r="A38" s="13"/>
      <c r="B38" s="18"/>
      <c r="C38" s="13"/>
      <c r="D38" s="13"/>
      <c r="E38" s="13"/>
      <c r="F38" s="14"/>
      <c r="G38" s="13"/>
      <c r="H38" s="13"/>
      <c r="I38" s="14"/>
    </row>
    <row r="39" spans="1:9">
      <c r="A39" s="13"/>
      <c r="B39" s="18"/>
      <c r="C39" s="13"/>
      <c r="D39" s="13"/>
      <c r="E39" s="13"/>
      <c r="F39" s="14"/>
      <c r="G39" s="13"/>
      <c r="H39" s="13"/>
      <c r="I39" s="14"/>
    </row>
    <row r="40" spans="1:9">
      <c r="A40" s="13"/>
      <c r="B40" s="18"/>
      <c r="C40" s="13"/>
      <c r="D40" s="13"/>
      <c r="E40" s="13"/>
      <c r="F40" s="14"/>
      <c r="G40" s="13"/>
      <c r="H40" s="13"/>
      <c r="I40" s="14"/>
    </row>
    <row r="41" spans="1:9">
      <c r="A41" s="13"/>
      <c r="B41" s="18"/>
      <c r="C41" s="13"/>
      <c r="D41" s="13"/>
      <c r="E41" s="13"/>
      <c r="F41" s="14"/>
      <c r="G41" s="13"/>
      <c r="H41" s="13"/>
      <c r="I41" s="14"/>
    </row>
    <row r="42" spans="1:9">
      <c r="A42" s="13"/>
      <c r="B42" s="18"/>
      <c r="C42" s="13"/>
      <c r="D42" s="13"/>
      <c r="E42" s="13"/>
      <c r="F42" s="14"/>
      <c r="G42" s="13"/>
      <c r="H42" s="13"/>
      <c r="I42" s="14"/>
    </row>
    <row r="43" spans="1:9">
      <c r="A43" s="13"/>
      <c r="B43" s="18"/>
      <c r="C43" s="13"/>
      <c r="D43" s="13"/>
      <c r="E43" s="13"/>
      <c r="F43" s="14"/>
      <c r="G43" s="13"/>
      <c r="H43" s="13"/>
      <c r="I43" s="14"/>
    </row>
    <row r="44" spans="1:9">
      <c r="A44" s="13"/>
      <c r="B44" s="18"/>
      <c r="C44" s="13"/>
      <c r="D44" s="13"/>
      <c r="E44" s="13"/>
      <c r="F44" s="14"/>
      <c r="G44" s="13"/>
      <c r="H44" s="13"/>
      <c r="I44" s="14"/>
    </row>
    <row r="45" spans="1:9">
      <c r="A45" s="13"/>
      <c r="B45" s="18"/>
      <c r="C45" s="13"/>
      <c r="D45" s="13"/>
      <c r="E45" s="13"/>
      <c r="F45" s="14"/>
      <c r="G45" s="13"/>
      <c r="H45" s="13"/>
      <c r="I45" s="14"/>
    </row>
    <row r="46" spans="1:9">
      <c r="A46" s="13"/>
      <c r="B46" s="18"/>
      <c r="C46" s="13"/>
      <c r="D46" s="13"/>
      <c r="E46" s="13"/>
      <c r="F46" s="14"/>
      <c r="G46" s="13"/>
      <c r="H46" s="13"/>
      <c r="I46" s="14"/>
    </row>
    <row r="47" spans="1:9">
      <c r="A47" s="13"/>
      <c r="B47" s="18"/>
      <c r="C47" s="13"/>
      <c r="D47" s="13"/>
      <c r="E47" s="13"/>
      <c r="F47" s="14"/>
      <c r="G47" s="13"/>
      <c r="H47" s="13"/>
      <c r="I47" s="14"/>
    </row>
    <row r="48" spans="1:9">
      <c r="A48" s="13"/>
      <c r="B48" s="18"/>
      <c r="C48" s="13"/>
      <c r="D48" s="13"/>
      <c r="E48" s="13"/>
      <c r="F48" s="14"/>
      <c r="G48" s="13"/>
      <c r="H48" s="13"/>
      <c r="I48" s="14"/>
    </row>
    <row r="49" spans="1:9">
      <c r="A49" s="13"/>
      <c r="B49" s="18"/>
      <c r="C49" s="13"/>
      <c r="D49" s="13"/>
      <c r="E49" s="13"/>
      <c r="F49" s="14"/>
      <c r="G49" s="13"/>
      <c r="H49" s="13"/>
      <c r="I49" s="14"/>
    </row>
    <row r="50" spans="1:9">
      <c r="A50" s="13"/>
      <c r="B50" s="18"/>
      <c r="C50" s="13"/>
      <c r="D50" s="13"/>
      <c r="E50" s="13"/>
      <c r="F50" s="14"/>
      <c r="G50" s="13"/>
      <c r="H50" s="13"/>
      <c r="I50" s="14"/>
    </row>
    <row r="51" spans="1:9">
      <c r="A51" s="13"/>
      <c r="B51" s="18"/>
      <c r="C51" s="13"/>
      <c r="D51" s="13"/>
      <c r="E51" s="13"/>
      <c r="F51" s="14"/>
      <c r="G51" s="13"/>
      <c r="H51" s="13"/>
      <c r="I51" s="14"/>
    </row>
    <row r="52" spans="1:9">
      <c r="A52" s="13"/>
      <c r="B52" s="18"/>
      <c r="C52" s="13"/>
      <c r="D52" s="13"/>
      <c r="E52" s="13"/>
      <c r="F52" s="14"/>
      <c r="G52" s="13"/>
      <c r="H52" s="13"/>
      <c r="I52" s="14"/>
    </row>
    <row r="53" spans="1:9">
      <c r="A53" s="13"/>
      <c r="B53" s="18"/>
      <c r="C53" s="13"/>
      <c r="D53" s="13"/>
      <c r="E53" s="13"/>
      <c r="F53" s="14"/>
      <c r="G53" s="13"/>
      <c r="H53" s="13"/>
      <c r="I53" s="14"/>
    </row>
    <row r="54" spans="1:9">
      <c r="A54" s="13"/>
      <c r="B54" s="18"/>
      <c r="C54" s="13"/>
      <c r="D54" s="13"/>
      <c r="E54" s="13"/>
      <c r="F54" s="14"/>
      <c r="G54" s="13"/>
      <c r="H54" s="13"/>
      <c r="I54" s="14"/>
    </row>
    <row r="55" spans="1:9">
      <c r="A55" s="13"/>
      <c r="B55" s="18"/>
      <c r="C55" s="13"/>
      <c r="D55" s="13"/>
      <c r="E55" s="13"/>
      <c r="F55" s="14"/>
      <c r="G55" s="13"/>
      <c r="H55" s="13"/>
      <c r="I55" s="14"/>
    </row>
    <row r="56" spans="1:9">
      <c r="A56" s="13"/>
      <c r="B56" s="18"/>
      <c r="C56" s="13"/>
      <c r="D56" s="13"/>
      <c r="E56" s="13"/>
      <c r="F56" s="14"/>
      <c r="G56" s="13"/>
      <c r="H56" s="13"/>
      <c r="I56" s="14"/>
    </row>
    <row r="57" spans="1:9">
      <c r="A57" s="13"/>
      <c r="B57" s="18"/>
      <c r="C57" s="13"/>
      <c r="D57" s="13"/>
      <c r="E57" s="13"/>
      <c r="F57" s="14"/>
      <c r="G57" s="13"/>
      <c r="H57" s="13"/>
      <c r="I57" s="14"/>
    </row>
    <row r="58" spans="1:9">
      <c r="A58" s="13"/>
      <c r="B58" s="18"/>
      <c r="C58" s="13"/>
      <c r="D58" s="13"/>
      <c r="E58" s="13"/>
      <c r="F58" s="14"/>
      <c r="G58" s="13"/>
      <c r="H58" s="13"/>
      <c r="I58" s="14"/>
    </row>
    <row r="59" spans="1:9">
      <c r="A59" s="13"/>
      <c r="B59" s="18"/>
      <c r="C59" s="13"/>
      <c r="D59" s="13"/>
      <c r="E59" s="13"/>
      <c r="F59" s="14"/>
      <c r="G59" s="13"/>
      <c r="H59" s="13"/>
      <c r="I59" s="14"/>
    </row>
    <row r="60" spans="1:9">
      <c r="A60" s="13"/>
      <c r="B60" s="18"/>
      <c r="C60" s="13"/>
      <c r="D60" s="13"/>
      <c r="E60" s="13"/>
      <c r="F60" s="14"/>
      <c r="G60" s="13"/>
      <c r="H60" s="13"/>
      <c r="I60" s="14"/>
    </row>
    <row r="61" spans="1:9">
      <c r="A61" s="13"/>
      <c r="B61" s="18"/>
      <c r="C61" s="13"/>
      <c r="D61" s="13"/>
      <c r="E61" s="13"/>
      <c r="F61" s="14"/>
      <c r="G61" s="13"/>
      <c r="H61" s="13"/>
      <c r="I61" s="14"/>
    </row>
    <row r="62" spans="1:9">
      <c r="A62" s="13"/>
      <c r="B62" s="18"/>
      <c r="C62" s="13"/>
      <c r="D62" s="13"/>
      <c r="E62" s="13"/>
      <c r="F62" s="14"/>
      <c r="G62" s="13"/>
      <c r="H62" s="13"/>
      <c r="I62" s="14"/>
    </row>
    <row r="63" spans="1:9">
      <c r="A63" s="13"/>
      <c r="B63" s="18"/>
      <c r="C63" s="13"/>
      <c r="D63" s="13"/>
      <c r="E63" s="13"/>
      <c r="F63" s="14"/>
      <c r="G63" s="13"/>
      <c r="H63" s="13"/>
      <c r="I63" s="14"/>
    </row>
    <row r="64" spans="1:9">
      <c r="A64" s="13"/>
      <c r="B64" s="18"/>
      <c r="C64" s="13"/>
      <c r="D64" s="13"/>
      <c r="E64" s="13"/>
      <c r="F64" s="14"/>
      <c r="G64" s="13"/>
      <c r="H64" s="13"/>
      <c r="I64" s="14"/>
    </row>
    <row r="65" spans="1:9">
      <c r="A65" s="13"/>
      <c r="B65" s="18"/>
      <c r="C65" s="13"/>
      <c r="D65" s="13"/>
      <c r="E65" s="13"/>
      <c r="F65" s="14"/>
      <c r="G65" s="13"/>
      <c r="H65" s="13"/>
      <c r="I65" s="14"/>
    </row>
    <row r="66" spans="1:9">
      <c r="A66" s="13"/>
      <c r="B66" s="18"/>
      <c r="C66" s="13"/>
      <c r="D66" s="13"/>
      <c r="E66" s="13"/>
      <c r="F66" s="14"/>
      <c r="G66" s="13"/>
      <c r="H66" s="13"/>
      <c r="I66" s="14"/>
    </row>
    <row r="67" spans="1:9">
      <c r="A67" s="13"/>
      <c r="B67" s="18"/>
      <c r="C67" s="13"/>
      <c r="D67" s="13"/>
      <c r="E67" s="13"/>
      <c r="F67" s="14"/>
      <c r="G67" s="13"/>
      <c r="H67" s="13"/>
      <c r="I67" s="14"/>
    </row>
    <row r="68" spans="1:9">
      <c r="A68" s="13"/>
      <c r="B68" s="18"/>
      <c r="C68" s="13"/>
      <c r="D68" s="13"/>
      <c r="E68" s="13"/>
      <c r="F68" s="14"/>
      <c r="G68" s="13"/>
      <c r="H68" s="13"/>
      <c r="I68" s="14"/>
    </row>
    <row r="69" spans="1:9">
      <c r="A69" s="13"/>
      <c r="B69" s="18"/>
      <c r="C69" s="13"/>
      <c r="D69" s="13"/>
      <c r="E69" s="13"/>
      <c r="F69" s="14"/>
      <c r="G69" s="13"/>
      <c r="H69" s="13"/>
      <c r="I69" s="14"/>
    </row>
    <row r="70" spans="1:9">
      <c r="A70" s="13"/>
      <c r="B70" s="18"/>
      <c r="C70" s="13"/>
      <c r="D70" s="13"/>
      <c r="E70" s="13"/>
      <c r="F70" s="14"/>
      <c r="G70" s="13"/>
      <c r="H70" s="13"/>
      <c r="I70" s="14"/>
    </row>
    <row r="71" spans="1:9">
      <c r="A71" s="13"/>
      <c r="B71" s="18"/>
      <c r="C71" s="13"/>
      <c r="D71" s="13"/>
      <c r="E71" s="13"/>
      <c r="F71" s="14"/>
      <c r="G71" s="13"/>
      <c r="H71" s="13"/>
      <c r="I71" s="14"/>
    </row>
    <row r="72" spans="1:9">
      <c r="A72" s="13"/>
      <c r="B72" s="18"/>
      <c r="C72" s="13"/>
      <c r="D72" s="13"/>
      <c r="E72" s="13"/>
      <c r="F72" s="14"/>
      <c r="G72" s="13"/>
      <c r="H72" s="13"/>
      <c r="I72" s="14"/>
    </row>
    <row r="73" spans="1:9">
      <c r="A73" s="13"/>
      <c r="B73" s="18"/>
      <c r="C73" s="13"/>
      <c r="D73" s="13"/>
      <c r="E73" s="13"/>
      <c r="F73" s="14"/>
      <c r="G73" s="13"/>
      <c r="H73" s="13"/>
      <c r="I73" s="14"/>
    </row>
    <row r="74" spans="1:9">
      <c r="A74" s="13"/>
      <c r="B74" s="18"/>
      <c r="C74" s="13"/>
      <c r="D74" s="13"/>
      <c r="E74" s="13"/>
      <c r="F74" s="14"/>
      <c r="G74" s="13"/>
      <c r="H74" s="13"/>
      <c r="I74" s="14"/>
    </row>
    <row r="75" spans="1:9">
      <c r="A75" s="13"/>
      <c r="B75" s="18"/>
      <c r="C75" s="13"/>
      <c r="D75" s="13"/>
      <c r="E75" s="13"/>
      <c r="F75" s="14"/>
      <c r="G75" s="13"/>
      <c r="H75" s="13"/>
      <c r="I75" s="14"/>
    </row>
    <row r="76" spans="1:9">
      <c r="A76" s="13"/>
      <c r="B76" s="18"/>
      <c r="C76" s="13"/>
      <c r="D76" s="13"/>
      <c r="E76" s="13"/>
      <c r="F76" s="14"/>
      <c r="G76" s="13"/>
      <c r="H76" s="13"/>
      <c r="I76" s="14"/>
    </row>
    <row r="77" spans="1:9">
      <c r="A77" s="13"/>
      <c r="B77" s="18"/>
      <c r="C77" s="13"/>
      <c r="D77" s="13"/>
      <c r="E77" s="13"/>
      <c r="F77" s="14"/>
      <c r="G77" s="13"/>
      <c r="H77" s="13"/>
      <c r="I77" s="14"/>
    </row>
    <row r="78" spans="1:9">
      <c r="A78" s="13"/>
      <c r="B78" s="18"/>
      <c r="C78" s="13"/>
      <c r="D78" s="13"/>
      <c r="E78" s="13"/>
      <c r="F78" s="14"/>
      <c r="G78" s="13"/>
      <c r="H78" s="13"/>
      <c r="I78" s="14"/>
    </row>
    <row r="79" spans="1:9">
      <c r="A79" s="13"/>
      <c r="B79" s="18"/>
      <c r="C79" s="13"/>
      <c r="D79" s="13"/>
      <c r="E79" s="13"/>
      <c r="F79" s="14"/>
      <c r="G79" s="13"/>
      <c r="H79" s="13"/>
      <c r="I79" s="14"/>
    </row>
    <row r="80" spans="1:9">
      <c r="A80" s="13"/>
      <c r="B80" s="18"/>
      <c r="C80" s="13"/>
      <c r="D80" s="13"/>
      <c r="E80" s="13"/>
      <c r="F80" s="14"/>
      <c r="G80" s="13"/>
      <c r="H80" s="13"/>
      <c r="I80" s="14"/>
    </row>
    <row r="81" spans="1:9">
      <c r="A81" s="13"/>
      <c r="B81" s="18"/>
      <c r="C81" s="13"/>
      <c r="D81" s="13"/>
      <c r="E81" s="13"/>
      <c r="F81" s="14"/>
      <c r="G81" s="13"/>
      <c r="H81" s="13"/>
      <c r="I81" s="14"/>
    </row>
    <row r="82" spans="1:9">
      <c r="A82" s="13"/>
      <c r="B82" s="18"/>
      <c r="C82" s="13"/>
      <c r="D82" s="13"/>
      <c r="E82" s="13"/>
      <c r="F82" s="14"/>
      <c r="G82" s="13"/>
      <c r="H82" s="13"/>
      <c r="I82" s="14"/>
    </row>
    <row r="83" spans="1:9">
      <c r="A83" s="13"/>
      <c r="B83" s="18"/>
      <c r="C83" s="13"/>
      <c r="D83" s="13"/>
      <c r="E83" s="13"/>
      <c r="F83" s="14"/>
      <c r="G83" s="13"/>
      <c r="H83" s="13"/>
      <c r="I83" s="14"/>
    </row>
    <row r="84" spans="1:9">
      <c r="A84" s="13"/>
      <c r="B84" s="18"/>
      <c r="C84" s="13"/>
      <c r="D84" s="13"/>
      <c r="E84" s="13"/>
      <c r="F84" s="14"/>
      <c r="G84" s="13"/>
      <c r="H84" s="13"/>
      <c r="I84" s="14"/>
    </row>
    <row r="85" spans="1:9">
      <c r="A85" s="13"/>
      <c r="B85" s="18"/>
      <c r="C85" s="13"/>
      <c r="D85" s="13"/>
      <c r="E85" s="13"/>
      <c r="F85" s="14"/>
      <c r="G85" s="13"/>
      <c r="H85" s="13"/>
      <c r="I85" s="14"/>
    </row>
    <row r="86" spans="1:9">
      <c r="A86" s="13"/>
      <c r="B86" s="18"/>
      <c r="C86" s="13"/>
      <c r="D86" s="13"/>
      <c r="E86" s="13"/>
      <c r="F86" s="14"/>
      <c r="G86" s="13"/>
      <c r="H86" s="13"/>
      <c r="I86" s="14"/>
    </row>
    <row r="87" spans="1:9">
      <c r="A87" s="13"/>
      <c r="B87" s="18"/>
      <c r="C87" s="13"/>
      <c r="D87" s="13"/>
      <c r="E87" s="13"/>
      <c r="F87" s="14"/>
      <c r="G87" s="13"/>
      <c r="H87" s="13"/>
      <c r="I87" s="14"/>
    </row>
    <row r="88" spans="1:9">
      <c r="A88" s="13"/>
      <c r="B88" s="18"/>
      <c r="C88" s="13"/>
      <c r="D88" s="13"/>
      <c r="E88" s="13"/>
      <c r="F88" s="14"/>
      <c r="G88" s="13"/>
      <c r="H88" s="13"/>
      <c r="I88" s="14"/>
    </row>
    <row r="89" spans="1:9">
      <c r="A89" s="13"/>
      <c r="B89" s="18"/>
      <c r="C89" s="13"/>
      <c r="D89" s="13"/>
      <c r="E89" s="13"/>
      <c r="F89" s="14"/>
      <c r="G89" s="13"/>
      <c r="H89" s="13"/>
      <c r="I89" s="14"/>
    </row>
    <row r="90" spans="1:9">
      <c r="A90" s="13"/>
      <c r="B90" s="18"/>
      <c r="C90" s="13"/>
      <c r="D90" s="13"/>
      <c r="E90" s="13"/>
      <c r="F90" s="14"/>
      <c r="G90" s="13"/>
      <c r="H90" s="13"/>
      <c r="I90" s="14"/>
    </row>
    <row r="91" spans="1:9">
      <c r="A91" s="13"/>
      <c r="B91" s="18"/>
      <c r="C91" s="13"/>
      <c r="D91" s="13"/>
      <c r="E91" s="13"/>
      <c r="F91" s="14"/>
      <c r="G91" s="13"/>
      <c r="H91" s="13"/>
      <c r="I91" s="14"/>
    </row>
    <row r="92" spans="1:9">
      <c r="A92" s="13"/>
      <c r="B92" s="18"/>
      <c r="C92" s="13"/>
      <c r="D92" s="13"/>
      <c r="E92" s="13"/>
      <c r="F92" s="14"/>
      <c r="G92" s="13"/>
      <c r="H92" s="13"/>
      <c r="I92" s="14"/>
    </row>
    <row r="93" spans="1:9">
      <c r="A93" s="13"/>
      <c r="B93" s="18"/>
      <c r="C93" s="13"/>
      <c r="D93" s="13"/>
      <c r="E93" s="13"/>
      <c r="F93" s="14"/>
      <c r="G93" s="13"/>
      <c r="H93" s="13"/>
      <c r="I93" s="14"/>
    </row>
    <row r="94" spans="1:9">
      <c r="A94" s="13"/>
      <c r="B94" s="18"/>
      <c r="C94" s="13"/>
      <c r="D94" s="13"/>
      <c r="E94" s="13"/>
      <c r="F94" s="14"/>
      <c r="G94" s="13"/>
      <c r="H94" s="13"/>
      <c r="I94" s="14"/>
    </row>
    <row r="95" spans="1:9">
      <c r="A95" s="13"/>
      <c r="B95" s="18"/>
      <c r="C95" s="13"/>
      <c r="D95" s="13"/>
      <c r="E95" s="13"/>
      <c r="F95" s="14"/>
      <c r="G95" s="13"/>
      <c r="H95" s="13"/>
      <c r="I95" s="14"/>
    </row>
    <row r="96" spans="1:9">
      <c r="A96" s="13"/>
      <c r="B96" s="18"/>
      <c r="C96" s="13"/>
      <c r="D96" s="13"/>
      <c r="E96" s="13"/>
      <c r="F96" s="14"/>
      <c r="G96" s="13"/>
      <c r="H96" s="13"/>
      <c r="I96" s="14"/>
    </row>
    <row r="97" spans="1:9">
      <c r="A97" s="13"/>
      <c r="B97" s="18"/>
      <c r="C97" s="13"/>
      <c r="D97" s="13"/>
      <c r="E97" s="13"/>
      <c r="F97" s="14"/>
      <c r="G97" s="13"/>
      <c r="H97" s="13"/>
      <c r="I97" s="14"/>
    </row>
    <row r="98" spans="1:9">
      <c r="A98" s="13"/>
      <c r="B98" s="18"/>
      <c r="C98" s="13"/>
      <c r="D98" s="13"/>
      <c r="E98" s="13"/>
      <c r="F98" s="14"/>
      <c r="G98" s="13"/>
      <c r="H98" s="13"/>
      <c r="I98" s="14"/>
    </row>
    <row r="99" spans="1:9">
      <c r="A99" s="13"/>
      <c r="B99" s="18"/>
      <c r="C99" s="13"/>
      <c r="D99" s="13"/>
      <c r="E99" s="13"/>
      <c r="F99" s="14"/>
      <c r="G99" s="13"/>
      <c r="H99" s="13"/>
      <c r="I99" s="14"/>
    </row>
    <row r="100" spans="1:9">
      <c r="A100" s="13"/>
      <c r="B100" s="18"/>
      <c r="C100" s="13"/>
      <c r="D100" s="13"/>
      <c r="E100" s="13"/>
      <c r="F100" s="14"/>
      <c r="G100" s="13"/>
      <c r="H100" s="13"/>
      <c r="I100" s="14"/>
    </row>
    <row r="101" spans="1:9">
      <c r="A101" s="13"/>
      <c r="B101" s="18"/>
      <c r="C101" s="13"/>
      <c r="D101" s="13"/>
      <c r="E101" s="13"/>
      <c r="F101" s="14"/>
      <c r="G101" s="13"/>
      <c r="H101" s="13"/>
      <c r="I101" s="14"/>
    </row>
    <row r="102" spans="1:9">
      <c r="A102" s="13"/>
      <c r="B102" s="18"/>
      <c r="C102" s="13"/>
      <c r="D102" s="13"/>
      <c r="E102" s="13"/>
      <c r="F102" s="14"/>
      <c r="G102" s="13"/>
      <c r="H102" s="13"/>
      <c r="I102" s="14"/>
    </row>
    <row r="103" spans="1:9">
      <c r="A103" s="13"/>
      <c r="B103" s="18"/>
      <c r="C103" s="13"/>
      <c r="D103" s="13"/>
      <c r="E103" s="13"/>
      <c r="F103" s="14"/>
      <c r="G103" s="13"/>
      <c r="H103" s="13"/>
      <c r="I103" s="14"/>
    </row>
    <row r="104" spans="1:9">
      <c r="A104" s="13"/>
      <c r="B104" s="18"/>
      <c r="C104" s="13"/>
      <c r="D104" s="13"/>
      <c r="E104" s="13"/>
      <c r="F104" s="14"/>
      <c r="G104" s="13"/>
      <c r="H104" s="13"/>
      <c r="I104" s="14"/>
    </row>
    <row r="105" spans="1:9">
      <c r="A105" s="13"/>
      <c r="B105" s="18"/>
      <c r="C105" s="13"/>
      <c r="D105" s="13"/>
      <c r="E105" s="13"/>
      <c r="F105" s="14"/>
      <c r="G105" s="13"/>
      <c r="H105" s="13"/>
      <c r="I105" s="14"/>
    </row>
    <row r="106" spans="1:9">
      <c r="A106" s="13"/>
      <c r="B106" s="18"/>
      <c r="C106" s="13"/>
      <c r="D106" s="13"/>
      <c r="E106" s="13"/>
      <c r="F106" s="14"/>
      <c r="G106" s="13"/>
      <c r="H106" s="13"/>
      <c r="I106" s="14"/>
    </row>
    <row r="107" spans="1:9">
      <c r="A107" s="13"/>
      <c r="B107" s="18"/>
      <c r="C107" s="13"/>
      <c r="D107" s="13"/>
      <c r="E107" s="13"/>
      <c r="F107" s="14"/>
      <c r="G107" s="13"/>
      <c r="H107" s="13"/>
      <c r="I107" s="14"/>
    </row>
    <row r="108" spans="1:9">
      <c r="A108" s="13"/>
      <c r="B108" s="18"/>
      <c r="C108" s="13"/>
      <c r="D108" s="13"/>
      <c r="E108" s="13"/>
      <c r="F108" s="14"/>
      <c r="G108" s="13"/>
      <c r="H108" s="13"/>
      <c r="I108" s="14"/>
    </row>
    <row r="109" spans="1:9">
      <c r="A109" s="13"/>
      <c r="B109" s="18"/>
      <c r="C109" s="13"/>
      <c r="D109" s="13"/>
      <c r="E109" s="13"/>
      <c r="F109" s="14"/>
      <c r="G109" s="13"/>
      <c r="H109" s="13"/>
      <c r="I109" s="14"/>
    </row>
    <row r="110" spans="1:9">
      <c r="A110" s="13"/>
      <c r="B110" s="18"/>
      <c r="C110" s="13"/>
      <c r="D110" s="13"/>
      <c r="E110" s="13"/>
      <c r="F110" s="14"/>
      <c r="G110" s="13"/>
      <c r="H110" s="13"/>
      <c r="I110" s="14"/>
    </row>
    <row r="111" spans="1:9">
      <c r="A111" s="13"/>
      <c r="B111" s="18"/>
      <c r="C111" s="13"/>
      <c r="D111" s="13"/>
      <c r="E111" s="13"/>
      <c r="F111" s="14"/>
      <c r="G111" s="13"/>
      <c r="H111" s="13"/>
      <c r="I111" s="14"/>
    </row>
    <row r="112" spans="1:9">
      <c r="A112" s="13"/>
      <c r="B112" s="18"/>
      <c r="C112" s="13"/>
      <c r="D112" s="13"/>
      <c r="E112" s="13"/>
      <c r="F112" s="14"/>
      <c r="G112" s="13"/>
      <c r="H112" s="13"/>
      <c r="I112" s="14"/>
    </row>
    <row r="113" spans="1:9">
      <c r="A113" s="13"/>
      <c r="B113" s="18"/>
      <c r="C113" s="13"/>
      <c r="D113" s="13"/>
      <c r="E113" s="13"/>
      <c r="F113" s="14"/>
      <c r="G113" s="13"/>
      <c r="H113" s="13"/>
      <c r="I113" s="14"/>
    </row>
    <row r="114" spans="1:9">
      <c r="A114" s="13"/>
      <c r="B114" s="18"/>
      <c r="C114" s="13"/>
      <c r="D114" s="13"/>
      <c r="E114" s="13"/>
      <c r="F114" s="14"/>
      <c r="G114" s="13"/>
      <c r="H114" s="13"/>
      <c r="I114" s="14"/>
    </row>
    <row r="115" spans="1:9">
      <c r="A115" s="13"/>
      <c r="B115" s="18"/>
      <c r="C115" s="13"/>
      <c r="D115" s="13"/>
      <c r="E115" s="13"/>
      <c r="F115" s="14"/>
      <c r="G115" s="13"/>
      <c r="H115" s="13"/>
      <c r="I115" s="14"/>
    </row>
    <row r="116" spans="1:9">
      <c r="A116" s="13"/>
      <c r="B116" s="18"/>
      <c r="C116" s="13"/>
      <c r="D116" s="13"/>
      <c r="E116" s="13"/>
      <c r="F116" s="14"/>
      <c r="G116" s="13"/>
      <c r="H116" s="13"/>
      <c r="I116" s="14"/>
    </row>
    <row r="117" spans="1:9">
      <c r="A117" s="13"/>
      <c r="B117" s="18"/>
      <c r="C117" s="13"/>
      <c r="D117" s="13"/>
      <c r="E117" s="13"/>
      <c r="F117" s="14"/>
      <c r="G117" s="13"/>
      <c r="H117" s="13"/>
      <c r="I117" s="14"/>
    </row>
    <row r="118" spans="1:9">
      <c r="A118" s="13"/>
      <c r="B118" s="18"/>
      <c r="C118" s="13"/>
      <c r="D118" s="13"/>
      <c r="E118" s="13"/>
      <c r="F118" s="14"/>
      <c r="G118" s="13"/>
      <c r="H118" s="13"/>
      <c r="I118" s="14"/>
    </row>
    <row r="119" spans="1:9">
      <c r="A119" s="13"/>
      <c r="B119" s="18"/>
      <c r="C119" s="13"/>
      <c r="D119" s="13"/>
      <c r="E119" s="13"/>
      <c r="F119" s="14"/>
      <c r="G119" s="13"/>
      <c r="H119" s="13"/>
      <c r="I119" s="14"/>
    </row>
    <row r="120" spans="1:9">
      <c r="A120" s="13"/>
      <c r="B120" s="18"/>
      <c r="C120" s="13"/>
      <c r="D120" s="13"/>
      <c r="E120" s="13"/>
      <c r="F120" s="14"/>
      <c r="G120" s="13"/>
      <c r="H120" s="13"/>
      <c r="I120" s="14"/>
    </row>
    <row r="121" spans="1:9">
      <c r="A121" s="13"/>
      <c r="B121" s="18"/>
      <c r="C121" s="13"/>
      <c r="D121" s="13"/>
      <c r="E121" s="13"/>
      <c r="F121" s="14"/>
      <c r="G121" s="13"/>
      <c r="H121" s="13"/>
      <c r="I121" s="14"/>
    </row>
    <row r="122" spans="1:9">
      <c r="A122" s="13"/>
      <c r="B122" s="18"/>
      <c r="C122" s="13"/>
      <c r="D122" s="13"/>
      <c r="E122" s="13"/>
      <c r="F122" s="14"/>
      <c r="G122" s="13"/>
      <c r="H122" s="13"/>
      <c r="I122" s="14"/>
    </row>
    <row r="123" spans="1:9">
      <c r="A123" s="13"/>
      <c r="B123" s="18"/>
      <c r="C123" s="13"/>
      <c r="D123" s="13"/>
      <c r="E123" s="13"/>
      <c r="F123" s="14"/>
      <c r="G123" s="13"/>
      <c r="H123" s="13"/>
      <c r="I123" s="14"/>
    </row>
    <row r="124" spans="1:9">
      <c r="A124" s="13"/>
      <c r="B124" s="18"/>
      <c r="C124" s="13"/>
      <c r="D124" s="13"/>
      <c r="E124" s="13"/>
      <c r="F124" s="14"/>
      <c r="G124" s="13"/>
      <c r="H124" s="13"/>
      <c r="I124" s="14"/>
    </row>
    <row r="125" spans="1:9">
      <c r="A125" s="13"/>
      <c r="B125" s="18"/>
      <c r="C125" s="13"/>
      <c r="D125" s="13"/>
      <c r="E125" s="13"/>
      <c r="F125" s="14"/>
      <c r="G125" s="13"/>
      <c r="H125" s="13"/>
      <c r="I125" s="14"/>
    </row>
    <row r="126" spans="1:9">
      <c r="A126" s="13"/>
      <c r="B126" s="18"/>
      <c r="C126" s="13"/>
      <c r="D126" s="13"/>
      <c r="E126" s="13"/>
      <c r="F126" s="14"/>
      <c r="G126" s="13"/>
      <c r="H126" s="13"/>
      <c r="I126" s="14"/>
    </row>
    <row r="127" spans="1:9">
      <c r="A127" s="13"/>
      <c r="B127" s="18"/>
      <c r="C127" s="13"/>
      <c r="D127" s="13"/>
      <c r="E127" s="13"/>
      <c r="F127" s="14"/>
      <c r="G127" s="13"/>
      <c r="H127" s="13"/>
      <c r="I127" s="14"/>
    </row>
    <row r="128" spans="1:9">
      <c r="A128" s="13"/>
      <c r="B128" s="18"/>
      <c r="C128" s="13"/>
      <c r="D128" s="13"/>
      <c r="E128" s="13"/>
      <c r="F128" s="14"/>
      <c r="G128" s="13"/>
      <c r="H128" s="13"/>
      <c r="I128" s="14"/>
    </row>
    <row r="129" spans="1:9">
      <c r="A129" s="13"/>
      <c r="B129" s="18"/>
      <c r="C129" s="13"/>
      <c r="D129" s="13"/>
      <c r="E129" s="13"/>
      <c r="F129" s="14"/>
      <c r="G129" s="13"/>
      <c r="H129" s="13"/>
      <c r="I129" s="14"/>
    </row>
    <row r="130" spans="1:9">
      <c r="A130" s="13"/>
      <c r="B130" s="18"/>
      <c r="C130" s="13"/>
      <c r="D130" s="13"/>
      <c r="E130" s="13"/>
      <c r="F130" s="14"/>
      <c r="G130" s="13"/>
      <c r="H130" s="13"/>
      <c r="I130" s="14"/>
    </row>
    <row r="131" spans="1:9">
      <c r="A131" s="13"/>
      <c r="B131" s="18"/>
      <c r="C131" s="13"/>
      <c r="D131" s="13"/>
      <c r="E131" s="13"/>
      <c r="F131" s="14"/>
      <c r="G131" s="13"/>
      <c r="H131" s="13"/>
      <c r="I131" s="14"/>
    </row>
    <row r="132" spans="1:9">
      <c r="A132" s="13"/>
      <c r="B132" s="18"/>
      <c r="C132" s="13"/>
      <c r="D132" s="13"/>
      <c r="E132" s="13"/>
      <c r="F132" s="14"/>
      <c r="G132" s="13"/>
      <c r="H132" s="13"/>
      <c r="I132" s="14"/>
    </row>
    <row r="133" spans="1:9">
      <c r="A133" s="13"/>
      <c r="B133" s="18"/>
      <c r="C133" s="13"/>
      <c r="D133" s="13"/>
      <c r="E133" s="13"/>
      <c r="F133" s="14"/>
      <c r="G133" s="13"/>
      <c r="H133" s="13"/>
      <c r="I133" s="14"/>
    </row>
    <row r="134" spans="1:9">
      <c r="A134" s="13"/>
      <c r="B134" s="18"/>
      <c r="C134" s="13"/>
      <c r="D134" s="13"/>
      <c r="E134" s="13"/>
      <c r="F134" s="14"/>
      <c r="G134" s="13"/>
      <c r="H134" s="13"/>
      <c r="I134" s="14"/>
    </row>
    <row r="135" spans="1:9">
      <c r="A135" s="13"/>
      <c r="B135" s="18"/>
      <c r="C135" s="13"/>
      <c r="D135" s="13"/>
      <c r="E135" s="13"/>
      <c r="F135" s="14"/>
      <c r="G135" s="13"/>
      <c r="H135" s="13"/>
      <c r="I135" s="14"/>
    </row>
    <row r="136" spans="1:9">
      <c r="A136" s="13"/>
      <c r="B136" s="18"/>
      <c r="C136" s="13"/>
      <c r="D136" s="13"/>
      <c r="E136" s="13"/>
      <c r="F136" s="14"/>
      <c r="G136" s="13"/>
      <c r="H136" s="13"/>
      <c r="I136" s="14"/>
    </row>
    <row r="137" spans="1:9">
      <c r="A137" s="13"/>
      <c r="B137" s="18"/>
      <c r="C137" s="13"/>
      <c r="D137" s="13"/>
      <c r="E137" s="13"/>
      <c r="F137" s="14"/>
      <c r="G137" s="13"/>
      <c r="H137" s="13"/>
      <c r="I137" s="14"/>
    </row>
    <row r="138" spans="1:9">
      <c r="A138" s="13"/>
      <c r="B138" s="18"/>
      <c r="C138" s="13"/>
      <c r="D138" s="13"/>
      <c r="E138" s="13"/>
      <c r="F138" s="14"/>
      <c r="G138" s="13"/>
      <c r="H138" s="13"/>
      <c r="I138" s="14"/>
    </row>
    <row r="139" spans="1:9">
      <c r="A139" s="13"/>
      <c r="B139" s="18"/>
      <c r="C139" s="13"/>
      <c r="D139" s="13"/>
      <c r="E139" s="13"/>
      <c r="F139" s="14"/>
      <c r="G139" s="13"/>
      <c r="H139" s="13"/>
      <c r="I139" s="14"/>
    </row>
    <row r="140" spans="1:9">
      <c r="A140" s="13"/>
      <c r="B140" s="18"/>
      <c r="C140" s="13"/>
      <c r="D140" s="13"/>
      <c r="E140" s="13"/>
      <c r="F140" s="14"/>
      <c r="G140" s="13"/>
      <c r="H140" s="13"/>
      <c r="I140" s="14"/>
    </row>
    <row r="141" spans="1:9">
      <c r="A141" s="13"/>
      <c r="B141" s="18"/>
      <c r="C141" s="13"/>
      <c r="D141" s="13"/>
      <c r="E141" s="13"/>
      <c r="F141" s="14"/>
      <c r="G141" s="13"/>
      <c r="H141" s="13"/>
      <c r="I141" s="14"/>
    </row>
    <row r="142" spans="1:9">
      <c r="A142" s="13"/>
      <c r="B142" s="18"/>
      <c r="C142" s="13"/>
      <c r="D142" s="13"/>
      <c r="E142" s="13"/>
      <c r="F142" s="14"/>
      <c r="G142" s="13"/>
      <c r="H142" s="13"/>
      <c r="I142" s="14"/>
    </row>
    <row r="143" spans="1:9">
      <c r="A143" s="13"/>
      <c r="B143" s="18"/>
      <c r="C143" s="13"/>
      <c r="D143" s="13"/>
      <c r="E143" s="13"/>
      <c r="F143" s="14"/>
      <c r="G143" s="13"/>
      <c r="H143" s="13"/>
      <c r="I143" s="14"/>
    </row>
    <row r="144" spans="1:9">
      <c r="A144" s="13"/>
      <c r="B144" s="18"/>
      <c r="C144" s="13"/>
      <c r="D144" s="13"/>
      <c r="E144" s="13"/>
      <c r="F144" s="14"/>
      <c r="G144" s="13"/>
      <c r="H144" s="13"/>
      <c r="I144" s="14"/>
    </row>
    <row r="145" spans="1:9">
      <c r="A145" s="13"/>
      <c r="B145" s="18"/>
      <c r="C145" s="13"/>
      <c r="D145" s="13"/>
      <c r="E145" s="13"/>
      <c r="F145" s="14"/>
      <c r="G145" s="13"/>
      <c r="H145" s="13"/>
      <c r="I145" s="14"/>
    </row>
    <row r="146" spans="1:9">
      <c r="A146" s="13"/>
      <c r="B146" s="18"/>
      <c r="C146" s="13"/>
      <c r="D146" s="13"/>
      <c r="E146" s="13"/>
      <c r="F146" s="14"/>
      <c r="G146" s="13"/>
      <c r="H146" s="13"/>
      <c r="I146" s="14"/>
    </row>
    <row r="147" spans="1:9">
      <c r="A147" s="13"/>
      <c r="B147" s="18"/>
      <c r="C147" s="13"/>
      <c r="D147" s="13"/>
      <c r="E147" s="13"/>
      <c r="F147" s="14"/>
      <c r="G147" s="13"/>
      <c r="H147" s="13"/>
      <c r="I147" s="14"/>
    </row>
    <row r="148" spans="1:9">
      <c r="A148" s="13"/>
      <c r="B148" s="18"/>
      <c r="C148" s="13"/>
      <c r="D148" s="13"/>
      <c r="E148" s="13"/>
      <c r="F148" s="14"/>
      <c r="G148" s="13"/>
      <c r="H148" s="13"/>
      <c r="I148" s="14"/>
    </row>
    <row r="149" spans="1:9">
      <c r="A149" s="13"/>
      <c r="B149" s="18"/>
      <c r="C149" s="13"/>
      <c r="D149" s="13"/>
      <c r="E149" s="13"/>
      <c r="F149" s="14"/>
      <c r="G149" s="13"/>
      <c r="H149" s="13"/>
      <c r="I149" s="14"/>
    </row>
    <row r="150" spans="1:9">
      <c r="A150" s="13"/>
      <c r="B150" s="18"/>
      <c r="C150" s="13"/>
      <c r="D150" s="13"/>
      <c r="E150" s="13"/>
      <c r="F150" s="14"/>
      <c r="G150" s="13"/>
      <c r="H150" s="13"/>
      <c r="I150" s="14"/>
    </row>
    <row r="151" spans="1:9">
      <c r="A151" s="13"/>
      <c r="B151" s="18"/>
      <c r="C151" s="13"/>
      <c r="D151" s="13"/>
      <c r="E151" s="13"/>
      <c r="F151" s="14"/>
      <c r="G151" s="13"/>
      <c r="H151" s="13"/>
      <c r="I151" s="14"/>
    </row>
    <row r="152" spans="1:9">
      <c r="A152" s="13"/>
      <c r="B152" s="18"/>
      <c r="C152" s="13"/>
      <c r="D152" s="13"/>
      <c r="E152" s="13"/>
      <c r="F152" s="14"/>
      <c r="G152" s="13"/>
      <c r="H152" s="13"/>
      <c r="I152" s="14"/>
    </row>
    <row r="153" spans="1:9">
      <c r="A153" s="13"/>
      <c r="B153" s="18"/>
      <c r="C153" s="13"/>
      <c r="D153" s="13"/>
      <c r="E153" s="13"/>
      <c r="F153" s="14"/>
      <c r="G153" s="13"/>
      <c r="H153" s="13"/>
      <c r="I153" s="14"/>
    </row>
    <row r="154" spans="1:9">
      <c r="A154" s="13"/>
      <c r="B154" s="18"/>
      <c r="C154" s="13"/>
      <c r="D154" s="13"/>
      <c r="E154" s="13"/>
      <c r="F154" s="14"/>
      <c r="G154" s="13"/>
      <c r="H154" s="13"/>
      <c r="I154" s="14"/>
    </row>
    <row r="155" spans="1:9">
      <c r="A155" s="13"/>
      <c r="B155" s="18"/>
      <c r="C155" s="13"/>
      <c r="D155" s="13"/>
      <c r="E155" s="13"/>
      <c r="F155" s="14"/>
      <c r="G155" s="13"/>
      <c r="H155" s="13"/>
      <c r="I155" s="14"/>
    </row>
    <row r="156" spans="1:9">
      <c r="A156" s="13"/>
      <c r="B156" s="18"/>
      <c r="C156" s="13"/>
      <c r="D156" s="13"/>
      <c r="E156" s="13"/>
      <c r="F156" s="14"/>
      <c r="G156" s="13"/>
      <c r="H156" s="13"/>
      <c r="I156" s="14"/>
    </row>
    <row r="157" spans="1:9">
      <c r="A157" s="13"/>
      <c r="B157" s="18"/>
      <c r="C157" s="13"/>
      <c r="D157" s="13"/>
      <c r="E157" s="13"/>
      <c r="F157" s="14"/>
      <c r="G157" s="13"/>
      <c r="H157" s="13"/>
      <c r="I157" s="14"/>
    </row>
    <row r="158" spans="1:9">
      <c r="A158" s="13"/>
      <c r="B158" s="18"/>
      <c r="C158" s="13"/>
      <c r="D158" s="13"/>
      <c r="E158" s="13"/>
      <c r="F158" s="14"/>
      <c r="G158" s="13"/>
      <c r="H158" s="13"/>
      <c r="I158" s="14"/>
    </row>
    <row r="159" spans="1:9">
      <c r="A159" s="13"/>
      <c r="B159" s="18"/>
      <c r="C159" s="13"/>
      <c r="D159" s="13"/>
      <c r="E159" s="13"/>
      <c r="F159" s="14"/>
      <c r="G159" s="13"/>
      <c r="H159" s="13"/>
      <c r="I159" s="14"/>
    </row>
    <row r="160" spans="1:9">
      <c r="A160" s="13"/>
      <c r="B160" s="18"/>
      <c r="C160" s="13"/>
      <c r="D160" s="13"/>
      <c r="E160" s="13"/>
      <c r="F160" s="14"/>
      <c r="G160" s="13"/>
      <c r="H160" s="13"/>
      <c r="I160" s="14"/>
    </row>
    <row r="161" spans="1:9">
      <c r="A161" s="13"/>
      <c r="B161" s="18"/>
      <c r="C161" s="13"/>
      <c r="D161" s="13"/>
      <c r="E161" s="13"/>
      <c r="F161" s="14"/>
      <c r="G161" s="13"/>
      <c r="H161" s="13"/>
      <c r="I161" s="14"/>
    </row>
    <row r="162" spans="1:9">
      <c r="A162" s="13"/>
      <c r="B162" s="18"/>
      <c r="C162" s="13"/>
      <c r="D162" s="13"/>
      <c r="E162" s="13"/>
      <c r="F162" s="14"/>
      <c r="G162" s="13"/>
      <c r="H162" s="13"/>
      <c r="I162" s="14"/>
    </row>
    <row r="163" spans="1:9">
      <c r="A163" s="13"/>
      <c r="B163" s="18"/>
      <c r="C163" s="13"/>
      <c r="D163" s="13"/>
      <c r="E163" s="13"/>
      <c r="F163" s="14"/>
      <c r="G163" s="13"/>
      <c r="H163" s="13"/>
      <c r="I163" s="14"/>
    </row>
    <row r="164" spans="1:9">
      <c r="A164" s="13"/>
      <c r="B164" s="18"/>
      <c r="C164" s="13"/>
      <c r="D164" s="13"/>
      <c r="E164" s="13"/>
      <c r="F164" s="14"/>
      <c r="G164" s="13"/>
      <c r="H164" s="13"/>
      <c r="I164" s="14"/>
    </row>
    <row r="165" spans="1:9">
      <c r="A165" s="13"/>
      <c r="B165" s="18"/>
      <c r="C165" s="13"/>
      <c r="D165" s="13"/>
      <c r="E165" s="13"/>
      <c r="F165" s="14"/>
      <c r="G165" s="13"/>
      <c r="H165" s="13"/>
      <c r="I165" s="14"/>
    </row>
    <row r="166" spans="1:9">
      <c r="A166" s="13"/>
      <c r="B166" s="18"/>
      <c r="C166" s="13"/>
      <c r="D166" s="13"/>
      <c r="E166" s="13"/>
      <c r="F166" s="14"/>
      <c r="G166" s="13"/>
      <c r="H166" s="13"/>
      <c r="I166" s="14"/>
    </row>
    <row r="167" spans="1:9">
      <c r="A167" s="13"/>
      <c r="B167" s="18"/>
      <c r="C167" s="13"/>
      <c r="D167" s="13"/>
      <c r="E167" s="13"/>
      <c r="F167" s="14"/>
      <c r="G167" s="13"/>
      <c r="H167" s="13"/>
      <c r="I167" s="14"/>
    </row>
    <row r="168" spans="1:9">
      <c r="A168" s="13"/>
      <c r="B168" s="18"/>
      <c r="C168" s="13"/>
      <c r="D168" s="13"/>
      <c r="E168" s="13"/>
      <c r="F168" s="14"/>
      <c r="G168" s="13"/>
      <c r="H168" s="13"/>
      <c r="I168" s="14"/>
    </row>
    <row r="169" spans="1:9">
      <c r="A169" s="13"/>
      <c r="B169" s="18"/>
      <c r="C169" s="13"/>
      <c r="D169" s="13"/>
      <c r="E169" s="13"/>
      <c r="F169" s="14"/>
      <c r="G169" s="13"/>
      <c r="H169" s="13"/>
      <c r="I169" s="14"/>
    </row>
    <row r="170" spans="1:9">
      <c r="A170" s="13"/>
      <c r="B170" s="18"/>
      <c r="C170" s="13"/>
      <c r="D170" s="13"/>
      <c r="E170" s="13"/>
      <c r="F170" s="14"/>
      <c r="G170" s="13"/>
      <c r="H170" s="13"/>
      <c r="I170" s="14"/>
    </row>
    <row r="171" spans="1:9">
      <c r="A171" s="13"/>
      <c r="B171" s="18"/>
      <c r="C171" s="13"/>
      <c r="D171" s="13"/>
      <c r="E171" s="13"/>
      <c r="F171" s="14"/>
      <c r="G171" s="13"/>
      <c r="H171" s="13"/>
      <c r="I171" s="14"/>
    </row>
    <row r="172" spans="1:9">
      <c r="A172" s="13"/>
      <c r="B172" s="18"/>
      <c r="C172" s="13"/>
      <c r="D172" s="13"/>
      <c r="E172" s="13"/>
      <c r="F172" s="14"/>
      <c r="G172" s="13"/>
      <c r="H172" s="13"/>
      <c r="I172" s="14"/>
    </row>
    <row r="173" spans="1:9">
      <c r="A173" s="13"/>
      <c r="B173" s="18"/>
      <c r="C173" s="13"/>
      <c r="D173" s="13"/>
      <c r="E173" s="13"/>
      <c r="F173" s="14"/>
      <c r="G173" s="13"/>
      <c r="H173" s="13"/>
      <c r="I173" s="14"/>
    </row>
    <row r="174" spans="1:9">
      <c r="A174" s="13"/>
      <c r="B174" s="18"/>
      <c r="C174" s="13"/>
      <c r="D174" s="13"/>
      <c r="E174" s="13"/>
      <c r="F174" s="14"/>
      <c r="G174" s="13"/>
      <c r="H174" s="13"/>
      <c r="I174" s="14"/>
    </row>
    <row r="175" spans="1:9">
      <c r="A175" s="13"/>
      <c r="B175" s="18"/>
      <c r="C175" s="13"/>
      <c r="D175" s="13"/>
      <c r="E175" s="13"/>
      <c r="F175" s="14"/>
      <c r="G175" s="13"/>
      <c r="H175" s="13"/>
      <c r="I175" s="14"/>
    </row>
    <row r="176" spans="1:9">
      <c r="A176" s="13"/>
      <c r="B176" s="18"/>
      <c r="C176" s="13"/>
      <c r="D176" s="13"/>
      <c r="E176" s="13"/>
      <c r="F176" s="14"/>
      <c r="G176" s="13"/>
      <c r="H176" s="13"/>
      <c r="I176" s="14"/>
    </row>
    <row r="177" spans="1:9">
      <c r="A177" s="13"/>
      <c r="B177" s="18"/>
      <c r="C177" s="13"/>
      <c r="D177" s="13"/>
      <c r="E177" s="13"/>
      <c r="F177" s="14"/>
      <c r="G177" s="13"/>
      <c r="H177" s="13"/>
      <c r="I177" s="14"/>
    </row>
    <row r="178" spans="1:9">
      <c r="A178" s="13"/>
      <c r="B178" s="18"/>
      <c r="C178" s="13"/>
      <c r="D178" s="13"/>
      <c r="E178" s="13"/>
      <c r="F178" s="14"/>
      <c r="G178" s="13"/>
      <c r="H178" s="13"/>
      <c r="I178" s="14"/>
    </row>
    <row r="179" spans="1:9">
      <c r="A179" s="13"/>
      <c r="B179" s="18"/>
      <c r="C179" s="13"/>
      <c r="D179" s="13"/>
      <c r="E179" s="13"/>
      <c r="F179" s="14"/>
      <c r="G179" s="13"/>
      <c r="H179" s="13"/>
      <c r="I179" s="14"/>
    </row>
    <row r="180" spans="1:9">
      <c r="A180" s="13"/>
      <c r="B180" s="18"/>
      <c r="C180" s="13"/>
      <c r="D180" s="13"/>
      <c r="E180" s="13"/>
      <c r="F180" s="14"/>
      <c r="G180" s="13"/>
      <c r="H180" s="13"/>
      <c r="I180" s="14"/>
    </row>
    <row r="181" spans="1:9">
      <c r="A181" s="13"/>
      <c r="B181" s="18"/>
      <c r="C181" s="13"/>
      <c r="D181" s="13"/>
      <c r="E181" s="13"/>
      <c r="F181" s="14"/>
      <c r="G181" s="13"/>
      <c r="H181" s="13"/>
      <c r="I181" s="14"/>
    </row>
    <row r="182" spans="1:9">
      <c r="A182" s="13"/>
      <c r="B182" s="18"/>
      <c r="C182" s="13"/>
      <c r="D182" s="13"/>
      <c r="E182" s="13"/>
      <c r="F182" s="14"/>
      <c r="G182" s="13"/>
      <c r="H182" s="13"/>
      <c r="I182" s="14"/>
    </row>
    <row r="183" spans="1:9">
      <c r="A183" s="13"/>
      <c r="B183" s="18"/>
      <c r="C183" s="13"/>
      <c r="D183" s="13"/>
      <c r="E183" s="13"/>
      <c r="F183" s="14"/>
      <c r="G183" s="13"/>
      <c r="H183" s="13"/>
      <c r="I183" s="14"/>
    </row>
    <row r="184" spans="1:9">
      <c r="A184" s="13"/>
      <c r="B184" s="18"/>
      <c r="C184" s="13"/>
      <c r="D184" s="13"/>
      <c r="E184" s="13"/>
      <c r="F184" s="14"/>
      <c r="G184" s="13"/>
      <c r="H184" s="13"/>
      <c r="I184" s="14"/>
    </row>
    <row r="185" spans="1:9">
      <c r="A185" s="13"/>
      <c r="B185" s="18"/>
      <c r="C185" s="13"/>
      <c r="D185" s="13"/>
      <c r="E185" s="13"/>
      <c r="F185" s="14"/>
      <c r="G185" s="13"/>
      <c r="H185" s="13"/>
      <c r="I185" s="14"/>
    </row>
    <row r="186" spans="1:9">
      <c r="A186" s="13"/>
      <c r="B186" s="18"/>
      <c r="C186" s="13"/>
      <c r="D186" s="13"/>
      <c r="E186" s="13"/>
      <c r="F186" s="14"/>
      <c r="G186" s="13"/>
      <c r="H186" s="13"/>
      <c r="I186" s="14"/>
    </row>
    <row r="187" spans="1:9">
      <c r="A187" s="13"/>
      <c r="B187" s="18"/>
      <c r="C187" s="13"/>
      <c r="D187" s="13"/>
      <c r="E187" s="13"/>
      <c r="F187" s="14"/>
      <c r="G187" s="13"/>
      <c r="H187" s="13"/>
      <c r="I187" s="14"/>
    </row>
    <row r="188" spans="1:9">
      <c r="A188" s="13"/>
      <c r="B188" s="18"/>
      <c r="C188" s="13"/>
      <c r="D188" s="13"/>
      <c r="E188" s="13"/>
      <c r="F188" s="14"/>
      <c r="G188" s="13"/>
      <c r="H188" s="13"/>
      <c r="I188" s="14"/>
    </row>
    <row r="189" spans="1:9">
      <c r="A189" s="13"/>
      <c r="B189" s="18"/>
      <c r="C189" s="13"/>
      <c r="D189" s="13"/>
      <c r="E189" s="13"/>
      <c r="F189" s="14"/>
      <c r="G189" s="13"/>
      <c r="H189" s="13"/>
      <c r="I189" s="14"/>
    </row>
    <row r="190" spans="1:9">
      <c r="A190" s="13"/>
      <c r="B190" s="18"/>
      <c r="C190" s="13"/>
      <c r="D190" s="13"/>
      <c r="E190" s="13"/>
      <c r="F190" s="14"/>
      <c r="G190" s="13"/>
      <c r="H190" s="13"/>
      <c r="I190" s="14"/>
    </row>
    <row r="191" spans="1:9">
      <c r="A191" s="13"/>
      <c r="B191" s="18"/>
      <c r="C191" s="13"/>
      <c r="D191" s="13"/>
      <c r="E191" s="13"/>
      <c r="F191" s="14"/>
      <c r="G191" s="13"/>
      <c r="H191" s="13"/>
      <c r="I191" s="14"/>
    </row>
    <row r="192" spans="1:9">
      <c r="A192" s="13"/>
      <c r="B192" s="18"/>
      <c r="C192" s="13"/>
      <c r="D192" s="13"/>
      <c r="E192" s="13"/>
      <c r="F192" s="14"/>
      <c r="G192" s="13"/>
      <c r="H192" s="13"/>
      <c r="I192" s="14"/>
    </row>
    <row r="193" spans="1:9">
      <c r="A193" s="13"/>
      <c r="B193" s="18"/>
      <c r="C193" s="13"/>
      <c r="D193" s="13"/>
      <c r="E193" s="13"/>
      <c r="F193" s="14"/>
      <c r="G193" s="13"/>
      <c r="H193" s="13"/>
      <c r="I193" s="14"/>
    </row>
    <row r="194" spans="1:9">
      <c r="A194" s="13"/>
      <c r="B194" s="18"/>
      <c r="C194" s="13"/>
      <c r="D194" s="13"/>
      <c r="E194" s="13"/>
      <c r="F194" s="14"/>
      <c r="G194" s="13"/>
      <c r="H194" s="13"/>
      <c r="I194" s="14"/>
    </row>
    <row r="195" spans="1:9">
      <c r="A195" s="13"/>
      <c r="B195" s="18"/>
      <c r="C195" s="13"/>
      <c r="D195" s="13"/>
      <c r="E195" s="13"/>
      <c r="F195" s="14"/>
      <c r="G195" s="13"/>
      <c r="H195" s="13"/>
      <c r="I195" s="14"/>
    </row>
    <row r="196" spans="1:9">
      <c r="A196" s="13"/>
      <c r="B196" s="18"/>
      <c r="C196" s="13"/>
      <c r="D196" s="13"/>
      <c r="E196" s="13"/>
      <c r="F196" s="14"/>
      <c r="G196" s="13"/>
      <c r="H196" s="13"/>
      <c r="I196" s="14"/>
    </row>
    <row r="197" spans="1:9">
      <c r="A197" s="13"/>
      <c r="B197" s="18"/>
      <c r="C197" s="13"/>
      <c r="D197" s="13"/>
      <c r="E197" s="13"/>
      <c r="F197" s="14"/>
      <c r="G197" s="13"/>
      <c r="H197" s="13"/>
      <c r="I197" s="14"/>
    </row>
    <row r="198" spans="1:9">
      <c r="A198" s="13"/>
      <c r="B198" s="18"/>
      <c r="C198" s="13"/>
      <c r="D198" s="13"/>
      <c r="E198" s="13"/>
      <c r="F198" s="14"/>
      <c r="G198" s="13"/>
      <c r="H198" s="13"/>
      <c r="I198" s="14"/>
    </row>
    <row r="199" spans="1:9">
      <c r="A199" s="13"/>
      <c r="B199" s="18"/>
      <c r="C199" s="13"/>
      <c r="D199" s="13"/>
      <c r="E199" s="13"/>
      <c r="F199" s="14"/>
      <c r="G199" s="13"/>
      <c r="H199" s="13"/>
      <c r="I199" s="14"/>
    </row>
    <row r="200" spans="1:9">
      <c r="A200" s="13"/>
      <c r="B200" s="18"/>
      <c r="C200" s="13"/>
      <c r="D200" s="13"/>
      <c r="E200" s="13"/>
      <c r="F200" s="14"/>
      <c r="G200" s="13"/>
      <c r="H200" s="13"/>
      <c r="I200" s="14"/>
    </row>
    <row r="201" spans="1:9">
      <c r="A201" s="13"/>
      <c r="B201" s="18"/>
      <c r="C201" s="13"/>
      <c r="D201" s="13"/>
      <c r="E201" s="13"/>
      <c r="F201" s="14"/>
      <c r="G201" s="13"/>
      <c r="H201" s="13"/>
      <c r="I201" s="14"/>
    </row>
    <row r="202" spans="1:9">
      <c r="A202" s="13"/>
      <c r="B202" s="18"/>
      <c r="C202" s="13"/>
      <c r="D202" s="13"/>
      <c r="E202" s="13"/>
      <c r="F202" s="14"/>
      <c r="G202" s="13"/>
      <c r="H202" s="13"/>
      <c r="I202" s="14"/>
    </row>
    <row r="203" spans="1:9">
      <c r="A203" s="13"/>
      <c r="B203" s="18"/>
      <c r="C203" s="13"/>
      <c r="D203" s="13"/>
      <c r="E203" s="13"/>
      <c r="F203" s="14"/>
      <c r="G203" s="13"/>
      <c r="H203" s="13"/>
      <c r="I203" s="14"/>
    </row>
    <row r="204" spans="1:9">
      <c r="A204" s="13"/>
      <c r="B204" s="18"/>
      <c r="C204" s="13"/>
      <c r="D204" s="13"/>
      <c r="E204" s="13"/>
      <c r="F204" s="14"/>
      <c r="G204" s="13"/>
      <c r="H204" s="13"/>
      <c r="I204" s="14"/>
    </row>
    <row r="205" spans="1:9">
      <c r="A205" s="13"/>
      <c r="B205" s="18"/>
      <c r="C205" s="13"/>
      <c r="D205" s="13"/>
      <c r="E205" s="13"/>
      <c r="F205" s="14"/>
      <c r="G205" s="13"/>
      <c r="H205" s="13"/>
      <c r="I205" s="14"/>
    </row>
    <row r="206" spans="1:9">
      <c r="A206" s="13"/>
      <c r="B206" s="18"/>
      <c r="C206" s="13"/>
      <c r="D206" s="13"/>
      <c r="E206" s="13"/>
      <c r="F206" s="14"/>
      <c r="G206" s="13"/>
      <c r="H206" s="13"/>
      <c r="I206" s="14"/>
    </row>
    <row r="207" spans="1:9">
      <c r="A207" s="13"/>
      <c r="B207" s="18"/>
      <c r="C207" s="13"/>
      <c r="D207" s="13"/>
      <c r="E207" s="13"/>
      <c r="F207" s="14"/>
      <c r="G207" s="13"/>
      <c r="H207" s="13"/>
      <c r="I207" s="14"/>
    </row>
    <row r="208" spans="1:9">
      <c r="A208" s="13"/>
      <c r="B208" s="18"/>
      <c r="C208" s="13"/>
      <c r="D208" s="13"/>
      <c r="E208" s="13"/>
      <c r="F208" s="14"/>
      <c r="G208" s="13"/>
      <c r="H208" s="13"/>
      <c r="I208" s="14"/>
    </row>
    <row r="209" spans="1:9">
      <c r="A209" s="13"/>
      <c r="B209" s="18"/>
      <c r="C209" s="13"/>
      <c r="D209" s="13"/>
      <c r="E209" s="13"/>
      <c r="F209" s="14"/>
      <c r="G209" s="13"/>
      <c r="H209" s="13"/>
      <c r="I209" s="14"/>
    </row>
    <row r="210" spans="1:9">
      <c r="A210" s="13"/>
      <c r="B210" s="18"/>
      <c r="C210" s="13"/>
      <c r="D210" s="13"/>
      <c r="E210" s="13"/>
      <c r="F210" s="14"/>
      <c r="G210" s="13"/>
      <c r="H210" s="13"/>
      <c r="I210" s="14"/>
    </row>
    <row r="211" spans="1:9">
      <c r="A211" s="13"/>
      <c r="B211" s="18"/>
      <c r="C211" s="13"/>
      <c r="D211" s="13"/>
      <c r="E211" s="13"/>
      <c r="F211" s="14"/>
      <c r="G211" s="13"/>
      <c r="H211" s="13"/>
      <c r="I211" s="14"/>
    </row>
    <row r="212" spans="1:9">
      <c r="A212" s="13"/>
      <c r="B212" s="18"/>
      <c r="C212" s="13"/>
      <c r="D212" s="13"/>
      <c r="E212" s="13"/>
      <c r="F212" s="14"/>
      <c r="G212" s="13"/>
      <c r="H212" s="13"/>
      <c r="I212" s="14"/>
    </row>
    <row r="213" spans="1:9">
      <c r="A213" s="13"/>
      <c r="B213" s="18"/>
      <c r="C213" s="13"/>
      <c r="D213" s="13"/>
      <c r="E213" s="13"/>
      <c r="F213" s="14"/>
      <c r="G213" s="13"/>
      <c r="H213" s="13"/>
      <c r="I213" s="14"/>
    </row>
    <row r="214" spans="1:9">
      <c r="A214" s="13"/>
      <c r="B214" s="18"/>
      <c r="C214" s="13"/>
      <c r="D214" s="13"/>
      <c r="E214" s="13"/>
      <c r="F214" s="14"/>
      <c r="G214" s="13"/>
      <c r="H214" s="13"/>
      <c r="I214" s="14"/>
    </row>
    <row r="215" spans="1:9">
      <c r="A215" s="13"/>
      <c r="B215" s="18"/>
      <c r="C215" s="13"/>
      <c r="D215" s="13"/>
      <c r="E215" s="13"/>
      <c r="F215" s="14"/>
      <c r="G215" s="13"/>
      <c r="H215" s="13"/>
      <c r="I215" s="14"/>
    </row>
    <row r="216" spans="1:9">
      <c r="A216" s="13"/>
      <c r="B216" s="18"/>
      <c r="C216" s="13"/>
      <c r="D216" s="13"/>
      <c r="E216" s="13"/>
      <c r="F216" s="14"/>
      <c r="G216" s="13"/>
      <c r="H216" s="13"/>
      <c r="I216" s="14"/>
    </row>
    <row r="217" spans="1:9">
      <c r="A217" s="13"/>
      <c r="B217" s="18"/>
      <c r="C217" s="13"/>
      <c r="D217" s="13"/>
      <c r="E217" s="13"/>
      <c r="F217" s="14"/>
      <c r="G217" s="13"/>
      <c r="H217" s="13"/>
      <c r="I217" s="14"/>
    </row>
    <row r="218" spans="1:9">
      <c r="A218" s="13"/>
      <c r="B218" s="18"/>
      <c r="C218" s="13"/>
      <c r="D218" s="13"/>
      <c r="E218" s="13"/>
      <c r="F218" s="14"/>
      <c r="G218" s="13"/>
      <c r="H218" s="13"/>
      <c r="I218" s="14"/>
    </row>
    <row r="219" spans="1:9">
      <c r="A219" s="13"/>
      <c r="B219" s="18"/>
      <c r="C219" s="13"/>
      <c r="D219" s="13"/>
      <c r="E219" s="13"/>
      <c r="F219" s="14"/>
      <c r="G219" s="13"/>
      <c r="H219" s="13"/>
      <c r="I219" s="14"/>
    </row>
    <row r="220" spans="1:9">
      <c r="A220" s="13"/>
      <c r="B220" s="18"/>
      <c r="C220" s="13"/>
      <c r="D220" s="13"/>
      <c r="E220" s="13"/>
      <c r="F220" s="14"/>
      <c r="G220" s="13"/>
      <c r="H220" s="13"/>
      <c r="I220" s="14"/>
    </row>
    <row r="221" spans="1:9">
      <c r="A221" s="13"/>
      <c r="B221" s="18"/>
      <c r="C221" s="13"/>
      <c r="D221" s="13"/>
      <c r="E221" s="13"/>
      <c r="F221" s="14"/>
      <c r="G221" s="13"/>
      <c r="H221" s="13"/>
      <c r="I221" s="14"/>
    </row>
    <row r="222" spans="1:9">
      <c r="A222" s="13"/>
      <c r="B222" s="18"/>
      <c r="C222" s="13"/>
      <c r="D222" s="13"/>
      <c r="E222" s="13"/>
      <c r="F222" s="14"/>
      <c r="G222" s="13"/>
      <c r="H222" s="13"/>
      <c r="I222" s="14"/>
    </row>
    <row r="223" spans="1:9">
      <c r="A223" s="13"/>
      <c r="B223" s="18"/>
      <c r="C223" s="13"/>
      <c r="D223" s="13"/>
      <c r="E223" s="13"/>
      <c r="F223" s="14"/>
      <c r="G223" s="13"/>
      <c r="H223" s="13"/>
      <c r="I223" s="14"/>
    </row>
    <row r="224" spans="1:9">
      <c r="A224" s="13"/>
      <c r="B224" s="18"/>
      <c r="C224" s="13"/>
      <c r="D224" s="13"/>
      <c r="E224" s="13"/>
      <c r="F224" s="14"/>
      <c r="G224" s="13"/>
      <c r="H224" s="13"/>
      <c r="I224" s="14"/>
    </row>
    <row r="225" spans="1:9">
      <c r="A225" s="13"/>
      <c r="B225" s="18"/>
      <c r="C225" s="13"/>
      <c r="D225" s="13"/>
      <c r="E225" s="13"/>
      <c r="F225" s="14"/>
      <c r="G225" s="13"/>
      <c r="H225" s="13"/>
      <c r="I225" s="14"/>
    </row>
    <row r="226" spans="1:9">
      <c r="A226" s="13"/>
      <c r="B226" s="18"/>
      <c r="C226" s="13"/>
      <c r="D226" s="13"/>
      <c r="E226" s="13"/>
      <c r="F226" s="14"/>
      <c r="G226" s="13"/>
      <c r="H226" s="13"/>
      <c r="I226" s="14"/>
    </row>
    <row r="227" spans="1:9">
      <c r="A227" s="13"/>
      <c r="B227" s="18"/>
      <c r="C227" s="13"/>
      <c r="D227" s="13"/>
      <c r="E227" s="13"/>
      <c r="F227" s="14"/>
      <c r="G227" s="13"/>
      <c r="H227" s="13"/>
      <c r="I227" s="14"/>
    </row>
    <row r="228" spans="1:9">
      <c r="A228" s="13"/>
      <c r="B228" s="18"/>
      <c r="C228" s="13"/>
      <c r="D228" s="13"/>
      <c r="E228" s="13"/>
      <c r="F228" s="14"/>
      <c r="G228" s="13"/>
      <c r="H228" s="13"/>
      <c r="I228" s="14"/>
    </row>
    <row r="229" spans="1:9">
      <c r="A229" s="13"/>
      <c r="B229" s="18"/>
      <c r="C229" s="13"/>
      <c r="D229" s="13"/>
      <c r="E229" s="13"/>
      <c r="F229" s="14"/>
      <c r="G229" s="13"/>
      <c r="H229" s="13"/>
      <c r="I229" s="14"/>
    </row>
    <row r="230" spans="1:9">
      <c r="A230" s="13"/>
      <c r="B230" s="18"/>
      <c r="C230" s="13"/>
      <c r="D230" s="13"/>
      <c r="E230" s="13"/>
      <c r="F230" s="14"/>
      <c r="G230" s="13"/>
      <c r="H230" s="13"/>
      <c r="I230" s="14"/>
    </row>
    <row r="231" spans="1:9">
      <c r="A231" s="13"/>
      <c r="B231" s="18"/>
      <c r="C231" s="13"/>
      <c r="D231" s="13"/>
      <c r="E231" s="13"/>
      <c r="F231" s="14"/>
      <c r="G231" s="13"/>
      <c r="H231" s="13"/>
      <c r="I231" s="14"/>
    </row>
    <row r="232" spans="1:9">
      <c r="A232" s="13"/>
      <c r="B232" s="18"/>
      <c r="C232" s="13"/>
      <c r="D232" s="13"/>
      <c r="E232" s="13"/>
      <c r="F232" s="14"/>
      <c r="G232" s="13"/>
      <c r="H232" s="13"/>
      <c r="I232" s="14"/>
    </row>
    <row r="233" spans="1:9">
      <c r="A233" s="13"/>
      <c r="B233" s="18"/>
      <c r="C233" s="13"/>
      <c r="D233" s="13"/>
      <c r="E233" s="13"/>
      <c r="F233" s="14"/>
      <c r="G233" s="13"/>
      <c r="H233" s="13"/>
      <c r="I233" s="14"/>
    </row>
    <row r="234" spans="1:9">
      <c r="A234" s="13"/>
      <c r="B234" s="18"/>
      <c r="C234" s="13"/>
      <c r="D234" s="13"/>
      <c r="E234" s="13"/>
      <c r="F234" s="14"/>
      <c r="G234" s="13"/>
      <c r="H234" s="13"/>
      <c r="I234" s="14"/>
    </row>
    <row r="235" spans="1:9">
      <c r="A235" s="13"/>
      <c r="B235" s="18"/>
      <c r="C235" s="13"/>
      <c r="D235" s="13"/>
      <c r="E235" s="13"/>
      <c r="F235" s="14"/>
      <c r="G235" s="13"/>
      <c r="H235" s="13"/>
      <c r="I235" s="14"/>
    </row>
    <row r="236" spans="1:9">
      <c r="A236" s="13"/>
      <c r="B236" s="18"/>
      <c r="C236" s="13"/>
      <c r="D236" s="13"/>
      <c r="E236" s="13"/>
      <c r="F236" s="14"/>
      <c r="G236" s="13"/>
      <c r="H236" s="13"/>
      <c r="I236" s="14"/>
    </row>
    <row r="237" spans="1:9">
      <c r="A237" s="13"/>
      <c r="B237" s="18"/>
      <c r="C237" s="13"/>
      <c r="D237" s="13"/>
      <c r="E237" s="13"/>
      <c r="F237" s="14"/>
      <c r="G237" s="13"/>
      <c r="H237" s="13"/>
      <c r="I237" s="14"/>
    </row>
    <row r="238" spans="1:9">
      <c r="A238" s="13"/>
      <c r="B238" s="18"/>
      <c r="C238" s="13"/>
      <c r="D238" s="13"/>
      <c r="E238" s="13"/>
      <c r="F238" s="14"/>
      <c r="G238" s="13"/>
      <c r="H238" s="13"/>
      <c r="I238" s="14"/>
    </row>
    <row r="239" spans="1:9">
      <c r="A239" s="13"/>
      <c r="B239" s="18"/>
      <c r="C239" s="13"/>
      <c r="D239" s="13"/>
      <c r="E239" s="13"/>
      <c r="F239" s="14"/>
      <c r="G239" s="13"/>
      <c r="H239" s="13"/>
      <c r="I239" s="14"/>
    </row>
    <row r="240" spans="1:9">
      <c r="A240" s="13"/>
      <c r="B240" s="18"/>
      <c r="C240" s="13"/>
      <c r="D240" s="13"/>
      <c r="E240" s="13"/>
      <c r="F240" s="14"/>
      <c r="G240" s="13"/>
      <c r="H240" s="13"/>
      <c r="I240" s="14"/>
    </row>
    <row r="241" spans="1:9">
      <c r="A241" s="13"/>
      <c r="B241" s="18"/>
      <c r="C241" s="13"/>
      <c r="D241" s="13"/>
      <c r="E241" s="13"/>
      <c r="F241" s="14"/>
      <c r="G241" s="13"/>
      <c r="H241" s="13"/>
      <c r="I241" s="14"/>
    </row>
    <row r="242" spans="1:9">
      <c r="A242" s="13"/>
      <c r="B242" s="18"/>
      <c r="C242" s="13"/>
      <c r="D242" s="13"/>
      <c r="E242" s="13"/>
      <c r="F242" s="14"/>
      <c r="G242" s="13"/>
      <c r="H242" s="13"/>
      <c r="I242" s="14"/>
    </row>
    <row r="243" spans="1:9">
      <c r="A243" s="13"/>
      <c r="B243" s="18"/>
      <c r="C243" s="13"/>
      <c r="D243" s="13"/>
      <c r="E243" s="13"/>
      <c r="F243" s="14"/>
      <c r="G243" s="13"/>
      <c r="H243" s="13"/>
      <c r="I243" s="14"/>
    </row>
    <row r="244" spans="1:9">
      <c r="A244" s="13"/>
      <c r="B244" s="18"/>
      <c r="C244" s="13"/>
      <c r="D244" s="13"/>
      <c r="E244" s="13"/>
      <c r="F244" s="14"/>
      <c r="G244" s="13"/>
      <c r="H244" s="13"/>
      <c r="I244" s="14"/>
    </row>
    <row r="245" spans="1:9">
      <c r="A245" s="13"/>
      <c r="B245" s="18"/>
      <c r="C245" s="13"/>
      <c r="D245" s="13"/>
      <c r="E245" s="13"/>
      <c r="F245" s="14"/>
      <c r="G245" s="13"/>
      <c r="H245" s="13"/>
      <c r="I245" s="14"/>
    </row>
    <row r="246" spans="1:9">
      <c r="A246" s="13"/>
      <c r="B246" s="18"/>
      <c r="C246" s="13"/>
      <c r="D246" s="13"/>
      <c r="E246" s="13"/>
      <c r="F246" s="14"/>
      <c r="G246" s="13"/>
      <c r="H246" s="13"/>
      <c r="I246" s="14"/>
    </row>
    <row r="247" spans="1:9">
      <c r="A247" s="13"/>
      <c r="B247" s="18"/>
      <c r="C247" s="13"/>
      <c r="D247" s="13"/>
      <c r="E247" s="13"/>
      <c r="F247" s="14"/>
      <c r="G247" s="13"/>
      <c r="H247" s="13"/>
      <c r="I247" s="14"/>
    </row>
    <row r="248" spans="1:9">
      <c r="A248" s="13"/>
      <c r="B248" s="18"/>
      <c r="C248" s="13"/>
      <c r="D248" s="13"/>
      <c r="E248" s="13"/>
      <c r="F248" s="14"/>
      <c r="G248" s="13"/>
      <c r="H248" s="13"/>
      <c r="I248" s="14"/>
    </row>
    <row r="249" spans="1:9">
      <c r="A249" s="13"/>
      <c r="B249" s="18"/>
      <c r="C249" s="13"/>
      <c r="D249" s="13"/>
      <c r="E249" s="13"/>
      <c r="F249" s="14"/>
      <c r="G249" s="13"/>
      <c r="H249" s="13"/>
      <c r="I249" s="14"/>
    </row>
    <row r="250" spans="1:9">
      <c r="A250" s="13"/>
      <c r="B250" s="18"/>
      <c r="C250" s="13"/>
      <c r="D250" s="13"/>
      <c r="E250" s="13"/>
      <c r="F250" s="14"/>
      <c r="G250" s="13"/>
      <c r="H250" s="13"/>
      <c r="I250" s="14"/>
    </row>
    <row r="251" spans="1:9">
      <c r="A251" s="13"/>
      <c r="B251" s="18"/>
      <c r="C251" s="13"/>
      <c r="D251" s="13"/>
      <c r="E251" s="13"/>
      <c r="F251" s="14"/>
      <c r="G251" s="13"/>
      <c r="H251" s="13"/>
      <c r="I251" s="14"/>
    </row>
    <row r="252" spans="1:9">
      <c r="A252" s="13"/>
      <c r="B252" s="18"/>
      <c r="C252" s="13"/>
      <c r="D252" s="13"/>
      <c r="E252" s="13"/>
      <c r="F252" s="14"/>
      <c r="G252" s="13"/>
      <c r="H252" s="13"/>
      <c r="I252" s="14"/>
    </row>
    <row r="253" spans="1:9">
      <c r="A253" s="13"/>
      <c r="B253" s="18"/>
      <c r="C253" s="13"/>
      <c r="D253" s="13"/>
      <c r="E253" s="13"/>
      <c r="F253" s="14"/>
      <c r="G253" s="13"/>
      <c r="H253" s="13"/>
      <c r="I253" s="14"/>
    </row>
    <row r="254" spans="1:9">
      <c r="A254" s="13"/>
      <c r="B254" s="18"/>
      <c r="C254" s="13"/>
      <c r="D254" s="13"/>
      <c r="E254" s="13"/>
      <c r="F254" s="14"/>
      <c r="G254" s="13"/>
      <c r="H254" s="13"/>
      <c r="I254" s="14"/>
    </row>
    <row r="255" spans="1:9">
      <c r="A255" s="13"/>
      <c r="B255" s="18"/>
      <c r="C255" s="13"/>
      <c r="D255" s="13"/>
      <c r="E255" s="13"/>
      <c r="F255" s="14"/>
      <c r="G255" s="13"/>
      <c r="H255" s="13"/>
      <c r="I255" s="14"/>
    </row>
    <row r="256" spans="1:9">
      <c r="A256" s="13"/>
      <c r="B256" s="18"/>
      <c r="C256" s="13"/>
      <c r="D256" s="13"/>
      <c r="E256" s="13"/>
      <c r="F256" s="14"/>
      <c r="G256" s="13"/>
      <c r="H256" s="13"/>
      <c r="I256" s="14"/>
    </row>
    <row r="257" spans="1:9">
      <c r="A257" s="13"/>
      <c r="B257" s="18"/>
      <c r="C257" s="13"/>
      <c r="D257" s="13"/>
      <c r="E257" s="13"/>
      <c r="F257" s="14"/>
      <c r="G257" s="13"/>
      <c r="H257" s="13"/>
      <c r="I257" s="14"/>
    </row>
    <row r="258" spans="1:9">
      <c r="A258" s="13"/>
      <c r="B258" s="18"/>
      <c r="C258" s="13"/>
      <c r="D258" s="13"/>
      <c r="E258" s="13"/>
      <c r="F258" s="14"/>
      <c r="G258" s="13"/>
      <c r="H258" s="13"/>
      <c r="I258" s="14"/>
    </row>
    <row r="259" spans="1:9">
      <c r="A259" s="13"/>
      <c r="B259" s="18"/>
      <c r="C259" s="13"/>
      <c r="D259" s="13"/>
      <c r="E259" s="13"/>
      <c r="F259" s="14"/>
      <c r="G259" s="13"/>
      <c r="H259" s="13"/>
      <c r="I259" s="14"/>
    </row>
    <row r="260" spans="1:9">
      <c r="A260" s="13"/>
      <c r="B260" s="18"/>
      <c r="C260" s="13"/>
      <c r="D260" s="13"/>
      <c r="E260" s="13"/>
      <c r="F260" s="14"/>
      <c r="G260" s="13"/>
      <c r="H260" s="13"/>
      <c r="I260" s="14"/>
    </row>
    <row r="261" spans="1:9">
      <c r="A261" s="13"/>
      <c r="B261" s="18"/>
      <c r="C261" s="13"/>
      <c r="D261" s="13"/>
      <c r="E261" s="13"/>
      <c r="F261" s="14"/>
      <c r="G261" s="13"/>
      <c r="H261" s="13"/>
      <c r="I261" s="14"/>
    </row>
    <row r="262" spans="1:9">
      <c r="A262" s="13"/>
      <c r="B262" s="18"/>
      <c r="C262" s="13"/>
      <c r="D262" s="13"/>
      <c r="E262" s="13"/>
      <c r="F262" s="14"/>
      <c r="G262" s="13"/>
      <c r="H262" s="13"/>
      <c r="I262" s="14"/>
    </row>
    <row r="263" spans="1:9">
      <c r="A263" s="13"/>
      <c r="B263" s="18"/>
      <c r="C263" s="13"/>
      <c r="D263" s="13"/>
      <c r="E263" s="13"/>
      <c r="F263" s="14"/>
      <c r="G263" s="13"/>
      <c r="H263" s="13"/>
      <c r="I263" s="14"/>
    </row>
    <row r="264" spans="1:9">
      <c r="A264" s="13"/>
      <c r="B264" s="18"/>
      <c r="C264" s="13"/>
      <c r="D264" s="13"/>
      <c r="E264" s="13"/>
      <c r="F264" s="14"/>
      <c r="G264" s="13"/>
      <c r="H264" s="13"/>
      <c r="I264" s="14"/>
    </row>
    <row r="265" spans="1:9">
      <c r="A265" s="13"/>
      <c r="B265" s="18"/>
      <c r="C265" s="13"/>
      <c r="D265" s="13"/>
      <c r="E265" s="13"/>
      <c r="F265" s="14"/>
      <c r="G265" s="13"/>
      <c r="H265" s="13"/>
      <c r="I265" s="14"/>
    </row>
    <row r="266" spans="1:9">
      <c r="A266" s="13"/>
      <c r="B266" s="18"/>
      <c r="C266" s="13"/>
      <c r="D266" s="13"/>
      <c r="E266" s="13"/>
      <c r="F266" s="14"/>
      <c r="G266" s="13"/>
      <c r="H266" s="13"/>
      <c r="I266" s="14"/>
    </row>
    <row r="267" spans="1:9">
      <c r="A267" s="13"/>
      <c r="B267" s="18"/>
      <c r="C267" s="13"/>
      <c r="D267" s="13"/>
      <c r="E267" s="13"/>
      <c r="F267" s="14"/>
      <c r="G267" s="13"/>
      <c r="H267" s="13"/>
      <c r="I267" s="14"/>
    </row>
    <row r="268" spans="1:9">
      <c r="A268" s="13"/>
      <c r="B268" s="18"/>
      <c r="C268" s="13"/>
      <c r="D268" s="13"/>
      <c r="E268" s="13"/>
      <c r="F268" s="14"/>
      <c r="G268" s="13"/>
      <c r="H268" s="13"/>
      <c r="I268" s="14"/>
    </row>
    <row r="269" spans="1:9">
      <c r="A269" s="13"/>
      <c r="B269" s="18"/>
      <c r="C269" s="13"/>
      <c r="D269" s="13"/>
      <c r="E269" s="13"/>
      <c r="F269" s="14"/>
      <c r="G269" s="13"/>
      <c r="H269" s="13"/>
      <c r="I269" s="14"/>
    </row>
    <row r="270" spans="1:9">
      <c r="A270" s="13"/>
      <c r="B270" s="18"/>
      <c r="C270" s="13"/>
      <c r="D270" s="13"/>
      <c r="E270" s="13"/>
      <c r="F270" s="14"/>
      <c r="G270" s="13"/>
      <c r="H270" s="13"/>
      <c r="I270" s="14"/>
    </row>
    <row r="271" spans="1:9">
      <c r="A271" s="13"/>
      <c r="B271" s="18"/>
      <c r="C271" s="13"/>
      <c r="D271" s="13"/>
      <c r="E271" s="13"/>
      <c r="F271" s="14"/>
      <c r="G271" s="13"/>
      <c r="H271" s="13"/>
      <c r="I271" s="14"/>
    </row>
    <row r="272" spans="1:9">
      <c r="A272" s="13"/>
      <c r="B272" s="18"/>
      <c r="C272" s="13"/>
      <c r="D272" s="13"/>
      <c r="E272" s="13"/>
      <c r="F272" s="14"/>
      <c r="G272" s="13"/>
      <c r="H272" s="13"/>
      <c r="I272" s="14"/>
    </row>
    <row r="273" spans="1:9">
      <c r="A273" s="13"/>
      <c r="B273" s="18"/>
      <c r="C273" s="13"/>
      <c r="D273" s="13"/>
      <c r="E273" s="13"/>
      <c r="F273" s="14"/>
      <c r="G273" s="13"/>
      <c r="H273" s="13"/>
      <c r="I273" s="14"/>
    </row>
    <row r="274" spans="1:9">
      <c r="A274" s="13"/>
      <c r="B274" s="18"/>
      <c r="C274" s="13"/>
      <c r="D274" s="13"/>
      <c r="E274" s="13"/>
      <c r="F274" s="14"/>
      <c r="G274" s="13"/>
      <c r="H274" s="13"/>
      <c r="I274" s="14"/>
    </row>
    <row r="275" spans="1:9">
      <c r="A275" s="13"/>
      <c r="B275" s="18"/>
      <c r="C275" s="13"/>
      <c r="D275" s="13"/>
      <c r="E275" s="13"/>
      <c r="F275" s="14"/>
      <c r="G275" s="13"/>
      <c r="H275" s="13"/>
      <c r="I275" s="14"/>
    </row>
    <row r="276" spans="1:9">
      <c r="A276" s="13"/>
      <c r="B276" s="18"/>
      <c r="C276" s="13"/>
      <c r="D276" s="13"/>
      <c r="E276" s="13"/>
      <c r="F276" s="14"/>
      <c r="G276" s="13"/>
      <c r="H276" s="13"/>
      <c r="I276" s="14"/>
    </row>
    <row r="277" spans="1:9">
      <c r="A277" s="13"/>
      <c r="B277" s="18"/>
      <c r="C277" s="13"/>
      <c r="D277" s="13"/>
      <c r="E277" s="13"/>
      <c r="F277" s="14"/>
      <c r="G277" s="13"/>
      <c r="H277" s="13"/>
      <c r="I277" s="14"/>
    </row>
    <row r="278" spans="1:9">
      <c r="A278" s="13"/>
      <c r="B278" s="18"/>
      <c r="C278" s="13"/>
      <c r="D278" s="13"/>
      <c r="E278" s="13"/>
      <c r="F278" s="14"/>
      <c r="G278" s="13"/>
      <c r="H278" s="13"/>
      <c r="I278" s="14"/>
    </row>
    <row r="279" spans="1:9">
      <c r="A279" s="13"/>
      <c r="B279" s="18"/>
      <c r="C279" s="13"/>
      <c r="D279" s="13"/>
      <c r="E279" s="13"/>
      <c r="F279" s="14"/>
      <c r="G279" s="13"/>
      <c r="H279" s="13"/>
      <c r="I279" s="14"/>
    </row>
    <row r="280" spans="1:9">
      <c r="A280" s="13"/>
      <c r="B280" s="18"/>
      <c r="C280" s="13"/>
      <c r="D280" s="13"/>
      <c r="E280" s="13"/>
      <c r="F280" s="14"/>
      <c r="G280" s="13"/>
      <c r="H280" s="13"/>
      <c r="I280" s="14"/>
    </row>
    <row r="281" spans="1:9">
      <c r="A281" s="13"/>
      <c r="B281" s="18"/>
      <c r="C281" s="13"/>
      <c r="D281" s="13"/>
      <c r="E281" s="13"/>
      <c r="F281" s="14"/>
      <c r="G281" s="13"/>
      <c r="H281" s="13"/>
      <c r="I281" s="14"/>
    </row>
    <row r="282" spans="1:9">
      <c r="A282" s="13"/>
      <c r="B282" s="18"/>
      <c r="C282" s="13"/>
      <c r="D282" s="13"/>
      <c r="E282" s="13"/>
      <c r="F282" s="14"/>
      <c r="G282" s="13"/>
      <c r="H282" s="13"/>
      <c r="I282" s="14"/>
    </row>
    <row r="283" spans="1:9">
      <c r="A283" s="13"/>
      <c r="B283" s="18"/>
      <c r="C283" s="13"/>
      <c r="D283" s="13"/>
      <c r="E283" s="13"/>
      <c r="F283" s="14"/>
      <c r="G283" s="13"/>
      <c r="H283" s="13"/>
      <c r="I283" s="14"/>
    </row>
    <row r="284" spans="1:9">
      <c r="A284" s="13"/>
      <c r="B284" s="18"/>
      <c r="C284" s="13"/>
      <c r="D284" s="13"/>
      <c r="E284" s="13"/>
      <c r="F284" s="14"/>
      <c r="G284" s="13"/>
      <c r="H284" s="13"/>
      <c r="I284" s="14"/>
    </row>
    <row r="285" spans="1:9">
      <c r="A285" s="13"/>
      <c r="B285" s="18"/>
      <c r="C285" s="13"/>
      <c r="D285" s="13"/>
      <c r="E285" s="13"/>
      <c r="F285" s="14"/>
      <c r="G285" s="13"/>
      <c r="H285" s="13"/>
      <c r="I285" s="14"/>
    </row>
    <row r="286" spans="1:9">
      <c r="A286" s="13"/>
      <c r="B286" s="18"/>
      <c r="C286" s="13"/>
      <c r="D286" s="13"/>
      <c r="E286" s="13"/>
      <c r="F286" s="14"/>
      <c r="G286" s="13"/>
      <c r="H286" s="13"/>
      <c r="I286" s="14"/>
    </row>
    <row r="287" spans="1:9">
      <c r="A287" s="13"/>
      <c r="B287" s="18"/>
      <c r="C287" s="13"/>
      <c r="D287" s="13"/>
      <c r="E287" s="13"/>
      <c r="F287" s="14"/>
      <c r="G287" s="13"/>
      <c r="H287" s="13"/>
      <c r="I287" s="14"/>
    </row>
    <row r="288" spans="1:9">
      <c r="A288" s="13"/>
      <c r="B288" s="18"/>
      <c r="C288" s="13"/>
      <c r="D288" s="13"/>
      <c r="E288" s="13"/>
      <c r="F288" s="14"/>
      <c r="G288" s="13"/>
      <c r="H288" s="13"/>
      <c r="I288" s="14"/>
    </row>
    <row r="289" spans="1:9">
      <c r="A289" s="13"/>
      <c r="B289" s="18"/>
      <c r="C289" s="13"/>
      <c r="D289" s="13"/>
      <c r="E289" s="13"/>
      <c r="F289" s="14"/>
      <c r="G289" s="13"/>
      <c r="H289" s="13"/>
      <c r="I289" s="14"/>
    </row>
    <row r="290" spans="1:9">
      <c r="A290" s="13"/>
      <c r="B290" s="18"/>
      <c r="C290" s="13"/>
      <c r="D290" s="13"/>
      <c r="E290" s="13"/>
      <c r="F290" s="14"/>
      <c r="G290" s="13"/>
      <c r="H290" s="13"/>
      <c r="I290" s="14"/>
    </row>
    <row r="291" spans="1:9">
      <c r="A291" s="13"/>
      <c r="B291" s="18"/>
      <c r="C291" s="13"/>
      <c r="D291" s="13"/>
      <c r="E291" s="13"/>
      <c r="F291" s="14"/>
      <c r="G291" s="13"/>
      <c r="H291" s="13"/>
      <c r="I291" s="14"/>
    </row>
    <row r="292" spans="1:9">
      <c r="A292" s="13"/>
      <c r="B292" s="18"/>
      <c r="C292" s="13"/>
      <c r="D292" s="13"/>
      <c r="E292" s="13"/>
      <c r="F292" s="14"/>
      <c r="G292" s="13"/>
      <c r="H292" s="13"/>
      <c r="I292" s="14"/>
    </row>
    <row r="293" spans="1:9">
      <c r="A293" s="13"/>
      <c r="B293" s="18"/>
      <c r="C293" s="13"/>
      <c r="D293" s="13"/>
      <c r="E293" s="13"/>
      <c r="F293" s="14"/>
      <c r="G293" s="13"/>
      <c r="H293" s="13"/>
      <c r="I293" s="14"/>
    </row>
    <row r="294" spans="1:9">
      <c r="A294" s="13"/>
      <c r="B294" s="18"/>
      <c r="C294" s="13"/>
      <c r="D294" s="13"/>
      <c r="E294" s="13"/>
      <c r="F294" s="14"/>
      <c r="G294" s="13"/>
      <c r="H294" s="13"/>
      <c r="I294" s="14"/>
    </row>
    <row r="295" spans="1:9">
      <c r="A295" s="13"/>
      <c r="B295" s="18"/>
      <c r="C295" s="13"/>
      <c r="D295" s="13"/>
      <c r="E295" s="13"/>
      <c r="F295" s="14"/>
      <c r="G295" s="13"/>
      <c r="H295" s="13"/>
      <c r="I295" s="14"/>
    </row>
    <row r="296" spans="1:9">
      <c r="A296" s="13"/>
      <c r="B296" s="18"/>
      <c r="C296" s="13"/>
      <c r="D296" s="13"/>
      <c r="E296" s="13"/>
      <c r="F296" s="14"/>
      <c r="G296" s="13"/>
      <c r="H296" s="13"/>
      <c r="I296" s="14"/>
    </row>
    <row r="297" spans="1:9">
      <c r="A297" s="13"/>
      <c r="B297" s="18"/>
      <c r="C297" s="13"/>
      <c r="D297" s="13"/>
      <c r="E297" s="13"/>
      <c r="F297" s="14"/>
      <c r="G297" s="13"/>
      <c r="H297" s="13"/>
      <c r="I297" s="14"/>
    </row>
    <row r="298" spans="1:9">
      <c r="A298" s="13"/>
      <c r="B298" s="18"/>
      <c r="C298" s="13"/>
      <c r="D298" s="13"/>
      <c r="E298" s="13"/>
      <c r="F298" s="14"/>
      <c r="G298" s="13"/>
      <c r="H298" s="13"/>
      <c r="I298" s="14"/>
    </row>
    <row r="299" spans="1:9">
      <c r="A299" s="13"/>
      <c r="B299" s="18"/>
      <c r="C299" s="13"/>
      <c r="D299" s="13"/>
      <c r="E299" s="13"/>
      <c r="F299" s="14"/>
      <c r="G299" s="13"/>
      <c r="H299" s="13"/>
      <c r="I299" s="14"/>
    </row>
    <row r="300" spans="1:9">
      <c r="A300" s="13"/>
      <c r="B300" s="18"/>
      <c r="C300" s="13"/>
      <c r="D300" s="13"/>
      <c r="E300" s="13"/>
      <c r="F300" s="14"/>
      <c r="G300" s="13"/>
      <c r="H300" s="13"/>
      <c r="I300" s="14"/>
    </row>
    <row r="301" spans="1:9">
      <c r="A301" s="13"/>
      <c r="B301" s="18"/>
      <c r="C301" s="13"/>
      <c r="D301" s="13"/>
      <c r="E301" s="13"/>
      <c r="F301" s="14"/>
      <c r="G301" s="13"/>
      <c r="H301" s="13"/>
      <c r="I301" s="14"/>
    </row>
    <row r="302" spans="1:9">
      <c r="A302" s="13"/>
      <c r="B302" s="18"/>
      <c r="C302" s="13"/>
      <c r="D302" s="13"/>
      <c r="E302" s="13"/>
      <c r="F302" s="14"/>
      <c r="G302" s="13"/>
      <c r="H302" s="13"/>
      <c r="I302" s="14"/>
    </row>
    <row r="303" spans="1:9">
      <c r="A303" s="13"/>
      <c r="B303" s="18"/>
      <c r="C303" s="13"/>
      <c r="D303" s="13"/>
      <c r="E303" s="13"/>
      <c r="F303" s="14"/>
      <c r="G303" s="13"/>
      <c r="H303" s="13"/>
      <c r="I303" s="14"/>
    </row>
    <row r="304" spans="1:9">
      <c r="A304" s="13"/>
      <c r="B304" s="18"/>
      <c r="C304" s="13"/>
      <c r="D304" s="13"/>
      <c r="E304" s="13"/>
      <c r="F304" s="14"/>
      <c r="G304" s="13"/>
      <c r="H304" s="13"/>
      <c r="I304" s="14"/>
    </row>
    <row r="305" spans="1:9">
      <c r="A305" s="13"/>
      <c r="B305" s="18"/>
      <c r="C305" s="13"/>
      <c r="D305" s="13"/>
      <c r="E305" s="13"/>
      <c r="F305" s="14"/>
      <c r="G305" s="13"/>
      <c r="H305" s="13"/>
      <c r="I305" s="14"/>
    </row>
    <row r="306" spans="1:9">
      <c r="A306" s="13"/>
      <c r="B306" s="18"/>
      <c r="C306" s="13"/>
      <c r="D306" s="13"/>
      <c r="E306" s="13"/>
      <c r="F306" s="14"/>
      <c r="G306" s="13"/>
      <c r="H306" s="13"/>
      <c r="I306" s="14"/>
    </row>
    <row r="307" spans="1:9">
      <c r="A307" s="13"/>
      <c r="B307" s="18"/>
      <c r="C307" s="13"/>
      <c r="D307" s="13"/>
      <c r="E307" s="13"/>
      <c r="F307" s="14"/>
      <c r="G307" s="13"/>
      <c r="H307" s="13"/>
      <c r="I307" s="14"/>
    </row>
    <row r="308" spans="1:9">
      <c r="A308" s="13"/>
      <c r="B308" s="18"/>
      <c r="C308" s="13"/>
      <c r="D308" s="13"/>
      <c r="E308" s="13"/>
      <c r="F308" s="14"/>
      <c r="G308" s="13"/>
      <c r="H308" s="13"/>
      <c r="I308" s="14"/>
    </row>
    <row r="309" spans="1:9">
      <c r="A309" s="13"/>
      <c r="B309" s="18"/>
      <c r="C309" s="13"/>
      <c r="D309" s="13"/>
      <c r="E309" s="13"/>
      <c r="F309" s="14"/>
      <c r="G309" s="13"/>
      <c r="H309" s="13"/>
      <c r="I309" s="14"/>
    </row>
    <row r="310" spans="1:9">
      <c r="A310" s="13"/>
      <c r="B310" s="18"/>
      <c r="C310" s="13"/>
      <c r="D310" s="13"/>
      <c r="E310" s="13"/>
      <c r="F310" s="14"/>
      <c r="G310" s="13"/>
      <c r="H310" s="13"/>
      <c r="I310" s="14"/>
    </row>
    <row r="311" spans="1:9">
      <c r="A311" s="13"/>
      <c r="B311" s="18"/>
      <c r="C311" s="13"/>
      <c r="D311" s="13"/>
      <c r="E311" s="13"/>
      <c r="F311" s="14"/>
      <c r="G311" s="13"/>
      <c r="H311" s="13"/>
      <c r="I311" s="14"/>
    </row>
    <row r="312" spans="1:9">
      <c r="A312" s="13"/>
      <c r="B312" s="18"/>
      <c r="C312" s="13"/>
      <c r="D312" s="13"/>
      <c r="E312" s="13"/>
      <c r="F312" s="14"/>
      <c r="G312" s="13"/>
      <c r="H312" s="13"/>
      <c r="I312" s="14"/>
    </row>
    <row r="313" spans="1:9">
      <c r="A313" s="13"/>
      <c r="B313" s="18"/>
      <c r="C313" s="13"/>
      <c r="D313" s="13"/>
      <c r="E313" s="13"/>
      <c r="F313" s="14"/>
      <c r="G313" s="13"/>
      <c r="H313" s="13"/>
      <c r="I313" s="14"/>
    </row>
    <row r="314" spans="1:9">
      <c r="A314" s="13"/>
      <c r="B314" s="18"/>
      <c r="C314" s="13"/>
      <c r="D314" s="13"/>
      <c r="E314" s="13"/>
      <c r="F314" s="14"/>
      <c r="G314" s="13"/>
      <c r="H314" s="13"/>
      <c r="I314" s="14"/>
    </row>
    <row r="315" spans="1:9">
      <c r="A315" s="13"/>
      <c r="B315" s="18"/>
      <c r="C315" s="13"/>
      <c r="D315" s="13"/>
      <c r="E315" s="13"/>
      <c r="F315" s="14"/>
      <c r="G315" s="13"/>
      <c r="H315" s="13"/>
      <c r="I315" s="14"/>
    </row>
    <row r="316" spans="1:9">
      <c r="A316" s="13"/>
      <c r="B316" s="18"/>
      <c r="C316" s="13"/>
      <c r="D316" s="13"/>
      <c r="E316" s="13"/>
      <c r="F316" s="14"/>
      <c r="G316" s="13"/>
      <c r="H316" s="13"/>
      <c r="I316" s="14"/>
    </row>
    <row r="317" spans="1:9">
      <c r="A317" s="13"/>
      <c r="B317" s="18"/>
      <c r="C317" s="13"/>
      <c r="D317" s="13"/>
      <c r="E317" s="13"/>
      <c r="F317" s="14"/>
      <c r="G317" s="13"/>
      <c r="H317" s="13"/>
      <c r="I317" s="14"/>
    </row>
    <row r="318" spans="1:9">
      <c r="A318" s="13"/>
      <c r="B318" s="18"/>
      <c r="C318" s="13"/>
      <c r="D318" s="13"/>
      <c r="E318" s="13"/>
      <c r="F318" s="14"/>
      <c r="G318" s="13"/>
      <c r="H318" s="13"/>
      <c r="I318" s="14"/>
    </row>
    <row r="319" spans="1:9">
      <c r="A319" s="13"/>
      <c r="B319" s="18"/>
      <c r="C319" s="13"/>
      <c r="D319" s="13"/>
      <c r="E319" s="13"/>
      <c r="F319" s="14"/>
      <c r="G319" s="13"/>
      <c r="H319" s="13"/>
      <c r="I319" s="14"/>
    </row>
    <row r="320" spans="1:9">
      <c r="A320" s="13"/>
      <c r="B320" s="18"/>
      <c r="C320" s="13"/>
      <c r="D320" s="13"/>
      <c r="E320" s="13"/>
      <c r="F320" s="14"/>
      <c r="G320" s="13"/>
      <c r="H320" s="13"/>
      <c r="I320" s="14"/>
    </row>
    <row r="321" spans="1:9">
      <c r="A321" s="13"/>
      <c r="B321" s="18"/>
      <c r="C321" s="13"/>
      <c r="D321" s="13"/>
      <c r="E321" s="13"/>
      <c r="F321" s="14"/>
      <c r="G321" s="13"/>
      <c r="H321" s="13"/>
      <c r="I321" s="14"/>
    </row>
    <row r="322" spans="1:9">
      <c r="A322" s="13"/>
      <c r="B322" s="18"/>
      <c r="C322" s="13"/>
      <c r="D322" s="13"/>
      <c r="E322" s="13"/>
      <c r="F322" s="14"/>
      <c r="G322" s="13"/>
      <c r="H322" s="13"/>
      <c r="I322" s="14"/>
    </row>
    <row r="323" spans="1:9">
      <c r="A323" s="13"/>
      <c r="B323" s="18"/>
      <c r="C323" s="13"/>
      <c r="D323" s="13"/>
      <c r="E323" s="13"/>
      <c r="F323" s="14"/>
      <c r="G323" s="13"/>
      <c r="H323" s="13"/>
      <c r="I323" s="14"/>
    </row>
    <row r="324" spans="1:9">
      <c r="A324" s="13"/>
      <c r="B324" s="18"/>
      <c r="C324" s="13"/>
      <c r="D324" s="13"/>
      <c r="E324" s="13"/>
      <c r="F324" s="14"/>
      <c r="G324" s="13"/>
      <c r="H324" s="13"/>
      <c r="I324" s="14"/>
    </row>
    <row r="325" spans="1:9">
      <c r="A325" s="13"/>
      <c r="B325" s="18"/>
      <c r="C325" s="13"/>
      <c r="D325" s="13"/>
      <c r="E325" s="13"/>
      <c r="F325" s="14"/>
      <c r="G325" s="13"/>
      <c r="H325" s="13"/>
      <c r="I325" s="14"/>
    </row>
    <row r="326" spans="1:9">
      <c r="A326" s="13"/>
      <c r="B326" s="18"/>
      <c r="C326" s="13"/>
      <c r="D326" s="13"/>
      <c r="E326" s="13"/>
      <c r="F326" s="14"/>
      <c r="G326" s="13"/>
      <c r="H326" s="13"/>
      <c r="I326" s="14"/>
    </row>
    <row r="327" spans="1:9">
      <c r="A327" s="13"/>
      <c r="B327" s="18"/>
      <c r="C327" s="13"/>
      <c r="D327" s="13"/>
      <c r="E327" s="13"/>
      <c r="F327" s="14"/>
      <c r="G327" s="13"/>
      <c r="H327" s="13"/>
      <c r="I327" s="14"/>
    </row>
    <row r="328" spans="1:9">
      <c r="A328" s="13"/>
      <c r="B328" s="18"/>
      <c r="C328" s="13"/>
      <c r="D328" s="13"/>
      <c r="E328" s="13"/>
      <c r="F328" s="14"/>
      <c r="G328" s="13"/>
      <c r="H328" s="13"/>
      <c r="I328" s="14"/>
    </row>
    <row r="329" spans="1:9">
      <c r="A329" s="13"/>
      <c r="B329" s="18"/>
      <c r="C329" s="13"/>
      <c r="D329" s="13"/>
      <c r="E329" s="13"/>
      <c r="F329" s="14"/>
      <c r="G329" s="13"/>
      <c r="H329" s="13"/>
      <c r="I329" s="14"/>
    </row>
    <row r="330" spans="1:9">
      <c r="A330" s="13"/>
      <c r="B330" s="18"/>
      <c r="C330" s="13"/>
      <c r="D330" s="13"/>
      <c r="E330" s="13"/>
      <c r="F330" s="14"/>
      <c r="G330" s="13"/>
      <c r="H330" s="13"/>
      <c r="I330" s="14"/>
    </row>
    <row r="331" spans="1:9">
      <c r="A331" s="13"/>
      <c r="B331" s="18"/>
      <c r="C331" s="13"/>
      <c r="D331" s="13"/>
      <c r="E331" s="13"/>
      <c r="F331" s="14"/>
      <c r="G331" s="13"/>
      <c r="H331" s="13"/>
      <c r="I331" s="14"/>
    </row>
    <row r="332" spans="1:9">
      <c r="A332" s="13"/>
      <c r="B332" s="18"/>
      <c r="C332" s="13"/>
      <c r="D332" s="13"/>
      <c r="E332" s="13"/>
      <c r="F332" s="14"/>
      <c r="G332" s="13"/>
      <c r="H332" s="13"/>
      <c r="I332" s="14"/>
    </row>
    <row r="333" spans="1:9">
      <c r="A333" s="13"/>
      <c r="B333" s="18"/>
      <c r="C333" s="13"/>
      <c r="D333" s="13"/>
      <c r="E333" s="13"/>
      <c r="F333" s="14"/>
      <c r="G333" s="13"/>
      <c r="H333" s="13"/>
      <c r="I333" s="14"/>
    </row>
    <row r="334" spans="1:9">
      <c r="A334" s="13"/>
      <c r="B334" s="18"/>
      <c r="C334" s="13"/>
      <c r="D334" s="13"/>
      <c r="E334" s="13"/>
      <c r="F334" s="14"/>
      <c r="G334" s="13"/>
      <c r="H334" s="13"/>
      <c r="I334" s="14"/>
    </row>
    <row r="335" spans="1:9">
      <c r="A335" s="13"/>
      <c r="B335" s="18"/>
      <c r="C335" s="13"/>
      <c r="D335" s="13"/>
      <c r="E335" s="13"/>
      <c r="F335" s="14"/>
      <c r="G335" s="13"/>
      <c r="H335" s="13"/>
      <c r="I335" s="14"/>
    </row>
    <row r="336" spans="1:9">
      <c r="A336" s="13"/>
      <c r="B336" s="18"/>
      <c r="C336" s="13"/>
      <c r="D336" s="13"/>
      <c r="E336" s="13"/>
      <c r="F336" s="14"/>
      <c r="G336" s="13"/>
      <c r="H336" s="13"/>
      <c r="I336" s="14"/>
    </row>
    <row r="337" spans="1:9">
      <c r="A337" s="13"/>
      <c r="B337" s="18"/>
      <c r="C337" s="13"/>
      <c r="D337" s="13"/>
      <c r="E337" s="13"/>
      <c r="F337" s="14"/>
      <c r="G337" s="13"/>
      <c r="H337" s="13"/>
      <c r="I337" s="14"/>
    </row>
    <row r="338" spans="1:9">
      <c r="A338" s="13"/>
      <c r="B338" s="18"/>
      <c r="C338" s="13"/>
      <c r="D338" s="13"/>
      <c r="E338" s="13"/>
      <c r="F338" s="14"/>
      <c r="G338" s="13"/>
      <c r="H338" s="13"/>
      <c r="I338" s="14"/>
    </row>
    <row r="339" spans="1:9">
      <c r="A339" s="13"/>
      <c r="B339" s="18"/>
      <c r="C339" s="13"/>
      <c r="D339" s="13"/>
      <c r="E339" s="13"/>
      <c r="F339" s="14"/>
      <c r="G339" s="13"/>
      <c r="H339" s="13"/>
      <c r="I339" s="14"/>
    </row>
    <row r="340" spans="1:9">
      <c r="A340" s="13"/>
      <c r="B340" s="18"/>
      <c r="C340" s="13"/>
      <c r="D340" s="13"/>
      <c r="E340" s="13"/>
      <c r="F340" s="14"/>
      <c r="G340" s="13"/>
      <c r="H340" s="13"/>
      <c r="I340" s="14"/>
    </row>
    <row r="341" spans="1:9">
      <c r="C341" s="13"/>
      <c r="D341" s="13"/>
      <c r="E341" s="13"/>
      <c r="F341" s="14"/>
      <c r="G341" s="13"/>
      <c r="H341" s="13"/>
      <c r="I341" s="14"/>
    </row>
  </sheetData>
  <mergeCells count="4">
    <mergeCell ref="G1:I1"/>
    <mergeCell ref="A1:C1"/>
    <mergeCell ref="D1:F1"/>
    <mergeCell ref="A2:B2"/>
  </mergeCells>
  <conditionalFormatting sqref="F2 I2 F4:F99 I4:I99">
    <cfRule type="cellIs" dxfId="24" priority="1" stopIfTrue="1" operator="lessThanOrEqual">
      <formula>-0.1</formula>
    </cfRule>
    <cfRule type="expression" dxfId="23" priority="2">
      <formula>AND(ISNUMBER(F2), F2&gt;=0.1)</formula>
    </cfRule>
  </conditionalFormatting>
  <hyperlinks>
    <hyperlink ref="K4" r:id="rId1" display="https://us3.assetplanner.com/service_request?ID=097092" xr:uid="{09AAF91E-37BB-4309-BB4B-1D6E936B5889}"/>
    <hyperlink ref="L4" r:id="rId2" display="https://us3.assetplanner.com/service_request?ID=097707" xr:uid="{7D07A56B-69D0-4392-9975-52C9CAE988B5}"/>
    <hyperlink ref="K6" r:id="rId3" display="https://us3.assetplanner.com/service_request?ID=097002" xr:uid="{6C99C264-5491-4324-9AB4-0A51333ADBD7}"/>
    <hyperlink ref="K7" r:id="rId4" display="https://us3.assetplanner.com/service_request?ID=097177" xr:uid="{94EAD14A-4353-4EC5-AFC8-C0D13D1E6AE4}"/>
    <hyperlink ref="K9" r:id="rId5" display="https://us3.assetplanner.com/service_request?ID=095399" xr:uid="{E33F1A33-F38A-4626-8DFC-3F91EDA95B76}"/>
    <hyperlink ref="K10" r:id="rId6" display="https://us3.assetplanner.com/service_request?ID=095398" xr:uid="{42606E2A-4D2D-44FB-AA3B-B8259CB80B50}"/>
    <hyperlink ref="K11" r:id="rId7" display="https://us3.assetplanner.com/service_request?ID=097186" xr:uid="{25EDDBE1-9946-485F-81BF-3DFC3DA1AAED}"/>
    <hyperlink ref="K15" r:id="rId8" display="https://us3.assetplanner.com/service_request?ID=097782" xr:uid="{79E2C1F2-D4B4-4746-B4D8-1FCE5716E713}"/>
    <hyperlink ref="K17" r:id="rId9" display="https://us3.assetplanner.com/service_request?ID=096228" xr:uid="{F30D4116-2D98-4698-9A12-DE9F8553A2EB}"/>
    <hyperlink ref="L17" r:id="rId10" display="https://us3.assetplanner.com/service_request?ID=097629" xr:uid="{4503B9A9-DD81-41C5-A52C-7701F8FCAEFB}"/>
    <hyperlink ref="K18" r:id="rId11" display="https://us3.assetplanner.com/service_request?ID=096225" xr:uid="{3905987B-BC35-4B30-BDF8-0B1ED0269149}"/>
    <hyperlink ref="L18" r:id="rId12" display="https://us3.assetplanner.com/service_request?ID=097630" xr:uid="{5568492F-B3B1-43B7-B800-4699867FB34D}"/>
    <hyperlink ref="K24" r:id="rId13" display="https://us3.assetplanner.com/service_request?ID=097765" xr:uid="{6724D1C3-5AB8-43BB-9C43-BAEDFDDA4B6B}"/>
    <hyperlink ref="L24" r:id="rId14" display="https://us3.assetplanner.com/service_request?ID=097177" xr:uid="{65177CF8-3441-4C2B-A093-57AFA5A7B30B}"/>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N341"/>
  <sheetViews>
    <sheetView zoomScale="90" zoomScaleNormal="90" workbookViewId="0">
      <pane xSplit="2" ySplit="3" topLeftCell="C4" activePane="bottomRight" state="frozen"/>
      <selection pane="bottomRight" activeCell="J20" sqref="J20"/>
      <selection pane="bottomLeft" activeCell="J14" sqref="J14"/>
      <selection pane="topRight" activeCell="J14" sqref="J1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115" t="str" cm="1">
        <f t="array" ref="A1">portfolio</f>
        <v>38 DN</v>
      </c>
      <c r="B1" s="115"/>
      <c r="C1" s="115"/>
      <c r="D1" s="116" t="s">
        <v>79</v>
      </c>
      <c r="E1" s="116"/>
      <c r="F1" s="116"/>
      <c r="G1" s="114" t="s">
        <v>80</v>
      </c>
      <c r="H1" s="114"/>
      <c r="I1" s="114"/>
      <c r="J1" s="4"/>
      <c r="K1" s="4"/>
    </row>
    <row r="2" spans="1:14" ht="19.5" customHeight="1">
      <c r="A2" s="117" t="s">
        <v>2</v>
      </c>
      <c r="B2" s="117"/>
      <c r="C2" s="5">
        <f>SUM(C4:C99)</f>
        <v>3815147</v>
      </c>
      <c r="D2" s="5">
        <f>SUM(D4:D99)</f>
        <v>4065663.2700000005</v>
      </c>
      <c r="E2" s="5">
        <f>C2-D2</f>
        <v>-250516.27000000048</v>
      </c>
      <c r="F2" s="6">
        <f>IFERROR(E2/D2, 0)</f>
        <v>-6.1617564801425488E-2</v>
      </c>
      <c r="G2" s="5">
        <f>SUM(G4:G99)</f>
        <v>3939893.22</v>
      </c>
      <c r="H2" s="7">
        <f>C2-G2</f>
        <v>-124746.2200000002</v>
      </c>
      <c r="I2" s="6">
        <f>IFERROR(H2/G2, 0)</f>
        <v>-3.1662335254862617E-2</v>
      </c>
      <c r="J2" s="16"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17" t="s">
        <v>3</v>
      </c>
      <c r="B3" s="17" t="s">
        <v>4</v>
      </c>
      <c r="C3" s="27" t="s">
        <v>5</v>
      </c>
      <c r="D3" s="28" t="s">
        <v>6</v>
      </c>
      <c r="E3" s="28" t="s">
        <v>7</v>
      </c>
      <c r="F3" s="29" t="s">
        <v>8</v>
      </c>
      <c r="G3" s="30" t="s">
        <v>9</v>
      </c>
      <c r="H3" s="31" t="s">
        <v>7</v>
      </c>
      <c r="I3" s="32" t="s">
        <v>8</v>
      </c>
      <c r="J3" s="15" t="s">
        <v>20</v>
      </c>
      <c r="K3" s="15" t="s">
        <v>21</v>
      </c>
    </row>
    <row r="4" spans="1:14" ht="15.6">
      <c r="A4" s="47" t="str" cm="1">
        <f t="array" ref="A4:A27">Sites[Site]</f>
        <v>6th St.</v>
      </c>
      <c r="B4" s="48" t="str" cm="1">
        <f t="array" ref="B4:B27">Sites[State]</f>
        <v>CA</v>
      </c>
      <c r="C4" s="36">
        <v>175073</v>
      </c>
      <c r="D4" s="37">
        <v>128434.8</v>
      </c>
      <c r="E4" s="37">
        <f>IF(AND(ISNUMBER(C4),ISNUMBER(D4)), C4-D4, "")</f>
        <v>46638.2</v>
      </c>
      <c r="F4" s="38">
        <f>IFERROR(E4/D4, "")</f>
        <v>0.36312743898071237</v>
      </c>
      <c r="G4" s="39">
        <v>191408.1</v>
      </c>
      <c r="H4" s="39">
        <f>IF(AND(ISNUMBER(C4),ISNUMBER(G4)), C4-G4, "")</f>
        <v>-16335.100000000006</v>
      </c>
      <c r="I4" s="40">
        <f>IFERROR(H4/G4, "")</f>
        <v>-8.5341738411279386E-2</v>
      </c>
      <c r="J4" s="66"/>
      <c r="K4" s="66"/>
      <c r="L4" s="87"/>
      <c r="M4" s="87"/>
      <c r="N4" s="87"/>
    </row>
    <row r="5" spans="1:14" ht="15.6">
      <c r="A5" s="49" t="str">
        <v>Barton Acres</v>
      </c>
      <c r="B5" s="50" t="str">
        <v>MA</v>
      </c>
      <c r="C5" s="43">
        <v>148683</v>
      </c>
      <c r="D5" s="44">
        <v>163521.20000000001</v>
      </c>
      <c r="E5" s="44">
        <f t="shared" ref="E5:E24" si="0">IF(AND(ISNUMBER(C5),ISNUMBER(D5)), C5-D5, "")</f>
        <v>-14838.200000000012</v>
      </c>
      <c r="F5" s="45">
        <f>IFERROR(E5/D5, "")</f>
        <v>-9.0741750916700781E-2</v>
      </c>
      <c r="G5" s="46">
        <v>141956.70000000001</v>
      </c>
      <c r="H5" s="46">
        <f t="shared" ref="H5:H24" si="1">IF(AND(ISNUMBER(C5),ISNUMBER(G5)), C5-G5, "")</f>
        <v>6726.2999999999884</v>
      </c>
      <c r="I5" s="45">
        <f t="shared" ref="I5:I24" si="2">IFERROR(H5/G5, "")</f>
        <v>4.7382758263611283E-2</v>
      </c>
      <c r="J5" s="67"/>
      <c r="K5" s="67"/>
      <c r="L5" s="87"/>
      <c r="M5" s="87"/>
      <c r="N5" s="87"/>
    </row>
    <row r="6" spans="1:14" ht="115.15">
      <c r="A6" s="51" t="str">
        <v>Bowden</v>
      </c>
      <c r="B6" s="48" t="str">
        <v>MA</v>
      </c>
      <c r="C6" s="36">
        <v>292874</v>
      </c>
      <c r="D6" s="37">
        <v>310619</v>
      </c>
      <c r="E6" s="37">
        <f t="shared" si="0"/>
        <v>-17745</v>
      </c>
      <c r="F6" s="38">
        <f>IFERROR(E6/D6, "")</f>
        <v>-5.7127864039224902E-2</v>
      </c>
      <c r="G6" s="39">
        <v>298190.40000000002</v>
      </c>
      <c r="H6" s="39">
        <f t="shared" si="1"/>
        <v>-5316.4000000000233</v>
      </c>
      <c r="I6" s="40">
        <f t="shared" si="2"/>
        <v>-1.7828877120121985E-2</v>
      </c>
      <c r="J6" s="66" t="s">
        <v>81</v>
      </c>
      <c r="K6" s="80" t="s">
        <v>82</v>
      </c>
      <c r="L6" s="88" t="s">
        <v>83</v>
      </c>
      <c r="M6" s="88" t="s">
        <v>84</v>
      </c>
      <c r="N6" s="87"/>
    </row>
    <row r="7" spans="1:14" ht="28.9">
      <c r="A7" s="49" t="str">
        <v>Blair Wire Village</v>
      </c>
      <c r="B7" s="50" t="str">
        <v>MA</v>
      </c>
      <c r="C7" s="43">
        <v>152460</v>
      </c>
      <c r="D7" s="44">
        <v>175799.9</v>
      </c>
      <c r="E7" s="44">
        <f t="shared" si="0"/>
        <v>-23339.899999999994</v>
      </c>
      <c r="F7" s="45">
        <f t="shared" ref="F7:F24" si="3">IFERROR(E7/D7, "")</f>
        <v>-0.13276401181115571</v>
      </c>
      <c r="G7" s="46">
        <v>149258.6</v>
      </c>
      <c r="H7" s="46">
        <f t="shared" si="1"/>
        <v>3201.3999999999942</v>
      </c>
      <c r="I7" s="45">
        <f t="shared" si="2"/>
        <v>2.1448680344047136E-2</v>
      </c>
      <c r="J7" s="67" t="s">
        <v>85</v>
      </c>
      <c r="K7" s="82" t="s">
        <v>86</v>
      </c>
      <c r="L7" s="87"/>
      <c r="M7" s="87"/>
      <c r="N7" s="87"/>
    </row>
    <row r="8" spans="1:14" ht="43.15">
      <c r="A8" s="51" t="str">
        <v>Boutilier</v>
      </c>
      <c r="B8" s="48" t="str">
        <v>MA</v>
      </c>
      <c r="C8" s="36">
        <v>427944</v>
      </c>
      <c r="D8" s="37">
        <v>437590.3</v>
      </c>
      <c r="E8" s="37">
        <f t="shared" si="0"/>
        <v>-9646.2999999999884</v>
      </c>
      <c r="F8" s="38">
        <f t="shared" si="3"/>
        <v>-2.2044135804655609E-2</v>
      </c>
      <c r="G8" s="39">
        <v>389688.4</v>
      </c>
      <c r="H8" s="39">
        <f t="shared" si="1"/>
        <v>38255.599999999977</v>
      </c>
      <c r="I8" s="40">
        <f t="shared" si="2"/>
        <v>9.8169717138103102E-2</v>
      </c>
      <c r="J8" s="66" t="s">
        <v>87</v>
      </c>
      <c r="K8" s="80" t="s">
        <v>88</v>
      </c>
      <c r="L8" s="87"/>
      <c r="M8" s="87"/>
      <c r="N8" s="87"/>
    </row>
    <row r="9" spans="1:14" ht="28.9">
      <c r="A9" s="49" t="str">
        <v>Cherry Valley</v>
      </c>
      <c r="B9" s="50" t="str">
        <v>MA</v>
      </c>
      <c r="C9" s="43">
        <v>145853</v>
      </c>
      <c r="D9" s="44">
        <v>171983.9</v>
      </c>
      <c r="E9" s="44">
        <f t="shared" si="0"/>
        <v>-26130.899999999994</v>
      </c>
      <c r="F9" s="45">
        <f t="shared" si="3"/>
        <v>-0.15193805931834314</v>
      </c>
      <c r="G9" s="46">
        <v>146986</v>
      </c>
      <c r="H9" s="46">
        <f t="shared" si="1"/>
        <v>-1133</v>
      </c>
      <c r="I9" s="45">
        <f t="shared" si="2"/>
        <v>-7.7082171091124325E-3</v>
      </c>
      <c r="J9" s="67" t="s">
        <v>89</v>
      </c>
      <c r="K9" s="82" t="s">
        <v>90</v>
      </c>
      <c r="L9" s="87"/>
      <c r="M9" s="87"/>
      <c r="N9" s="87"/>
    </row>
    <row r="10" spans="1:14" ht="28.9">
      <c r="A10" s="51" t="str">
        <v>Cohasse</v>
      </c>
      <c r="B10" s="48" t="str">
        <v>MA</v>
      </c>
      <c r="C10" s="36">
        <v>143273</v>
      </c>
      <c r="D10" s="37">
        <v>160621.1</v>
      </c>
      <c r="E10" s="37">
        <f t="shared" si="0"/>
        <v>-17348.100000000006</v>
      </c>
      <c r="F10" s="38">
        <f t="shared" si="3"/>
        <v>-0.10800635781973854</v>
      </c>
      <c r="G10" s="39">
        <v>170962.6</v>
      </c>
      <c r="H10" s="39">
        <f t="shared" si="1"/>
        <v>-27689.600000000006</v>
      </c>
      <c r="I10" s="40">
        <f t="shared" si="2"/>
        <v>-0.16196290884673026</v>
      </c>
      <c r="J10" s="66" t="s">
        <v>91</v>
      </c>
      <c r="K10" s="66" t="s">
        <v>92</v>
      </c>
      <c r="L10" s="87"/>
      <c r="M10" s="87"/>
      <c r="N10" s="87"/>
    </row>
    <row r="11" spans="1:14" ht="28.9">
      <c r="A11" s="49" t="str">
        <v>ISM Dighton Solar 2</v>
      </c>
      <c r="B11" s="50" t="str">
        <v>MA</v>
      </c>
      <c r="C11" s="43">
        <v>322803</v>
      </c>
      <c r="D11" s="44">
        <v>314536.90000000002</v>
      </c>
      <c r="E11" s="44">
        <f t="shared" si="0"/>
        <v>8266.0999999999767</v>
      </c>
      <c r="F11" s="45">
        <f t="shared" si="3"/>
        <v>2.6280223401451391E-2</v>
      </c>
      <c r="G11" s="46">
        <v>303128</v>
      </c>
      <c r="H11" s="46">
        <f t="shared" si="1"/>
        <v>19675</v>
      </c>
      <c r="I11" s="45">
        <f t="shared" si="2"/>
        <v>6.4906574120503546E-2</v>
      </c>
      <c r="J11" s="67" t="s">
        <v>93</v>
      </c>
      <c r="K11" s="67" t="s">
        <v>94</v>
      </c>
      <c r="L11" s="87"/>
      <c r="M11" s="87"/>
      <c r="N11" s="87"/>
    </row>
    <row r="12" spans="1:14" ht="82.5" customHeight="1">
      <c r="A12" s="51" t="str">
        <v>Dudley River 1</v>
      </c>
      <c r="B12" s="48" t="str">
        <v>MA</v>
      </c>
      <c r="C12" s="36">
        <v>135999</v>
      </c>
      <c r="D12" s="37">
        <v>155236.5</v>
      </c>
      <c r="E12" s="37">
        <f t="shared" si="0"/>
        <v>-19237.5</v>
      </c>
      <c r="F12" s="38">
        <f t="shared" si="3"/>
        <v>-0.12392381946256197</v>
      </c>
      <c r="G12" s="39">
        <v>155531.4</v>
      </c>
      <c r="H12" s="39">
        <f t="shared" si="1"/>
        <v>-19532.399999999994</v>
      </c>
      <c r="I12" s="40">
        <f t="shared" si="2"/>
        <v>-0.12558493011700528</v>
      </c>
      <c r="J12" s="66" t="s">
        <v>95</v>
      </c>
      <c r="K12" s="80" t="s">
        <v>96</v>
      </c>
      <c r="L12" s="88" t="s">
        <v>97</v>
      </c>
      <c r="M12" s="87"/>
      <c r="N12" s="87"/>
    </row>
    <row r="13" spans="1:14" ht="43.15">
      <c r="A13" s="49" t="str">
        <v>Dudley River 2</v>
      </c>
      <c r="B13" s="50" t="str">
        <v>MA</v>
      </c>
      <c r="C13" s="43">
        <v>149533</v>
      </c>
      <c r="D13" s="44">
        <v>155423</v>
      </c>
      <c r="E13" s="44">
        <f t="shared" si="0"/>
        <v>-5890</v>
      </c>
      <c r="F13" s="45">
        <f t="shared" si="3"/>
        <v>-3.7896579013402133E-2</v>
      </c>
      <c r="G13" s="46">
        <v>148332.29999999999</v>
      </c>
      <c r="H13" s="46">
        <f t="shared" si="1"/>
        <v>1200.7000000000116</v>
      </c>
      <c r="I13" s="45">
        <f t="shared" si="2"/>
        <v>8.094663131361219E-3</v>
      </c>
      <c r="J13" s="67" t="s">
        <v>98</v>
      </c>
      <c r="K13" s="82" t="s">
        <v>99</v>
      </c>
      <c r="L13" s="87"/>
      <c r="M13" s="87"/>
      <c r="N13" s="87"/>
    </row>
    <row r="14" spans="1:14" ht="28.9">
      <c r="A14" s="51" t="str">
        <v>Dudley River 3</v>
      </c>
      <c r="B14" s="48" t="str">
        <v>MA</v>
      </c>
      <c r="C14" s="36">
        <v>154710</v>
      </c>
      <c r="D14" s="37">
        <v>155787.1</v>
      </c>
      <c r="E14" s="37">
        <f t="shared" si="0"/>
        <v>-1077.1000000000058</v>
      </c>
      <c r="F14" s="38">
        <f t="shared" si="3"/>
        <v>-6.9139229114606139E-3</v>
      </c>
      <c r="G14" s="39">
        <v>149970.79999999999</v>
      </c>
      <c r="H14" s="39">
        <f t="shared" si="1"/>
        <v>4739.2000000000116</v>
      </c>
      <c r="I14" s="40">
        <f t="shared" si="2"/>
        <v>3.160081829262771E-2</v>
      </c>
      <c r="J14" s="66" t="s">
        <v>100</v>
      </c>
      <c r="K14" s="66" t="s">
        <v>101</v>
      </c>
      <c r="L14" s="87"/>
      <c r="M14" s="87"/>
      <c r="N14" s="87"/>
    </row>
    <row r="15" spans="1:14" ht="28.9">
      <c r="A15" s="49" t="str">
        <v>Flint Pond</v>
      </c>
      <c r="B15" s="50" t="str">
        <v>MA</v>
      </c>
      <c r="C15" s="43">
        <v>72348.5</v>
      </c>
      <c r="D15" s="44">
        <v>75418.2</v>
      </c>
      <c r="E15" s="44">
        <f t="shared" si="0"/>
        <v>-3069.6999999999971</v>
      </c>
      <c r="F15" s="45">
        <f t="shared" si="3"/>
        <v>-4.0702376879851246E-2</v>
      </c>
      <c r="G15" s="46">
        <v>68224.89</v>
      </c>
      <c r="H15" s="46">
        <f t="shared" si="1"/>
        <v>4123.6100000000006</v>
      </c>
      <c r="I15" s="45">
        <f t="shared" si="2"/>
        <v>6.0441431272369964E-2</v>
      </c>
      <c r="J15" s="67" t="s">
        <v>102</v>
      </c>
      <c r="K15" s="82" t="s">
        <v>103</v>
      </c>
      <c r="L15" s="87"/>
      <c r="M15" s="87"/>
      <c r="N15" s="87"/>
    </row>
    <row r="16" spans="1:14" ht="28.9">
      <c r="A16" s="51" t="str">
        <v>Incom</v>
      </c>
      <c r="B16" s="48" t="str">
        <v>MA</v>
      </c>
      <c r="C16" s="36">
        <v>319151</v>
      </c>
      <c r="D16" s="37">
        <v>361329.6</v>
      </c>
      <c r="E16" s="37">
        <f t="shared" si="0"/>
        <v>-42178.599999999977</v>
      </c>
      <c r="F16" s="38">
        <f t="shared" si="3"/>
        <v>-0.11673164888788513</v>
      </c>
      <c r="G16" s="39">
        <v>341407.2</v>
      </c>
      <c r="H16" s="39">
        <f t="shared" si="1"/>
        <v>-22256.200000000012</v>
      </c>
      <c r="I16" s="40">
        <f t="shared" si="2"/>
        <v>-6.5189603499867632E-2</v>
      </c>
      <c r="J16" s="66" t="s">
        <v>104</v>
      </c>
      <c r="K16" s="80" t="s">
        <v>105</v>
      </c>
      <c r="L16" s="88" t="s">
        <v>106</v>
      </c>
      <c r="M16" s="87"/>
      <c r="N16" s="87"/>
    </row>
    <row r="17" spans="1:14" ht="57.6">
      <c r="A17" s="49" t="str">
        <v>JH</v>
      </c>
      <c r="B17" s="50" t="str">
        <v>MA</v>
      </c>
      <c r="C17" s="43">
        <v>143475</v>
      </c>
      <c r="D17" s="44">
        <v>164963.29999999999</v>
      </c>
      <c r="E17" s="44">
        <f t="shared" si="0"/>
        <v>-21488.299999999988</v>
      </c>
      <c r="F17" s="45">
        <f t="shared" si="3"/>
        <v>-0.13026109443736875</v>
      </c>
      <c r="G17" s="46">
        <v>164681</v>
      </c>
      <c r="H17" s="46">
        <f t="shared" si="1"/>
        <v>-21206</v>
      </c>
      <c r="I17" s="45">
        <f t="shared" si="2"/>
        <v>-0.12877016777891803</v>
      </c>
      <c r="J17" s="67" t="s">
        <v>107</v>
      </c>
      <c r="K17" s="82" t="s">
        <v>108</v>
      </c>
      <c r="L17" s="87"/>
      <c r="M17" s="87"/>
      <c r="N17" s="87"/>
    </row>
    <row r="18" spans="1:14" ht="57.6">
      <c r="A18" s="86" t="str">
        <v>Ledeaux</v>
      </c>
      <c r="B18" s="48" t="str">
        <v>MA</v>
      </c>
      <c r="C18" s="36">
        <v>131566</v>
      </c>
      <c r="D18" s="37">
        <v>143345.9</v>
      </c>
      <c r="E18" s="37">
        <f t="shared" si="0"/>
        <v>-11779.899999999994</v>
      </c>
      <c r="F18" s="38">
        <f t="shared" si="3"/>
        <v>-8.2178143916219401E-2</v>
      </c>
      <c r="G18" s="39">
        <v>159446.29999999999</v>
      </c>
      <c r="H18" s="39">
        <f t="shared" si="1"/>
        <v>-27880.299999999988</v>
      </c>
      <c r="I18" s="40">
        <f t="shared" si="2"/>
        <v>-0.17485698946918174</v>
      </c>
      <c r="J18" s="66" t="s">
        <v>109</v>
      </c>
      <c r="K18" s="80" t="s">
        <v>110</v>
      </c>
      <c r="L18" s="87"/>
      <c r="M18" s="87"/>
      <c r="N18" s="87"/>
    </row>
    <row r="19" spans="1:14" ht="28.9">
      <c r="A19" s="49" t="str">
        <v>Palombo A</v>
      </c>
      <c r="B19" s="50" t="str">
        <v>MA</v>
      </c>
      <c r="C19" s="43">
        <v>311627</v>
      </c>
      <c r="D19" s="44">
        <v>346973.5</v>
      </c>
      <c r="E19" s="44">
        <f t="shared" si="0"/>
        <v>-35346.5</v>
      </c>
      <c r="F19" s="45">
        <f t="shared" si="3"/>
        <v>-0.10187089215747024</v>
      </c>
      <c r="G19" s="46">
        <v>363307</v>
      </c>
      <c r="H19" s="46">
        <f t="shared" si="1"/>
        <v>-51680</v>
      </c>
      <c r="I19" s="45">
        <f t="shared" si="2"/>
        <v>-0.14224884188854053</v>
      </c>
      <c r="J19" s="67" t="s">
        <v>111</v>
      </c>
      <c r="K19" s="82" t="s">
        <v>112</v>
      </c>
      <c r="L19" s="87"/>
      <c r="M19" s="87"/>
      <c r="N19" s="87"/>
    </row>
    <row r="20" spans="1:14" ht="28.9">
      <c r="A20" s="51" t="str">
        <v>Palombo B</v>
      </c>
      <c r="B20" s="48" t="str">
        <v>MA</v>
      </c>
      <c r="C20" s="36">
        <v>155141</v>
      </c>
      <c r="D20" s="37">
        <v>156844.70000000001</v>
      </c>
      <c r="E20" s="37">
        <f t="shared" si="0"/>
        <v>-1703.7000000000116</v>
      </c>
      <c r="F20" s="38">
        <f t="shared" si="3"/>
        <v>-1.0862337076101465E-2</v>
      </c>
      <c r="G20" s="39">
        <v>147566.9</v>
      </c>
      <c r="H20" s="39">
        <f t="shared" si="1"/>
        <v>7574.1000000000058</v>
      </c>
      <c r="I20" s="40">
        <f t="shared" si="2"/>
        <v>5.1326550872858388E-2</v>
      </c>
      <c r="J20" s="66" t="s">
        <v>113</v>
      </c>
      <c r="K20" s="66" t="s">
        <v>114</v>
      </c>
      <c r="L20" s="87"/>
      <c r="M20" s="87"/>
      <c r="N20" s="87"/>
    </row>
    <row r="21" spans="1:14" ht="15.6">
      <c r="A21" s="49" t="str">
        <v>St Josephs Church</v>
      </c>
      <c r="B21" s="50" t="str">
        <v>MA</v>
      </c>
      <c r="C21" s="43">
        <v>148329</v>
      </c>
      <c r="D21" s="44">
        <v>171214.8</v>
      </c>
      <c r="E21" s="44">
        <f t="shared" si="0"/>
        <v>-22885.799999999988</v>
      </c>
      <c r="F21" s="45">
        <f t="shared" si="3"/>
        <v>-0.13366718297717248</v>
      </c>
      <c r="G21" s="46">
        <v>154094.20000000001</v>
      </c>
      <c r="H21" s="46">
        <f t="shared" si="1"/>
        <v>-5765.2000000000116</v>
      </c>
      <c r="I21" s="45">
        <f t="shared" si="2"/>
        <v>-3.741347824901918E-2</v>
      </c>
      <c r="J21" s="67" t="s">
        <v>115</v>
      </c>
      <c r="K21" s="67"/>
      <c r="L21" s="87"/>
      <c r="M21" s="87"/>
      <c r="N21" s="87"/>
    </row>
    <row r="22" spans="1:14" ht="43.15">
      <c r="A22" s="51" t="str">
        <v>Sunset A</v>
      </c>
      <c r="B22" s="48" t="str">
        <v>MA</v>
      </c>
      <c r="C22" s="36">
        <v>69604.5</v>
      </c>
      <c r="D22" s="37">
        <v>85842.880000000005</v>
      </c>
      <c r="E22" s="37">
        <f t="shared" si="0"/>
        <v>-16238.380000000005</v>
      </c>
      <c r="F22" s="38">
        <f t="shared" si="3"/>
        <v>-0.18916397026754</v>
      </c>
      <c r="G22" s="39">
        <v>66834.759999999995</v>
      </c>
      <c r="H22" s="39">
        <f t="shared" si="1"/>
        <v>2769.7400000000052</v>
      </c>
      <c r="I22" s="40">
        <f t="shared" si="2"/>
        <v>4.1441609126747901E-2</v>
      </c>
      <c r="J22" s="66" t="s">
        <v>116</v>
      </c>
      <c r="K22" s="66" t="s">
        <v>117</v>
      </c>
      <c r="L22" s="87"/>
      <c r="M22" s="87"/>
      <c r="N22" s="87"/>
    </row>
    <row r="23" spans="1:14" ht="28.9">
      <c r="A23" s="49" t="str">
        <v>Sunset B</v>
      </c>
      <c r="B23" s="50" t="str">
        <v>MA</v>
      </c>
      <c r="C23" s="43">
        <v>67082</v>
      </c>
      <c r="D23" s="37">
        <v>73870.490000000005</v>
      </c>
      <c r="E23" s="37">
        <f t="shared" si="0"/>
        <v>-6788.4900000000052</v>
      </c>
      <c r="F23" s="38">
        <f t="shared" si="3"/>
        <v>-9.1897183841612592E-2</v>
      </c>
      <c r="G23" s="46">
        <v>66032.87</v>
      </c>
      <c r="H23" s="46">
        <f t="shared" si="1"/>
        <v>1049.1300000000047</v>
      </c>
      <c r="I23" s="45">
        <f t="shared" si="2"/>
        <v>1.5887996387253873E-2</v>
      </c>
      <c r="J23" s="67" t="s">
        <v>118</v>
      </c>
      <c r="K23" s="67" t="s">
        <v>119</v>
      </c>
      <c r="L23" s="87"/>
      <c r="M23" s="87"/>
      <c r="N23" s="87"/>
    </row>
    <row r="24" spans="1:14" ht="57.6">
      <c r="A24" s="51" t="str">
        <v>Woodchuck</v>
      </c>
      <c r="B24" s="48" t="str">
        <v>MA</v>
      </c>
      <c r="C24" s="36">
        <v>147618</v>
      </c>
      <c r="D24" s="37">
        <v>156306.20000000001</v>
      </c>
      <c r="E24" s="37">
        <f t="shared" si="0"/>
        <v>-8688.2000000000116</v>
      </c>
      <c r="F24" s="38">
        <f t="shared" si="3"/>
        <v>-5.558448737158226E-2</v>
      </c>
      <c r="G24" s="39">
        <v>162884.79999999999</v>
      </c>
      <c r="H24" s="39">
        <f t="shared" si="1"/>
        <v>-15266.799999999988</v>
      </c>
      <c r="I24" s="40">
        <f t="shared" si="2"/>
        <v>-9.3727591524807655E-2</v>
      </c>
      <c r="J24" s="66" t="s">
        <v>120</v>
      </c>
      <c r="K24" s="80" t="s">
        <v>121</v>
      </c>
      <c r="L24" s="87"/>
      <c r="M24" s="87"/>
      <c r="N24" s="87"/>
    </row>
    <row r="25" spans="1:14" ht="14.45">
      <c r="A25" s="13" t="str">
        <v>NY: Skaneateles - Spafford 1 - (PW)</v>
      </c>
      <c r="B25" s="18" t="str">
        <v>NY</v>
      </c>
      <c r="C25" s="13"/>
      <c r="D25" s="13"/>
      <c r="E25" s="13"/>
      <c r="F25" s="13"/>
      <c r="G25" s="13"/>
      <c r="H25" s="13"/>
      <c r="I25" s="13"/>
      <c r="J25" s="13"/>
      <c r="K25" s="13"/>
    </row>
    <row r="26" spans="1:14" ht="14.45">
      <c r="A26" s="13" t="str">
        <v>NY: Skaneateles - Spafford 2 - (PW)</v>
      </c>
      <c r="B26" s="18" t="str">
        <v>NY</v>
      </c>
      <c r="C26" s="13"/>
      <c r="D26" s="13"/>
      <c r="E26" s="13"/>
      <c r="F26" s="13"/>
      <c r="G26" s="13"/>
      <c r="H26" s="13"/>
      <c r="I26" s="13"/>
      <c r="J26" s="13"/>
    </row>
    <row r="27" spans="1:14" ht="14.45">
      <c r="A27" s="13" t="str">
        <v>NY: New Hartford - 4001 NY-12 (IRA)</v>
      </c>
      <c r="B27" s="18" t="str">
        <v>NY</v>
      </c>
      <c r="C27" s="13"/>
      <c r="D27" s="13"/>
      <c r="E27" s="13"/>
      <c r="F27" s="13"/>
      <c r="G27" s="13"/>
      <c r="H27" s="13"/>
      <c r="I27" s="13"/>
      <c r="J27" s="13"/>
    </row>
    <row r="28" spans="1:14" ht="14.45">
      <c r="A28" s="13"/>
      <c r="B28" s="18"/>
      <c r="C28" s="13"/>
      <c r="D28" s="13"/>
      <c r="E28" s="13"/>
      <c r="F28" s="13"/>
      <c r="G28" s="13"/>
      <c r="H28" s="13"/>
      <c r="I28" s="13"/>
      <c r="J28" s="13"/>
    </row>
    <row r="29" spans="1:14" ht="14.45">
      <c r="A29" s="13"/>
      <c r="B29" s="18"/>
      <c r="C29" s="13"/>
      <c r="D29" s="13"/>
      <c r="E29" s="13"/>
      <c r="F29" s="13"/>
      <c r="G29" s="13"/>
      <c r="H29" s="13"/>
      <c r="I29" s="13"/>
      <c r="J29" s="13"/>
    </row>
    <row r="30" spans="1:14" ht="14.45">
      <c r="A30" s="13"/>
      <c r="B30" s="18"/>
      <c r="C30" s="13"/>
      <c r="D30" s="13"/>
      <c r="E30" s="13"/>
      <c r="F30" s="13"/>
      <c r="G30" s="13"/>
      <c r="H30" s="13"/>
      <c r="I30" s="13"/>
      <c r="J30" s="13"/>
    </row>
    <row r="31" spans="1:14" ht="14.45">
      <c r="A31" s="13"/>
      <c r="B31" s="18"/>
      <c r="C31" s="13"/>
      <c r="D31" s="13"/>
      <c r="E31" s="13"/>
      <c r="F31" s="13"/>
      <c r="G31" s="13"/>
      <c r="H31" s="13"/>
      <c r="I31" s="13"/>
      <c r="J31" s="13"/>
    </row>
    <row r="32" spans="1:14" ht="14.45">
      <c r="A32" s="13"/>
      <c r="B32" s="18"/>
      <c r="C32" s="13"/>
      <c r="D32" s="13"/>
      <c r="E32" s="13"/>
      <c r="F32" s="14"/>
      <c r="G32" s="13"/>
      <c r="H32" s="14"/>
      <c r="I32" s="13"/>
      <c r="J32" s="13"/>
    </row>
    <row r="33" spans="1:11" ht="14.45">
      <c r="A33" s="13"/>
      <c r="B33" s="18"/>
      <c r="C33" s="13"/>
      <c r="D33" s="13"/>
      <c r="E33" s="13"/>
      <c r="F33" s="14"/>
      <c r="G33" s="13"/>
      <c r="H33" s="14"/>
      <c r="I33" s="13"/>
      <c r="J33" s="13"/>
    </row>
    <row r="34" spans="1:11" ht="14.45">
      <c r="A34" s="13"/>
      <c r="B34" s="18"/>
      <c r="C34" s="13"/>
      <c r="D34" s="13"/>
      <c r="E34" s="13"/>
      <c r="F34" s="14"/>
      <c r="G34" s="13"/>
      <c r="H34" s="14"/>
      <c r="I34" s="13"/>
      <c r="J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row r="341" spans="1:11" ht="14.45">
      <c r="C341" s="13"/>
      <c r="D341" s="13"/>
      <c r="E341" s="13"/>
      <c r="F341" s="14"/>
      <c r="G341" s="13"/>
      <c r="H341" s="13"/>
      <c r="I341" s="14"/>
      <c r="J341" s="13"/>
      <c r="K341" s="13"/>
    </row>
  </sheetData>
  <mergeCells count="4">
    <mergeCell ref="G1:I1"/>
    <mergeCell ref="A1:C1"/>
    <mergeCell ref="D1:F1"/>
    <mergeCell ref="A2:B2"/>
  </mergeCells>
  <conditionalFormatting sqref="F2 I2 I4:I25 F4:F99 H26:H34 I35:I99">
    <cfRule type="cellIs" dxfId="22" priority="3" stopIfTrue="1" operator="lessThanOrEqual">
      <formula>-0.1</formula>
    </cfRule>
    <cfRule type="expression" dxfId="21" priority="4">
      <formula>AND(ISNUMBER(F2), F2&gt;=0.1)</formula>
    </cfRule>
  </conditionalFormatting>
  <hyperlinks>
    <hyperlink ref="K6" r:id="rId1" display="https://us3.assetplanner.com/service_request?ID=098683" xr:uid="{2B3B1042-2A7F-4EF4-B70A-7FBA03BF3CD9}"/>
    <hyperlink ref="L6" r:id="rId2" display="https://us3.assetplanner.com/service_request?ID=098696" xr:uid="{3601806D-4DC6-400C-A205-0DF149F212A4}"/>
    <hyperlink ref="M6" r:id="rId3" display="https://us3.assetplanner.com/service_request?ID=098774" xr:uid="{F6E03D21-A9ED-4112-B2B6-BA8C71044D2C}"/>
    <hyperlink ref="K7" r:id="rId4" display="https://us3.assetplanner.com/service_request?ID=098794" xr:uid="{50E05423-9678-46C6-A2CB-859D97A4E61D}"/>
    <hyperlink ref="K8" r:id="rId5" display="https://us3.assetplanner.com/service_request?ID=099104" xr:uid="{6299B1EA-F637-4D18-A450-44FA565525AA}"/>
    <hyperlink ref="K9" r:id="rId6" display="https://us3.assetplanner.com/service_request?ID=098027" xr:uid="{29DF9275-E374-4F66-8B4A-75AA8239E4D4}"/>
    <hyperlink ref="K12" r:id="rId7" display="https://us3.assetplanner.com/service_request?ID=098450" xr:uid="{67CE5096-CD83-4F97-8D6F-FFEB11FF7046}"/>
    <hyperlink ref="L12" r:id="rId8" display="https://us3.assetplanner.com/service_request?ID=098450" xr:uid="{12EDFA6C-D079-4260-A5BD-B2CCD086182F}"/>
    <hyperlink ref="K13" r:id="rId9" display="https://us3.assetplanner.com/service_request?ID=098592" xr:uid="{7BA0E6FA-9F10-4D75-AF73-DFA0C5885C68}"/>
    <hyperlink ref="K15" r:id="rId10" display="https://us3.assetplanner.com/service_request?ID=098793" xr:uid="{B50A3F8E-F5A4-4E94-A74B-D454045A3652}"/>
    <hyperlink ref="K16" r:id="rId11" display="https://us3.assetplanner.com/service_request?ID=098928" xr:uid="{77C3E1C7-DF50-40D7-A18C-A52FB4FFB0DF}"/>
    <hyperlink ref="L16" r:id="rId12" display="https://us3.assetplanner.com/service_request?ID=098611" xr:uid="{D915855C-9415-4935-9F97-5089C7F3A577}"/>
    <hyperlink ref="K17" r:id="rId13" display="https://us3.assetplanner.com/service_request?ID=098815" xr:uid="{B2D355FF-15E3-45C5-BD4F-E97A57B368AF}"/>
    <hyperlink ref="K18" r:id="rId14" display="https://us3.assetplanner.com/service_request?ID=098816" xr:uid="{90C85349-6761-4803-9E87-890784049E62}"/>
    <hyperlink ref="K19" r:id="rId15" display="https://us3.assetplanner.com/service_request?ID=091674" xr:uid="{BBC8EE36-3ED2-4F8B-BDD8-04D50125649C}"/>
    <hyperlink ref="K24" r:id="rId16" display="https://us3.assetplanner.com/service_request?ID=098795" xr:uid="{8C4272A3-69CD-4198-A02E-9C1F258F737C}"/>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M341"/>
  <sheetViews>
    <sheetView zoomScale="90" zoomScaleNormal="90" zoomScaleSheetLayoutView="100" workbookViewId="0">
      <pane xSplit="2" ySplit="3" topLeftCell="C13" activePane="bottomRight" state="frozen"/>
      <selection pane="bottomRight" activeCell="J19" sqref="J19"/>
      <selection pane="bottomLeft" activeCell="J14" sqref="J14"/>
      <selection pane="topRight" activeCell="J14" sqref="J1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0.140625" customWidth="1"/>
  </cols>
  <sheetData>
    <row r="1" spans="1:13" ht="19.5" customHeight="1">
      <c r="A1" s="115" t="str" cm="1">
        <f t="array" ref="A1">portfolio</f>
        <v>38 DN</v>
      </c>
      <c r="B1" s="115"/>
      <c r="C1" s="115"/>
      <c r="D1" s="116" t="s">
        <v>122</v>
      </c>
      <c r="E1" s="116"/>
      <c r="F1" s="116"/>
      <c r="G1" s="114" t="s">
        <v>123</v>
      </c>
      <c r="H1" s="114"/>
      <c r="I1" s="114"/>
      <c r="J1" s="4"/>
      <c r="K1" s="4"/>
    </row>
    <row r="2" spans="1:13" ht="19.5" customHeight="1">
      <c r="A2" s="117" t="s">
        <v>2</v>
      </c>
      <c r="B2" s="117"/>
      <c r="C2" s="5">
        <f>SUM(C4:C99)</f>
        <v>4138952</v>
      </c>
      <c r="D2" s="5">
        <f>SUM(D4:D99)</f>
        <v>4263880.9099999992</v>
      </c>
      <c r="E2" s="5">
        <f>C2-D2</f>
        <v>-124928.90999999922</v>
      </c>
      <c r="F2" s="6">
        <f>IFERROR(E2/D2, 0)</f>
        <v>-2.9299343165754419E-2</v>
      </c>
      <c r="G2" s="5">
        <f>SUM(G4:G99)</f>
        <v>4272144.5299999993</v>
      </c>
      <c r="H2" s="7">
        <f>C2-G2</f>
        <v>-133192.52999999933</v>
      </c>
      <c r="I2" s="6">
        <f>IFERROR(H2/G2, 0)</f>
        <v>-3.1176971908298091E-2</v>
      </c>
      <c r="J2" s="16"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17" t="s">
        <v>3</v>
      </c>
      <c r="B3" s="17" t="s">
        <v>4</v>
      </c>
      <c r="C3" s="27" t="s">
        <v>5</v>
      </c>
      <c r="D3" s="28" t="s">
        <v>6</v>
      </c>
      <c r="E3" s="28" t="s">
        <v>7</v>
      </c>
      <c r="F3" s="29" t="s">
        <v>8</v>
      </c>
      <c r="G3" s="30" t="s">
        <v>9</v>
      </c>
      <c r="H3" s="31" t="s">
        <v>7</v>
      </c>
      <c r="I3" s="32" t="s">
        <v>8</v>
      </c>
      <c r="J3" s="15" t="s">
        <v>20</v>
      </c>
      <c r="K3" s="15" t="s">
        <v>21</v>
      </c>
    </row>
    <row r="4" spans="1:13" ht="126" customHeight="1">
      <c r="A4" s="86" t="str" cm="1">
        <f t="array" ref="A4:A27">Sites[Site]</f>
        <v>6th St.</v>
      </c>
      <c r="B4" s="48" t="str" cm="1">
        <f t="array" ref="B4:B27">Sites[State]</f>
        <v>CA</v>
      </c>
      <c r="C4" s="36">
        <v>199467.5</v>
      </c>
      <c r="D4" s="37">
        <v>180569.8</v>
      </c>
      <c r="E4" s="37">
        <f>IF(AND(ISNUMBER(C4),ISNUMBER(D4)), C4-D4, "")</f>
        <v>18897.700000000012</v>
      </c>
      <c r="F4" s="38">
        <f>IFERROR(E4/D4, "")</f>
        <v>0.10465592806770574</v>
      </c>
      <c r="G4" s="39">
        <v>219710.8</v>
      </c>
      <c r="H4" s="39">
        <f>IF(AND(ISNUMBER(C4),ISNUMBER(G4)), C4-G4, "")</f>
        <v>-20243.299999999988</v>
      </c>
      <c r="I4" s="40">
        <f>IFERROR(H4/G4, "")</f>
        <v>-9.213611711395156E-2</v>
      </c>
      <c r="J4" s="66" t="s">
        <v>124</v>
      </c>
      <c r="K4" s="80" t="s">
        <v>125</v>
      </c>
      <c r="L4" s="88" t="s">
        <v>126</v>
      </c>
      <c r="M4" s="87"/>
    </row>
    <row r="5" spans="1:13" ht="43.15">
      <c r="A5" s="49" t="str">
        <v>Barton Acres</v>
      </c>
      <c r="B5" s="50" t="str">
        <v>MA</v>
      </c>
      <c r="C5" s="43">
        <v>161773</v>
      </c>
      <c r="D5" s="44">
        <v>171040.2</v>
      </c>
      <c r="E5" s="44">
        <f t="shared" ref="E5:E24" si="0">IF(AND(ISNUMBER(C5),ISNUMBER(D5)), C5-D5, "")</f>
        <v>-9267.2000000000116</v>
      </c>
      <c r="F5" s="45">
        <f>IFERROR(E5/D5, "")</f>
        <v>-5.4181414661582543E-2</v>
      </c>
      <c r="G5" s="46">
        <v>162787.20000000001</v>
      </c>
      <c r="H5" s="46">
        <f t="shared" ref="H5:H24" si="1">IF(AND(ISNUMBER(C5),ISNUMBER(G5)), C5-G5, "")</f>
        <v>-1014.2000000000116</v>
      </c>
      <c r="I5" s="45">
        <f t="shared" ref="I5:I24" si="2">IFERROR(H5/G5, "")</f>
        <v>-6.2302195750035113E-3</v>
      </c>
      <c r="J5" s="67" t="s">
        <v>127</v>
      </c>
      <c r="K5" s="82" t="s">
        <v>128</v>
      </c>
      <c r="L5" s="88" t="s">
        <v>129</v>
      </c>
      <c r="M5" s="87"/>
    </row>
    <row r="6" spans="1:13" ht="15.6">
      <c r="A6" s="51" t="str">
        <v>Bowden</v>
      </c>
      <c r="B6" s="48" t="str">
        <v>MA</v>
      </c>
      <c r="C6" s="36">
        <v>331971</v>
      </c>
      <c r="D6" s="37">
        <v>328461.59999999998</v>
      </c>
      <c r="E6" s="37">
        <f t="shared" si="0"/>
        <v>3509.4000000000233</v>
      </c>
      <c r="F6" s="38">
        <f t="shared" ref="F6:F24" si="3">IFERROR(E6/D6, "")</f>
        <v>1.0684353970144526E-2</v>
      </c>
      <c r="G6" s="39">
        <v>330949.5</v>
      </c>
      <c r="H6" s="39">
        <f t="shared" si="1"/>
        <v>1021.5</v>
      </c>
      <c r="I6" s="40">
        <f t="shared" si="2"/>
        <v>3.0865736313244164E-3</v>
      </c>
      <c r="J6" s="66"/>
      <c r="K6" s="66"/>
      <c r="L6" s="87"/>
      <c r="M6" s="87"/>
    </row>
    <row r="7" spans="1:13" ht="15.6">
      <c r="A7" s="49" t="str">
        <v>Blair Wire Village</v>
      </c>
      <c r="B7" s="50" t="str">
        <v>MA</v>
      </c>
      <c r="C7" s="43">
        <v>163662</v>
      </c>
      <c r="D7" s="44">
        <v>177911.3</v>
      </c>
      <c r="E7" s="44">
        <f t="shared" si="0"/>
        <v>-14249.299999999988</v>
      </c>
      <c r="F7" s="45">
        <f t="shared" si="3"/>
        <v>-8.0092158283369241E-2</v>
      </c>
      <c r="G7" s="46">
        <v>166260</v>
      </c>
      <c r="H7" s="46">
        <f t="shared" si="1"/>
        <v>-2598</v>
      </c>
      <c r="I7" s="45">
        <f t="shared" si="2"/>
        <v>-1.5626127751714184E-2</v>
      </c>
      <c r="J7" s="67"/>
      <c r="K7" s="68"/>
      <c r="L7" s="87"/>
      <c r="M7" s="87"/>
    </row>
    <row r="8" spans="1:13" ht="57.6">
      <c r="A8" s="51" t="str">
        <v>Boutilier</v>
      </c>
      <c r="B8" s="48" t="str">
        <v>MA</v>
      </c>
      <c r="C8" s="36">
        <v>463631</v>
      </c>
      <c r="D8" s="37">
        <v>465714.9</v>
      </c>
      <c r="E8" s="37">
        <f t="shared" si="0"/>
        <v>-2083.9000000000233</v>
      </c>
      <c r="F8" s="38">
        <f t="shared" si="3"/>
        <v>-4.474625999726492E-3</v>
      </c>
      <c r="G8" s="39">
        <v>446865.5</v>
      </c>
      <c r="H8" s="39">
        <f t="shared" si="1"/>
        <v>16765.5</v>
      </c>
      <c r="I8" s="40">
        <f t="shared" si="2"/>
        <v>3.7518000382665478E-2</v>
      </c>
      <c r="J8" s="66" t="s">
        <v>130</v>
      </c>
      <c r="K8" s="80" t="s">
        <v>131</v>
      </c>
      <c r="L8" s="88" t="s">
        <v>132</v>
      </c>
      <c r="M8" s="87"/>
    </row>
    <row r="9" spans="1:13" ht="28.9">
      <c r="A9" s="49" t="str">
        <v>Cherry Valley</v>
      </c>
      <c r="B9" s="50" t="str">
        <v>MA</v>
      </c>
      <c r="C9" s="43">
        <v>157223</v>
      </c>
      <c r="D9" s="44">
        <v>172407.5</v>
      </c>
      <c r="E9" s="44">
        <f t="shared" si="0"/>
        <v>-15184.5</v>
      </c>
      <c r="F9" s="45">
        <f t="shared" si="3"/>
        <v>-8.807331467598567E-2</v>
      </c>
      <c r="G9" s="46">
        <v>163486</v>
      </c>
      <c r="H9" s="46">
        <f t="shared" si="1"/>
        <v>-6263</v>
      </c>
      <c r="I9" s="45">
        <f t="shared" si="2"/>
        <v>-3.8309090686664299E-2</v>
      </c>
      <c r="J9" s="67" t="s">
        <v>133</v>
      </c>
      <c r="K9" s="82" t="s">
        <v>134</v>
      </c>
      <c r="L9" s="87"/>
      <c r="M9" s="87"/>
    </row>
    <row r="10" spans="1:13" ht="15.6">
      <c r="A10" s="51" t="str">
        <v>Cohasse</v>
      </c>
      <c r="B10" s="48" t="str">
        <v>MA</v>
      </c>
      <c r="C10" s="36">
        <v>151432</v>
      </c>
      <c r="D10" s="37">
        <v>158349.1</v>
      </c>
      <c r="E10" s="37">
        <f t="shared" si="0"/>
        <v>-6917.1000000000058</v>
      </c>
      <c r="F10" s="38">
        <f t="shared" si="3"/>
        <v>-4.3682597501343588E-2</v>
      </c>
      <c r="G10" s="39">
        <v>172569</v>
      </c>
      <c r="H10" s="39">
        <f t="shared" si="1"/>
        <v>-21137</v>
      </c>
      <c r="I10" s="40">
        <f t="shared" si="2"/>
        <v>-0.12248433959749433</v>
      </c>
      <c r="J10" s="66" t="s">
        <v>135</v>
      </c>
      <c r="K10" s="80" t="s">
        <v>136</v>
      </c>
      <c r="L10" s="87"/>
      <c r="M10" s="87"/>
    </row>
    <row r="11" spans="1:13" ht="86.45">
      <c r="A11" s="49" t="str">
        <v>ISM Dighton Solar 2</v>
      </c>
      <c r="B11" s="50" t="str">
        <v>MA</v>
      </c>
      <c r="C11" s="43">
        <v>336156</v>
      </c>
      <c r="D11" s="44">
        <v>327997.90000000002</v>
      </c>
      <c r="E11" s="44">
        <f t="shared" si="0"/>
        <v>8158.0999999999767</v>
      </c>
      <c r="F11" s="45">
        <f t="shared" si="3"/>
        <v>2.4872415341683517E-2</v>
      </c>
      <c r="G11" s="46">
        <v>337271.4</v>
      </c>
      <c r="H11" s="46">
        <f t="shared" si="1"/>
        <v>-1115.4000000000233</v>
      </c>
      <c r="I11" s="45">
        <f t="shared" si="2"/>
        <v>-3.3071289175424399E-3</v>
      </c>
      <c r="J11" s="67" t="s">
        <v>137</v>
      </c>
      <c r="K11" s="82" t="s">
        <v>138</v>
      </c>
      <c r="L11" s="88" t="s">
        <v>139</v>
      </c>
      <c r="M11" s="87"/>
    </row>
    <row r="12" spans="1:13" ht="43.15">
      <c r="A12" s="51" t="str">
        <v>Dudley River 1</v>
      </c>
      <c r="B12" s="48" t="str">
        <v>MA</v>
      </c>
      <c r="C12" s="36">
        <v>163432</v>
      </c>
      <c r="D12" s="37">
        <v>165933.1</v>
      </c>
      <c r="E12" s="37">
        <f t="shared" si="0"/>
        <v>-2501.1000000000058</v>
      </c>
      <c r="F12" s="38">
        <f t="shared" si="3"/>
        <v>-1.5072942047126257E-2</v>
      </c>
      <c r="G12" s="39">
        <v>166674.29999999999</v>
      </c>
      <c r="H12" s="39">
        <f t="shared" si="1"/>
        <v>-3242.2999999999884</v>
      </c>
      <c r="I12" s="40">
        <f t="shared" si="2"/>
        <v>-1.9452909056765132E-2</v>
      </c>
      <c r="J12" s="66" t="s">
        <v>140</v>
      </c>
      <c r="K12" s="80" t="s">
        <v>141</v>
      </c>
      <c r="L12" s="87"/>
      <c r="M12" s="87"/>
    </row>
    <row r="13" spans="1:13" ht="43.15">
      <c r="A13" s="49" t="str">
        <v>Dudley River 2</v>
      </c>
      <c r="B13" s="50" t="str">
        <v>MA</v>
      </c>
      <c r="C13" s="43">
        <v>157704</v>
      </c>
      <c r="D13" s="44">
        <v>164615.29999999999</v>
      </c>
      <c r="E13" s="44">
        <f t="shared" si="0"/>
        <v>-6911.2999999999884</v>
      </c>
      <c r="F13" s="45">
        <f t="shared" si="3"/>
        <v>-4.1984554291125971E-2</v>
      </c>
      <c r="G13" s="46">
        <v>160600.9</v>
      </c>
      <c r="H13" s="46">
        <f t="shared" si="1"/>
        <v>-2896.8999999999942</v>
      </c>
      <c r="I13" s="45">
        <f t="shared" si="2"/>
        <v>-1.8037881481361526E-2</v>
      </c>
      <c r="J13" s="67" t="s">
        <v>140</v>
      </c>
      <c r="K13" s="82" t="s">
        <v>142</v>
      </c>
      <c r="L13" s="87"/>
      <c r="M13" s="87"/>
    </row>
    <row r="14" spans="1:13" ht="43.15">
      <c r="A14" s="51" t="str">
        <v>Dudley River 3</v>
      </c>
      <c r="B14" s="48" t="str">
        <v>MA</v>
      </c>
      <c r="C14" s="36">
        <v>162557</v>
      </c>
      <c r="D14" s="37">
        <v>164852.1</v>
      </c>
      <c r="E14" s="37">
        <f t="shared" si="0"/>
        <v>-2295.1000000000058</v>
      </c>
      <c r="F14" s="38">
        <f t="shared" si="3"/>
        <v>-1.3922176302273406E-2</v>
      </c>
      <c r="G14" s="39">
        <v>162431.4</v>
      </c>
      <c r="H14" s="39">
        <f t="shared" si="1"/>
        <v>125.60000000000582</v>
      </c>
      <c r="I14" s="40">
        <f t="shared" si="2"/>
        <v>7.7324950717660393E-4</v>
      </c>
      <c r="J14" s="66" t="s">
        <v>143</v>
      </c>
      <c r="K14" s="80" t="s">
        <v>144</v>
      </c>
      <c r="L14" s="87"/>
      <c r="M14" s="87"/>
    </row>
    <row r="15" spans="1:13" ht="15.6">
      <c r="A15" s="49" t="str">
        <v>Flint Pond</v>
      </c>
      <c r="B15" s="50" t="str">
        <v>MA</v>
      </c>
      <c r="C15" s="43">
        <v>79734</v>
      </c>
      <c r="D15" s="44">
        <v>73305.09</v>
      </c>
      <c r="E15" s="44">
        <f t="shared" si="0"/>
        <v>6428.9100000000035</v>
      </c>
      <c r="F15" s="45">
        <f t="shared" si="3"/>
        <v>8.7700731286190409E-2</v>
      </c>
      <c r="G15" s="46">
        <v>77715.95</v>
      </c>
      <c r="H15" s="46">
        <f t="shared" si="1"/>
        <v>2018.0500000000029</v>
      </c>
      <c r="I15" s="45">
        <f t="shared" si="2"/>
        <v>2.5966999052318127E-2</v>
      </c>
      <c r="J15" s="67"/>
      <c r="K15" s="68"/>
      <c r="L15" s="87"/>
      <c r="M15" s="87"/>
    </row>
    <row r="16" spans="1:13" ht="28.9">
      <c r="A16" s="51" t="str">
        <v>Incom</v>
      </c>
      <c r="B16" s="48" t="str">
        <v>MA</v>
      </c>
      <c r="C16" s="36">
        <v>337911</v>
      </c>
      <c r="D16" s="37">
        <v>382456.3</v>
      </c>
      <c r="E16" s="37">
        <f t="shared" si="0"/>
        <v>-44545.299999999988</v>
      </c>
      <c r="F16" s="38">
        <f t="shared" si="3"/>
        <v>-0.11647160734442076</v>
      </c>
      <c r="G16" s="39">
        <v>346956.7</v>
      </c>
      <c r="H16" s="39">
        <f t="shared" si="1"/>
        <v>-9045.7000000000116</v>
      </c>
      <c r="I16" s="40">
        <f t="shared" si="2"/>
        <v>-2.6071553020881311E-2</v>
      </c>
      <c r="J16" s="93" t="s">
        <v>145</v>
      </c>
      <c r="K16" s="80" t="s">
        <v>146</v>
      </c>
      <c r="L16" s="87"/>
      <c r="M16" s="87"/>
    </row>
    <row r="17" spans="1:13" ht="15.6">
      <c r="A17" s="49" t="str">
        <v>JH</v>
      </c>
      <c r="B17" s="50" t="str">
        <v>MA</v>
      </c>
      <c r="C17" s="43">
        <v>156348</v>
      </c>
      <c r="D17" s="44">
        <v>166290.29999999999</v>
      </c>
      <c r="E17" s="44"/>
      <c r="F17" s="45">
        <f t="shared" si="3"/>
        <v>0</v>
      </c>
      <c r="G17" s="46">
        <v>170416.9</v>
      </c>
      <c r="H17" s="46">
        <f t="shared" si="1"/>
        <v>-14068.899999999994</v>
      </c>
      <c r="I17" s="45">
        <f t="shared" si="2"/>
        <v>-8.2555779385729902E-2</v>
      </c>
      <c r="J17" s="67"/>
      <c r="K17" s="68"/>
      <c r="L17" s="87"/>
      <c r="M17" s="87"/>
    </row>
    <row r="18" spans="1:13" ht="43.15">
      <c r="A18" s="86" t="str">
        <v>Ledeaux</v>
      </c>
      <c r="B18" s="48" t="str">
        <v>MA</v>
      </c>
      <c r="C18" s="36">
        <v>147299</v>
      </c>
      <c r="D18" s="37">
        <v>154599.79999999999</v>
      </c>
      <c r="E18" s="37">
        <f t="shared" si="0"/>
        <v>-7300.7999999999884</v>
      </c>
      <c r="F18" s="38">
        <f t="shared" si="3"/>
        <v>-4.7223864455193269E-2</v>
      </c>
      <c r="G18" s="39">
        <v>165182.39999999999</v>
      </c>
      <c r="H18" s="39">
        <f t="shared" si="1"/>
        <v>-17883.399999999994</v>
      </c>
      <c r="I18" s="40">
        <f t="shared" si="2"/>
        <v>-0.10826456087331335</v>
      </c>
      <c r="J18" s="66" t="s">
        <v>147</v>
      </c>
      <c r="K18" s="80" t="s">
        <v>148</v>
      </c>
      <c r="L18" s="87"/>
      <c r="M18" s="87"/>
    </row>
    <row r="19" spans="1:13" ht="37.5" customHeight="1">
      <c r="A19" s="49" t="str">
        <v>Palombo A</v>
      </c>
      <c r="B19" s="50" t="str">
        <v>MA</v>
      </c>
      <c r="C19" s="43">
        <v>331617</v>
      </c>
      <c r="D19" s="44">
        <v>350277</v>
      </c>
      <c r="E19" s="44">
        <f t="shared" si="0"/>
        <v>-18660</v>
      </c>
      <c r="F19" s="45">
        <f t="shared" si="3"/>
        <v>-5.3272124632790623E-2</v>
      </c>
      <c r="G19" s="46">
        <v>361541</v>
      </c>
      <c r="H19" s="46">
        <f t="shared" si="1"/>
        <v>-29924</v>
      </c>
      <c r="I19" s="45">
        <f t="shared" si="2"/>
        <v>-8.2767929501771587E-2</v>
      </c>
      <c r="J19" s="67" t="s">
        <v>149</v>
      </c>
      <c r="K19" s="82" t="s">
        <v>150</v>
      </c>
      <c r="L19" s="87"/>
      <c r="M19" s="87"/>
    </row>
    <row r="20" spans="1:13" ht="28.9">
      <c r="A20" s="51" t="str">
        <v>Palombo B</v>
      </c>
      <c r="B20" s="48" t="str">
        <v>MA</v>
      </c>
      <c r="C20" s="36">
        <v>164726</v>
      </c>
      <c r="D20" s="37">
        <v>150219.5</v>
      </c>
      <c r="E20" s="37">
        <f t="shared" si="0"/>
        <v>14506.5</v>
      </c>
      <c r="F20" s="38">
        <f t="shared" si="3"/>
        <v>9.6568687820156499E-2</v>
      </c>
      <c r="G20" s="39">
        <v>169314.7</v>
      </c>
      <c r="H20" s="39">
        <f t="shared" si="1"/>
        <v>-4588.7000000000116</v>
      </c>
      <c r="I20" s="40">
        <f t="shared" si="2"/>
        <v>-2.7101604290708434E-2</v>
      </c>
      <c r="J20" s="66" t="s">
        <v>151</v>
      </c>
      <c r="K20" s="80" t="s">
        <v>152</v>
      </c>
      <c r="L20" s="87"/>
      <c r="M20" s="87"/>
    </row>
    <row r="21" spans="1:13" ht="28.9">
      <c r="A21" s="49" t="str">
        <v>St Josephs Church</v>
      </c>
      <c r="B21" s="50" t="str">
        <v>MA</v>
      </c>
      <c r="C21" s="43">
        <v>157361</v>
      </c>
      <c r="D21" s="44">
        <v>173444</v>
      </c>
      <c r="E21" s="44">
        <f t="shared" si="0"/>
        <v>-16083</v>
      </c>
      <c r="F21" s="45">
        <f t="shared" si="3"/>
        <v>-9.2727335624178411E-2</v>
      </c>
      <c r="G21" s="46">
        <v>164666.29999999999</v>
      </c>
      <c r="H21" s="46">
        <f t="shared" si="1"/>
        <v>-7305.2999999999884</v>
      </c>
      <c r="I21" s="45">
        <f t="shared" si="2"/>
        <v>-4.4364268827319184E-2</v>
      </c>
      <c r="J21" s="67" t="s">
        <v>153</v>
      </c>
      <c r="K21" s="82" t="s">
        <v>154</v>
      </c>
      <c r="L21" s="87"/>
      <c r="M21" s="87"/>
    </row>
    <row r="22" spans="1:13" ht="15.6">
      <c r="A22" s="51" t="str">
        <v>Sunset A</v>
      </c>
      <c r="B22" s="48" t="str">
        <v>MA</v>
      </c>
      <c r="C22" s="36">
        <v>79692.5</v>
      </c>
      <c r="D22" s="37">
        <v>87744.1</v>
      </c>
      <c r="E22" s="37">
        <f t="shared" si="0"/>
        <v>-8051.6000000000058</v>
      </c>
      <c r="F22" s="38">
        <f t="shared" si="3"/>
        <v>-9.1762295128675384E-2</v>
      </c>
      <c r="G22" s="39">
        <v>76642.34</v>
      </c>
      <c r="H22" s="39">
        <f t="shared" si="1"/>
        <v>3050.1600000000035</v>
      </c>
      <c r="I22" s="40">
        <f t="shared" si="2"/>
        <v>3.9797323515957418E-2</v>
      </c>
      <c r="J22" s="66"/>
      <c r="K22" s="66"/>
      <c r="L22" s="87"/>
      <c r="M22" s="87"/>
    </row>
    <row r="23" spans="1:13" ht="15.6">
      <c r="A23" s="49" t="str">
        <v>Sunset B</v>
      </c>
      <c r="B23" s="50" t="str">
        <v>MA</v>
      </c>
      <c r="C23" s="43">
        <v>75645</v>
      </c>
      <c r="D23" s="44">
        <v>80108.52</v>
      </c>
      <c r="E23" s="44">
        <f t="shared" si="0"/>
        <v>-4463.5200000000041</v>
      </c>
      <c r="F23" s="45">
        <f t="shared" si="3"/>
        <v>-5.5718417966029131E-2</v>
      </c>
      <c r="G23" s="46">
        <v>75721.84</v>
      </c>
      <c r="H23" s="46">
        <f t="shared" si="1"/>
        <v>-76.839999999996508</v>
      </c>
      <c r="I23" s="45">
        <f t="shared" si="2"/>
        <v>-1.014766677618987E-3</v>
      </c>
      <c r="J23" s="67"/>
      <c r="K23" s="67"/>
      <c r="L23" s="87"/>
      <c r="M23" s="87"/>
    </row>
    <row r="24" spans="1:13" ht="15.6">
      <c r="A24" s="51" t="str">
        <v>Woodchuck</v>
      </c>
      <c r="B24" s="48" t="str">
        <v>MA</v>
      </c>
      <c r="C24" s="36">
        <v>159610</v>
      </c>
      <c r="D24" s="37">
        <v>167583.5</v>
      </c>
      <c r="E24" s="37">
        <f t="shared" si="0"/>
        <v>-7973.5</v>
      </c>
      <c r="F24" s="38">
        <f t="shared" si="3"/>
        <v>-4.7579266455229779E-2</v>
      </c>
      <c r="G24" s="39">
        <v>174380.4</v>
      </c>
      <c r="H24" s="39">
        <f t="shared" si="1"/>
        <v>-14770.399999999994</v>
      </c>
      <c r="I24" s="40">
        <f t="shared" si="2"/>
        <v>-8.470217983213707E-2</v>
      </c>
      <c r="J24" s="66"/>
      <c r="K24" s="66"/>
      <c r="L24" s="87"/>
      <c r="M24" s="87"/>
    </row>
    <row r="25" spans="1:13" ht="14.45">
      <c r="A25" s="13" t="str">
        <v>NY: Skaneateles - Spafford 1 - (PW)</v>
      </c>
      <c r="B25" s="18" t="str">
        <v>NY</v>
      </c>
      <c r="C25" s="13"/>
      <c r="D25" s="13"/>
      <c r="E25" s="13"/>
      <c r="F25" s="13"/>
      <c r="G25" s="13"/>
      <c r="H25" s="13"/>
      <c r="I25" s="13"/>
      <c r="J25" s="13"/>
      <c r="K25" s="13"/>
    </row>
    <row r="26" spans="1:13" ht="14.45">
      <c r="A26" s="13" t="str">
        <v>NY: Skaneateles - Spafford 2 - (PW)</v>
      </c>
      <c r="B26" s="18" t="str">
        <v>NY</v>
      </c>
      <c r="C26" s="13"/>
      <c r="D26" s="13"/>
      <c r="E26" s="13"/>
      <c r="F26" s="13"/>
      <c r="G26" s="13"/>
      <c r="H26" s="13"/>
      <c r="I26" s="13"/>
      <c r="J26" s="13"/>
      <c r="K26" s="13"/>
    </row>
    <row r="27" spans="1:13" ht="14.45">
      <c r="A27" s="13" t="str">
        <v>NY: New Hartford - 4001 NY-12 (IRA)</v>
      </c>
      <c r="B27" s="18" t="str">
        <v>NY</v>
      </c>
      <c r="C27" s="13"/>
      <c r="D27" s="13"/>
      <c r="E27" s="13"/>
      <c r="F27" s="13"/>
      <c r="G27" s="13"/>
      <c r="H27" s="13"/>
      <c r="I27" s="13"/>
      <c r="J27" s="13"/>
      <c r="K27" s="13"/>
    </row>
    <row r="28" spans="1:13" ht="14.45">
      <c r="A28" s="13"/>
      <c r="B28" s="18"/>
      <c r="C28" s="13"/>
      <c r="D28" s="13"/>
      <c r="E28" s="13"/>
      <c r="F28" s="13"/>
      <c r="G28" s="13"/>
      <c r="H28" s="13"/>
      <c r="I28" s="13"/>
      <c r="J28" s="13"/>
      <c r="K28" s="13"/>
    </row>
    <row r="29" spans="1:13" ht="14.45">
      <c r="A29" s="13"/>
      <c r="B29" s="18"/>
      <c r="C29" s="13"/>
      <c r="D29" s="13"/>
      <c r="E29" s="13"/>
      <c r="F29" s="13"/>
      <c r="G29" s="13"/>
      <c r="H29" s="13"/>
      <c r="I29" s="13"/>
      <c r="J29" s="13"/>
      <c r="K29" s="13"/>
    </row>
    <row r="30" spans="1:13" ht="14.45">
      <c r="A30" s="13"/>
      <c r="B30" s="18"/>
      <c r="C30" s="13"/>
      <c r="D30" s="13"/>
      <c r="E30" s="13"/>
      <c r="F30" s="13"/>
      <c r="G30" s="13"/>
      <c r="H30" s="13"/>
      <c r="I30" s="13"/>
      <c r="J30" s="13"/>
      <c r="K30" s="13"/>
    </row>
    <row r="31" spans="1:13" ht="14.45">
      <c r="A31" s="13"/>
      <c r="B31" s="18"/>
      <c r="C31" s="13"/>
      <c r="D31" s="13"/>
      <c r="E31" s="13"/>
      <c r="F31" s="13"/>
      <c r="G31" s="13"/>
      <c r="H31" s="13"/>
      <c r="I31" s="13"/>
      <c r="J31" s="13"/>
      <c r="K31" s="13"/>
    </row>
    <row r="32" spans="1:13"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row r="341" spans="1:11" ht="14.45">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20" priority="3" stopIfTrue="1" operator="lessThanOrEqual">
      <formula>-0.1</formula>
    </cfRule>
    <cfRule type="expression" dxfId="19" priority="4">
      <formula>AND(ISNUMBER(F2), F2&gt;=0.1)</formula>
    </cfRule>
  </conditionalFormatting>
  <hyperlinks>
    <hyperlink ref="K4" r:id="rId1" display="https://us3.assetplanner.com/service_request?ID=099489" xr:uid="{838F8B01-340E-48D1-BCD4-95910D045B30}"/>
    <hyperlink ref="L4" r:id="rId2" display="https://us3.assetplanner.com/service_request?ID=099734" xr:uid="{EEF7A7B3-814F-4F4C-8B00-CAF285630D24}"/>
    <hyperlink ref="K5" r:id="rId3" display="https://us3.assetplanner.com/service_request?ID=100677" xr:uid="{166F6218-FCB9-48E5-BEA9-DDA1D7056EBA}"/>
    <hyperlink ref="L5" r:id="rId4" display="https://us3.assetplanner.com/service_request?ID=100708" xr:uid="{7E4C08B9-AE9F-4AC8-8079-882C5912AC07}"/>
    <hyperlink ref="K8" r:id="rId5" display="https://us3.assetplanner.com/service_request?ID=099544" xr:uid="{4EFB8710-F912-45A9-A0C4-B0F3FB7BF237}"/>
    <hyperlink ref="L8" r:id="rId6" display="https://us3.assetplanner.com/service_request?ID=100456" xr:uid="{1FCF4534-DD09-44A1-AF16-F9DAD9860E26}"/>
    <hyperlink ref="K9" r:id="rId7" display="https://us3.assetplanner.com/service_request?ID=099440" xr:uid="{3E5467F2-9490-4690-A012-D1A4597545C4}"/>
    <hyperlink ref="K10" r:id="rId8" display="https://us3.assetplanner.com/service_request?ID=100031" xr:uid="{A10D30E5-C0FB-45F7-B5BA-CFE79D35CABB}"/>
    <hyperlink ref="K11" r:id="rId9" display="https://us3.assetplanner.com/service_request?ID=099860" xr:uid="{953338C6-E329-42D3-B851-907EF0E99C04}"/>
    <hyperlink ref="L11" r:id="rId10" display="https://us3.assetplanner.com/service_request?ID=099891" xr:uid="{CEBB12A7-BE86-41D5-9EC2-1228B74A108A}"/>
    <hyperlink ref="K12" r:id="rId11" display="https://us3.assetplanner.com/service_request?ID=099671" xr:uid="{C974583E-0FD1-428F-8AFC-3555462E91E5}"/>
    <hyperlink ref="K13" r:id="rId12" display="https://us3.assetplanner.com/service_request?ID=099669" xr:uid="{D48E3405-8CB7-49AF-B0AD-CE9AFB0D8D3E}"/>
    <hyperlink ref="K14" r:id="rId13" display="https://us3.assetplanner.com/service_request?ID=099670" xr:uid="{CEBBBFF1-19AF-4E77-B126-1C3CA890119D}"/>
    <hyperlink ref="K16" r:id="rId14" display="https://us3.assetplanner.com/service_request?ID=099381" xr:uid="{DB370998-45DB-429C-905F-DEF525E2EAA7}"/>
    <hyperlink ref="K18" r:id="rId15" display="https://us3.assetplanner.com/service_request?ID=099675" xr:uid="{3251C639-458B-48D7-88D4-4D49FE963E4B}"/>
    <hyperlink ref="K19" r:id="rId16" display="https://us3.assetplanner.com/service_request?ID=099667" xr:uid="{5113ACB2-6C13-4CF9-AC2B-DF454D8ED6C6}"/>
    <hyperlink ref="K20" r:id="rId17" display="https://us3.assetplanner.com/service_request?ID=099654" xr:uid="{EB8CB5BB-4D1A-44AF-9F7E-8933608431C0}"/>
    <hyperlink ref="K21" r:id="rId18" display="https://us3.assetplanner.com/service_request?ID=099382" xr:uid="{55F171A9-65CC-4659-9A6F-724547EB323D}"/>
  </hyperlinks>
  <pageMargins left="0.4" right="0.7" top="0.25" bottom="0.25" header="0.3" footer="0.3"/>
  <pageSetup scale="54" fitToHeight="99" orientation="landscape" r:id="rId19"/>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L341"/>
  <sheetViews>
    <sheetView zoomScale="80" zoomScaleNormal="80" workbookViewId="0">
      <pane xSplit="2" ySplit="3" topLeftCell="C4" activePane="bottomRight" state="frozen"/>
      <selection pane="bottomRight" activeCell="H10" sqref="H10"/>
      <selection pane="bottomLeft" activeCell="J14" sqref="J14"/>
      <selection pane="topRight" activeCell="J14" sqref="J1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115" t="str" cm="1">
        <f t="array" ref="A1">portfolio</f>
        <v>38 DN</v>
      </c>
      <c r="B1" s="115"/>
      <c r="C1" s="115"/>
      <c r="D1" s="116" t="s">
        <v>155</v>
      </c>
      <c r="E1" s="116"/>
      <c r="F1" s="116"/>
      <c r="G1" s="114" t="s">
        <v>156</v>
      </c>
      <c r="H1" s="114"/>
      <c r="I1" s="114"/>
      <c r="J1" s="4"/>
      <c r="K1" s="4"/>
    </row>
    <row r="2" spans="1:12" ht="19.5" customHeight="1">
      <c r="A2" s="117" t="s">
        <v>2</v>
      </c>
      <c r="B2" s="117"/>
      <c r="C2" s="5">
        <f>SUM(C4:C99)</f>
        <v>3947879.25</v>
      </c>
      <c r="D2" s="5">
        <f>SUM(D4:D99)</f>
        <v>3982334.1599999997</v>
      </c>
      <c r="E2" s="5">
        <f>C2-D2</f>
        <v>-34454.909999999683</v>
      </c>
      <c r="F2" s="6">
        <f>IFERROR(E2/D2, 0)</f>
        <v>-8.6519384400428334E-3</v>
      </c>
      <c r="G2" s="5">
        <f>SUM(G4:G99)</f>
        <v>4962356.5200000005</v>
      </c>
      <c r="H2" s="7">
        <f>C2-G2</f>
        <v>-1014477.2700000005</v>
      </c>
      <c r="I2" s="6">
        <f>IFERROR(H2/G2, 0)</f>
        <v>-0.2044345798032263</v>
      </c>
      <c r="J2" s="16"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c r="A3" s="17" t="s">
        <v>3</v>
      </c>
      <c r="B3" s="17" t="s">
        <v>4</v>
      </c>
      <c r="C3" s="27" t="s">
        <v>5</v>
      </c>
      <c r="D3" s="28" t="s">
        <v>6</v>
      </c>
      <c r="E3" s="28" t="s">
        <v>7</v>
      </c>
      <c r="F3" s="29" t="s">
        <v>8</v>
      </c>
      <c r="G3" s="30" t="s">
        <v>9</v>
      </c>
      <c r="H3" s="31" t="s">
        <v>7</v>
      </c>
      <c r="I3" s="32" t="s">
        <v>8</v>
      </c>
      <c r="J3" s="15" t="s">
        <v>20</v>
      </c>
      <c r="K3" s="15" t="s">
        <v>21</v>
      </c>
    </row>
    <row r="4" spans="1:12" ht="66.75" customHeight="1">
      <c r="A4" s="86" t="str" cm="1">
        <f t="array" ref="A4:A27">Sites[Site]</f>
        <v>6th St.</v>
      </c>
      <c r="B4" s="48" t="str" cm="1">
        <f t="array" ref="B4:B27">Sites[State]</f>
        <v>CA</v>
      </c>
      <c r="C4" s="36">
        <v>225966</v>
      </c>
      <c r="D4" s="37">
        <v>243463.2</v>
      </c>
      <c r="E4" s="37">
        <f>IF(AND(ISNUMBER(C4),ISNUMBER(D4)), C4-D4, "")</f>
        <v>-17497.200000000012</v>
      </c>
      <c r="F4" s="38">
        <f>IFERROR(E4/D4, "")</f>
        <v>-7.1867945545774525E-2</v>
      </c>
      <c r="G4" s="39">
        <v>259128.8</v>
      </c>
      <c r="H4" s="39">
        <f>IF(AND(ISNUMBER(C4),ISNUMBER(G4)), C4-G4, "")</f>
        <v>-33162.799999999988</v>
      </c>
      <c r="I4" s="40">
        <f>IFERROR(H4/G4, "")</f>
        <v>-0.12797805570048559</v>
      </c>
      <c r="J4" s="57" t="s">
        <v>157</v>
      </c>
      <c r="K4" s="89" t="s">
        <v>158</v>
      </c>
      <c r="L4" s="83" t="s">
        <v>159</v>
      </c>
    </row>
    <row r="5" spans="1:12" ht="45" customHeight="1">
      <c r="A5" s="49" t="str">
        <v>Barton Acres</v>
      </c>
      <c r="B5" s="50" t="str">
        <v>MA</v>
      </c>
      <c r="C5" s="43">
        <v>159221</v>
      </c>
      <c r="D5" s="44">
        <v>152419.1</v>
      </c>
      <c r="E5" s="44">
        <f t="shared" ref="E5:E24" si="0">IF(AND(ISNUMBER(C5),ISNUMBER(D5)), C5-D5, "")</f>
        <v>6801.8999999999942</v>
      </c>
      <c r="F5" s="45">
        <f>IFERROR(E5/D5, "")</f>
        <v>4.4626296835501546E-2</v>
      </c>
      <c r="G5" s="46">
        <v>196293.4</v>
      </c>
      <c r="H5" s="46">
        <f t="shared" ref="H5:H24" si="1">IF(AND(ISNUMBER(C5),ISNUMBER(G5)), C5-G5, "")</f>
        <v>-37072.399999999994</v>
      </c>
      <c r="I5" s="45">
        <f t="shared" ref="I5:I24" si="2">IFERROR(H5/G5, "")</f>
        <v>-0.18886218283447123</v>
      </c>
      <c r="J5" s="67" t="s">
        <v>160</v>
      </c>
      <c r="K5" s="82" t="s">
        <v>161</v>
      </c>
    </row>
    <row r="6" spans="1:12" ht="28.9">
      <c r="A6" s="51" t="str">
        <v>Bowden</v>
      </c>
      <c r="B6" s="48" t="str">
        <v>MA</v>
      </c>
      <c r="C6" s="36">
        <v>318831</v>
      </c>
      <c r="D6" s="37">
        <v>316793.3</v>
      </c>
      <c r="E6" s="37">
        <f t="shared" si="0"/>
        <v>2037.7000000000116</v>
      </c>
      <c r="F6" s="38">
        <f t="shared" ref="F6:F24" si="3">IFERROR(E6/D6, "")</f>
        <v>6.4322698743944761E-3</v>
      </c>
      <c r="G6" s="39">
        <v>383114.2</v>
      </c>
      <c r="H6" s="39">
        <f t="shared" si="1"/>
        <v>-64283.200000000012</v>
      </c>
      <c r="I6" s="40">
        <f t="shared" si="2"/>
        <v>-0.16779122256496889</v>
      </c>
      <c r="J6" s="57" t="s">
        <v>162</v>
      </c>
      <c r="K6" s="57"/>
    </row>
    <row r="7" spans="1:12" ht="81" customHeight="1">
      <c r="A7" s="49" t="str">
        <v>Blair Wire Village</v>
      </c>
      <c r="B7" s="50" t="str">
        <v>MA</v>
      </c>
      <c r="C7" s="43">
        <v>148953</v>
      </c>
      <c r="D7" s="44">
        <v>158461.1</v>
      </c>
      <c r="E7" s="44">
        <f t="shared" si="0"/>
        <v>-9508.1000000000058</v>
      </c>
      <c r="F7" s="45">
        <f t="shared" si="3"/>
        <v>-6.0002738842529844E-2</v>
      </c>
      <c r="G7" s="46">
        <v>192216.8</v>
      </c>
      <c r="H7" s="46">
        <f t="shared" si="1"/>
        <v>-43263.799999999988</v>
      </c>
      <c r="I7" s="45">
        <f t="shared" si="2"/>
        <v>-0.22507814093253031</v>
      </c>
      <c r="J7" s="69" t="s">
        <v>163</v>
      </c>
      <c r="K7" s="90" t="s">
        <v>164</v>
      </c>
    </row>
    <row r="8" spans="1:12" ht="28.9">
      <c r="A8" s="51" t="str">
        <v>Boutilier</v>
      </c>
      <c r="B8" s="48" t="str">
        <v>MA</v>
      </c>
      <c r="C8" s="36">
        <v>431151</v>
      </c>
      <c r="D8" s="37">
        <v>419276.1</v>
      </c>
      <c r="E8" s="37">
        <f t="shared" si="0"/>
        <v>11874.900000000023</v>
      </c>
      <c r="F8" s="38">
        <f t="shared" si="3"/>
        <v>2.8322387085741411E-2</v>
      </c>
      <c r="G8" s="39">
        <v>538844.9</v>
      </c>
      <c r="H8" s="39">
        <f t="shared" si="1"/>
        <v>-107693.90000000002</v>
      </c>
      <c r="I8" s="40">
        <f t="shared" si="2"/>
        <v>-0.19986066491489485</v>
      </c>
      <c r="J8" s="57" t="s">
        <v>162</v>
      </c>
      <c r="K8" s="57"/>
    </row>
    <row r="9" spans="1:12" ht="28.9">
      <c r="A9" s="49" t="str">
        <v>Cherry Valley</v>
      </c>
      <c r="B9" s="50" t="str">
        <v>MA</v>
      </c>
      <c r="C9" s="43">
        <v>141723</v>
      </c>
      <c r="D9" s="44">
        <v>152648</v>
      </c>
      <c r="E9" s="44">
        <f t="shared" si="0"/>
        <v>-10925</v>
      </c>
      <c r="F9" s="45">
        <f t="shared" si="3"/>
        <v>-7.1569886274304287E-2</v>
      </c>
      <c r="G9" s="46">
        <v>194395</v>
      </c>
      <c r="H9" s="46">
        <f t="shared" si="1"/>
        <v>-52672</v>
      </c>
      <c r="I9" s="45">
        <f t="shared" si="2"/>
        <v>-0.27095347102548933</v>
      </c>
      <c r="J9" s="58" t="s">
        <v>162</v>
      </c>
      <c r="K9" s="58"/>
    </row>
    <row r="10" spans="1:12" ht="28.9">
      <c r="A10" s="51" t="str">
        <v>Cohasse</v>
      </c>
      <c r="B10" s="48" t="str">
        <v>MA</v>
      </c>
      <c r="C10" s="36">
        <v>141805</v>
      </c>
      <c r="D10" s="37">
        <v>139695.5</v>
      </c>
      <c r="E10" s="37">
        <f t="shared" si="0"/>
        <v>2109.5</v>
      </c>
      <c r="F10" s="38">
        <f t="shared" si="3"/>
        <v>1.5100701167897319E-2</v>
      </c>
      <c r="G10" s="39">
        <v>192755.8</v>
      </c>
      <c r="H10" s="39">
        <f t="shared" si="1"/>
        <v>-50950.799999999988</v>
      </c>
      <c r="I10" s="40">
        <f t="shared" si="2"/>
        <v>-0.26432823292476798</v>
      </c>
      <c r="J10" s="57" t="s">
        <v>162</v>
      </c>
      <c r="K10" s="57"/>
    </row>
    <row r="11" spans="1:12" ht="57.6">
      <c r="A11" s="49" t="str">
        <v>ISM Dighton Solar 2</v>
      </c>
      <c r="B11" s="50" t="str">
        <v>MA</v>
      </c>
      <c r="C11" s="43">
        <v>343730</v>
      </c>
      <c r="D11" s="44">
        <v>336698.1</v>
      </c>
      <c r="E11" s="44">
        <f t="shared" si="0"/>
        <v>7031.9000000000233</v>
      </c>
      <c r="F11" s="45">
        <f t="shared" si="3"/>
        <v>2.0884881738269457E-2</v>
      </c>
      <c r="G11" s="46">
        <v>394456.8</v>
      </c>
      <c r="H11" s="46">
        <f t="shared" si="1"/>
        <v>-50726.799999999988</v>
      </c>
      <c r="I11" s="45">
        <f t="shared" si="2"/>
        <v>-0.12859912669777779</v>
      </c>
      <c r="J11" s="58" t="s">
        <v>165</v>
      </c>
      <c r="K11" s="82" t="s">
        <v>166</v>
      </c>
      <c r="L11" s="83" t="s">
        <v>167</v>
      </c>
    </row>
    <row r="12" spans="1:12" ht="28.9">
      <c r="A12" s="51" t="str">
        <v>Dudley River 1</v>
      </c>
      <c r="B12" s="48" t="str">
        <v>MA</v>
      </c>
      <c r="C12" s="36">
        <v>153538</v>
      </c>
      <c r="D12" s="37">
        <v>156975.9</v>
      </c>
      <c r="E12" s="37">
        <f t="shared" si="0"/>
        <v>-3437.8999999999942</v>
      </c>
      <c r="F12" s="38">
        <f t="shared" si="3"/>
        <v>-2.1900814074007503E-2</v>
      </c>
      <c r="G12" s="39">
        <v>193593.9</v>
      </c>
      <c r="H12" s="39">
        <f t="shared" si="1"/>
        <v>-40055.899999999994</v>
      </c>
      <c r="I12" s="40">
        <f t="shared" si="2"/>
        <v>-0.20690682919244871</v>
      </c>
      <c r="J12" s="57" t="s">
        <v>162</v>
      </c>
      <c r="K12" s="57"/>
    </row>
    <row r="13" spans="1:12" ht="28.9">
      <c r="A13" s="49" t="str">
        <v>Dudley River 2</v>
      </c>
      <c r="B13" s="50" t="str">
        <v>MA</v>
      </c>
      <c r="C13" s="43">
        <v>148601</v>
      </c>
      <c r="D13" s="44">
        <v>152438.5</v>
      </c>
      <c r="E13" s="44">
        <f t="shared" si="0"/>
        <v>-3837.5</v>
      </c>
      <c r="F13" s="45">
        <f t="shared" si="3"/>
        <v>-2.5174086598857899E-2</v>
      </c>
      <c r="G13" s="46">
        <v>184610.2</v>
      </c>
      <c r="H13" s="46">
        <f t="shared" si="1"/>
        <v>-36009.200000000012</v>
      </c>
      <c r="I13" s="45">
        <f t="shared" si="2"/>
        <v>-0.19505531113665447</v>
      </c>
      <c r="J13" s="58" t="s">
        <v>162</v>
      </c>
      <c r="K13" s="58"/>
    </row>
    <row r="14" spans="1:12" ht="28.9">
      <c r="A14" s="51" t="str">
        <v>Dudley River 3</v>
      </c>
      <c r="B14" s="48" t="str">
        <v>MA</v>
      </c>
      <c r="C14" s="36">
        <v>152932</v>
      </c>
      <c r="D14" s="37">
        <v>152896</v>
      </c>
      <c r="E14" s="37">
        <f t="shared" si="0"/>
        <v>36</v>
      </c>
      <c r="F14" s="38">
        <f t="shared" si="3"/>
        <v>2.3545416492256173E-4</v>
      </c>
      <c r="G14" s="39">
        <v>187114.1</v>
      </c>
      <c r="H14" s="39">
        <f t="shared" si="1"/>
        <v>-34182.100000000006</v>
      </c>
      <c r="I14" s="40">
        <f t="shared" si="2"/>
        <v>-0.18268051418893608</v>
      </c>
      <c r="J14" s="57" t="s">
        <v>162</v>
      </c>
      <c r="K14" s="57"/>
    </row>
    <row r="15" spans="1:12" ht="28.9">
      <c r="A15" s="49" t="str">
        <v>Flint Pond</v>
      </c>
      <c r="B15" s="50" t="str">
        <v>MA</v>
      </c>
      <c r="C15" s="43">
        <v>74546.5</v>
      </c>
      <c r="D15" s="44">
        <v>61311.65</v>
      </c>
      <c r="E15" s="44">
        <f t="shared" si="0"/>
        <v>13234.849999999999</v>
      </c>
      <c r="F15" s="45">
        <f t="shared" si="3"/>
        <v>0.21586191205097233</v>
      </c>
      <c r="G15" s="46">
        <v>92665.36</v>
      </c>
      <c r="H15" s="46">
        <f t="shared" si="1"/>
        <v>-18118.86</v>
      </c>
      <c r="I15" s="45">
        <f t="shared" si="2"/>
        <v>-0.19553002330104799</v>
      </c>
      <c r="J15" s="58" t="s">
        <v>168</v>
      </c>
      <c r="K15" s="58"/>
    </row>
    <row r="16" spans="1:12" ht="28.9">
      <c r="A16" s="51" t="str">
        <v>Incom</v>
      </c>
      <c r="B16" s="48" t="str">
        <v>MA</v>
      </c>
      <c r="C16" s="36">
        <v>328694</v>
      </c>
      <c r="D16" s="37">
        <v>338334.8</v>
      </c>
      <c r="E16" s="37">
        <f t="shared" si="0"/>
        <v>-9640.7999999999884</v>
      </c>
      <c r="F16" s="38">
        <f t="shared" si="3"/>
        <v>-2.8494851844977191E-2</v>
      </c>
      <c r="G16" s="39">
        <v>394560.1</v>
      </c>
      <c r="H16" s="39">
        <f t="shared" si="1"/>
        <v>-65866.099999999977</v>
      </c>
      <c r="I16" s="40">
        <f t="shared" si="2"/>
        <v>-0.16693553149444149</v>
      </c>
      <c r="J16" s="57" t="s">
        <v>169</v>
      </c>
      <c r="K16" s="57"/>
    </row>
    <row r="17" spans="1:12" ht="28.9">
      <c r="A17" s="49" t="str">
        <v>JH</v>
      </c>
      <c r="B17" s="50" t="str">
        <v>MA</v>
      </c>
      <c r="C17" s="43">
        <v>143890</v>
      </c>
      <c r="D17" s="44">
        <v>147015.5</v>
      </c>
      <c r="E17" s="44">
        <f t="shared" si="0"/>
        <v>-3125.5</v>
      </c>
      <c r="F17" s="45">
        <f t="shared" si="3"/>
        <v>-2.1259663096748302E-2</v>
      </c>
      <c r="G17" s="46">
        <v>191735.3</v>
      </c>
      <c r="H17" s="46">
        <f t="shared" si="1"/>
        <v>-47845.299999999988</v>
      </c>
      <c r="I17" s="45">
        <f t="shared" si="2"/>
        <v>-0.24953829576504688</v>
      </c>
      <c r="J17" s="58" t="s">
        <v>170</v>
      </c>
      <c r="K17" s="58"/>
    </row>
    <row r="18" spans="1:12" ht="48.75" customHeight="1">
      <c r="A18" s="86" t="str">
        <v>Ledeaux</v>
      </c>
      <c r="B18" s="48" t="str">
        <v>MA</v>
      </c>
      <c r="C18" s="36">
        <v>133678</v>
      </c>
      <c r="D18" s="37">
        <v>142273.1</v>
      </c>
      <c r="E18" s="37">
        <f t="shared" si="0"/>
        <v>-8595.1000000000058</v>
      </c>
      <c r="F18" s="38">
        <f t="shared" si="3"/>
        <v>-6.0412685180824807E-2</v>
      </c>
      <c r="G18" s="39">
        <v>188253.6</v>
      </c>
      <c r="H18" s="39">
        <f t="shared" si="1"/>
        <v>-54575.600000000006</v>
      </c>
      <c r="I18" s="40">
        <f t="shared" si="2"/>
        <v>-0.28990468176969791</v>
      </c>
      <c r="J18" s="57" t="s">
        <v>171</v>
      </c>
      <c r="K18" s="89" t="s">
        <v>172</v>
      </c>
    </row>
    <row r="19" spans="1:12" ht="57.6">
      <c r="A19" s="49" t="str">
        <v>Palombo A</v>
      </c>
      <c r="B19" s="50" t="str">
        <v>MA</v>
      </c>
      <c r="C19" s="43">
        <v>307732</v>
      </c>
      <c r="D19" s="44">
        <v>313557.90000000002</v>
      </c>
      <c r="E19" s="44">
        <f t="shared" si="0"/>
        <v>-5825.9000000000233</v>
      </c>
      <c r="F19" s="45">
        <f t="shared" si="3"/>
        <v>-1.8579981560024553E-2</v>
      </c>
      <c r="G19" s="46">
        <v>398271</v>
      </c>
      <c r="H19" s="46">
        <f t="shared" si="1"/>
        <v>-90539</v>
      </c>
      <c r="I19" s="45">
        <f t="shared" si="2"/>
        <v>-0.22733013450640394</v>
      </c>
      <c r="J19" s="69" t="s">
        <v>173</v>
      </c>
      <c r="K19" s="90" t="s">
        <v>174</v>
      </c>
    </row>
    <row r="20" spans="1:12" ht="28.9">
      <c r="A20" s="51" t="str">
        <v>Palombo B</v>
      </c>
      <c r="B20" s="48" t="str">
        <v>MA</v>
      </c>
      <c r="C20" s="36">
        <v>156009</v>
      </c>
      <c r="D20" s="37">
        <v>132398.29999999999</v>
      </c>
      <c r="E20" s="37">
        <f t="shared" si="0"/>
        <v>23610.700000000012</v>
      </c>
      <c r="F20" s="38">
        <f t="shared" si="3"/>
        <v>0.17833083959537255</v>
      </c>
      <c r="G20" s="39">
        <v>204302.2</v>
      </c>
      <c r="H20" s="39">
        <f t="shared" si="1"/>
        <v>-48293.200000000012</v>
      </c>
      <c r="I20" s="40">
        <f t="shared" si="2"/>
        <v>-0.23638120392242476</v>
      </c>
      <c r="J20" s="57" t="s">
        <v>175</v>
      </c>
      <c r="K20" s="57"/>
    </row>
    <row r="21" spans="1:12" ht="28.9">
      <c r="A21" s="49" t="str">
        <v>St Josephs Church</v>
      </c>
      <c r="B21" s="50" t="str">
        <v>MA</v>
      </c>
      <c r="C21" s="43">
        <v>149532</v>
      </c>
      <c r="D21" s="44">
        <v>161092.5</v>
      </c>
      <c r="E21" s="44">
        <f t="shared" si="0"/>
        <v>-11560.5</v>
      </c>
      <c r="F21" s="45">
        <f t="shared" si="3"/>
        <v>-7.1763117463569073E-2</v>
      </c>
      <c r="G21" s="46">
        <v>190363.2</v>
      </c>
      <c r="H21" s="46">
        <f t="shared" si="1"/>
        <v>-40831.200000000012</v>
      </c>
      <c r="I21" s="45">
        <f t="shared" si="2"/>
        <v>-0.21449103608260425</v>
      </c>
      <c r="J21" s="58" t="s">
        <v>175</v>
      </c>
      <c r="K21" s="58"/>
    </row>
    <row r="22" spans="1:12" ht="28.9">
      <c r="A22" s="51" t="str">
        <v>Sunset A</v>
      </c>
      <c r="B22" s="48" t="str">
        <v>MA</v>
      </c>
      <c r="C22" s="36">
        <v>70981</v>
      </c>
      <c r="D22" s="37">
        <v>74200.91</v>
      </c>
      <c r="E22" s="37">
        <f t="shared" si="0"/>
        <v>-3219.9100000000035</v>
      </c>
      <c r="F22" s="38">
        <f t="shared" si="3"/>
        <v>-4.3394481280620456E-2</v>
      </c>
      <c r="G22" s="39">
        <v>92417.78</v>
      </c>
      <c r="H22" s="39">
        <f t="shared" si="1"/>
        <v>-21436.78</v>
      </c>
      <c r="I22" s="40">
        <f t="shared" si="2"/>
        <v>-0.23195514975581538</v>
      </c>
      <c r="J22" s="57" t="s">
        <v>176</v>
      </c>
      <c r="K22" s="89" t="s">
        <v>177</v>
      </c>
    </row>
    <row r="23" spans="1:12" ht="72">
      <c r="A23" s="49" t="str">
        <v>Sunset B</v>
      </c>
      <c r="B23" s="50" t="str">
        <v>MA</v>
      </c>
      <c r="C23" s="43">
        <v>67294.75</v>
      </c>
      <c r="D23" s="44">
        <v>74837.5</v>
      </c>
      <c r="E23" s="44">
        <f t="shared" si="0"/>
        <v>-7542.75</v>
      </c>
      <c r="F23" s="45">
        <f t="shared" si="3"/>
        <v>-0.10078837481209287</v>
      </c>
      <c r="G23" s="46">
        <v>91307.58</v>
      </c>
      <c r="H23" s="46">
        <f t="shared" si="1"/>
        <v>-24012.83</v>
      </c>
      <c r="I23" s="45">
        <f t="shared" si="2"/>
        <v>-0.26298835211709698</v>
      </c>
      <c r="J23" s="58" t="s">
        <v>178</v>
      </c>
      <c r="K23" s="82" t="s">
        <v>179</v>
      </c>
      <c r="L23" s="83" t="s">
        <v>180</v>
      </c>
    </row>
    <row r="24" spans="1:12" ht="28.9">
      <c r="A24" s="51" t="str">
        <v>Woodchuck</v>
      </c>
      <c r="B24" s="48" t="str">
        <v>MA</v>
      </c>
      <c r="C24" s="36">
        <v>149071</v>
      </c>
      <c r="D24" s="37">
        <v>155547.20000000001</v>
      </c>
      <c r="E24" s="37">
        <f t="shared" si="0"/>
        <v>-6476.2000000000116</v>
      </c>
      <c r="F24" s="38">
        <f t="shared" si="3"/>
        <v>-4.1634950677350742E-2</v>
      </c>
      <c r="G24" s="39">
        <v>201956.5</v>
      </c>
      <c r="H24" s="39">
        <f t="shared" si="1"/>
        <v>-52885.5</v>
      </c>
      <c r="I24" s="40">
        <f t="shared" si="2"/>
        <v>-0.26186579783270159</v>
      </c>
      <c r="J24" s="57" t="s">
        <v>175</v>
      </c>
      <c r="K24" s="57"/>
    </row>
    <row r="25" spans="1:12" ht="14.45">
      <c r="A25" s="13" t="str">
        <v>NY: Skaneateles - Spafford 1 - (PW)</v>
      </c>
      <c r="B25" s="18" t="str">
        <v>NY</v>
      </c>
      <c r="C25" s="13"/>
      <c r="D25" s="13"/>
      <c r="E25" s="13"/>
      <c r="F25" s="13"/>
      <c r="G25" s="13"/>
      <c r="H25" s="13"/>
      <c r="I25" s="13"/>
      <c r="J25" s="13"/>
      <c r="K25" s="13"/>
    </row>
    <row r="26" spans="1:12" ht="14.45">
      <c r="A26" s="13" t="str">
        <v>NY: Skaneateles - Spafford 2 - (PW)</v>
      </c>
      <c r="B26" s="18" t="str">
        <v>NY</v>
      </c>
      <c r="C26" s="13"/>
      <c r="D26" s="13"/>
      <c r="E26" s="13"/>
      <c r="F26" s="13"/>
      <c r="G26" s="13"/>
      <c r="H26" s="13"/>
      <c r="I26" s="13"/>
      <c r="J26" s="13"/>
      <c r="K26" s="13"/>
    </row>
    <row r="27" spans="1:12" ht="14.45">
      <c r="A27" s="13" t="str">
        <v>NY: New Hartford - 4001 NY-12 (IRA)</v>
      </c>
      <c r="B27" s="18" t="str">
        <v>NY</v>
      </c>
      <c r="C27" s="13"/>
      <c r="D27" s="13"/>
      <c r="E27" s="13"/>
      <c r="F27" s="13"/>
      <c r="G27" s="13"/>
      <c r="H27" s="13"/>
      <c r="I27" s="13"/>
      <c r="J27" s="13"/>
      <c r="K27" s="13"/>
    </row>
    <row r="28" spans="1:12" ht="14.45">
      <c r="A28" s="13"/>
      <c r="B28" s="18"/>
      <c r="C28" s="13"/>
      <c r="D28" s="13"/>
      <c r="E28" s="13"/>
      <c r="F28" s="13"/>
      <c r="G28" s="13"/>
      <c r="H28" s="13"/>
      <c r="I28" s="13"/>
      <c r="J28" s="13"/>
      <c r="K28" s="13"/>
    </row>
    <row r="29" spans="1:12" ht="14.45">
      <c r="A29" s="13"/>
      <c r="B29" s="18"/>
      <c r="C29" s="13"/>
      <c r="D29" s="13"/>
      <c r="E29" s="13"/>
      <c r="F29" s="13"/>
      <c r="G29" s="13"/>
      <c r="H29" s="13"/>
      <c r="I29" s="13"/>
      <c r="J29" s="13"/>
      <c r="K29" s="13"/>
    </row>
    <row r="30" spans="1:12" ht="14.45">
      <c r="A30" s="13"/>
      <c r="B30" s="18"/>
      <c r="C30" s="13"/>
      <c r="D30" s="13"/>
      <c r="E30" s="13"/>
      <c r="F30" s="13"/>
      <c r="G30" s="13"/>
      <c r="H30" s="13"/>
      <c r="I30" s="13"/>
      <c r="J30" s="13"/>
      <c r="K30" s="13"/>
    </row>
    <row r="31" spans="1:12" ht="14.45">
      <c r="A31" s="13"/>
      <c r="B31" s="18"/>
      <c r="C31" s="13"/>
      <c r="D31" s="13"/>
      <c r="E31" s="13"/>
      <c r="F31" s="13"/>
      <c r="G31" s="13"/>
      <c r="H31" s="13"/>
      <c r="I31" s="13"/>
      <c r="J31" s="13"/>
      <c r="K31" s="13"/>
    </row>
    <row r="32" spans="1:12"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row r="341" spans="1:11" ht="14.45">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18" priority="3" stopIfTrue="1" operator="lessThanOrEqual">
      <formula>-0.1</formula>
    </cfRule>
    <cfRule type="expression" dxfId="17" priority="4">
      <formula>AND(ISNUMBER(F2), F2&gt;=0.1)</formula>
    </cfRule>
  </conditionalFormatting>
  <hyperlinks>
    <hyperlink ref="K4" r:id="rId1" display="https://us3.assetplanner.com/service_request?ID=101805" xr:uid="{371A14A9-0D47-4688-9BA2-A4523373042D}"/>
    <hyperlink ref="L4" r:id="rId2" display="https://us3.assetplanner.com/service_request?ID=100801" xr:uid="{4E0BCE9E-596E-4AB3-9385-29500B54E6C4}"/>
    <hyperlink ref="K5" r:id="rId3" display="https://us3.assetplanner.com/service_request?ID=101118" xr:uid="{F9B79C00-624E-4AB1-9BD7-0A250D9CD0E8}"/>
    <hyperlink ref="K7" r:id="rId4" display="https://us3.assetplanner.com/service_request?ID=101288" xr:uid="{BAEE3303-E3A4-4DB2-ADC2-B89EBF983FAA}"/>
    <hyperlink ref="K11" r:id="rId5" display="https://us3.assetplanner.com/service_request?ID=100570" xr:uid="{B4FFC5CB-2BC6-495A-98AF-0E26749340ED}"/>
    <hyperlink ref="L11" r:id="rId6" display="https://us3.assetplanner.com/service_request?ID=102227" xr:uid="{DCBA7A5A-730D-4BE6-AAFF-E48E9B9DFA8F}"/>
    <hyperlink ref="K18" r:id="rId7" display="https://us3.assetplanner.com/service_request?ID=100927" xr:uid="{6CFC925B-9042-4AF5-A9BA-716D0D1A5DF1}"/>
    <hyperlink ref="K19" r:id="rId8" display="https://us3.assetplanner.com/service_request?ID=099667" xr:uid="{2DE139A8-07CA-4245-B5DB-CACD3C5408D2}"/>
    <hyperlink ref="K22" r:id="rId9" display="https://us3.assetplanner.com/service_request?ID=101411" xr:uid="{C6F53EE8-BFC2-442C-A1AF-0400414B4066}"/>
    <hyperlink ref="K23" r:id="rId10" display="https://us3.assetplanner.com/service_request?ID=101412" xr:uid="{469F058E-7F72-492D-9FAC-F2085A9A8028}"/>
    <hyperlink ref="L23" r:id="rId11" display="https://us3.assetplanner.com/service_request?ID=101678" xr:uid="{5765791C-F867-41DD-AFEE-1C0C4827E676}"/>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M341"/>
  <sheetViews>
    <sheetView zoomScale="70" zoomScaleNormal="70" workbookViewId="0">
      <pane xSplit="2" ySplit="3" topLeftCell="C16" activePane="bottomRight" state="frozen"/>
      <selection pane="bottomRight" activeCell="J4" sqref="J4"/>
      <selection pane="bottomLeft" activeCell="J14" sqref="J14"/>
      <selection pane="topRight" activeCell="J14" sqref="J1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3" width="8.85546875" style="87"/>
  </cols>
  <sheetData>
    <row r="1" spans="1:13" ht="19.5" customHeight="1">
      <c r="A1" s="115" t="str" cm="1">
        <f t="array" ref="A1">portfolio</f>
        <v>38 DN</v>
      </c>
      <c r="B1" s="115"/>
      <c r="C1" s="115"/>
      <c r="D1" s="116" t="s">
        <v>181</v>
      </c>
      <c r="E1" s="116"/>
      <c r="F1" s="116"/>
      <c r="G1" s="114" t="s">
        <v>182</v>
      </c>
      <c r="H1" s="114"/>
      <c r="I1" s="114"/>
      <c r="J1" s="4"/>
      <c r="K1" s="4"/>
    </row>
    <row r="2" spans="1:13" ht="19.5" customHeight="1">
      <c r="A2" s="117" t="s">
        <v>2</v>
      </c>
      <c r="B2" s="117"/>
      <c r="C2" s="5">
        <f>SUM(C4:C99)</f>
        <v>4571344.2500000009</v>
      </c>
      <c r="D2" s="5">
        <f>SUM(D4:D99)</f>
        <v>4549014.59</v>
      </c>
      <c r="E2" s="5">
        <f>C2-D2</f>
        <v>22329.66000000108</v>
      </c>
      <c r="F2" s="6">
        <f>IFERROR(E2/D2, 0)</f>
        <v>4.9086806731919235E-3</v>
      </c>
      <c r="G2" s="5">
        <f>SUM(G4:G99)</f>
        <v>4978078.4799999986</v>
      </c>
      <c r="H2" s="7">
        <f>C2-G2</f>
        <v>-406734.22999999765</v>
      </c>
      <c r="I2" s="6">
        <f>IFERROR(H2/G2, 0)</f>
        <v>-8.170506584701287E-2</v>
      </c>
      <c r="J2" s="16"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17" t="s">
        <v>3</v>
      </c>
      <c r="B3" s="17" t="s">
        <v>4</v>
      </c>
      <c r="C3" s="27" t="s">
        <v>5</v>
      </c>
      <c r="D3" s="28" t="s">
        <v>6</v>
      </c>
      <c r="E3" s="28" t="s">
        <v>7</v>
      </c>
      <c r="F3" s="29" t="s">
        <v>8</v>
      </c>
      <c r="G3" s="30" t="s">
        <v>9</v>
      </c>
      <c r="H3" s="31" t="s">
        <v>7</v>
      </c>
      <c r="I3" s="32" t="s">
        <v>8</v>
      </c>
      <c r="J3" s="15" t="s">
        <v>20</v>
      </c>
      <c r="K3" s="15" t="s">
        <v>21</v>
      </c>
    </row>
    <row r="4" spans="1:13" ht="72">
      <c r="A4" s="47" t="str" cm="1">
        <f t="array" ref="A4:A27">Sites[Site]</f>
        <v>6th St.</v>
      </c>
      <c r="B4" s="48" t="str" cm="1">
        <f t="array" ref="B4:B27">Sites[State]</f>
        <v>CA</v>
      </c>
      <c r="C4" s="36">
        <v>245374.50000000099</v>
      </c>
      <c r="D4" s="37">
        <v>289807.59999999998</v>
      </c>
      <c r="E4" s="37">
        <f>IF(AND(ISNUMBER(C4),ISNUMBER(D4)), C4-D4, "")</f>
        <v>-44433.099999998987</v>
      </c>
      <c r="F4" s="38">
        <f>IFERROR(E4/D4, "")</f>
        <v>-0.15331930563587357</v>
      </c>
      <c r="G4" s="39">
        <v>244402.8</v>
      </c>
      <c r="H4" s="39">
        <f>IF(AND(ISNUMBER(C4),ISNUMBER(G4)), C4-G4, "")</f>
        <v>971.70000000100117</v>
      </c>
      <c r="I4" s="40">
        <f>IFERROR(H4/G4, "")</f>
        <v>3.9758136977195071E-3</v>
      </c>
      <c r="J4" s="91" t="s">
        <v>183</v>
      </c>
      <c r="K4" s="92" t="s">
        <v>184</v>
      </c>
      <c r="L4" s="88" t="s">
        <v>185</v>
      </c>
    </row>
    <row r="5" spans="1:13" ht="15.6">
      <c r="A5" s="49" t="str">
        <v>Barton Acres</v>
      </c>
      <c r="B5" s="50" t="str">
        <v>MA</v>
      </c>
      <c r="C5" s="43">
        <v>190917</v>
      </c>
      <c r="D5" s="44">
        <v>176595</v>
      </c>
      <c r="E5" s="44">
        <f t="shared" ref="E5:E16" si="0">IF(AND(ISNUMBER(C5),ISNUMBER(D5)), C5-D5, "")</f>
        <v>14322</v>
      </c>
      <c r="F5" s="45">
        <f>IFERROR(E5/D5, "")</f>
        <v>8.1100823919137005E-2</v>
      </c>
      <c r="G5" s="46">
        <v>198844.4</v>
      </c>
      <c r="H5" s="46">
        <f t="shared" ref="H5:H17" si="1">IF(AND(ISNUMBER(C5),ISNUMBER(G5)), C5-G5, "")</f>
        <v>-7927.3999999999942</v>
      </c>
      <c r="I5" s="45">
        <f t="shared" ref="I5:I17" si="2">IFERROR(H5/G5, "")</f>
        <v>-3.9867353568921196E-2</v>
      </c>
      <c r="J5" s="67"/>
      <c r="K5" s="67"/>
    </row>
    <row r="6" spans="1:13" ht="47.25" customHeight="1">
      <c r="A6" s="51" t="str">
        <v>Bowden</v>
      </c>
      <c r="B6" s="48" t="str">
        <v>MA</v>
      </c>
      <c r="C6" s="36">
        <v>360324</v>
      </c>
      <c r="D6" s="37">
        <v>357450.4</v>
      </c>
      <c r="E6" s="37">
        <f t="shared" si="0"/>
        <v>2873.5999999999767</v>
      </c>
      <c r="F6" s="38">
        <f t="shared" ref="F6:F17" si="3">IFERROR(E6/D6, "")</f>
        <v>8.0391573208478066E-3</v>
      </c>
      <c r="G6" s="39">
        <v>395795.4</v>
      </c>
      <c r="H6" s="39">
        <f t="shared" si="1"/>
        <v>-35471.400000000023</v>
      </c>
      <c r="I6" s="40">
        <f t="shared" si="2"/>
        <v>-8.9620546373201965E-2</v>
      </c>
      <c r="J6" s="66" t="s">
        <v>186</v>
      </c>
      <c r="K6" s="80" t="s">
        <v>187</v>
      </c>
      <c r="L6" s="88" t="s">
        <v>188</v>
      </c>
    </row>
    <row r="7" spans="1:13" ht="15.6">
      <c r="A7" s="49" t="str">
        <v>Blair Wire Village</v>
      </c>
      <c r="B7" s="50" t="str">
        <v>MA</v>
      </c>
      <c r="C7" s="43">
        <v>187217</v>
      </c>
      <c r="D7" s="44">
        <v>183591</v>
      </c>
      <c r="E7" s="44">
        <f t="shared" si="0"/>
        <v>3626</v>
      </c>
      <c r="F7" s="45">
        <f t="shared" si="3"/>
        <v>1.9750423495705126E-2</v>
      </c>
      <c r="G7" s="46">
        <v>197786.1</v>
      </c>
      <c r="H7" s="46">
        <f t="shared" si="1"/>
        <v>-10569.100000000006</v>
      </c>
      <c r="I7" s="45">
        <f t="shared" si="2"/>
        <v>-5.3437021105123189E-2</v>
      </c>
      <c r="J7" s="67"/>
      <c r="K7" s="67"/>
    </row>
    <row r="8" spans="1:13" ht="15.6">
      <c r="A8" s="51" t="str">
        <v>Boutilier</v>
      </c>
      <c r="B8" s="48" t="str">
        <v>MA</v>
      </c>
      <c r="C8" s="36">
        <v>528352</v>
      </c>
      <c r="D8" s="37">
        <v>483548.6</v>
      </c>
      <c r="E8" s="37">
        <f t="shared" si="0"/>
        <v>44803.400000000023</v>
      </c>
      <c r="F8" s="38">
        <f t="shared" si="3"/>
        <v>9.2655422846845234E-2</v>
      </c>
      <c r="G8" s="39">
        <v>545847</v>
      </c>
      <c r="H8" s="39">
        <f t="shared" si="1"/>
        <v>-17495</v>
      </c>
      <c r="I8" s="40">
        <f t="shared" si="2"/>
        <v>-3.2051105895974513E-2</v>
      </c>
      <c r="J8" s="66"/>
      <c r="K8" s="66"/>
    </row>
    <row r="9" spans="1:13" ht="15.6">
      <c r="A9" s="49" t="str">
        <v>Cherry Valley</v>
      </c>
      <c r="B9" s="50" t="str">
        <v>MA</v>
      </c>
      <c r="C9" s="43">
        <v>173827</v>
      </c>
      <c r="D9" s="44">
        <v>168103.1</v>
      </c>
      <c r="E9" s="44">
        <f t="shared" si="0"/>
        <v>5723.8999999999942</v>
      </c>
      <c r="F9" s="45">
        <f t="shared" si="3"/>
        <v>3.4049937211151932E-2</v>
      </c>
      <c r="G9" s="46">
        <v>195979</v>
      </c>
      <c r="H9" s="46">
        <f t="shared" si="1"/>
        <v>-22152</v>
      </c>
      <c r="I9" s="45">
        <f t="shared" si="2"/>
        <v>-0.11303251879027855</v>
      </c>
      <c r="J9" s="67" t="s">
        <v>189</v>
      </c>
      <c r="K9" s="67"/>
    </row>
    <row r="10" spans="1:13" ht="43.15">
      <c r="A10" s="51" t="str">
        <v>Cohasse</v>
      </c>
      <c r="B10" s="48" t="str">
        <v>MA</v>
      </c>
      <c r="C10" s="36">
        <v>154224</v>
      </c>
      <c r="D10" s="37">
        <v>156332.29999999999</v>
      </c>
      <c r="E10" s="37">
        <f t="shared" si="0"/>
        <v>-2108.2999999999884</v>
      </c>
      <c r="F10" s="38">
        <f t="shared" si="3"/>
        <v>-1.3486016645312508E-2</v>
      </c>
      <c r="G10" s="39">
        <v>188506.7</v>
      </c>
      <c r="H10" s="39">
        <f t="shared" si="1"/>
        <v>-34282.700000000012</v>
      </c>
      <c r="I10" s="40">
        <f t="shared" si="2"/>
        <v>-0.18186462337943432</v>
      </c>
      <c r="J10" s="66" t="s">
        <v>190</v>
      </c>
      <c r="K10" s="80" t="s">
        <v>191</v>
      </c>
      <c r="L10" s="88" t="s">
        <v>192</v>
      </c>
    </row>
    <row r="11" spans="1:13" ht="57.6">
      <c r="A11" s="49" t="str">
        <v>ISM Dighton Solar 2</v>
      </c>
      <c r="B11" s="50" t="str">
        <v>MA</v>
      </c>
      <c r="C11" s="43">
        <v>351761</v>
      </c>
      <c r="D11" s="44">
        <v>357698</v>
      </c>
      <c r="E11" s="44">
        <f t="shared" si="0"/>
        <v>-5937</v>
      </c>
      <c r="F11" s="45">
        <f t="shared" si="3"/>
        <v>-1.6597800379090741E-2</v>
      </c>
      <c r="G11" s="46">
        <v>403822.8</v>
      </c>
      <c r="H11" s="46">
        <f t="shared" si="1"/>
        <v>-52061.799999999988</v>
      </c>
      <c r="I11" s="45">
        <f t="shared" si="2"/>
        <v>-0.12892238873089878</v>
      </c>
      <c r="J11" s="67" t="s">
        <v>193</v>
      </c>
      <c r="K11" s="82" t="s">
        <v>194</v>
      </c>
      <c r="L11" s="88" t="s">
        <v>195</v>
      </c>
      <c r="M11" s="88" t="s">
        <v>196</v>
      </c>
    </row>
    <row r="12" spans="1:13" ht="57.6">
      <c r="A12" s="51" t="str">
        <v>Dudley River 1</v>
      </c>
      <c r="B12" s="48" t="str">
        <v>MA</v>
      </c>
      <c r="C12" s="36">
        <v>181176</v>
      </c>
      <c r="D12" s="37">
        <v>184928.1</v>
      </c>
      <c r="E12" s="37">
        <f t="shared" si="0"/>
        <v>-3752.1000000000058</v>
      </c>
      <c r="F12" s="38">
        <f t="shared" si="3"/>
        <v>-2.0289507111142146E-2</v>
      </c>
      <c r="G12" s="39">
        <v>198867.9</v>
      </c>
      <c r="H12" s="39">
        <f t="shared" si="1"/>
        <v>-17691.899999999994</v>
      </c>
      <c r="I12" s="40">
        <f t="shared" si="2"/>
        <v>-8.8963075488804347E-2</v>
      </c>
      <c r="J12" s="66" t="s">
        <v>197</v>
      </c>
      <c r="K12" s="80" t="s">
        <v>198</v>
      </c>
      <c r="L12" s="88" t="s">
        <v>199</v>
      </c>
      <c r="M12" s="88" t="s">
        <v>200</v>
      </c>
    </row>
    <row r="13" spans="1:13" ht="57.6">
      <c r="A13" s="49" t="str">
        <v>Dudley River 2</v>
      </c>
      <c r="B13" s="50" t="str">
        <v>MA</v>
      </c>
      <c r="C13" s="43">
        <v>173249</v>
      </c>
      <c r="D13" s="44">
        <v>175723.6</v>
      </c>
      <c r="E13" s="44">
        <f t="shared" si="0"/>
        <v>-2474.6000000000058</v>
      </c>
      <c r="F13" s="45">
        <f t="shared" si="3"/>
        <v>-1.4082342952227281E-2</v>
      </c>
      <c r="G13" s="46">
        <v>189441</v>
      </c>
      <c r="H13" s="46">
        <f t="shared" si="1"/>
        <v>-16192</v>
      </c>
      <c r="I13" s="45">
        <f t="shared" si="2"/>
        <v>-8.5472521787786165E-2</v>
      </c>
      <c r="J13" s="67" t="s">
        <v>201</v>
      </c>
      <c r="K13" s="82" t="s">
        <v>202</v>
      </c>
      <c r="L13" s="88" t="s">
        <v>203</v>
      </c>
      <c r="M13" s="88" t="s">
        <v>204</v>
      </c>
    </row>
    <row r="14" spans="1:13" ht="28.9">
      <c r="A14" s="51" t="str">
        <v>Dudley River 3</v>
      </c>
      <c r="B14" s="48" t="str">
        <v>MA</v>
      </c>
      <c r="C14" s="36">
        <v>174798</v>
      </c>
      <c r="D14" s="37">
        <v>172964.7</v>
      </c>
      <c r="E14" s="37">
        <f t="shared" si="0"/>
        <v>1833.2999999999884</v>
      </c>
      <c r="F14" s="38">
        <f t="shared" si="3"/>
        <v>1.059927256833324E-2</v>
      </c>
      <c r="G14" s="39">
        <v>192136.3</v>
      </c>
      <c r="H14" s="39">
        <f t="shared" si="1"/>
        <v>-17338.299999999988</v>
      </c>
      <c r="I14" s="40">
        <f t="shared" si="2"/>
        <v>-9.0239585127849284E-2</v>
      </c>
      <c r="J14" s="66" t="s">
        <v>205</v>
      </c>
      <c r="K14" s="80" t="s">
        <v>206</v>
      </c>
      <c r="L14" s="88" t="s">
        <v>207</v>
      </c>
    </row>
    <row r="15" spans="1:13" ht="28.9">
      <c r="A15" s="49" t="str">
        <v>Flint Pond</v>
      </c>
      <c r="B15" s="50" t="str">
        <v>MA</v>
      </c>
      <c r="C15" s="43">
        <v>88251.5</v>
      </c>
      <c r="D15" s="44">
        <v>66839.61</v>
      </c>
      <c r="E15" s="44">
        <f t="shared" si="0"/>
        <v>21411.89</v>
      </c>
      <c r="F15" s="45">
        <f t="shared" si="3"/>
        <v>0.32034732099723501</v>
      </c>
      <c r="G15" s="46">
        <v>93165.71</v>
      </c>
      <c r="H15" s="46">
        <f t="shared" si="1"/>
        <v>-4914.2100000000064</v>
      </c>
      <c r="I15" s="45">
        <f t="shared" si="2"/>
        <v>-5.2746981695304056E-2</v>
      </c>
      <c r="J15" s="67" t="s">
        <v>208</v>
      </c>
      <c r="K15" s="82" t="s">
        <v>209</v>
      </c>
    </row>
    <row r="16" spans="1:13" ht="86.45">
      <c r="A16" s="51" t="str">
        <v>Incom</v>
      </c>
      <c r="B16" s="48" t="str">
        <v>MA</v>
      </c>
      <c r="C16" s="36">
        <v>334433</v>
      </c>
      <c r="D16" s="37">
        <v>404636.4</v>
      </c>
      <c r="E16" s="37">
        <f t="shared" si="0"/>
        <v>-70203.400000000023</v>
      </c>
      <c r="F16" s="38">
        <f t="shared" si="3"/>
        <v>-0.17349749058661065</v>
      </c>
      <c r="G16" s="39">
        <v>391718.8</v>
      </c>
      <c r="H16" s="39">
        <f t="shared" si="1"/>
        <v>-57285.799999999988</v>
      </c>
      <c r="I16" s="40">
        <f t="shared" si="2"/>
        <v>-0.14624215125748366</v>
      </c>
      <c r="J16" s="66" t="s">
        <v>210</v>
      </c>
      <c r="K16" s="80" t="s">
        <v>211</v>
      </c>
      <c r="L16" s="88" t="s">
        <v>212</v>
      </c>
    </row>
    <row r="17" spans="1:11" ht="15.6">
      <c r="A17" s="49" t="str">
        <v>JH</v>
      </c>
      <c r="B17" s="50" t="str">
        <v>MA</v>
      </c>
      <c r="C17" s="43">
        <v>175221</v>
      </c>
      <c r="D17" s="44">
        <v>168234.1</v>
      </c>
      <c r="E17" s="44"/>
      <c r="F17" s="70">
        <f t="shared" si="3"/>
        <v>0</v>
      </c>
      <c r="G17" s="46">
        <v>186860.1</v>
      </c>
      <c r="H17" s="46">
        <f t="shared" si="1"/>
        <v>-11639.100000000006</v>
      </c>
      <c r="I17" s="45">
        <f t="shared" si="2"/>
        <v>-6.2287775720980591E-2</v>
      </c>
      <c r="J17" s="67"/>
      <c r="K17" s="67"/>
    </row>
    <row r="18" spans="1:11" ht="28.5" customHeight="1">
      <c r="A18" s="47" t="str">
        <v>Ledeaux</v>
      </c>
      <c r="B18" s="48" t="str">
        <v>MA</v>
      </c>
      <c r="C18" s="36">
        <v>162163</v>
      </c>
      <c r="D18" s="37">
        <v>167495.9</v>
      </c>
      <c r="E18" s="37">
        <f t="shared" ref="E18:E24" si="4">IF(AND(ISNUMBER(C18),ISNUMBER(D18)), C18-D18, "")</f>
        <v>-5332.8999999999942</v>
      </c>
      <c r="F18" s="38">
        <f t="shared" ref="F18:F24" si="5">IFERROR(E18/D18, "")</f>
        <v>-3.1838988297623966E-2</v>
      </c>
      <c r="G18" s="39">
        <v>186134.2</v>
      </c>
      <c r="H18" s="39">
        <f t="shared" ref="H18:H24" si="6">IF(AND(ISNUMBER(C18),ISNUMBER(G18)), C18-G18, "")</f>
        <v>-23971.200000000012</v>
      </c>
      <c r="I18" s="40">
        <f t="shared" ref="I18:I24" si="7">IFERROR(H18/G18, "")</f>
        <v>-0.12878450064523345</v>
      </c>
      <c r="J18" s="66" t="s">
        <v>213</v>
      </c>
      <c r="K18" s="66"/>
    </row>
    <row r="19" spans="1:11" ht="15.6">
      <c r="A19" s="49" t="str">
        <v>Palombo A</v>
      </c>
      <c r="B19" s="50" t="str">
        <v>MA</v>
      </c>
      <c r="C19" s="43">
        <v>363537</v>
      </c>
      <c r="D19" s="44">
        <v>345885.9</v>
      </c>
      <c r="E19" s="44">
        <f t="shared" si="4"/>
        <v>17651.099999999977</v>
      </c>
      <c r="F19" s="70">
        <f t="shared" si="5"/>
        <v>5.1031568502792321E-2</v>
      </c>
      <c r="G19" s="46">
        <v>385946</v>
      </c>
      <c r="H19" s="46">
        <f t="shared" si="6"/>
        <v>-22409</v>
      </c>
      <c r="I19" s="45">
        <f t="shared" si="7"/>
        <v>-5.8062526881999039E-2</v>
      </c>
      <c r="J19" s="67"/>
      <c r="K19" s="67"/>
    </row>
    <row r="20" spans="1:11" ht="28.9">
      <c r="A20" s="51" t="str">
        <v>Palombo B</v>
      </c>
      <c r="B20" s="48" t="str">
        <v>MA</v>
      </c>
      <c r="C20" s="36">
        <v>183655</v>
      </c>
      <c r="D20" s="37">
        <v>145910.9</v>
      </c>
      <c r="E20" s="37">
        <f t="shared" si="4"/>
        <v>37744.100000000006</v>
      </c>
      <c r="F20" s="38">
        <f t="shared" si="5"/>
        <v>0.25867909799747657</v>
      </c>
      <c r="G20" s="39">
        <v>206959</v>
      </c>
      <c r="H20" s="39">
        <f t="shared" si="6"/>
        <v>-23304</v>
      </c>
      <c r="I20" s="40">
        <f t="shared" si="7"/>
        <v>-0.11260201295908852</v>
      </c>
      <c r="J20" s="66" t="s">
        <v>214</v>
      </c>
      <c r="K20" s="66"/>
    </row>
    <row r="21" spans="1:11" ht="34.5" customHeight="1">
      <c r="A21" s="49" t="str">
        <v>St Josephs Church</v>
      </c>
      <c r="B21" s="50" t="str">
        <v>MA</v>
      </c>
      <c r="C21" s="43">
        <v>181562</v>
      </c>
      <c r="D21" s="44">
        <v>184787.7</v>
      </c>
      <c r="E21" s="44">
        <f t="shared" si="4"/>
        <v>-3225.7000000000116</v>
      </c>
      <c r="F21" s="70">
        <f t="shared" si="5"/>
        <v>-1.7456248440778317E-2</v>
      </c>
      <c r="G21" s="46">
        <v>188982.5</v>
      </c>
      <c r="H21" s="46">
        <f t="shared" si="6"/>
        <v>-7420.5</v>
      </c>
      <c r="I21" s="45">
        <f t="shared" si="7"/>
        <v>-3.9265540460095512E-2</v>
      </c>
      <c r="J21" s="67"/>
      <c r="K21" s="67"/>
    </row>
    <row r="22" spans="1:11" ht="15.6">
      <c r="A22" s="51" t="str">
        <v>Sunset A</v>
      </c>
      <c r="B22" s="48" t="str">
        <v>MA</v>
      </c>
      <c r="C22" s="36">
        <v>91355.5</v>
      </c>
      <c r="D22" s="37">
        <v>88961.75</v>
      </c>
      <c r="E22" s="37">
        <f t="shared" si="4"/>
        <v>2393.75</v>
      </c>
      <c r="F22" s="38">
        <f t="shared" si="5"/>
        <v>2.6907631650681333E-2</v>
      </c>
      <c r="G22" s="39">
        <v>93618.76</v>
      </c>
      <c r="H22" s="39">
        <f t="shared" si="6"/>
        <v>-2263.2599999999948</v>
      </c>
      <c r="I22" s="40">
        <f t="shared" si="7"/>
        <v>-2.4175282817247259E-2</v>
      </c>
      <c r="J22" s="66" t="s">
        <v>215</v>
      </c>
      <c r="K22" s="80" t="s">
        <v>216</v>
      </c>
    </row>
    <row r="23" spans="1:11" ht="15.6">
      <c r="A23" s="49" t="str">
        <v>Sunset B</v>
      </c>
      <c r="B23" s="50" t="str">
        <v>MA</v>
      </c>
      <c r="C23" s="43">
        <v>87409.75</v>
      </c>
      <c r="D23" s="44">
        <v>87316.63</v>
      </c>
      <c r="E23" s="44">
        <f t="shared" si="4"/>
        <v>93.119999999995343</v>
      </c>
      <c r="F23" s="70">
        <f t="shared" si="5"/>
        <v>1.0664635133077781E-3</v>
      </c>
      <c r="G23" s="46">
        <v>92494.41</v>
      </c>
      <c r="H23" s="46">
        <f t="shared" si="6"/>
        <v>-5084.6600000000035</v>
      </c>
      <c r="I23" s="45">
        <f t="shared" si="7"/>
        <v>-5.4972619426406452E-2</v>
      </c>
      <c r="J23" s="67" t="s">
        <v>215</v>
      </c>
      <c r="K23" s="82" t="s">
        <v>217</v>
      </c>
    </row>
    <row r="24" spans="1:11" ht="15.6">
      <c r="A24" s="51" t="str">
        <v>Woodchuck</v>
      </c>
      <c r="B24" s="48" t="str">
        <v>MA</v>
      </c>
      <c r="C24" s="36">
        <v>182537</v>
      </c>
      <c r="D24" s="37">
        <v>182203.3</v>
      </c>
      <c r="E24" s="37">
        <f t="shared" si="4"/>
        <v>333.70000000001164</v>
      </c>
      <c r="F24" s="38">
        <f t="shared" si="5"/>
        <v>1.8314706703995572E-3</v>
      </c>
      <c r="G24" s="39">
        <v>200769.6</v>
      </c>
      <c r="H24" s="39">
        <f t="shared" si="6"/>
        <v>-18232.600000000006</v>
      </c>
      <c r="I24" s="40">
        <f t="shared" si="7"/>
        <v>-9.0813549461671514E-2</v>
      </c>
      <c r="J24" s="66"/>
      <c r="K24" s="66"/>
    </row>
    <row r="25" spans="1:11" ht="14.45">
      <c r="A25" s="13" t="str">
        <v>NY: Skaneateles - Spafford 1 - (PW)</v>
      </c>
      <c r="B25" s="18" t="str">
        <v>NY</v>
      </c>
      <c r="C25" s="13"/>
      <c r="D25" s="13"/>
      <c r="E25" s="13"/>
      <c r="F25" s="13"/>
      <c r="G25" s="13"/>
      <c r="H25" s="13"/>
      <c r="I25" s="13"/>
      <c r="J25" s="13"/>
      <c r="K25" s="13"/>
    </row>
    <row r="26" spans="1:11" ht="14.45">
      <c r="A26" s="13" t="str">
        <v>NY: Skaneateles - Spafford 2 - (PW)</v>
      </c>
      <c r="B26" s="18" t="str">
        <v>NY</v>
      </c>
      <c r="C26" s="13"/>
      <c r="D26" s="13"/>
      <c r="E26" s="13"/>
      <c r="F26" s="13"/>
      <c r="G26" s="13"/>
      <c r="H26" s="13"/>
      <c r="I26" s="13"/>
      <c r="J26" s="13"/>
      <c r="K26" s="13"/>
    </row>
    <row r="27" spans="1:11" ht="14.45">
      <c r="A27" s="13" t="str">
        <v>NY: New Hartford - 4001 NY-12 (IRA)</v>
      </c>
      <c r="B27" s="18" t="str">
        <v>NY</v>
      </c>
      <c r="C27" s="13"/>
      <c r="D27" s="13"/>
      <c r="E27" s="13"/>
      <c r="F27" s="13"/>
      <c r="G27" s="13"/>
      <c r="H27" s="13"/>
      <c r="I27" s="13"/>
      <c r="J27" s="13"/>
      <c r="K27" s="13"/>
    </row>
    <row r="28" spans="1:11" ht="14.45">
      <c r="A28" s="13"/>
      <c r="B28" s="18"/>
      <c r="C28" s="13"/>
      <c r="D28" s="13"/>
      <c r="E28" s="13"/>
      <c r="F28" s="13"/>
      <c r="G28" s="13"/>
      <c r="H28" s="13"/>
      <c r="I28" s="13"/>
      <c r="J28" s="13"/>
      <c r="K28" s="13"/>
    </row>
    <row r="29" spans="1:11" ht="14.45">
      <c r="A29" s="13"/>
      <c r="B29" s="18"/>
      <c r="C29" s="13"/>
      <c r="D29" s="13"/>
      <c r="E29" s="13"/>
      <c r="F29" s="13"/>
      <c r="G29" s="13"/>
      <c r="H29" s="13"/>
      <c r="I29" s="13"/>
      <c r="J29" s="13"/>
      <c r="K29" s="13"/>
    </row>
    <row r="30" spans="1:11" ht="14.45">
      <c r="A30" s="13"/>
      <c r="B30" s="18"/>
      <c r="C30" s="13"/>
      <c r="D30" s="13"/>
      <c r="E30" s="13"/>
      <c r="F30" s="13"/>
      <c r="G30" s="13"/>
      <c r="H30" s="13"/>
      <c r="I30" s="13"/>
      <c r="J30" s="13"/>
      <c r="K30" s="13"/>
    </row>
    <row r="31" spans="1:11" ht="14.45">
      <c r="A31" s="13"/>
      <c r="B31" s="18"/>
      <c r="C31" s="13"/>
      <c r="D31" s="13"/>
      <c r="E31" s="13"/>
      <c r="F31" s="13"/>
      <c r="G31" s="13"/>
      <c r="H31" s="13"/>
      <c r="I31" s="13"/>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row r="341" spans="1:11" ht="14.45">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16" priority="3" stopIfTrue="1" operator="lessThanOrEqual">
      <formula>-0.1</formula>
    </cfRule>
    <cfRule type="expression" dxfId="15" priority="4">
      <formula>AND(ISNUMBER(F2), F2&gt;=0.1)</formula>
    </cfRule>
  </conditionalFormatting>
  <hyperlinks>
    <hyperlink ref="K4" r:id="rId1" display="https://us3.assetplanner.com/service_request?ID=103000" xr:uid="{C0E10037-1FA0-45E7-8870-B481F2FA27D8}"/>
    <hyperlink ref="L4" r:id="rId2" display="https://us3.assetplanner.com/service_request?ID=101179" xr:uid="{A6ED19A4-9B1E-4224-9F40-B20C7E7CA32C}"/>
    <hyperlink ref="K6" r:id="rId3" display="https://us3.assetplanner.com/service_request?ID=102992" xr:uid="{E2743E0B-921D-4F9F-9D1A-6846145D73E9}"/>
    <hyperlink ref="L6" r:id="rId4" display="https://us3.assetplanner.com/service_request?ID=103675" xr:uid="{7C0D03F5-DD42-42E2-826A-F130806BDC59}"/>
    <hyperlink ref="K10" r:id="rId5" display="https://us3.assetplanner.com/service_request?ID=102823" xr:uid="{0EF9881F-5542-4485-928B-7D5399678B5F}"/>
    <hyperlink ref="L10" r:id="rId6" display="https://us3.assetplanner.com/service_request?ID=103158" xr:uid="{229A2FC8-EA46-49E3-AB25-8767C2FBE837}"/>
    <hyperlink ref="K11" r:id="rId7" display="https://us3.assetplanner.com/service_request?ID=102227" xr:uid="{CCBD8F41-0956-4FDE-A984-C52217B6D71A}"/>
    <hyperlink ref="L11" r:id="rId8" display="https://us3.assetplanner.com/service_request?ID=103204" xr:uid="{F32FD0B8-C135-43F6-8126-32668FE90118}"/>
    <hyperlink ref="M11" r:id="rId9" display="https://us3.assetplanner.com/service_request?ID=103261" xr:uid="{E7C98246-37DA-416B-8F2A-67E1D56B9B88}"/>
    <hyperlink ref="K12" r:id="rId10" display="https://us3.assetplanner.com/service_request?ID=103251" xr:uid="{E0DB1BDC-BEE4-412F-A5F8-5B84856AE043}"/>
    <hyperlink ref="L12" r:id="rId11" display="https://us3.assetplanner.com/service_request?ID=103392" xr:uid="{0BA8267B-9048-4BDA-A95E-06952AC04F07}"/>
    <hyperlink ref="M12" r:id="rId12" display="https://us3.assetplanner.com/service_request?ID=102789" xr:uid="{9D44E8FB-C7FF-4FDD-9ACF-9B9D88EBE813}"/>
    <hyperlink ref="K13" r:id="rId13" display="https://us3.assetplanner.com/service_request?ID=103252" xr:uid="{2C9E2000-1078-4F8B-B0AE-574327DC689A}"/>
    <hyperlink ref="L13" r:id="rId14" display="https://us3.assetplanner.com/service_request?ID=103393" xr:uid="{FD4F1FAA-923B-4BA2-9EDF-E79BD215899D}"/>
    <hyperlink ref="M13" r:id="rId15" display="https://us3.assetplanner.com/service_request?ID=102790" xr:uid="{5369B764-A59A-4E63-AEA4-E49DCC94435D}"/>
    <hyperlink ref="K14" r:id="rId16" display="https://us3.assetplanner.com/service_request?ID=103253" xr:uid="{088946A1-9433-4498-B207-ECF616E74399}"/>
    <hyperlink ref="L14" r:id="rId17" display="https://us3.assetplanner.com/service_request?ID=103394" xr:uid="{2D680C3D-C4F6-4449-88CF-B0C3BDE02195}"/>
    <hyperlink ref="K15" r:id="rId18" display="https://us3.assetplanner.com/service_request?ID=101999" xr:uid="{D0D58A5E-88EF-4609-A383-F662E1DE4AC3}"/>
    <hyperlink ref="K16" r:id="rId19" display="https://us3.assetplanner.com/service_request?ID=102523" xr:uid="{83ABC71E-8454-4CD7-82BE-612F29F0FB87}"/>
    <hyperlink ref="L16" r:id="rId20" display="https://us3.assetplanner.com/service_request?ID=102822" xr:uid="{7449EA4D-A2D2-4FA3-86C0-1BF96EC5756B}"/>
    <hyperlink ref="K22" r:id="rId21" display="https://us3.assetplanner.com/service_request?ID=103612" xr:uid="{468A7195-37AE-47D3-AC3A-791FF35C661A}"/>
    <hyperlink ref="K23" r:id="rId22" display="https://us3.assetplanner.com/service_request?ID=103613" xr:uid="{4681843A-1776-45C5-AF9C-6906136C494C}"/>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N341"/>
  <sheetViews>
    <sheetView zoomScale="70" zoomScaleNormal="70" workbookViewId="0">
      <pane xSplit="2" ySplit="3" topLeftCell="C15" activePane="bottomRight" state="frozen"/>
      <selection pane="bottomRight" activeCell="E29" sqref="E29"/>
      <selection pane="bottomLeft" activeCell="J14" sqref="J14"/>
      <selection pane="topRight" activeCell="J14" sqref="J1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46.7109375" bestFit="1" customWidth="1"/>
    <col min="12" max="14" width="9.140625" style="96"/>
  </cols>
  <sheetData>
    <row r="1" spans="1:14" ht="19.5" customHeight="1">
      <c r="A1" s="115" t="s">
        <v>218</v>
      </c>
      <c r="B1" s="115"/>
      <c r="C1" s="115"/>
      <c r="D1" s="116" t="s">
        <v>219</v>
      </c>
      <c r="E1" s="116"/>
      <c r="F1" s="116"/>
      <c r="G1" s="114" t="s">
        <v>220</v>
      </c>
      <c r="H1" s="114"/>
      <c r="I1" s="114"/>
      <c r="J1" s="4"/>
      <c r="K1" s="4"/>
    </row>
    <row r="2" spans="1:14" ht="19.5" customHeight="1">
      <c r="A2" s="117" t="s">
        <v>2</v>
      </c>
      <c r="B2" s="117"/>
      <c r="C2" s="5">
        <f>SUM(C4:C99)</f>
        <v>4912958.3655486386</v>
      </c>
      <c r="D2" s="5">
        <f>SUM(D4:D99)</f>
        <v>5024810.2799999993</v>
      </c>
      <c r="E2" s="5">
        <f>C2-D2</f>
        <v>-111851.9144513607</v>
      </c>
      <c r="F2" s="6">
        <f>IFERROR(E2/D2, 0)</f>
        <v>-2.2259927881567842E-2</v>
      </c>
      <c r="G2" s="5">
        <f>SUM(G4:G99)</f>
        <v>5182490.4399999995</v>
      </c>
      <c r="H2" s="7">
        <f>C2-G2</f>
        <v>-269532.07445136085</v>
      </c>
      <c r="I2" s="6">
        <f>IFERROR(H2/G2, 0)</f>
        <v>-5.2008214500702657E-2</v>
      </c>
      <c r="J2" s="16"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17" t="s">
        <v>3</v>
      </c>
      <c r="B3" s="17" t="s">
        <v>4</v>
      </c>
      <c r="C3" s="27" t="s">
        <v>5</v>
      </c>
      <c r="D3" s="28" t="s">
        <v>6</v>
      </c>
      <c r="E3" s="28" t="s">
        <v>7</v>
      </c>
      <c r="F3" s="29" t="s">
        <v>8</v>
      </c>
      <c r="G3" s="30" t="s">
        <v>9</v>
      </c>
      <c r="H3" s="31" t="s">
        <v>7</v>
      </c>
      <c r="I3" s="32" t="s">
        <v>8</v>
      </c>
      <c r="J3" s="15" t="s">
        <v>20</v>
      </c>
      <c r="K3" s="15" t="s">
        <v>21</v>
      </c>
    </row>
    <row r="4" spans="1:14" ht="102.75" customHeight="1">
      <c r="A4" s="86" t="str" cm="1">
        <f t="array" ref="A4:A27">Sites[Site]</f>
        <v>6th St.</v>
      </c>
      <c r="B4" s="48" t="str" cm="1">
        <f t="array" ref="B4:B27">Sites[State]</f>
        <v>CA</v>
      </c>
      <c r="C4" s="36">
        <v>234169.49999999901</v>
      </c>
      <c r="D4" s="37">
        <v>312097.40000000002</v>
      </c>
      <c r="E4" s="37">
        <f>IF(AND(ISNUMBER(C4),ISNUMBER(D4)), C4-D4, "")</f>
        <v>-77927.900000001013</v>
      </c>
      <c r="F4" s="38">
        <f>IFERROR(E4/D4, "")</f>
        <v>-0.24969096185998668</v>
      </c>
      <c r="G4" s="39">
        <v>257170.4</v>
      </c>
      <c r="H4" s="39">
        <f>IF(AND(ISNUMBER(C4),ISNUMBER(G4)), C4-G4, "")</f>
        <v>-23000.900000000984</v>
      </c>
      <c r="I4" s="40">
        <f>IFERROR(H4/G4, "")</f>
        <v>-8.9438364601839807E-2</v>
      </c>
      <c r="J4" s="66" t="s">
        <v>221</v>
      </c>
      <c r="K4" s="80" t="s">
        <v>222</v>
      </c>
      <c r="L4" s="83" t="s">
        <v>223</v>
      </c>
      <c r="M4" s="83" t="s">
        <v>185</v>
      </c>
      <c r="N4" s="83" t="s">
        <v>224</v>
      </c>
    </row>
    <row r="5" spans="1:14" ht="15.6">
      <c r="A5" s="49" t="str">
        <v>Barton Acres</v>
      </c>
      <c r="B5" s="50" t="str">
        <v>MA</v>
      </c>
      <c r="C5" s="43">
        <v>209385</v>
      </c>
      <c r="D5" s="44">
        <v>204943</v>
      </c>
      <c r="E5" s="44">
        <f t="shared" ref="E5:E24" si="0">IF(AND(ISNUMBER(C5),ISNUMBER(D5)), C5-D5, "")</f>
        <v>4442</v>
      </c>
      <c r="F5" s="45">
        <f>IFERROR(E5/D5, "")</f>
        <v>2.1674319200948557E-2</v>
      </c>
      <c r="G5" s="46">
        <v>208831.7</v>
      </c>
      <c r="H5" s="46">
        <f t="shared" ref="H5:H24" si="1">IF(AND(ISNUMBER(C5),ISNUMBER(G5)), C5-G5, "")</f>
        <v>553.29999999998836</v>
      </c>
      <c r="I5" s="45">
        <f t="shared" ref="I5:I24" si="2">IFERROR(H5/G5, "")</f>
        <v>2.6495019673736715E-3</v>
      </c>
      <c r="J5" s="79"/>
      <c r="K5" s="79"/>
    </row>
    <row r="6" spans="1:14" ht="15.6">
      <c r="A6" s="51" t="str">
        <v>Bowden</v>
      </c>
      <c r="B6" s="48" t="str">
        <v>MA</v>
      </c>
      <c r="C6" s="36">
        <v>408592</v>
      </c>
      <c r="D6" s="37">
        <v>408907</v>
      </c>
      <c r="E6" s="37">
        <f t="shared" si="0"/>
        <v>-315</v>
      </c>
      <c r="F6" s="38">
        <f t="shared" ref="F6:F24" si="3">IFERROR(E6/D6, "")</f>
        <v>-7.7034631346491991E-4</v>
      </c>
      <c r="G6" s="39">
        <v>401558.8</v>
      </c>
      <c r="H6" s="39">
        <f t="shared" si="1"/>
        <v>7033.2000000000116</v>
      </c>
      <c r="I6" s="40">
        <f t="shared" si="2"/>
        <v>1.7514745038584665E-2</v>
      </c>
      <c r="J6" s="66"/>
      <c r="K6" s="66"/>
    </row>
    <row r="7" spans="1:14" ht="15.6">
      <c r="A7" s="49" t="str">
        <v>Blair Wire Village</v>
      </c>
      <c r="B7" s="50" t="str">
        <v>MA</v>
      </c>
      <c r="C7" s="43">
        <v>198811</v>
      </c>
      <c r="D7" s="44">
        <v>204815</v>
      </c>
      <c r="E7" s="44">
        <f t="shared" si="0"/>
        <v>-6004</v>
      </c>
      <c r="F7" s="45">
        <f t="shared" si="3"/>
        <v>-2.9314259209530551E-2</v>
      </c>
      <c r="G7" s="46">
        <v>200918.6</v>
      </c>
      <c r="H7" s="46">
        <f t="shared" si="1"/>
        <v>-2107.6000000000058</v>
      </c>
      <c r="I7" s="45">
        <f t="shared" si="2"/>
        <v>-1.0489820255566213E-2</v>
      </c>
      <c r="J7" s="79"/>
      <c r="K7" s="95"/>
    </row>
    <row r="8" spans="1:14" ht="35.25" customHeight="1">
      <c r="A8" s="51" t="str">
        <v>Boutilier</v>
      </c>
      <c r="B8" s="48" t="str">
        <v>MA</v>
      </c>
      <c r="C8" s="36">
        <v>512437</v>
      </c>
      <c r="D8" s="37">
        <v>481743.3</v>
      </c>
      <c r="E8" s="37">
        <f t="shared" si="0"/>
        <v>30693.700000000012</v>
      </c>
      <c r="F8" s="38">
        <f t="shared" si="3"/>
        <v>6.3713807747819248E-2</v>
      </c>
      <c r="G8" s="39">
        <v>573267.5</v>
      </c>
      <c r="H8" s="39">
        <f t="shared" si="1"/>
        <v>-60830.5</v>
      </c>
      <c r="I8" s="40">
        <f t="shared" si="2"/>
        <v>-0.1061118936622083</v>
      </c>
      <c r="J8" s="66" t="s">
        <v>225</v>
      </c>
      <c r="K8" s="80" t="s">
        <v>226</v>
      </c>
    </row>
    <row r="9" spans="1:14" ht="15.6">
      <c r="A9" s="49" t="str">
        <v>Cherry Valley</v>
      </c>
      <c r="B9" s="50" t="str">
        <v>MA</v>
      </c>
      <c r="C9" s="43">
        <v>186515</v>
      </c>
      <c r="D9" s="44">
        <v>200754.6</v>
      </c>
      <c r="E9" s="44">
        <f t="shared" si="0"/>
        <v>-14239.600000000006</v>
      </c>
      <c r="F9" s="45">
        <f t="shared" si="3"/>
        <v>-7.093037967747691E-2</v>
      </c>
      <c r="G9" s="46">
        <v>206366</v>
      </c>
      <c r="H9" s="46">
        <f t="shared" si="1"/>
        <v>-19851</v>
      </c>
      <c r="I9" s="45">
        <f t="shared" si="2"/>
        <v>-9.6193171355746593E-2</v>
      </c>
      <c r="J9" s="79"/>
      <c r="K9" s="95"/>
    </row>
    <row r="10" spans="1:14" ht="72" customHeight="1">
      <c r="A10" s="51" t="str">
        <v>Cohasse</v>
      </c>
      <c r="B10" s="48" t="str">
        <v>MA</v>
      </c>
      <c r="C10" s="36">
        <v>167868</v>
      </c>
      <c r="D10" s="37">
        <v>175389.2</v>
      </c>
      <c r="E10" s="37">
        <f t="shared" si="0"/>
        <v>-7521.2000000000116</v>
      </c>
      <c r="F10" s="38">
        <f t="shared" si="3"/>
        <v>-4.2882914113297803E-2</v>
      </c>
      <c r="G10" s="39">
        <v>201682.1</v>
      </c>
      <c r="H10" s="39">
        <f t="shared" si="1"/>
        <v>-33814.100000000006</v>
      </c>
      <c r="I10" s="40">
        <f t="shared" si="2"/>
        <v>-0.1676603922708064</v>
      </c>
      <c r="J10" s="66" t="s">
        <v>227</v>
      </c>
      <c r="K10" s="80" t="s">
        <v>228</v>
      </c>
      <c r="L10" s="83" t="s">
        <v>229</v>
      </c>
      <c r="M10" s="83" t="s">
        <v>230</v>
      </c>
    </row>
    <row r="11" spans="1:14" ht="15.6">
      <c r="A11" s="49" t="str">
        <v>ISM Dighton Solar 2</v>
      </c>
      <c r="B11" s="50" t="str">
        <v>MA</v>
      </c>
      <c r="C11" s="43">
        <v>409896</v>
      </c>
      <c r="D11" s="44">
        <v>384861</v>
      </c>
      <c r="E11" s="44">
        <f t="shared" si="0"/>
        <v>25035</v>
      </c>
      <c r="F11" s="45">
        <f t="shared" si="3"/>
        <v>6.5049459415217448E-2</v>
      </c>
      <c r="G11" s="46">
        <v>392181.9</v>
      </c>
      <c r="H11" s="46">
        <f t="shared" si="1"/>
        <v>17714.099999999977</v>
      </c>
      <c r="I11" s="45">
        <f t="shared" si="2"/>
        <v>4.5168071244491334E-2</v>
      </c>
      <c r="J11" s="79"/>
      <c r="K11" s="95"/>
    </row>
    <row r="12" spans="1:14" ht="15.6">
      <c r="A12" s="51" t="str">
        <v>Dudley River 1</v>
      </c>
      <c r="B12" s="48" t="str">
        <v>MA</v>
      </c>
      <c r="C12" s="36">
        <v>187132</v>
      </c>
      <c r="D12" s="37">
        <v>202130.7</v>
      </c>
      <c r="E12" s="37">
        <f t="shared" si="0"/>
        <v>-14998.700000000012</v>
      </c>
      <c r="F12" s="38">
        <f t="shared" si="3"/>
        <v>-7.4202978567827704E-2</v>
      </c>
      <c r="G12" s="39">
        <v>202485.3</v>
      </c>
      <c r="H12" s="39">
        <f t="shared" si="1"/>
        <v>-15353.299999999988</v>
      </c>
      <c r="I12" s="40">
        <f t="shared" si="2"/>
        <v>-7.5824269712418582E-2</v>
      </c>
      <c r="J12" s="66"/>
      <c r="K12" s="66"/>
    </row>
    <row r="13" spans="1:14" ht="15.6">
      <c r="A13" s="49" t="str">
        <v>Dudley River 2</v>
      </c>
      <c r="B13" s="50" t="str">
        <v>MA</v>
      </c>
      <c r="C13" s="43">
        <v>178623</v>
      </c>
      <c r="D13" s="44">
        <v>189672.6</v>
      </c>
      <c r="E13" s="44">
        <f t="shared" si="0"/>
        <v>-11049.600000000006</v>
      </c>
      <c r="F13" s="45">
        <f t="shared" si="3"/>
        <v>-5.8256174059932775E-2</v>
      </c>
      <c r="G13" s="46">
        <v>191961</v>
      </c>
      <c r="H13" s="46">
        <f t="shared" si="1"/>
        <v>-13338</v>
      </c>
      <c r="I13" s="45">
        <f t="shared" si="2"/>
        <v>-6.948286370669042E-2</v>
      </c>
      <c r="J13" s="79"/>
      <c r="K13" s="95"/>
    </row>
    <row r="14" spans="1:14" ht="15.6">
      <c r="A14" s="51" t="str">
        <v>Dudley River 3</v>
      </c>
      <c r="B14" s="48" t="str">
        <v>MA</v>
      </c>
      <c r="C14" s="36">
        <v>185910</v>
      </c>
      <c r="D14" s="37">
        <v>192454.39999999999</v>
      </c>
      <c r="E14" s="37">
        <f t="shared" si="0"/>
        <v>-6544.3999999999942</v>
      </c>
      <c r="F14" s="38">
        <f t="shared" si="3"/>
        <v>-3.4004938312660007E-2</v>
      </c>
      <c r="G14" s="39">
        <v>194847.6</v>
      </c>
      <c r="H14" s="39">
        <f t="shared" si="1"/>
        <v>-8937.6000000000058</v>
      </c>
      <c r="I14" s="40">
        <f t="shared" si="2"/>
        <v>-4.5869695084773975E-2</v>
      </c>
      <c r="J14" s="66"/>
      <c r="K14" s="66"/>
    </row>
    <row r="15" spans="1:14" ht="28.9">
      <c r="A15" s="49" t="str">
        <v>Flint Pond</v>
      </c>
      <c r="B15" s="50" t="str">
        <v>MA</v>
      </c>
      <c r="C15" s="43">
        <v>94335.5</v>
      </c>
      <c r="D15" s="44">
        <v>74175.81</v>
      </c>
      <c r="E15" s="44">
        <f t="shared" si="0"/>
        <v>20159.690000000002</v>
      </c>
      <c r="F15" s="45">
        <f t="shared" si="3"/>
        <v>0.27178253934807051</v>
      </c>
      <c r="G15" s="46">
        <v>97673.53</v>
      </c>
      <c r="H15" s="46">
        <f t="shared" si="1"/>
        <v>-3338.0299999999988</v>
      </c>
      <c r="I15" s="45">
        <f t="shared" si="2"/>
        <v>-3.4175379962206737E-2</v>
      </c>
      <c r="J15" s="79" t="s">
        <v>231</v>
      </c>
      <c r="K15" s="95"/>
    </row>
    <row r="16" spans="1:14" ht="15.6">
      <c r="A16" s="51" t="str">
        <v>Incom</v>
      </c>
      <c r="B16" s="48" t="str">
        <v>MA</v>
      </c>
      <c r="C16" s="36">
        <v>403132.36554864002</v>
      </c>
      <c r="D16" s="37">
        <v>445338.3</v>
      </c>
      <c r="E16" s="37">
        <f t="shared" si="0"/>
        <v>-42205.934451359964</v>
      </c>
      <c r="F16" s="38">
        <f t="shared" si="3"/>
        <v>-9.4772747934233292E-2</v>
      </c>
      <c r="G16" s="39">
        <v>414404.6</v>
      </c>
      <c r="H16" s="39">
        <f t="shared" si="1"/>
        <v>-11272.234451359953</v>
      </c>
      <c r="I16" s="40">
        <f t="shared" si="2"/>
        <v>-2.7201036019773799E-2</v>
      </c>
      <c r="J16" s="66"/>
      <c r="K16" s="66"/>
    </row>
    <row r="17" spans="1:12" ht="15.6">
      <c r="A17" s="49" t="str">
        <v>JH</v>
      </c>
      <c r="B17" s="50" t="str">
        <v>MA</v>
      </c>
      <c r="C17" s="43">
        <v>188280</v>
      </c>
      <c r="D17" s="44">
        <v>187932.79999999999</v>
      </c>
      <c r="E17" s="44">
        <f t="shared" si="0"/>
        <v>347.20000000001164</v>
      </c>
      <c r="F17" s="45">
        <f t="shared" si="3"/>
        <v>1.8474688824942301E-3</v>
      </c>
      <c r="G17" s="46">
        <v>200943.9</v>
      </c>
      <c r="H17" s="46">
        <f t="shared" si="1"/>
        <v>-12663.899999999994</v>
      </c>
      <c r="I17" s="45">
        <f t="shared" si="2"/>
        <v>-6.302206735312689E-2</v>
      </c>
      <c r="J17" s="79"/>
      <c r="K17" s="95"/>
    </row>
    <row r="18" spans="1:12" ht="77.25" customHeight="1">
      <c r="A18" s="51" t="str">
        <v>Ledeaux</v>
      </c>
      <c r="B18" s="48" t="str">
        <v>MA</v>
      </c>
      <c r="C18" s="36">
        <v>172741</v>
      </c>
      <c r="D18" s="37">
        <v>188240.8</v>
      </c>
      <c r="E18" s="37">
        <f t="shared" si="0"/>
        <v>-15499.799999999988</v>
      </c>
      <c r="F18" s="38">
        <f t="shared" si="3"/>
        <v>-8.2340279046837828E-2</v>
      </c>
      <c r="G18" s="39">
        <v>197102.8</v>
      </c>
      <c r="H18" s="39">
        <f t="shared" si="1"/>
        <v>-24361.799999999988</v>
      </c>
      <c r="I18" s="40">
        <f t="shared" si="2"/>
        <v>-0.12359946180368818</v>
      </c>
      <c r="J18" s="66" t="s">
        <v>232</v>
      </c>
      <c r="K18" s="80" t="s">
        <v>233</v>
      </c>
      <c r="L18" s="83" t="s">
        <v>234</v>
      </c>
    </row>
    <row r="19" spans="1:12" ht="15.6">
      <c r="A19" s="49" t="str">
        <v>Palombo A</v>
      </c>
      <c r="B19" s="50" t="str">
        <v>MA</v>
      </c>
      <c r="C19" s="43">
        <v>397496</v>
      </c>
      <c r="D19" s="44">
        <v>395713</v>
      </c>
      <c r="E19" s="44">
        <f t="shared" si="0"/>
        <v>1783</v>
      </c>
      <c r="F19" s="45">
        <f t="shared" si="3"/>
        <v>4.5057908130387431E-3</v>
      </c>
      <c r="G19" s="46">
        <v>414569</v>
      </c>
      <c r="H19" s="46">
        <f t="shared" si="1"/>
        <v>-17073</v>
      </c>
      <c r="I19" s="45">
        <f t="shared" si="2"/>
        <v>-4.1182529325636985E-2</v>
      </c>
      <c r="J19" s="58"/>
      <c r="K19" s="69"/>
    </row>
    <row r="20" spans="1:12" ht="28.9">
      <c r="A20" s="51" t="str">
        <v>Palombo B</v>
      </c>
      <c r="B20" s="48" t="str">
        <v>MA</v>
      </c>
      <c r="C20" s="36">
        <v>200219</v>
      </c>
      <c r="D20" s="37">
        <v>167285.29999999999</v>
      </c>
      <c r="E20" s="37">
        <f t="shared" si="0"/>
        <v>32933.700000000012</v>
      </c>
      <c r="F20" s="38">
        <f t="shared" si="3"/>
        <v>0.196871452542453</v>
      </c>
      <c r="G20" s="39">
        <v>217414.8</v>
      </c>
      <c r="H20" s="39">
        <f t="shared" si="1"/>
        <v>-17195.799999999988</v>
      </c>
      <c r="I20" s="40">
        <f t="shared" si="2"/>
        <v>-7.9092131722403397E-2</v>
      </c>
      <c r="J20" s="57" t="s">
        <v>235</v>
      </c>
      <c r="K20" s="57"/>
    </row>
    <row r="21" spans="1:12" ht="15.6">
      <c r="A21" s="49" t="str">
        <v>St Josephs Church</v>
      </c>
      <c r="B21" s="50" t="str">
        <v>MA</v>
      </c>
      <c r="C21" s="43">
        <v>192599</v>
      </c>
      <c r="D21" s="44">
        <v>206949.6</v>
      </c>
      <c r="E21" s="44">
        <f t="shared" si="0"/>
        <v>-14350.600000000006</v>
      </c>
      <c r="F21" s="45">
        <f t="shared" si="3"/>
        <v>-6.9343453671811911E-2</v>
      </c>
      <c r="G21" s="46">
        <v>200648</v>
      </c>
      <c r="H21" s="46">
        <f t="shared" si="1"/>
        <v>-8049</v>
      </c>
      <c r="I21" s="45">
        <f t="shared" si="2"/>
        <v>-4.0115027311510704E-2</v>
      </c>
      <c r="J21" s="67"/>
      <c r="K21" s="68"/>
    </row>
    <row r="22" spans="1:12" ht="15.6">
      <c r="A22" s="51" t="str">
        <v>Sunset A</v>
      </c>
      <c r="B22" s="48" t="str">
        <v>MA</v>
      </c>
      <c r="C22" s="36">
        <v>97775</v>
      </c>
      <c r="D22" s="37">
        <v>101365.5</v>
      </c>
      <c r="E22" s="37">
        <f t="shared" si="0"/>
        <v>-3590.5</v>
      </c>
      <c r="F22" s="38">
        <f t="shared" si="3"/>
        <v>-3.5421321850136391E-2</v>
      </c>
      <c r="G22" s="39">
        <v>98321.17</v>
      </c>
      <c r="H22" s="39">
        <f t="shared" si="1"/>
        <v>-546.16999999999825</v>
      </c>
      <c r="I22" s="40">
        <f t="shared" si="2"/>
        <v>-5.5549583065376282E-3</v>
      </c>
      <c r="J22" s="57"/>
      <c r="K22" s="57"/>
    </row>
    <row r="23" spans="1:12" ht="15.6">
      <c r="A23" s="49" t="str">
        <v>Sunset B</v>
      </c>
      <c r="B23" s="50" t="str">
        <v>MA</v>
      </c>
      <c r="C23" s="43">
        <v>92987</v>
      </c>
      <c r="D23" s="44">
        <v>97092.97</v>
      </c>
      <c r="E23" s="44">
        <f t="shared" si="0"/>
        <v>-4105.9700000000012</v>
      </c>
      <c r="F23" s="45">
        <f t="shared" si="3"/>
        <v>-4.2289055531002928E-2</v>
      </c>
      <c r="G23" s="46">
        <v>97139.839999999997</v>
      </c>
      <c r="H23" s="46">
        <f t="shared" si="1"/>
        <v>-4152.8399999999965</v>
      </c>
      <c r="I23" s="45">
        <f t="shared" si="2"/>
        <v>-4.2751151329876565E-2</v>
      </c>
      <c r="J23" s="58"/>
      <c r="K23" s="59"/>
    </row>
    <row r="24" spans="1:12" ht="15.6">
      <c r="A24" s="51" t="str">
        <v>Woodchuck</v>
      </c>
      <c r="B24" s="48" t="str">
        <v>MA</v>
      </c>
      <c r="C24" s="36">
        <v>194055</v>
      </c>
      <c r="D24" s="37">
        <v>202948</v>
      </c>
      <c r="E24" s="37">
        <f t="shared" si="0"/>
        <v>-8893</v>
      </c>
      <c r="F24" s="38">
        <f t="shared" si="3"/>
        <v>-4.3819106372075603E-2</v>
      </c>
      <c r="G24" s="39">
        <v>213001.9</v>
      </c>
      <c r="H24" s="39">
        <f t="shared" si="1"/>
        <v>-18946.899999999994</v>
      </c>
      <c r="I24" s="40">
        <f t="shared" si="2"/>
        <v>-8.8951788692964689E-2</v>
      </c>
      <c r="J24" s="57"/>
      <c r="K24" s="57"/>
    </row>
    <row r="25" spans="1:12" ht="14.45">
      <c r="A25" s="13" t="str">
        <v>NY: Skaneateles - Spafford 1 - (PW)</v>
      </c>
      <c r="B25" s="18" t="str">
        <v>NY</v>
      </c>
      <c r="C25" s="13"/>
      <c r="D25" s="13"/>
      <c r="E25" s="13"/>
      <c r="F25" s="13"/>
      <c r="G25" s="13"/>
      <c r="H25" s="13"/>
      <c r="I25" s="13"/>
      <c r="J25" s="13"/>
      <c r="K25" s="13"/>
    </row>
    <row r="26" spans="1:12" ht="14.45">
      <c r="A26" s="13" t="str">
        <v>NY: Skaneateles - Spafford 2 - (PW)</v>
      </c>
      <c r="B26" s="18" t="str">
        <v>NY</v>
      </c>
      <c r="C26" s="13"/>
      <c r="D26" s="13"/>
      <c r="E26" s="13"/>
      <c r="F26" s="13"/>
      <c r="G26" s="13"/>
      <c r="H26" s="13"/>
      <c r="I26" s="13"/>
      <c r="J26" s="13"/>
      <c r="K26" s="13"/>
    </row>
    <row r="27" spans="1:12" ht="14.45">
      <c r="A27" s="13" t="str">
        <v>NY: New Hartford - 4001 NY-12 (IRA)</v>
      </c>
      <c r="B27" s="18" t="str">
        <v>NY</v>
      </c>
      <c r="C27" s="13"/>
      <c r="D27" s="13"/>
      <c r="E27" s="13"/>
      <c r="F27" s="13"/>
      <c r="G27" s="13"/>
      <c r="H27" s="13"/>
      <c r="I27" s="13"/>
      <c r="J27" s="13"/>
      <c r="K27" s="13"/>
    </row>
    <row r="28" spans="1:12" ht="14.45">
      <c r="A28" s="13"/>
      <c r="B28" s="18"/>
      <c r="C28" s="13"/>
      <c r="D28" s="13"/>
      <c r="E28" s="13"/>
      <c r="F28" s="13"/>
      <c r="G28" s="13"/>
      <c r="H28" s="13"/>
      <c r="I28" s="13"/>
      <c r="J28" s="13"/>
      <c r="K28" s="13"/>
    </row>
    <row r="29" spans="1:12" ht="14.45">
      <c r="A29" s="13"/>
      <c r="B29" s="18"/>
      <c r="C29" s="13"/>
      <c r="D29" s="13"/>
      <c r="E29" s="13"/>
      <c r="F29" s="13"/>
      <c r="G29" s="13"/>
      <c r="H29" s="13"/>
      <c r="I29" s="13"/>
      <c r="J29" s="13"/>
      <c r="K29" s="13"/>
    </row>
    <row r="30" spans="1:12" ht="14.45">
      <c r="A30" s="13"/>
      <c r="B30" s="18"/>
      <c r="C30" s="13"/>
      <c r="D30" s="13"/>
      <c r="E30" s="13"/>
      <c r="F30" s="13"/>
      <c r="G30" s="13"/>
      <c r="H30" s="13"/>
      <c r="I30" s="13"/>
      <c r="J30" s="13"/>
      <c r="K30" s="13"/>
    </row>
    <row r="31" spans="1:12" ht="14.45">
      <c r="A31" s="13"/>
      <c r="B31" s="18"/>
      <c r="C31" s="13"/>
      <c r="D31" s="13"/>
      <c r="E31" s="13"/>
      <c r="F31" s="13"/>
      <c r="G31" s="13"/>
      <c r="H31" s="13"/>
      <c r="I31" s="13"/>
      <c r="J31" s="13"/>
      <c r="K31" s="13"/>
    </row>
    <row r="32" spans="1:12"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row r="341" spans="1:11" ht="14.45">
      <c r="C341" s="13"/>
      <c r="D341" s="13"/>
      <c r="E341" s="13"/>
      <c r="F341" s="14"/>
      <c r="G341" s="13"/>
      <c r="H341" s="13"/>
      <c r="I341" s="14"/>
      <c r="J341" s="13"/>
      <c r="K341" s="13"/>
    </row>
  </sheetData>
  <sortState xmlns:xlrd2="http://schemas.microsoft.com/office/spreadsheetml/2017/richdata2" ref="A3:K15">
    <sortCondition ref="A3:A15"/>
  </sortState>
  <mergeCells count="4">
    <mergeCell ref="G1:I1"/>
    <mergeCell ref="A1:C1"/>
    <mergeCell ref="D1:F1"/>
    <mergeCell ref="A2:B2"/>
  </mergeCells>
  <conditionalFormatting sqref="F2 I2 F4:F99 I4:I99">
    <cfRule type="cellIs" dxfId="14" priority="3" stopIfTrue="1" operator="lessThanOrEqual">
      <formula>-0.1</formula>
    </cfRule>
    <cfRule type="expression" dxfId="13" priority="4">
      <formula>AND(ISNUMBER(F2), F2&gt;=0.1)</formula>
    </cfRule>
  </conditionalFormatting>
  <hyperlinks>
    <hyperlink ref="K4" r:id="rId1" display="https://us3.assetplanner.com/service_request?ID=104709" xr:uid="{E84C2443-8176-4476-9455-CABAEE80885C}"/>
    <hyperlink ref="L4" r:id="rId2" display="https://us3.assetplanner.com/service_request?ID=104853" xr:uid="{5067ABB2-4309-4018-A47B-9A43C4F0FBF6}"/>
    <hyperlink ref="M4" r:id="rId3" display="https://us3.assetplanner.com/service_request?ID=101179" xr:uid="{399E7EA8-9FC8-40EE-9C08-EDD9A38FF014}"/>
    <hyperlink ref="N4" r:id="rId4" display="https://us3.assetplanner.com/service_request?ID=104233" xr:uid="{0127F330-BBCE-4231-90B7-A18992EEE18B}"/>
    <hyperlink ref="K8" r:id="rId5" display="https://us3.assetplanner.com/service_request?ID=104057" xr:uid="{F50BDDF5-4343-46AF-A73C-1EC28DE8EDAF}"/>
    <hyperlink ref="K10" r:id="rId6" display="https://us3.assetplanner.com/service_request?ID=104052" xr:uid="{4837908C-2042-4D80-8B80-71FE3EED8297}"/>
    <hyperlink ref="L10" r:id="rId7" display="https://us3.assetplanner.com/service_request?ID=104273" xr:uid="{E658494E-4132-485F-BD4C-00EAE1F130CB}"/>
    <hyperlink ref="M10" r:id="rId8" display="https://us3.assetplanner.com/service_request?ID=105462" xr:uid="{DF7E5176-A90C-473B-AA38-D1941F20852E}"/>
    <hyperlink ref="K18" r:id="rId9" display="https://us3.assetplanner.com/service_request?ID=103873" xr:uid="{41907524-9BF4-427D-864D-5B0F7222105A}"/>
    <hyperlink ref="L18" r:id="rId10" display="https://us3.assetplanner.com/service_request?ID=104423" xr:uid="{14385A7A-2DF5-46B3-A64E-79B34B55F50E}"/>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P341"/>
  <sheetViews>
    <sheetView zoomScale="70" zoomScaleNormal="70" workbookViewId="0">
      <pane xSplit="2" ySplit="3" topLeftCell="C4" activePane="bottomRight" state="frozen"/>
      <selection pane="bottomRight" activeCell="J4" sqref="J4"/>
      <selection pane="bottomLeft" activeCell="J14" sqref="J14"/>
      <selection pane="topRight" activeCell="J14" sqref="J1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8.85546875" style="87"/>
  </cols>
  <sheetData>
    <row r="1" spans="1:13" ht="19.5" customHeight="1">
      <c r="A1" s="115" t="str" cm="1">
        <f t="array" ref="A1">portfolio</f>
        <v>38 DN</v>
      </c>
      <c r="B1" s="115"/>
      <c r="C1" s="115"/>
      <c r="D1" s="116" t="s">
        <v>236</v>
      </c>
      <c r="E1" s="116"/>
      <c r="F1" s="116"/>
      <c r="G1" s="114" t="s">
        <v>237</v>
      </c>
      <c r="H1" s="114"/>
      <c r="I1" s="114"/>
      <c r="J1" s="4"/>
      <c r="K1" s="4"/>
    </row>
    <row r="2" spans="1:13" ht="19.5" customHeight="1">
      <c r="A2" s="117" t="s">
        <v>2</v>
      </c>
      <c r="B2" s="117"/>
      <c r="C2" s="5">
        <f>SUM(C4:C99)</f>
        <v>6933643.9059155993</v>
      </c>
      <c r="D2" s="5">
        <f>SUM(D4:D99)</f>
        <v>7154439.4500000002</v>
      </c>
      <c r="E2" s="5">
        <f>C2-D2</f>
        <v>-220795.54408440087</v>
      </c>
      <c r="F2" s="6">
        <f>IFERROR(E2/D2, 0)</f>
        <v>-3.0861333809233771E-2</v>
      </c>
      <c r="G2" s="5">
        <f>SUM(G4:G99)</f>
        <v>6449563.6399999997</v>
      </c>
      <c r="H2" s="7">
        <f>C2-G2</f>
        <v>484080.26591559965</v>
      </c>
      <c r="I2" s="6">
        <f>IFERROR(H2/G2, 0)</f>
        <v>7.505628177902586E-2</v>
      </c>
      <c r="J2" s="16"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17" t="s">
        <v>3</v>
      </c>
      <c r="B3" s="17" t="s">
        <v>4</v>
      </c>
      <c r="C3" s="27" t="s">
        <v>5</v>
      </c>
      <c r="D3" s="28" t="s">
        <v>6</v>
      </c>
      <c r="E3" s="28" t="s">
        <v>7</v>
      </c>
      <c r="F3" s="29" t="s">
        <v>8</v>
      </c>
      <c r="G3" s="30" t="s">
        <v>9</v>
      </c>
      <c r="H3" s="31" t="s">
        <v>7</v>
      </c>
      <c r="I3" s="32" t="s">
        <v>8</v>
      </c>
      <c r="J3" s="15" t="s">
        <v>20</v>
      </c>
      <c r="K3" s="15" t="s">
        <v>21</v>
      </c>
    </row>
    <row r="4" spans="1:13" ht="43.15">
      <c r="A4" s="47" t="str" cm="1">
        <f t="array" ref="A4:A27">Sites[Site]</f>
        <v>6th St.</v>
      </c>
      <c r="B4" s="48" t="str" cm="1">
        <f t="array" ref="B4:B27">Sites[State]</f>
        <v>CA</v>
      </c>
      <c r="C4" s="36">
        <v>193219</v>
      </c>
      <c r="D4" s="37">
        <v>252341.3</v>
      </c>
      <c r="E4" s="37">
        <f>IF(AND(ISNUMBER(C4),ISNUMBER(D4)), C4-D4, "")</f>
        <v>-59122.299999999988</v>
      </c>
      <c r="F4" s="38">
        <f>IFERROR(E4/D4, "")</f>
        <v>-0.23429498064724241</v>
      </c>
      <c r="G4" s="39">
        <v>263153.90000000002</v>
      </c>
      <c r="H4" s="39">
        <f>IF(AND(ISNUMBER(C4),ISNUMBER(G4)), C4-G4, "")</f>
        <v>-69934.900000000023</v>
      </c>
      <c r="I4" s="40">
        <f>IFERROR(H4/G4, "")</f>
        <v>-0.26575665418601063</v>
      </c>
      <c r="J4" s="57" t="s">
        <v>238</v>
      </c>
      <c r="K4" s="89" t="s">
        <v>239</v>
      </c>
      <c r="L4" s="88" t="s">
        <v>240</v>
      </c>
      <c r="M4" s="88" t="s">
        <v>223</v>
      </c>
    </row>
    <row r="5" spans="1:13" ht="15.6">
      <c r="A5" s="49" t="str">
        <v>Barton Acres</v>
      </c>
      <c r="B5" s="50" t="str">
        <v>MA</v>
      </c>
      <c r="C5" s="43">
        <v>210415</v>
      </c>
      <c r="D5" s="44">
        <v>211632.1</v>
      </c>
      <c r="E5" s="44">
        <f t="shared" ref="E5:E24" si="0">IF(AND(ISNUMBER(C5),ISNUMBER(D5)), C5-D5, "")</f>
        <v>-1217.1000000000058</v>
      </c>
      <c r="F5" s="45">
        <f>IFERROR(E5/D5, "")</f>
        <v>-5.7510179221394384E-3</v>
      </c>
      <c r="G5" s="46">
        <v>185479</v>
      </c>
      <c r="H5" s="46">
        <f t="shared" ref="H5:H24" si="1">IF(AND(ISNUMBER(C5),ISNUMBER(G5)), C5-G5, "")</f>
        <v>24936</v>
      </c>
      <c r="I5" s="45">
        <f t="shared" ref="I5:I24" si="2">IFERROR(H5/G5, "")</f>
        <v>0.13444109575747121</v>
      </c>
      <c r="J5" s="58"/>
      <c r="K5" s="58"/>
    </row>
    <row r="6" spans="1:13" ht="15.6">
      <c r="A6" s="51" t="str">
        <v>Bowden</v>
      </c>
      <c r="B6" s="48" t="str">
        <v>MA</v>
      </c>
      <c r="C6" s="36">
        <v>418110</v>
      </c>
      <c r="D6" s="37">
        <v>414692.5</v>
      </c>
      <c r="E6" s="37">
        <f t="shared" si="0"/>
        <v>3417.5</v>
      </c>
      <c r="F6" s="38">
        <f t="shared" ref="F6:F24" si="3">IFERROR(E6/D6, "")</f>
        <v>8.2410460763095543E-3</v>
      </c>
      <c r="G6" s="39">
        <v>390151.3</v>
      </c>
      <c r="H6" s="39">
        <f t="shared" si="1"/>
        <v>27958.700000000012</v>
      </c>
      <c r="I6" s="40">
        <f t="shared" si="2"/>
        <v>7.1661173498588915E-2</v>
      </c>
      <c r="J6" s="57"/>
      <c r="K6" s="57"/>
    </row>
    <row r="7" spans="1:13" ht="15.6">
      <c r="A7" s="49" t="str">
        <v>Blair Wire Village</v>
      </c>
      <c r="B7" s="50" t="str">
        <v>MA</v>
      </c>
      <c r="C7" s="43">
        <v>204637</v>
      </c>
      <c r="D7" s="44">
        <v>218762.5</v>
      </c>
      <c r="E7" s="44">
        <f t="shared" si="0"/>
        <v>-14125.5</v>
      </c>
      <c r="F7" s="45">
        <f t="shared" si="3"/>
        <v>-6.4570024570024573E-2</v>
      </c>
      <c r="G7" s="46">
        <v>196160.3</v>
      </c>
      <c r="H7" s="46">
        <f t="shared" si="1"/>
        <v>8476.7000000000116</v>
      </c>
      <c r="I7" s="45">
        <f t="shared" si="2"/>
        <v>4.3213127222990644E-2</v>
      </c>
      <c r="J7" s="58" t="s">
        <v>241</v>
      </c>
      <c r="K7" s="101" t="s">
        <v>242</v>
      </c>
    </row>
    <row r="8" spans="1:13" ht="15.6">
      <c r="A8" s="51" t="str">
        <v>Boutilier</v>
      </c>
      <c r="B8" s="48" t="str">
        <v>MA</v>
      </c>
      <c r="C8" s="36">
        <v>581210</v>
      </c>
      <c r="D8" s="37">
        <v>555218.6</v>
      </c>
      <c r="E8" s="37">
        <f t="shared" si="0"/>
        <v>25991.400000000023</v>
      </c>
      <c r="F8" s="38">
        <f t="shared" si="3"/>
        <v>4.681291296797338E-2</v>
      </c>
      <c r="G8" s="39">
        <v>509160</v>
      </c>
      <c r="H8" s="39">
        <f t="shared" si="1"/>
        <v>72050</v>
      </c>
      <c r="I8" s="40">
        <f t="shared" si="2"/>
        <v>0.14150758111399167</v>
      </c>
      <c r="J8" s="57"/>
      <c r="K8" s="57"/>
    </row>
    <row r="9" spans="1:13" ht="15.6">
      <c r="A9" s="49" t="str">
        <v>Cherry Valley</v>
      </c>
      <c r="B9" s="50" t="str">
        <v>MA</v>
      </c>
      <c r="C9" s="43">
        <v>192315</v>
      </c>
      <c r="D9" s="44">
        <v>212173.5</v>
      </c>
      <c r="E9" s="44">
        <f t="shared" si="0"/>
        <v>-19858.5</v>
      </c>
      <c r="F9" s="45">
        <f t="shared" si="3"/>
        <v>-9.3595571548756085E-2</v>
      </c>
      <c r="G9" s="46">
        <v>176281.9</v>
      </c>
      <c r="H9" s="46">
        <f t="shared" si="1"/>
        <v>16033.100000000006</v>
      </c>
      <c r="I9" s="45">
        <f t="shared" si="2"/>
        <v>9.0951481689271599E-2</v>
      </c>
      <c r="J9" s="58"/>
      <c r="K9" s="59"/>
    </row>
    <row r="10" spans="1:13" ht="43.15">
      <c r="A10" s="51" t="str">
        <v>Cohasse</v>
      </c>
      <c r="B10" s="48" t="str">
        <v>MA</v>
      </c>
      <c r="C10" s="36">
        <v>185210</v>
      </c>
      <c r="D10" s="37">
        <v>190609.2</v>
      </c>
      <c r="E10" s="37">
        <f t="shared" si="0"/>
        <v>-5399.2000000000116</v>
      </c>
      <c r="F10" s="38">
        <f t="shared" si="3"/>
        <v>-2.8326019940275764E-2</v>
      </c>
      <c r="G10" s="39">
        <v>186586</v>
      </c>
      <c r="H10" s="39">
        <f t="shared" si="1"/>
        <v>-1376</v>
      </c>
      <c r="I10" s="40">
        <f t="shared" si="2"/>
        <v>-7.3746154588232773E-3</v>
      </c>
      <c r="J10" s="57" t="s">
        <v>243</v>
      </c>
      <c r="K10" s="89" t="s">
        <v>244</v>
      </c>
      <c r="L10" s="88" t="s">
        <v>230</v>
      </c>
    </row>
    <row r="11" spans="1:13" ht="15.6">
      <c r="A11" s="49" t="str">
        <v>ISM Dighton Solar 2</v>
      </c>
      <c r="B11" s="50" t="str">
        <v>MA</v>
      </c>
      <c r="C11" s="43">
        <v>437547</v>
      </c>
      <c r="D11" s="44">
        <v>418995.7</v>
      </c>
      <c r="E11" s="44">
        <f t="shared" si="0"/>
        <v>18551.299999999988</v>
      </c>
      <c r="F11" s="45">
        <f t="shared" si="3"/>
        <v>4.4275633377621748E-2</v>
      </c>
      <c r="G11" s="46">
        <v>385800</v>
      </c>
      <c r="H11" s="46">
        <f t="shared" si="1"/>
        <v>51747</v>
      </c>
      <c r="I11" s="45">
        <f t="shared" si="2"/>
        <v>0.13412908242612753</v>
      </c>
      <c r="J11" s="58"/>
      <c r="K11" s="59"/>
    </row>
    <row r="12" spans="1:13" ht="28.9">
      <c r="A12" s="51" t="str">
        <v>Dudley River 1</v>
      </c>
      <c r="B12" s="48" t="str">
        <v>MA</v>
      </c>
      <c r="C12" s="36">
        <v>201912</v>
      </c>
      <c r="D12" s="37">
        <v>216798.5</v>
      </c>
      <c r="E12" s="37">
        <f t="shared" si="0"/>
        <v>-14886.5</v>
      </c>
      <c r="F12" s="38">
        <f t="shared" si="3"/>
        <v>-6.8665142978387772E-2</v>
      </c>
      <c r="G12" s="39">
        <v>197241.9</v>
      </c>
      <c r="H12" s="39">
        <f t="shared" si="1"/>
        <v>4670.1000000000058</v>
      </c>
      <c r="I12" s="40">
        <f t="shared" si="2"/>
        <v>2.3677017915564622E-2</v>
      </c>
      <c r="J12" s="57" t="s">
        <v>245</v>
      </c>
      <c r="K12" s="89" t="s">
        <v>246</v>
      </c>
      <c r="L12" s="88" t="s">
        <v>247</v>
      </c>
    </row>
    <row r="13" spans="1:13" ht="15.6">
      <c r="A13" s="49" t="str">
        <v>Dudley River 2</v>
      </c>
      <c r="B13" s="50" t="str">
        <v>MA</v>
      </c>
      <c r="C13" s="43">
        <v>194598</v>
      </c>
      <c r="D13" s="44">
        <v>203452</v>
      </c>
      <c r="E13" s="44">
        <f t="shared" si="0"/>
        <v>-8854</v>
      </c>
      <c r="F13" s="45">
        <f t="shared" si="3"/>
        <v>-4.3518864400448262E-2</v>
      </c>
      <c r="G13" s="46">
        <v>188128.3</v>
      </c>
      <c r="H13" s="46">
        <f t="shared" si="1"/>
        <v>6469.7000000000116</v>
      </c>
      <c r="I13" s="45">
        <f t="shared" si="2"/>
        <v>3.4389828643537478E-2</v>
      </c>
      <c r="J13" s="58" t="s">
        <v>248</v>
      </c>
      <c r="K13" s="101" t="s">
        <v>249</v>
      </c>
    </row>
    <row r="14" spans="1:13" ht="15.6">
      <c r="A14" s="51" t="str">
        <v>Dudley River 3</v>
      </c>
      <c r="B14" s="48" t="str">
        <v>MA</v>
      </c>
      <c r="C14" s="36">
        <v>202054</v>
      </c>
      <c r="D14" s="37">
        <v>201967.2</v>
      </c>
      <c r="E14" s="37">
        <f t="shared" si="0"/>
        <v>86.799999999988358</v>
      </c>
      <c r="F14" s="38">
        <f t="shared" si="3"/>
        <v>4.2977275517999138E-4</v>
      </c>
      <c r="G14" s="39">
        <v>190532.8</v>
      </c>
      <c r="H14" s="39">
        <f t="shared" si="1"/>
        <v>11521.200000000012</v>
      </c>
      <c r="I14" s="40">
        <f t="shared" si="2"/>
        <v>6.0468328812676934E-2</v>
      </c>
      <c r="J14" s="57" t="s">
        <v>250</v>
      </c>
      <c r="K14" s="89" t="s">
        <v>251</v>
      </c>
    </row>
    <row r="15" spans="1:13" ht="28.9">
      <c r="A15" s="49" t="str">
        <v>Flint Pond</v>
      </c>
      <c r="B15" s="50" t="str">
        <v>MA</v>
      </c>
      <c r="C15" s="43">
        <v>98249.5</v>
      </c>
      <c r="D15" s="44">
        <v>84236.23</v>
      </c>
      <c r="E15" s="44">
        <f t="shared" si="0"/>
        <v>14013.270000000004</v>
      </c>
      <c r="F15" s="45">
        <f t="shared" si="3"/>
        <v>0.16635680395478294</v>
      </c>
      <c r="G15" s="46">
        <v>86843</v>
      </c>
      <c r="H15" s="46">
        <f t="shared" si="1"/>
        <v>11406.5</v>
      </c>
      <c r="I15" s="45">
        <f t="shared" si="2"/>
        <v>0.13134622249346523</v>
      </c>
      <c r="J15" s="58" t="s">
        <v>252</v>
      </c>
      <c r="K15" s="59"/>
    </row>
    <row r="16" spans="1:13" ht="15.6">
      <c r="A16" s="51" t="str">
        <v>Incom</v>
      </c>
      <c r="B16" s="48" t="str">
        <v>MA</v>
      </c>
      <c r="C16" s="36">
        <v>428711.40591559903</v>
      </c>
      <c r="D16" s="37">
        <v>465042.8</v>
      </c>
      <c r="E16" s="37">
        <f t="shared" si="0"/>
        <v>-36331.394084400963</v>
      </c>
      <c r="F16" s="38">
        <f t="shared" si="3"/>
        <v>-7.8124839443597369E-2</v>
      </c>
      <c r="G16" s="39">
        <v>392355</v>
      </c>
      <c r="H16" s="39">
        <f t="shared" si="1"/>
        <v>36356.405915599025</v>
      </c>
      <c r="I16" s="40">
        <f t="shared" si="2"/>
        <v>9.2662017600384922E-2</v>
      </c>
      <c r="J16" s="57"/>
      <c r="K16" s="57"/>
    </row>
    <row r="17" spans="1:12" ht="15.6">
      <c r="A17" s="49" t="str">
        <v>JH</v>
      </c>
      <c r="B17" s="50" t="str">
        <v>MA</v>
      </c>
      <c r="C17" s="43">
        <v>191399</v>
      </c>
      <c r="D17" s="44">
        <v>199109.4</v>
      </c>
      <c r="E17" s="44"/>
      <c r="F17" s="45">
        <f t="shared" si="3"/>
        <v>0</v>
      </c>
      <c r="G17" s="46">
        <v>182844.79999999999</v>
      </c>
      <c r="H17" s="46">
        <f t="shared" si="1"/>
        <v>8554.2000000000116</v>
      </c>
      <c r="I17" s="45">
        <f t="shared" si="2"/>
        <v>4.6783939165893768E-2</v>
      </c>
      <c r="J17" s="58"/>
      <c r="K17" s="59"/>
    </row>
    <row r="18" spans="1:12" ht="12.75" customHeight="1">
      <c r="A18" s="51" t="str">
        <v>Ledeaux</v>
      </c>
      <c r="B18" s="48" t="str">
        <v>MA</v>
      </c>
      <c r="C18" s="36">
        <v>175701</v>
      </c>
      <c r="D18" s="37">
        <v>190747</v>
      </c>
      <c r="E18" s="37">
        <f t="shared" si="0"/>
        <v>-15046</v>
      </c>
      <c r="F18" s="38">
        <f t="shared" si="3"/>
        <v>-7.8879353279474901E-2</v>
      </c>
      <c r="G18" s="39">
        <v>179142.6</v>
      </c>
      <c r="H18" s="39">
        <f t="shared" si="1"/>
        <v>-3441.6000000000058</v>
      </c>
      <c r="I18" s="40">
        <f t="shared" si="2"/>
        <v>-1.9211510829919884E-2</v>
      </c>
      <c r="J18" s="57"/>
      <c r="K18" s="57"/>
    </row>
    <row r="19" spans="1:12" ht="15.6">
      <c r="A19" s="49" t="str">
        <v>Palombo A</v>
      </c>
      <c r="B19" s="50" t="str">
        <v>MA</v>
      </c>
      <c r="C19" s="43">
        <v>405362</v>
      </c>
      <c r="D19" s="44">
        <v>416657.6</v>
      </c>
      <c r="E19" s="44">
        <f t="shared" si="0"/>
        <v>-11295.599999999977</v>
      </c>
      <c r="F19" s="45">
        <f t="shared" si="3"/>
        <v>-2.7110029914250881E-2</v>
      </c>
      <c r="G19" s="46">
        <v>372566.8</v>
      </c>
      <c r="H19" s="46">
        <f t="shared" si="1"/>
        <v>32795.200000000012</v>
      </c>
      <c r="I19" s="45">
        <f t="shared" si="2"/>
        <v>8.8025019942732458E-2</v>
      </c>
      <c r="J19" s="58"/>
      <c r="K19" s="58"/>
    </row>
    <row r="20" spans="1:12" ht="28.9">
      <c r="A20" s="51" t="str">
        <v>Palombo B</v>
      </c>
      <c r="B20" s="48" t="str">
        <v>MA</v>
      </c>
      <c r="C20" s="36">
        <v>205084</v>
      </c>
      <c r="D20" s="37">
        <v>169768.9</v>
      </c>
      <c r="E20" s="37">
        <f t="shared" si="0"/>
        <v>35315.100000000006</v>
      </c>
      <c r="F20" s="38">
        <f t="shared" si="3"/>
        <v>0.20801866537392896</v>
      </c>
      <c r="G20" s="39">
        <v>187850.3</v>
      </c>
      <c r="H20" s="39">
        <f t="shared" si="1"/>
        <v>17233.700000000012</v>
      </c>
      <c r="I20" s="40">
        <f t="shared" si="2"/>
        <v>9.1741668764968767E-2</v>
      </c>
      <c r="J20" s="57" t="s">
        <v>253</v>
      </c>
      <c r="K20" s="57"/>
    </row>
    <row r="21" spans="1:12" ht="15.6">
      <c r="A21" s="49" t="str">
        <v>St Josephs Church</v>
      </c>
      <c r="B21" s="50" t="str">
        <v>MA</v>
      </c>
      <c r="C21" s="43">
        <v>200171</v>
      </c>
      <c r="D21" s="44">
        <v>218554.5</v>
      </c>
      <c r="E21" s="44">
        <f t="shared" si="0"/>
        <v>-18383.5</v>
      </c>
      <c r="F21" s="45">
        <f t="shared" si="3"/>
        <v>-8.4114031054039154E-2</v>
      </c>
      <c r="G21" s="46">
        <v>184626</v>
      </c>
      <c r="H21" s="46">
        <f t="shared" si="1"/>
        <v>15545</v>
      </c>
      <c r="I21" s="45">
        <f t="shared" si="2"/>
        <v>8.4197241991918803E-2</v>
      </c>
      <c r="J21" s="58"/>
      <c r="K21" s="59"/>
    </row>
    <row r="22" spans="1:12" ht="15.6">
      <c r="A22" s="51" t="str">
        <v>Sunset A</v>
      </c>
      <c r="B22" s="48" t="str">
        <v>MA</v>
      </c>
      <c r="C22" s="36">
        <v>99406.5</v>
      </c>
      <c r="D22" s="37">
        <v>106835.9</v>
      </c>
      <c r="E22" s="37">
        <f t="shared" si="0"/>
        <v>-7429.3999999999942</v>
      </c>
      <c r="F22" s="38">
        <f t="shared" si="3"/>
        <v>-6.9540294975752481E-2</v>
      </c>
      <c r="G22" s="39">
        <v>87326</v>
      </c>
      <c r="H22" s="39">
        <f t="shared" si="1"/>
        <v>12080.5</v>
      </c>
      <c r="I22" s="40">
        <f t="shared" si="2"/>
        <v>0.13833795204177449</v>
      </c>
      <c r="J22" s="57"/>
      <c r="K22" s="57"/>
    </row>
    <row r="23" spans="1:12" ht="15.6">
      <c r="A23" s="49" t="str">
        <v>Sunset B</v>
      </c>
      <c r="B23" s="50" t="str">
        <v>MA</v>
      </c>
      <c r="C23" s="43">
        <v>91922.5</v>
      </c>
      <c r="D23" s="44">
        <v>97218.01</v>
      </c>
      <c r="E23" s="44">
        <f t="shared" si="0"/>
        <v>-5295.5099999999948</v>
      </c>
      <c r="F23" s="45">
        <f t="shared" si="3"/>
        <v>-5.4470462828852338E-2</v>
      </c>
      <c r="G23" s="46">
        <v>83989.54</v>
      </c>
      <c r="H23" s="46">
        <f t="shared" si="1"/>
        <v>7932.9600000000064</v>
      </c>
      <c r="I23" s="45">
        <f t="shared" si="2"/>
        <v>9.4451761493157441E-2</v>
      </c>
      <c r="J23" s="58" t="s">
        <v>254</v>
      </c>
      <c r="K23" s="101" t="s">
        <v>255</v>
      </c>
    </row>
    <row r="24" spans="1:12" ht="15.6">
      <c r="A24" s="51" t="str">
        <v>Woodchuck</v>
      </c>
      <c r="B24" s="48" t="str">
        <v>MA</v>
      </c>
      <c r="C24" s="36">
        <v>201062</v>
      </c>
      <c r="D24" s="37">
        <v>209795.5</v>
      </c>
      <c r="E24" s="37">
        <f t="shared" si="0"/>
        <v>-8733.5</v>
      </c>
      <c r="F24" s="38">
        <f t="shared" si="3"/>
        <v>-4.1628633597956106E-2</v>
      </c>
      <c r="G24" s="39">
        <v>190594.2</v>
      </c>
      <c r="H24" s="39">
        <f t="shared" si="1"/>
        <v>10467.799999999988</v>
      </c>
      <c r="I24" s="40">
        <f t="shared" si="2"/>
        <v>5.4921923122529373E-2</v>
      </c>
      <c r="J24" s="57"/>
      <c r="K24" s="57"/>
    </row>
    <row r="25" spans="1:12" ht="15.6">
      <c r="A25" s="49" t="str">
        <v>NY: Skaneateles - Spafford 1 - (PW)</v>
      </c>
      <c r="B25" s="50" t="str">
        <v>NY</v>
      </c>
      <c r="C25" s="43">
        <v>1277259</v>
      </c>
      <c r="D25" s="44">
        <v>1420077.9709999999</v>
      </c>
      <c r="E25" s="44">
        <f t="shared" ref="E25:E26" si="4">IF(AND(ISNUMBER(C25),ISNUMBER(D25)), C25-D25, "")</f>
        <v>-142818.9709999999</v>
      </c>
      <c r="F25" s="45">
        <f t="shared" ref="F25:F26" si="5">IFERROR(E25/D25, "")</f>
        <v>-0.10057121786026206</v>
      </c>
      <c r="G25" s="46">
        <v>1147250</v>
      </c>
      <c r="H25" s="46">
        <f t="shared" ref="H25:H26" si="6">IF(AND(ISNUMBER(C25),ISNUMBER(G25)), C25-G25, "")</f>
        <v>130009</v>
      </c>
      <c r="I25" s="45">
        <f t="shared" ref="I25:I26" si="7">IFERROR(H25/G25, "")</f>
        <v>0.11332229243843975</v>
      </c>
      <c r="J25" s="58" t="s">
        <v>256</v>
      </c>
      <c r="K25" s="101" t="s">
        <v>257</v>
      </c>
    </row>
    <row r="26" spans="1:12" ht="43.15">
      <c r="A26" s="51" t="str">
        <v>NY: Skaneateles - Spafford 2 - (PW)</v>
      </c>
      <c r="B26" s="48" t="str">
        <v>NY</v>
      </c>
      <c r="C26" s="36">
        <v>538089</v>
      </c>
      <c r="D26" s="100">
        <v>479752.53899999999</v>
      </c>
      <c r="E26" s="37">
        <f t="shared" si="4"/>
        <v>58336.46100000001</v>
      </c>
      <c r="F26" s="38">
        <f t="shared" si="5"/>
        <v>0.12159698231425099</v>
      </c>
      <c r="G26" s="39">
        <v>485500</v>
      </c>
      <c r="H26" s="39">
        <f t="shared" si="6"/>
        <v>52589</v>
      </c>
      <c r="I26" s="40">
        <f t="shared" si="7"/>
        <v>0.10831925849639547</v>
      </c>
      <c r="J26" s="57" t="s">
        <v>258</v>
      </c>
      <c r="K26" s="89" t="s">
        <v>259</v>
      </c>
      <c r="L26" s="88" t="s">
        <v>260</v>
      </c>
    </row>
    <row r="27" spans="1:12" ht="14.45">
      <c r="A27" s="13" t="str">
        <v>NY: New Hartford - 4001 NY-12 (IRA)</v>
      </c>
      <c r="B27" s="18" t="str">
        <v>NY</v>
      </c>
      <c r="C27" s="13"/>
      <c r="D27" s="13"/>
      <c r="E27" s="13"/>
      <c r="F27" s="13"/>
      <c r="G27" s="13"/>
      <c r="H27" s="13"/>
      <c r="I27" s="13"/>
      <c r="J27" s="13"/>
      <c r="K27" s="13"/>
    </row>
    <row r="28" spans="1:12" ht="14.45">
      <c r="A28" s="13"/>
      <c r="B28" s="18"/>
      <c r="C28" s="13"/>
      <c r="D28" s="13"/>
      <c r="E28" s="13"/>
      <c r="F28" s="13"/>
      <c r="G28" s="13"/>
      <c r="H28" s="13"/>
      <c r="I28" s="13"/>
      <c r="J28" s="13"/>
      <c r="K28" s="13"/>
    </row>
    <row r="29" spans="1:12" ht="14.45">
      <c r="A29" s="13"/>
      <c r="B29" s="18"/>
      <c r="C29" s="13"/>
      <c r="D29" s="13"/>
      <c r="E29" s="13"/>
      <c r="F29" s="13"/>
      <c r="G29" s="13"/>
      <c r="H29" s="13"/>
      <c r="I29" s="13"/>
      <c r="J29" s="13"/>
      <c r="K29" s="13"/>
    </row>
    <row r="30" spans="1:12" ht="14.45">
      <c r="A30" s="13"/>
      <c r="B30" s="18"/>
      <c r="C30" s="13"/>
      <c r="D30" s="13"/>
      <c r="E30" s="13"/>
      <c r="F30" s="13"/>
      <c r="G30" s="13"/>
      <c r="H30" s="13"/>
      <c r="I30" s="13"/>
      <c r="J30" s="13"/>
      <c r="K30" s="13"/>
    </row>
    <row r="31" spans="1:12" ht="14.45">
      <c r="A31" s="13"/>
      <c r="B31" s="18"/>
      <c r="C31" s="13"/>
      <c r="D31" s="13"/>
      <c r="E31" s="13"/>
      <c r="F31" s="13"/>
      <c r="G31" s="13"/>
      <c r="H31" s="13"/>
      <c r="I31" s="13"/>
      <c r="J31" s="13"/>
      <c r="K31" s="13"/>
    </row>
    <row r="32" spans="1:12"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row r="341" spans="1:11" ht="14.45">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12" priority="3" stopIfTrue="1" operator="lessThanOrEqual">
      <formula>-0.1</formula>
    </cfRule>
    <cfRule type="expression" dxfId="11" priority="4">
      <formula>AND(ISNUMBER(F2), F2&gt;=0.1)</formula>
    </cfRule>
  </conditionalFormatting>
  <hyperlinks>
    <hyperlink ref="K4" r:id="rId1" display="https://us3.assetplanner.com/service_request?ID=106576" xr:uid="{6124933F-F3BE-4FDB-9B33-42A7D2482B9F}"/>
    <hyperlink ref="L4" r:id="rId2" display="https://us3.assetplanner.com/service_request?ID=106228" xr:uid="{782291C7-71DD-4726-8607-790B6822893B}"/>
    <hyperlink ref="M4" r:id="rId3" display="https://us3.assetplanner.com/service_request?ID=104853" xr:uid="{78A12E56-85A0-4AF8-84E1-83B007D745B0}"/>
    <hyperlink ref="K7" r:id="rId4" display="https://us3.assetplanner.com/service_request?ID=106381" xr:uid="{5EE19259-CDB8-4CF1-B375-654F9B413B4B}"/>
    <hyperlink ref="K10" r:id="rId5" display="https://us3.assetplanner.com/service_request?ID=106309" xr:uid="{29391C32-FEC2-4198-B139-A55023F2A60F}"/>
    <hyperlink ref="L10" r:id="rId6" display="https://us3.assetplanner.com/service_request?ID=105462" xr:uid="{A8347EDA-DAA6-49EE-A1FD-B69FF22AA894}"/>
    <hyperlink ref="K12" r:id="rId7" display="https://us3.assetplanner.com/service_request?ID=107176" xr:uid="{5170A56E-C447-4EC8-BD86-C76037DB0A90}"/>
    <hyperlink ref="L12" r:id="rId8" display="https://us3.assetplanner.com/service_request?ID=106969" xr:uid="{BD57D6C6-6C1A-4E8A-B3D4-436FFC4D0ED6}"/>
    <hyperlink ref="K13" r:id="rId9" display="https://us3.assetplanner.com/service_request?ID=107177" xr:uid="{A4B9C88B-6530-485E-A703-EF73A2F209B4}"/>
    <hyperlink ref="K14" r:id="rId10" display="https://us3.assetplanner.com/service_request?ID=107178" xr:uid="{9282B08B-4112-4131-A902-CD69DD541B09}"/>
    <hyperlink ref="K23" r:id="rId11" display="https://us3.assetplanner.com/service_request?ID=106816" xr:uid="{E4FFCC59-2118-45AF-A554-E4D510E1A226}"/>
    <hyperlink ref="K25" r:id="rId12" display="https://us3.assetplanner.com/service_request?ID=104836" xr:uid="{FAACEFF0-8775-462A-9141-919F70BBB4D6}"/>
    <hyperlink ref="K26" r:id="rId13" display="https://us3.assetplanner.com/service_request?ID=106230" xr:uid="{87F83620-CC25-4B7E-8E42-D2B32BE658B1}"/>
    <hyperlink ref="L26" r:id="rId14" display="https://us3.assetplanner.com/service_request?ID=107733" xr:uid="{8775D239-E110-4D68-B106-5C7D56878185}"/>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P341"/>
  <sheetViews>
    <sheetView zoomScale="80" zoomScaleNormal="80" workbookViewId="0">
      <pane xSplit="2" ySplit="3" topLeftCell="C15" activePane="bottomRight" state="frozen"/>
      <selection pane="bottomRight" activeCell="J28" sqref="J28"/>
      <selection pane="bottomLeft" activeCell="J14" sqref="J14"/>
      <selection pane="topRight" activeCell="J14" sqref="J1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8.85546875" style="87"/>
  </cols>
  <sheetData>
    <row r="1" spans="1:12" ht="19.5" customHeight="1">
      <c r="A1" s="115" t="str" cm="1">
        <f t="array" ref="A1">portfolio</f>
        <v>38 DN</v>
      </c>
      <c r="B1" s="115"/>
      <c r="C1" s="115"/>
      <c r="D1" s="116" t="s">
        <v>261</v>
      </c>
      <c r="E1" s="116"/>
      <c r="F1" s="116"/>
      <c r="G1" s="114" t="s">
        <v>262</v>
      </c>
      <c r="H1" s="114"/>
      <c r="I1" s="114"/>
      <c r="J1" s="4"/>
      <c r="K1" s="4"/>
    </row>
    <row r="2" spans="1:12" ht="19.5" customHeight="1">
      <c r="A2" s="117" t="s">
        <v>2</v>
      </c>
      <c r="B2" s="117"/>
      <c r="C2" s="5">
        <f>SUM(C4:C99)</f>
        <v>5715879</v>
      </c>
      <c r="D2" s="5">
        <f>SUM(D4:D99)</f>
        <v>6057369.3360000001</v>
      </c>
      <c r="E2" s="5">
        <f>C2-D2</f>
        <v>-341490.33600000013</v>
      </c>
      <c r="F2" s="6">
        <f>IFERROR(E2/D2, 0)</f>
        <v>-5.6376013589011918E-2</v>
      </c>
      <c r="G2" s="5">
        <f>SUM(G4:G99)</f>
        <v>5244385.1850000005</v>
      </c>
      <c r="H2" s="7">
        <f>C2-G2</f>
        <v>471493.81499999948</v>
      </c>
      <c r="I2" s="6">
        <f>IFERROR(H2/G2, 0)</f>
        <v>8.9904497546932083E-2</v>
      </c>
      <c r="J2" s="16"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c r="A3" s="17" t="s">
        <v>3</v>
      </c>
      <c r="B3" s="17" t="s">
        <v>4</v>
      </c>
      <c r="C3" s="27" t="s">
        <v>5</v>
      </c>
      <c r="D3" s="28" t="s">
        <v>6</v>
      </c>
      <c r="E3" s="28" t="s">
        <v>7</v>
      </c>
      <c r="F3" s="29" t="s">
        <v>8</v>
      </c>
      <c r="G3" s="30" t="s">
        <v>9</v>
      </c>
      <c r="H3" s="31" t="s">
        <v>7</v>
      </c>
      <c r="I3" s="32" t="s">
        <v>8</v>
      </c>
      <c r="J3" s="15" t="s">
        <v>20</v>
      </c>
      <c r="K3" s="15" t="s">
        <v>21</v>
      </c>
    </row>
    <row r="4" spans="1:12" ht="72">
      <c r="A4" s="86" t="str" cm="1">
        <f t="array" ref="A4:A27">Sites[Site]</f>
        <v>6th St.</v>
      </c>
      <c r="B4" s="48" t="str" cm="1">
        <f t="array" ref="B4:B27">Sites[State]</f>
        <v>CA</v>
      </c>
      <c r="C4" s="36">
        <v>171236.5</v>
      </c>
      <c r="D4" s="102">
        <v>179333.565</v>
      </c>
      <c r="E4" s="102">
        <f>IF(AND(ISNUMBER(C4),ISNUMBER(D4)), C4-D4, "")</f>
        <v>-8097.0650000000023</v>
      </c>
      <c r="F4" s="38">
        <f>IFERROR(E4/D4, "")</f>
        <v>-4.5150861747492735E-2</v>
      </c>
      <c r="G4" s="103">
        <v>222866.272</v>
      </c>
      <c r="H4" s="103">
        <f>IF(AND(ISNUMBER(C4),ISNUMBER(G4)), C4-G4, "")</f>
        <v>-51629.771999999997</v>
      </c>
      <c r="I4" s="40">
        <f>IFERROR(H4/G4, "")</f>
        <v>-0.23166256399712198</v>
      </c>
      <c r="J4" s="66" t="s">
        <v>263</v>
      </c>
      <c r="K4" s="66"/>
    </row>
    <row r="5" spans="1:12" ht="72">
      <c r="A5" s="49" t="str">
        <v>Barton Acres</v>
      </c>
      <c r="B5" s="50" t="str">
        <v>MA</v>
      </c>
      <c r="C5" s="43">
        <v>176379</v>
      </c>
      <c r="D5" s="104">
        <v>188788.91</v>
      </c>
      <c r="E5" s="104">
        <f t="shared" ref="E5:E26" si="0">IF(AND(ISNUMBER(C5),ISNUMBER(D5)), C5-D5, "")</f>
        <v>-12409.910000000003</v>
      </c>
      <c r="F5" s="45">
        <f>IFERROR(E5/D5, "")</f>
        <v>-6.5734316703242812E-2</v>
      </c>
      <c r="G5" s="105">
        <v>139048.03599999999</v>
      </c>
      <c r="H5" s="105">
        <f t="shared" ref="H5:H26" si="1">IF(AND(ISNUMBER(C5),ISNUMBER(G5)), C5-G5, "")</f>
        <v>37330.964000000007</v>
      </c>
      <c r="I5" s="45">
        <f t="shared" ref="I5:I26" si="2">IFERROR(H5/G5, "")</f>
        <v>0.26847530590076085</v>
      </c>
      <c r="J5" s="79" t="s">
        <v>264</v>
      </c>
      <c r="K5" s="79"/>
    </row>
    <row r="6" spans="1:12" ht="15.6">
      <c r="A6" s="51" t="str">
        <v>Bowden</v>
      </c>
      <c r="B6" s="48" t="str">
        <v>MA</v>
      </c>
      <c r="C6" s="36">
        <v>346738</v>
      </c>
      <c r="D6" s="102">
        <v>349313.01</v>
      </c>
      <c r="E6" s="102">
        <f t="shared" si="0"/>
        <v>-2575.0100000000093</v>
      </c>
      <c r="F6" s="38">
        <f t="shared" ref="F6:F26" si="3">IFERROR(E6/D6, "")</f>
        <v>-7.3716406955469799E-3</v>
      </c>
      <c r="G6" s="103">
        <v>320457.34399999998</v>
      </c>
      <c r="H6" s="103">
        <f t="shared" si="1"/>
        <v>26280.656000000017</v>
      </c>
      <c r="I6" s="40">
        <f t="shared" si="2"/>
        <v>8.2009841534478975E-2</v>
      </c>
      <c r="J6" s="66"/>
      <c r="K6" s="66"/>
    </row>
    <row r="7" spans="1:12" ht="28.9">
      <c r="A7" s="49" t="str">
        <v>Blair Wire Village</v>
      </c>
      <c r="B7" s="50" t="str">
        <v>MA</v>
      </c>
      <c r="C7" s="43">
        <v>163787</v>
      </c>
      <c r="D7" s="104">
        <v>194618.22899999999</v>
      </c>
      <c r="E7" s="104">
        <f t="shared" si="0"/>
        <v>-30831.228999999992</v>
      </c>
      <c r="F7" s="45">
        <f t="shared" si="3"/>
        <v>-0.15841901942289277</v>
      </c>
      <c r="G7" s="105">
        <v>160870.16399999999</v>
      </c>
      <c r="H7" s="105">
        <f t="shared" si="1"/>
        <v>2916.8360000000102</v>
      </c>
      <c r="I7" s="45">
        <f t="shared" si="2"/>
        <v>1.8131615754429207E-2</v>
      </c>
      <c r="J7" s="79" t="s">
        <v>265</v>
      </c>
      <c r="K7" s="81" t="s">
        <v>266</v>
      </c>
      <c r="L7" s="88" t="s">
        <v>267</v>
      </c>
    </row>
    <row r="8" spans="1:12" ht="72">
      <c r="A8" s="51" t="str">
        <v>Boutilier</v>
      </c>
      <c r="B8" s="48" t="str">
        <v>MA</v>
      </c>
      <c r="C8" s="36">
        <v>469696</v>
      </c>
      <c r="D8" s="102">
        <v>443385.315</v>
      </c>
      <c r="E8" s="102">
        <f t="shared" si="0"/>
        <v>26310.684999999998</v>
      </c>
      <c r="F8" s="38">
        <f t="shared" si="3"/>
        <v>5.9340451994897479E-2</v>
      </c>
      <c r="G8" s="103">
        <v>381718.37</v>
      </c>
      <c r="H8" s="103">
        <f t="shared" si="1"/>
        <v>87977.63</v>
      </c>
      <c r="I8" s="40">
        <f t="shared" si="2"/>
        <v>0.23047785203525836</v>
      </c>
      <c r="J8" s="66" t="s">
        <v>268</v>
      </c>
      <c r="K8" s="66"/>
    </row>
    <row r="9" spans="1:12" ht="15.6">
      <c r="A9" s="49" t="str">
        <v>Cherry Valley</v>
      </c>
      <c r="B9" s="50" t="str">
        <v>MA</v>
      </c>
      <c r="C9" s="43">
        <v>158153</v>
      </c>
      <c r="D9" s="104">
        <v>187345.77600000001</v>
      </c>
      <c r="E9" s="104">
        <f t="shared" si="0"/>
        <v>-29192.776000000013</v>
      </c>
      <c r="F9" s="45">
        <f t="shared" si="3"/>
        <v>-0.15582297409256779</v>
      </c>
      <c r="G9" s="105">
        <v>139229.435</v>
      </c>
      <c r="H9" s="105">
        <f t="shared" si="1"/>
        <v>18923.565000000002</v>
      </c>
      <c r="I9" s="45">
        <f t="shared" si="2"/>
        <v>0.13591641020449449</v>
      </c>
      <c r="J9" s="79" t="s">
        <v>269</v>
      </c>
      <c r="K9" s="79"/>
    </row>
    <row r="10" spans="1:12" ht="15.6">
      <c r="A10" s="51" t="str">
        <v>Cohasse</v>
      </c>
      <c r="B10" s="48" t="str">
        <v>MA</v>
      </c>
      <c r="C10" s="36">
        <v>153079</v>
      </c>
      <c r="D10" s="102">
        <v>170736.576</v>
      </c>
      <c r="E10" s="102">
        <f t="shared" si="0"/>
        <v>-17657.576000000001</v>
      </c>
      <c r="F10" s="38">
        <f t="shared" si="3"/>
        <v>-0.10341999595915524</v>
      </c>
      <c r="G10" s="103">
        <v>161965.40599999999</v>
      </c>
      <c r="H10" s="103">
        <f t="shared" si="1"/>
        <v>-8886.4059999999881</v>
      </c>
      <c r="I10" s="40">
        <f t="shared" si="2"/>
        <v>-5.4866074302311128E-2</v>
      </c>
      <c r="J10" s="66" t="s">
        <v>269</v>
      </c>
      <c r="K10" s="66"/>
    </row>
    <row r="11" spans="1:12" ht="21.75" customHeight="1">
      <c r="A11" s="49" t="str">
        <v>ISM Dighton Solar 2</v>
      </c>
      <c r="B11" s="50" t="str">
        <v>MA</v>
      </c>
      <c r="C11" s="43">
        <v>326503</v>
      </c>
      <c r="D11" s="104">
        <v>315813.88500000001</v>
      </c>
      <c r="E11" s="104">
        <f t="shared" si="0"/>
        <v>10689.114999999991</v>
      </c>
      <c r="F11" s="45">
        <f t="shared" si="3"/>
        <v>3.3846247767098617E-2</v>
      </c>
      <c r="G11" s="105">
        <v>328174.37</v>
      </c>
      <c r="H11" s="105">
        <f t="shared" si="1"/>
        <v>-1671.3699999999953</v>
      </c>
      <c r="I11" s="45">
        <f t="shared" si="2"/>
        <v>-5.0929327601055355E-3</v>
      </c>
      <c r="J11" s="67" t="s">
        <v>270</v>
      </c>
      <c r="K11" s="82" t="s">
        <v>271</v>
      </c>
    </row>
    <row r="12" spans="1:12" ht="18" customHeight="1">
      <c r="A12" s="51" t="str">
        <v>Dudley River 1</v>
      </c>
      <c r="B12" s="48" t="str">
        <v>MA</v>
      </c>
      <c r="C12" s="36">
        <v>165539</v>
      </c>
      <c r="D12" s="102">
        <v>179197.723</v>
      </c>
      <c r="E12" s="102">
        <f t="shared" si="0"/>
        <v>-13658.722999999998</v>
      </c>
      <c r="F12" s="38">
        <f t="shared" si="3"/>
        <v>-7.622152096207159E-2</v>
      </c>
      <c r="G12" s="103">
        <v>161174.91800000001</v>
      </c>
      <c r="H12" s="103">
        <f t="shared" si="1"/>
        <v>4364.0819999999949</v>
      </c>
      <c r="I12" s="40">
        <f t="shared" si="2"/>
        <v>2.707668199341038E-2</v>
      </c>
      <c r="J12" s="66" t="s">
        <v>272</v>
      </c>
      <c r="K12" s="80" t="s">
        <v>273</v>
      </c>
    </row>
    <row r="13" spans="1:12" ht="15.6">
      <c r="A13" s="49" t="str">
        <v>Dudley River 2</v>
      </c>
      <c r="B13" s="50" t="str">
        <v>MA</v>
      </c>
      <c r="C13" s="43">
        <v>160471</v>
      </c>
      <c r="D13" s="104">
        <v>170232.67600000001</v>
      </c>
      <c r="E13" s="104">
        <f t="shared" si="0"/>
        <v>-9761.6760000000068</v>
      </c>
      <c r="F13" s="45">
        <f t="shared" si="3"/>
        <v>-5.7343138987018018E-2</v>
      </c>
      <c r="G13" s="105">
        <v>154250.033</v>
      </c>
      <c r="H13" s="105">
        <f t="shared" si="1"/>
        <v>6220.9670000000042</v>
      </c>
      <c r="I13" s="45">
        <f t="shared" si="2"/>
        <v>4.0330409524126351E-2</v>
      </c>
      <c r="J13" s="67" t="s">
        <v>272</v>
      </c>
      <c r="K13" s="81" t="s">
        <v>274</v>
      </c>
    </row>
    <row r="14" spans="1:12" ht="15.6">
      <c r="A14" s="51" t="str">
        <v>Dudley River 3</v>
      </c>
      <c r="B14" s="48" t="str">
        <v>MA</v>
      </c>
      <c r="C14" s="36">
        <v>167208</v>
      </c>
      <c r="D14" s="102">
        <v>169195.87899999999</v>
      </c>
      <c r="E14" s="102">
        <f t="shared" si="0"/>
        <v>-1987.8789999999863</v>
      </c>
      <c r="F14" s="38">
        <f t="shared" si="3"/>
        <v>-1.1748980009140686E-2</v>
      </c>
      <c r="G14" s="103">
        <v>156362.76300000001</v>
      </c>
      <c r="H14" s="103">
        <f t="shared" si="1"/>
        <v>10845.236999999994</v>
      </c>
      <c r="I14" s="40">
        <f t="shared" si="2"/>
        <v>6.9359461242060508E-2</v>
      </c>
      <c r="J14" s="66" t="s">
        <v>272</v>
      </c>
      <c r="K14" s="80" t="s">
        <v>275</v>
      </c>
    </row>
    <row r="15" spans="1:12" ht="72">
      <c r="A15" s="49" t="str">
        <v>Flint Pond</v>
      </c>
      <c r="B15" s="50" t="str">
        <v>MA</v>
      </c>
      <c r="C15" s="43">
        <v>77757</v>
      </c>
      <c r="D15" s="104">
        <v>75944.649999999994</v>
      </c>
      <c r="E15" s="104">
        <f t="shared" si="0"/>
        <v>1812.3500000000058</v>
      </c>
      <c r="F15" s="45">
        <f t="shared" si="3"/>
        <v>2.3864090492220401E-2</v>
      </c>
      <c r="G15" s="105">
        <v>65435.44</v>
      </c>
      <c r="H15" s="105">
        <f t="shared" si="1"/>
        <v>12321.559999999998</v>
      </c>
      <c r="I15" s="45">
        <f t="shared" si="2"/>
        <v>0.18830101853063105</v>
      </c>
      <c r="J15" s="67" t="s">
        <v>268</v>
      </c>
      <c r="K15" s="95"/>
    </row>
    <row r="16" spans="1:12" ht="15.6">
      <c r="A16" s="51" t="str">
        <v>Incom</v>
      </c>
      <c r="B16" s="48" t="str">
        <v>MA</v>
      </c>
      <c r="C16" s="36">
        <v>356107</v>
      </c>
      <c r="D16" s="102">
        <v>372062.614</v>
      </c>
      <c r="E16" s="102">
        <f t="shared" si="0"/>
        <v>-15955.614000000001</v>
      </c>
      <c r="F16" s="38">
        <f t="shared" si="3"/>
        <v>-4.288421733230096E-2</v>
      </c>
      <c r="G16" s="103">
        <v>325222.52</v>
      </c>
      <c r="H16" s="103">
        <f t="shared" si="1"/>
        <v>30884.479999999981</v>
      </c>
      <c r="I16" s="40">
        <f t="shared" si="2"/>
        <v>9.4964149469108042E-2</v>
      </c>
      <c r="J16" s="66"/>
      <c r="K16" s="66"/>
    </row>
    <row r="17" spans="1:12" ht="15.6">
      <c r="A17" s="49" t="str">
        <v>JH</v>
      </c>
      <c r="B17" s="50" t="str">
        <v>MA</v>
      </c>
      <c r="C17" s="43">
        <v>156903</v>
      </c>
      <c r="D17" s="104">
        <v>174459.08799999999</v>
      </c>
      <c r="E17" s="104">
        <f t="shared" si="0"/>
        <v>-17556.087999999989</v>
      </c>
      <c r="F17" s="45">
        <f t="shared" si="3"/>
        <v>-0.10063154749496335</v>
      </c>
      <c r="G17" s="105">
        <v>156485.18</v>
      </c>
      <c r="H17" s="105">
        <f t="shared" si="1"/>
        <v>417.82000000000698</v>
      </c>
      <c r="I17" s="45">
        <f t="shared" si="2"/>
        <v>2.6700292002092914E-3</v>
      </c>
      <c r="J17" s="79" t="s">
        <v>276</v>
      </c>
      <c r="K17" s="81" t="s">
        <v>277</v>
      </c>
    </row>
    <row r="18" spans="1:12" ht="48" customHeight="1">
      <c r="A18" s="51" t="str">
        <v>Ledeaux</v>
      </c>
      <c r="B18" s="48" t="str">
        <v>MA</v>
      </c>
      <c r="C18" s="36">
        <v>141401</v>
      </c>
      <c r="D18" s="102">
        <v>158004.859</v>
      </c>
      <c r="E18" s="102">
        <f t="shared" si="0"/>
        <v>-16603.858999999997</v>
      </c>
      <c r="F18" s="38">
        <f t="shared" si="3"/>
        <v>-0.10508448350945965</v>
      </c>
      <c r="G18" s="103">
        <v>150494.636</v>
      </c>
      <c r="H18" s="103">
        <f t="shared" si="1"/>
        <v>-9093.6359999999986</v>
      </c>
      <c r="I18" s="40">
        <f t="shared" si="2"/>
        <v>-6.0424984183489426E-2</v>
      </c>
      <c r="J18" s="66" t="s">
        <v>278</v>
      </c>
      <c r="K18" s="80" t="s">
        <v>279</v>
      </c>
    </row>
    <row r="19" spans="1:12" ht="15.6">
      <c r="A19" s="49" t="str">
        <v>Palombo A</v>
      </c>
      <c r="B19" s="50" t="str">
        <v>MA</v>
      </c>
      <c r="C19" s="43">
        <v>326707</v>
      </c>
      <c r="D19" s="104">
        <v>358740.23800000001</v>
      </c>
      <c r="E19" s="104">
        <f t="shared" si="0"/>
        <v>-32033.238000000012</v>
      </c>
      <c r="F19" s="45">
        <f t="shared" si="3"/>
        <v>-8.9293685532984488E-2</v>
      </c>
      <c r="G19" s="105">
        <v>329256.62</v>
      </c>
      <c r="H19" s="105">
        <f t="shared" si="1"/>
        <v>-2549.6199999999953</v>
      </c>
      <c r="I19" s="45">
        <f t="shared" si="2"/>
        <v>-7.7435648826134316E-3</v>
      </c>
      <c r="J19" s="79"/>
      <c r="K19" s="79"/>
    </row>
    <row r="20" spans="1:12" ht="72">
      <c r="A20" s="51" t="str">
        <v>Palombo B</v>
      </c>
      <c r="B20" s="48" t="str">
        <v>MA</v>
      </c>
      <c r="C20" s="36">
        <v>163751</v>
      </c>
      <c r="D20" s="102">
        <v>157473.557</v>
      </c>
      <c r="E20" s="102">
        <f t="shared" si="0"/>
        <v>6277.4429999999993</v>
      </c>
      <c r="F20" s="38">
        <f t="shared" si="3"/>
        <v>3.9863473713240623E-2</v>
      </c>
      <c r="G20" s="103">
        <v>144480.54</v>
      </c>
      <c r="H20" s="103">
        <f t="shared" si="1"/>
        <v>19270.459999999992</v>
      </c>
      <c r="I20" s="40">
        <f t="shared" si="2"/>
        <v>0.13337754690008766</v>
      </c>
      <c r="J20" s="66" t="s">
        <v>268</v>
      </c>
      <c r="K20" s="66"/>
    </row>
    <row r="21" spans="1:12" ht="43.15">
      <c r="A21" s="49" t="str">
        <v>St Josephs Church</v>
      </c>
      <c r="B21" s="50" t="str">
        <v>MA</v>
      </c>
      <c r="C21" s="43">
        <v>162141</v>
      </c>
      <c r="D21" s="104">
        <v>187084.508</v>
      </c>
      <c r="E21" s="104">
        <f t="shared" si="0"/>
        <v>-24943.508000000002</v>
      </c>
      <c r="F21" s="45">
        <f t="shared" si="3"/>
        <v>-0.13332749069741254</v>
      </c>
      <c r="G21" s="105">
        <v>148071.66800000001</v>
      </c>
      <c r="H21" s="105">
        <f t="shared" si="1"/>
        <v>14069.331999999995</v>
      </c>
      <c r="I21" s="45">
        <f t="shared" si="2"/>
        <v>9.5017042693136905E-2</v>
      </c>
      <c r="J21" s="67" t="s">
        <v>280</v>
      </c>
      <c r="K21" s="82" t="s">
        <v>281</v>
      </c>
    </row>
    <row r="22" spans="1:12" ht="15.6">
      <c r="A22" s="51" t="str">
        <v>Sunset A</v>
      </c>
      <c r="B22" s="48" t="str">
        <v>MA</v>
      </c>
      <c r="C22" s="36">
        <v>81326</v>
      </c>
      <c r="D22" s="102">
        <v>93899.039000000004</v>
      </c>
      <c r="E22" s="102">
        <f t="shared" si="0"/>
        <v>-12573.039000000004</v>
      </c>
      <c r="F22" s="38">
        <f t="shared" si="3"/>
        <v>-0.13389954928079725</v>
      </c>
      <c r="G22" s="103">
        <v>65442.267999999996</v>
      </c>
      <c r="H22" s="103">
        <f t="shared" si="1"/>
        <v>15883.732000000004</v>
      </c>
      <c r="I22" s="40">
        <f t="shared" si="2"/>
        <v>0.2427136541172443</v>
      </c>
      <c r="J22" s="66" t="s">
        <v>282</v>
      </c>
      <c r="K22" s="66"/>
    </row>
    <row r="23" spans="1:12" ht="15.6">
      <c r="A23" s="49" t="str">
        <v>Sunset B</v>
      </c>
      <c r="B23" s="50" t="str">
        <v>MA</v>
      </c>
      <c r="C23" s="43">
        <v>73730.5</v>
      </c>
      <c r="D23" s="104">
        <v>80879.937999999995</v>
      </c>
      <c r="E23" s="104">
        <f t="shared" si="0"/>
        <v>-7149.4379999999946</v>
      </c>
      <c r="F23" s="45">
        <f t="shared" si="3"/>
        <v>-8.8395690906686836E-2</v>
      </c>
      <c r="G23" s="105">
        <v>64661.038</v>
      </c>
      <c r="H23" s="105">
        <f t="shared" si="1"/>
        <v>9069.4619999999995</v>
      </c>
      <c r="I23" s="45">
        <f t="shared" si="2"/>
        <v>0.14026162091613809</v>
      </c>
      <c r="J23" s="79" t="s">
        <v>283</v>
      </c>
      <c r="K23" s="81" t="s">
        <v>284</v>
      </c>
    </row>
    <row r="24" spans="1:12" ht="15.6">
      <c r="A24" s="51" t="str">
        <v>Woodchuck</v>
      </c>
      <c r="B24" s="48" t="str">
        <v>MA</v>
      </c>
      <c r="C24" s="36">
        <v>161829</v>
      </c>
      <c r="D24" s="102">
        <v>175616.69099999999</v>
      </c>
      <c r="E24" s="102">
        <f t="shared" si="0"/>
        <v>-13787.690999999992</v>
      </c>
      <c r="F24" s="38">
        <f t="shared" si="3"/>
        <v>-7.8510140018524729E-2</v>
      </c>
      <c r="G24" s="103">
        <v>156594.644</v>
      </c>
      <c r="H24" s="103">
        <f t="shared" si="1"/>
        <v>5234.3559999999998</v>
      </c>
      <c r="I24" s="40">
        <f t="shared" si="2"/>
        <v>3.3426149619778821E-2</v>
      </c>
      <c r="J24" s="66" t="s">
        <v>285</v>
      </c>
      <c r="K24" s="80" t="s">
        <v>286</v>
      </c>
    </row>
    <row r="25" spans="1:12" ht="15.6">
      <c r="A25" s="49" t="str">
        <v>NY: Skaneateles - Spafford 1 - (PW)</v>
      </c>
      <c r="B25" s="50" t="str">
        <v>NY</v>
      </c>
      <c r="C25" s="43">
        <v>1077611</v>
      </c>
      <c r="D25" s="104">
        <v>1222796.6100000001</v>
      </c>
      <c r="E25" s="104">
        <f t="shared" si="0"/>
        <v>-145185.6100000001</v>
      </c>
      <c r="F25" s="45">
        <f t="shared" si="3"/>
        <v>-0.11873242762751861</v>
      </c>
      <c r="G25" s="105">
        <v>923309.9</v>
      </c>
      <c r="H25" s="105">
        <f t="shared" si="1"/>
        <v>154301.09999999998</v>
      </c>
      <c r="I25" s="45">
        <f t="shared" si="2"/>
        <v>0.16711734597452055</v>
      </c>
      <c r="J25" s="79" t="s">
        <v>287</v>
      </c>
      <c r="K25" s="81" t="s">
        <v>288</v>
      </c>
    </row>
    <row r="26" spans="1:12" ht="28.9">
      <c r="A26" s="51" t="str">
        <v>NY: Skaneateles - Spafford 2 - (PW)</v>
      </c>
      <c r="B26" s="48" t="str">
        <v>NY</v>
      </c>
      <c r="C26" s="36">
        <v>477826</v>
      </c>
      <c r="D26" s="102">
        <v>452446</v>
      </c>
      <c r="E26" s="102">
        <f t="shared" si="0"/>
        <v>25380</v>
      </c>
      <c r="F26" s="38">
        <f t="shared" si="3"/>
        <v>5.6095092010980313E-2</v>
      </c>
      <c r="G26" s="103">
        <v>388813.62</v>
      </c>
      <c r="H26" s="103">
        <f t="shared" si="1"/>
        <v>89012.38</v>
      </c>
      <c r="I26" s="40">
        <f t="shared" si="2"/>
        <v>0.22893328685348011</v>
      </c>
      <c r="J26" s="66" t="s">
        <v>289</v>
      </c>
      <c r="K26" s="80" t="s">
        <v>290</v>
      </c>
      <c r="L26" s="88" t="s">
        <v>291</v>
      </c>
    </row>
    <row r="27" spans="1:12" ht="14.45">
      <c r="A27" s="13" t="str">
        <v>NY: New Hartford - 4001 NY-12 (IRA)</v>
      </c>
      <c r="B27" s="18" t="str">
        <v>NY</v>
      </c>
      <c r="C27" s="13"/>
      <c r="D27" s="13"/>
      <c r="E27" s="13"/>
      <c r="F27" s="13"/>
      <c r="G27" s="13"/>
      <c r="H27" s="13"/>
      <c r="I27" s="13"/>
      <c r="J27" s="13"/>
      <c r="K27" s="13"/>
    </row>
    <row r="28" spans="1:12" ht="14.45">
      <c r="A28" s="13"/>
      <c r="B28" s="18"/>
      <c r="C28" s="13"/>
      <c r="D28" s="13"/>
      <c r="E28" s="13"/>
      <c r="F28" s="13"/>
      <c r="G28" s="13"/>
      <c r="H28" s="13"/>
      <c r="I28" s="13"/>
      <c r="J28" s="13"/>
      <c r="K28" s="13"/>
    </row>
    <row r="29" spans="1:12" ht="14.45">
      <c r="A29" s="13"/>
      <c r="B29" s="18"/>
      <c r="C29" s="13"/>
      <c r="D29" s="13"/>
      <c r="E29" s="13"/>
      <c r="F29" s="13"/>
      <c r="G29" s="13"/>
      <c r="H29" s="13"/>
      <c r="I29" s="13"/>
      <c r="J29" s="112"/>
      <c r="K29" s="13"/>
    </row>
    <row r="30" spans="1:12" ht="14.45">
      <c r="A30" s="13"/>
      <c r="B30" s="18"/>
      <c r="C30" s="13"/>
      <c r="D30" s="13"/>
      <c r="E30" s="13"/>
      <c r="F30" s="13"/>
      <c r="G30" s="13"/>
      <c r="H30" s="13"/>
      <c r="I30" s="13"/>
      <c r="J30" s="13"/>
      <c r="K30" s="13"/>
    </row>
    <row r="31" spans="1:12" ht="14.45">
      <c r="A31" s="13"/>
      <c r="B31" s="18"/>
      <c r="C31" s="13"/>
      <c r="D31" s="13"/>
      <c r="E31" s="13"/>
      <c r="F31" s="13"/>
      <c r="G31" s="13"/>
      <c r="H31" s="13"/>
      <c r="I31" s="13"/>
      <c r="J31" s="13"/>
      <c r="K31" s="13"/>
    </row>
    <row r="32" spans="1:12"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row r="341" spans="1:11" ht="14.45">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10" priority="3" stopIfTrue="1" operator="lessThanOrEqual">
      <formula>-0.1</formula>
    </cfRule>
    <cfRule type="expression" dxfId="9" priority="4">
      <formula>AND(ISNUMBER(F2), F2&gt;=0.1)</formula>
    </cfRule>
  </conditionalFormatting>
  <hyperlinks>
    <hyperlink ref="K7" r:id="rId1" display="https://us3.assetplanner.com/service_request?ID=108112" xr:uid="{BFE2C38B-8BF1-4214-9180-118DFEAAF02D}"/>
    <hyperlink ref="L7" r:id="rId2" display="https://us3.assetplanner.com/service_request?ID=107776" xr:uid="{D453CD18-0A0B-46E3-908C-F32761F7CCC0}"/>
    <hyperlink ref="K11" r:id="rId3" display="https://us3.assetplanner.com/service_request?ID=107896" xr:uid="{0D705994-52DB-4571-AD1E-A566928992BD}"/>
    <hyperlink ref="K12" r:id="rId4" display="https://us3.assetplanner.com/service_request?ID=107582" xr:uid="{5B37B8A9-EA68-47E6-A2A8-9A32E10A9BB1}"/>
    <hyperlink ref="K13" r:id="rId5" display="https://us3.assetplanner.com/service_request?ID=107583" xr:uid="{55BBDC8C-1B73-4CEC-9B0E-429776A1600D}"/>
    <hyperlink ref="K14" r:id="rId6" display="https://us3.assetplanner.com/service_request?ID=107584" xr:uid="{3C225368-0512-484E-8A00-6B70CE9714EE}"/>
    <hyperlink ref="K17" r:id="rId7" display="https://us3.assetplanner.com/service_request?ID=109126" xr:uid="{BB8AFAD1-C3EA-46E3-ABD5-1C9F35F4AC25}"/>
    <hyperlink ref="K18" r:id="rId8" display="https://us3.assetplanner.com/service_request?ID=107564" xr:uid="{36E9F3F6-6BD9-4874-8069-777A1863A16B}"/>
    <hyperlink ref="K21" r:id="rId9" display="https://us3.assetplanner.com/service_request?ID=107537" xr:uid="{D882BFB8-6570-47D7-B21E-429191A654F9}"/>
    <hyperlink ref="K23" r:id="rId10" display="https://us3.assetplanner.com/service_request?ID=108677" xr:uid="{341CE429-C7D5-437C-BB8C-E80E5AF31933}"/>
    <hyperlink ref="K24" r:id="rId11" display="https://us3.assetplanner.com/service_request?ID=108114" xr:uid="{C6F61D75-71D2-4D04-B98A-ABCEEAC581AA}"/>
    <hyperlink ref="K25" r:id="rId12" display="https://us3.assetplanner.com/service_request?ID=104836" xr:uid="{3D6C0C8E-F41A-408C-8D3F-5DD8FA698295}"/>
    <hyperlink ref="K26" r:id="rId13" display="https://us3.assetplanner.com/service_request?ID=108532" xr:uid="{F40F4489-0083-422F-AEDC-C879B5777D31}"/>
    <hyperlink ref="L26" r:id="rId14" display="https://us3.assetplanner.com/service_request?ID=108617" xr:uid="{32A8BCFE-9FD8-4895-9639-3E411BE0AA44}"/>
  </hyperlinks>
  <pageMargins left="0.4" right="0.7" top="0.25" bottom="0.25" header="0.3" footer="0.3"/>
  <pageSetup fitToHeight="99" orientation="landscape" r:id="rId1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O341"/>
  <sheetViews>
    <sheetView zoomScale="70" zoomScaleNormal="70" workbookViewId="0">
      <pane xSplit="2" ySplit="3" topLeftCell="G13" activePane="bottomRight" state="frozen"/>
      <selection pane="bottomRight" activeCell="J22" sqref="J22"/>
      <selection pane="bottomLeft" activeCell="J14" sqref="J14"/>
      <selection pane="topRight" activeCell="J14" sqref="J1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3" width="16.85546875" customWidth="1"/>
  </cols>
  <sheetData>
    <row r="1" spans="1:13" ht="19.5" customHeight="1">
      <c r="A1" s="115" t="str" cm="1">
        <f t="array" ref="A1">portfolio</f>
        <v>38 DN</v>
      </c>
      <c r="B1" s="115"/>
      <c r="C1" s="115"/>
      <c r="D1" s="116" t="s">
        <v>292</v>
      </c>
      <c r="E1" s="116"/>
      <c r="F1" s="116"/>
      <c r="G1" s="114" t="s">
        <v>293</v>
      </c>
      <c r="H1" s="114"/>
      <c r="I1" s="114"/>
      <c r="J1" s="4"/>
      <c r="K1" s="4"/>
    </row>
    <row r="2" spans="1:13" ht="19.5" customHeight="1">
      <c r="A2" s="117" t="s">
        <v>2</v>
      </c>
      <c r="B2" s="117"/>
      <c r="C2" s="5">
        <f>SUM(C4:C99)</f>
        <v>4417664</v>
      </c>
      <c r="D2" s="5">
        <f>SUM(D4:D99)</f>
        <v>4797647.1000000006</v>
      </c>
      <c r="E2" s="5">
        <f>C2-D2</f>
        <v>-379983.10000000056</v>
      </c>
      <c r="F2" s="6">
        <f>IFERROR(E2/D2, 0)</f>
        <v>-7.9201969648830681E-2</v>
      </c>
      <c r="G2" s="5">
        <f>SUM(G4:G99)</f>
        <v>4095476.8100000005</v>
      </c>
      <c r="H2" s="7">
        <f>C2-G2</f>
        <v>322187.18999999948</v>
      </c>
      <c r="I2" s="6">
        <f>IFERROR(H2/G2, 0)</f>
        <v>7.8669030480970889E-2</v>
      </c>
      <c r="J2" s="16"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17" t="s">
        <v>3</v>
      </c>
      <c r="B3" s="17" t="s">
        <v>4</v>
      </c>
      <c r="C3" s="27" t="s">
        <v>5</v>
      </c>
      <c r="D3" s="28" t="s">
        <v>6</v>
      </c>
      <c r="E3" s="28" t="s">
        <v>7</v>
      </c>
      <c r="F3" s="29" t="s">
        <v>8</v>
      </c>
      <c r="G3" s="30" t="s">
        <v>9</v>
      </c>
      <c r="H3" s="31" t="s">
        <v>7</v>
      </c>
      <c r="I3" s="32" t="s">
        <v>8</v>
      </c>
      <c r="J3" s="15" t="s">
        <v>20</v>
      </c>
      <c r="K3" s="15" t="s">
        <v>21</v>
      </c>
      <c r="L3" s="15" t="s">
        <v>294</v>
      </c>
    </row>
    <row r="4" spans="1:13" ht="57.75" customHeight="1">
      <c r="A4" s="47" t="str" cm="1">
        <f t="array" ref="A4:A27">Sites[Site]</f>
        <v>6th St.</v>
      </c>
      <c r="B4" s="48" t="str" cm="1">
        <f t="array" ref="B4:B27">Sites[State]</f>
        <v>CA</v>
      </c>
      <c r="C4" s="36">
        <v>171602.5</v>
      </c>
      <c r="D4" s="37">
        <v>141683.79999999999</v>
      </c>
      <c r="E4" s="37">
        <f>IF(AND(ISNUMBER(C4),ISNUMBER(D4)), C4-D4, "")</f>
        <v>29918.700000000012</v>
      </c>
      <c r="F4" s="38">
        <f>IFERROR(E4/D4, "")</f>
        <v>0.21116528495142009</v>
      </c>
      <c r="G4" s="39">
        <v>192586.1</v>
      </c>
      <c r="H4" s="39">
        <f>IF(AND(ISNUMBER(C4),ISNUMBER(G4)), C4-G4, "")</f>
        <v>-20983.600000000006</v>
      </c>
      <c r="I4" s="40">
        <f>IFERROR(H4/G4, "")</f>
        <v>-0.1089569807997566</v>
      </c>
      <c r="J4" s="57" t="s">
        <v>295</v>
      </c>
      <c r="K4" s="89" t="s">
        <v>296</v>
      </c>
      <c r="L4" s="57" t="s">
        <v>297</v>
      </c>
      <c r="M4" s="96"/>
    </row>
    <row r="5" spans="1:13" ht="28.9">
      <c r="A5" s="49" t="str">
        <v>Barton Acres</v>
      </c>
      <c r="B5" s="50" t="str">
        <v>MA</v>
      </c>
      <c r="C5" s="43">
        <v>140201</v>
      </c>
      <c r="D5" s="44">
        <v>164881.60000000001</v>
      </c>
      <c r="E5" s="44">
        <f t="shared" ref="E5:E16" si="0">IF(AND(ISNUMBER(C5),ISNUMBER(D5)), C5-D5, "")</f>
        <v>-24680.600000000006</v>
      </c>
      <c r="F5" s="45">
        <f>IFERROR(E5/D5, "")</f>
        <v>-0.14968680556229444</v>
      </c>
      <c r="G5" s="46">
        <v>107955</v>
      </c>
      <c r="H5" s="46">
        <f t="shared" ref="H5:H17" si="1">IF(AND(ISNUMBER(C5),ISNUMBER(G5)), C5-G5, "")</f>
        <v>32246</v>
      </c>
      <c r="I5" s="45">
        <f t="shared" ref="I5:I17" si="2">IFERROR(H5/G5, "")</f>
        <v>0.29869853179565559</v>
      </c>
      <c r="J5" s="58" t="s">
        <v>298</v>
      </c>
      <c r="K5" s="90" t="s">
        <v>299</v>
      </c>
      <c r="L5" s="58" t="s">
        <v>300</v>
      </c>
      <c r="M5" s="96"/>
    </row>
    <row r="6" spans="1:13" ht="15.6">
      <c r="A6" s="51" t="str">
        <v>Bowden</v>
      </c>
      <c r="B6" s="48" t="str">
        <v>MA</v>
      </c>
      <c r="C6" s="36">
        <v>284791</v>
      </c>
      <c r="D6" s="37">
        <v>290333.7</v>
      </c>
      <c r="E6" s="37">
        <f t="shared" si="0"/>
        <v>-5542.7000000000116</v>
      </c>
      <c r="F6" s="38">
        <f t="shared" ref="F6:F17" si="3">IFERROR(E6/D6, "")</f>
        <v>-1.909079104492524E-2</v>
      </c>
      <c r="G6" s="39">
        <v>278624.8</v>
      </c>
      <c r="H6" s="39">
        <f t="shared" si="1"/>
        <v>6166.2000000000116</v>
      </c>
      <c r="I6" s="40">
        <f t="shared" si="2"/>
        <v>2.2130836881713373E-2</v>
      </c>
      <c r="J6" s="57"/>
      <c r="K6" s="57"/>
      <c r="L6" s="57"/>
    </row>
    <row r="7" spans="1:13" ht="15.6">
      <c r="A7" s="49" t="str">
        <v>Blair Wire Village</v>
      </c>
      <c r="B7" s="50" t="str">
        <v>MA</v>
      </c>
      <c r="C7" s="43">
        <v>136576</v>
      </c>
      <c r="D7" s="44">
        <v>167899.1</v>
      </c>
      <c r="E7" s="44">
        <f t="shared" si="0"/>
        <v>-31323.100000000006</v>
      </c>
      <c r="F7" s="45">
        <f t="shared" si="3"/>
        <v>-0.18655907029876875</v>
      </c>
      <c r="G7" s="46">
        <v>141623</v>
      </c>
      <c r="H7" s="46">
        <f t="shared" si="1"/>
        <v>-5047</v>
      </c>
      <c r="I7" s="45">
        <f t="shared" si="2"/>
        <v>-3.5636866893089397E-2</v>
      </c>
      <c r="J7" s="58" t="s">
        <v>301</v>
      </c>
      <c r="K7" s="58"/>
      <c r="L7" s="58"/>
    </row>
    <row r="8" spans="1:13" ht="28.9">
      <c r="A8" s="51" t="str">
        <v>Boutilier</v>
      </c>
      <c r="B8" s="48" t="str">
        <v>MA</v>
      </c>
      <c r="C8" s="36">
        <v>364750</v>
      </c>
      <c r="D8" s="37">
        <v>364100.3</v>
      </c>
      <c r="E8" s="37">
        <f t="shared" si="0"/>
        <v>649.70000000001164</v>
      </c>
      <c r="F8" s="38">
        <f t="shared" si="3"/>
        <v>1.784398419885981E-3</v>
      </c>
      <c r="G8" s="39">
        <v>296348</v>
      </c>
      <c r="H8" s="39">
        <f t="shared" si="1"/>
        <v>68402</v>
      </c>
      <c r="I8" s="40">
        <f t="shared" si="2"/>
        <v>0.2308164725255443</v>
      </c>
      <c r="J8" s="57" t="s">
        <v>302</v>
      </c>
      <c r="K8" s="89" t="s">
        <v>303</v>
      </c>
      <c r="L8" s="57" t="s">
        <v>300</v>
      </c>
    </row>
    <row r="9" spans="1:13" ht="57.6">
      <c r="A9" s="49" t="str">
        <v>Cherry Valley</v>
      </c>
      <c r="B9" s="50" t="str">
        <v>MA</v>
      </c>
      <c r="C9" s="43">
        <v>126274</v>
      </c>
      <c r="D9" s="44">
        <v>163396.5</v>
      </c>
      <c r="E9" s="44">
        <f t="shared" si="0"/>
        <v>-37122.5</v>
      </c>
      <c r="F9" s="45">
        <f t="shared" si="3"/>
        <v>-0.22719274892669059</v>
      </c>
      <c r="G9" s="46">
        <v>112291</v>
      </c>
      <c r="H9" s="46">
        <f t="shared" si="1"/>
        <v>13983</v>
      </c>
      <c r="I9" s="45">
        <f t="shared" si="2"/>
        <v>0.12452467250269389</v>
      </c>
      <c r="J9" s="67" t="s">
        <v>304</v>
      </c>
      <c r="K9" s="69" t="s">
        <v>305</v>
      </c>
      <c r="L9" s="58" t="s">
        <v>306</v>
      </c>
    </row>
    <row r="10" spans="1:13" ht="15.6">
      <c r="A10" s="51" t="str">
        <v>Cohasse</v>
      </c>
      <c r="B10" s="48" t="str">
        <v>MA</v>
      </c>
      <c r="C10" s="36">
        <v>123322</v>
      </c>
      <c r="D10" s="37">
        <v>152374.20000000001</v>
      </c>
      <c r="E10" s="37">
        <f t="shared" si="0"/>
        <v>-29052.200000000012</v>
      </c>
      <c r="F10" s="38">
        <f t="shared" si="3"/>
        <v>-0.19066351127684353</v>
      </c>
      <c r="G10" s="39">
        <v>146622.70000000001</v>
      </c>
      <c r="H10" s="39">
        <f t="shared" si="1"/>
        <v>-23300.700000000012</v>
      </c>
      <c r="I10" s="40">
        <f t="shared" si="2"/>
        <v>-0.15891604778796195</v>
      </c>
      <c r="J10" s="57" t="s">
        <v>307</v>
      </c>
      <c r="K10" s="74"/>
      <c r="L10" s="57"/>
    </row>
    <row r="11" spans="1:13" ht="43.15">
      <c r="A11" s="49" t="str">
        <v>ISM Dighton Solar 2</v>
      </c>
      <c r="B11" s="50" t="str">
        <v>MA</v>
      </c>
      <c r="C11" s="43">
        <v>234265</v>
      </c>
      <c r="D11" s="44">
        <v>172451.20000000001</v>
      </c>
      <c r="E11" s="44">
        <f t="shared" si="0"/>
        <v>61813.799999999988</v>
      </c>
      <c r="F11" s="45">
        <f t="shared" si="3"/>
        <v>0.3584422723645877</v>
      </c>
      <c r="G11" s="46">
        <v>293983.8</v>
      </c>
      <c r="H11" s="46">
        <f t="shared" si="1"/>
        <v>-59718.799999999988</v>
      </c>
      <c r="I11" s="45">
        <f t="shared" si="2"/>
        <v>-0.20313636329620879</v>
      </c>
      <c r="J11" s="69" t="s">
        <v>308</v>
      </c>
      <c r="K11" s="90" t="s">
        <v>309</v>
      </c>
      <c r="L11" s="58" t="s">
        <v>310</v>
      </c>
      <c r="M11" s="106" t="s">
        <v>311</v>
      </c>
    </row>
    <row r="12" spans="1:13" ht="15.6">
      <c r="A12" s="51" t="str">
        <v>Dudley River 1</v>
      </c>
      <c r="B12" s="48" t="str">
        <v>MA</v>
      </c>
      <c r="C12" s="36">
        <v>137922</v>
      </c>
      <c r="D12" s="37">
        <v>146667.20000000001</v>
      </c>
      <c r="E12" s="37">
        <f t="shared" si="0"/>
        <v>-8745.2000000000116</v>
      </c>
      <c r="F12" s="38">
        <f t="shared" si="3"/>
        <v>-5.9626146814011662E-2</v>
      </c>
      <c r="G12" s="39">
        <v>141755.29999999999</v>
      </c>
      <c r="H12" s="39">
        <f t="shared" si="1"/>
        <v>-3833.2999999999884</v>
      </c>
      <c r="I12" s="40">
        <f t="shared" si="2"/>
        <v>-2.7041669694184194E-2</v>
      </c>
      <c r="J12" s="57"/>
      <c r="K12" s="57"/>
      <c r="L12" s="57"/>
      <c r="M12" s="96"/>
    </row>
    <row r="13" spans="1:13" ht="15.6">
      <c r="A13" s="49" t="str">
        <v>Dudley River 2</v>
      </c>
      <c r="B13" s="50" t="str">
        <v>MA</v>
      </c>
      <c r="C13" s="43">
        <v>136613</v>
      </c>
      <c r="D13" s="44">
        <v>141217.60000000001</v>
      </c>
      <c r="E13" s="44">
        <f t="shared" si="0"/>
        <v>-4604.6000000000058</v>
      </c>
      <c r="F13" s="45">
        <f t="shared" si="3"/>
        <v>-3.2606417330417775E-2</v>
      </c>
      <c r="G13" s="46">
        <v>135884.9</v>
      </c>
      <c r="H13" s="46">
        <f t="shared" si="1"/>
        <v>728.10000000000582</v>
      </c>
      <c r="I13" s="45">
        <f t="shared" si="2"/>
        <v>5.3582112508454276E-3</v>
      </c>
      <c r="J13" s="69"/>
      <c r="K13" s="69"/>
      <c r="L13" s="58"/>
      <c r="M13" s="96"/>
    </row>
    <row r="14" spans="1:13" ht="15.6">
      <c r="A14" s="51" t="str">
        <v>Dudley River 3</v>
      </c>
      <c r="B14" s="48" t="str">
        <v>MA</v>
      </c>
      <c r="C14" s="36">
        <v>142552</v>
      </c>
      <c r="D14" s="37">
        <v>142459.4</v>
      </c>
      <c r="E14" s="37">
        <f t="shared" si="0"/>
        <v>92.600000000005821</v>
      </c>
      <c r="F14" s="38">
        <f t="shared" si="3"/>
        <v>6.5000975716594214E-4</v>
      </c>
      <c r="G14" s="39">
        <v>137903</v>
      </c>
      <c r="H14" s="39">
        <f t="shared" si="1"/>
        <v>4649</v>
      </c>
      <c r="I14" s="40">
        <f t="shared" si="2"/>
        <v>3.3712101984728397E-2</v>
      </c>
      <c r="J14" s="57"/>
      <c r="K14" s="57"/>
      <c r="L14" s="57"/>
      <c r="M14" s="96"/>
    </row>
    <row r="15" spans="1:13" ht="43.15">
      <c r="A15" s="49" t="str">
        <v>Flint Pond</v>
      </c>
      <c r="B15" s="50" t="str">
        <v>MA</v>
      </c>
      <c r="C15" s="43">
        <v>56787</v>
      </c>
      <c r="D15" s="44">
        <v>71036.800000000003</v>
      </c>
      <c r="E15" s="44">
        <f t="shared" si="0"/>
        <v>-14249.800000000003</v>
      </c>
      <c r="F15" s="45">
        <f t="shared" si="3"/>
        <v>-0.20059743682147849</v>
      </c>
      <c r="G15" s="46">
        <v>51326.95</v>
      </c>
      <c r="H15" s="46">
        <f t="shared" si="1"/>
        <v>5460.0500000000029</v>
      </c>
      <c r="I15" s="45">
        <f t="shared" si="2"/>
        <v>0.10637783854290978</v>
      </c>
      <c r="J15" s="69" t="s">
        <v>312</v>
      </c>
      <c r="K15" s="90" t="s">
        <v>313</v>
      </c>
      <c r="L15" s="58" t="s">
        <v>314</v>
      </c>
      <c r="M15" s="106" t="s">
        <v>315</v>
      </c>
    </row>
    <row r="16" spans="1:13" ht="15.6">
      <c r="A16" s="51" t="str">
        <v>Incom</v>
      </c>
      <c r="B16" s="48" t="str">
        <v>MA</v>
      </c>
      <c r="C16" s="36">
        <v>295019</v>
      </c>
      <c r="D16" s="37">
        <v>316079.3</v>
      </c>
      <c r="E16" s="37">
        <f t="shared" si="0"/>
        <v>-21060.299999999988</v>
      </c>
      <c r="F16" s="38">
        <f t="shared" si="3"/>
        <v>-6.662979828163372E-2</v>
      </c>
      <c r="G16" s="39">
        <v>290262.09999999998</v>
      </c>
      <c r="H16" s="39">
        <f t="shared" si="1"/>
        <v>4756.9000000000233</v>
      </c>
      <c r="I16" s="40">
        <f t="shared" si="2"/>
        <v>1.6388291823148885E-2</v>
      </c>
      <c r="J16" s="57"/>
      <c r="K16" s="57"/>
      <c r="L16" s="57"/>
      <c r="M16" s="96"/>
    </row>
    <row r="17" spans="1:15" ht="43.15">
      <c r="A17" s="49" t="str">
        <v>JH</v>
      </c>
      <c r="B17" s="50" t="str">
        <v>MA</v>
      </c>
      <c r="C17" s="43">
        <v>119957</v>
      </c>
      <c r="D17" s="44">
        <v>157787.6</v>
      </c>
      <c r="E17" s="44"/>
      <c r="F17" s="45">
        <f t="shared" si="3"/>
        <v>0</v>
      </c>
      <c r="G17" s="46">
        <v>138297.4</v>
      </c>
      <c r="H17" s="46">
        <f t="shared" si="1"/>
        <v>-18340.399999999994</v>
      </c>
      <c r="I17" s="45">
        <f t="shared" si="2"/>
        <v>-0.13261565293346075</v>
      </c>
      <c r="J17" s="69" t="s">
        <v>316</v>
      </c>
      <c r="K17" s="90" t="s">
        <v>317</v>
      </c>
      <c r="L17" s="58" t="s">
        <v>318</v>
      </c>
      <c r="M17" s="106" t="s">
        <v>319</v>
      </c>
      <c r="N17" s="84" t="s">
        <v>320</v>
      </c>
    </row>
    <row r="18" spans="1:15" ht="12.75" customHeight="1">
      <c r="A18" s="47" t="str">
        <v>Ledeaux</v>
      </c>
      <c r="B18" s="48" t="str">
        <v>MA</v>
      </c>
      <c r="C18" s="36">
        <v>109159</v>
      </c>
      <c r="D18" s="37">
        <v>126984.2</v>
      </c>
      <c r="E18" s="37">
        <f t="shared" ref="E18:E24" si="4">IF(AND(ISNUMBER(C18),ISNUMBER(D18)), C18-D18, "")</f>
        <v>-17825.199999999997</v>
      </c>
      <c r="F18" s="38">
        <f t="shared" ref="F18:F24" si="5">IFERROR(E18/D18, "")</f>
        <v>-0.14037336928531263</v>
      </c>
      <c r="G18" s="39">
        <v>131904</v>
      </c>
      <c r="H18" s="39">
        <f t="shared" ref="H18:H24" si="6">IF(AND(ISNUMBER(C18),ISNUMBER(G18)), C18-G18, "")</f>
        <v>-22745</v>
      </c>
      <c r="I18" s="40">
        <f t="shared" ref="I18:I24" si="7">IFERROR(H18/G18, "")</f>
        <v>-0.17243601407083939</v>
      </c>
      <c r="J18" s="57" t="s">
        <v>321</v>
      </c>
      <c r="K18" s="89" t="s">
        <v>322</v>
      </c>
      <c r="L18" s="57" t="s">
        <v>300</v>
      </c>
      <c r="M18" s="96"/>
    </row>
    <row r="19" spans="1:15" ht="15.6">
      <c r="A19" s="49" t="str">
        <v>Palombo A</v>
      </c>
      <c r="B19" s="50" t="str">
        <v>MA</v>
      </c>
      <c r="C19" s="43">
        <v>270200</v>
      </c>
      <c r="D19" s="44">
        <v>315407.2</v>
      </c>
      <c r="E19" s="44">
        <f t="shared" si="4"/>
        <v>-45207.200000000012</v>
      </c>
      <c r="F19" s="45">
        <f t="shared" si="5"/>
        <v>-0.14332963863855996</v>
      </c>
      <c r="G19" s="46">
        <v>304052.2</v>
      </c>
      <c r="H19" s="46">
        <f t="shared" si="6"/>
        <v>-33852.200000000012</v>
      </c>
      <c r="I19" s="45">
        <f t="shared" si="7"/>
        <v>-0.1113368033515298</v>
      </c>
      <c r="J19" s="69" t="s">
        <v>323</v>
      </c>
      <c r="K19" s="69"/>
      <c r="L19" s="58"/>
      <c r="M19" s="96"/>
    </row>
    <row r="20" spans="1:15" ht="15.6">
      <c r="A20" s="51" t="str">
        <v>Palombo B</v>
      </c>
      <c r="B20" s="48" t="str">
        <v>MA</v>
      </c>
      <c r="C20" s="36">
        <v>130946</v>
      </c>
      <c r="D20" s="37">
        <v>147132.4</v>
      </c>
      <c r="E20" s="37">
        <f t="shared" si="4"/>
        <v>-16186.399999999994</v>
      </c>
      <c r="F20" s="38">
        <f t="shared" si="5"/>
        <v>-0.11001247855672847</v>
      </c>
      <c r="G20" s="39">
        <v>112005.7</v>
      </c>
      <c r="H20" s="39">
        <f t="shared" si="6"/>
        <v>18940.300000000003</v>
      </c>
      <c r="I20" s="40">
        <f t="shared" si="7"/>
        <v>0.1691012153845742</v>
      </c>
      <c r="J20" s="57" t="s">
        <v>324</v>
      </c>
      <c r="K20" s="57"/>
      <c r="L20" s="57"/>
      <c r="M20" s="96"/>
    </row>
    <row r="21" spans="1:15" ht="28.9">
      <c r="A21" s="49" t="str">
        <v>St Josephs Church</v>
      </c>
      <c r="B21" s="50" t="str">
        <v>MA</v>
      </c>
      <c r="C21" s="43">
        <v>135129</v>
      </c>
      <c r="D21" s="44">
        <v>167277.42000000001</v>
      </c>
      <c r="E21" s="44">
        <f t="shared" si="4"/>
        <v>-32148.420000000013</v>
      </c>
      <c r="F21" s="45">
        <f t="shared" si="5"/>
        <v>-0.19218624964445297</v>
      </c>
      <c r="G21" s="46">
        <v>124168.25</v>
      </c>
      <c r="H21" s="46">
        <f t="shared" si="6"/>
        <v>10960.75</v>
      </c>
      <c r="I21" s="45">
        <f t="shared" si="7"/>
        <v>8.8273371010705232E-2</v>
      </c>
      <c r="J21" s="69" t="s">
        <v>325</v>
      </c>
      <c r="K21" s="75" t="s">
        <v>326</v>
      </c>
      <c r="L21" s="58" t="s">
        <v>327</v>
      </c>
      <c r="M21" s="96"/>
    </row>
    <row r="22" spans="1:15" ht="15.6">
      <c r="A22" s="51" t="str">
        <v>Sunset A</v>
      </c>
      <c r="B22" s="48" t="str">
        <v>MA</v>
      </c>
      <c r="C22" s="36">
        <v>64199</v>
      </c>
      <c r="D22" s="37">
        <v>80640.23</v>
      </c>
      <c r="E22" s="37">
        <f t="shared" si="4"/>
        <v>-16441.229999999996</v>
      </c>
      <c r="F22" s="38">
        <f t="shared" si="5"/>
        <v>-0.20388371908165437</v>
      </c>
      <c r="G22" s="39">
        <v>50825.05</v>
      </c>
      <c r="H22" s="39">
        <f t="shared" si="6"/>
        <v>13373.949999999997</v>
      </c>
      <c r="I22" s="40">
        <f t="shared" si="7"/>
        <v>0.26313697674670261</v>
      </c>
      <c r="J22" s="57" t="s">
        <v>328</v>
      </c>
      <c r="K22" s="57"/>
      <c r="L22" s="57"/>
      <c r="M22" s="96"/>
    </row>
    <row r="23" spans="1:15" ht="15.6">
      <c r="A23" s="49" t="str">
        <v>Sunset B</v>
      </c>
      <c r="B23" s="50" t="str">
        <v>MA</v>
      </c>
      <c r="C23" s="43">
        <v>57748.5</v>
      </c>
      <c r="D23" s="44">
        <v>64409.45</v>
      </c>
      <c r="E23" s="44">
        <f t="shared" si="4"/>
        <v>-6660.9499999999971</v>
      </c>
      <c r="F23" s="45">
        <f t="shared" si="5"/>
        <v>-0.10341572548748666</v>
      </c>
      <c r="G23" s="46">
        <v>50216.160000000003</v>
      </c>
      <c r="H23" s="46">
        <f t="shared" si="6"/>
        <v>7532.3399999999965</v>
      </c>
      <c r="I23" s="45">
        <f t="shared" si="7"/>
        <v>0.14999832723171178</v>
      </c>
      <c r="J23" s="69" t="s">
        <v>329</v>
      </c>
      <c r="K23" s="75"/>
      <c r="L23" s="58"/>
      <c r="M23" s="96"/>
    </row>
    <row r="24" spans="1:15" ht="15.6">
      <c r="A24" s="51" t="str">
        <v>Woodchuck</v>
      </c>
      <c r="B24" s="48" t="str">
        <v>MA</v>
      </c>
      <c r="C24" s="36">
        <v>128337</v>
      </c>
      <c r="D24" s="37">
        <v>143953.70000000001</v>
      </c>
      <c r="E24" s="37">
        <f t="shared" si="4"/>
        <v>-15616.700000000012</v>
      </c>
      <c r="F24" s="38">
        <f t="shared" si="5"/>
        <v>-0.10848418623487976</v>
      </c>
      <c r="G24" s="39">
        <v>132718.20000000001</v>
      </c>
      <c r="H24" s="39">
        <f t="shared" si="6"/>
        <v>-4381.2000000000116</v>
      </c>
      <c r="I24" s="40">
        <f t="shared" si="7"/>
        <v>-3.3011297621577229E-2</v>
      </c>
      <c r="J24" s="57" t="s">
        <v>330</v>
      </c>
      <c r="K24" s="57"/>
      <c r="L24" s="57"/>
      <c r="M24" s="96"/>
    </row>
    <row r="25" spans="1:15" ht="86.45">
      <c r="A25" s="49" t="str">
        <v>NY: Skaneateles - Spafford 1 - (PW)</v>
      </c>
      <c r="B25" s="50" t="str">
        <v>NY</v>
      </c>
      <c r="C25" s="43">
        <v>726817</v>
      </c>
      <c r="D25" s="44">
        <v>859927.8</v>
      </c>
      <c r="E25" s="44">
        <f t="shared" ref="E25:E26" si="8">IF(AND(ISNUMBER(C25),ISNUMBER(D25)), C25-D25, "")</f>
        <v>-133110.80000000005</v>
      </c>
      <c r="F25" s="45">
        <f t="shared" ref="F25:F26" si="9">IFERROR(E25/D25, "")</f>
        <v>-0.15479299541194044</v>
      </c>
      <c r="G25" s="46">
        <v>512680</v>
      </c>
      <c r="H25" s="46">
        <f t="shared" ref="H25:H26" si="10">IF(AND(ISNUMBER(C25),ISNUMBER(G25)), C25-G25, "")</f>
        <v>214137</v>
      </c>
      <c r="I25" s="45">
        <f t="shared" ref="I25:I26" si="11">IFERROR(H25/G25, "")</f>
        <v>0.41768159475696343</v>
      </c>
      <c r="J25" s="69" t="s">
        <v>331</v>
      </c>
      <c r="K25" s="90" t="s">
        <v>332</v>
      </c>
      <c r="L25" s="58" t="s">
        <v>333</v>
      </c>
      <c r="M25" s="106" t="s">
        <v>334</v>
      </c>
      <c r="N25" s="84" t="s">
        <v>335</v>
      </c>
      <c r="O25" s="84" t="s">
        <v>336</v>
      </c>
    </row>
    <row r="26" spans="1:15" ht="28.9">
      <c r="A26" s="51" t="str">
        <v>NY: Skaneateles - Spafford 2 - (PW)</v>
      </c>
      <c r="B26" s="48" t="str">
        <v>NY</v>
      </c>
      <c r="C26" s="36">
        <v>324497</v>
      </c>
      <c r="D26" s="37">
        <v>299546.40000000002</v>
      </c>
      <c r="E26" s="37">
        <f t="shared" si="8"/>
        <v>24950.599999999977</v>
      </c>
      <c r="F26" s="38">
        <f t="shared" si="9"/>
        <v>8.3294608114135152E-2</v>
      </c>
      <c r="G26" s="39">
        <v>211443.20000000001</v>
      </c>
      <c r="H26" s="39">
        <f t="shared" si="10"/>
        <v>113053.79999999999</v>
      </c>
      <c r="I26" s="40">
        <f t="shared" si="11"/>
        <v>0.53467692505599607</v>
      </c>
      <c r="J26" s="57" t="s">
        <v>337</v>
      </c>
      <c r="K26" s="89" t="s">
        <v>338</v>
      </c>
      <c r="L26" s="57" t="s">
        <v>314</v>
      </c>
      <c r="M26" s="106" t="s">
        <v>334</v>
      </c>
    </row>
    <row r="27" spans="1:15" ht="14.45">
      <c r="A27" s="13" t="str">
        <v>NY: New Hartford - 4001 NY-12 (IRA)</v>
      </c>
      <c r="B27" s="18" t="str">
        <v>NY</v>
      </c>
      <c r="C27" s="13"/>
      <c r="D27" s="13"/>
      <c r="E27" s="13"/>
      <c r="F27" s="13"/>
      <c r="G27" s="13"/>
      <c r="H27" s="13"/>
      <c r="I27" s="13"/>
      <c r="J27" s="13"/>
      <c r="K27" s="13"/>
    </row>
    <row r="28" spans="1:15" ht="14.45">
      <c r="A28" s="13"/>
      <c r="B28" s="18"/>
      <c r="C28" s="13"/>
      <c r="D28" s="13"/>
      <c r="E28" s="13"/>
      <c r="F28" s="13"/>
      <c r="G28" s="13"/>
      <c r="H28" s="13"/>
      <c r="I28" s="13"/>
      <c r="J28" s="13"/>
      <c r="K28" s="13"/>
    </row>
    <row r="29" spans="1:15" ht="14.45">
      <c r="A29" s="13"/>
      <c r="B29" s="18"/>
      <c r="C29" s="13"/>
      <c r="D29" s="13"/>
      <c r="E29" s="13"/>
      <c r="F29" s="13"/>
      <c r="G29" s="107" t="s">
        <v>339</v>
      </c>
      <c r="H29" s="13"/>
      <c r="I29" s="13"/>
      <c r="J29" s="13"/>
      <c r="K29" s="13"/>
    </row>
    <row r="30" spans="1:15" ht="14.45">
      <c r="A30" s="13"/>
      <c r="B30" s="18"/>
      <c r="C30" s="13"/>
      <c r="D30" s="13"/>
      <c r="E30" s="13"/>
      <c r="F30" s="13"/>
      <c r="G30" s="13"/>
      <c r="H30" s="13"/>
      <c r="I30" s="13"/>
      <c r="J30" s="13"/>
      <c r="K30" s="13"/>
    </row>
    <row r="31" spans="1:15" ht="14.45">
      <c r="A31" s="13"/>
      <c r="B31" s="18"/>
      <c r="C31" s="13"/>
      <c r="D31" s="13"/>
      <c r="E31" s="13"/>
      <c r="F31" s="13"/>
      <c r="G31" s="13"/>
      <c r="H31" s="13"/>
      <c r="I31" s="13"/>
      <c r="J31" s="13"/>
      <c r="K31" s="13"/>
    </row>
    <row r="32" spans="1:15"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row r="341" spans="1:11" ht="14.45">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8" priority="3" stopIfTrue="1" operator="lessThanOrEqual">
      <formula>-0.1</formula>
    </cfRule>
    <cfRule type="expression" dxfId="7" priority="4">
      <formula>AND(ISNUMBER(F2), F2&gt;=0.1)</formula>
    </cfRule>
  </conditionalFormatting>
  <hyperlinks>
    <hyperlink ref="K4" r:id="rId1" display="https://us3.assetplanner.com/service_request?ID=104098" xr:uid="{4693BEAD-DC60-4459-8B41-F4FCC22AAAE0}"/>
    <hyperlink ref="K5" r:id="rId2" display="https://us3.assetplanner.com/service_request?ID=109022" xr:uid="{51B2DE4D-EE67-45E3-B75C-88B765C5692F}"/>
    <hyperlink ref="K8" r:id="rId3" display="https://us3.assetplanner.com/service_request?ID=108726" xr:uid="{E3F5426C-DF6A-442E-B389-4A65B35E9718}"/>
    <hyperlink ref="K11" r:id="rId4" display="https://us3.assetplanner.com/service_request?ID=108614" xr:uid="{C21A49A3-8B96-41BD-8213-6F238EB57773}"/>
    <hyperlink ref="M11" r:id="rId5" display="https://us3.assetplanner.com/service_request?ID=109670" xr:uid="{A60C4C5B-3822-4D5A-BEB2-E9BEFAA8128C}"/>
    <hyperlink ref="K15" r:id="rId6" display="https://us3.assetplanner.com/service_request?ID=109627" xr:uid="{FE252BC0-5036-420C-A162-8DE4FCA6D2F4}"/>
    <hyperlink ref="M15" r:id="rId7" display="https://us3.assetplanner.com/service_request?ID=109642" xr:uid="{4D1BB7F0-9FD5-41E4-92BF-EBAA7F2ED0FF}"/>
    <hyperlink ref="K17" r:id="rId8" display="https://us3.assetplanner.com/service_request?ID=108848" xr:uid="{8C6C42D6-6FD3-413F-8CC4-6D1B60272F59}"/>
    <hyperlink ref="M17" r:id="rId9" display="https://us3.assetplanner.com/service_request?ID=109126" xr:uid="{4E1B470E-7ED2-485C-9F72-BA6D48B36B9F}"/>
    <hyperlink ref="N17" r:id="rId10" display="https://us3.assetplanner.com/service_request?ID=109174" xr:uid="{4BEA84B0-1A6A-4AFF-B833-D0453A26963F}"/>
    <hyperlink ref="K18" r:id="rId11" display="https://us3.assetplanner.com/service_request?ID=109175" xr:uid="{D95BBDF1-6512-4D9D-9A15-FFE834B2EF55}"/>
    <hyperlink ref="K25" r:id="rId12" display="https://us3.assetplanner.com/service_request?ID=108528" xr:uid="{D8B0434C-4A6F-46BD-B7F9-0582AB971613}"/>
    <hyperlink ref="M25" r:id="rId13" display="https://us3.assetplanner.com/service_request?ID=108950" xr:uid="{DB79DEFC-35BE-480E-BD8A-98BAA5E6B7CB}"/>
    <hyperlink ref="N25" r:id="rId14" display="https://us3.assetplanner.com/service_request?ID=109750" xr:uid="{63AACB12-AB32-4F28-964E-680A672CB2BD}"/>
    <hyperlink ref="O25" r:id="rId15" display="https://us3.assetplanner.com/service_request?ID=109982" xr:uid="{8C6BE022-6797-489C-B2B5-D80A9150D274}"/>
    <hyperlink ref="K26" r:id="rId16" display="https://us3.assetplanner.com/service_request?ID=109983" xr:uid="{1753D905-AC6B-4E7A-B397-00DFB139D2A4}"/>
    <hyperlink ref="M26" r:id="rId17" display="https://us3.assetplanner.com/service_request?ID=108950" xr:uid="{1FC98AF0-4877-44AF-9D97-AE18AA57EF78}"/>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R341"/>
  <sheetViews>
    <sheetView zoomScale="70" zoomScaleNormal="70" workbookViewId="0">
      <pane xSplit="2" ySplit="3" topLeftCell="C15" activePane="bottomRight" state="frozen"/>
      <selection pane="bottomRight" activeCell="J26" sqref="J26"/>
      <selection pane="bottomLeft" activeCell="J14" sqref="J14"/>
      <selection pane="topRight" activeCell="J14" sqref="J1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style="96" bestFit="1" customWidth="1"/>
    <col min="12" max="12" width="14" customWidth="1"/>
    <col min="13" max="18" width="9.140625" style="87"/>
  </cols>
  <sheetData>
    <row r="1" spans="1:13" ht="19.5" customHeight="1">
      <c r="A1" s="115" t="str" cm="1">
        <f t="array" ref="A1">portfolio</f>
        <v>38 DN</v>
      </c>
      <c r="B1" s="115"/>
      <c r="C1" s="115"/>
      <c r="D1" s="116" t="s">
        <v>340</v>
      </c>
      <c r="E1" s="116"/>
      <c r="F1" s="116"/>
      <c r="G1" s="114" t="s">
        <v>341</v>
      </c>
      <c r="H1" s="114"/>
      <c r="I1" s="114"/>
      <c r="J1" s="4"/>
      <c r="K1" s="108"/>
      <c r="L1" s="4"/>
    </row>
    <row r="2" spans="1:13" ht="19.5" customHeight="1">
      <c r="A2" s="117" t="s">
        <v>2</v>
      </c>
      <c r="B2" s="117"/>
      <c r="C2" s="5">
        <f>SUM(C4:C99)</f>
        <v>2712907.5</v>
      </c>
      <c r="D2" s="5">
        <f>SUM(D4:D99)</f>
        <v>3199806.5160000003</v>
      </c>
      <c r="E2" s="5">
        <f>C2-D2</f>
        <v>-486899.01600000029</v>
      </c>
      <c r="F2" s="6">
        <f>IFERROR(E2/D2, 0)</f>
        <v>-0.15216514297516365</v>
      </c>
      <c r="G2" s="5">
        <f>SUM(G4:G99)</f>
        <v>2798332.4989999998</v>
      </c>
      <c r="H2" s="7">
        <f>C2-G2</f>
        <v>-85424.998999999836</v>
      </c>
      <c r="I2" s="6">
        <f>IFERROR(H2/G2, 0)</f>
        <v>-3.0527108208380151E-2</v>
      </c>
      <c r="J2" s="16"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108"/>
      <c r="L2" s="4"/>
    </row>
    <row r="3" spans="1:13" ht="14.25" customHeight="1">
      <c r="A3" s="17" t="s">
        <v>3</v>
      </c>
      <c r="B3" s="17" t="s">
        <v>4</v>
      </c>
      <c r="C3" s="27" t="s">
        <v>5</v>
      </c>
      <c r="D3" s="28" t="s">
        <v>6</v>
      </c>
      <c r="E3" s="28" t="s">
        <v>7</v>
      </c>
      <c r="F3" s="29" t="s">
        <v>8</v>
      </c>
      <c r="G3" s="30" t="s">
        <v>9</v>
      </c>
      <c r="H3" s="31" t="s">
        <v>7</v>
      </c>
      <c r="I3" s="32" t="s">
        <v>8</v>
      </c>
      <c r="J3" s="15" t="s">
        <v>20</v>
      </c>
      <c r="K3" s="109" t="s">
        <v>21</v>
      </c>
      <c r="L3" s="15" t="s">
        <v>294</v>
      </c>
    </row>
    <row r="4" spans="1:13" ht="44.25" customHeight="1">
      <c r="A4" s="47" t="str" cm="1">
        <f t="array" ref="A4:A27">Sites[Site]</f>
        <v>6th St.</v>
      </c>
      <c r="B4" s="48" t="str" cm="1">
        <f t="array" ref="B4:B27">Sites[State]</f>
        <v>CA</v>
      </c>
      <c r="C4" s="36">
        <v>117362</v>
      </c>
      <c r="D4" s="37">
        <v>89068.99</v>
      </c>
      <c r="E4" s="37">
        <f>IF(AND(ISNUMBER(C4),ISNUMBER(D4)), C4-D4, "")</f>
        <v>28293.009999999995</v>
      </c>
      <c r="F4" s="38">
        <f>IFERROR(E4/D4, "")</f>
        <v>0.31765275434244838</v>
      </c>
      <c r="G4" s="39">
        <v>146623.9</v>
      </c>
      <c r="H4" s="39">
        <f>IF(AND(ISNUMBER(C4),ISNUMBER(G4)), C4-G4, "")</f>
        <v>-29261.899999999994</v>
      </c>
      <c r="I4" s="40">
        <f>IFERROR(H4/G4, "")</f>
        <v>-0.19957114767783421</v>
      </c>
      <c r="J4" s="57" t="s">
        <v>342</v>
      </c>
      <c r="K4" s="89" t="s">
        <v>343</v>
      </c>
      <c r="L4" s="57" t="s">
        <v>314</v>
      </c>
      <c r="M4" s="88" t="s">
        <v>344</v>
      </c>
    </row>
    <row r="5" spans="1:13" ht="15.6">
      <c r="A5" s="49" t="str">
        <v>Barton Acres</v>
      </c>
      <c r="B5" s="50" t="str">
        <v>MA</v>
      </c>
      <c r="C5" s="43">
        <v>78820</v>
      </c>
      <c r="D5" s="44">
        <v>111136.8</v>
      </c>
      <c r="E5" s="44">
        <f t="shared" ref="E5:E26" si="0">IF(AND(ISNUMBER(C5),ISNUMBER(D5)), C5-D5, "")</f>
        <v>-32316.800000000003</v>
      </c>
      <c r="F5" s="45">
        <f>IFERROR(E5/D5, "")</f>
        <v>-0.29078397074596357</v>
      </c>
      <c r="G5" s="46">
        <v>68086.3</v>
      </c>
      <c r="H5" s="46">
        <f t="shared" ref="H5:H17" si="1">IF(AND(ISNUMBER(C5),ISNUMBER(G5)), C5-G5, "")</f>
        <v>10733.699999999997</v>
      </c>
      <c r="I5" s="45">
        <f t="shared" ref="I5:I17" si="2">IFERROR(H5/G5, "")</f>
        <v>0.15764845497552366</v>
      </c>
      <c r="J5" s="58" t="s">
        <v>345</v>
      </c>
      <c r="K5" s="69"/>
      <c r="L5" s="58"/>
    </row>
    <row r="6" spans="1:13" ht="15.6">
      <c r="A6" s="51" t="str">
        <v>Bowden</v>
      </c>
      <c r="B6" s="48" t="str">
        <v>MA</v>
      </c>
      <c r="C6" s="36">
        <v>180437</v>
      </c>
      <c r="D6" s="37">
        <v>192434.1</v>
      </c>
      <c r="E6" s="37">
        <f t="shared" si="0"/>
        <v>-11997.100000000006</v>
      </c>
      <c r="F6" s="38">
        <f t="shared" ref="F6:F17" si="3">IFERROR(E6/D6, "")</f>
        <v>-6.2343940081305782E-2</v>
      </c>
      <c r="G6" s="39">
        <v>186022.2</v>
      </c>
      <c r="H6" s="39">
        <f t="shared" si="1"/>
        <v>-5585.2000000000116</v>
      </c>
      <c r="I6" s="40">
        <f t="shared" si="2"/>
        <v>-3.0024373434998679E-2</v>
      </c>
      <c r="J6" s="57"/>
      <c r="K6" s="57"/>
      <c r="L6" s="57"/>
    </row>
    <row r="7" spans="1:13" ht="31.15">
      <c r="A7" s="49" t="str">
        <v>Blair Wire Village</v>
      </c>
      <c r="B7" s="50" t="str">
        <v>MA</v>
      </c>
      <c r="C7" s="43">
        <v>90261</v>
      </c>
      <c r="D7" s="44">
        <v>127954.6</v>
      </c>
      <c r="E7" s="44">
        <f t="shared" si="0"/>
        <v>-37693.600000000006</v>
      </c>
      <c r="F7" s="45">
        <f t="shared" si="3"/>
        <v>-0.29458573587819431</v>
      </c>
      <c r="G7" s="46">
        <v>95671.57</v>
      </c>
      <c r="H7" s="46">
        <f t="shared" si="1"/>
        <v>-5410.570000000007</v>
      </c>
      <c r="I7" s="45">
        <f t="shared" si="2"/>
        <v>-5.6553582218834775E-2</v>
      </c>
      <c r="J7" s="67" t="s">
        <v>346</v>
      </c>
      <c r="K7" s="90" t="s">
        <v>347</v>
      </c>
      <c r="L7" s="59" t="s">
        <v>348</v>
      </c>
    </row>
    <row r="8" spans="1:13" ht="28.9">
      <c r="A8" s="51" t="str">
        <v>Boutilier</v>
      </c>
      <c r="B8" s="48" t="str">
        <v>MA</v>
      </c>
      <c r="C8" s="36">
        <v>254478</v>
      </c>
      <c r="D8" s="37">
        <v>270213.90000000002</v>
      </c>
      <c r="E8" s="37">
        <f t="shared" si="0"/>
        <v>-15735.900000000023</v>
      </c>
      <c r="F8" s="38">
        <f t="shared" si="3"/>
        <v>-5.8234976068958784E-2</v>
      </c>
      <c r="G8" s="39">
        <v>186901.2</v>
      </c>
      <c r="H8" s="39">
        <f t="shared" si="1"/>
        <v>67576.799999999988</v>
      </c>
      <c r="I8" s="40">
        <f t="shared" si="2"/>
        <v>0.36156429172204341</v>
      </c>
      <c r="J8" s="57" t="s">
        <v>349</v>
      </c>
      <c r="K8" s="57"/>
      <c r="L8" s="57"/>
    </row>
    <row r="9" spans="1:13" ht="31.15">
      <c r="A9" s="49" t="str">
        <v>Cherry Valley</v>
      </c>
      <c r="B9" s="50" t="str">
        <v>MA</v>
      </c>
      <c r="C9" s="43">
        <v>81467</v>
      </c>
      <c r="D9" s="44">
        <v>125189.1</v>
      </c>
      <c r="E9" s="44">
        <f t="shared" si="0"/>
        <v>-43722.100000000006</v>
      </c>
      <c r="F9" s="45">
        <f t="shared" si="3"/>
        <v>-0.34924845693434975</v>
      </c>
      <c r="G9" s="46">
        <v>73211.039999999994</v>
      </c>
      <c r="H9" s="46">
        <f t="shared" si="1"/>
        <v>8255.9600000000064</v>
      </c>
      <c r="I9" s="45">
        <f t="shared" si="2"/>
        <v>0.11276933096429183</v>
      </c>
      <c r="J9" s="67" t="s">
        <v>350</v>
      </c>
      <c r="K9" s="90" t="s">
        <v>351</v>
      </c>
      <c r="L9" s="59" t="s">
        <v>348</v>
      </c>
    </row>
    <row r="10" spans="1:13" ht="15.6">
      <c r="A10" s="51" t="str">
        <v>Cohasse</v>
      </c>
      <c r="B10" s="48" t="str">
        <v>MA</v>
      </c>
      <c r="C10" s="36">
        <v>84222</v>
      </c>
      <c r="D10" s="37">
        <v>119312.2</v>
      </c>
      <c r="E10" s="37">
        <f t="shared" si="0"/>
        <v>-35090.199999999997</v>
      </c>
      <c r="F10" s="38">
        <f t="shared" si="3"/>
        <v>-0.29410403965394988</v>
      </c>
      <c r="G10" s="39">
        <v>105039.4</v>
      </c>
      <c r="H10" s="39">
        <f t="shared" si="1"/>
        <v>-20817.399999999994</v>
      </c>
      <c r="I10" s="40">
        <f t="shared" si="2"/>
        <v>-0.19818658522421106</v>
      </c>
      <c r="J10" s="57" t="s">
        <v>352</v>
      </c>
      <c r="K10" s="89" t="s">
        <v>353</v>
      </c>
      <c r="L10" s="57" t="s">
        <v>300</v>
      </c>
    </row>
    <row r="11" spans="1:13" ht="15.6">
      <c r="A11" s="49" t="str">
        <v>ISM Dighton Solar 2</v>
      </c>
      <c r="B11" s="50" t="str">
        <v>MA</v>
      </c>
      <c r="C11" s="43">
        <v>210693</v>
      </c>
      <c r="D11" s="44">
        <v>221066.9</v>
      </c>
      <c r="E11" s="44">
        <f t="shared" si="0"/>
        <v>-10373.899999999994</v>
      </c>
      <c r="F11" s="45">
        <f t="shared" si="3"/>
        <v>-4.692651862400022E-2</v>
      </c>
      <c r="G11" s="46">
        <v>216195.4</v>
      </c>
      <c r="H11" s="46">
        <f t="shared" si="1"/>
        <v>-5502.3999999999942</v>
      </c>
      <c r="I11" s="45">
        <f t="shared" si="2"/>
        <v>-2.5451050299867592E-2</v>
      </c>
      <c r="J11" s="58"/>
      <c r="K11" s="110"/>
      <c r="L11" s="76"/>
    </row>
    <row r="12" spans="1:13" ht="15.6">
      <c r="A12" s="51" t="str">
        <v>Dudley River 1</v>
      </c>
      <c r="B12" s="48" t="str">
        <v>MA</v>
      </c>
      <c r="C12" s="36">
        <v>97359</v>
      </c>
      <c r="D12" s="37">
        <v>105138.8</v>
      </c>
      <c r="E12" s="37">
        <f t="shared" si="0"/>
        <v>-7779.8000000000029</v>
      </c>
      <c r="F12" s="38">
        <f t="shared" si="3"/>
        <v>-7.3995518305325941E-2</v>
      </c>
      <c r="G12" s="39">
        <v>96309.85</v>
      </c>
      <c r="H12" s="39">
        <f t="shared" si="1"/>
        <v>1049.1499999999942</v>
      </c>
      <c r="I12" s="40">
        <f t="shared" si="2"/>
        <v>1.0893485972618524E-2</v>
      </c>
      <c r="J12" s="57"/>
      <c r="K12" s="57"/>
      <c r="L12" s="57"/>
    </row>
    <row r="13" spans="1:13" ht="15.6">
      <c r="A13" s="49" t="str">
        <v>Dudley River 2</v>
      </c>
      <c r="B13" s="50" t="str">
        <v>MA</v>
      </c>
      <c r="C13" s="43">
        <v>97454</v>
      </c>
      <c r="D13" s="44">
        <v>103778.6</v>
      </c>
      <c r="E13" s="44">
        <f t="shared" si="0"/>
        <v>-6324.6000000000058</v>
      </c>
      <c r="F13" s="45">
        <f t="shared" si="3"/>
        <v>-6.0943200235886834E-2</v>
      </c>
      <c r="G13" s="46">
        <v>92696.7</v>
      </c>
      <c r="H13" s="46">
        <f t="shared" si="1"/>
        <v>4757.3000000000029</v>
      </c>
      <c r="I13" s="45">
        <f t="shared" si="2"/>
        <v>5.1321136566889684E-2</v>
      </c>
      <c r="J13" s="58"/>
      <c r="K13" s="75"/>
      <c r="L13" s="59"/>
    </row>
    <row r="14" spans="1:13" ht="15.6">
      <c r="A14" s="51" t="str">
        <v>Dudley River 3</v>
      </c>
      <c r="B14" s="48" t="str">
        <v>MA</v>
      </c>
      <c r="C14" s="36">
        <v>103519</v>
      </c>
      <c r="D14" s="37">
        <v>104659.1</v>
      </c>
      <c r="E14" s="37">
        <f t="shared" si="0"/>
        <v>-1140.1000000000058</v>
      </c>
      <c r="F14" s="38">
        <f t="shared" si="3"/>
        <v>-1.0893462680263883E-2</v>
      </c>
      <c r="G14" s="39">
        <v>94713.94</v>
      </c>
      <c r="H14" s="39">
        <f t="shared" si="1"/>
        <v>8805.0599999999977</v>
      </c>
      <c r="I14" s="40">
        <f t="shared" si="2"/>
        <v>9.2964773717575236E-2</v>
      </c>
      <c r="J14" s="57"/>
      <c r="K14" s="57"/>
      <c r="L14" s="57"/>
    </row>
    <row r="15" spans="1:13" ht="15.6">
      <c r="A15" s="49" t="str">
        <v>Flint Pond</v>
      </c>
      <c r="B15" s="50" t="str">
        <v>MA</v>
      </c>
      <c r="C15" s="43">
        <v>36912</v>
      </c>
      <c r="D15" s="44">
        <v>54023.51</v>
      </c>
      <c r="E15" s="44">
        <f t="shared" si="0"/>
        <v>-17111.510000000002</v>
      </c>
      <c r="F15" s="45">
        <f t="shared" si="3"/>
        <v>-0.31674191477006958</v>
      </c>
      <c r="G15" s="46">
        <v>32624.14</v>
      </c>
      <c r="H15" s="46">
        <f t="shared" si="1"/>
        <v>4287.8600000000006</v>
      </c>
      <c r="I15" s="45">
        <f t="shared" si="2"/>
        <v>0.13143212357475173</v>
      </c>
      <c r="J15" s="58" t="s">
        <v>354</v>
      </c>
      <c r="K15" s="75"/>
      <c r="L15" s="59"/>
    </row>
    <row r="16" spans="1:13" ht="28.9">
      <c r="A16" s="51" t="str">
        <v>Incom</v>
      </c>
      <c r="B16" s="48" t="str">
        <v>MA</v>
      </c>
      <c r="C16" s="36">
        <v>200519</v>
      </c>
      <c r="D16" s="37">
        <v>229830.6</v>
      </c>
      <c r="E16" s="37">
        <f t="shared" si="0"/>
        <v>-29311.600000000006</v>
      </c>
      <c r="F16" s="38">
        <f>IFERROR(E16/D16, "")</f>
        <v>-0.12753567192532242</v>
      </c>
      <c r="G16" s="39">
        <v>204628.3</v>
      </c>
      <c r="H16" s="39">
        <f t="shared" si="1"/>
        <v>-4109.2999999999884</v>
      </c>
      <c r="I16" s="40">
        <f t="shared" si="2"/>
        <v>-2.008177754494363E-2</v>
      </c>
      <c r="J16" s="57" t="s">
        <v>355</v>
      </c>
      <c r="K16" s="57"/>
      <c r="L16" s="57"/>
    </row>
    <row r="17" spans="1:15" ht="28.9">
      <c r="A17" s="49" t="str">
        <v>JH</v>
      </c>
      <c r="B17" s="50" t="str">
        <v>MA</v>
      </c>
      <c r="C17" s="43">
        <v>82249</v>
      </c>
      <c r="D17" s="44">
        <v>123343.2</v>
      </c>
      <c r="E17" s="44">
        <f t="shared" si="0"/>
        <v>-41094.199999999997</v>
      </c>
      <c r="F17" s="45">
        <f t="shared" si="3"/>
        <v>-0.33316956265120412</v>
      </c>
      <c r="G17" s="46">
        <v>97982.66</v>
      </c>
      <c r="H17" s="46">
        <f t="shared" si="1"/>
        <v>-15733.660000000003</v>
      </c>
      <c r="I17" s="45">
        <f t="shared" si="2"/>
        <v>-0.16057596313470163</v>
      </c>
      <c r="J17" s="58" t="s">
        <v>356</v>
      </c>
      <c r="K17" s="75"/>
      <c r="L17" s="59"/>
    </row>
    <row r="18" spans="1:15" ht="12.75" customHeight="1">
      <c r="A18" s="47" t="str">
        <v>Ledeaux</v>
      </c>
      <c r="B18" s="48" t="str">
        <v>MA</v>
      </c>
      <c r="C18" s="36">
        <v>74280</v>
      </c>
      <c r="D18" s="37">
        <v>87658.880000000005</v>
      </c>
      <c r="E18" s="37">
        <f t="shared" si="0"/>
        <v>-13378.880000000005</v>
      </c>
      <c r="F18" s="38">
        <f t="shared" ref="F18:F26" si="4">IFERROR(E18/D18, "")</f>
        <v>-0.15262435477158737</v>
      </c>
      <c r="G18" s="39">
        <v>91944.85</v>
      </c>
      <c r="H18" s="39">
        <f t="shared" ref="H18:H26" si="5">IF(AND(ISNUMBER(C18),ISNUMBER(G18)), C18-G18, "")</f>
        <v>-17664.850000000006</v>
      </c>
      <c r="I18" s="40">
        <f t="shared" ref="I18:I26" si="6">IFERROR(H18/G18, "")</f>
        <v>-0.19212440936061134</v>
      </c>
      <c r="J18" s="57" t="s">
        <v>357</v>
      </c>
      <c r="K18" s="57"/>
      <c r="L18" s="57"/>
    </row>
    <row r="19" spans="1:15" ht="15.6">
      <c r="A19" s="49" t="str">
        <v>Palombo A</v>
      </c>
      <c r="B19" s="50" t="str">
        <v>MA</v>
      </c>
      <c r="C19" s="43">
        <v>181314</v>
      </c>
      <c r="D19" s="44">
        <v>240521.2</v>
      </c>
      <c r="E19" s="44">
        <f t="shared" si="0"/>
        <v>-59207.200000000012</v>
      </c>
      <c r="F19" s="45">
        <f t="shared" si="4"/>
        <v>-0.24616208467278564</v>
      </c>
      <c r="G19" s="46">
        <v>221327.5</v>
      </c>
      <c r="H19" s="46">
        <f t="shared" si="5"/>
        <v>-40013.5</v>
      </c>
      <c r="I19" s="45">
        <f t="shared" si="6"/>
        <v>-0.18078865030328359</v>
      </c>
      <c r="J19" s="58" t="s">
        <v>323</v>
      </c>
      <c r="K19" s="69"/>
      <c r="L19" s="58"/>
    </row>
    <row r="20" spans="1:15" ht="15.6">
      <c r="A20" s="51" t="str">
        <v>Palombo B</v>
      </c>
      <c r="B20" s="48" t="str">
        <v>MA</v>
      </c>
      <c r="C20" s="36">
        <v>78513</v>
      </c>
      <c r="D20" s="37">
        <v>116716.1</v>
      </c>
      <c r="E20" s="37">
        <f t="shared" si="0"/>
        <v>-38203.100000000006</v>
      </c>
      <c r="F20" s="38">
        <f t="shared" si="4"/>
        <v>-0.32731645419954919</v>
      </c>
      <c r="G20" s="39">
        <v>70374.63</v>
      </c>
      <c r="H20" s="39">
        <f t="shared" si="5"/>
        <v>8138.3699999999953</v>
      </c>
      <c r="I20" s="40">
        <f t="shared" si="6"/>
        <v>0.1156435209677123</v>
      </c>
      <c r="J20" s="57" t="s">
        <v>358</v>
      </c>
      <c r="K20" s="57"/>
      <c r="L20" s="57"/>
    </row>
    <row r="21" spans="1:15" ht="15.6">
      <c r="A21" s="49" t="str">
        <v>St Josephs Church</v>
      </c>
      <c r="B21" s="50" t="str">
        <v>MA</v>
      </c>
      <c r="C21" s="43">
        <v>90127</v>
      </c>
      <c r="D21" s="44">
        <v>128168.67600000001</v>
      </c>
      <c r="E21" s="44">
        <f t="shared" si="0"/>
        <v>-38041.676000000007</v>
      </c>
      <c r="F21" s="45">
        <f t="shared" si="4"/>
        <v>-0.29680946380377687</v>
      </c>
      <c r="G21" s="46">
        <v>88440.769</v>
      </c>
      <c r="H21" s="46">
        <f t="shared" si="5"/>
        <v>1686.2309999999998</v>
      </c>
      <c r="I21" s="45">
        <f t="shared" si="6"/>
        <v>1.9066218205316596E-2</v>
      </c>
      <c r="J21" s="58" t="s">
        <v>29</v>
      </c>
      <c r="K21" s="75"/>
      <c r="L21" s="59"/>
    </row>
    <row r="22" spans="1:15" ht="28.9">
      <c r="A22" s="51" t="str">
        <v>Sunset A</v>
      </c>
      <c r="B22" s="48" t="str">
        <v>MA</v>
      </c>
      <c r="C22" s="36">
        <v>40840.5</v>
      </c>
      <c r="D22" s="37">
        <v>61769.440000000002</v>
      </c>
      <c r="E22" s="37">
        <f t="shared" si="0"/>
        <v>-20928.940000000002</v>
      </c>
      <c r="F22" s="38">
        <f t="shared" si="4"/>
        <v>-0.33882353474468929</v>
      </c>
      <c r="G22" s="39">
        <v>32053.42</v>
      </c>
      <c r="H22" s="39">
        <f t="shared" si="5"/>
        <v>8787.0800000000017</v>
      </c>
      <c r="I22" s="40">
        <f t="shared" si="6"/>
        <v>0.27413860985816807</v>
      </c>
      <c r="J22" s="57" t="s">
        <v>359</v>
      </c>
      <c r="K22" s="57"/>
      <c r="L22" s="57"/>
    </row>
    <row r="23" spans="1:15" ht="15.6">
      <c r="A23" s="49" t="str">
        <v>Sunset B</v>
      </c>
      <c r="B23" s="50" t="str">
        <v>MA</v>
      </c>
      <c r="C23" s="43">
        <v>37861</v>
      </c>
      <c r="D23" s="44">
        <v>43432.3</v>
      </c>
      <c r="E23" s="44">
        <f t="shared" si="0"/>
        <v>-5571.3000000000029</v>
      </c>
      <c r="F23" s="45">
        <f t="shared" si="4"/>
        <v>-0.12827550003108293</v>
      </c>
      <c r="G23" s="46">
        <v>31670.36</v>
      </c>
      <c r="H23" s="46">
        <f t="shared" si="5"/>
        <v>6190.6399999999994</v>
      </c>
      <c r="I23" s="45">
        <f t="shared" si="6"/>
        <v>0.19547109663420306</v>
      </c>
      <c r="J23" s="58" t="s">
        <v>360</v>
      </c>
      <c r="K23" s="75"/>
      <c r="L23" s="59"/>
    </row>
    <row r="24" spans="1:15" ht="53.25" customHeight="1">
      <c r="A24" s="51" t="str">
        <v>Woodchuck</v>
      </c>
      <c r="B24" s="48" t="str">
        <v>MA</v>
      </c>
      <c r="C24" s="36">
        <v>80245</v>
      </c>
      <c r="D24" s="37">
        <v>97077.42</v>
      </c>
      <c r="E24" s="37">
        <f t="shared" si="0"/>
        <v>-16832.419999999998</v>
      </c>
      <c r="F24" s="38">
        <f t="shared" si="4"/>
        <v>-0.17339171148141347</v>
      </c>
      <c r="G24" s="39">
        <v>90468.67</v>
      </c>
      <c r="H24" s="39">
        <f t="shared" si="5"/>
        <v>-10223.669999999998</v>
      </c>
      <c r="I24" s="40">
        <f t="shared" si="6"/>
        <v>-0.11300785122628638</v>
      </c>
      <c r="J24" s="57" t="s">
        <v>361</v>
      </c>
      <c r="K24" s="89" t="s">
        <v>362</v>
      </c>
      <c r="L24" s="57" t="s">
        <v>314</v>
      </c>
      <c r="M24" s="88" t="s">
        <v>363</v>
      </c>
    </row>
    <row r="25" spans="1:15" ht="57.6">
      <c r="A25" s="49" t="str">
        <v>NY: Skaneateles - Spafford 1 - (PW)</v>
      </c>
      <c r="B25" s="50" t="str">
        <v>NY</v>
      </c>
      <c r="C25" s="43">
        <v>292760</v>
      </c>
      <c r="D25" s="44">
        <v>329054.59999999998</v>
      </c>
      <c r="E25" s="44">
        <f t="shared" si="0"/>
        <v>-36294.599999999977</v>
      </c>
      <c r="F25" s="45">
        <f t="shared" si="4"/>
        <v>-0.11029962808603794</v>
      </c>
      <c r="G25" s="46">
        <v>336334.2</v>
      </c>
      <c r="H25" s="46">
        <f t="shared" si="5"/>
        <v>-43574.200000000012</v>
      </c>
      <c r="I25" s="45">
        <f t="shared" si="6"/>
        <v>-0.12955625684215286</v>
      </c>
      <c r="J25" s="58" t="s">
        <v>364</v>
      </c>
      <c r="K25" s="90" t="s">
        <v>365</v>
      </c>
      <c r="L25" s="59" t="s">
        <v>366</v>
      </c>
    </row>
    <row r="26" spans="1:15" ht="89.25" customHeight="1">
      <c r="A26" s="51" t="str">
        <v>NY: Skaneateles - Spafford 2 - (PW)</v>
      </c>
      <c r="B26" s="48" t="str">
        <v>NY</v>
      </c>
      <c r="C26" s="36">
        <v>121215</v>
      </c>
      <c r="D26" s="37">
        <v>118257.5</v>
      </c>
      <c r="E26" s="37">
        <f t="shared" si="0"/>
        <v>2957.5</v>
      </c>
      <c r="F26" s="38">
        <f t="shared" si="4"/>
        <v>2.500898463099592E-2</v>
      </c>
      <c r="G26" s="39">
        <v>139011.5</v>
      </c>
      <c r="H26" s="39">
        <f t="shared" si="5"/>
        <v>-17796.5</v>
      </c>
      <c r="I26" s="40">
        <f t="shared" si="6"/>
        <v>-0.12802178237052331</v>
      </c>
      <c r="J26" s="57" t="s">
        <v>367</v>
      </c>
      <c r="K26" s="89" t="s">
        <v>368</v>
      </c>
      <c r="L26" s="57" t="s">
        <v>369</v>
      </c>
      <c r="M26" s="88" t="s">
        <v>370</v>
      </c>
      <c r="N26" s="88" t="s">
        <v>371</v>
      </c>
      <c r="O26" s="88" t="s">
        <v>372</v>
      </c>
    </row>
    <row r="27" spans="1:15" ht="14.45">
      <c r="A27" s="13" t="str">
        <v>NY: New Hartford - 4001 NY-12 (IRA)</v>
      </c>
      <c r="B27" s="18" t="str">
        <v>NY</v>
      </c>
      <c r="C27" s="13"/>
      <c r="D27" s="13"/>
      <c r="E27" s="13"/>
      <c r="F27" s="13"/>
      <c r="G27" s="13"/>
      <c r="H27" s="13"/>
      <c r="I27" s="13"/>
      <c r="J27" s="13"/>
      <c r="K27" s="111"/>
      <c r="L27" s="13"/>
    </row>
    <row r="28" spans="1:15" ht="14.45">
      <c r="A28" s="13"/>
      <c r="B28" s="18"/>
      <c r="C28" s="13"/>
      <c r="D28" s="13"/>
      <c r="E28" s="13"/>
      <c r="F28" s="13"/>
      <c r="G28" s="13"/>
      <c r="H28" s="13"/>
      <c r="I28" s="13"/>
      <c r="J28" s="13"/>
      <c r="K28" s="111"/>
      <c r="L28" s="13"/>
    </row>
    <row r="29" spans="1:15" ht="14.45">
      <c r="A29" s="13"/>
      <c r="B29" s="18"/>
      <c r="C29" s="13"/>
      <c r="D29" s="13"/>
      <c r="E29" s="13"/>
      <c r="F29" s="13"/>
      <c r="G29" s="13"/>
      <c r="H29" s="13"/>
      <c r="I29" s="13"/>
      <c r="J29" s="13"/>
      <c r="K29" s="111"/>
      <c r="L29" s="13"/>
    </row>
    <row r="30" spans="1:15" ht="14.45">
      <c r="A30" s="13"/>
      <c r="B30" s="18"/>
      <c r="C30" s="13"/>
      <c r="D30" s="13"/>
      <c r="E30" s="13"/>
      <c r="F30" s="13"/>
      <c r="G30" s="13"/>
      <c r="H30" s="13"/>
      <c r="I30" s="13"/>
      <c r="J30" s="13"/>
      <c r="K30" s="111"/>
      <c r="L30" s="13"/>
    </row>
    <row r="31" spans="1:15" ht="14.45">
      <c r="A31" s="13"/>
      <c r="B31" s="18"/>
      <c r="C31" s="13"/>
      <c r="D31" s="13"/>
      <c r="E31" s="13"/>
      <c r="F31" s="13"/>
      <c r="G31" s="13"/>
      <c r="H31" s="13"/>
      <c r="I31" s="13"/>
      <c r="J31" s="13"/>
      <c r="K31" s="111"/>
      <c r="L31" s="13"/>
    </row>
    <row r="32" spans="1:15" ht="14.45">
      <c r="A32" s="13"/>
      <c r="B32" s="18"/>
      <c r="C32" s="13"/>
      <c r="D32" s="13"/>
      <c r="E32" s="13"/>
      <c r="F32" s="14"/>
      <c r="G32" s="13"/>
      <c r="H32" s="13"/>
      <c r="I32" s="14"/>
      <c r="J32" s="13"/>
      <c r="K32" s="111"/>
      <c r="L32" s="13"/>
    </row>
    <row r="33" spans="1:12" ht="14.45">
      <c r="A33" s="13"/>
      <c r="B33" s="18"/>
      <c r="C33" s="13"/>
      <c r="D33" s="13"/>
      <c r="E33" s="13"/>
      <c r="F33" s="14"/>
      <c r="G33" s="13"/>
      <c r="H33" s="13"/>
      <c r="I33" s="14"/>
      <c r="J33" s="13"/>
      <c r="K33" s="111"/>
      <c r="L33" s="13"/>
    </row>
    <row r="34" spans="1:12" ht="14.45">
      <c r="A34" s="13"/>
      <c r="B34" s="18"/>
      <c r="C34" s="13"/>
      <c r="D34" s="13"/>
      <c r="E34" s="13"/>
      <c r="F34" s="14"/>
      <c r="G34" s="13"/>
      <c r="H34" s="13"/>
      <c r="I34" s="14"/>
      <c r="J34" s="13"/>
      <c r="K34" s="111"/>
      <c r="L34" s="13"/>
    </row>
    <row r="35" spans="1:12" ht="14.45">
      <c r="A35" s="13"/>
      <c r="B35" s="18"/>
      <c r="C35" s="13"/>
      <c r="D35" s="13"/>
      <c r="E35" s="13"/>
      <c r="F35" s="14"/>
      <c r="G35" s="13"/>
      <c r="H35" s="13"/>
      <c r="I35" s="14"/>
      <c r="J35" s="13"/>
      <c r="K35" s="111"/>
      <c r="L35" s="13"/>
    </row>
    <row r="36" spans="1:12" ht="14.45">
      <c r="A36" s="13"/>
      <c r="B36" s="18"/>
      <c r="C36" s="13"/>
      <c r="D36" s="13"/>
      <c r="E36" s="13"/>
      <c r="F36" s="14"/>
      <c r="G36" s="13"/>
      <c r="H36" s="13"/>
      <c r="I36" s="14"/>
      <c r="J36" s="13"/>
      <c r="K36" s="111"/>
      <c r="L36" s="13"/>
    </row>
    <row r="37" spans="1:12" ht="14.45">
      <c r="A37" s="13"/>
      <c r="B37" s="18"/>
      <c r="C37" s="13"/>
      <c r="D37" s="13"/>
      <c r="E37" s="13"/>
      <c r="F37" s="14"/>
      <c r="G37" s="13"/>
      <c r="H37" s="13"/>
      <c r="I37" s="14"/>
      <c r="J37" s="13"/>
      <c r="K37" s="111"/>
      <c r="L37" s="13"/>
    </row>
    <row r="38" spans="1:12" ht="14.45">
      <c r="A38" s="13"/>
      <c r="B38" s="18"/>
      <c r="C38" s="13"/>
      <c r="D38" s="13"/>
      <c r="E38" s="13"/>
      <c r="F38" s="14"/>
      <c r="G38" s="13"/>
      <c r="H38" s="13"/>
      <c r="I38" s="14"/>
      <c r="J38" s="13"/>
      <c r="K38" s="111"/>
      <c r="L38" s="13"/>
    </row>
    <row r="39" spans="1:12" ht="14.45">
      <c r="A39" s="13"/>
      <c r="B39" s="18"/>
      <c r="C39" s="13"/>
      <c r="D39" s="13"/>
      <c r="E39" s="13"/>
      <c r="F39" s="14"/>
      <c r="G39" s="13"/>
      <c r="H39" s="13"/>
      <c r="I39" s="14"/>
      <c r="J39" s="13"/>
      <c r="K39" s="111"/>
      <c r="L39" s="13"/>
    </row>
    <row r="40" spans="1:12" ht="14.45">
      <c r="A40" s="13"/>
      <c r="B40" s="18"/>
      <c r="C40" s="13"/>
      <c r="D40" s="13"/>
      <c r="E40" s="13"/>
      <c r="F40" s="14"/>
      <c r="G40" s="13"/>
      <c r="H40" s="13"/>
      <c r="I40" s="14"/>
      <c r="J40" s="13"/>
      <c r="K40" s="111"/>
      <c r="L40" s="13"/>
    </row>
    <row r="41" spans="1:12" ht="14.45">
      <c r="A41" s="13"/>
      <c r="B41" s="18"/>
      <c r="C41" s="13"/>
      <c r="D41" s="13"/>
      <c r="E41" s="13"/>
      <c r="F41" s="14"/>
      <c r="G41" s="13"/>
      <c r="H41" s="13"/>
      <c r="I41" s="14"/>
      <c r="J41" s="13"/>
      <c r="K41" s="111"/>
      <c r="L41" s="13"/>
    </row>
    <row r="42" spans="1:12" ht="14.45">
      <c r="A42" s="13"/>
      <c r="B42" s="18"/>
      <c r="C42" s="13"/>
      <c r="D42" s="13"/>
      <c r="E42" s="13"/>
      <c r="F42" s="14"/>
      <c r="G42" s="13"/>
      <c r="H42" s="13"/>
      <c r="I42" s="14"/>
      <c r="J42" s="13"/>
      <c r="K42" s="111"/>
      <c r="L42" s="13"/>
    </row>
    <row r="43" spans="1:12" ht="14.45">
      <c r="A43" s="13"/>
      <c r="B43" s="18"/>
      <c r="C43" s="13"/>
      <c r="D43" s="13"/>
      <c r="E43" s="13"/>
      <c r="F43" s="14"/>
      <c r="G43" s="13"/>
      <c r="H43" s="13"/>
      <c r="I43" s="14"/>
      <c r="J43" s="13"/>
      <c r="K43" s="111"/>
      <c r="L43" s="13"/>
    </row>
    <row r="44" spans="1:12" ht="14.45">
      <c r="A44" s="13"/>
      <c r="B44" s="18"/>
      <c r="C44" s="13"/>
      <c r="D44" s="13"/>
      <c r="E44" s="13"/>
      <c r="F44" s="14"/>
      <c r="G44" s="13"/>
      <c r="H44" s="13"/>
      <c r="I44" s="14"/>
      <c r="J44" s="13"/>
      <c r="K44" s="111"/>
      <c r="L44" s="13"/>
    </row>
    <row r="45" spans="1:12" ht="14.45">
      <c r="A45" s="13"/>
      <c r="B45" s="18"/>
      <c r="C45" s="13"/>
      <c r="D45" s="13"/>
      <c r="E45" s="13"/>
      <c r="F45" s="14"/>
      <c r="G45" s="13"/>
      <c r="H45" s="13"/>
      <c r="I45" s="14"/>
      <c r="J45" s="13"/>
      <c r="K45" s="111"/>
      <c r="L45" s="13"/>
    </row>
    <row r="46" spans="1:12" ht="14.45">
      <c r="A46" s="13"/>
      <c r="B46" s="18"/>
      <c r="C46" s="13"/>
      <c r="D46" s="13"/>
      <c r="E46" s="13"/>
      <c r="F46" s="14"/>
      <c r="G46" s="13"/>
      <c r="H46" s="13"/>
      <c r="I46" s="14"/>
      <c r="J46" s="13"/>
      <c r="K46" s="111"/>
      <c r="L46" s="13"/>
    </row>
    <row r="47" spans="1:12" ht="14.45">
      <c r="A47" s="13"/>
      <c r="B47" s="18"/>
      <c r="C47" s="13"/>
      <c r="D47" s="13"/>
      <c r="E47" s="13"/>
      <c r="F47" s="14"/>
      <c r="G47" s="13"/>
      <c r="H47" s="13"/>
      <c r="I47" s="14"/>
      <c r="J47" s="13"/>
      <c r="K47" s="111"/>
      <c r="L47" s="13"/>
    </row>
    <row r="48" spans="1:12" ht="14.45">
      <c r="A48" s="13"/>
      <c r="B48" s="18"/>
      <c r="C48" s="13"/>
      <c r="D48" s="13"/>
      <c r="E48" s="13"/>
      <c r="F48" s="14"/>
      <c r="G48" s="13"/>
      <c r="H48" s="13"/>
      <c r="I48" s="14"/>
      <c r="J48" s="13"/>
      <c r="K48" s="111"/>
      <c r="L48" s="13"/>
    </row>
    <row r="49" spans="1:12" ht="14.45">
      <c r="A49" s="13"/>
      <c r="B49" s="18"/>
      <c r="C49" s="13"/>
      <c r="D49" s="13"/>
      <c r="E49" s="13"/>
      <c r="F49" s="14"/>
      <c r="G49" s="13"/>
      <c r="H49" s="13"/>
      <c r="I49" s="14"/>
      <c r="J49" s="13"/>
      <c r="K49" s="111"/>
      <c r="L49" s="13"/>
    </row>
    <row r="50" spans="1:12" ht="14.45">
      <c r="A50" s="13"/>
      <c r="B50" s="18"/>
      <c r="C50" s="13"/>
      <c r="D50" s="13"/>
      <c r="E50" s="13"/>
      <c r="F50" s="14"/>
      <c r="G50" s="13"/>
      <c r="H50" s="13"/>
      <c r="I50" s="14"/>
      <c r="J50" s="13"/>
      <c r="K50" s="111"/>
      <c r="L50" s="13"/>
    </row>
    <row r="51" spans="1:12" ht="14.45">
      <c r="A51" s="13"/>
      <c r="B51" s="18"/>
      <c r="C51" s="13"/>
      <c r="D51" s="13"/>
      <c r="E51" s="13"/>
      <c r="F51" s="14"/>
      <c r="G51" s="13"/>
      <c r="H51" s="13"/>
      <c r="I51" s="14"/>
      <c r="J51" s="13"/>
      <c r="K51" s="111"/>
      <c r="L51" s="13"/>
    </row>
    <row r="52" spans="1:12" ht="14.45">
      <c r="A52" s="13"/>
      <c r="B52" s="18"/>
      <c r="C52" s="13"/>
      <c r="D52" s="13"/>
      <c r="E52" s="13"/>
      <c r="F52" s="14"/>
      <c r="G52" s="13"/>
      <c r="H52" s="13"/>
      <c r="I52" s="14"/>
      <c r="J52" s="13"/>
      <c r="K52" s="111"/>
      <c r="L52" s="13"/>
    </row>
    <row r="53" spans="1:12" ht="14.45">
      <c r="A53" s="13"/>
      <c r="B53" s="18"/>
      <c r="C53" s="13"/>
      <c r="D53" s="13"/>
      <c r="E53" s="13"/>
      <c r="F53" s="14"/>
      <c r="G53" s="13"/>
      <c r="H53" s="13"/>
      <c r="I53" s="14"/>
      <c r="J53" s="13"/>
      <c r="K53" s="111"/>
      <c r="L53" s="13"/>
    </row>
    <row r="54" spans="1:12" ht="14.45">
      <c r="A54" s="13"/>
      <c r="B54" s="18"/>
      <c r="C54" s="13"/>
      <c r="D54" s="13"/>
      <c r="E54" s="13"/>
      <c r="F54" s="14"/>
      <c r="G54" s="13"/>
      <c r="H54" s="13"/>
      <c r="I54" s="14"/>
      <c r="J54" s="13"/>
      <c r="K54" s="111"/>
      <c r="L54" s="13"/>
    </row>
    <row r="55" spans="1:12" ht="14.45">
      <c r="A55" s="13"/>
      <c r="B55" s="18"/>
      <c r="C55" s="13"/>
      <c r="D55" s="13"/>
      <c r="E55" s="13"/>
      <c r="F55" s="14"/>
      <c r="G55" s="13"/>
      <c r="H55" s="13"/>
      <c r="I55" s="14"/>
      <c r="J55" s="13"/>
      <c r="K55" s="111"/>
      <c r="L55" s="13"/>
    </row>
    <row r="56" spans="1:12" ht="14.45">
      <c r="A56" s="13"/>
      <c r="B56" s="18"/>
      <c r="C56" s="13"/>
      <c r="D56" s="13"/>
      <c r="E56" s="13"/>
      <c r="F56" s="14"/>
      <c r="G56" s="13"/>
      <c r="H56" s="13"/>
      <c r="I56" s="14"/>
      <c r="J56" s="13"/>
      <c r="K56" s="111"/>
      <c r="L56" s="13"/>
    </row>
    <row r="57" spans="1:12" ht="14.45">
      <c r="A57" s="13"/>
      <c r="B57" s="18"/>
      <c r="C57" s="13"/>
      <c r="D57" s="13"/>
      <c r="E57" s="13"/>
      <c r="F57" s="14"/>
      <c r="G57" s="13"/>
      <c r="H57" s="13"/>
      <c r="I57" s="14"/>
      <c r="J57" s="13"/>
      <c r="K57" s="111"/>
      <c r="L57" s="13"/>
    </row>
    <row r="58" spans="1:12" ht="14.45">
      <c r="A58" s="13"/>
      <c r="B58" s="18"/>
      <c r="C58" s="13"/>
      <c r="D58" s="13"/>
      <c r="E58" s="13"/>
      <c r="F58" s="14"/>
      <c r="G58" s="13"/>
      <c r="H58" s="13"/>
      <c r="I58" s="14"/>
      <c r="J58" s="13"/>
      <c r="K58" s="111"/>
      <c r="L58" s="13"/>
    </row>
    <row r="59" spans="1:12" ht="14.45">
      <c r="A59" s="13"/>
      <c r="B59" s="18"/>
      <c r="C59" s="13"/>
      <c r="D59" s="13"/>
      <c r="E59" s="13"/>
      <c r="F59" s="14"/>
      <c r="G59" s="13"/>
      <c r="H59" s="13"/>
      <c r="I59" s="14"/>
      <c r="J59" s="13"/>
      <c r="K59" s="111"/>
      <c r="L59" s="13"/>
    </row>
    <row r="60" spans="1:12" ht="14.45">
      <c r="A60" s="13"/>
      <c r="B60" s="18"/>
      <c r="C60" s="13"/>
      <c r="D60" s="13"/>
      <c r="E60" s="13"/>
      <c r="F60" s="14"/>
      <c r="G60" s="13"/>
      <c r="H60" s="13"/>
      <c r="I60" s="14"/>
      <c r="J60" s="13"/>
      <c r="K60" s="111"/>
      <c r="L60" s="13"/>
    </row>
    <row r="61" spans="1:12" ht="14.45">
      <c r="A61" s="13"/>
      <c r="B61" s="18"/>
      <c r="C61" s="13"/>
      <c r="D61" s="13"/>
      <c r="E61" s="13"/>
      <c r="F61" s="14"/>
      <c r="G61" s="13"/>
      <c r="H61" s="13"/>
      <c r="I61" s="14"/>
      <c r="J61" s="13"/>
      <c r="K61" s="111"/>
      <c r="L61" s="13"/>
    </row>
    <row r="62" spans="1:12" ht="14.45">
      <c r="A62" s="13"/>
      <c r="B62" s="18"/>
      <c r="C62" s="13"/>
      <c r="D62" s="13"/>
      <c r="E62" s="13"/>
      <c r="F62" s="14"/>
      <c r="G62" s="13"/>
      <c r="H62" s="13"/>
      <c r="I62" s="14"/>
      <c r="J62" s="13"/>
      <c r="K62" s="111"/>
      <c r="L62" s="13"/>
    </row>
    <row r="63" spans="1:12" ht="14.45">
      <c r="A63" s="13"/>
      <c r="B63" s="18"/>
      <c r="C63" s="13"/>
      <c r="D63" s="13"/>
      <c r="E63" s="13"/>
      <c r="F63" s="14"/>
      <c r="G63" s="13"/>
      <c r="H63" s="13"/>
      <c r="I63" s="14"/>
      <c r="J63" s="13"/>
      <c r="K63" s="111"/>
      <c r="L63" s="13"/>
    </row>
    <row r="64" spans="1:12" ht="14.45">
      <c r="A64" s="13"/>
      <c r="B64" s="18"/>
      <c r="C64" s="13"/>
      <c r="D64" s="13"/>
      <c r="E64" s="13"/>
      <c r="F64" s="14"/>
      <c r="G64" s="13"/>
      <c r="H64" s="13"/>
      <c r="I64" s="14"/>
      <c r="J64" s="13"/>
      <c r="K64" s="111"/>
      <c r="L64" s="13"/>
    </row>
    <row r="65" spans="1:12" ht="14.45">
      <c r="A65" s="13"/>
      <c r="B65" s="18"/>
      <c r="C65" s="13"/>
      <c r="D65" s="13"/>
      <c r="E65" s="13"/>
      <c r="F65" s="14"/>
      <c r="G65" s="13"/>
      <c r="H65" s="13"/>
      <c r="I65" s="14"/>
      <c r="J65" s="13"/>
      <c r="K65" s="111"/>
      <c r="L65" s="13"/>
    </row>
    <row r="66" spans="1:12" ht="14.45">
      <c r="A66" s="13"/>
      <c r="B66" s="18"/>
      <c r="C66" s="13"/>
      <c r="D66" s="13"/>
      <c r="E66" s="13"/>
      <c r="F66" s="14"/>
      <c r="G66" s="13"/>
      <c r="H66" s="13"/>
      <c r="I66" s="14"/>
      <c r="J66" s="13"/>
      <c r="K66" s="111"/>
      <c r="L66" s="13"/>
    </row>
    <row r="67" spans="1:12" ht="14.45">
      <c r="A67" s="13"/>
      <c r="B67" s="18"/>
      <c r="C67" s="13"/>
      <c r="D67" s="13"/>
      <c r="E67" s="13"/>
      <c r="F67" s="14"/>
      <c r="G67" s="13"/>
      <c r="H67" s="13"/>
      <c r="I67" s="14"/>
      <c r="J67" s="13"/>
      <c r="K67" s="111"/>
      <c r="L67" s="13"/>
    </row>
    <row r="68" spans="1:12" ht="14.45">
      <c r="A68" s="13"/>
      <c r="B68" s="18"/>
      <c r="C68" s="13"/>
      <c r="D68" s="13"/>
      <c r="E68" s="13"/>
      <c r="F68" s="14"/>
      <c r="G68" s="13"/>
      <c r="H68" s="13"/>
      <c r="I68" s="14"/>
      <c r="J68" s="13"/>
      <c r="K68" s="111"/>
      <c r="L68" s="13"/>
    </row>
    <row r="69" spans="1:12" ht="14.45">
      <c r="A69" s="13"/>
      <c r="B69" s="18"/>
      <c r="C69" s="13"/>
      <c r="D69" s="13"/>
      <c r="E69" s="13"/>
      <c r="F69" s="14"/>
      <c r="G69" s="13"/>
      <c r="H69" s="13"/>
      <c r="I69" s="14"/>
      <c r="J69" s="13"/>
      <c r="K69" s="111"/>
      <c r="L69" s="13"/>
    </row>
    <row r="70" spans="1:12" ht="14.45">
      <c r="A70" s="13"/>
      <c r="B70" s="18"/>
      <c r="C70" s="13"/>
      <c r="D70" s="13"/>
      <c r="E70" s="13"/>
      <c r="F70" s="14"/>
      <c r="G70" s="13"/>
      <c r="H70" s="13"/>
      <c r="I70" s="14"/>
      <c r="J70" s="13"/>
      <c r="K70" s="111"/>
      <c r="L70" s="13"/>
    </row>
    <row r="71" spans="1:12" ht="14.45">
      <c r="A71" s="13"/>
      <c r="B71" s="18"/>
      <c r="C71" s="13"/>
      <c r="D71" s="13"/>
      <c r="E71" s="13"/>
      <c r="F71" s="14"/>
      <c r="G71" s="13"/>
      <c r="H71" s="13"/>
      <c r="I71" s="14"/>
      <c r="J71" s="13"/>
      <c r="K71" s="111"/>
      <c r="L71" s="13"/>
    </row>
    <row r="72" spans="1:12" ht="14.45">
      <c r="A72" s="13"/>
      <c r="B72" s="18"/>
      <c r="C72" s="13"/>
      <c r="D72" s="13"/>
      <c r="E72" s="13"/>
      <c r="F72" s="14"/>
      <c r="G72" s="13"/>
      <c r="H72" s="13"/>
      <c r="I72" s="14"/>
      <c r="J72" s="13"/>
      <c r="K72" s="111"/>
      <c r="L72" s="13"/>
    </row>
    <row r="73" spans="1:12" ht="14.45">
      <c r="A73" s="13"/>
      <c r="B73" s="18"/>
      <c r="C73" s="13"/>
      <c r="D73" s="13"/>
      <c r="E73" s="13"/>
      <c r="F73" s="14"/>
      <c r="G73" s="13"/>
      <c r="H73" s="13"/>
      <c r="I73" s="14"/>
      <c r="J73" s="13"/>
      <c r="K73" s="111"/>
      <c r="L73" s="13"/>
    </row>
    <row r="74" spans="1:12" ht="14.45">
      <c r="A74" s="13"/>
      <c r="B74" s="18"/>
      <c r="C74" s="13"/>
      <c r="D74" s="13"/>
      <c r="E74" s="13"/>
      <c r="F74" s="14"/>
      <c r="G74" s="13"/>
      <c r="H74" s="13"/>
      <c r="I74" s="14"/>
      <c r="J74" s="13"/>
      <c r="K74" s="111"/>
      <c r="L74" s="13"/>
    </row>
    <row r="75" spans="1:12" ht="14.45">
      <c r="A75" s="13"/>
      <c r="B75" s="18"/>
      <c r="C75" s="13"/>
      <c r="D75" s="13"/>
      <c r="E75" s="13"/>
      <c r="F75" s="14"/>
      <c r="G75" s="13"/>
      <c r="H75" s="13"/>
      <c r="I75" s="14"/>
      <c r="J75" s="13"/>
      <c r="K75" s="111"/>
      <c r="L75" s="13"/>
    </row>
    <row r="76" spans="1:12" ht="14.45">
      <c r="A76" s="13"/>
      <c r="B76" s="18"/>
      <c r="C76" s="13"/>
      <c r="D76" s="13"/>
      <c r="E76" s="13"/>
      <c r="F76" s="14"/>
      <c r="G76" s="13"/>
      <c r="H76" s="13"/>
      <c r="I76" s="14"/>
      <c r="J76" s="13"/>
      <c r="K76" s="111"/>
      <c r="L76" s="13"/>
    </row>
    <row r="77" spans="1:12" ht="14.45">
      <c r="A77" s="13"/>
      <c r="B77" s="18"/>
      <c r="C77" s="13"/>
      <c r="D77" s="13"/>
      <c r="E77" s="13"/>
      <c r="F77" s="14"/>
      <c r="G77" s="13"/>
      <c r="H77" s="13"/>
      <c r="I77" s="14"/>
      <c r="J77" s="13"/>
      <c r="K77" s="111"/>
      <c r="L77" s="13"/>
    </row>
    <row r="78" spans="1:12" ht="14.45">
      <c r="A78" s="13"/>
      <c r="B78" s="18"/>
      <c r="C78" s="13"/>
      <c r="D78" s="13"/>
      <c r="E78" s="13"/>
      <c r="F78" s="14"/>
      <c r="G78" s="13"/>
      <c r="H78" s="13"/>
      <c r="I78" s="14"/>
      <c r="J78" s="13"/>
      <c r="K78" s="111"/>
      <c r="L78" s="13"/>
    </row>
    <row r="79" spans="1:12" ht="14.45">
      <c r="A79" s="13"/>
      <c r="B79" s="18"/>
      <c r="C79" s="13"/>
      <c r="D79" s="13"/>
      <c r="E79" s="13"/>
      <c r="F79" s="14"/>
      <c r="G79" s="13"/>
      <c r="H79" s="13"/>
      <c r="I79" s="14"/>
      <c r="J79" s="13"/>
      <c r="K79" s="111"/>
      <c r="L79" s="13"/>
    </row>
    <row r="80" spans="1:12" ht="14.45">
      <c r="A80" s="13"/>
      <c r="B80" s="18"/>
      <c r="C80" s="13"/>
      <c r="D80" s="13"/>
      <c r="E80" s="13"/>
      <c r="F80" s="14"/>
      <c r="G80" s="13"/>
      <c r="H80" s="13"/>
      <c r="I80" s="14"/>
      <c r="J80" s="13"/>
      <c r="K80" s="111"/>
      <c r="L80" s="13"/>
    </row>
    <row r="81" spans="1:12" ht="14.45">
      <c r="A81" s="13"/>
      <c r="B81" s="18"/>
      <c r="C81" s="13"/>
      <c r="D81" s="13"/>
      <c r="E81" s="13"/>
      <c r="F81" s="14"/>
      <c r="G81" s="13"/>
      <c r="H81" s="13"/>
      <c r="I81" s="14"/>
      <c r="J81" s="13"/>
      <c r="K81" s="111"/>
      <c r="L81" s="13"/>
    </row>
    <row r="82" spans="1:12" ht="14.45">
      <c r="A82" s="13"/>
      <c r="B82" s="18"/>
      <c r="C82" s="13"/>
      <c r="D82" s="13"/>
      <c r="E82" s="13"/>
      <c r="F82" s="14"/>
      <c r="G82" s="13"/>
      <c r="H82" s="13"/>
      <c r="I82" s="14"/>
      <c r="J82" s="13"/>
      <c r="K82" s="111"/>
      <c r="L82" s="13"/>
    </row>
    <row r="83" spans="1:12" ht="14.45">
      <c r="A83" s="13"/>
      <c r="B83" s="18"/>
      <c r="C83" s="13"/>
      <c r="D83" s="13"/>
      <c r="E83" s="13"/>
      <c r="F83" s="14"/>
      <c r="G83" s="13"/>
      <c r="H83" s="13"/>
      <c r="I83" s="14"/>
      <c r="J83" s="13"/>
      <c r="K83" s="111"/>
      <c r="L83" s="13"/>
    </row>
    <row r="84" spans="1:12" ht="14.45">
      <c r="A84" s="13"/>
      <c r="B84" s="18"/>
      <c r="C84" s="13"/>
      <c r="D84" s="13"/>
      <c r="E84" s="13"/>
      <c r="F84" s="14"/>
      <c r="G84" s="13"/>
      <c r="H84" s="13"/>
      <c r="I84" s="14"/>
      <c r="J84" s="13"/>
      <c r="K84" s="111"/>
      <c r="L84" s="13"/>
    </row>
    <row r="85" spans="1:12" ht="14.45">
      <c r="A85" s="13"/>
      <c r="B85" s="18"/>
      <c r="C85" s="13"/>
      <c r="D85" s="13"/>
      <c r="E85" s="13"/>
      <c r="F85" s="14"/>
      <c r="G85" s="13"/>
      <c r="H85" s="13"/>
      <c r="I85" s="14"/>
      <c r="J85" s="13"/>
      <c r="K85" s="111"/>
      <c r="L85" s="13"/>
    </row>
    <row r="86" spans="1:12" ht="14.45">
      <c r="A86" s="13"/>
      <c r="B86" s="18"/>
      <c r="C86" s="13"/>
      <c r="D86" s="13"/>
      <c r="E86" s="13"/>
      <c r="F86" s="14"/>
      <c r="G86" s="13"/>
      <c r="H86" s="13"/>
      <c r="I86" s="14"/>
      <c r="J86" s="13"/>
      <c r="K86" s="111"/>
      <c r="L86" s="13"/>
    </row>
    <row r="87" spans="1:12" ht="14.45">
      <c r="A87" s="13"/>
      <c r="B87" s="18"/>
      <c r="C87" s="13"/>
      <c r="D87" s="13"/>
      <c r="E87" s="13"/>
      <c r="F87" s="14"/>
      <c r="G87" s="13"/>
      <c r="H87" s="13"/>
      <c r="I87" s="14"/>
      <c r="J87" s="13"/>
      <c r="K87" s="111"/>
      <c r="L87" s="13"/>
    </row>
    <row r="88" spans="1:12" ht="14.45">
      <c r="A88" s="13"/>
      <c r="B88" s="18"/>
      <c r="C88" s="13"/>
      <c r="D88" s="13"/>
      <c r="E88" s="13"/>
      <c r="F88" s="14"/>
      <c r="G88" s="13"/>
      <c r="H88" s="13"/>
      <c r="I88" s="14"/>
      <c r="J88" s="13"/>
      <c r="K88" s="111"/>
      <c r="L88" s="13"/>
    </row>
    <row r="89" spans="1:12" ht="14.45">
      <c r="A89" s="13"/>
      <c r="B89" s="18"/>
      <c r="C89" s="13"/>
      <c r="D89" s="13"/>
      <c r="E89" s="13"/>
      <c r="F89" s="14"/>
      <c r="G89" s="13"/>
      <c r="H89" s="13"/>
      <c r="I89" s="14"/>
      <c r="J89" s="13"/>
      <c r="K89" s="111"/>
      <c r="L89" s="13"/>
    </row>
    <row r="90" spans="1:12" ht="14.45">
      <c r="A90" s="13"/>
      <c r="B90" s="18"/>
      <c r="C90" s="13"/>
      <c r="D90" s="13"/>
      <c r="E90" s="13"/>
      <c r="F90" s="14"/>
      <c r="G90" s="13"/>
      <c r="H90" s="13"/>
      <c r="I90" s="14"/>
      <c r="J90" s="13"/>
      <c r="K90" s="111"/>
      <c r="L90" s="13"/>
    </row>
    <row r="91" spans="1:12" ht="14.45">
      <c r="A91" s="13"/>
      <c r="B91" s="18"/>
      <c r="C91" s="13"/>
      <c r="D91" s="13"/>
      <c r="E91" s="13"/>
      <c r="F91" s="14"/>
      <c r="G91" s="13"/>
      <c r="H91" s="13"/>
      <c r="I91" s="14"/>
      <c r="J91" s="13"/>
      <c r="K91" s="111"/>
      <c r="L91" s="13"/>
    </row>
    <row r="92" spans="1:12" ht="14.45">
      <c r="A92" s="13"/>
      <c r="B92" s="18"/>
      <c r="C92" s="13"/>
      <c r="D92" s="13"/>
      <c r="E92" s="13"/>
      <c r="F92" s="14"/>
      <c r="G92" s="13"/>
      <c r="H92" s="13"/>
      <c r="I92" s="14"/>
      <c r="J92" s="13"/>
      <c r="K92" s="111"/>
      <c r="L92" s="13"/>
    </row>
    <row r="93" spans="1:12" ht="14.45">
      <c r="A93" s="13"/>
      <c r="B93" s="18"/>
      <c r="C93" s="13"/>
      <c r="D93" s="13"/>
      <c r="E93" s="13"/>
      <c r="F93" s="14"/>
      <c r="G93" s="13"/>
      <c r="H93" s="13"/>
      <c r="I93" s="14"/>
      <c r="J93" s="13"/>
      <c r="K93" s="111"/>
      <c r="L93" s="13"/>
    </row>
    <row r="94" spans="1:12" ht="14.45">
      <c r="A94" s="13"/>
      <c r="B94" s="18"/>
      <c r="C94" s="13"/>
      <c r="D94" s="13"/>
      <c r="E94" s="13"/>
      <c r="F94" s="14"/>
      <c r="G94" s="13"/>
      <c r="H94" s="13"/>
      <c r="I94" s="14"/>
      <c r="J94" s="13"/>
      <c r="K94" s="111"/>
      <c r="L94" s="13"/>
    </row>
    <row r="95" spans="1:12" ht="14.45">
      <c r="A95" s="13"/>
      <c r="B95" s="18"/>
      <c r="C95" s="13"/>
      <c r="D95" s="13"/>
      <c r="E95" s="13"/>
      <c r="F95" s="14"/>
      <c r="G95" s="13"/>
      <c r="H95" s="13"/>
      <c r="I95" s="14"/>
      <c r="J95" s="13"/>
      <c r="K95" s="111"/>
      <c r="L95" s="13"/>
    </row>
    <row r="96" spans="1:12" ht="14.45">
      <c r="A96" s="13"/>
      <c r="B96" s="18"/>
      <c r="C96" s="13"/>
      <c r="D96" s="13"/>
      <c r="E96" s="13"/>
      <c r="F96" s="14"/>
      <c r="G96" s="13"/>
      <c r="H96" s="13"/>
      <c r="I96" s="14"/>
      <c r="J96" s="13"/>
      <c r="K96" s="111"/>
      <c r="L96" s="13"/>
    </row>
    <row r="97" spans="1:12" ht="14.45">
      <c r="A97" s="13"/>
      <c r="B97" s="18"/>
      <c r="C97" s="13"/>
      <c r="D97" s="13"/>
      <c r="E97" s="13"/>
      <c r="F97" s="14"/>
      <c r="G97" s="13"/>
      <c r="H97" s="13"/>
      <c r="I97" s="14"/>
      <c r="J97" s="13"/>
      <c r="K97" s="111"/>
      <c r="L97" s="13"/>
    </row>
    <row r="98" spans="1:12" ht="14.45">
      <c r="A98" s="13"/>
      <c r="B98" s="18"/>
      <c r="C98" s="13"/>
      <c r="D98" s="13"/>
      <c r="E98" s="13"/>
      <c r="F98" s="14"/>
      <c r="G98" s="13"/>
      <c r="H98" s="13"/>
      <c r="I98" s="14"/>
      <c r="J98" s="13"/>
      <c r="K98" s="111"/>
      <c r="L98" s="13"/>
    </row>
    <row r="99" spans="1:12" ht="14.45">
      <c r="A99" s="13"/>
      <c r="B99" s="18"/>
      <c r="C99" s="13"/>
      <c r="D99" s="13"/>
      <c r="E99" s="13"/>
      <c r="F99" s="14"/>
      <c r="G99" s="13"/>
      <c r="H99" s="13"/>
      <c r="I99" s="14"/>
      <c r="J99" s="13"/>
      <c r="K99" s="111"/>
      <c r="L99" s="13"/>
    </row>
    <row r="100" spans="1:12" ht="14.45">
      <c r="A100" s="13"/>
      <c r="B100" s="18"/>
      <c r="C100" s="13"/>
      <c r="D100" s="13"/>
      <c r="E100" s="13"/>
      <c r="F100" s="14"/>
      <c r="G100" s="13"/>
      <c r="H100" s="13"/>
      <c r="I100" s="14"/>
      <c r="J100" s="13"/>
      <c r="K100" s="111"/>
      <c r="L100" s="13"/>
    </row>
    <row r="101" spans="1:12" ht="14.45">
      <c r="A101" s="13"/>
      <c r="B101" s="18"/>
      <c r="C101" s="13"/>
      <c r="D101" s="13"/>
      <c r="E101" s="13"/>
      <c r="F101" s="14"/>
      <c r="G101" s="13"/>
      <c r="H101" s="13"/>
      <c r="I101" s="14"/>
      <c r="J101" s="13"/>
      <c r="K101" s="111"/>
      <c r="L101" s="13"/>
    </row>
    <row r="102" spans="1:12" ht="14.45">
      <c r="A102" s="13"/>
      <c r="B102" s="18"/>
      <c r="C102" s="13"/>
      <c r="D102" s="13"/>
      <c r="E102" s="13"/>
      <c r="F102" s="14"/>
      <c r="G102" s="13"/>
      <c r="H102" s="13"/>
      <c r="I102" s="14"/>
      <c r="J102" s="13"/>
      <c r="K102" s="111"/>
      <c r="L102" s="13"/>
    </row>
    <row r="103" spans="1:12" ht="14.45">
      <c r="A103" s="13"/>
      <c r="B103" s="18"/>
      <c r="C103" s="13"/>
      <c r="D103" s="13"/>
      <c r="E103" s="13"/>
      <c r="F103" s="14"/>
      <c r="G103" s="13"/>
      <c r="H103" s="13"/>
      <c r="I103" s="14"/>
      <c r="J103" s="13"/>
      <c r="K103" s="111"/>
      <c r="L103" s="13"/>
    </row>
    <row r="104" spans="1:12" ht="14.45">
      <c r="A104" s="13"/>
      <c r="B104" s="18"/>
      <c r="C104" s="13"/>
      <c r="D104" s="13"/>
      <c r="E104" s="13"/>
      <c r="F104" s="14"/>
      <c r="G104" s="13"/>
      <c r="H104" s="13"/>
      <c r="I104" s="14"/>
      <c r="J104" s="13"/>
      <c r="K104" s="111"/>
      <c r="L104" s="13"/>
    </row>
    <row r="105" spans="1:12" ht="14.45">
      <c r="A105" s="13"/>
      <c r="B105" s="18"/>
      <c r="C105" s="13"/>
      <c r="D105" s="13"/>
      <c r="E105" s="13"/>
      <c r="F105" s="14"/>
      <c r="G105" s="13"/>
      <c r="H105" s="13"/>
      <c r="I105" s="14"/>
      <c r="J105" s="13"/>
      <c r="K105" s="111"/>
      <c r="L105" s="13"/>
    </row>
    <row r="106" spans="1:12" ht="14.45">
      <c r="A106" s="13"/>
      <c r="B106" s="18"/>
      <c r="C106" s="13"/>
      <c r="D106" s="13"/>
      <c r="E106" s="13"/>
      <c r="F106" s="14"/>
      <c r="G106" s="13"/>
      <c r="H106" s="13"/>
      <c r="I106" s="14"/>
      <c r="J106" s="13"/>
      <c r="K106" s="111"/>
      <c r="L106" s="13"/>
    </row>
    <row r="107" spans="1:12" ht="14.45">
      <c r="A107" s="13"/>
      <c r="B107" s="18"/>
      <c r="C107" s="13"/>
      <c r="D107" s="13"/>
      <c r="E107" s="13"/>
      <c r="F107" s="14"/>
      <c r="G107" s="13"/>
      <c r="H107" s="13"/>
      <c r="I107" s="14"/>
      <c r="J107" s="13"/>
      <c r="K107" s="111"/>
      <c r="L107" s="13"/>
    </row>
    <row r="108" spans="1:12" ht="14.45">
      <c r="A108" s="13"/>
      <c r="B108" s="18"/>
      <c r="C108" s="13"/>
      <c r="D108" s="13"/>
      <c r="E108" s="13"/>
      <c r="F108" s="14"/>
      <c r="G108" s="13"/>
      <c r="H108" s="13"/>
      <c r="I108" s="14"/>
      <c r="J108" s="13"/>
      <c r="K108" s="111"/>
      <c r="L108" s="13"/>
    </row>
    <row r="109" spans="1:12" ht="14.45">
      <c r="A109" s="13"/>
      <c r="B109" s="18"/>
      <c r="C109" s="13"/>
      <c r="D109" s="13"/>
      <c r="E109" s="13"/>
      <c r="F109" s="14"/>
      <c r="G109" s="13"/>
      <c r="H109" s="13"/>
      <c r="I109" s="14"/>
      <c r="J109" s="13"/>
      <c r="K109" s="111"/>
      <c r="L109" s="13"/>
    </row>
    <row r="110" spans="1:12" ht="14.45">
      <c r="A110" s="13"/>
      <c r="B110" s="18"/>
      <c r="C110" s="13"/>
      <c r="D110" s="13"/>
      <c r="E110" s="13"/>
      <c r="F110" s="14"/>
      <c r="G110" s="13"/>
      <c r="H110" s="13"/>
      <c r="I110" s="14"/>
      <c r="J110" s="13"/>
      <c r="K110" s="111"/>
      <c r="L110" s="13"/>
    </row>
    <row r="111" spans="1:12" ht="14.45">
      <c r="A111" s="13"/>
      <c r="B111" s="18"/>
      <c r="C111" s="13"/>
      <c r="D111" s="13"/>
      <c r="E111" s="13"/>
      <c r="F111" s="14"/>
      <c r="G111" s="13"/>
      <c r="H111" s="13"/>
      <c r="I111" s="14"/>
      <c r="J111" s="13"/>
      <c r="K111" s="111"/>
      <c r="L111" s="13"/>
    </row>
    <row r="112" spans="1:12" ht="14.45">
      <c r="A112" s="13"/>
      <c r="B112" s="18"/>
      <c r="C112" s="13"/>
      <c r="D112" s="13"/>
      <c r="E112" s="13"/>
      <c r="F112" s="14"/>
      <c r="G112" s="13"/>
      <c r="H112" s="13"/>
      <c r="I112" s="14"/>
      <c r="J112" s="13"/>
      <c r="K112" s="111"/>
      <c r="L112" s="13"/>
    </row>
    <row r="113" spans="1:12" ht="14.45">
      <c r="A113" s="13"/>
      <c r="B113" s="18"/>
      <c r="C113" s="13"/>
      <c r="D113" s="13"/>
      <c r="E113" s="13"/>
      <c r="F113" s="14"/>
      <c r="G113" s="13"/>
      <c r="H113" s="13"/>
      <c r="I113" s="14"/>
      <c r="J113" s="13"/>
      <c r="K113" s="111"/>
      <c r="L113" s="13"/>
    </row>
    <row r="114" spans="1:12" ht="14.45">
      <c r="A114" s="13"/>
      <c r="B114" s="18"/>
      <c r="C114" s="13"/>
      <c r="D114" s="13"/>
      <c r="E114" s="13"/>
      <c r="F114" s="14"/>
      <c r="G114" s="13"/>
      <c r="H114" s="13"/>
      <c r="I114" s="14"/>
      <c r="J114" s="13"/>
      <c r="K114" s="111"/>
      <c r="L114" s="13"/>
    </row>
    <row r="115" spans="1:12" ht="14.45">
      <c r="A115" s="13"/>
      <c r="B115" s="18"/>
      <c r="C115" s="13"/>
      <c r="D115" s="13"/>
      <c r="E115" s="13"/>
      <c r="F115" s="14"/>
      <c r="G115" s="13"/>
      <c r="H115" s="13"/>
      <c r="I115" s="14"/>
      <c r="J115" s="13"/>
      <c r="K115" s="111"/>
      <c r="L115" s="13"/>
    </row>
    <row r="116" spans="1:12" ht="14.45">
      <c r="A116" s="13"/>
      <c r="B116" s="18"/>
      <c r="C116" s="13"/>
      <c r="D116" s="13"/>
      <c r="E116" s="13"/>
      <c r="F116" s="14"/>
      <c r="G116" s="13"/>
      <c r="H116" s="13"/>
      <c r="I116" s="14"/>
      <c r="J116" s="13"/>
      <c r="K116" s="111"/>
      <c r="L116" s="13"/>
    </row>
    <row r="117" spans="1:12" ht="14.45">
      <c r="A117" s="13"/>
      <c r="B117" s="18"/>
      <c r="C117" s="13"/>
      <c r="D117" s="13"/>
      <c r="E117" s="13"/>
      <c r="F117" s="14"/>
      <c r="G117" s="13"/>
      <c r="H117" s="13"/>
      <c r="I117" s="14"/>
      <c r="J117" s="13"/>
      <c r="K117" s="111"/>
      <c r="L117" s="13"/>
    </row>
    <row r="118" spans="1:12" ht="14.45">
      <c r="A118" s="13"/>
      <c r="B118" s="18"/>
      <c r="C118" s="13"/>
      <c r="D118" s="13"/>
      <c r="E118" s="13"/>
      <c r="F118" s="14"/>
      <c r="G118" s="13"/>
      <c r="H118" s="13"/>
      <c r="I118" s="14"/>
      <c r="J118" s="13"/>
      <c r="K118" s="111"/>
      <c r="L118" s="13"/>
    </row>
    <row r="119" spans="1:12" ht="14.45">
      <c r="A119" s="13"/>
      <c r="B119" s="18"/>
      <c r="C119" s="13"/>
      <c r="D119" s="13"/>
      <c r="E119" s="13"/>
      <c r="F119" s="14"/>
      <c r="G119" s="13"/>
      <c r="H119" s="13"/>
      <c r="I119" s="14"/>
      <c r="J119" s="13"/>
      <c r="K119" s="111"/>
      <c r="L119" s="13"/>
    </row>
    <row r="120" spans="1:12" ht="14.45">
      <c r="A120" s="13"/>
      <c r="B120" s="18"/>
      <c r="C120" s="13"/>
      <c r="D120" s="13"/>
      <c r="E120" s="13"/>
      <c r="F120" s="14"/>
      <c r="G120" s="13"/>
      <c r="H120" s="13"/>
      <c r="I120" s="14"/>
      <c r="J120" s="13"/>
      <c r="K120" s="111"/>
      <c r="L120" s="13"/>
    </row>
    <row r="121" spans="1:12" ht="14.45">
      <c r="A121" s="13"/>
      <c r="B121" s="18"/>
      <c r="C121" s="13"/>
      <c r="D121" s="13"/>
      <c r="E121" s="13"/>
      <c r="F121" s="14"/>
      <c r="G121" s="13"/>
      <c r="H121" s="13"/>
      <c r="I121" s="14"/>
      <c r="J121" s="13"/>
      <c r="K121" s="111"/>
      <c r="L121" s="13"/>
    </row>
    <row r="122" spans="1:12" ht="14.45">
      <c r="A122" s="13"/>
      <c r="B122" s="18"/>
      <c r="C122" s="13"/>
      <c r="D122" s="13"/>
      <c r="E122" s="13"/>
      <c r="F122" s="14"/>
      <c r="G122" s="13"/>
      <c r="H122" s="13"/>
      <c r="I122" s="14"/>
      <c r="J122" s="13"/>
      <c r="K122" s="111"/>
      <c r="L122" s="13"/>
    </row>
    <row r="123" spans="1:12" ht="14.45">
      <c r="A123" s="13"/>
      <c r="B123" s="18"/>
      <c r="C123" s="13"/>
      <c r="D123" s="13"/>
      <c r="E123" s="13"/>
      <c r="F123" s="14"/>
      <c r="G123" s="13"/>
      <c r="H123" s="13"/>
      <c r="I123" s="14"/>
      <c r="J123" s="13"/>
      <c r="K123" s="111"/>
      <c r="L123" s="13"/>
    </row>
    <row r="124" spans="1:12" ht="14.45">
      <c r="A124" s="13"/>
      <c r="B124" s="18"/>
      <c r="C124" s="13"/>
      <c r="D124" s="13"/>
      <c r="E124" s="13"/>
      <c r="F124" s="14"/>
      <c r="G124" s="13"/>
      <c r="H124" s="13"/>
      <c r="I124" s="14"/>
      <c r="J124" s="13"/>
      <c r="K124" s="111"/>
      <c r="L124" s="13"/>
    </row>
    <row r="125" spans="1:12" ht="14.45">
      <c r="A125" s="13"/>
      <c r="B125" s="18"/>
      <c r="C125" s="13"/>
      <c r="D125" s="13"/>
      <c r="E125" s="13"/>
      <c r="F125" s="14"/>
      <c r="G125" s="13"/>
      <c r="H125" s="13"/>
      <c r="I125" s="14"/>
      <c r="J125" s="13"/>
      <c r="K125" s="111"/>
      <c r="L125" s="13"/>
    </row>
    <row r="126" spans="1:12" ht="14.45">
      <c r="A126" s="13"/>
      <c r="B126" s="18"/>
      <c r="C126" s="13"/>
      <c r="D126" s="13"/>
      <c r="E126" s="13"/>
      <c r="F126" s="14"/>
      <c r="G126" s="13"/>
      <c r="H126" s="13"/>
      <c r="I126" s="14"/>
      <c r="J126" s="13"/>
      <c r="K126" s="111"/>
      <c r="L126" s="13"/>
    </row>
    <row r="127" spans="1:12" ht="14.45">
      <c r="A127" s="13"/>
      <c r="B127" s="18"/>
      <c r="C127" s="13"/>
      <c r="D127" s="13"/>
      <c r="E127" s="13"/>
      <c r="F127" s="14"/>
      <c r="G127" s="13"/>
      <c r="H127" s="13"/>
      <c r="I127" s="14"/>
      <c r="J127" s="13"/>
      <c r="K127" s="111"/>
      <c r="L127" s="13"/>
    </row>
    <row r="128" spans="1:12" ht="14.45">
      <c r="A128" s="13"/>
      <c r="B128" s="18"/>
      <c r="C128" s="13"/>
      <c r="D128" s="13"/>
      <c r="E128" s="13"/>
      <c r="F128" s="14"/>
      <c r="G128" s="13"/>
      <c r="H128" s="13"/>
      <c r="I128" s="14"/>
      <c r="J128" s="13"/>
      <c r="K128" s="111"/>
      <c r="L128" s="13"/>
    </row>
    <row r="129" spans="1:12" ht="14.45">
      <c r="A129" s="13"/>
      <c r="B129" s="18"/>
      <c r="C129" s="13"/>
      <c r="D129" s="13"/>
      <c r="E129" s="13"/>
      <c r="F129" s="14"/>
      <c r="G129" s="13"/>
      <c r="H129" s="13"/>
      <c r="I129" s="14"/>
      <c r="J129" s="13"/>
      <c r="K129" s="111"/>
      <c r="L129" s="13"/>
    </row>
    <row r="130" spans="1:12" ht="14.45">
      <c r="A130" s="13"/>
      <c r="B130" s="18"/>
      <c r="C130" s="13"/>
      <c r="D130" s="13"/>
      <c r="E130" s="13"/>
      <c r="F130" s="14"/>
      <c r="G130" s="13"/>
      <c r="H130" s="13"/>
      <c r="I130" s="14"/>
      <c r="J130" s="13"/>
      <c r="K130" s="111"/>
      <c r="L130" s="13"/>
    </row>
    <row r="131" spans="1:12" ht="14.45">
      <c r="A131" s="13"/>
      <c r="B131" s="18"/>
      <c r="C131" s="13"/>
      <c r="D131" s="13"/>
      <c r="E131" s="13"/>
      <c r="F131" s="14"/>
      <c r="G131" s="13"/>
      <c r="H131" s="13"/>
      <c r="I131" s="14"/>
      <c r="J131" s="13"/>
      <c r="K131" s="111"/>
      <c r="L131" s="13"/>
    </row>
    <row r="132" spans="1:12" ht="14.45">
      <c r="A132" s="13"/>
      <c r="B132" s="18"/>
      <c r="C132" s="13"/>
      <c r="D132" s="13"/>
      <c r="E132" s="13"/>
      <c r="F132" s="14"/>
      <c r="G132" s="13"/>
      <c r="H132" s="13"/>
      <c r="I132" s="14"/>
      <c r="J132" s="13"/>
      <c r="K132" s="111"/>
      <c r="L132" s="13"/>
    </row>
    <row r="133" spans="1:12" ht="14.45">
      <c r="A133" s="13"/>
      <c r="B133" s="18"/>
      <c r="C133" s="13"/>
      <c r="D133" s="13"/>
      <c r="E133" s="13"/>
      <c r="F133" s="14"/>
      <c r="G133" s="13"/>
      <c r="H133" s="13"/>
      <c r="I133" s="14"/>
      <c r="J133" s="13"/>
      <c r="K133" s="111"/>
      <c r="L133" s="13"/>
    </row>
    <row r="134" spans="1:12" ht="14.45">
      <c r="A134" s="13"/>
      <c r="B134" s="18"/>
      <c r="C134" s="13"/>
      <c r="D134" s="13"/>
      <c r="E134" s="13"/>
      <c r="F134" s="14"/>
      <c r="G134" s="13"/>
      <c r="H134" s="13"/>
      <c r="I134" s="14"/>
      <c r="J134" s="13"/>
      <c r="K134" s="111"/>
      <c r="L134" s="13"/>
    </row>
    <row r="135" spans="1:12" ht="14.45">
      <c r="A135" s="13"/>
      <c r="B135" s="18"/>
      <c r="C135" s="13"/>
      <c r="D135" s="13"/>
      <c r="E135" s="13"/>
      <c r="F135" s="14"/>
      <c r="G135" s="13"/>
      <c r="H135" s="13"/>
      <c r="I135" s="14"/>
      <c r="J135" s="13"/>
      <c r="K135" s="111"/>
      <c r="L135" s="13"/>
    </row>
    <row r="136" spans="1:12" ht="14.45">
      <c r="A136" s="13"/>
      <c r="B136" s="18"/>
      <c r="C136" s="13"/>
      <c r="D136" s="13"/>
      <c r="E136" s="13"/>
      <c r="F136" s="14"/>
      <c r="G136" s="13"/>
      <c r="H136" s="13"/>
      <c r="I136" s="14"/>
      <c r="J136" s="13"/>
      <c r="K136" s="111"/>
      <c r="L136" s="13"/>
    </row>
    <row r="137" spans="1:12" ht="14.45">
      <c r="A137" s="13"/>
      <c r="B137" s="18"/>
      <c r="C137" s="13"/>
      <c r="D137" s="13"/>
      <c r="E137" s="13"/>
      <c r="F137" s="14"/>
      <c r="G137" s="13"/>
      <c r="H137" s="13"/>
      <c r="I137" s="14"/>
      <c r="J137" s="13"/>
      <c r="K137" s="111"/>
      <c r="L137" s="13"/>
    </row>
    <row r="138" spans="1:12" ht="14.45">
      <c r="A138" s="13"/>
      <c r="B138" s="18"/>
      <c r="C138" s="13"/>
      <c r="D138" s="13"/>
      <c r="E138" s="13"/>
      <c r="F138" s="14"/>
      <c r="G138" s="13"/>
      <c r="H138" s="13"/>
      <c r="I138" s="14"/>
      <c r="J138" s="13"/>
      <c r="K138" s="111"/>
      <c r="L138" s="13"/>
    </row>
    <row r="139" spans="1:12" ht="14.45">
      <c r="A139" s="13"/>
      <c r="B139" s="18"/>
      <c r="C139" s="13"/>
      <c r="D139" s="13"/>
      <c r="E139" s="13"/>
      <c r="F139" s="14"/>
      <c r="G139" s="13"/>
      <c r="H139" s="13"/>
      <c r="I139" s="14"/>
      <c r="J139" s="13"/>
      <c r="K139" s="111"/>
      <c r="L139" s="13"/>
    </row>
    <row r="140" spans="1:12" ht="14.45">
      <c r="A140" s="13"/>
      <c r="B140" s="18"/>
      <c r="C140" s="13"/>
      <c r="D140" s="13"/>
      <c r="E140" s="13"/>
      <c r="F140" s="14"/>
      <c r="G140" s="13"/>
      <c r="H140" s="13"/>
      <c r="I140" s="14"/>
      <c r="J140" s="13"/>
      <c r="K140" s="111"/>
      <c r="L140" s="13"/>
    </row>
    <row r="141" spans="1:12" ht="14.45">
      <c r="A141" s="13"/>
      <c r="B141" s="18"/>
      <c r="C141" s="13"/>
      <c r="D141" s="13"/>
      <c r="E141" s="13"/>
      <c r="F141" s="14"/>
      <c r="G141" s="13"/>
      <c r="H141" s="13"/>
      <c r="I141" s="14"/>
      <c r="J141" s="13"/>
      <c r="K141" s="111"/>
      <c r="L141" s="13"/>
    </row>
    <row r="142" spans="1:12" ht="14.45">
      <c r="A142" s="13"/>
      <c r="B142" s="18"/>
      <c r="C142" s="13"/>
      <c r="D142" s="13"/>
      <c r="E142" s="13"/>
      <c r="F142" s="14"/>
      <c r="G142" s="13"/>
      <c r="H142" s="13"/>
      <c r="I142" s="14"/>
      <c r="J142" s="13"/>
      <c r="K142" s="111"/>
      <c r="L142" s="13"/>
    </row>
    <row r="143" spans="1:12" ht="14.45">
      <c r="A143" s="13"/>
      <c r="B143" s="18"/>
      <c r="C143" s="13"/>
      <c r="D143" s="13"/>
      <c r="E143" s="13"/>
      <c r="F143" s="14"/>
      <c r="G143" s="13"/>
      <c r="H143" s="13"/>
      <c r="I143" s="14"/>
      <c r="J143" s="13"/>
      <c r="K143" s="111"/>
      <c r="L143" s="13"/>
    </row>
    <row r="144" spans="1:12" ht="14.45">
      <c r="A144" s="13"/>
      <c r="B144" s="18"/>
      <c r="C144" s="13"/>
      <c r="D144" s="13"/>
      <c r="E144" s="13"/>
      <c r="F144" s="14"/>
      <c r="G144" s="13"/>
      <c r="H144" s="13"/>
      <c r="I144" s="14"/>
      <c r="J144" s="13"/>
      <c r="K144" s="111"/>
      <c r="L144" s="13"/>
    </row>
    <row r="145" spans="1:12" ht="14.45">
      <c r="A145" s="13"/>
      <c r="B145" s="18"/>
      <c r="C145" s="13"/>
      <c r="D145" s="13"/>
      <c r="E145" s="13"/>
      <c r="F145" s="14"/>
      <c r="G145" s="13"/>
      <c r="H145" s="13"/>
      <c r="I145" s="14"/>
      <c r="J145" s="13"/>
      <c r="K145" s="111"/>
      <c r="L145" s="13"/>
    </row>
    <row r="146" spans="1:12" ht="14.45">
      <c r="A146" s="13"/>
      <c r="B146" s="18"/>
      <c r="C146" s="13"/>
      <c r="D146" s="13"/>
      <c r="E146" s="13"/>
      <c r="F146" s="14"/>
      <c r="G146" s="13"/>
      <c r="H146" s="13"/>
      <c r="I146" s="14"/>
      <c r="J146" s="13"/>
      <c r="K146" s="111"/>
      <c r="L146" s="13"/>
    </row>
    <row r="147" spans="1:12" ht="14.45">
      <c r="A147" s="13"/>
      <c r="B147" s="18"/>
      <c r="C147" s="13"/>
      <c r="D147" s="13"/>
      <c r="E147" s="13"/>
      <c r="F147" s="14"/>
      <c r="G147" s="13"/>
      <c r="H147" s="13"/>
      <c r="I147" s="14"/>
      <c r="J147" s="13"/>
      <c r="K147" s="111"/>
      <c r="L147" s="13"/>
    </row>
    <row r="148" spans="1:12" ht="14.45">
      <c r="A148" s="13"/>
      <c r="B148" s="18"/>
      <c r="C148" s="13"/>
      <c r="D148" s="13"/>
      <c r="E148" s="13"/>
      <c r="F148" s="14"/>
      <c r="G148" s="13"/>
      <c r="H148" s="13"/>
      <c r="I148" s="14"/>
      <c r="J148" s="13"/>
      <c r="K148" s="111"/>
      <c r="L148" s="13"/>
    </row>
    <row r="149" spans="1:12" ht="14.45">
      <c r="A149" s="13"/>
      <c r="B149" s="18"/>
      <c r="C149" s="13"/>
      <c r="D149" s="13"/>
      <c r="E149" s="13"/>
      <c r="F149" s="14"/>
      <c r="G149" s="13"/>
      <c r="H149" s="13"/>
      <c r="I149" s="14"/>
      <c r="J149" s="13"/>
      <c r="K149" s="111"/>
      <c r="L149" s="13"/>
    </row>
    <row r="150" spans="1:12" ht="14.45">
      <c r="A150" s="13"/>
      <c r="B150" s="18"/>
      <c r="C150" s="13"/>
      <c r="D150" s="13"/>
      <c r="E150" s="13"/>
      <c r="F150" s="14"/>
      <c r="G150" s="13"/>
      <c r="H150" s="13"/>
      <c r="I150" s="14"/>
      <c r="J150" s="13"/>
      <c r="K150" s="111"/>
      <c r="L150" s="13"/>
    </row>
    <row r="151" spans="1:12" ht="14.45">
      <c r="A151" s="13"/>
      <c r="B151" s="18"/>
      <c r="C151" s="13"/>
      <c r="D151" s="13"/>
      <c r="E151" s="13"/>
      <c r="F151" s="14"/>
      <c r="G151" s="13"/>
      <c r="H151" s="13"/>
      <c r="I151" s="14"/>
      <c r="J151" s="13"/>
      <c r="K151" s="111"/>
      <c r="L151" s="13"/>
    </row>
    <row r="152" spans="1:12" ht="14.45">
      <c r="A152" s="13"/>
      <c r="B152" s="18"/>
      <c r="C152" s="13"/>
      <c r="D152" s="13"/>
      <c r="E152" s="13"/>
      <c r="F152" s="14"/>
      <c r="G152" s="13"/>
      <c r="H152" s="13"/>
      <c r="I152" s="14"/>
      <c r="J152" s="13"/>
      <c r="K152" s="111"/>
      <c r="L152" s="13"/>
    </row>
    <row r="153" spans="1:12" ht="14.45">
      <c r="A153" s="13"/>
      <c r="B153" s="18"/>
      <c r="C153" s="13"/>
      <c r="D153" s="13"/>
      <c r="E153" s="13"/>
      <c r="F153" s="14"/>
      <c r="G153" s="13"/>
      <c r="H153" s="13"/>
      <c r="I153" s="14"/>
      <c r="J153" s="13"/>
      <c r="K153" s="111"/>
      <c r="L153" s="13"/>
    </row>
    <row r="154" spans="1:12" ht="14.45">
      <c r="A154" s="13"/>
      <c r="B154" s="18"/>
      <c r="C154" s="13"/>
      <c r="D154" s="13"/>
      <c r="E154" s="13"/>
      <c r="F154" s="14"/>
      <c r="G154" s="13"/>
      <c r="H154" s="13"/>
      <c r="I154" s="14"/>
      <c r="J154" s="13"/>
      <c r="K154" s="111"/>
      <c r="L154" s="13"/>
    </row>
    <row r="155" spans="1:12" ht="14.45">
      <c r="A155" s="13"/>
      <c r="B155" s="18"/>
      <c r="C155" s="13"/>
      <c r="D155" s="13"/>
      <c r="E155" s="13"/>
      <c r="F155" s="14"/>
      <c r="G155" s="13"/>
      <c r="H155" s="13"/>
      <c r="I155" s="14"/>
      <c r="J155" s="13"/>
      <c r="K155" s="111"/>
      <c r="L155" s="13"/>
    </row>
    <row r="156" spans="1:12" ht="14.45">
      <c r="A156" s="13"/>
      <c r="B156" s="18"/>
      <c r="C156" s="13"/>
      <c r="D156" s="13"/>
      <c r="E156" s="13"/>
      <c r="F156" s="14"/>
      <c r="G156" s="13"/>
      <c r="H156" s="13"/>
      <c r="I156" s="14"/>
      <c r="J156" s="13"/>
      <c r="K156" s="111"/>
      <c r="L156" s="13"/>
    </row>
    <row r="157" spans="1:12" ht="14.45">
      <c r="A157" s="13"/>
      <c r="B157" s="18"/>
      <c r="C157" s="13"/>
      <c r="D157" s="13"/>
      <c r="E157" s="13"/>
      <c r="F157" s="14"/>
      <c r="G157" s="13"/>
      <c r="H157" s="13"/>
      <c r="I157" s="14"/>
      <c r="J157" s="13"/>
      <c r="K157" s="111"/>
      <c r="L157" s="13"/>
    </row>
    <row r="158" spans="1:12" ht="14.45">
      <c r="A158" s="13"/>
      <c r="B158" s="18"/>
      <c r="C158" s="13"/>
      <c r="D158" s="13"/>
      <c r="E158" s="13"/>
      <c r="F158" s="14"/>
      <c r="G158" s="13"/>
      <c r="H158" s="13"/>
      <c r="I158" s="14"/>
      <c r="J158" s="13"/>
      <c r="K158" s="111"/>
      <c r="L158" s="13"/>
    </row>
    <row r="159" spans="1:12" ht="14.45">
      <c r="A159" s="13"/>
      <c r="B159" s="18"/>
      <c r="C159" s="13"/>
      <c r="D159" s="13"/>
      <c r="E159" s="13"/>
      <c r="F159" s="14"/>
      <c r="G159" s="13"/>
      <c r="H159" s="13"/>
      <c r="I159" s="14"/>
      <c r="J159" s="13"/>
      <c r="K159" s="111"/>
      <c r="L159" s="13"/>
    </row>
    <row r="160" spans="1:12" ht="14.45">
      <c r="A160" s="13"/>
      <c r="B160" s="18"/>
      <c r="C160" s="13"/>
      <c r="D160" s="13"/>
      <c r="E160" s="13"/>
      <c r="F160" s="14"/>
      <c r="G160" s="13"/>
      <c r="H160" s="13"/>
      <c r="I160" s="14"/>
      <c r="J160" s="13"/>
      <c r="K160" s="111"/>
      <c r="L160" s="13"/>
    </row>
    <row r="161" spans="1:12" ht="14.45">
      <c r="A161" s="13"/>
      <c r="B161" s="18"/>
      <c r="C161" s="13"/>
      <c r="D161" s="13"/>
      <c r="E161" s="13"/>
      <c r="F161" s="14"/>
      <c r="G161" s="13"/>
      <c r="H161" s="13"/>
      <c r="I161" s="14"/>
      <c r="J161" s="13"/>
      <c r="K161" s="111"/>
      <c r="L161" s="13"/>
    </row>
    <row r="162" spans="1:12" ht="14.45">
      <c r="A162" s="13"/>
      <c r="B162" s="18"/>
      <c r="C162" s="13"/>
      <c r="D162" s="13"/>
      <c r="E162" s="13"/>
      <c r="F162" s="14"/>
      <c r="G162" s="13"/>
      <c r="H162" s="13"/>
      <c r="I162" s="14"/>
      <c r="J162" s="13"/>
      <c r="K162" s="111"/>
      <c r="L162" s="13"/>
    </row>
    <row r="163" spans="1:12" ht="14.45">
      <c r="A163" s="13"/>
      <c r="B163" s="18"/>
      <c r="C163" s="13"/>
      <c r="D163" s="13"/>
      <c r="E163" s="13"/>
      <c r="F163" s="14"/>
      <c r="G163" s="13"/>
      <c r="H163" s="13"/>
      <c r="I163" s="14"/>
      <c r="J163" s="13"/>
      <c r="K163" s="111"/>
      <c r="L163" s="13"/>
    </row>
    <row r="164" spans="1:12" ht="14.45">
      <c r="A164" s="13"/>
      <c r="B164" s="18"/>
      <c r="C164" s="13"/>
      <c r="D164" s="13"/>
      <c r="E164" s="13"/>
      <c r="F164" s="14"/>
      <c r="G164" s="13"/>
      <c r="H164" s="13"/>
      <c r="I164" s="14"/>
      <c r="J164" s="13"/>
      <c r="K164" s="111"/>
      <c r="L164" s="13"/>
    </row>
    <row r="165" spans="1:12" ht="14.45">
      <c r="A165" s="13"/>
      <c r="B165" s="18"/>
      <c r="C165" s="13"/>
      <c r="D165" s="13"/>
      <c r="E165" s="13"/>
      <c r="F165" s="14"/>
      <c r="G165" s="13"/>
      <c r="H165" s="13"/>
      <c r="I165" s="14"/>
      <c r="J165" s="13"/>
      <c r="K165" s="111"/>
      <c r="L165" s="13"/>
    </row>
    <row r="166" spans="1:12" ht="14.45">
      <c r="A166" s="13"/>
      <c r="B166" s="18"/>
      <c r="C166" s="13"/>
      <c r="D166" s="13"/>
      <c r="E166" s="13"/>
      <c r="F166" s="14"/>
      <c r="G166" s="13"/>
      <c r="H166" s="13"/>
      <c r="I166" s="14"/>
      <c r="J166" s="13"/>
      <c r="K166" s="111"/>
      <c r="L166" s="13"/>
    </row>
    <row r="167" spans="1:12" ht="14.45">
      <c r="A167" s="13"/>
      <c r="B167" s="18"/>
      <c r="C167" s="13"/>
      <c r="D167" s="13"/>
      <c r="E167" s="13"/>
      <c r="F167" s="14"/>
      <c r="G167" s="13"/>
      <c r="H167" s="13"/>
      <c r="I167" s="14"/>
      <c r="J167" s="13"/>
      <c r="K167" s="111"/>
      <c r="L167" s="13"/>
    </row>
    <row r="168" spans="1:12" ht="14.45">
      <c r="A168" s="13"/>
      <c r="B168" s="18"/>
      <c r="C168" s="13"/>
      <c r="D168" s="13"/>
      <c r="E168" s="13"/>
      <c r="F168" s="14"/>
      <c r="G168" s="13"/>
      <c r="H168" s="13"/>
      <c r="I168" s="14"/>
      <c r="J168" s="13"/>
      <c r="K168" s="111"/>
      <c r="L168" s="13"/>
    </row>
    <row r="169" spans="1:12" ht="14.45">
      <c r="A169" s="13"/>
      <c r="B169" s="18"/>
      <c r="C169" s="13"/>
      <c r="D169" s="13"/>
      <c r="E169" s="13"/>
      <c r="F169" s="14"/>
      <c r="G169" s="13"/>
      <c r="H169" s="13"/>
      <c r="I169" s="14"/>
      <c r="J169" s="13"/>
      <c r="K169" s="111"/>
      <c r="L169" s="13"/>
    </row>
    <row r="170" spans="1:12" ht="14.45">
      <c r="A170" s="13"/>
      <c r="B170" s="18"/>
      <c r="C170" s="13"/>
      <c r="D170" s="13"/>
      <c r="E170" s="13"/>
      <c r="F170" s="14"/>
      <c r="G170" s="13"/>
      <c r="H170" s="13"/>
      <c r="I170" s="14"/>
      <c r="J170" s="13"/>
      <c r="K170" s="111"/>
      <c r="L170" s="13"/>
    </row>
    <row r="171" spans="1:12" ht="14.45">
      <c r="A171" s="13"/>
      <c r="B171" s="18"/>
      <c r="C171" s="13"/>
      <c r="D171" s="13"/>
      <c r="E171" s="13"/>
      <c r="F171" s="14"/>
      <c r="G171" s="13"/>
      <c r="H171" s="13"/>
      <c r="I171" s="14"/>
      <c r="J171" s="13"/>
      <c r="K171" s="111"/>
      <c r="L171" s="13"/>
    </row>
    <row r="172" spans="1:12" ht="14.45">
      <c r="A172" s="13"/>
      <c r="B172" s="18"/>
      <c r="C172" s="13"/>
      <c r="D172" s="13"/>
      <c r="E172" s="13"/>
      <c r="F172" s="14"/>
      <c r="G172" s="13"/>
      <c r="H172" s="13"/>
      <c r="I172" s="14"/>
      <c r="J172" s="13"/>
      <c r="K172" s="111"/>
      <c r="L172" s="13"/>
    </row>
    <row r="173" spans="1:12" ht="14.45">
      <c r="A173" s="13"/>
      <c r="B173" s="18"/>
      <c r="C173" s="13"/>
      <c r="D173" s="13"/>
      <c r="E173" s="13"/>
      <c r="F173" s="14"/>
      <c r="G173" s="13"/>
      <c r="H173" s="13"/>
      <c r="I173" s="14"/>
      <c r="J173" s="13"/>
      <c r="K173" s="111"/>
      <c r="L173" s="13"/>
    </row>
    <row r="174" spans="1:12" ht="14.45">
      <c r="A174" s="13"/>
      <c r="B174" s="18"/>
      <c r="C174" s="13"/>
      <c r="D174" s="13"/>
      <c r="E174" s="13"/>
      <c r="F174" s="14"/>
      <c r="G174" s="13"/>
      <c r="H174" s="13"/>
      <c r="I174" s="14"/>
      <c r="J174" s="13"/>
      <c r="K174" s="111"/>
      <c r="L174" s="13"/>
    </row>
    <row r="175" spans="1:12" ht="14.45">
      <c r="A175" s="13"/>
      <c r="B175" s="18"/>
      <c r="C175" s="13"/>
      <c r="D175" s="13"/>
      <c r="E175" s="13"/>
      <c r="F175" s="14"/>
      <c r="G175" s="13"/>
      <c r="H175" s="13"/>
      <c r="I175" s="14"/>
      <c r="J175" s="13"/>
      <c r="K175" s="111"/>
      <c r="L175" s="13"/>
    </row>
    <row r="176" spans="1:12" ht="14.45">
      <c r="A176" s="13"/>
      <c r="B176" s="18"/>
      <c r="C176" s="13"/>
      <c r="D176" s="13"/>
      <c r="E176" s="13"/>
      <c r="F176" s="14"/>
      <c r="G176" s="13"/>
      <c r="H176" s="13"/>
      <c r="I176" s="14"/>
      <c r="J176" s="13"/>
      <c r="K176" s="111"/>
      <c r="L176" s="13"/>
    </row>
    <row r="177" spans="1:12" ht="14.45">
      <c r="A177" s="13"/>
      <c r="B177" s="18"/>
      <c r="C177" s="13"/>
      <c r="D177" s="13"/>
      <c r="E177" s="13"/>
      <c r="F177" s="14"/>
      <c r="G177" s="13"/>
      <c r="H177" s="13"/>
      <c r="I177" s="14"/>
      <c r="J177" s="13"/>
      <c r="K177" s="111"/>
      <c r="L177" s="13"/>
    </row>
    <row r="178" spans="1:12" ht="14.45">
      <c r="A178" s="13"/>
      <c r="B178" s="18"/>
      <c r="C178" s="13"/>
      <c r="D178" s="13"/>
      <c r="E178" s="13"/>
      <c r="F178" s="14"/>
      <c r="G178" s="13"/>
      <c r="H178" s="13"/>
      <c r="I178" s="14"/>
      <c r="J178" s="13"/>
      <c r="K178" s="111"/>
      <c r="L178" s="13"/>
    </row>
    <row r="179" spans="1:12" ht="14.45">
      <c r="A179" s="13"/>
      <c r="B179" s="18"/>
      <c r="C179" s="13"/>
      <c r="D179" s="13"/>
      <c r="E179" s="13"/>
      <c r="F179" s="14"/>
      <c r="G179" s="13"/>
      <c r="H179" s="13"/>
      <c r="I179" s="14"/>
      <c r="J179" s="13"/>
      <c r="K179" s="111"/>
      <c r="L179" s="13"/>
    </row>
    <row r="180" spans="1:12" ht="14.45">
      <c r="A180" s="13"/>
      <c r="B180" s="18"/>
      <c r="C180" s="13"/>
      <c r="D180" s="13"/>
      <c r="E180" s="13"/>
      <c r="F180" s="14"/>
      <c r="G180" s="13"/>
      <c r="H180" s="13"/>
      <c r="I180" s="14"/>
      <c r="J180" s="13"/>
      <c r="K180" s="111"/>
      <c r="L180" s="13"/>
    </row>
    <row r="181" spans="1:12" ht="14.45">
      <c r="A181" s="13"/>
      <c r="B181" s="18"/>
      <c r="C181" s="13"/>
      <c r="D181" s="13"/>
      <c r="E181" s="13"/>
      <c r="F181" s="14"/>
      <c r="G181" s="13"/>
      <c r="H181" s="13"/>
      <c r="I181" s="14"/>
      <c r="J181" s="13"/>
      <c r="K181" s="111"/>
      <c r="L181" s="13"/>
    </row>
    <row r="182" spans="1:12" ht="14.45">
      <c r="A182" s="13"/>
      <c r="B182" s="18"/>
      <c r="C182" s="13"/>
      <c r="D182" s="13"/>
      <c r="E182" s="13"/>
      <c r="F182" s="14"/>
      <c r="G182" s="13"/>
      <c r="H182" s="13"/>
      <c r="I182" s="14"/>
      <c r="J182" s="13"/>
      <c r="K182" s="111"/>
      <c r="L182" s="13"/>
    </row>
    <row r="183" spans="1:12" ht="14.45">
      <c r="A183" s="13"/>
      <c r="B183" s="18"/>
      <c r="C183" s="13"/>
      <c r="D183" s="13"/>
      <c r="E183" s="13"/>
      <c r="F183" s="14"/>
      <c r="G183" s="13"/>
      <c r="H183" s="13"/>
      <c r="I183" s="14"/>
      <c r="J183" s="13"/>
      <c r="K183" s="111"/>
      <c r="L183" s="13"/>
    </row>
    <row r="184" spans="1:12" ht="14.45">
      <c r="A184" s="13"/>
      <c r="B184" s="18"/>
      <c r="C184" s="13"/>
      <c r="D184" s="13"/>
      <c r="E184" s="13"/>
      <c r="F184" s="14"/>
      <c r="G184" s="13"/>
      <c r="H184" s="13"/>
      <c r="I184" s="14"/>
      <c r="J184" s="13"/>
      <c r="K184" s="111"/>
      <c r="L184" s="13"/>
    </row>
    <row r="185" spans="1:12" ht="14.45">
      <c r="A185" s="13"/>
      <c r="B185" s="18"/>
      <c r="C185" s="13"/>
      <c r="D185" s="13"/>
      <c r="E185" s="13"/>
      <c r="F185" s="14"/>
      <c r="G185" s="13"/>
      <c r="H185" s="13"/>
      <c r="I185" s="14"/>
      <c r="J185" s="13"/>
      <c r="K185" s="111"/>
      <c r="L185" s="13"/>
    </row>
    <row r="186" spans="1:12" ht="14.45">
      <c r="A186" s="13"/>
      <c r="B186" s="18"/>
      <c r="C186" s="13"/>
      <c r="D186" s="13"/>
      <c r="E186" s="13"/>
      <c r="F186" s="14"/>
      <c r="G186" s="13"/>
      <c r="H186" s="13"/>
      <c r="I186" s="14"/>
      <c r="J186" s="13"/>
      <c r="K186" s="111"/>
      <c r="L186" s="13"/>
    </row>
    <row r="187" spans="1:12" ht="14.45">
      <c r="A187" s="13"/>
      <c r="B187" s="18"/>
      <c r="C187" s="13"/>
      <c r="D187" s="13"/>
      <c r="E187" s="13"/>
      <c r="F187" s="14"/>
      <c r="G187" s="13"/>
      <c r="H187" s="13"/>
      <c r="I187" s="14"/>
      <c r="J187" s="13"/>
      <c r="K187" s="111"/>
      <c r="L187" s="13"/>
    </row>
    <row r="188" spans="1:12" ht="14.45">
      <c r="A188" s="13"/>
      <c r="B188" s="18"/>
      <c r="C188" s="13"/>
      <c r="D188" s="13"/>
      <c r="E188" s="13"/>
      <c r="F188" s="14"/>
      <c r="G188" s="13"/>
      <c r="H188" s="13"/>
      <c r="I188" s="14"/>
      <c r="J188" s="13"/>
      <c r="K188" s="111"/>
      <c r="L188" s="13"/>
    </row>
    <row r="189" spans="1:12" ht="14.45">
      <c r="A189" s="13"/>
      <c r="B189" s="18"/>
      <c r="C189" s="13"/>
      <c r="D189" s="13"/>
      <c r="E189" s="13"/>
      <c r="F189" s="14"/>
      <c r="G189" s="13"/>
      <c r="H189" s="13"/>
      <c r="I189" s="14"/>
      <c r="J189" s="13"/>
      <c r="K189" s="111"/>
      <c r="L189" s="13"/>
    </row>
    <row r="190" spans="1:12" ht="14.45">
      <c r="A190" s="13"/>
      <c r="B190" s="18"/>
      <c r="C190" s="13"/>
      <c r="D190" s="13"/>
      <c r="E190" s="13"/>
      <c r="F190" s="14"/>
      <c r="G190" s="13"/>
      <c r="H190" s="13"/>
      <c r="I190" s="14"/>
      <c r="J190" s="13"/>
      <c r="K190" s="111"/>
      <c r="L190" s="13"/>
    </row>
    <row r="191" spans="1:12" ht="14.45">
      <c r="A191" s="13"/>
      <c r="B191" s="18"/>
      <c r="C191" s="13"/>
      <c r="D191" s="13"/>
      <c r="E191" s="13"/>
      <c r="F191" s="14"/>
      <c r="G191" s="13"/>
      <c r="H191" s="13"/>
      <c r="I191" s="14"/>
      <c r="J191" s="13"/>
      <c r="K191" s="111"/>
      <c r="L191" s="13"/>
    </row>
    <row r="192" spans="1:12" ht="14.45">
      <c r="A192" s="13"/>
      <c r="B192" s="18"/>
      <c r="C192" s="13"/>
      <c r="D192" s="13"/>
      <c r="E192" s="13"/>
      <c r="F192" s="14"/>
      <c r="G192" s="13"/>
      <c r="H192" s="13"/>
      <c r="I192" s="14"/>
      <c r="J192" s="13"/>
      <c r="K192" s="111"/>
      <c r="L192" s="13"/>
    </row>
    <row r="193" spans="1:12" ht="14.45">
      <c r="A193" s="13"/>
      <c r="B193" s="18"/>
      <c r="C193" s="13"/>
      <c r="D193" s="13"/>
      <c r="E193" s="13"/>
      <c r="F193" s="14"/>
      <c r="G193" s="13"/>
      <c r="H193" s="13"/>
      <c r="I193" s="14"/>
      <c r="J193" s="13"/>
      <c r="K193" s="111"/>
      <c r="L193" s="13"/>
    </row>
    <row r="194" spans="1:12" ht="14.45">
      <c r="A194" s="13"/>
      <c r="B194" s="18"/>
      <c r="C194" s="13"/>
      <c r="D194" s="13"/>
      <c r="E194" s="13"/>
      <c r="F194" s="14"/>
      <c r="G194" s="13"/>
      <c r="H194" s="13"/>
      <c r="I194" s="14"/>
      <c r="J194" s="13"/>
      <c r="K194" s="111"/>
      <c r="L194" s="13"/>
    </row>
    <row r="195" spans="1:12" ht="14.45">
      <c r="A195" s="13"/>
      <c r="B195" s="18"/>
      <c r="C195" s="13"/>
      <c r="D195" s="13"/>
      <c r="E195" s="13"/>
      <c r="F195" s="14"/>
      <c r="G195" s="13"/>
      <c r="H195" s="13"/>
      <c r="I195" s="14"/>
      <c r="J195" s="13"/>
      <c r="K195" s="111"/>
      <c r="L195" s="13"/>
    </row>
    <row r="196" spans="1:12" ht="14.45">
      <c r="A196" s="13"/>
      <c r="B196" s="18"/>
      <c r="C196" s="13"/>
      <c r="D196" s="13"/>
      <c r="E196" s="13"/>
      <c r="F196" s="14"/>
      <c r="G196" s="13"/>
      <c r="H196" s="13"/>
      <c r="I196" s="14"/>
      <c r="J196" s="13"/>
      <c r="K196" s="111"/>
      <c r="L196" s="13"/>
    </row>
    <row r="197" spans="1:12" ht="14.45">
      <c r="A197" s="13"/>
      <c r="B197" s="18"/>
      <c r="C197" s="13"/>
      <c r="D197" s="13"/>
      <c r="E197" s="13"/>
      <c r="F197" s="14"/>
      <c r="G197" s="13"/>
      <c r="H197" s="13"/>
      <c r="I197" s="14"/>
      <c r="J197" s="13"/>
      <c r="K197" s="111"/>
      <c r="L197" s="13"/>
    </row>
    <row r="198" spans="1:12" ht="14.45">
      <c r="A198" s="13"/>
      <c r="B198" s="18"/>
      <c r="C198" s="13"/>
      <c r="D198" s="13"/>
      <c r="E198" s="13"/>
      <c r="F198" s="14"/>
      <c r="G198" s="13"/>
      <c r="H198" s="13"/>
      <c r="I198" s="14"/>
      <c r="J198" s="13"/>
      <c r="K198" s="111"/>
      <c r="L198" s="13"/>
    </row>
    <row r="199" spans="1:12" ht="14.45">
      <c r="A199" s="13"/>
      <c r="B199" s="18"/>
      <c r="C199" s="13"/>
      <c r="D199" s="13"/>
      <c r="E199" s="13"/>
      <c r="F199" s="14"/>
      <c r="G199" s="13"/>
      <c r="H199" s="13"/>
      <c r="I199" s="14"/>
      <c r="J199" s="13"/>
      <c r="K199" s="111"/>
      <c r="L199" s="13"/>
    </row>
    <row r="200" spans="1:12" ht="14.45">
      <c r="A200" s="13"/>
      <c r="B200" s="18"/>
      <c r="C200" s="13"/>
      <c r="D200" s="13"/>
      <c r="E200" s="13"/>
      <c r="F200" s="14"/>
      <c r="G200" s="13"/>
      <c r="H200" s="13"/>
      <c r="I200" s="14"/>
      <c r="J200" s="13"/>
      <c r="K200" s="111"/>
      <c r="L200" s="13"/>
    </row>
    <row r="201" spans="1:12" ht="14.45">
      <c r="A201" s="13"/>
      <c r="B201" s="18"/>
      <c r="C201" s="13"/>
      <c r="D201" s="13"/>
      <c r="E201" s="13"/>
      <c r="F201" s="14"/>
      <c r="G201" s="13"/>
      <c r="H201" s="13"/>
      <c r="I201" s="14"/>
      <c r="J201" s="13"/>
      <c r="K201" s="111"/>
      <c r="L201" s="13"/>
    </row>
    <row r="202" spans="1:12" ht="14.45">
      <c r="A202" s="13"/>
      <c r="B202" s="18"/>
      <c r="C202" s="13"/>
      <c r="D202" s="13"/>
      <c r="E202" s="13"/>
      <c r="F202" s="14"/>
      <c r="G202" s="13"/>
      <c r="H202" s="13"/>
      <c r="I202" s="14"/>
      <c r="J202" s="13"/>
      <c r="K202" s="111"/>
      <c r="L202" s="13"/>
    </row>
    <row r="203" spans="1:12" ht="14.45">
      <c r="A203" s="13"/>
      <c r="B203" s="18"/>
      <c r="C203" s="13"/>
      <c r="D203" s="13"/>
      <c r="E203" s="13"/>
      <c r="F203" s="14"/>
      <c r="G203" s="13"/>
      <c r="H203" s="13"/>
      <c r="I203" s="14"/>
      <c r="J203" s="13"/>
      <c r="K203" s="111"/>
      <c r="L203" s="13"/>
    </row>
    <row r="204" spans="1:12" ht="14.45">
      <c r="A204" s="13"/>
      <c r="B204" s="18"/>
      <c r="C204" s="13"/>
      <c r="D204" s="13"/>
      <c r="E204" s="13"/>
      <c r="F204" s="14"/>
      <c r="G204" s="13"/>
      <c r="H204" s="13"/>
      <c r="I204" s="14"/>
      <c r="J204" s="13"/>
      <c r="K204" s="111"/>
      <c r="L204" s="13"/>
    </row>
    <row r="205" spans="1:12" ht="14.45">
      <c r="A205" s="13"/>
      <c r="B205" s="18"/>
      <c r="C205" s="13"/>
      <c r="D205" s="13"/>
      <c r="E205" s="13"/>
      <c r="F205" s="14"/>
      <c r="G205" s="13"/>
      <c r="H205" s="13"/>
      <c r="I205" s="14"/>
      <c r="J205" s="13"/>
      <c r="K205" s="111"/>
      <c r="L205" s="13"/>
    </row>
    <row r="206" spans="1:12" ht="14.45">
      <c r="A206" s="13"/>
      <c r="B206" s="18"/>
      <c r="C206" s="13"/>
      <c r="D206" s="13"/>
      <c r="E206" s="13"/>
      <c r="F206" s="14"/>
      <c r="G206" s="13"/>
      <c r="H206" s="13"/>
      <c r="I206" s="14"/>
      <c r="J206" s="13"/>
      <c r="K206" s="111"/>
      <c r="L206" s="13"/>
    </row>
    <row r="207" spans="1:12" ht="14.45">
      <c r="A207" s="13"/>
      <c r="B207" s="18"/>
      <c r="C207" s="13"/>
      <c r="D207" s="13"/>
      <c r="E207" s="13"/>
      <c r="F207" s="14"/>
      <c r="G207" s="13"/>
      <c r="H207" s="13"/>
      <c r="I207" s="14"/>
      <c r="J207" s="13"/>
      <c r="K207" s="111"/>
      <c r="L207" s="13"/>
    </row>
    <row r="208" spans="1:12" ht="14.45">
      <c r="A208" s="13"/>
      <c r="B208" s="18"/>
      <c r="C208" s="13"/>
      <c r="D208" s="13"/>
      <c r="E208" s="13"/>
      <c r="F208" s="14"/>
      <c r="G208" s="13"/>
      <c r="H208" s="13"/>
      <c r="I208" s="14"/>
      <c r="J208" s="13"/>
      <c r="K208" s="111"/>
      <c r="L208" s="13"/>
    </row>
    <row r="209" spans="1:12" ht="14.45">
      <c r="A209" s="13"/>
      <c r="B209" s="18"/>
      <c r="C209" s="13"/>
      <c r="D209" s="13"/>
      <c r="E209" s="13"/>
      <c r="F209" s="14"/>
      <c r="G209" s="13"/>
      <c r="H209" s="13"/>
      <c r="I209" s="14"/>
      <c r="J209" s="13"/>
      <c r="K209" s="111"/>
      <c r="L209" s="13"/>
    </row>
    <row r="210" spans="1:12" ht="14.45">
      <c r="A210" s="13"/>
      <c r="B210" s="18"/>
      <c r="C210" s="13"/>
      <c r="D210" s="13"/>
      <c r="E210" s="13"/>
      <c r="F210" s="14"/>
      <c r="G210" s="13"/>
      <c r="H210" s="13"/>
      <c r="I210" s="14"/>
      <c r="J210" s="13"/>
      <c r="K210" s="111"/>
      <c r="L210" s="13"/>
    </row>
    <row r="211" spans="1:12" ht="14.45">
      <c r="A211" s="13"/>
      <c r="B211" s="18"/>
      <c r="C211" s="13"/>
      <c r="D211" s="13"/>
      <c r="E211" s="13"/>
      <c r="F211" s="14"/>
      <c r="G211" s="13"/>
      <c r="H211" s="13"/>
      <c r="I211" s="14"/>
      <c r="J211" s="13"/>
      <c r="K211" s="111"/>
      <c r="L211" s="13"/>
    </row>
    <row r="212" spans="1:12" ht="14.45">
      <c r="A212" s="13"/>
      <c r="B212" s="18"/>
      <c r="C212" s="13"/>
      <c r="D212" s="13"/>
      <c r="E212" s="13"/>
      <c r="F212" s="14"/>
      <c r="G212" s="13"/>
      <c r="H212" s="13"/>
      <c r="I212" s="14"/>
      <c r="J212" s="13"/>
      <c r="K212" s="111"/>
      <c r="L212" s="13"/>
    </row>
    <row r="213" spans="1:12" ht="14.45">
      <c r="A213" s="13"/>
      <c r="B213" s="18"/>
      <c r="C213" s="13"/>
      <c r="D213" s="13"/>
      <c r="E213" s="13"/>
      <c r="F213" s="14"/>
      <c r="G213" s="13"/>
      <c r="H213" s="13"/>
      <c r="I213" s="14"/>
      <c r="J213" s="13"/>
      <c r="K213" s="111"/>
      <c r="L213" s="13"/>
    </row>
    <row r="214" spans="1:12" ht="14.45">
      <c r="A214" s="13"/>
      <c r="B214" s="18"/>
      <c r="C214" s="13"/>
      <c r="D214" s="13"/>
      <c r="E214" s="13"/>
      <c r="F214" s="14"/>
      <c r="G214" s="13"/>
      <c r="H214" s="13"/>
      <c r="I214" s="14"/>
      <c r="J214" s="13"/>
      <c r="K214" s="111"/>
      <c r="L214" s="13"/>
    </row>
    <row r="215" spans="1:12" ht="14.45">
      <c r="A215" s="13"/>
      <c r="B215" s="18"/>
      <c r="C215" s="13"/>
      <c r="D215" s="13"/>
      <c r="E215" s="13"/>
      <c r="F215" s="14"/>
      <c r="G215" s="13"/>
      <c r="H215" s="13"/>
      <c r="I215" s="14"/>
      <c r="J215" s="13"/>
      <c r="K215" s="111"/>
      <c r="L215" s="13"/>
    </row>
    <row r="216" spans="1:12" ht="14.45">
      <c r="A216" s="13"/>
      <c r="B216" s="18"/>
      <c r="C216" s="13"/>
      <c r="D216" s="13"/>
      <c r="E216" s="13"/>
      <c r="F216" s="14"/>
      <c r="G216" s="13"/>
      <c r="H216" s="13"/>
      <c r="I216" s="14"/>
      <c r="J216" s="13"/>
      <c r="K216" s="111"/>
      <c r="L216" s="13"/>
    </row>
    <row r="217" spans="1:12" ht="14.45">
      <c r="A217" s="13"/>
      <c r="B217" s="18"/>
      <c r="C217" s="13"/>
      <c r="D217" s="13"/>
      <c r="E217" s="13"/>
      <c r="F217" s="14"/>
      <c r="G217" s="13"/>
      <c r="H217" s="13"/>
      <c r="I217" s="14"/>
      <c r="J217" s="13"/>
      <c r="K217" s="111"/>
      <c r="L217" s="13"/>
    </row>
    <row r="218" spans="1:12" ht="14.45">
      <c r="A218" s="13"/>
      <c r="B218" s="18"/>
      <c r="C218" s="13"/>
      <c r="D218" s="13"/>
      <c r="E218" s="13"/>
      <c r="F218" s="14"/>
      <c r="G218" s="13"/>
      <c r="H218" s="13"/>
      <c r="I218" s="14"/>
      <c r="J218" s="13"/>
      <c r="K218" s="111"/>
      <c r="L218" s="13"/>
    </row>
    <row r="219" spans="1:12" ht="14.45">
      <c r="A219" s="13"/>
      <c r="B219" s="18"/>
      <c r="C219" s="13"/>
      <c r="D219" s="13"/>
      <c r="E219" s="13"/>
      <c r="F219" s="14"/>
      <c r="G219" s="13"/>
      <c r="H219" s="13"/>
      <c r="I219" s="14"/>
      <c r="J219" s="13"/>
      <c r="K219" s="111"/>
      <c r="L219" s="13"/>
    </row>
    <row r="220" spans="1:12" ht="14.45">
      <c r="A220" s="13"/>
      <c r="B220" s="18"/>
      <c r="C220" s="13"/>
      <c r="D220" s="13"/>
      <c r="E220" s="13"/>
      <c r="F220" s="14"/>
      <c r="G220" s="13"/>
      <c r="H220" s="13"/>
      <c r="I220" s="14"/>
      <c r="J220" s="13"/>
      <c r="K220" s="111"/>
      <c r="L220" s="13"/>
    </row>
    <row r="221" spans="1:12" ht="14.45">
      <c r="A221" s="13"/>
      <c r="B221" s="18"/>
      <c r="C221" s="13"/>
      <c r="D221" s="13"/>
      <c r="E221" s="13"/>
      <c r="F221" s="14"/>
      <c r="G221" s="13"/>
      <c r="H221" s="13"/>
      <c r="I221" s="14"/>
      <c r="J221" s="13"/>
      <c r="K221" s="111"/>
      <c r="L221" s="13"/>
    </row>
    <row r="222" spans="1:12" ht="14.45">
      <c r="A222" s="13"/>
      <c r="B222" s="18"/>
      <c r="C222" s="13"/>
      <c r="D222" s="13"/>
      <c r="E222" s="13"/>
      <c r="F222" s="14"/>
      <c r="G222" s="13"/>
      <c r="H222" s="13"/>
      <c r="I222" s="14"/>
      <c r="J222" s="13"/>
      <c r="K222" s="111"/>
      <c r="L222" s="13"/>
    </row>
    <row r="223" spans="1:12" ht="14.45">
      <c r="A223" s="13"/>
      <c r="B223" s="18"/>
      <c r="C223" s="13"/>
      <c r="D223" s="13"/>
      <c r="E223" s="13"/>
      <c r="F223" s="14"/>
      <c r="G223" s="13"/>
      <c r="H223" s="13"/>
      <c r="I223" s="14"/>
      <c r="J223" s="13"/>
      <c r="K223" s="111"/>
      <c r="L223" s="13"/>
    </row>
    <row r="224" spans="1:12" ht="14.45">
      <c r="A224" s="13"/>
      <c r="B224" s="18"/>
      <c r="C224" s="13"/>
      <c r="D224" s="13"/>
      <c r="E224" s="13"/>
      <c r="F224" s="14"/>
      <c r="G224" s="13"/>
      <c r="H224" s="13"/>
      <c r="I224" s="14"/>
      <c r="J224" s="13"/>
      <c r="K224" s="111"/>
      <c r="L224" s="13"/>
    </row>
    <row r="225" spans="1:12" ht="14.45">
      <c r="A225" s="13"/>
      <c r="B225" s="18"/>
      <c r="C225" s="13"/>
      <c r="D225" s="13"/>
      <c r="E225" s="13"/>
      <c r="F225" s="14"/>
      <c r="G225" s="13"/>
      <c r="H225" s="13"/>
      <c r="I225" s="14"/>
      <c r="J225" s="13"/>
      <c r="K225" s="111"/>
      <c r="L225" s="13"/>
    </row>
    <row r="226" spans="1:12" ht="14.45">
      <c r="A226" s="13"/>
      <c r="B226" s="18"/>
      <c r="C226" s="13"/>
      <c r="D226" s="13"/>
      <c r="E226" s="13"/>
      <c r="F226" s="14"/>
      <c r="G226" s="13"/>
      <c r="H226" s="13"/>
      <c r="I226" s="14"/>
      <c r="J226" s="13"/>
      <c r="K226" s="111"/>
      <c r="L226" s="13"/>
    </row>
    <row r="227" spans="1:12" ht="14.45">
      <c r="A227" s="13"/>
      <c r="B227" s="18"/>
      <c r="C227" s="13"/>
      <c r="D227" s="13"/>
      <c r="E227" s="13"/>
      <c r="F227" s="14"/>
      <c r="G227" s="13"/>
      <c r="H227" s="13"/>
      <c r="I227" s="14"/>
      <c r="J227" s="13"/>
      <c r="K227" s="111"/>
      <c r="L227" s="13"/>
    </row>
    <row r="228" spans="1:12" ht="14.45">
      <c r="A228" s="13"/>
      <c r="B228" s="18"/>
      <c r="C228" s="13"/>
      <c r="D228" s="13"/>
      <c r="E228" s="13"/>
      <c r="F228" s="14"/>
      <c r="G228" s="13"/>
      <c r="H228" s="13"/>
      <c r="I228" s="14"/>
      <c r="J228" s="13"/>
      <c r="K228" s="111"/>
      <c r="L228" s="13"/>
    </row>
    <row r="229" spans="1:12" ht="14.45">
      <c r="A229" s="13"/>
      <c r="B229" s="18"/>
      <c r="C229" s="13"/>
      <c r="D229" s="13"/>
      <c r="E229" s="13"/>
      <c r="F229" s="14"/>
      <c r="G229" s="13"/>
      <c r="H229" s="13"/>
      <c r="I229" s="14"/>
      <c r="J229" s="13"/>
      <c r="K229" s="111"/>
      <c r="L229" s="13"/>
    </row>
    <row r="230" spans="1:12" ht="14.45">
      <c r="A230" s="13"/>
      <c r="B230" s="18"/>
      <c r="C230" s="13"/>
      <c r="D230" s="13"/>
      <c r="E230" s="13"/>
      <c r="F230" s="14"/>
      <c r="G230" s="13"/>
      <c r="H230" s="13"/>
      <c r="I230" s="14"/>
      <c r="J230" s="13"/>
      <c r="K230" s="111"/>
      <c r="L230" s="13"/>
    </row>
    <row r="231" spans="1:12" ht="14.45">
      <c r="A231" s="13"/>
      <c r="B231" s="18"/>
      <c r="C231" s="13"/>
      <c r="D231" s="13"/>
      <c r="E231" s="13"/>
      <c r="F231" s="14"/>
      <c r="G231" s="13"/>
      <c r="H231" s="13"/>
      <c r="I231" s="14"/>
      <c r="J231" s="13"/>
      <c r="K231" s="111"/>
      <c r="L231" s="13"/>
    </row>
    <row r="232" spans="1:12" ht="14.45">
      <c r="A232" s="13"/>
      <c r="B232" s="18"/>
      <c r="C232" s="13"/>
      <c r="D232" s="13"/>
      <c r="E232" s="13"/>
      <c r="F232" s="14"/>
      <c r="G232" s="13"/>
      <c r="H232" s="13"/>
      <c r="I232" s="14"/>
      <c r="J232" s="13"/>
      <c r="K232" s="111"/>
      <c r="L232" s="13"/>
    </row>
    <row r="233" spans="1:12" ht="14.45">
      <c r="A233" s="13"/>
      <c r="B233" s="18"/>
      <c r="C233" s="13"/>
      <c r="D233" s="13"/>
      <c r="E233" s="13"/>
      <c r="F233" s="14"/>
      <c r="G233" s="13"/>
      <c r="H233" s="13"/>
      <c r="I233" s="14"/>
      <c r="J233" s="13"/>
      <c r="K233" s="111"/>
      <c r="L233" s="13"/>
    </row>
    <row r="234" spans="1:12" ht="14.45">
      <c r="A234" s="13"/>
      <c r="B234" s="18"/>
      <c r="C234" s="13"/>
      <c r="D234" s="13"/>
      <c r="E234" s="13"/>
      <c r="F234" s="14"/>
      <c r="G234" s="13"/>
      <c r="H234" s="13"/>
      <c r="I234" s="14"/>
      <c r="J234" s="13"/>
      <c r="K234" s="111"/>
      <c r="L234" s="13"/>
    </row>
    <row r="235" spans="1:12" ht="14.45">
      <c r="A235" s="13"/>
      <c r="B235" s="18"/>
      <c r="C235" s="13"/>
      <c r="D235" s="13"/>
      <c r="E235" s="13"/>
      <c r="F235" s="14"/>
      <c r="G235" s="13"/>
      <c r="H235" s="13"/>
      <c r="I235" s="14"/>
      <c r="J235" s="13"/>
      <c r="K235" s="111"/>
      <c r="L235" s="13"/>
    </row>
    <row r="236" spans="1:12" ht="14.45">
      <c r="A236" s="13"/>
      <c r="B236" s="18"/>
      <c r="C236" s="13"/>
      <c r="D236" s="13"/>
      <c r="E236" s="13"/>
      <c r="F236" s="14"/>
      <c r="G236" s="13"/>
      <c r="H236" s="13"/>
      <c r="I236" s="14"/>
      <c r="J236" s="13"/>
      <c r="K236" s="111"/>
      <c r="L236" s="13"/>
    </row>
    <row r="237" spans="1:12" ht="14.45">
      <c r="A237" s="13"/>
      <c r="B237" s="18"/>
      <c r="C237" s="13"/>
      <c r="D237" s="13"/>
      <c r="E237" s="13"/>
      <c r="F237" s="14"/>
      <c r="G237" s="13"/>
      <c r="H237" s="13"/>
      <c r="I237" s="14"/>
      <c r="J237" s="13"/>
      <c r="K237" s="111"/>
      <c r="L237" s="13"/>
    </row>
    <row r="238" spans="1:12" ht="14.45">
      <c r="A238" s="13"/>
      <c r="B238" s="18"/>
      <c r="C238" s="13"/>
      <c r="D238" s="13"/>
      <c r="E238" s="13"/>
      <c r="F238" s="14"/>
      <c r="G238" s="13"/>
      <c r="H238" s="13"/>
      <c r="I238" s="14"/>
      <c r="J238" s="13"/>
      <c r="K238" s="111"/>
      <c r="L238" s="13"/>
    </row>
    <row r="239" spans="1:12" ht="14.45">
      <c r="A239" s="13"/>
      <c r="B239" s="18"/>
      <c r="C239" s="13"/>
      <c r="D239" s="13"/>
      <c r="E239" s="13"/>
      <c r="F239" s="14"/>
      <c r="G239" s="13"/>
      <c r="H239" s="13"/>
      <c r="I239" s="14"/>
      <c r="J239" s="13"/>
      <c r="K239" s="111"/>
      <c r="L239" s="13"/>
    </row>
    <row r="240" spans="1:12" ht="14.45">
      <c r="A240" s="13"/>
      <c r="B240" s="18"/>
      <c r="C240" s="13"/>
      <c r="D240" s="13"/>
      <c r="E240" s="13"/>
      <c r="F240" s="14"/>
      <c r="G240" s="13"/>
      <c r="H240" s="13"/>
      <c r="I240" s="14"/>
      <c r="J240" s="13"/>
      <c r="K240" s="111"/>
      <c r="L240" s="13"/>
    </row>
    <row r="241" spans="1:12" ht="14.45">
      <c r="A241" s="13"/>
      <c r="B241" s="18"/>
      <c r="C241" s="13"/>
      <c r="D241" s="13"/>
      <c r="E241" s="13"/>
      <c r="F241" s="14"/>
      <c r="G241" s="13"/>
      <c r="H241" s="13"/>
      <c r="I241" s="14"/>
      <c r="J241" s="13"/>
      <c r="K241" s="111"/>
      <c r="L241" s="13"/>
    </row>
    <row r="242" spans="1:12" ht="14.45">
      <c r="A242" s="13"/>
      <c r="B242" s="18"/>
      <c r="C242" s="13"/>
      <c r="D242" s="13"/>
      <c r="E242" s="13"/>
      <c r="F242" s="14"/>
      <c r="G242" s="13"/>
      <c r="H242" s="13"/>
      <c r="I242" s="14"/>
      <c r="J242" s="13"/>
      <c r="K242" s="111"/>
      <c r="L242" s="13"/>
    </row>
    <row r="243" spans="1:12" ht="14.45">
      <c r="A243" s="13"/>
      <c r="B243" s="18"/>
      <c r="C243" s="13"/>
      <c r="D243" s="13"/>
      <c r="E243" s="13"/>
      <c r="F243" s="14"/>
      <c r="G243" s="13"/>
      <c r="H243" s="13"/>
      <c r="I243" s="14"/>
      <c r="J243" s="13"/>
      <c r="K243" s="111"/>
      <c r="L243" s="13"/>
    </row>
    <row r="244" spans="1:12" ht="14.45">
      <c r="A244" s="13"/>
      <c r="B244" s="18"/>
      <c r="C244" s="13"/>
      <c r="D244" s="13"/>
      <c r="E244" s="13"/>
      <c r="F244" s="14"/>
      <c r="G244" s="13"/>
      <c r="H244" s="13"/>
      <c r="I244" s="14"/>
      <c r="J244" s="13"/>
      <c r="K244" s="111"/>
      <c r="L244" s="13"/>
    </row>
    <row r="245" spans="1:12" ht="14.45">
      <c r="A245" s="13"/>
      <c r="B245" s="18"/>
      <c r="C245" s="13"/>
      <c r="D245" s="13"/>
      <c r="E245" s="13"/>
      <c r="F245" s="14"/>
      <c r="G245" s="13"/>
      <c r="H245" s="13"/>
      <c r="I245" s="14"/>
      <c r="J245" s="13"/>
      <c r="K245" s="111"/>
      <c r="L245" s="13"/>
    </row>
    <row r="246" spans="1:12" ht="14.45">
      <c r="A246" s="13"/>
      <c r="B246" s="18"/>
      <c r="C246" s="13"/>
      <c r="D246" s="13"/>
      <c r="E246" s="13"/>
      <c r="F246" s="14"/>
      <c r="G246" s="13"/>
      <c r="H246" s="13"/>
      <c r="I246" s="14"/>
      <c r="J246" s="13"/>
      <c r="K246" s="111"/>
      <c r="L246" s="13"/>
    </row>
    <row r="247" spans="1:12" ht="14.45">
      <c r="A247" s="13"/>
      <c r="B247" s="18"/>
      <c r="C247" s="13"/>
      <c r="D247" s="13"/>
      <c r="E247" s="13"/>
      <c r="F247" s="14"/>
      <c r="G247" s="13"/>
      <c r="H247" s="13"/>
      <c r="I247" s="14"/>
      <c r="J247" s="13"/>
      <c r="K247" s="111"/>
      <c r="L247" s="13"/>
    </row>
    <row r="248" spans="1:12" ht="14.45">
      <c r="A248" s="13"/>
      <c r="B248" s="18"/>
      <c r="C248" s="13"/>
      <c r="D248" s="13"/>
      <c r="E248" s="13"/>
      <c r="F248" s="14"/>
      <c r="G248" s="13"/>
      <c r="H248" s="13"/>
      <c r="I248" s="14"/>
      <c r="J248" s="13"/>
      <c r="K248" s="111"/>
      <c r="L248" s="13"/>
    </row>
    <row r="249" spans="1:12" ht="14.45">
      <c r="A249" s="13"/>
      <c r="B249" s="18"/>
      <c r="C249" s="13"/>
      <c r="D249" s="13"/>
      <c r="E249" s="13"/>
      <c r="F249" s="14"/>
      <c r="G249" s="13"/>
      <c r="H249" s="13"/>
      <c r="I249" s="14"/>
      <c r="J249" s="13"/>
      <c r="K249" s="111"/>
      <c r="L249" s="13"/>
    </row>
    <row r="250" spans="1:12" ht="14.45">
      <c r="A250" s="13"/>
      <c r="B250" s="18"/>
      <c r="C250" s="13"/>
      <c r="D250" s="13"/>
      <c r="E250" s="13"/>
      <c r="F250" s="14"/>
      <c r="G250" s="13"/>
      <c r="H250" s="13"/>
      <c r="I250" s="14"/>
      <c r="J250" s="13"/>
      <c r="K250" s="111"/>
      <c r="L250" s="13"/>
    </row>
    <row r="251" spans="1:12" ht="14.45">
      <c r="A251" s="13"/>
      <c r="B251" s="18"/>
      <c r="C251" s="13"/>
      <c r="D251" s="13"/>
      <c r="E251" s="13"/>
      <c r="F251" s="14"/>
      <c r="G251" s="13"/>
      <c r="H251" s="13"/>
      <c r="I251" s="14"/>
      <c r="J251" s="13"/>
      <c r="K251" s="111"/>
      <c r="L251" s="13"/>
    </row>
    <row r="252" spans="1:12" ht="14.45">
      <c r="A252" s="13"/>
      <c r="B252" s="18"/>
      <c r="C252" s="13"/>
      <c r="D252" s="13"/>
      <c r="E252" s="13"/>
      <c r="F252" s="14"/>
      <c r="G252" s="13"/>
      <c r="H252" s="13"/>
      <c r="I252" s="14"/>
      <c r="J252" s="13"/>
      <c r="K252" s="111"/>
      <c r="L252" s="13"/>
    </row>
    <row r="253" spans="1:12" ht="14.45">
      <c r="A253" s="13"/>
      <c r="B253" s="18"/>
      <c r="C253" s="13"/>
      <c r="D253" s="13"/>
      <c r="E253" s="13"/>
      <c r="F253" s="14"/>
      <c r="G253" s="13"/>
      <c r="H253" s="13"/>
      <c r="I253" s="14"/>
      <c r="J253" s="13"/>
      <c r="K253" s="111"/>
      <c r="L253" s="13"/>
    </row>
    <row r="254" spans="1:12" ht="14.45">
      <c r="A254" s="13"/>
      <c r="B254" s="18"/>
      <c r="C254" s="13"/>
      <c r="D254" s="13"/>
      <c r="E254" s="13"/>
      <c r="F254" s="14"/>
      <c r="G254" s="13"/>
      <c r="H254" s="13"/>
      <c r="I254" s="14"/>
      <c r="J254" s="13"/>
      <c r="K254" s="111"/>
      <c r="L254" s="13"/>
    </row>
    <row r="255" spans="1:12" ht="14.45">
      <c r="A255" s="13"/>
      <c r="B255" s="18"/>
      <c r="C255" s="13"/>
      <c r="D255" s="13"/>
      <c r="E255" s="13"/>
      <c r="F255" s="14"/>
      <c r="G255" s="13"/>
      <c r="H255" s="13"/>
      <c r="I255" s="14"/>
      <c r="J255" s="13"/>
      <c r="K255" s="111"/>
      <c r="L255" s="13"/>
    </row>
    <row r="256" spans="1:12" ht="14.45">
      <c r="A256" s="13"/>
      <c r="B256" s="18"/>
      <c r="C256" s="13"/>
      <c r="D256" s="13"/>
      <c r="E256" s="13"/>
      <c r="F256" s="14"/>
      <c r="G256" s="13"/>
      <c r="H256" s="13"/>
      <c r="I256" s="14"/>
      <c r="J256" s="13"/>
      <c r="K256" s="111"/>
      <c r="L256" s="13"/>
    </row>
    <row r="257" spans="1:12" ht="14.45">
      <c r="A257" s="13"/>
      <c r="B257" s="18"/>
      <c r="C257" s="13"/>
      <c r="D257" s="13"/>
      <c r="E257" s="13"/>
      <c r="F257" s="14"/>
      <c r="G257" s="13"/>
      <c r="H257" s="13"/>
      <c r="I257" s="14"/>
      <c r="J257" s="13"/>
      <c r="K257" s="111"/>
      <c r="L257" s="13"/>
    </row>
    <row r="258" spans="1:12" ht="14.45">
      <c r="A258" s="13"/>
      <c r="B258" s="18"/>
      <c r="C258" s="13"/>
      <c r="D258" s="13"/>
      <c r="E258" s="13"/>
      <c r="F258" s="14"/>
      <c r="G258" s="13"/>
      <c r="H258" s="13"/>
      <c r="I258" s="14"/>
      <c r="J258" s="13"/>
      <c r="K258" s="111"/>
      <c r="L258" s="13"/>
    </row>
    <row r="259" spans="1:12" ht="14.45">
      <c r="A259" s="13"/>
      <c r="B259" s="18"/>
      <c r="C259" s="13"/>
      <c r="D259" s="13"/>
      <c r="E259" s="13"/>
      <c r="F259" s="14"/>
      <c r="G259" s="13"/>
      <c r="H259" s="13"/>
      <c r="I259" s="14"/>
      <c r="J259" s="13"/>
      <c r="K259" s="111"/>
      <c r="L259" s="13"/>
    </row>
    <row r="260" spans="1:12" ht="14.45">
      <c r="A260" s="13"/>
      <c r="B260" s="18"/>
      <c r="C260" s="13"/>
      <c r="D260" s="13"/>
      <c r="E260" s="13"/>
      <c r="F260" s="14"/>
      <c r="G260" s="13"/>
      <c r="H260" s="13"/>
      <c r="I260" s="14"/>
      <c r="J260" s="13"/>
      <c r="K260" s="111"/>
      <c r="L260" s="13"/>
    </row>
    <row r="261" spans="1:12" ht="14.45">
      <c r="A261" s="13"/>
      <c r="B261" s="18"/>
      <c r="C261" s="13"/>
      <c r="D261" s="13"/>
      <c r="E261" s="13"/>
      <c r="F261" s="14"/>
      <c r="G261" s="13"/>
      <c r="H261" s="13"/>
      <c r="I261" s="14"/>
      <c r="J261" s="13"/>
      <c r="K261" s="111"/>
      <c r="L261" s="13"/>
    </row>
    <row r="262" spans="1:12" ht="14.45">
      <c r="A262" s="13"/>
      <c r="B262" s="18"/>
      <c r="C262" s="13"/>
      <c r="D262" s="13"/>
      <c r="E262" s="13"/>
      <c r="F262" s="14"/>
      <c r="G262" s="13"/>
      <c r="H262" s="13"/>
      <c r="I262" s="14"/>
      <c r="J262" s="13"/>
      <c r="K262" s="111"/>
      <c r="L262" s="13"/>
    </row>
    <row r="263" spans="1:12" ht="14.45">
      <c r="A263" s="13"/>
      <c r="B263" s="18"/>
      <c r="C263" s="13"/>
      <c r="D263" s="13"/>
      <c r="E263" s="13"/>
      <c r="F263" s="14"/>
      <c r="G263" s="13"/>
      <c r="H263" s="13"/>
      <c r="I263" s="14"/>
      <c r="J263" s="13"/>
      <c r="K263" s="111"/>
      <c r="L263" s="13"/>
    </row>
    <row r="264" spans="1:12" ht="14.45">
      <c r="A264" s="13"/>
      <c r="B264" s="18"/>
      <c r="C264" s="13"/>
      <c r="D264" s="13"/>
      <c r="E264" s="13"/>
      <c r="F264" s="14"/>
      <c r="G264" s="13"/>
      <c r="H264" s="13"/>
      <c r="I264" s="14"/>
      <c r="J264" s="13"/>
      <c r="K264" s="111"/>
      <c r="L264" s="13"/>
    </row>
    <row r="265" spans="1:12" ht="14.45">
      <c r="A265" s="13"/>
      <c r="B265" s="18"/>
      <c r="C265" s="13"/>
      <c r="D265" s="13"/>
      <c r="E265" s="13"/>
      <c r="F265" s="14"/>
      <c r="G265" s="13"/>
      <c r="H265" s="13"/>
      <c r="I265" s="14"/>
      <c r="J265" s="13"/>
      <c r="K265" s="111"/>
      <c r="L265" s="13"/>
    </row>
    <row r="266" spans="1:12" ht="14.45">
      <c r="A266" s="13"/>
      <c r="B266" s="18"/>
      <c r="C266" s="13"/>
      <c r="D266" s="13"/>
      <c r="E266" s="13"/>
      <c r="F266" s="14"/>
      <c r="G266" s="13"/>
      <c r="H266" s="13"/>
      <c r="I266" s="14"/>
      <c r="J266" s="13"/>
      <c r="K266" s="111"/>
      <c r="L266" s="13"/>
    </row>
    <row r="267" spans="1:12" ht="14.45">
      <c r="A267" s="13"/>
      <c r="B267" s="18"/>
      <c r="C267" s="13"/>
      <c r="D267" s="13"/>
      <c r="E267" s="13"/>
      <c r="F267" s="14"/>
      <c r="G267" s="13"/>
      <c r="H267" s="13"/>
      <c r="I267" s="14"/>
      <c r="J267" s="13"/>
      <c r="K267" s="111"/>
      <c r="L267" s="13"/>
    </row>
    <row r="268" spans="1:12" ht="14.45">
      <c r="A268" s="13"/>
      <c r="B268" s="18"/>
      <c r="C268" s="13"/>
      <c r="D268" s="13"/>
      <c r="E268" s="13"/>
      <c r="F268" s="14"/>
      <c r="G268" s="13"/>
      <c r="H268" s="13"/>
      <c r="I268" s="14"/>
      <c r="J268" s="13"/>
      <c r="K268" s="111"/>
      <c r="L268" s="13"/>
    </row>
    <row r="269" spans="1:12" ht="14.45">
      <c r="A269" s="13"/>
      <c r="B269" s="18"/>
      <c r="C269" s="13"/>
      <c r="D269" s="13"/>
      <c r="E269" s="13"/>
      <c r="F269" s="14"/>
      <c r="G269" s="13"/>
      <c r="H269" s="13"/>
      <c r="I269" s="14"/>
      <c r="J269" s="13"/>
      <c r="K269" s="111"/>
      <c r="L269" s="13"/>
    </row>
    <row r="270" spans="1:12" ht="14.45">
      <c r="A270" s="13"/>
      <c r="B270" s="18"/>
      <c r="C270" s="13"/>
      <c r="D270" s="13"/>
      <c r="E270" s="13"/>
      <c r="F270" s="14"/>
      <c r="G270" s="13"/>
      <c r="H270" s="13"/>
      <c r="I270" s="14"/>
      <c r="J270" s="13"/>
      <c r="K270" s="111"/>
      <c r="L270" s="13"/>
    </row>
    <row r="271" spans="1:12" ht="14.45">
      <c r="A271" s="13"/>
      <c r="B271" s="18"/>
      <c r="C271" s="13"/>
      <c r="D271" s="13"/>
      <c r="E271" s="13"/>
      <c r="F271" s="14"/>
      <c r="G271" s="13"/>
      <c r="H271" s="13"/>
      <c r="I271" s="14"/>
      <c r="J271" s="13"/>
      <c r="K271" s="111"/>
      <c r="L271" s="13"/>
    </row>
    <row r="272" spans="1:12" ht="14.45">
      <c r="A272" s="13"/>
      <c r="B272" s="18"/>
      <c r="C272" s="13"/>
      <c r="D272" s="13"/>
      <c r="E272" s="13"/>
      <c r="F272" s="14"/>
      <c r="G272" s="13"/>
      <c r="H272" s="13"/>
      <c r="I272" s="14"/>
      <c r="J272" s="13"/>
      <c r="K272" s="111"/>
      <c r="L272" s="13"/>
    </row>
    <row r="273" spans="1:12" ht="14.45">
      <c r="A273" s="13"/>
      <c r="B273" s="18"/>
      <c r="C273" s="13"/>
      <c r="D273" s="13"/>
      <c r="E273" s="13"/>
      <c r="F273" s="14"/>
      <c r="G273" s="13"/>
      <c r="H273" s="13"/>
      <c r="I273" s="14"/>
      <c r="J273" s="13"/>
      <c r="K273" s="111"/>
      <c r="L273" s="13"/>
    </row>
    <row r="274" spans="1:12" ht="14.45">
      <c r="A274" s="13"/>
      <c r="B274" s="18"/>
      <c r="C274" s="13"/>
      <c r="D274" s="13"/>
      <c r="E274" s="13"/>
      <c r="F274" s="14"/>
      <c r="G274" s="13"/>
      <c r="H274" s="13"/>
      <c r="I274" s="14"/>
      <c r="J274" s="13"/>
      <c r="K274" s="111"/>
      <c r="L274" s="13"/>
    </row>
    <row r="275" spans="1:12" ht="14.45">
      <c r="A275" s="13"/>
      <c r="B275" s="18"/>
      <c r="C275" s="13"/>
      <c r="D275" s="13"/>
      <c r="E275" s="13"/>
      <c r="F275" s="14"/>
      <c r="G275" s="13"/>
      <c r="H275" s="13"/>
      <c r="I275" s="14"/>
      <c r="J275" s="13"/>
      <c r="K275" s="111"/>
      <c r="L275" s="13"/>
    </row>
    <row r="276" spans="1:12" ht="14.45">
      <c r="A276" s="13"/>
      <c r="B276" s="18"/>
      <c r="C276" s="13"/>
      <c r="D276" s="13"/>
      <c r="E276" s="13"/>
      <c r="F276" s="14"/>
      <c r="G276" s="13"/>
      <c r="H276" s="13"/>
      <c r="I276" s="14"/>
      <c r="J276" s="13"/>
      <c r="K276" s="111"/>
      <c r="L276" s="13"/>
    </row>
    <row r="277" spans="1:12" ht="14.45">
      <c r="A277" s="13"/>
      <c r="B277" s="18"/>
      <c r="C277" s="13"/>
      <c r="D277" s="13"/>
      <c r="E277" s="13"/>
      <c r="F277" s="14"/>
      <c r="G277" s="13"/>
      <c r="H277" s="13"/>
      <c r="I277" s="14"/>
      <c r="J277" s="13"/>
      <c r="K277" s="111"/>
      <c r="L277" s="13"/>
    </row>
    <row r="278" spans="1:12" ht="14.45">
      <c r="A278" s="13"/>
      <c r="B278" s="18"/>
      <c r="C278" s="13"/>
      <c r="D278" s="13"/>
      <c r="E278" s="13"/>
      <c r="F278" s="14"/>
      <c r="G278" s="13"/>
      <c r="H278" s="13"/>
      <c r="I278" s="14"/>
      <c r="J278" s="13"/>
      <c r="K278" s="111"/>
      <c r="L278" s="13"/>
    </row>
    <row r="279" spans="1:12" ht="14.45">
      <c r="A279" s="13"/>
      <c r="B279" s="18"/>
      <c r="C279" s="13"/>
      <c r="D279" s="13"/>
      <c r="E279" s="13"/>
      <c r="F279" s="14"/>
      <c r="G279" s="13"/>
      <c r="H279" s="13"/>
      <c r="I279" s="14"/>
      <c r="J279" s="13"/>
      <c r="K279" s="111"/>
      <c r="L279" s="13"/>
    </row>
    <row r="280" spans="1:12" ht="14.45">
      <c r="A280" s="13"/>
      <c r="B280" s="18"/>
      <c r="C280" s="13"/>
      <c r="D280" s="13"/>
      <c r="E280" s="13"/>
      <c r="F280" s="14"/>
      <c r="G280" s="13"/>
      <c r="H280" s="13"/>
      <c r="I280" s="14"/>
      <c r="J280" s="13"/>
      <c r="K280" s="111"/>
      <c r="L280" s="13"/>
    </row>
    <row r="281" spans="1:12" ht="14.45">
      <c r="A281" s="13"/>
      <c r="B281" s="18"/>
      <c r="C281" s="13"/>
      <c r="D281" s="13"/>
      <c r="E281" s="13"/>
      <c r="F281" s="14"/>
      <c r="G281" s="13"/>
      <c r="H281" s="13"/>
      <c r="I281" s="14"/>
      <c r="J281" s="13"/>
      <c r="K281" s="111"/>
      <c r="L281" s="13"/>
    </row>
    <row r="282" spans="1:12" ht="14.45">
      <c r="A282" s="13"/>
      <c r="B282" s="18"/>
      <c r="C282" s="13"/>
      <c r="D282" s="13"/>
      <c r="E282" s="13"/>
      <c r="F282" s="14"/>
      <c r="G282" s="13"/>
      <c r="H282" s="13"/>
      <c r="I282" s="14"/>
      <c r="J282" s="13"/>
      <c r="K282" s="111"/>
      <c r="L282" s="13"/>
    </row>
    <row r="283" spans="1:12" ht="14.45">
      <c r="A283" s="13"/>
      <c r="B283" s="18"/>
      <c r="C283" s="13"/>
      <c r="D283" s="13"/>
      <c r="E283" s="13"/>
      <c r="F283" s="14"/>
      <c r="G283" s="13"/>
      <c r="H283" s="13"/>
      <c r="I283" s="14"/>
      <c r="J283" s="13"/>
      <c r="K283" s="111"/>
      <c r="L283" s="13"/>
    </row>
    <row r="284" spans="1:12" ht="14.45">
      <c r="A284" s="13"/>
      <c r="B284" s="18"/>
      <c r="C284" s="13"/>
      <c r="D284" s="13"/>
      <c r="E284" s="13"/>
      <c r="F284" s="14"/>
      <c r="G284" s="13"/>
      <c r="H284" s="13"/>
      <c r="I284" s="14"/>
      <c r="J284" s="13"/>
      <c r="K284" s="111"/>
      <c r="L284" s="13"/>
    </row>
    <row r="285" spans="1:12" ht="14.45">
      <c r="A285" s="13"/>
      <c r="B285" s="18"/>
      <c r="C285" s="13"/>
      <c r="D285" s="13"/>
      <c r="E285" s="13"/>
      <c r="F285" s="14"/>
      <c r="G285" s="13"/>
      <c r="H285" s="13"/>
      <c r="I285" s="14"/>
      <c r="J285" s="13"/>
      <c r="K285" s="111"/>
      <c r="L285" s="13"/>
    </row>
    <row r="286" spans="1:12" ht="14.45">
      <c r="A286" s="13"/>
      <c r="B286" s="18"/>
      <c r="C286" s="13"/>
      <c r="D286" s="13"/>
      <c r="E286" s="13"/>
      <c r="F286" s="14"/>
      <c r="G286" s="13"/>
      <c r="H286" s="13"/>
      <c r="I286" s="14"/>
      <c r="J286" s="13"/>
      <c r="K286" s="111"/>
      <c r="L286" s="13"/>
    </row>
    <row r="287" spans="1:12" ht="14.45">
      <c r="A287" s="13"/>
      <c r="B287" s="18"/>
      <c r="C287" s="13"/>
      <c r="D287" s="13"/>
      <c r="E287" s="13"/>
      <c r="F287" s="14"/>
      <c r="G287" s="13"/>
      <c r="H287" s="13"/>
      <c r="I287" s="14"/>
      <c r="J287" s="13"/>
      <c r="K287" s="111"/>
      <c r="L287" s="13"/>
    </row>
    <row r="288" spans="1:12" ht="14.45">
      <c r="A288" s="13"/>
      <c r="B288" s="18"/>
      <c r="C288" s="13"/>
      <c r="D288" s="13"/>
      <c r="E288" s="13"/>
      <c r="F288" s="14"/>
      <c r="G288" s="13"/>
      <c r="H288" s="13"/>
      <c r="I288" s="14"/>
      <c r="J288" s="13"/>
      <c r="K288" s="111"/>
      <c r="L288" s="13"/>
    </row>
    <row r="289" spans="1:12" ht="14.45">
      <c r="A289" s="13"/>
      <c r="B289" s="18"/>
      <c r="C289" s="13"/>
      <c r="D289" s="13"/>
      <c r="E289" s="13"/>
      <c r="F289" s="14"/>
      <c r="G289" s="13"/>
      <c r="H289" s="13"/>
      <c r="I289" s="14"/>
      <c r="J289" s="13"/>
      <c r="K289" s="111"/>
      <c r="L289" s="13"/>
    </row>
    <row r="290" spans="1:12" ht="14.45">
      <c r="A290" s="13"/>
      <c r="B290" s="18"/>
      <c r="C290" s="13"/>
      <c r="D290" s="13"/>
      <c r="E290" s="13"/>
      <c r="F290" s="14"/>
      <c r="G290" s="13"/>
      <c r="H290" s="13"/>
      <c r="I290" s="14"/>
      <c r="J290" s="13"/>
      <c r="K290" s="111"/>
      <c r="L290" s="13"/>
    </row>
    <row r="291" spans="1:12" ht="14.45">
      <c r="A291" s="13"/>
      <c r="B291" s="18"/>
      <c r="C291" s="13"/>
      <c r="D291" s="13"/>
      <c r="E291" s="13"/>
      <c r="F291" s="14"/>
      <c r="G291" s="13"/>
      <c r="H291" s="13"/>
      <c r="I291" s="14"/>
      <c r="J291" s="13"/>
      <c r="K291" s="111"/>
      <c r="L291" s="13"/>
    </row>
    <row r="292" spans="1:12" ht="14.45">
      <c r="A292" s="13"/>
      <c r="B292" s="18"/>
      <c r="C292" s="13"/>
      <c r="D292" s="13"/>
      <c r="E292" s="13"/>
      <c r="F292" s="14"/>
      <c r="G292" s="13"/>
      <c r="H292" s="13"/>
      <c r="I292" s="14"/>
      <c r="J292" s="13"/>
      <c r="K292" s="111"/>
      <c r="L292" s="13"/>
    </row>
    <row r="293" spans="1:12" ht="14.45">
      <c r="A293" s="13"/>
      <c r="B293" s="18"/>
      <c r="C293" s="13"/>
      <c r="D293" s="13"/>
      <c r="E293" s="13"/>
      <c r="F293" s="14"/>
      <c r="G293" s="13"/>
      <c r="H293" s="13"/>
      <c r="I293" s="14"/>
      <c r="J293" s="13"/>
      <c r="K293" s="111"/>
      <c r="L293" s="13"/>
    </row>
    <row r="294" spans="1:12" ht="14.45">
      <c r="A294" s="13"/>
      <c r="B294" s="18"/>
      <c r="C294" s="13"/>
      <c r="D294" s="13"/>
      <c r="E294" s="13"/>
      <c r="F294" s="14"/>
      <c r="G294" s="13"/>
      <c r="H294" s="13"/>
      <c r="I294" s="14"/>
      <c r="J294" s="13"/>
      <c r="K294" s="111"/>
      <c r="L294" s="13"/>
    </row>
    <row r="295" spans="1:12" ht="14.45">
      <c r="A295" s="13"/>
      <c r="B295" s="18"/>
      <c r="C295" s="13"/>
      <c r="D295" s="13"/>
      <c r="E295" s="13"/>
      <c r="F295" s="14"/>
      <c r="G295" s="13"/>
      <c r="H295" s="13"/>
      <c r="I295" s="14"/>
      <c r="J295" s="13"/>
      <c r="K295" s="111"/>
      <c r="L295" s="13"/>
    </row>
    <row r="296" spans="1:12" ht="14.45">
      <c r="A296" s="13"/>
      <c r="B296" s="18"/>
      <c r="C296" s="13"/>
      <c r="D296" s="13"/>
      <c r="E296" s="13"/>
      <c r="F296" s="14"/>
      <c r="G296" s="13"/>
      <c r="H296" s="13"/>
      <c r="I296" s="14"/>
      <c r="J296" s="13"/>
      <c r="K296" s="111"/>
      <c r="L296" s="13"/>
    </row>
    <row r="297" spans="1:12" ht="14.45">
      <c r="A297" s="13"/>
      <c r="B297" s="18"/>
      <c r="C297" s="13"/>
      <c r="D297" s="13"/>
      <c r="E297" s="13"/>
      <c r="F297" s="14"/>
      <c r="G297" s="13"/>
      <c r="H297" s="13"/>
      <c r="I297" s="14"/>
      <c r="J297" s="13"/>
      <c r="K297" s="111"/>
      <c r="L297" s="13"/>
    </row>
    <row r="298" spans="1:12" ht="14.45">
      <c r="A298" s="13"/>
      <c r="B298" s="18"/>
      <c r="C298" s="13"/>
      <c r="D298" s="13"/>
      <c r="E298" s="13"/>
      <c r="F298" s="14"/>
      <c r="G298" s="13"/>
      <c r="H298" s="13"/>
      <c r="I298" s="14"/>
      <c r="J298" s="13"/>
      <c r="K298" s="111"/>
      <c r="L298" s="13"/>
    </row>
    <row r="299" spans="1:12" ht="14.45">
      <c r="A299" s="13"/>
      <c r="B299" s="18"/>
      <c r="C299" s="13"/>
      <c r="D299" s="13"/>
      <c r="E299" s="13"/>
      <c r="F299" s="14"/>
      <c r="G299" s="13"/>
      <c r="H299" s="13"/>
      <c r="I299" s="14"/>
      <c r="J299" s="13"/>
      <c r="K299" s="111"/>
      <c r="L299" s="13"/>
    </row>
    <row r="300" spans="1:12" ht="14.45">
      <c r="A300" s="13"/>
      <c r="B300" s="18"/>
      <c r="C300" s="13"/>
      <c r="D300" s="13"/>
      <c r="E300" s="13"/>
      <c r="F300" s="14"/>
      <c r="G300" s="13"/>
      <c r="H300" s="13"/>
      <c r="I300" s="14"/>
      <c r="J300" s="13"/>
      <c r="K300" s="111"/>
      <c r="L300" s="13"/>
    </row>
    <row r="301" spans="1:12" ht="14.45">
      <c r="A301" s="13"/>
      <c r="B301" s="18"/>
      <c r="C301" s="13"/>
      <c r="D301" s="13"/>
      <c r="E301" s="13"/>
      <c r="F301" s="14"/>
      <c r="G301" s="13"/>
      <c r="H301" s="13"/>
      <c r="I301" s="14"/>
      <c r="J301" s="13"/>
      <c r="K301" s="111"/>
      <c r="L301" s="13"/>
    </row>
    <row r="302" spans="1:12" ht="14.45">
      <c r="A302" s="13"/>
      <c r="B302" s="18"/>
      <c r="C302" s="13"/>
      <c r="D302" s="13"/>
      <c r="E302" s="13"/>
      <c r="F302" s="14"/>
      <c r="G302" s="13"/>
      <c r="H302" s="13"/>
      <c r="I302" s="14"/>
      <c r="J302" s="13"/>
      <c r="K302" s="111"/>
      <c r="L302" s="13"/>
    </row>
    <row r="303" spans="1:12" ht="14.45">
      <c r="A303" s="13"/>
      <c r="B303" s="18"/>
      <c r="C303" s="13"/>
      <c r="D303" s="13"/>
      <c r="E303" s="13"/>
      <c r="F303" s="14"/>
      <c r="G303" s="13"/>
      <c r="H303" s="13"/>
      <c r="I303" s="14"/>
      <c r="J303" s="13"/>
      <c r="K303" s="111"/>
      <c r="L303" s="13"/>
    </row>
    <row r="304" spans="1:12" ht="14.45">
      <c r="A304" s="13"/>
      <c r="B304" s="18"/>
      <c r="C304" s="13"/>
      <c r="D304" s="13"/>
      <c r="E304" s="13"/>
      <c r="F304" s="14"/>
      <c r="G304" s="13"/>
      <c r="H304" s="13"/>
      <c r="I304" s="14"/>
      <c r="J304" s="13"/>
      <c r="K304" s="111"/>
      <c r="L304" s="13"/>
    </row>
    <row r="305" spans="1:12" ht="14.45">
      <c r="A305" s="13"/>
      <c r="B305" s="18"/>
      <c r="C305" s="13"/>
      <c r="D305" s="13"/>
      <c r="E305" s="13"/>
      <c r="F305" s="14"/>
      <c r="G305" s="13"/>
      <c r="H305" s="13"/>
      <c r="I305" s="14"/>
      <c r="J305" s="13"/>
      <c r="K305" s="111"/>
      <c r="L305" s="13"/>
    </row>
    <row r="306" spans="1:12" ht="14.45">
      <c r="A306" s="13"/>
      <c r="B306" s="18"/>
      <c r="C306" s="13"/>
      <c r="D306" s="13"/>
      <c r="E306" s="13"/>
      <c r="F306" s="14"/>
      <c r="G306" s="13"/>
      <c r="H306" s="13"/>
      <c r="I306" s="14"/>
      <c r="J306" s="13"/>
      <c r="K306" s="111"/>
      <c r="L306" s="13"/>
    </row>
    <row r="307" spans="1:12" ht="14.45">
      <c r="A307" s="13"/>
      <c r="B307" s="18"/>
      <c r="C307" s="13"/>
      <c r="D307" s="13"/>
      <c r="E307" s="13"/>
      <c r="F307" s="14"/>
      <c r="G307" s="13"/>
      <c r="H307" s="13"/>
      <c r="I307" s="14"/>
      <c r="J307" s="13"/>
      <c r="K307" s="111"/>
      <c r="L307" s="13"/>
    </row>
    <row r="308" spans="1:12" ht="14.45">
      <c r="A308" s="13"/>
      <c r="B308" s="18"/>
      <c r="C308" s="13"/>
      <c r="D308" s="13"/>
      <c r="E308" s="13"/>
      <c r="F308" s="14"/>
      <c r="G308" s="13"/>
      <c r="H308" s="13"/>
      <c r="I308" s="14"/>
      <c r="J308" s="13"/>
      <c r="K308" s="111"/>
      <c r="L308" s="13"/>
    </row>
    <row r="309" spans="1:12" ht="14.45">
      <c r="A309" s="13"/>
      <c r="B309" s="18"/>
      <c r="C309" s="13"/>
      <c r="D309" s="13"/>
      <c r="E309" s="13"/>
      <c r="F309" s="14"/>
      <c r="G309" s="13"/>
      <c r="H309" s="13"/>
      <c r="I309" s="14"/>
      <c r="J309" s="13"/>
      <c r="K309" s="111"/>
      <c r="L309" s="13"/>
    </row>
    <row r="310" spans="1:12" ht="14.45">
      <c r="A310" s="13"/>
      <c r="B310" s="18"/>
      <c r="C310" s="13"/>
      <c r="D310" s="13"/>
      <c r="E310" s="13"/>
      <c r="F310" s="14"/>
      <c r="G310" s="13"/>
      <c r="H310" s="13"/>
      <c r="I310" s="14"/>
      <c r="J310" s="13"/>
      <c r="K310" s="111"/>
      <c r="L310" s="13"/>
    </row>
    <row r="311" spans="1:12" ht="14.45">
      <c r="A311" s="13"/>
      <c r="B311" s="18"/>
      <c r="C311" s="13"/>
      <c r="D311" s="13"/>
      <c r="E311" s="13"/>
      <c r="F311" s="14"/>
      <c r="G311" s="13"/>
      <c r="H311" s="13"/>
      <c r="I311" s="14"/>
      <c r="J311" s="13"/>
      <c r="K311" s="111"/>
      <c r="L311" s="13"/>
    </row>
    <row r="312" spans="1:12" ht="14.45">
      <c r="A312" s="13"/>
      <c r="B312" s="18"/>
      <c r="C312" s="13"/>
      <c r="D312" s="13"/>
      <c r="E312" s="13"/>
      <c r="F312" s="14"/>
      <c r="G312" s="13"/>
      <c r="H312" s="13"/>
      <c r="I312" s="14"/>
      <c r="J312" s="13"/>
      <c r="K312" s="111"/>
      <c r="L312" s="13"/>
    </row>
    <row r="313" spans="1:12" ht="14.45">
      <c r="A313" s="13"/>
      <c r="B313" s="18"/>
      <c r="C313" s="13"/>
      <c r="D313" s="13"/>
      <c r="E313" s="13"/>
      <c r="F313" s="14"/>
      <c r="G313" s="13"/>
      <c r="H313" s="13"/>
      <c r="I313" s="14"/>
      <c r="J313" s="13"/>
      <c r="K313" s="111"/>
      <c r="L313" s="13"/>
    </row>
    <row r="314" spans="1:12" ht="14.45">
      <c r="A314" s="13"/>
      <c r="B314" s="18"/>
      <c r="C314" s="13"/>
      <c r="D314" s="13"/>
      <c r="E314" s="13"/>
      <c r="F314" s="14"/>
      <c r="G314" s="13"/>
      <c r="H314" s="13"/>
      <c r="I314" s="14"/>
      <c r="J314" s="13"/>
      <c r="K314" s="111"/>
      <c r="L314" s="13"/>
    </row>
    <row r="315" spans="1:12" ht="14.45">
      <c r="A315" s="13"/>
      <c r="B315" s="18"/>
      <c r="C315" s="13"/>
      <c r="D315" s="13"/>
      <c r="E315" s="13"/>
      <c r="F315" s="14"/>
      <c r="G315" s="13"/>
      <c r="H315" s="13"/>
      <c r="I315" s="14"/>
      <c r="J315" s="13"/>
      <c r="K315" s="111"/>
      <c r="L315" s="13"/>
    </row>
    <row r="316" spans="1:12" ht="14.45">
      <c r="A316" s="13"/>
      <c r="B316" s="18"/>
      <c r="C316" s="13"/>
      <c r="D316" s="13"/>
      <c r="E316" s="13"/>
      <c r="F316" s="14"/>
      <c r="G316" s="13"/>
      <c r="H316" s="13"/>
      <c r="I316" s="14"/>
      <c r="J316" s="13"/>
      <c r="K316" s="111"/>
      <c r="L316" s="13"/>
    </row>
    <row r="317" spans="1:12" ht="14.45">
      <c r="A317" s="13"/>
      <c r="B317" s="18"/>
      <c r="C317" s="13"/>
      <c r="D317" s="13"/>
      <c r="E317" s="13"/>
      <c r="F317" s="14"/>
      <c r="G317" s="13"/>
      <c r="H317" s="13"/>
      <c r="I317" s="14"/>
      <c r="J317" s="13"/>
      <c r="K317" s="111"/>
      <c r="L317" s="13"/>
    </row>
    <row r="318" spans="1:12" ht="14.45">
      <c r="A318" s="13"/>
      <c r="B318" s="18"/>
      <c r="C318" s="13"/>
      <c r="D318" s="13"/>
      <c r="E318" s="13"/>
      <c r="F318" s="14"/>
      <c r="G318" s="13"/>
      <c r="H318" s="13"/>
      <c r="I318" s="14"/>
      <c r="J318" s="13"/>
      <c r="K318" s="111"/>
      <c r="L318" s="13"/>
    </row>
    <row r="319" spans="1:12" ht="14.45">
      <c r="A319" s="13"/>
      <c r="B319" s="18"/>
      <c r="C319" s="13"/>
      <c r="D319" s="13"/>
      <c r="E319" s="13"/>
      <c r="F319" s="14"/>
      <c r="G319" s="13"/>
      <c r="H319" s="13"/>
      <c r="I319" s="14"/>
      <c r="J319" s="13"/>
      <c r="K319" s="111"/>
      <c r="L319" s="13"/>
    </row>
    <row r="320" spans="1:12" ht="14.45">
      <c r="A320" s="13"/>
      <c r="B320" s="18"/>
      <c r="C320" s="13"/>
      <c r="D320" s="13"/>
      <c r="E320" s="13"/>
      <c r="F320" s="14"/>
      <c r="G320" s="13"/>
      <c r="H320" s="13"/>
      <c r="I320" s="14"/>
      <c r="J320" s="13"/>
      <c r="K320" s="111"/>
      <c r="L320" s="13"/>
    </row>
    <row r="321" spans="1:12" ht="14.45">
      <c r="A321" s="13"/>
      <c r="B321" s="18"/>
      <c r="C321" s="13"/>
      <c r="D321" s="13"/>
      <c r="E321" s="13"/>
      <c r="F321" s="14"/>
      <c r="G321" s="13"/>
      <c r="H321" s="13"/>
      <c r="I321" s="14"/>
      <c r="J321" s="13"/>
      <c r="K321" s="111"/>
      <c r="L321" s="13"/>
    </row>
    <row r="322" spans="1:12" ht="14.45">
      <c r="A322" s="13"/>
      <c r="B322" s="18"/>
      <c r="C322" s="13"/>
      <c r="D322" s="13"/>
      <c r="E322" s="13"/>
      <c r="F322" s="14"/>
      <c r="G322" s="13"/>
      <c r="H322" s="13"/>
      <c r="I322" s="14"/>
      <c r="J322" s="13"/>
      <c r="K322" s="111"/>
      <c r="L322" s="13"/>
    </row>
    <row r="323" spans="1:12" ht="14.45">
      <c r="A323" s="13"/>
      <c r="B323" s="18"/>
      <c r="C323" s="13"/>
      <c r="D323" s="13"/>
      <c r="E323" s="13"/>
      <c r="F323" s="14"/>
      <c r="G323" s="13"/>
      <c r="H323" s="13"/>
      <c r="I323" s="14"/>
      <c r="J323" s="13"/>
      <c r="K323" s="111"/>
      <c r="L323" s="13"/>
    </row>
    <row r="324" spans="1:12" ht="14.45">
      <c r="A324" s="13"/>
      <c r="B324" s="18"/>
      <c r="C324" s="13"/>
      <c r="D324" s="13"/>
      <c r="E324" s="13"/>
      <c r="F324" s="14"/>
      <c r="G324" s="13"/>
      <c r="H324" s="13"/>
      <c r="I324" s="14"/>
      <c r="J324" s="13"/>
      <c r="K324" s="111"/>
      <c r="L324" s="13"/>
    </row>
    <row r="325" spans="1:12" ht="14.45">
      <c r="A325" s="13"/>
      <c r="B325" s="18"/>
      <c r="C325" s="13"/>
      <c r="D325" s="13"/>
      <c r="E325" s="13"/>
      <c r="F325" s="14"/>
      <c r="G325" s="13"/>
      <c r="H325" s="13"/>
      <c r="I325" s="14"/>
      <c r="J325" s="13"/>
      <c r="K325" s="111"/>
      <c r="L325" s="13"/>
    </row>
    <row r="326" spans="1:12" ht="14.45">
      <c r="A326" s="13"/>
      <c r="B326" s="18"/>
      <c r="C326" s="13"/>
      <c r="D326" s="13"/>
      <c r="E326" s="13"/>
      <c r="F326" s="14"/>
      <c r="G326" s="13"/>
      <c r="H326" s="13"/>
      <c r="I326" s="14"/>
      <c r="J326" s="13"/>
      <c r="K326" s="111"/>
      <c r="L326" s="13"/>
    </row>
    <row r="327" spans="1:12" ht="14.45">
      <c r="A327" s="13"/>
      <c r="B327" s="18"/>
      <c r="C327" s="13"/>
      <c r="D327" s="13"/>
      <c r="E327" s="13"/>
      <c r="F327" s="14"/>
      <c r="G327" s="13"/>
      <c r="H327" s="13"/>
      <c r="I327" s="14"/>
      <c r="J327" s="13"/>
      <c r="K327" s="111"/>
      <c r="L327" s="13"/>
    </row>
    <row r="328" spans="1:12" ht="14.45">
      <c r="A328" s="13"/>
      <c r="B328" s="18"/>
      <c r="C328" s="13"/>
      <c r="D328" s="13"/>
      <c r="E328" s="13"/>
      <c r="F328" s="14"/>
      <c r="G328" s="13"/>
      <c r="H328" s="13"/>
      <c r="I328" s="14"/>
      <c r="J328" s="13"/>
      <c r="K328" s="111"/>
      <c r="L328" s="13"/>
    </row>
    <row r="329" spans="1:12" ht="14.45">
      <c r="A329" s="13"/>
      <c r="B329" s="18"/>
      <c r="C329" s="13"/>
      <c r="D329" s="13"/>
      <c r="E329" s="13"/>
      <c r="F329" s="14"/>
      <c r="G329" s="13"/>
      <c r="H329" s="13"/>
      <c r="I329" s="14"/>
      <c r="J329" s="13"/>
      <c r="K329" s="111"/>
      <c r="L329" s="13"/>
    </row>
    <row r="330" spans="1:12" ht="14.45">
      <c r="A330" s="13"/>
      <c r="B330" s="18"/>
      <c r="C330" s="13"/>
      <c r="D330" s="13"/>
      <c r="E330" s="13"/>
      <c r="F330" s="14"/>
      <c r="G330" s="13"/>
      <c r="H330" s="13"/>
      <c r="I330" s="14"/>
      <c r="J330" s="13"/>
      <c r="K330" s="111"/>
      <c r="L330" s="13"/>
    </row>
    <row r="331" spans="1:12" ht="14.45">
      <c r="A331" s="13"/>
      <c r="B331" s="18"/>
      <c r="C331" s="13"/>
      <c r="D331" s="13"/>
      <c r="E331" s="13"/>
      <c r="F331" s="14"/>
      <c r="G331" s="13"/>
      <c r="H331" s="13"/>
      <c r="I331" s="14"/>
      <c r="J331" s="13"/>
      <c r="K331" s="111"/>
      <c r="L331" s="13"/>
    </row>
    <row r="332" spans="1:12" ht="14.45">
      <c r="A332" s="13"/>
      <c r="B332" s="18"/>
      <c r="C332" s="13"/>
      <c r="D332" s="13"/>
      <c r="E332" s="13"/>
      <c r="F332" s="14"/>
      <c r="G332" s="13"/>
      <c r="H332" s="13"/>
      <c r="I332" s="14"/>
      <c r="J332" s="13"/>
      <c r="K332" s="111"/>
      <c r="L332" s="13"/>
    </row>
    <row r="333" spans="1:12" ht="14.45">
      <c r="A333" s="13"/>
      <c r="B333" s="18"/>
      <c r="C333" s="13"/>
      <c r="D333" s="13"/>
      <c r="E333" s="13"/>
      <c r="F333" s="14"/>
      <c r="G333" s="13"/>
      <c r="H333" s="13"/>
      <c r="I333" s="14"/>
      <c r="J333" s="13"/>
      <c r="K333" s="111"/>
      <c r="L333" s="13"/>
    </row>
    <row r="334" spans="1:12" ht="14.45">
      <c r="A334" s="13"/>
      <c r="B334" s="18"/>
      <c r="C334" s="13"/>
      <c r="D334" s="13"/>
      <c r="E334" s="13"/>
      <c r="F334" s="14"/>
      <c r="G334" s="13"/>
      <c r="H334" s="13"/>
      <c r="I334" s="14"/>
      <c r="J334" s="13"/>
      <c r="K334" s="111"/>
      <c r="L334" s="13"/>
    </row>
    <row r="335" spans="1:12" ht="14.45">
      <c r="A335" s="13"/>
      <c r="B335" s="18"/>
      <c r="C335" s="13"/>
      <c r="D335" s="13"/>
      <c r="E335" s="13"/>
      <c r="F335" s="14"/>
      <c r="G335" s="13"/>
      <c r="H335" s="13"/>
      <c r="I335" s="14"/>
      <c r="J335" s="13"/>
      <c r="K335" s="111"/>
      <c r="L335" s="13"/>
    </row>
    <row r="336" spans="1:12" ht="14.45">
      <c r="A336" s="13"/>
      <c r="B336" s="18"/>
      <c r="C336" s="13"/>
      <c r="D336" s="13"/>
      <c r="E336" s="13"/>
      <c r="F336" s="14"/>
      <c r="G336" s="13"/>
      <c r="H336" s="13"/>
      <c r="I336" s="14"/>
      <c r="J336" s="13"/>
      <c r="K336" s="111"/>
      <c r="L336" s="13"/>
    </row>
    <row r="337" spans="1:12" ht="14.45">
      <c r="A337" s="13"/>
      <c r="B337" s="18"/>
      <c r="C337" s="13"/>
      <c r="D337" s="13"/>
      <c r="E337" s="13"/>
      <c r="F337" s="14"/>
      <c r="G337" s="13"/>
      <c r="H337" s="13"/>
      <c r="I337" s="14"/>
      <c r="J337" s="13"/>
      <c r="K337" s="111"/>
      <c r="L337" s="13"/>
    </row>
    <row r="338" spans="1:12" ht="14.45">
      <c r="A338" s="13"/>
      <c r="B338" s="18"/>
      <c r="C338" s="13"/>
      <c r="D338" s="13"/>
      <c r="E338" s="13"/>
      <c r="F338" s="14"/>
      <c r="G338" s="13"/>
      <c r="H338" s="13"/>
      <c r="I338" s="14"/>
      <c r="J338" s="13"/>
      <c r="K338" s="111"/>
      <c r="L338" s="13"/>
    </row>
    <row r="339" spans="1:12" ht="14.45">
      <c r="A339" s="13"/>
      <c r="B339" s="18"/>
      <c r="C339" s="13"/>
      <c r="D339" s="13"/>
      <c r="E339" s="13"/>
      <c r="F339" s="14"/>
      <c r="G339" s="13"/>
      <c r="H339" s="13"/>
      <c r="I339" s="14"/>
      <c r="J339" s="13"/>
      <c r="K339" s="111"/>
      <c r="L339" s="13"/>
    </row>
    <row r="340" spans="1:12" ht="14.45">
      <c r="A340" s="13"/>
      <c r="B340" s="18"/>
      <c r="C340" s="13"/>
      <c r="D340" s="13"/>
      <c r="E340" s="13"/>
      <c r="F340" s="14"/>
      <c r="G340" s="13"/>
      <c r="H340" s="13"/>
      <c r="I340" s="14"/>
      <c r="J340" s="13"/>
      <c r="K340" s="111"/>
      <c r="L340" s="13"/>
    </row>
    <row r="341" spans="1:12" ht="14.45">
      <c r="C341" s="13"/>
      <c r="D341" s="13"/>
      <c r="E341" s="13"/>
      <c r="F341" s="14"/>
      <c r="G341" s="13"/>
      <c r="H341" s="13"/>
      <c r="I341" s="14"/>
      <c r="J341" s="13"/>
      <c r="K341" s="111"/>
      <c r="L341" s="13"/>
    </row>
  </sheetData>
  <mergeCells count="4">
    <mergeCell ref="G1:I1"/>
    <mergeCell ref="A1:C1"/>
    <mergeCell ref="D1:F1"/>
    <mergeCell ref="A2:B2"/>
  </mergeCells>
  <conditionalFormatting sqref="F2 I2 F4:F99 I4:I99">
    <cfRule type="cellIs" dxfId="6" priority="3" stopIfTrue="1" operator="lessThanOrEqual">
      <formula>-0.1</formula>
    </cfRule>
    <cfRule type="expression" dxfId="5" priority="4">
      <formula>AND(ISNUMBER(F2), F2&gt;=0.1)</formula>
    </cfRule>
  </conditionalFormatting>
  <hyperlinks>
    <hyperlink ref="K4" r:id="rId1" display="https://us3.assetplanner.com/service_request?ID=093438" xr:uid="{41403023-4FFF-4E6A-9940-64EA45DFC73A}"/>
    <hyperlink ref="K7" r:id="rId2" display="https://us3.assetplanner.com/service_request?ID=110658" xr:uid="{557FB3FE-3E10-4BDA-8A03-8B0E2D4DA822}"/>
    <hyperlink ref="K9" r:id="rId3" display="https://us3.assetplanner.com/service_request?ID=110499" xr:uid="{2FDCECBC-F09F-4622-807E-F4812423F426}"/>
    <hyperlink ref="K10" r:id="rId4" display="https://us3.assetplanner.com/service_request?ID=110849" xr:uid="{3A3E4F7D-93A9-418F-ADE4-0D58995900F4}"/>
    <hyperlink ref="K24" r:id="rId5" display="https://us3.assetplanner.com/service_request?ID=110659" xr:uid="{E53D3CD4-E129-481E-8EE7-438BC9C21CD9}"/>
    <hyperlink ref="K25" r:id="rId6" display="https://us3.assetplanner.com/service_request?ID=111020" xr:uid="{607E9EA3-FC4F-4FAC-A4DB-E280137DDFE5}"/>
    <hyperlink ref="K26" r:id="rId7" display="https://us3.assetplanner.com/service_request?ID=111501" xr:uid="{0579FEAD-0763-4224-BD9D-A3BF5EE3276A}"/>
    <hyperlink ref="N26" r:id="rId8" display="https://us3.assetplanner.com/service_request?ID=108532" xr:uid="{277B9059-B1BE-45E6-9301-1DD3ECC164B8}"/>
    <hyperlink ref="O26" r:id="rId9" display="https://us3.assetplanner.com/service_request?ID=111020" xr:uid="{E5BCBA81-435E-4887-A3A4-490F308C72FC}"/>
    <hyperlink ref="M26" r:id="rId10" display="https://us3.assetplanner.com/service_request?ID=110389" xr:uid="{734445FD-BE13-474C-B342-54628E4B5E9D}"/>
    <hyperlink ref="M24" r:id="rId11" display="https://us3.assetplanner.com/service_request?ID=110811" xr:uid="{F3C9A9B3-4487-43AF-B9B1-DE01334E44F0}"/>
    <hyperlink ref="M4" r:id="rId12" display="https://us3.assetplanner.com/service_request?ID=111486" xr:uid="{EC50FB00-B633-4475-AE58-FB0FBF71233D}"/>
  </hyperlinks>
  <pageMargins left="0.4" right="0.7" top="0.25" bottom="0.25" header="0.3" footer="0.3"/>
  <pageSetup fitToHeight="99" orientation="landscape" r:id="rId1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N341"/>
  <sheetViews>
    <sheetView tabSelected="1" zoomScale="70" zoomScaleNormal="70" workbookViewId="0">
      <pane xSplit="2" ySplit="3" topLeftCell="C17" activePane="bottomRight" state="frozen"/>
      <selection pane="bottomRight" activeCell="J19" sqref="J19"/>
      <selection pane="bottomLeft" activeCell="J14" sqref="J14"/>
      <selection pane="topRight" activeCell="J14" sqref="J1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5.140625" customWidth="1"/>
  </cols>
  <sheetData>
    <row r="1" spans="1:14" ht="19.5" customHeight="1">
      <c r="A1" s="115" t="str" cm="1">
        <f t="array" ref="A1">portfolio</f>
        <v>38 DN</v>
      </c>
      <c r="B1" s="115"/>
      <c r="C1" s="115"/>
      <c r="D1" s="116" t="s">
        <v>373</v>
      </c>
      <c r="E1" s="116"/>
      <c r="F1" s="116"/>
      <c r="G1" s="114" t="s">
        <v>374</v>
      </c>
      <c r="H1" s="114"/>
      <c r="I1" s="114"/>
      <c r="J1" s="4"/>
      <c r="K1" s="4"/>
      <c r="L1" s="4"/>
    </row>
    <row r="2" spans="1:14" ht="19.5" customHeight="1">
      <c r="A2" s="117" t="s">
        <v>2</v>
      </c>
      <c r="B2" s="117"/>
      <c r="C2" s="5">
        <f>SUM(C4:C99)</f>
        <v>2162576</v>
      </c>
      <c r="D2" s="5">
        <f>SUM(D4:D99)</f>
        <v>3142773.8309999993</v>
      </c>
      <c r="E2" s="5">
        <f>C2-D2</f>
        <v>-980197.83099999931</v>
      </c>
      <c r="F2" s="6">
        <f>IFERROR(E2/D2, 0)</f>
        <v>-0.31188939570879337</v>
      </c>
      <c r="G2" s="5">
        <f>SUM(G4:G99)</f>
        <v>2735775.6969999997</v>
      </c>
      <c r="H2" s="7">
        <f>C2-G2</f>
        <v>-573199.69699999969</v>
      </c>
      <c r="I2" s="6">
        <f>IFERROR(H2/G2, 0)</f>
        <v>-0.20951999011781547</v>
      </c>
      <c r="J2" s="16" t="str">
        <f ca="1">IF(AND(TODAY()&gt;DATE(2024, 12, 1), COUNTA(Sites[Site])&lt;&gt;(COUNT(C:C)-1)), "Some sites are missing actual data; if new sites were added, make sure they are aligned correctly (including prior months!)", "")</f>
        <v/>
      </c>
      <c r="K2" s="4"/>
      <c r="L2" s="4"/>
    </row>
    <row r="3" spans="1:14" ht="14.25" customHeight="1">
      <c r="A3" s="17" t="s">
        <v>3</v>
      </c>
      <c r="B3" s="17" t="s">
        <v>4</v>
      </c>
      <c r="C3" s="27" t="s">
        <v>5</v>
      </c>
      <c r="D3" s="28" t="s">
        <v>6</v>
      </c>
      <c r="E3" s="28" t="s">
        <v>7</v>
      </c>
      <c r="F3" s="29" t="s">
        <v>8</v>
      </c>
      <c r="G3" s="30" t="s">
        <v>9</v>
      </c>
      <c r="H3" s="31" t="s">
        <v>7</v>
      </c>
      <c r="I3" s="32" t="s">
        <v>8</v>
      </c>
      <c r="J3" s="15" t="s">
        <v>20</v>
      </c>
      <c r="K3" s="15" t="s">
        <v>21</v>
      </c>
      <c r="L3" s="15" t="s">
        <v>294</v>
      </c>
    </row>
    <row r="4" spans="1:14" ht="15.6">
      <c r="A4" s="47" t="str" cm="1">
        <f t="array" ref="A4:A27">Sites[Site]</f>
        <v>6th St.</v>
      </c>
      <c r="B4" s="48" t="str" cm="1">
        <f t="array" ref="B4:B27">Sites[State]</f>
        <v>CA</v>
      </c>
      <c r="C4" s="36">
        <v>107526.5</v>
      </c>
      <c r="D4" s="37">
        <v>78088.27</v>
      </c>
      <c r="E4" s="37">
        <f>IF(AND(ISNUMBER(C4),ISNUMBER(D4)), C4-D4, "")</f>
        <v>29438.229999999996</v>
      </c>
      <c r="F4" s="38">
        <f>IFERROR(E4/D4, "")</f>
        <v>0.37698658197959817</v>
      </c>
      <c r="G4" s="39">
        <v>137198.1</v>
      </c>
      <c r="H4" s="39">
        <f>IF(AND(ISNUMBER(C4),ISNUMBER(G4)), C4-G4, "")</f>
        <v>-29671.600000000006</v>
      </c>
      <c r="I4" s="40">
        <f>IFERROR(H4/G4, "")</f>
        <v>-0.21626830109163322</v>
      </c>
      <c r="J4" s="57" t="s">
        <v>375</v>
      </c>
      <c r="K4" s="89" t="s">
        <v>376</v>
      </c>
      <c r="L4" s="57" t="s">
        <v>300</v>
      </c>
    </row>
    <row r="5" spans="1:14" ht="39.6">
      <c r="A5" s="49" t="str">
        <v>Barton Acres</v>
      </c>
      <c r="B5" s="50" t="str">
        <v>MA</v>
      </c>
      <c r="C5" s="43">
        <v>18525</v>
      </c>
      <c r="D5" s="44">
        <v>97611.9</v>
      </c>
      <c r="E5" s="44">
        <f t="shared" ref="E5:E27" si="0">IF(AND(ISNUMBER(C5),ISNUMBER(D5)), C5-D5, "")</f>
        <v>-79086.899999999994</v>
      </c>
      <c r="F5" s="45">
        <f>IFERROR(E5/D5, "")</f>
        <v>-0.81021781155781214</v>
      </c>
      <c r="G5" s="46">
        <v>55592.25</v>
      </c>
      <c r="H5" s="46">
        <f t="shared" ref="H5:H27" si="1">IF(AND(ISNUMBER(C5),ISNUMBER(G5)), C5-G5, "")</f>
        <v>-37067.25</v>
      </c>
      <c r="I5" s="45">
        <f t="shared" ref="I5:I27" si="2">IFERROR(H5/G5, "")</f>
        <v>-0.66677009835003975</v>
      </c>
      <c r="J5" s="69" t="s">
        <v>377</v>
      </c>
      <c r="K5" s="101" t="s">
        <v>378</v>
      </c>
      <c r="L5" s="58" t="s">
        <v>379</v>
      </c>
      <c r="M5" s="84" t="s">
        <v>380</v>
      </c>
    </row>
    <row r="6" spans="1:14" ht="28.9">
      <c r="A6" s="51" t="str">
        <v>Bowden</v>
      </c>
      <c r="B6" s="48" t="str">
        <v>MA</v>
      </c>
      <c r="C6" s="36">
        <v>97236</v>
      </c>
      <c r="D6" s="37">
        <v>161095.4</v>
      </c>
      <c r="E6" s="37">
        <f t="shared" si="0"/>
        <v>-63859.399999999994</v>
      </c>
      <c r="F6" s="38">
        <f t="shared" ref="F6:F27" si="3">IFERROR(E6/D6, "")</f>
        <v>-0.3964073462060369</v>
      </c>
      <c r="G6" s="39">
        <v>151302.1</v>
      </c>
      <c r="H6" s="39">
        <f t="shared" si="1"/>
        <v>-54066.100000000006</v>
      </c>
      <c r="I6" s="40">
        <f t="shared" si="2"/>
        <v>-0.35733872827938279</v>
      </c>
      <c r="J6" s="57" t="s">
        <v>381</v>
      </c>
      <c r="K6" s="57"/>
      <c r="L6" s="57"/>
    </row>
    <row r="7" spans="1:14" ht="28.9">
      <c r="A7" s="49" t="str">
        <v>Blair Wire Village</v>
      </c>
      <c r="B7" s="50" t="str">
        <v>MA</v>
      </c>
      <c r="C7" s="43">
        <v>57716</v>
      </c>
      <c r="D7" s="44">
        <v>122048.9</v>
      </c>
      <c r="E7" s="44">
        <f t="shared" si="0"/>
        <v>-64332.899999999994</v>
      </c>
      <c r="F7" s="45">
        <f t="shared" si="3"/>
        <v>-0.52710757737267599</v>
      </c>
      <c r="G7" s="46">
        <v>78138.490000000005</v>
      </c>
      <c r="H7" s="46">
        <f t="shared" si="1"/>
        <v>-20422.490000000005</v>
      </c>
      <c r="I7" s="45">
        <f t="shared" si="2"/>
        <v>-0.26136274197261816</v>
      </c>
      <c r="J7" s="58" t="s">
        <v>382</v>
      </c>
      <c r="K7" s="59"/>
      <c r="L7" s="59"/>
    </row>
    <row r="8" spans="1:14" ht="43.15">
      <c r="A8" s="51" t="str">
        <v>Boutilier</v>
      </c>
      <c r="B8" s="48" t="str">
        <v>MA</v>
      </c>
      <c r="C8" s="36">
        <v>169067</v>
      </c>
      <c r="D8" s="37">
        <v>236285.6</v>
      </c>
      <c r="E8" s="37">
        <f t="shared" si="0"/>
        <v>-67218.600000000006</v>
      </c>
      <c r="F8" s="38">
        <f t="shared" si="3"/>
        <v>-0.28448030688285703</v>
      </c>
      <c r="G8" s="39">
        <v>152607</v>
      </c>
      <c r="H8" s="39">
        <f t="shared" si="1"/>
        <v>16460</v>
      </c>
      <c r="I8" s="40">
        <f t="shared" si="2"/>
        <v>0.10785874828808639</v>
      </c>
      <c r="J8" s="57" t="s">
        <v>383</v>
      </c>
      <c r="K8" s="57"/>
      <c r="L8" s="57"/>
    </row>
    <row r="9" spans="1:14" ht="15.6">
      <c r="A9" s="49" t="str">
        <v>Cherry Valley</v>
      </c>
      <c r="B9" s="50" t="str">
        <v>MA</v>
      </c>
      <c r="C9" s="43">
        <v>51620</v>
      </c>
      <c r="D9" s="44">
        <v>124929</v>
      </c>
      <c r="E9" s="44">
        <f t="shared" si="0"/>
        <v>-73309</v>
      </c>
      <c r="F9" s="45">
        <f t="shared" si="3"/>
        <v>-0.58680530541347486</v>
      </c>
      <c r="G9" s="46">
        <v>61768.37</v>
      </c>
      <c r="H9" s="46">
        <f t="shared" si="1"/>
        <v>-10148.370000000003</v>
      </c>
      <c r="I9" s="45">
        <f t="shared" si="2"/>
        <v>-0.16429719612157487</v>
      </c>
      <c r="J9" s="67" t="s">
        <v>384</v>
      </c>
      <c r="K9" s="77"/>
      <c r="L9" s="77"/>
    </row>
    <row r="10" spans="1:14" ht="28.9">
      <c r="A10" s="51" t="str">
        <v>Cohasse</v>
      </c>
      <c r="B10" s="48" t="str">
        <v>MA</v>
      </c>
      <c r="C10" s="36">
        <v>60454</v>
      </c>
      <c r="D10" s="37">
        <v>115217</v>
      </c>
      <c r="E10" s="37">
        <f t="shared" si="0"/>
        <v>-54763</v>
      </c>
      <c r="F10" s="38">
        <f t="shared" si="3"/>
        <v>-0.47530312367098604</v>
      </c>
      <c r="G10" s="39">
        <v>95767.28</v>
      </c>
      <c r="H10" s="39">
        <f t="shared" si="1"/>
        <v>-35313.279999999999</v>
      </c>
      <c r="I10" s="40">
        <f t="shared" si="2"/>
        <v>-0.36874055522930171</v>
      </c>
      <c r="J10" s="57" t="s">
        <v>385</v>
      </c>
      <c r="K10" s="89" t="s">
        <v>386</v>
      </c>
      <c r="L10" s="57" t="s">
        <v>379</v>
      </c>
      <c r="M10" s="84" t="s">
        <v>387</v>
      </c>
    </row>
    <row r="11" spans="1:14" ht="57.6">
      <c r="A11" s="49" t="str">
        <v>ISM Dighton Solar 2</v>
      </c>
      <c r="B11" s="50" t="str">
        <v>MA</v>
      </c>
      <c r="C11" s="43">
        <v>174346</v>
      </c>
      <c r="D11" s="44">
        <v>215631.8</v>
      </c>
      <c r="E11" s="44">
        <f t="shared" si="0"/>
        <v>-41285.799999999988</v>
      </c>
      <c r="F11" s="45">
        <f t="shared" si="3"/>
        <v>-0.19146433874780988</v>
      </c>
      <c r="G11" s="46">
        <v>185345</v>
      </c>
      <c r="H11" s="46">
        <f t="shared" si="1"/>
        <v>-10999</v>
      </c>
      <c r="I11" s="45">
        <f t="shared" si="2"/>
        <v>-5.9343386657314735E-2</v>
      </c>
      <c r="J11" s="58" t="s">
        <v>388</v>
      </c>
      <c r="K11" s="101" t="s">
        <v>389</v>
      </c>
      <c r="L11" s="76" t="s">
        <v>390</v>
      </c>
      <c r="M11" s="84" t="s">
        <v>391</v>
      </c>
      <c r="N11" s="84" t="s">
        <v>392</v>
      </c>
    </row>
    <row r="12" spans="1:14" ht="72">
      <c r="A12" s="51" t="str">
        <v>Dudley River 1</v>
      </c>
      <c r="B12" s="48" t="str">
        <v>MA</v>
      </c>
      <c r="C12" s="36">
        <v>69228</v>
      </c>
      <c r="D12" s="37">
        <v>86922.2</v>
      </c>
      <c r="E12" s="37">
        <f t="shared" si="0"/>
        <v>-17694.199999999997</v>
      </c>
      <c r="F12" s="38">
        <f t="shared" si="3"/>
        <v>-0.20356364657130166</v>
      </c>
      <c r="G12" s="39">
        <v>78881.34</v>
      </c>
      <c r="H12" s="39">
        <f t="shared" si="1"/>
        <v>-9653.3399999999965</v>
      </c>
      <c r="I12" s="40">
        <f t="shared" si="2"/>
        <v>-0.12237799205743712</v>
      </c>
      <c r="J12" s="66" t="s">
        <v>393</v>
      </c>
      <c r="K12" s="80" t="s">
        <v>394</v>
      </c>
      <c r="L12" s="66" t="s">
        <v>318</v>
      </c>
      <c r="M12" s="84" t="s">
        <v>395</v>
      </c>
      <c r="N12" s="84" t="s">
        <v>396</v>
      </c>
    </row>
    <row r="13" spans="1:14" ht="15.6">
      <c r="A13" s="49" t="str">
        <v>Dudley River 2</v>
      </c>
      <c r="B13" s="50" t="str">
        <v>MA</v>
      </c>
      <c r="C13" s="43">
        <v>71425</v>
      </c>
      <c r="D13" s="44">
        <v>87915.66</v>
      </c>
      <c r="E13" s="44">
        <f t="shared" si="0"/>
        <v>-16490.660000000003</v>
      </c>
      <c r="F13" s="45">
        <f t="shared" si="3"/>
        <v>-0.18757363591423876</v>
      </c>
      <c r="G13" s="46">
        <v>77679.55</v>
      </c>
      <c r="H13" s="46">
        <f t="shared" si="1"/>
        <v>-6254.5500000000029</v>
      </c>
      <c r="I13" s="45">
        <f t="shared" si="2"/>
        <v>-8.051733049431932E-2</v>
      </c>
      <c r="J13" s="58" t="s">
        <v>397</v>
      </c>
      <c r="K13" s="59"/>
      <c r="L13" s="59"/>
    </row>
    <row r="14" spans="1:14" ht="43.15">
      <c r="A14" s="51" t="str">
        <v>Dudley River 3</v>
      </c>
      <c r="B14" s="48" t="str">
        <v>MA</v>
      </c>
      <c r="C14" s="36">
        <v>72217</v>
      </c>
      <c r="D14" s="37">
        <v>89676.05</v>
      </c>
      <c r="E14" s="37">
        <f t="shared" si="0"/>
        <v>-17459.050000000003</v>
      </c>
      <c r="F14" s="38">
        <f t="shared" si="3"/>
        <v>-0.19469022107909528</v>
      </c>
      <c r="G14" s="39">
        <v>80560.12</v>
      </c>
      <c r="H14" s="39">
        <f t="shared" si="1"/>
        <v>-8343.1199999999953</v>
      </c>
      <c r="I14" s="40">
        <f t="shared" si="2"/>
        <v>-0.10356389737254607</v>
      </c>
      <c r="J14" s="66" t="s">
        <v>398</v>
      </c>
      <c r="K14" s="80" t="s">
        <v>399</v>
      </c>
      <c r="L14" s="66" t="s">
        <v>300</v>
      </c>
    </row>
    <row r="15" spans="1:14" ht="30.75">
      <c r="A15" s="49" t="str">
        <v>Flint Pond</v>
      </c>
      <c r="B15" s="50" t="str">
        <v>MA</v>
      </c>
      <c r="C15" s="43">
        <v>23862.5</v>
      </c>
      <c r="D15" s="44">
        <v>54213.38</v>
      </c>
      <c r="E15" s="44">
        <f t="shared" si="0"/>
        <v>-30350.879999999997</v>
      </c>
      <c r="F15" s="45">
        <f t="shared" si="3"/>
        <v>-0.55984113146975889</v>
      </c>
      <c r="G15" s="46">
        <v>26745.54</v>
      </c>
      <c r="H15" s="46">
        <f t="shared" si="1"/>
        <v>-2883.0400000000009</v>
      </c>
      <c r="I15" s="45">
        <f t="shared" si="2"/>
        <v>-0.10779516883936539</v>
      </c>
      <c r="J15" s="113" t="s">
        <v>400</v>
      </c>
      <c r="K15" s="77"/>
      <c r="L15" s="77"/>
    </row>
    <row r="16" spans="1:14" ht="45.75">
      <c r="A16" s="51" t="str">
        <v>Incom</v>
      </c>
      <c r="B16" s="48" t="str">
        <v>MA</v>
      </c>
      <c r="C16" s="36">
        <v>146298</v>
      </c>
      <c r="D16" s="37">
        <v>198085.4</v>
      </c>
      <c r="E16" s="37">
        <f t="shared" si="0"/>
        <v>-51787.399999999994</v>
      </c>
      <c r="F16" s="38">
        <f t="shared" si="3"/>
        <v>-0.26143976284976073</v>
      </c>
      <c r="G16" s="39">
        <v>185258.2</v>
      </c>
      <c r="H16" s="39">
        <f t="shared" si="1"/>
        <v>-38960.200000000012</v>
      </c>
      <c r="I16" s="40">
        <f t="shared" si="2"/>
        <v>-0.21030216206354163</v>
      </c>
      <c r="J16" s="94" t="s">
        <v>401</v>
      </c>
      <c r="K16" s="57"/>
      <c r="L16" s="57"/>
    </row>
    <row r="17" spans="1:14" ht="45.75">
      <c r="A17" s="49" t="str">
        <v>JH</v>
      </c>
      <c r="B17" s="50" t="str">
        <v>MA</v>
      </c>
      <c r="C17" s="43">
        <v>53682</v>
      </c>
      <c r="D17" s="44">
        <v>121421.8</v>
      </c>
      <c r="E17" s="44">
        <f t="shared" si="0"/>
        <v>-67739.8</v>
      </c>
      <c r="F17" s="45">
        <f t="shared" si="3"/>
        <v>-0.55788828694682502</v>
      </c>
      <c r="G17" s="46">
        <v>88166.27</v>
      </c>
      <c r="H17" s="46">
        <f t="shared" si="1"/>
        <v>-34484.270000000004</v>
      </c>
      <c r="I17" s="45">
        <f t="shared" si="2"/>
        <v>-0.39112769543273185</v>
      </c>
      <c r="J17" s="58" t="s">
        <v>402</v>
      </c>
      <c r="K17" s="77"/>
      <c r="L17" s="77"/>
    </row>
    <row r="18" spans="1:14" ht="36.4" customHeight="1">
      <c r="A18" s="51" t="str">
        <v>Ledeaux</v>
      </c>
      <c r="B18" s="48" t="str">
        <v>MA</v>
      </c>
      <c r="C18" s="36">
        <v>47352</v>
      </c>
      <c r="D18" s="37">
        <v>77444.05</v>
      </c>
      <c r="E18" s="37">
        <f t="shared" si="0"/>
        <v>-30092.050000000003</v>
      </c>
      <c r="F18" s="38">
        <f t="shared" si="3"/>
        <v>-0.38856503501560163</v>
      </c>
      <c r="G18" s="39">
        <v>82152.33</v>
      </c>
      <c r="H18" s="39">
        <f t="shared" si="1"/>
        <v>-34800.33</v>
      </c>
      <c r="I18" s="40">
        <f t="shared" si="2"/>
        <v>-0.42360734016917112</v>
      </c>
      <c r="J18" s="57" t="s">
        <v>403</v>
      </c>
      <c r="K18" s="57"/>
      <c r="L18" s="57"/>
    </row>
    <row r="19" spans="1:14" ht="45.75">
      <c r="A19" s="49" t="str">
        <v>Palombo A</v>
      </c>
      <c r="B19" s="50" t="str">
        <v>MA</v>
      </c>
      <c r="C19" s="43">
        <v>135357</v>
      </c>
      <c r="D19" s="44">
        <v>224288.5</v>
      </c>
      <c r="E19" s="44">
        <f t="shared" si="0"/>
        <v>-88931.5</v>
      </c>
      <c r="F19" s="45">
        <f t="shared" si="3"/>
        <v>-0.39650494786848189</v>
      </c>
      <c r="G19" s="46">
        <v>203887.7</v>
      </c>
      <c r="H19" s="46">
        <f t="shared" si="1"/>
        <v>-68530.700000000012</v>
      </c>
      <c r="I19" s="45">
        <f t="shared" si="2"/>
        <v>-0.33611983459522082</v>
      </c>
      <c r="J19" s="69" t="s">
        <v>404</v>
      </c>
      <c r="K19" s="58"/>
      <c r="L19" s="58"/>
    </row>
    <row r="20" spans="1:14" ht="45.75">
      <c r="A20" s="51" t="str">
        <v>Palombo B</v>
      </c>
      <c r="B20" s="48" t="str">
        <v>MA</v>
      </c>
      <c r="C20" s="36">
        <v>54484</v>
      </c>
      <c r="D20" s="37">
        <v>113914.8</v>
      </c>
      <c r="E20" s="37">
        <f t="shared" si="0"/>
        <v>-59430.8</v>
      </c>
      <c r="F20" s="38">
        <f t="shared" si="3"/>
        <v>-0.52171271862830815</v>
      </c>
      <c r="G20" s="39">
        <v>57339.39</v>
      </c>
      <c r="H20" s="39">
        <f t="shared" si="1"/>
        <v>-2855.3899999999994</v>
      </c>
      <c r="I20" s="40">
        <f t="shared" si="2"/>
        <v>-4.9798053310298546E-2</v>
      </c>
      <c r="J20" s="57" t="s">
        <v>405</v>
      </c>
      <c r="K20" s="57"/>
      <c r="L20" s="57"/>
    </row>
    <row r="21" spans="1:14" ht="28.9">
      <c r="A21" s="49" t="str">
        <v>St Josephs Church</v>
      </c>
      <c r="B21" s="50" t="str">
        <v>MA</v>
      </c>
      <c r="C21" s="43">
        <v>63552</v>
      </c>
      <c r="D21" s="44">
        <v>118993.4</v>
      </c>
      <c r="E21" s="44">
        <f t="shared" si="0"/>
        <v>-55441.399999999994</v>
      </c>
      <c r="F21" s="45">
        <f t="shared" si="3"/>
        <v>-0.46591995858593838</v>
      </c>
      <c r="G21" s="46">
        <v>75480.36</v>
      </c>
      <c r="H21" s="46">
        <f t="shared" si="1"/>
        <v>-11928.36</v>
      </c>
      <c r="I21" s="45">
        <f t="shared" si="2"/>
        <v>-0.15803263259475711</v>
      </c>
      <c r="J21" s="58" t="s">
        <v>406</v>
      </c>
      <c r="K21" s="59"/>
      <c r="L21" s="59"/>
    </row>
    <row r="22" spans="1:14" ht="28.9">
      <c r="A22" s="51" t="str">
        <v>Sunset A</v>
      </c>
      <c r="B22" s="48" t="str">
        <v>MA</v>
      </c>
      <c r="C22" s="36">
        <v>26033.5</v>
      </c>
      <c r="D22" s="37">
        <v>57900.37</v>
      </c>
      <c r="E22" s="37">
        <f t="shared" si="0"/>
        <v>-31866.870000000003</v>
      </c>
      <c r="F22" s="38">
        <f t="shared" si="3"/>
        <v>-0.55037420313548946</v>
      </c>
      <c r="G22" s="39">
        <v>26171.18</v>
      </c>
      <c r="H22" s="39">
        <f t="shared" si="1"/>
        <v>-137.68000000000029</v>
      </c>
      <c r="I22" s="40">
        <f t="shared" si="2"/>
        <v>-5.2607486555822204E-3</v>
      </c>
      <c r="J22" s="74" t="s">
        <v>359</v>
      </c>
      <c r="K22" s="57"/>
      <c r="L22" s="57"/>
    </row>
    <row r="23" spans="1:14" ht="15.6">
      <c r="A23" s="49" t="str">
        <v>Sunset B</v>
      </c>
      <c r="B23" s="50" t="str">
        <v>MA</v>
      </c>
      <c r="C23" s="43">
        <v>25128.5</v>
      </c>
      <c r="D23" s="44">
        <v>38322.550000000003</v>
      </c>
      <c r="E23" s="44">
        <f t="shared" si="0"/>
        <v>-13194.050000000003</v>
      </c>
      <c r="F23" s="45">
        <f t="shared" si="3"/>
        <v>-0.34428945881732825</v>
      </c>
      <c r="G23" s="46">
        <v>25859.21</v>
      </c>
      <c r="H23" s="46">
        <f t="shared" si="1"/>
        <v>-730.70999999999913</v>
      </c>
      <c r="I23" s="45">
        <f t="shared" si="2"/>
        <v>-2.8257243744105067E-2</v>
      </c>
      <c r="J23" s="69" t="s">
        <v>360</v>
      </c>
      <c r="K23" s="75"/>
      <c r="L23" s="75"/>
    </row>
    <row r="24" spans="1:14" ht="15.6">
      <c r="A24" s="51" t="str">
        <v>Woodchuck</v>
      </c>
      <c r="B24" s="48" t="str">
        <v>MA</v>
      </c>
      <c r="C24" s="36">
        <v>49296</v>
      </c>
      <c r="D24" s="37">
        <v>87455.16</v>
      </c>
      <c r="E24" s="37">
        <f t="shared" si="0"/>
        <v>-38159.160000000003</v>
      </c>
      <c r="F24" s="38">
        <f t="shared" si="3"/>
        <v>-0.43632828526069817</v>
      </c>
      <c r="G24" s="39">
        <v>79207.44</v>
      </c>
      <c r="H24" s="39">
        <f t="shared" si="1"/>
        <v>-29911.440000000002</v>
      </c>
      <c r="I24" s="40">
        <f t="shared" si="2"/>
        <v>-0.37763422223972903</v>
      </c>
      <c r="J24" s="57" t="s">
        <v>407</v>
      </c>
      <c r="K24" s="57"/>
      <c r="L24" s="57"/>
    </row>
    <row r="25" spans="1:14" ht="72">
      <c r="A25" s="49" t="str">
        <v>NY: Skaneateles - Spafford 1 - (PW)</v>
      </c>
      <c r="B25" s="50" t="str">
        <v>NY</v>
      </c>
      <c r="C25" s="43">
        <v>232916</v>
      </c>
      <c r="D25" s="44">
        <v>279594</v>
      </c>
      <c r="E25" s="44">
        <f t="shared" si="0"/>
        <v>-46678</v>
      </c>
      <c r="F25" s="45">
        <f t="shared" si="3"/>
        <v>-0.16694921922501912</v>
      </c>
      <c r="G25" s="46">
        <v>285468</v>
      </c>
      <c r="H25" s="46">
        <f t="shared" si="1"/>
        <v>-52552</v>
      </c>
      <c r="I25" s="45">
        <f t="shared" si="2"/>
        <v>-0.18409068617147981</v>
      </c>
      <c r="J25" s="69" t="s">
        <v>408</v>
      </c>
      <c r="K25" s="90" t="s">
        <v>409</v>
      </c>
      <c r="L25" s="75" t="s">
        <v>410</v>
      </c>
      <c r="M25" s="84" t="s">
        <v>411</v>
      </c>
      <c r="N25" s="84" t="s">
        <v>412</v>
      </c>
    </row>
    <row r="26" spans="1:14" ht="28.9">
      <c r="A26" s="51" t="str">
        <v>NY: Skaneateles - Spafford 2 - (PW)</v>
      </c>
      <c r="B26" s="48" t="str">
        <v>NY</v>
      </c>
      <c r="C26" s="36">
        <v>98483</v>
      </c>
      <c r="D26" s="37">
        <v>106151</v>
      </c>
      <c r="E26" s="37">
        <f t="shared" si="0"/>
        <v>-7668</v>
      </c>
      <c r="F26" s="38">
        <f t="shared" si="3"/>
        <v>-7.223671939030249E-2</v>
      </c>
      <c r="G26" s="39">
        <v>117270.7</v>
      </c>
      <c r="H26" s="39">
        <f t="shared" si="1"/>
        <v>-18787.699999999997</v>
      </c>
      <c r="I26" s="40">
        <f t="shared" si="2"/>
        <v>-0.16020796328494669</v>
      </c>
      <c r="J26" s="57" t="s">
        <v>413</v>
      </c>
      <c r="K26" s="89" t="s">
        <v>414</v>
      </c>
      <c r="L26" s="57" t="s">
        <v>314</v>
      </c>
      <c r="M26" s="84" t="s">
        <v>415</v>
      </c>
    </row>
    <row r="27" spans="1:14" ht="43.15">
      <c r="A27" s="49" t="str">
        <v>NY: New Hartford - 4001 NY-12 (IRA)</v>
      </c>
      <c r="B27" s="50" t="str">
        <v>NY</v>
      </c>
      <c r="C27" s="43">
        <v>256771</v>
      </c>
      <c r="D27" s="44">
        <v>249567.641</v>
      </c>
      <c r="E27" s="44">
        <f t="shared" si="0"/>
        <v>7203.3589999999967</v>
      </c>
      <c r="F27" s="45">
        <f t="shared" si="3"/>
        <v>2.8863353322316321E-2</v>
      </c>
      <c r="G27" s="46">
        <v>327929.777</v>
      </c>
      <c r="H27" s="46">
        <f t="shared" si="1"/>
        <v>-71158.777000000002</v>
      </c>
      <c r="I27" s="45">
        <f t="shared" si="2"/>
        <v>-0.21699394806711927</v>
      </c>
      <c r="J27" s="69" t="s">
        <v>416</v>
      </c>
      <c r="K27" s="90" t="s">
        <v>417</v>
      </c>
      <c r="L27" s="75" t="s">
        <v>418</v>
      </c>
      <c r="M27" s="84" t="s">
        <v>419</v>
      </c>
    </row>
    <row r="28" spans="1:14" ht="14.45">
      <c r="A28" s="13"/>
      <c r="B28" s="18"/>
      <c r="C28" s="13"/>
      <c r="D28" s="13"/>
      <c r="E28" s="13"/>
      <c r="F28" s="13"/>
      <c r="G28" s="13"/>
      <c r="H28" s="13"/>
      <c r="I28" s="13"/>
      <c r="J28" s="13"/>
      <c r="K28" s="13"/>
      <c r="L28" s="13"/>
    </row>
    <row r="29" spans="1:14" ht="14.45">
      <c r="A29" s="13"/>
      <c r="B29" s="18"/>
      <c r="C29" s="13"/>
      <c r="D29" s="13"/>
      <c r="E29" s="13"/>
      <c r="F29" s="13"/>
      <c r="G29" s="13"/>
      <c r="H29" s="13"/>
      <c r="I29" s="13"/>
      <c r="J29" s="13"/>
      <c r="K29" s="13"/>
      <c r="L29" s="13"/>
    </row>
    <row r="30" spans="1:14" ht="14.45">
      <c r="A30" s="13"/>
      <c r="B30" s="18"/>
      <c r="C30" s="13"/>
      <c r="D30" s="13"/>
      <c r="E30" s="13"/>
      <c r="F30" s="13"/>
      <c r="G30" s="13"/>
      <c r="H30" s="13"/>
      <c r="I30" s="13"/>
      <c r="J30" s="13"/>
      <c r="K30" s="13"/>
      <c r="L30" s="13"/>
    </row>
    <row r="31" spans="1:14" ht="14.45">
      <c r="A31" s="13"/>
      <c r="B31" s="18"/>
      <c r="C31" s="13"/>
      <c r="D31" s="13"/>
      <c r="E31" s="13"/>
      <c r="F31" s="13"/>
      <c r="G31" s="13"/>
      <c r="H31" s="13"/>
      <c r="I31" s="13"/>
      <c r="J31" s="13"/>
      <c r="K31" s="13"/>
      <c r="L31" s="13"/>
    </row>
    <row r="32" spans="1:14" ht="14.45">
      <c r="A32" s="13"/>
      <c r="B32" s="18"/>
      <c r="C32" s="13"/>
      <c r="D32" s="13"/>
      <c r="E32" s="13"/>
      <c r="F32" s="14"/>
      <c r="G32" s="13"/>
      <c r="H32" s="13"/>
      <c r="I32" s="14"/>
      <c r="J32" s="13"/>
      <c r="K32" s="13"/>
      <c r="L32" s="13"/>
    </row>
    <row r="33" spans="1:12" ht="14.45">
      <c r="A33" s="13"/>
      <c r="B33" s="18"/>
      <c r="C33" s="13"/>
      <c r="D33" s="13"/>
      <c r="E33" s="13"/>
      <c r="F33" s="14"/>
      <c r="G33" s="13"/>
      <c r="H33" s="13"/>
      <c r="I33" s="14"/>
      <c r="J33" s="13"/>
      <c r="K33" s="13"/>
      <c r="L33" s="13"/>
    </row>
    <row r="34" spans="1:12" ht="14.45">
      <c r="A34" s="13"/>
      <c r="B34" s="18"/>
      <c r="C34" s="13"/>
      <c r="D34" s="13"/>
      <c r="E34" s="13"/>
      <c r="F34" s="14"/>
      <c r="G34" s="13"/>
      <c r="H34" s="13"/>
      <c r="I34" s="14"/>
      <c r="J34" s="13"/>
      <c r="K34" s="13"/>
      <c r="L34" s="13"/>
    </row>
    <row r="35" spans="1:12" ht="14.45">
      <c r="A35" s="13"/>
      <c r="B35" s="18"/>
      <c r="C35" s="13"/>
      <c r="D35" s="13"/>
      <c r="E35" s="13"/>
      <c r="F35" s="14"/>
      <c r="G35" s="13"/>
      <c r="H35" s="13"/>
      <c r="I35" s="14"/>
      <c r="J35" s="13"/>
      <c r="K35" s="13"/>
      <c r="L35" s="13"/>
    </row>
    <row r="36" spans="1:12" ht="14.45">
      <c r="A36" s="13"/>
      <c r="B36" s="18"/>
      <c r="C36" s="13"/>
      <c r="D36" s="13"/>
      <c r="E36" s="13"/>
      <c r="F36" s="14"/>
      <c r="G36" s="13"/>
      <c r="H36" s="13"/>
      <c r="I36" s="14"/>
      <c r="J36" s="13"/>
      <c r="K36" s="13"/>
      <c r="L36" s="13"/>
    </row>
    <row r="37" spans="1:12" ht="14.45">
      <c r="A37" s="13"/>
      <c r="B37" s="18"/>
      <c r="C37" s="13"/>
      <c r="D37" s="13"/>
      <c r="E37" s="13"/>
      <c r="F37" s="14"/>
      <c r="G37" s="13"/>
      <c r="H37" s="13"/>
      <c r="I37" s="14"/>
      <c r="J37" s="13"/>
      <c r="K37" s="13"/>
      <c r="L37" s="13"/>
    </row>
    <row r="38" spans="1:12" ht="14.45">
      <c r="A38" s="13"/>
      <c r="B38" s="18"/>
      <c r="C38" s="13"/>
      <c r="D38" s="13"/>
      <c r="E38" s="13"/>
      <c r="F38" s="14"/>
      <c r="G38" s="13"/>
      <c r="H38" s="13"/>
      <c r="I38" s="14"/>
      <c r="J38" s="13"/>
      <c r="K38" s="13"/>
      <c r="L38" s="13"/>
    </row>
    <row r="39" spans="1:12" ht="14.45">
      <c r="A39" s="13"/>
      <c r="B39" s="18"/>
      <c r="C39" s="13"/>
      <c r="D39" s="13"/>
      <c r="E39" s="13"/>
      <c r="F39" s="14"/>
      <c r="G39" s="13"/>
      <c r="H39" s="13"/>
      <c r="I39" s="14"/>
      <c r="J39" s="13"/>
      <c r="K39" s="13"/>
      <c r="L39" s="13"/>
    </row>
    <row r="40" spans="1:12" ht="14.45">
      <c r="A40" s="13"/>
      <c r="B40" s="18"/>
      <c r="C40" s="13"/>
      <c r="D40" s="13"/>
      <c r="E40" s="13"/>
      <c r="F40" s="14"/>
      <c r="G40" s="13"/>
      <c r="H40" s="13"/>
      <c r="I40" s="14"/>
      <c r="J40" s="13"/>
      <c r="K40" s="13"/>
      <c r="L40" s="13"/>
    </row>
    <row r="41" spans="1:12" ht="14.45">
      <c r="A41" s="13"/>
      <c r="B41" s="18"/>
      <c r="C41" s="13"/>
      <c r="D41" s="13"/>
      <c r="E41" s="13"/>
      <c r="F41" s="14"/>
      <c r="G41" s="13"/>
      <c r="H41" s="13"/>
      <c r="I41" s="14"/>
      <c r="J41" s="13"/>
      <c r="K41" s="13"/>
      <c r="L41" s="13"/>
    </row>
    <row r="42" spans="1:12" ht="14.45">
      <c r="A42" s="13"/>
      <c r="B42" s="18"/>
      <c r="C42" s="13"/>
      <c r="D42" s="13"/>
      <c r="E42" s="13"/>
      <c r="F42" s="14"/>
      <c r="G42" s="13"/>
      <c r="H42" s="13"/>
      <c r="I42" s="14"/>
      <c r="J42" s="13"/>
      <c r="K42" s="13"/>
      <c r="L42" s="13"/>
    </row>
    <row r="43" spans="1:12" ht="14.45">
      <c r="A43" s="13"/>
      <c r="B43" s="18"/>
      <c r="C43" s="13"/>
      <c r="D43" s="13"/>
      <c r="E43" s="13"/>
      <c r="F43" s="14"/>
      <c r="G43" s="13"/>
      <c r="H43" s="13"/>
      <c r="I43" s="14"/>
      <c r="J43" s="13"/>
      <c r="K43" s="13"/>
      <c r="L43" s="13"/>
    </row>
    <row r="44" spans="1:12" ht="14.45">
      <c r="A44" s="13"/>
      <c r="B44" s="18"/>
      <c r="C44" s="13"/>
      <c r="D44" s="13"/>
      <c r="E44" s="13"/>
      <c r="F44" s="14"/>
      <c r="G44" s="13"/>
      <c r="H44" s="13"/>
      <c r="I44" s="14"/>
      <c r="J44" s="13"/>
      <c r="K44" s="13"/>
      <c r="L44" s="13"/>
    </row>
    <row r="45" spans="1:12" ht="14.45">
      <c r="A45" s="13"/>
      <c r="B45" s="18"/>
      <c r="C45" s="13"/>
      <c r="D45" s="13"/>
      <c r="E45" s="13"/>
      <c r="F45" s="14"/>
      <c r="G45" s="13"/>
      <c r="H45" s="13"/>
      <c r="I45" s="14"/>
      <c r="J45" s="13"/>
      <c r="K45" s="13"/>
      <c r="L45" s="13"/>
    </row>
    <row r="46" spans="1:12" ht="14.45">
      <c r="A46" s="13"/>
      <c r="B46" s="18"/>
      <c r="C46" s="13"/>
      <c r="D46" s="13"/>
      <c r="E46" s="13"/>
      <c r="F46" s="14"/>
      <c r="G46" s="13"/>
      <c r="H46" s="13"/>
      <c r="I46" s="14"/>
      <c r="J46" s="13"/>
      <c r="K46" s="13"/>
      <c r="L46" s="13"/>
    </row>
    <row r="47" spans="1:12" ht="14.45">
      <c r="A47" s="13"/>
      <c r="B47" s="18"/>
      <c r="C47" s="13"/>
      <c r="D47" s="13"/>
      <c r="E47" s="13"/>
      <c r="F47" s="14"/>
      <c r="G47" s="13"/>
      <c r="H47" s="13"/>
      <c r="I47" s="14"/>
      <c r="J47" s="13"/>
      <c r="K47" s="13"/>
      <c r="L47" s="13"/>
    </row>
    <row r="48" spans="1:12" ht="14.45">
      <c r="A48" s="13"/>
      <c r="B48" s="18"/>
      <c r="C48" s="13"/>
      <c r="D48" s="13"/>
      <c r="E48" s="13"/>
      <c r="F48" s="14"/>
      <c r="G48" s="13"/>
      <c r="H48" s="13"/>
      <c r="I48" s="14"/>
      <c r="J48" s="13"/>
      <c r="K48" s="13"/>
      <c r="L48" s="13"/>
    </row>
    <row r="49" spans="1:12" ht="14.45">
      <c r="A49" s="13"/>
      <c r="B49" s="18"/>
      <c r="C49" s="13"/>
      <c r="D49" s="13"/>
      <c r="E49" s="13"/>
      <c r="F49" s="14"/>
      <c r="G49" s="13"/>
      <c r="H49" s="13"/>
      <c r="I49" s="14"/>
      <c r="J49" s="13"/>
      <c r="K49" s="13"/>
      <c r="L49" s="13"/>
    </row>
    <row r="50" spans="1:12" ht="14.45">
      <c r="A50" s="13"/>
      <c r="B50" s="18"/>
      <c r="C50" s="13"/>
      <c r="D50" s="13"/>
      <c r="E50" s="13"/>
      <c r="F50" s="14"/>
      <c r="G50" s="13"/>
      <c r="H50" s="13"/>
      <c r="I50" s="14"/>
      <c r="J50" s="13"/>
      <c r="K50" s="13"/>
      <c r="L50" s="13"/>
    </row>
    <row r="51" spans="1:12" ht="14.45">
      <c r="A51" s="13"/>
      <c r="B51" s="18"/>
      <c r="C51" s="13"/>
      <c r="D51" s="13"/>
      <c r="E51" s="13"/>
      <c r="F51" s="14"/>
      <c r="G51" s="13"/>
      <c r="H51" s="13"/>
      <c r="I51" s="14"/>
      <c r="J51" s="13"/>
      <c r="K51" s="13"/>
      <c r="L51" s="13"/>
    </row>
    <row r="52" spans="1:12" ht="14.45">
      <c r="A52" s="13"/>
      <c r="B52" s="18"/>
      <c r="C52" s="13"/>
      <c r="D52" s="13"/>
      <c r="E52" s="13"/>
      <c r="F52" s="14"/>
      <c r="G52" s="13"/>
      <c r="H52" s="13"/>
      <c r="I52" s="14"/>
      <c r="J52" s="13"/>
      <c r="K52" s="13"/>
      <c r="L52" s="13"/>
    </row>
    <row r="53" spans="1:12" ht="14.45">
      <c r="A53" s="13"/>
      <c r="B53" s="18"/>
      <c r="C53" s="13"/>
      <c r="D53" s="13"/>
      <c r="E53" s="13"/>
      <c r="F53" s="14"/>
      <c r="G53" s="13"/>
      <c r="H53" s="13"/>
      <c r="I53" s="14"/>
      <c r="J53" s="13"/>
      <c r="K53" s="13"/>
      <c r="L53" s="13"/>
    </row>
    <row r="54" spans="1:12" ht="14.45">
      <c r="A54" s="13"/>
      <c r="B54" s="18"/>
      <c r="C54" s="13"/>
      <c r="D54" s="13"/>
      <c r="E54" s="13"/>
      <c r="F54" s="14"/>
      <c r="G54" s="13"/>
      <c r="H54" s="13"/>
      <c r="I54" s="14"/>
      <c r="J54" s="13"/>
      <c r="K54" s="13"/>
      <c r="L54" s="13"/>
    </row>
    <row r="55" spans="1:12" ht="14.45">
      <c r="A55" s="13"/>
      <c r="B55" s="18"/>
      <c r="C55" s="13"/>
      <c r="D55" s="13"/>
      <c r="E55" s="13"/>
      <c r="F55" s="14"/>
      <c r="G55" s="13"/>
      <c r="H55" s="13"/>
      <c r="I55" s="14"/>
      <c r="J55" s="13"/>
      <c r="K55" s="13"/>
      <c r="L55" s="13"/>
    </row>
    <row r="56" spans="1:12" ht="14.45">
      <c r="A56" s="13"/>
      <c r="B56" s="18"/>
      <c r="C56" s="13"/>
      <c r="D56" s="13"/>
      <c r="E56" s="13"/>
      <c r="F56" s="14"/>
      <c r="G56" s="13"/>
      <c r="H56" s="13"/>
      <c r="I56" s="14"/>
      <c r="J56" s="13"/>
      <c r="K56" s="13"/>
      <c r="L56" s="13"/>
    </row>
    <row r="57" spans="1:12" ht="14.45">
      <c r="A57" s="13"/>
      <c r="B57" s="18"/>
      <c r="C57" s="13"/>
      <c r="D57" s="13"/>
      <c r="E57" s="13"/>
      <c r="F57" s="14"/>
      <c r="G57" s="13"/>
      <c r="H57" s="13"/>
      <c r="I57" s="14"/>
      <c r="J57" s="13"/>
      <c r="K57" s="13"/>
      <c r="L57" s="13"/>
    </row>
    <row r="58" spans="1:12" ht="14.45">
      <c r="A58" s="13"/>
      <c r="B58" s="18"/>
      <c r="C58" s="13"/>
      <c r="D58" s="13"/>
      <c r="E58" s="13"/>
      <c r="F58" s="14"/>
      <c r="G58" s="13"/>
      <c r="H58" s="13"/>
      <c r="I58" s="14"/>
      <c r="J58" s="13"/>
      <c r="K58" s="13"/>
      <c r="L58" s="13"/>
    </row>
    <row r="59" spans="1:12" ht="14.45">
      <c r="A59" s="13"/>
      <c r="B59" s="18"/>
      <c r="C59" s="13"/>
      <c r="D59" s="13"/>
      <c r="E59" s="13"/>
      <c r="F59" s="14"/>
      <c r="G59" s="13"/>
      <c r="H59" s="13"/>
      <c r="I59" s="14"/>
      <c r="J59" s="13"/>
      <c r="K59" s="13"/>
      <c r="L59" s="13"/>
    </row>
    <row r="60" spans="1:12" ht="14.45">
      <c r="A60" s="13"/>
      <c r="B60" s="18"/>
      <c r="C60" s="13"/>
      <c r="D60" s="13"/>
      <c r="E60" s="13"/>
      <c r="F60" s="14"/>
      <c r="G60" s="13"/>
      <c r="H60" s="13"/>
      <c r="I60" s="14"/>
      <c r="J60" s="13"/>
      <c r="K60" s="13"/>
      <c r="L60" s="13"/>
    </row>
    <row r="61" spans="1:12" ht="14.45">
      <c r="A61" s="13"/>
      <c r="B61" s="18"/>
      <c r="C61" s="13"/>
      <c r="D61" s="13"/>
      <c r="E61" s="13"/>
      <c r="F61" s="14"/>
      <c r="G61" s="13"/>
      <c r="H61" s="13"/>
      <c r="I61" s="14"/>
      <c r="J61" s="13"/>
      <c r="K61" s="13"/>
      <c r="L61" s="13"/>
    </row>
    <row r="62" spans="1:12" ht="14.45">
      <c r="A62" s="13"/>
      <c r="B62" s="18"/>
      <c r="C62" s="13"/>
      <c r="D62" s="13"/>
      <c r="E62" s="13"/>
      <c r="F62" s="14"/>
      <c r="G62" s="13"/>
      <c r="H62" s="13"/>
      <c r="I62" s="14"/>
      <c r="J62" s="13"/>
      <c r="K62" s="13"/>
      <c r="L62" s="13"/>
    </row>
    <row r="63" spans="1:12" ht="14.45">
      <c r="A63" s="13"/>
      <c r="B63" s="18"/>
      <c r="C63" s="13"/>
      <c r="D63" s="13"/>
      <c r="E63" s="13"/>
      <c r="F63" s="14"/>
      <c r="G63" s="13"/>
      <c r="H63" s="13"/>
      <c r="I63" s="14"/>
      <c r="J63" s="13"/>
      <c r="K63" s="13"/>
      <c r="L63" s="13"/>
    </row>
    <row r="64" spans="1:12" ht="14.45">
      <c r="A64" s="13"/>
      <c r="B64" s="18"/>
      <c r="C64" s="13"/>
      <c r="D64" s="13"/>
      <c r="E64" s="13"/>
      <c r="F64" s="14"/>
      <c r="G64" s="13"/>
      <c r="H64" s="13"/>
      <c r="I64" s="14"/>
      <c r="J64" s="13"/>
      <c r="K64" s="13"/>
      <c r="L64" s="13"/>
    </row>
    <row r="65" spans="1:12" ht="14.45">
      <c r="A65" s="13"/>
      <c r="B65" s="18"/>
      <c r="C65" s="13"/>
      <c r="D65" s="13"/>
      <c r="E65" s="13"/>
      <c r="F65" s="14"/>
      <c r="G65" s="13"/>
      <c r="H65" s="13"/>
      <c r="I65" s="14"/>
      <c r="J65" s="13"/>
      <c r="K65" s="13"/>
      <c r="L65" s="13"/>
    </row>
    <row r="66" spans="1:12" ht="14.45">
      <c r="A66" s="13"/>
      <c r="B66" s="18"/>
      <c r="C66" s="13"/>
      <c r="D66" s="13"/>
      <c r="E66" s="13"/>
      <c r="F66" s="14"/>
      <c r="G66" s="13"/>
      <c r="H66" s="13"/>
      <c r="I66" s="14"/>
      <c r="J66" s="13"/>
      <c r="K66" s="13"/>
      <c r="L66" s="13"/>
    </row>
    <row r="67" spans="1:12" ht="14.45">
      <c r="A67" s="13"/>
      <c r="B67" s="18"/>
      <c r="C67" s="13"/>
      <c r="D67" s="13"/>
      <c r="E67" s="13"/>
      <c r="F67" s="14"/>
      <c r="G67" s="13"/>
      <c r="H67" s="13"/>
      <c r="I67" s="14"/>
      <c r="J67" s="13"/>
      <c r="K67" s="13"/>
      <c r="L67" s="13"/>
    </row>
    <row r="68" spans="1:12" ht="14.45">
      <c r="A68" s="13"/>
      <c r="B68" s="18"/>
      <c r="C68" s="13"/>
      <c r="D68" s="13"/>
      <c r="E68" s="13"/>
      <c r="F68" s="14"/>
      <c r="G68" s="13"/>
      <c r="H68" s="13"/>
      <c r="I68" s="14"/>
      <c r="J68" s="13"/>
      <c r="K68" s="13"/>
      <c r="L68" s="13"/>
    </row>
    <row r="69" spans="1:12" ht="14.45">
      <c r="A69" s="13"/>
      <c r="B69" s="18"/>
      <c r="C69" s="13"/>
      <c r="D69" s="13"/>
      <c r="E69" s="13"/>
      <c r="F69" s="14"/>
      <c r="G69" s="13"/>
      <c r="H69" s="13"/>
      <c r="I69" s="14"/>
      <c r="J69" s="13"/>
      <c r="K69" s="13"/>
      <c r="L69" s="13"/>
    </row>
    <row r="70" spans="1:12" ht="14.45">
      <c r="A70" s="13"/>
      <c r="B70" s="18"/>
      <c r="C70" s="13"/>
      <c r="D70" s="13"/>
      <c r="E70" s="13"/>
      <c r="F70" s="14"/>
      <c r="G70" s="13"/>
      <c r="H70" s="13"/>
      <c r="I70" s="14"/>
      <c r="J70" s="13"/>
      <c r="K70" s="13"/>
      <c r="L70" s="13"/>
    </row>
    <row r="71" spans="1:12" ht="14.45">
      <c r="A71" s="13"/>
      <c r="B71" s="18"/>
      <c r="C71" s="13"/>
      <c r="D71" s="13"/>
      <c r="E71" s="13"/>
      <c r="F71" s="14"/>
      <c r="G71" s="13"/>
      <c r="H71" s="13"/>
      <c r="I71" s="14"/>
      <c r="J71" s="13"/>
      <c r="K71" s="13"/>
      <c r="L71" s="13"/>
    </row>
    <row r="72" spans="1:12" ht="14.45">
      <c r="A72" s="13"/>
      <c r="B72" s="18"/>
      <c r="C72" s="13"/>
      <c r="D72" s="13"/>
      <c r="E72" s="13"/>
      <c r="F72" s="14"/>
      <c r="G72" s="13"/>
      <c r="H72" s="13"/>
      <c r="I72" s="14"/>
      <c r="J72" s="13"/>
      <c r="K72" s="13"/>
      <c r="L72" s="13"/>
    </row>
    <row r="73" spans="1:12" ht="14.45">
      <c r="A73" s="13"/>
      <c r="B73" s="18"/>
      <c r="C73" s="13"/>
      <c r="D73" s="13"/>
      <c r="E73" s="13"/>
      <c r="F73" s="14"/>
      <c r="G73" s="13"/>
      <c r="H73" s="13"/>
      <c r="I73" s="14"/>
      <c r="J73" s="13"/>
      <c r="K73" s="13"/>
      <c r="L73" s="13"/>
    </row>
    <row r="74" spans="1:12" ht="14.45">
      <c r="A74" s="13"/>
      <c r="B74" s="18"/>
      <c r="C74" s="13"/>
      <c r="D74" s="13"/>
      <c r="E74" s="13"/>
      <c r="F74" s="14"/>
      <c r="G74" s="13"/>
      <c r="H74" s="13"/>
      <c r="I74" s="14"/>
      <c r="J74" s="13"/>
      <c r="K74" s="13"/>
      <c r="L74" s="13"/>
    </row>
    <row r="75" spans="1:12" ht="14.45">
      <c r="A75" s="13"/>
      <c r="B75" s="18"/>
      <c r="C75" s="13"/>
      <c r="D75" s="13"/>
      <c r="E75" s="13"/>
      <c r="F75" s="14"/>
      <c r="G75" s="13"/>
      <c r="H75" s="13"/>
      <c r="I75" s="14"/>
      <c r="J75" s="13"/>
      <c r="K75" s="13"/>
      <c r="L75" s="13"/>
    </row>
    <row r="76" spans="1:12" ht="14.45">
      <c r="A76" s="13"/>
      <c r="B76" s="18"/>
      <c r="C76" s="13"/>
      <c r="D76" s="13"/>
      <c r="E76" s="13"/>
      <c r="F76" s="14"/>
      <c r="G76" s="13"/>
      <c r="H76" s="13"/>
      <c r="I76" s="14"/>
      <c r="J76" s="13"/>
      <c r="K76" s="13"/>
      <c r="L76" s="13"/>
    </row>
    <row r="77" spans="1:12" ht="14.45">
      <c r="A77" s="13"/>
      <c r="B77" s="18"/>
      <c r="C77" s="13"/>
      <c r="D77" s="13"/>
      <c r="E77" s="13"/>
      <c r="F77" s="14"/>
      <c r="G77" s="13"/>
      <c r="H77" s="13"/>
      <c r="I77" s="14"/>
      <c r="J77" s="13"/>
      <c r="K77" s="13"/>
      <c r="L77" s="13"/>
    </row>
    <row r="78" spans="1:12" ht="14.45">
      <c r="A78" s="13"/>
      <c r="B78" s="18"/>
      <c r="C78" s="13"/>
      <c r="D78" s="13"/>
      <c r="E78" s="13"/>
      <c r="F78" s="14"/>
      <c r="G78" s="13"/>
      <c r="H78" s="13"/>
      <c r="I78" s="14"/>
      <c r="J78" s="13"/>
      <c r="K78" s="13"/>
      <c r="L78" s="13"/>
    </row>
    <row r="79" spans="1:12" ht="14.45">
      <c r="A79" s="13"/>
      <c r="B79" s="18"/>
      <c r="C79" s="13"/>
      <c r="D79" s="13"/>
      <c r="E79" s="13"/>
      <c r="F79" s="14"/>
      <c r="G79" s="13"/>
      <c r="H79" s="13"/>
      <c r="I79" s="14"/>
      <c r="J79" s="13"/>
      <c r="K79" s="13"/>
      <c r="L79" s="13"/>
    </row>
    <row r="80" spans="1:12" ht="14.45">
      <c r="A80" s="13"/>
      <c r="B80" s="18"/>
      <c r="C80" s="13"/>
      <c r="D80" s="13"/>
      <c r="E80" s="13"/>
      <c r="F80" s="14"/>
      <c r="G80" s="13"/>
      <c r="H80" s="13"/>
      <c r="I80" s="14"/>
      <c r="J80" s="13"/>
      <c r="K80" s="13"/>
      <c r="L80" s="13"/>
    </row>
    <row r="81" spans="1:12" ht="14.45">
      <c r="A81" s="13"/>
      <c r="B81" s="18"/>
      <c r="C81" s="13"/>
      <c r="D81" s="13"/>
      <c r="E81" s="13"/>
      <c r="F81" s="14"/>
      <c r="G81" s="13"/>
      <c r="H81" s="13"/>
      <c r="I81" s="14"/>
      <c r="J81" s="13"/>
      <c r="K81" s="13"/>
      <c r="L81" s="13"/>
    </row>
    <row r="82" spans="1:12" ht="14.45">
      <c r="A82" s="13"/>
      <c r="B82" s="18"/>
      <c r="C82" s="13"/>
      <c r="D82" s="13"/>
      <c r="E82" s="13"/>
      <c r="F82" s="14"/>
      <c r="G82" s="13"/>
      <c r="H82" s="13"/>
      <c r="I82" s="14"/>
      <c r="J82" s="13"/>
      <c r="K82" s="13"/>
      <c r="L82" s="13"/>
    </row>
    <row r="83" spans="1:12" ht="14.45">
      <c r="A83" s="13"/>
      <c r="B83" s="18"/>
      <c r="C83" s="13"/>
      <c r="D83" s="13"/>
      <c r="E83" s="13"/>
      <c r="F83" s="14"/>
      <c r="G83" s="13"/>
      <c r="H83" s="13"/>
      <c r="I83" s="14"/>
      <c r="J83" s="13"/>
      <c r="K83" s="13"/>
      <c r="L83" s="13"/>
    </row>
    <row r="84" spans="1:12" ht="14.45">
      <c r="A84" s="13"/>
      <c r="B84" s="18"/>
      <c r="C84" s="13"/>
      <c r="D84" s="13"/>
      <c r="E84" s="13"/>
      <c r="F84" s="14"/>
      <c r="G84" s="13"/>
      <c r="H84" s="13"/>
      <c r="I84" s="14"/>
      <c r="J84" s="13"/>
      <c r="K84" s="13"/>
      <c r="L84" s="13"/>
    </row>
    <row r="85" spans="1:12" ht="14.45">
      <c r="A85" s="13"/>
      <c r="B85" s="18"/>
      <c r="C85" s="13"/>
      <c r="D85" s="13"/>
      <c r="E85" s="13"/>
      <c r="F85" s="14"/>
      <c r="G85" s="13"/>
      <c r="H85" s="13"/>
      <c r="I85" s="14"/>
      <c r="J85" s="13"/>
      <c r="K85" s="13"/>
      <c r="L85" s="13"/>
    </row>
    <row r="86" spans="1:12" ht="14.45">
      <c r="A86" s="13"/>
      <c r="B86" s="18"/>
      <c r="C86" s="13"/>
      <c r="D86" s="13"/>
      <c r="E86" s="13"/>
      <c r="F86" s="14"/>
      <c r="G86" s="13"/>
      <c r="H86" s="13"/>
      <c r="I86" s="14"/>
      <c r="J86" s="13"/>
      <c r="K86" s="13"/>
      <c r="L86" s="13"/>
    </row>
    <row r="87" spans="1:12" ht="14.45">
      <c r="A87" s="13"/>
      <c r="B87" s="18"/>
      <c r="C87" s="13"/>
      <c r="D87" s="13"/>
      <c r="E87" s="13"/>
      <c r="F87" s="14"/>
      <c r="G87" s="13"/>
      <c r="H87" s="13"/>
      <c r="I87" s="14"/>
      <c r="J87" s="13"/>
      <c r="K87" s="13"/>
      <c r="L87" s="13"/>
    </row>
    <row r="88" spans="1:12" ht="14.45">
      <c r="A88" s="13"/>
      <c r="B88" s="18"/>
      <c r="C88" s="13"/>
      <c r="D88" s="13"/>
      <c r="E88" s="13"/>
      <c r="F88" s="14"/>
      <c r="G88" s="13"/>
      <c r="H88" s="13"/>
      <c r="I88" s="14"/>
      <c r="J88" s="13"/>
      <c r="K88" s="13"/>
      <c r="L88" s="13"/>
    </row>
    <row r="89" spans="1:12" ht="14.45">
      <c r="A89" s="13"/>
      <c r="B89" s="18"/>
      <c r="C89" s="13"/>
      <c r="D89" s="13"/>
      <c r="E89" s="13"/>
      <c r="F89" s="14"/>
      <c r="G89" s="13"/>
      <c r="H89" s="13"/>
      <c r="I89" s="14"/>
      <c r="J89" s="13"/>
      <c r="K89" s="13"/>
      <c r="L89" s="13"/>
    </row>
    <row r="90" spans="1:12" ht="14.45">
      <c r="A90" s="13"/>
      <c r="B90" s="18"/>
      <c r="C90" s="13"/>
      <c r="D90" s="13"/>
      <c r="E90" s="13"/>
      <c r="F90" s="14"/>
      <c r="G90" s="13"/>
      <c r="H90" s="13"/>
      <c r="I90" s="14"/>
      <c r="J90" s="13"/>
      <c r="K90" s="13"/>
      <c r="L90" s="13"/>
    </row>
    <row r="91" spans="1:12" ht="14.45">
      <c r="A91" s="13"/>
      <c r="B91" s="18"/>
      <c r="C91" s="13"/>
      <c r="D91" s="13"/>
      <c r="E91" s="13"/>
      <c r="F91" s="14"/>
      <c r="G91" s="13"/>
      <c r="H91" s="13"/>
      <c r="I91" s="14"/>
      <c r="J91" s="13"/>
      <c r="K91" s="13"/>
      <c r="L91" s="13"/>
    </row>
    <row r="92" spans="1:12" ht="14.45">
      <c r="A92" s="13"/>
      <c r="B92" s="18"/>
      <c r="C92" s="13"/>
      <c r="D92" s="13"/>
      <c r="E92" s="13"/>
      <c r="F92" s="14"/>
      <c r="G92" s="13"/>
      <c r="H92" s="13"/>
      <c r="I92" s="14"/>
      <c r="J92" s="13"/>
      <c r="K92" s="13"/>
      <c r="L92" s="13"/>
    </row>
    <row r="93" spans="1:12" ht="14.45">
      <c r="A93" s="13"/>
      <c r="B93" s="18"/>
      <c r="C93" s="13"/>
      <c r="D93" s="13"/>
      <c r="E93" s="13"/>
      <c r="F93" s="14"/>
      <c r="G93" s="13"/>
      <c r="H93" s="13"/>
      <c r="I93" s="14"/>
      <c r="J93" s="13"/>
      <c r="K93" s="13"/>
      <c r="L93" s="13"/>
    </row>
    <row r="94" spans="1:12" ht="14.45">
      <c r="A94" s="13"/>
      <c r="B94" s="18"/>
      <c r="C94" s="13"/>
      <c r="D94" s="13"/>
      <c r="E94" s="13"/>
      <c r="F94" s="14"/>
      <c r="G94" s="13"/>
      <c r="H94" s="13"/>
      <c r="I94" s="14"/>
      <c r="J94" s="13"/>
      <c r="K94" s="13"/>
      <c r="L94" s="13"/>
    </row>
    <row r="95" spans="1:12" ht="14.45">
      <c r="A95" s="13"/>
      <c r="B95" s="18"/>
      <c r="C95" s="13"/>
      <c r="D95" s="13"/>
      <c r="E95" s="13"/>
      <c r="F95" s="14"/>
      <c r="G95" s="13"/>
      <c r="H95" s="13"/>
      <c r="I95" s="14"/>
      <c r="J95" s="13"/>
      <c r="K95" s="13"/>
      <c r="L95" s="13"/>
    </row>
    <row r="96" spans="1:12" ht="14.45">
      <c r="A96" s="13"/>
      <c r="B96" s="18"/>
      <c r="C96" s="13"/>
      <c r="D96" s="13"/>
      <c r="E96" s="13"/>
      <c r="F96" s="14"/>
      <c r="G96" s="13"/>
      <c r="H96" s="13"/>
      <c r="I96" s="14"/>
      <c r="J96" s="13"/>
      <c r="K96" s="13"/>
      <c r="L96" s="13"/>
    </row>
    <row r="97" spans="1:12" ht="14.45">
      <c r="A97" s="13"/>
      <c r="B97" s="18"/>
      <c r="C97" s="13"/>
      <c r="D97" s="13"/>
      <c r="E97" s="13"/>
      <c r="F97" s="14"/>
      <c r="G97" s="13"/>
      <c r="H97" s="13"/>
      <c r="I97" s="14"/>
      <c r="J97" s="13"/>
      <c r="K97" s="13"/>
      <c r="L97" s="13"/>
    </row>
    <row r="98" spans="1:12" ht="14.45">
      <c r="A98" s="13"/>
      <c r="B98" s="18"/>
      <c r="C98" s="13"/>
      <c r="D98" s="13"/>
      <c r="E98" s="13"/>
      <c r="F98" s="14"/>
      <c r="G98" s="13"/>
      <c r="H98" s="13"/>
      <c r="I98" s="14"/>
      <c r="J98" s="13"/>
      <c r="K98" s="13"/>
      <c r="L98" s="13"/>
    </row>
    <row r="99" spans="1:12" ht="14.45">
      <c r="A99" s="13"/>
      <c r="B99" s="18"/>
      <c r="C99" s="13"/>
      <c r="D99" s="13"/>
      <c r="E99" s="13"/>
      <c r="F99" s="14"/>
      <c r="G99" s="13"/>
      <c r="H99" s="13"/>
      <c r="I99" s="14"/>
      <c r="J99" s="13"/>
      <c r="K99" s="13"/>
      <c r="L99" s="13"/>
    </row>
    <row r="100" spans="1:12" ht="14.45">
      <c r="A100" s="13"/>
      <c r="B100" s="18"/>
      <c r="C100" s="13"/>
      <c r="D100" s="13"/>
      <c r="E100" s="13"/>
      <c r="F100" s="14"/>
      <c r="G100" s="13"/>
      <c r="H100" s="13"/>
      <c r="I100" s="14"/>
      <c r="J100" s="13"/>
      <c r="K100" s="13"/>
      <c r="L100" s="13"/>
    </row>
    <row r="101" spans="1:12" ht="14.45">
      <c r="A101" s="13"/>
      <c r="B101" s="18"/>
      <c r="C101" s="13"/>
      <c r="D101" s="13"/>
      <c r="E101" s="13"/>
      <c r="F101" s="14"/>
      <c r="G101" s="13"/>
      <c r="H101" s="13"/>
      <c r="I101" s="14"/>
      <c r="J101" s="13"/>
      <c r="K101" s="13"/>
      <c r="L101" s="13"/>
    </row>
    <row r="102" spans="1:12" ht="14.45">
      <c r="A102" s="13"/>
      <c r="B102" s="18"/>
      <c r="C102" s="13"/>
      <c r="D102" s="13"/>
      <c r="E102" s="13"/>
      <c r="F102" s="14"/>
      <c r="G102" s="13"/>
      <c r="H102" s="13"/>
      <c r="I102" s="14"/>
      <c r="J102" s="13"/>
      <c r="K102" s="13"/>
      <c r="L102" s="13"/>
    </row>
    <row r="103" spans="1:12" ht="14.45">
      <c r="A103" s="13"/>
      <c r="B103" s="18"/>
      <c r="C103" s="13"/>
      <c r="D103" s="13"/>
      <c r="E103" s="13"/>
      <c r="F103" s="14"/>
      <c r="G103" s="13"/>
      <c r="H103" s="13"/>
      <c r="I103" s="14"/>
      <c r="J103" s="13"/>
      <c r="K103" s="13"/>
      <c r="L103" s="13"/>
    </row>
    <row r="104" spans="1:12" ht="14.45">
      <c r="A104" s="13"/>
      <c r="B104" s="18"/>
      <c r="C104" s="13"/>
      <c r="D104" s="13"/>
      <c r="E104" s="13"/>
      <c r="F104" s="14"/>
      <c r="G104" s="13"/>
      <c r="H104" s="13"/>
      <c r="I104" s="14"/>
      <c r="J104" s="13"/>
      <c r="K104" s="13"/>
      <c r="L104" s="13"/>
    </row>
    <row r="105" spans="1:12" ht="14.45">
      <c r="A105" s="13"/>
      <c r="B105" s="18"/>
      <c r="C105" s="13"/>
      <c r="D105" s="13"/>
      <c r="E105" s="13"/>
      <c r="F105" s="14"/>
      <c r="G105" s="13"/>
      <c r="H105" s="13"/>
      <c r="I105" s="14"/>
      <c r="J105" s="13"/>
      <c r="K105" s="13"/>
      <c r="L105" s="13"/>
    </row>
    <row r="106" spans="1:12" ht="14.45">
      <c r="A106" s="13"/>
      <c r="B106" s="18"/>
      <c r="C106" s="13"/>
      <c r="D106" s="13"/>
      <c r="E106" s="13"/>
      <c r="F106" s="14"/>
      <c r="G106" s="13"/>
      <c r="H106" s="13"/>
      <c r="I106" s="14"/>
      <c r="J106" s="13"/>
      <c r="K106" s="13"/>
      <c r="L106" s="13"/>
    </row>
    <row r="107" spans="1:12" ht="14.45">
      <c r="A107" s="13"/>
      <c r="B107" s="18"/>
      <c r="C107" s="13"/>
      <c r="D107" s="13"/>
      <c r="E107" s="13"/>
      <c r="F107" s="14"/>
      <c r="G107" s="13"/>
      <c r="H107" s="13"/>
      <c r="I107" s="14"/>
      <c r="J107" s="13"/>
      <c r="K107" s="13"/>
      <c r="L107" s="13"/>
    </row>
    <row r="108" spans="1:12" ht="14.45">
      <c r="A108" s="13"/>
      <c r="B108" s="18"/>
      <c r="C108" s="13"/>
      <c r="D108" s="13"/>
      <c r="E108" s="13"/>
      <c r="F108" s="14"/>
      <c r="G108" s="13"/>
      <c r="H108" s="13"/>
      <c r="I108" s="14"/>
      <c r="J108" s="13"/>
      <c r="K108" s="13"/>
      <c r="L108" s="13"/>
    </row>
    <row r="109" spans="1:12" ht="14.45">
      <c r="A109" s="13"/>
      <c r="B109" s="18"/>
      <c r="C109" s="13"/>
      <c r="D109" s="13"/>
      <c r="E109" s="13"/>
      <c r="F109" s="14"/>
      <c r="G109" s="13"/>
      <c r="H109" s="13"/>
      <c r="I109" s="14"/>
      <c r="J109" s="13"/>
      <c r="K109" s="13"/>
      <c r="L109" s="13"/>
    </row>
    <row r="110" spans="1:12" ht="14.45">
      <c r="A110" s="13"/>
      <c r="B110" s="18"/>
      <c r="C110" s="13"/>
      <c r="D110" s="13"/>
      <c r="E110" s="13"/>
      <c r="F110" s="14"/>
      <c r="G110" s="13"/>
      <c r="H110" s="13"/>
      <c r="I110" s="14"/>
      <c r="J110" s="13"/>
      <c r="K110" s="13"/>
      <c r="L110" s="13"/>
    </row>
    <row r="111" spans="1:12" ht="14.45">
      <c r="A111" s="13"/>
      <c r="B111" s="18"/>
      <c r="C111" s="13"/>
      <c r="D111" s="13"/>
      <c r="E111" s="13"/>
      <c r="F111" s="14"/>
      <c r="G111" s="13"/>
      <c r="H111" s="13"/>
      <c r="I111" s="14"/>
      <c r="J111" s="13"/>
      <c r="K111" s="13"/>
      <c r="L111" s="13"/>
    </row>
    <row r="112" spans="1:12" ht="14.45">
      <c r="A112" s="13"/>
      <c r="B112" s="18"/>
      <c r="C112" s="13"/>
      <c r="D112" s="13"/>
      <c r="E112" s="13"/>
      <c r="F112" s="14"/>
      <c r="G112" s="13"/>
      <c r="H112" s="13"/>
      <c r="I112" s="14"/>
      <c r="J112" s="13"/>
      <c r="K112" s="13"/>
      <c r="L112" s="13"/>
    </row>
    <row r="113" spans="1:12" ht="14.45">
      <c r="A113" s="13"/>
      <c r="B113" s="18"/>
      <c r="C113" s="13"/>
      <c r="D113" s="13"/>
      <c r="E113" s="13"/>
      <c r="F113" s="14"/>
      <c r="G113" s="13"/>
      <c r="H113" s="13"/>
      <c r="I113" s="14"/>
      <c r="J113" s="13"/>
      <c r="K113" s="13"/>
      <c r="L113" s="13"/>
    </row>
    <row r="114" spans="1:12" ht="14.45">
      <c r="A114" s="13"/>
      <c r="B114" s="18"/>
      <c r="C114" s="13"/>
      <c r="D114" s="13"/>
      <c r="E114" s="13"/>
      <c r="F114" s="14"/>
      <c r="G114" s="13"/>
      <c r="H114" s="13"/>
      <c r="I114" s="14"/>
      <c r="J114" s="13"/>
      <c r="K114" s="13"/>
      <c r="L114" s="13"/>
    </row>
    <row r="115" spans="1:12" ht="14.45">
      <c r="A115" s="13"/>
      <c r="B115" s="18"/>
      <c r="C115" s="13"/>
      <c r="D115" s="13"/>
      <c r="E115" s="13"/>
      <c r="F115" s="14"/>
      <c r="G115" s="13"/>
      <c r="H115" s="13"/>
      <c r="I115" s="14"/>
      <c r="J115" s="13"/>
      <c r="K115" s="13"/>
      <c r="L115" s="13"/>
    </row>
    <row r="116" spans="1:12" ht="14.45">
      <c r="A116" s="13"/>
      <c r="B116" s="18"/>
      <c r="C116" s="13"/>
      <c r="D116" s="13"/>
      <c r="E116" s="13"/>
      <c r="F116" s="14"/>
      <c r="G116" s="13"/>
      <c r="H116" s="13"/>
      <c r="I116" s="14"/>
      <c r="J116" s="13"/>
      <c r="K116" s="13"/>
      <c r="L116" s="13"/>
    </row>
    <row r="117" spans="1:12" ht="14.45">
      <c r="A117" s="13"/>
      <c r="B117" s="18"/>
      <c r="C117" s="13"/>
      <c r="D117" s="13"/>
      <c r="E117" s="13"/>
      <c r="F117" s="14"/>
      <c r="G117" s="13"/>
      <c r="H117" s="13"/>
      <c r="I117" s="14"/>
      <c r="J117" s="13"/>
      <c r="K117" s="13"/>
      <c r="L117" s="13"/>
    </row>
    <row r="118" spans="1:12" ht="14.45">
      <c r="A118" s="13"/>
      <c r="B118" s="18"/>
      <c r="C118" s="13"/>
      <c r="D118" s="13"/>
      <c r="E118" s="13"/>
      <c r="F118" s="14"/>
      <c r="G118" s="13"/>
      <c r="H118" s="13"/>
      <c r="I118" s="14"/>
      <c r="J118" s="13"/>
      <c r="K118" s="13"/>
      <c r="L118" s="13"/>
    </row>
    <row r="119" spans="1:12" ht="14.45">
      <c r="A119" s="13"/>
      <c r="B119" s="18"/>
      <c r="C119" s="13"/>
      <c r="D119" s="13"/>
      <c r="E119" s="13"/>
      <c r="F119" s="14"/>
      <c r="G119" s="13"/>
      <c r="H119" s="13"/>
      <c r="I119" s="14"/>
      <c r="J119" s="13"/>
      <c r="K119" s="13"/>
      <c r="L119" s="13"/>
    </row>
    <row r="120" spans="1:12" ht="14.45">
      <c r="A120" s="13"/>
      <c r="B120" s="18"/>
      <c r="C120" s="13"/>
      <c r="D120" s="13"/>
      <c r="E120" s="13"/>
      <c r="F120" s="14"/>
      <c r="G120" s="13"/>
      <c r="H120" s="13"/>
      <c r="I120" s="14"/>
      <c r="J120" s="13"/>
      <c r="K120" s="13"/>
      <c r="L120" s="13"/>
    </row>
    <row r="121" spans="1:12" ht="14.45">
      <c r="A121" s="13"/>
      <c r="B121" s="18"/>
      <c r="C121" s="13"/>
      <c r="D121" s="13"/>
      <c r="E121" s="13"/>
      <c r="F121" s="14"/>
      <c r="G121" s="13"/>
      <c r="H121" s="13"/>
      <c r="I121" s="14"/>
      <c r="J121" s="13"/>
      <c r="K121" s="13"/>
      <c r="L121" s="13"/>
    </row>
    <row r="122" spans="1:12" ht="14.45">
      <c r="A122" s="13"/>
      <c r="B122" s="18"/>
      <c r="C122" s="13"/>
      <c r="D122" s="13"/>
      <c r="E122" s="13"/>
      <c r="F122" s="14"/>
      <c r="G122" s="13"/>
      <c r="H122" s="13"/>
      <c r="I122" s="14"/>
      <c r="J122" s="13"/>
      <c r="K122" s="13"/>
      <c r="L122" s="13"/>
    </row>
    <row r="123" spans="1:12" ht="14.45">
      <c r="A123" s="13"/>
      <c r="B123" s="18"/>
      <c r="C123" s="13"/>
      <c r="D123" s="13"/>
      <c r="E123" s="13"/>
      <c r="F123" s="14"/>
      <c r="G123" s="13"/>
      <c r="H123" s="13"/>
      <c r="I123" s="14"/>
      <c r="J123" s="13"/>
      <c r="K123" s="13"/>
      <c r="L123" s="13"/>
    </row>
    <row r="124" spans="1:12" ht="14.45">
      <c r="A124" s="13"/>
      <c r="B124" s="18"/>
      <c r="C124" s="13"/>
      <c r="D124" s="13"/>
      <c r="E124" s="13"/>
      <c r="F124" s="14"/>
      <c r="G124" s="13"/>
      <c r="H124" s="13"/>
      <c r="I124" s="14"/>
      <c r="J124" s="13"/>
      <c r="K124" s="13"/>
      <c r="L124" s="13"/>
    </row>
    <row r="125" spans="1:12" ht="14.45">
      <c r="A125" s="13"/>
      <c r="B125" s="18"/>
      <c r="C125" s="13"/>
      <c r="D125" s="13"/>
      <c r="E125" s="13"/>
      <c r="F125" s="14"/>
      <c r="G125" s="13"/>
      <c r="H125" s="13"/>
      <c r="I125" s="14"/>
      <c r="J125" s="13"/>
      <c r="K125" s="13"/>
      <c r="L125" s="13"/>
    </row>
    <row r="126" spans="1:12" ht="14.45">
      <c r="A126" s="13"/>
      <c r="B126" s="18"/>
      <c r="C126" s="13"/>
      <c r="D126" s="13"/>
      <c r="E126" s="13"/>
      <c r="F126" s="14"/>
      <c r="G126" s="13"/>
      <c r="H126" s="13"/>
      <c r="I126" s="14"/>
      <c r="J126" s="13"/>
      <c r="K126" s="13"/>
      <c r="L126" s="13"/>
    </row>
    <row r="127" spans="1:12" ht="14.45">
      <c r="A127" s="13"/>
      <c r="B127" s="18"/>
      <c r="C127" s="13"/>
      <c r="D127" s="13"/>
      <c r="E127" s="13"/>
      <c r="F127" s="14"/>
      <c r="G127" s="13"/>
      <c r="H127" s="13"/>
      <c r="I127" s="14"/>
      <c r="J127" s="13"/>
      <c r="K127" s="13"/>
      <c r="L127" s="13"/>
    </row>
    <row r="128" spans="1:12" ht="14.45">
      <c r="A128" s="13"/>
      <c r="B128" s="18"/>
      <c r="C128" s="13"/>
      <c r="D128" s="13"/>
      <c r="E128" s="13"/>
      <c r="F128" s="14"/>
      <c r="G128" s="13"/>
      <c r="H128" s="13"/>
      <c r="I128" s="14"/>
      <c r="J128" s="13"/>
      <c r="K128" s="13"/>
      <c r="L128" s="13"/>
    </row>
    <row r="129" spans="1:12" ht="14.45">
      <c r="A129" s="13"/>
      <c r="B129" s="18"/>
      <c r="C129" s="13"/>
      <c r="D129" s="13"/>
      <c r="E129" s="13"/>
      <c r="F129" s="14"/>
      <c r="G129" s="13"/>
      <c r="H129" s="13"/>
      <c r="I129" s="14"/>
      <c r="J129" s="13"/>
      <c r="K129" s="13"/>
      <c r="L129" s="13"/>
    </row>
    <row r="130" spans="1:12" ht="14.45">
      <c r="A130" s="13"/>
      <c r="B130" s="18"/>
      <c r="C130" s="13"/>
      <c r="D130" s="13"/>
      <c r="E130" s="13"/>
      <c r="F130" s="14"/>
      <c r="G130" s="13"/>
      <c r="H130" s="13"/>
      <c r="I130" s="14"/>
      <c r="J130" s="13"/>
      <c r="K130" s="13"/>
      <c r="L130" s="13"/>
    </row>
    <row r="131" spans="1:12" ht="14.45">
      <c r="A131" s="13"/>
      <c r="B131" s="18"/>
      <c r="C131" s="13"/>
      <c r="D131" s="13"/>
      <c r="E131" s="13"/>
      <c r="F131" s="14"/>
      <c r="G131" s="13"/>
      <c r="H131" s="13"/>
      <c r="I131" s="14"/>
      <c r="J131" s="13"/>
      <c r="K131" s="13"/>
      <c r="L131" s="13"/>
    </row>
    <row r="132" spans="1:12" ht="14.45">
      <c r="A132" s="13"/>
      <c r="B132" s="18"/>
      <c r="C132" s="13"/>
      <c r="D132" s="13"/>
      <c r="E132" s="13"/>
      <c r="F132" s="14"/>
      <c r="G132" s="13"/>
      <c r="H132" s="13"/>
      <c r="I132" s="14"/>
      <c r="J132" s="13"/>
      <c r="K132" s="13"/>
      <c r="L132" s="13"/>
    </row>
    <row r="133" spans="1:12" ht="14.45">
      <c r="A133" s="13"/>
      <c r="B133" s="18"/>
      <c r="C133" s="13"/>
      <c r="D133" s="13"/>
      <c r="E133" s="13"/>
      <c r="F133" s="14"/>
      <c r="G133" s="13"/>
      <c r="H133" s="13"/>
      <c r="I133" s="14"/>
      <c r="J133" s="13"/>
      <c r="K133" s="13"/>
      <c r="L133" s="13"/>
    </row>
    <row r="134" spans="1:12" ht="14.45">
      <c r="A134" s="13"/>
      <c r="B134" s="18"/>
      <c r="C134" s="13"/>
      <c r="D134" s="13"/>
      <c r="E134" s="13"/>
      <c r="F134" s="14"/>
      <c r="G134" s="13"/>
      <c r="H134" s="13"/>
      <c r="I134" s="14"/>
      <c r="J134" s="13"/>
      <c r="K134" s="13"/>
      <c r="L134" s="13"/>
    </row>
    <row r="135" spans="1:12" ht="14.45">
      <c r="A135" s="13"/>
      <c r="B135" s="18"/>
      <c r="C135" s="13"/>
      <c r="D135" s="13"/>
      <c r="E135" s="13"/>
      <c r="F135" s="14"/>
      <c r="G135" s="13"/>
      <c r="H135" s="13"/>
      <c r="I135" s="14"/>
      <c r="J135" s="13"/>
      <c r="K135" s="13"/>
      <c r="L135" s="13"/>
    </row>
    <row r="136" spans="1:12" ht="14.45">
      <c r="A136" s="13"/>
      <c r="B136" s="18"/>
      <c r="C136" s="13"/>
      <c r="D136" s="13"/>
      <c r="E136" s="13"/>
      <c r="F136" s="14"/>
      <c r="G136" s="13"/>
      <c r="H136" s="13"/>
      <c r="I136" s="14"/>
      <c r="J136" s="13"/>
      <c r="K136" s="13"/>
      <c r="L136" s="13"/>
    </row>
    <row r="137" spans="1:12" ht="14.45">
      <c r="A137" s="13"/>
      <c r="B137" s="18"/>
      <c r="C137" s="13"/>
      <c r="D137" s="13"/>
      <c r="E137" s="13"/>
      <c r="F137" s="14"/>
      <c r="G137" s="13"/>
      <c r="H137" s="13"/>
      <c r="I137" s="14"/>
      <c r="J137" s="13"/>
      <c r="K137" s="13"/>
      <c r="L137" s="13"/>
    </row>
    <row r="138" spans="1:12" ht="14.45">
      <c r="A138" s="13"/>
      <c r="B138" s="18"/>
      <c r="C138" s="13"/>
      <c r="D138" s="13"/>
      <c r="E138" s="13"/>
      <c r="F138" s="14"/>
      <c r="G138" s="13"/>
      <c r="H138" s="13"/>
      <c r="I138" s="14"/>
      <c r="J138" s="13"/>
      <c r="K138" s="13"/>
      <c r="L138" s="13"/>
    </row>
    <row r="139" spans="1:12" ht="14.45">
      <c r="A139" s="13"/>
      <c r="B139" s="18"/>
      <c r="C139" s="13"/>
      <c r="D139" s="13"/>
      <c r="E139" s="13"/>
      <c r="F139" s="14"/>
      <c r="G139" s="13"/>
      <c r="H139" s="13"/>
      <c r="I139" s="14"/>
      <c r="J139" s="13"/>
      <c r="K139" s="13"/>
      <c r="L139" s="13"/>
    </row>
    <row r="140" spans="1:12" ht="14.45">
      <c r="A140" s="13"/>
      <c r="B140" s="18"/>
      <c r="C140" s="13"/>
      <c r="D140" s="13"/>
      <c r="E140" s="13"/>
      <c r="F140" s="14"/>
      <c r="G140" s="13"/>
      <c r="H140" s="13"/>
      <c r="I140" s="14"/>
      <c r="J140" s="13"/>
      <c r="K140" s="13"/>
      <c r="L140" s="13"/>
    </row>
    <row r="141" spans="1:12" ht="14.45">
      <c r="A141" s="13"/>
      <c r="B141" s="18"/>
      <c r="C141" s="13"/>
      <c r="D141" s="13"/>
      <c r="E141" s="13"/>
      <c r="F141" s="14"/>
      <c r="G141" s="13"/>
      <c r="H141" s="13"/>
      <c r="I141" s="14"/>
      <c r="J141" s="13"/>
      <c r="K141" s="13"/>
      <c r="L141" s="13"/>
    </row>
    <row r="142" spans="1:12" ht="14.45">
      <c r="A142" s="13"/>
      <c r="B142" s="18"/>
      <c r="C142" s="13"/>
      <c r="D142" s="13"/>
      <c r="E142" s="13"/>
      <c r="F142" s="14"/>
      <c r="G142" s="13"/>
      <c r="H142" s="13"/>
      <c r="I142" s="14"/>
      <c r="J142" s="13"/>
      <c r="K142" s="13"/>
      <c r="L142" s="13"/>
    </row>
    <row r="143" spans="1:12" ht="14.45">
      <c r="A143" s="13"/>
      <c r="B143" s="18"/>
      <c r="C143" s="13"/>
      <c r="D143" s="13"/>
      <c r="E143" s="13"/>
      <c r="F143" s="14"/>
      <c r="G143" s="13"/>
      <c r="H143" s="13"/>
      <c r="I143" s="14"/>
      <c r="J143" s="13"/>
      <c r="K143" s="13"/>
      <c r="L143" s="13"/>
    </row>
    <row r="144" spans="1:12" ht="14.45">
      <c r="A144" s="13"/>
      <c r="B144" s="18"/>
      <c r="C144" s="13"/>
      <c r="D144" s="13"/>
      <c r="E144" s="13"/>
      <c r="F144" s="14"/>
      <c r="G144" s="13"/>
      <c r="H144" s="13"/>
      <c r="I144" s="14"/>
      <c r="J144" s="13"/>
      <c r="K144" s="13"/>
      <c r="L144" s="13"/>
    </row>
    <row r="145" spans="1:12" ht="14.45">
      <c r="A145" s="13"/>
      <c r="B145" s="18"/>
      <c r="C145" s="13"/>
      <c r="D145" s="13"/>
      <c r="E145" s="13"/>
      <c r="F145" s="14"/>
      <c r="G145" s="13"/>
      <c r="H145" s="13"/>
      <c r="I145" s="14"/>
      <c r="J145" s="13"/>
      <c r="K145" s="13"/>
      <c r="L145" s="13"/>
    </row>
    <row r="146" spans="1:12" ht="14.45">
      <c r="A146" s="13"/>
      <c r="B146" s="18"/>
      <c r="C146" s="13"/>
      <c r="D146" s="13"/>
      <c r="E146" s="13"/>
      <c r="F146" s="14"/>
      <c r="G146" s="13"/>
      <c r="H146" s="13"/>
      <c r="I146" s="14"/>
      <c r="J146" s="13"/>
      <c r="K146" s="13"/>
      <c r="L146" s="13"/>
    </row>
    <row r="147" spans="1:12" ht="14.45">
      <c r="A147" s="13"/>
      <c r="B147" s="18"/>
      <c r="C147" s="13"/>
      <c r="D147" s="13"/>
      <c r="E147" s="13"/>
      <c r="F147" s="14"/>
      <c r="G147" s="13"/>
      <c r="H147" s="13"/>
      <c r="I147" s="14"/>
      <c r="J147" s="13"/>
      <c r="K147" s="13"/>
      <c r="L147" s="13"/>
    </row>
    <row r="148" spans="1:12" ht="14.45">
      <c r="A148" s="13"/>
      <c r="B148" s="18"/>
      <c r="C148" s="13"/>
      <c r="D148" s="13"/>
      <c r="E148" s="13"/>
      <c r="F148" s="14"/>
      <c r="G148" s="13"/>
      <c r="H148" s="13"/>
      <c r="I148" s="14"/>
      <c r="J148" s="13"/>
      <c r="K148" s="13"/>
      <c r="L148" s="13"/>
    </row>
    <row r="149" spans="1:12" ht="14.45">
      <c r="A149" s="13"/>
      <c r="B149" s="18"/>
      <c r="C149" s="13"/>
      <c r="D149" s="13"/>
      <c r="E149" s="13"/>
      <c r="F149" s="14"/>
      <c r="G149" s="13"/>
      <c r="H149" s="13"/>
      <c r="I149" s="14"/>
      <c r="J149" s="13"/>
      <c r="K149" s="13"/>
      <c r="L149" s="13"/>
    </row>
    <row r="150" spans="1:12" ht="14.45">
      <c r="A150" s="13"/>
      <c r="B150" s="18"/>
      <c r="C150" s="13"/>
      <c r="D150" s="13"/>
      <c r="E150" s="13"/>
      <c r="F150" s="14"/>
      <c r="G150" s="13"/>
      <c r="H150" s="13"/>
      <c r="I150" s="14"/>
      <c r="J150" s="13"/>
      <c r="K150" s="13"/>
      <c r="L150" s="13"/>
    </row>
    <row r="151" spans="1:12" ht="14.45">
      <c r="A151" s="13"/>
      <c r="B151" s="18"/>
      <c r="C151" s="13"/>
      <c r="D151" s="13"/>
      <c r="E151" s="13"/>
      <c r="F151" s="14"/>
      <c r="G151" s="13"/>
      <c r="H151" s="13"/>
      <c r="I151" s="14"/>
      <c r="J151" s="13"/>
      <c r="K151" s="13"/>
      <c r="L151" s="13"/>
    </row>
    <row r="152" spans="1:12" ht="14.45">
      <c r="A152" s="13"/>
      <c r="B152" s="18"/>
      <c r="C152" s="13"/>
      <c r="D152" s="13"/>
      <c r="E152" s="13"/>
      <c r="F152" s="14"/>
      <c r="G152" s="13"/>
      <c r="H152" s="13"/>
      <c r="I152" s="14"/>
      <c r="J152" s="13"/>
      <c r="K152" s="13"/>
      <c r="L152" s="13"/>
    </row>
    <row r="153" spans="1:12" ht="14.45">
      <c r="A153" s="13"/>
      <c r="B153" s="18"/>
      <c r="C153" s="13"/>
      <c r="D153" s="13"/>
      <c r="E153" s="13"/>
      <c r="F153" s="14"/>
      <c r="G153" s="13"/>
      <c r="H153" s="13"/>
      <c r="I153" s="14"/>
      <c r="J153" s="13"/>
      <c r="K153" s="13"/>
      <c r="L153" s="13"/>
    </row>
    <row r="154" spans="1:12" ht="14.45">
      <c r="A154" s="13"/>
      <c r="B154" s="18"/>
      <c r="C154" s="13"/>
      <c r="D154" s="13"/>
      <c r="E154" s="13"/>
      <c r="F154" s="14"/>
      <c r="G154" s="13"/>
      <c r="H154" s="13"/>
      <c r="I154" s="14"/>
      <c r="J154" s="13"/>
      <c r="K154" s="13"/>
      <c r="L154" s="13"/>
    </row>
    <row r="155" spans="1:12" ht="14.45">
      <c r="A155" s="13"/>
      <c r="B155" s="18"/>
      <c r="C155" s="13"/>
      <c r="D155" s="13"/>
      <c r="E155" s="13"/>
      <c r="F155" s="14"/>
      <c r="G155" s="13"/>
      <c r="H155" s="13"/>
      <c r="I155" s="14"/>
      <c r="J155" s="13"/>
      <c r="K155" s="13"/>
      <c r="L155" s="13"/>
    </row>
    <row r="156" spans="1:12" ht="14.45">
      <c r="A156" s="13"/>
      <c r="B156" s="18"/>
      <c r="C156" s="13"/>
      <c r="D156" s="13"/>
      <c r="E156" s="13"/>
      <c r="F156" s="14"/>
      <c r="G156" s="13"/>
      <c r="H156" s="13"/>
      <c r="I156" s="14"/>
      <c r="J156" s="13"/>
      <c r="K156" s="13"/>
      <c r="L156" s="13"/>
    </row>
    <row r="157" spans="1:12" ht="14.45">
      <c r="A157" s="13"/>
      <c r="B157" s="18"/>
      <c r="C157" s="13"/>
      <c r="D157" s="13"/>
      <c r="E157" s="13"/>
      <c r="F157" s="14"/>
      <c r="G157" s="13"/>
      <c r="H157" s="13"/>
      <c r="I157" s="14"/>
      <c r="J157" s="13"/>
      <c r="K157" s="13"/>
      <c r="L157" s="13"/>
    </row>
    <row r="158" spans="1:12" ht="14.45">
      <c r="A158" s="13"/>
      <c r="B158" s="18"/>
      <c r="C158" s="13"/>
      <c r="D158" s="13"/>
      <c r="E158" s="13"/>
      <c r="F158" s="14"/>
      <c r="G158" s="13"/>
      <c r="H158" s="13"/>
      <c r="I158" s="14"/>
      <c r="J158" s="13"/>
      <c r="K158" s="13"/>
      <c r="L158" s="13"/>
    </row>
    <row r="159" spans="1:12" ht="14.45">
      <c r="A159" s="13"/>
      <c r="B159" s="18"/>
      <c r="C159" s="13"/>
      <c r="D159" s="13"/>
      <c r="E159" s="13"/>
      <c r="F159" s="14"/>
      <c r="G159" s="13"/>
      <c r="H159" s="13"/>
      <c r="I159" s="14"/>
      <c r="J159" s="13"/>
      <c r="K159" s="13"/>
      <c r="L159" s="13"/>
    </row>
    <row r="160" spans="1:12" ht="14.45">
      <c r="A160" s="13"/>
      <c r="B160" s="18"/>
      <c r="C160" s="13"/>
      <c r="D160" s="13"/>
      <c r="E160" s="13"/>
      <c r="F160" s="14"/>
      <c r="G160" s="13"/>
      <c r="H160" s="13"/>
      <c r="I160" s="14"/>
      <c r="J160" s="13"/>
      <c r="K160" s="13"/>
      <c r="L160" s="13"/>
    </row>
    <row r="161" spans="1:12" ht="14.45">
      <c r="A161" s="13"/>
      <c r="B161" s="18"/>
      <c r="C161" s="13"/>
      <c r="D161" s="13"/>
      <c r="E161" s="13"/>
      <c r="F161" s="14"/>
      <c r="G161" s="13"/>
      <c r="H161" s="13"/>
      <c r="I161" s="14"/>
      <c r="J161" s="13"/>
      <c r="K161" s="13"/>
      <c r="L161" s="13"/>
    </row>
    <row r="162" spans="1:12" ht="14.45">
      <c r="A162" s="13"/>
      <c r="B162" s="18"/>
      <c r="C162" s="13"/>
      <c r="D162" s="13"/>
      <c r="E162" s="13"/>
      <c r="F162" s="14"/>
      <c r="G162" s="13"/>
      <c r="H162" s="13"/>
      <c r="I162" s="14"/>
      <c r="J162" s="13"/>
      <c r="K162" s="13"/>
      <c r="L162" s="13"/>
    </row>
    <row r="163" spans="1:12" ht="14.45">
      <c r="A163" s="13"/>
      <c r="B163" s="18"/>
      <c r="C163" s="13"/>
      <c r="D163" s="13"/>
      <c r="E163" s="13"/>
      <c r="F163" s="14"/>
      <c r="G163" s="13"/>
      <c r="H163" s="13"/>
      <c r="I163" s="14"/>
      <c r="J163" s="13"/>
      <c r="K163" s="13"/>
      <c r="L163" s="13"/>
    </row>
    <row r="164" spans="1:12" ht="14.45">
      <c r="A164" s="13"/>
      <c r="B164" s="18"/>
      <c r="C164" s="13"/>
      <c r="D164" s="13"/>
      <c r="E164" s="13"/>
      <c r="F164" s="14"/>
      <c r="G164" s="13"/>
      <c r="H164" s="13"/>
      <c r="I164" s="14"/>
      <c r="J164" s="13"/>
      <c r="K164" s="13"/>
      <c r="L164" s="13"/>
    </row>
    <row r="165" spans="1:12" ht="14.45">
      <c r="A165" s="13"/>
      <c r="B165" s="18"/>
      <c r="C165" s="13"/>
      <c r="D165" s="13"/>
      <c r="E165" s="13"/>
      <c r="F165" s="14"/>
      <c r="G165" s="13"/>
      <c r="H165" s="13"/>
      <c r="I165" s="14"/>
      <c r="J165" s="13"/>
      <c r="K165" s="13"/>
      <c r="L165" s="13"/>
    </row>
    <row r="166" spans="1:12" ht="14.45">
      <c r="A166" s="13"/>
      <c r="B166" s="18"/>
      <c r="C166" s="13"/>
      <c r="D166" s="13"/>
      <c r="E166" s="13"/>
      <c r="F166" s="14"/>
      <c r="G166" s="13"/>
      <c r="H166" s="13"/>
      <c r="I166" s="14"/>
      <c r="J166" s="13"/>
      <c r="K166" s="13"/>
      <c r="L166" s="13"/>
    </row>
    <row r="167" spans="1:12" ht="14.45">
      <c r="A167" s="13"/>
      <c r="B167" s="18"/>
      <c r="C167" s="13"/>
      <c r="D167" s="13"/>
      <c r="E167" s="13"/>
      <c r="F167" s="14"/>
      <c r="G167" s="13"/>
      <c r="H167" s="13"/>
      <c r="I167" s="14"/>
      <c r="J167" s="13"/>
      <c r="K167" s="13"/>
      <c r="L167" s="13"/>
    </row>
    <row r="168" spans="1:12" ht="14.45">
      <c r="A168" s="13"/>
      <c r="B168" s="18"/>
      <c r="C168" s="13"/>
      <c r="D168" s="13"/>
      <c r="E168" s="13"/>
      <c r="F168" s="14"/>
      <c r="G168" s="13"/>
      <c r="H168" s="13"/>
      <c r="I168" s="14"/>
      <c r="J168" s="13"/>
      <c r="K168" s="13"/>
      <c r="L168" s="13"/>
    </row>
    <row r="169" spans="1:12" ht="14.45">
      <c r="A169" s="13"/>
      <c r="B169" s="18"/>
      <c r="C169" s="13"/>
      <c r="D169" s="13"/>
      <c r="E169" s="13"/>
      <c r="F169" s="14"/>
      <c r="G169" s="13"/>
      <c r="H169" s="13"/>
      <c r="I169" s="14"/>
      <c r="J169" s="13"/>
      <c r="K169" s="13"/>
      <c r="L169" s="13"/>
    </row>
    <row r="170" spans="1:12" ht="14.45">
      <c r="A170" s="13"/>
      <c r="B170" s="18"/>
      <c r="C170" s="13"/>
      <c r="D170" s="13"/>
      <c r="E170" s="13"/>
      <c r="F170" s="14"/>
      <c r="G170" s="13"/>
      <c r="H170" s="13"/>
      <c r="I170" s="14"/>
      <c r="J170" s="13"/>
      <c r="K170" s="13"/>
      <c r="L170" s="13"/>
    </row>
    <row r="171" spans="1:12" ht="14.45">
      <c r="A171" s="13"/>
      <c r="B171" s="18"/>
      <c r="C171" s="13"/>
      <c r="D171" s="13"/>
      <c r="E171" s="13"/>
      <c r="F171" s="14"/>
      <c r="G171" s="13"/>
      <c r="H171" s="13"/>
      <c r="I171" s="14"/>
      <c r="J171" s="13"/>
      <c r="K171" s="13"/>
      <c r="L171" s="13"/>
    </row>
    <row r="172" spans="1:12" ht="14.45">
      <c r="A172" s="13"/>
      <c r="B172" s="18"/>
      <c r="C172" s="13"/>
      <c r="D172" s="13"/>
      <c r="E172" s="13"/>
      <c r="F172" s="14"/>
      <c r="G172" s="13"/>
      <c r="H172" s="13"/>
      <c r="I172" s="14"/>
      <c r="J172" s="13"/>
      <c r="K172" s="13"/>
      <c r="L172" s="13"/>
    </row>
    <row r="173" spans="1:12" ht="14.45">
      <c r="A173" s="13"/>
      <c r="B173" s="18"/>
      <c r="C173" s="13"/>
      <c r="D173" s="13"/>
      <c r="E173" s="13"/>
      <c r="F173" s="14"/>
      <c r="G173" s="13"/>
      <c r="H173" s="13"/>
      <c r="I173" s="14"/>
      <c r="J173" s="13"/>
      <c r="K173" s="13"/>
      <c r="L173" s="13"/>
    </row>
    <row r="174" spans="1:12" ht="14.45">
      <c r="A174" s="13"/>
      <c r="B174" s="18"/>
      <c r="C174" s="13"/>
      <c r="D174" s="13"/>
      <c r="E174" s="13"/>
      <c r="F174" s="14"/>
      <c r="G174" s="13"/>
      <c r="H174" s="13"/>
      <c r="I174" s="14"/>
      <c r="J174" s="13"/>
      <c r="K174" s="13"/>
      <c r="L174" s="13"/>
    </row>
    <row r="175" spans="1:12" ht="14.45">
      <c r="A175" s="13"/>
      <c r="B175" s="18"/>
      <c r="C175" s="13"/>
      <c r="D175" s="13"/>
      <c r="E175" s="13"/>
      <c r="F175" s="14"/>
      <c r="G175" s="13"/>
      <c r="H175" s="13"/>
      <c r="I175" s="14"/>
      <c r="J175" s="13"/>
      <c r="K175" s="13"/>
      <c r="L175" s="13"/>
    </row>
    <row r="176" spans="1:12" ht="14.45">
      <c r="A176" s="13"/>
      <c r="B176" s="18"/>
      <c r="C176" s="13"/>
      <c r="D176" s="13"/>
      <c r="E176" s="13"/>
      <c r="F176" s="14"/>
      <c r="G176" s="13"/>
      <c r="H176" s="13"/>
      <c r="I176" s="14"/>
      <c r="J176" s="13"/>
      <c r="K176" s="13"/>
      <c r="L176" s="13"/>
    </row>
    <row r="177" spans="1:12" ht="14.45">
      <c r="A177" s="13"/>
      <c r="B177" s="18"/>
      <c r="C177" s="13"/>
      <c r="D177" s="13"/>
      <c r="E177" s="13"/>
      <c r="F177" s="14"/>
      <c r="G177" s="13"/>
      <c r="H177" s="13"/>
      <c r="I177" s="14"/>
      <c r="J177" s="13"/>
      <c r="K177" s="13"/>
      <c r="L177" s="13"/>
    </row>
    <row r="178" spans="1:12" ht="14.45">
      <c r="A178" s="13"/>
      <c r="B178" s="18"/>
      <c r="C178" s="13"/>
      <c r="D178" s="13"/>
      <c r="E178" s="13"/>
      <c r="F178" s="14"/>
      <c r="G178" s="13"/>
      <c r="H178" s="13"/>
      <c r="I178" s="14"/>
      <c r="J178" s="13"/>
      <c r="K178" s="13"/>
      <c r="L178" s="13"/>
    </row>
    <row r="179" spans="1:12" ht="14.45">
      <c r="A179" s="13"/>
      <c r="B179" s="18"/>
      <c r="C179" s="13"/>
      <c r="D179" s="13"/>
      <c r="E179" s="13"/>
      <c r="F179" s="14"/>
      <c r="G179" s="13"/>
      <c r="H179" s="13"/>
      <c r="I179" s="14"/>
      <c r="J179" s="13"/>
      <c r="K179" s="13"/>
      <c r="L179" s="13"/>
    </row>
    <row r="180" spans="1:12" ht="14.45">
      <c r="A180" s="13"/>
      <c r="B180" s="18"/>
      <c r="C180" s="13"/>
      <c r="D180" s="13"/>
      <c r="E180" s="13"/>
      <c r="F180" s="14"/>
      <c r="G180" s="13"/>
      <c r="H180" s="13"/>
      <c r="I180" s="14"/>
      <c r="J180" s="13"/>
      <c r="K180" s="13"/>
      <c r="L180" s="13"/>
    </row>
    <row r="181" spans="1:12" ht="14.45">
      <c r="A181" s="13"/>
      <c r="B181" s="18"/>
      <c r="C181" s="13"/>
      <c r="D181" s="13"/>
      <c r="E181" s="13"/>
      <c r="F181" s="14"/>
      <c r="G181" s="13"/>
      <c r="H181" s="13"/>
      <c r="I181" s="14"/>
      <c r="J181" s="13"/>
      <c r="K181" s="13"/>
      <c r="L181" s="13"/>
    </row>
    <row r="182" spans="1:12" ht="14.45">
      <c r="A182" s="13"/>
      <c r="B182" s="18"/>
      <c r="C182" s="13"/>
      <c r="D182" s="13"/>
      <c r="E182" s="13"/>
      <c r="F182" s="14"/>
      <c r="G182" s="13"/>
      <c r="H182" s="13"/>
      <c r="I182" s="14"/>
      <c r="J182" s="13"/>
      <c r="K182" s="13"/>
      <c r="L182" s="13"/>
    </row>
    <row r="183" spans="1:12" ht="14.45">
      <c r="A183" s="13"/>
      <c r="B183" s="18"/>
      <c r="C183" s="13"/>
      <c r="D183" s="13"/>
      <c r="E183" s="13"/>
      <c r="F183" s="14"/>
      <c r="G183" s="13"/>
      <c r="H183" s="13"/>
      <c r="I183" s="14"/>
      <c r="J183" s="13"/>
      <c r="K183" s="13"/>
      <c r="L183" s="13"/>
    </row>
    <row r="184" spans="1:12" ht="14.45">
      <c r="A184" s="13"/>
      <c r="B184" s="18"/>
      <c r="C184" s="13"/>
      <c r="D184" s="13"/>
      <c r="E184" s="13"/>
      <c r="F184" s="14"/>
      <c r="G184" s="13"/>
      <c r="H184" s="13"/>
      <c r="I184" s="14"/>
      <c r="J184" s="13"/>
      <c r="K184" s="13"/>
      <c r="L184" s="13"/>
    </row>
    <row r="185" spans="1:12" ht="14.45">
      <c r="A185" s="13"/>
      <c r="B185" s="18"/>
      <c r="C185" s="13"/>
      <c r="D185" s="13"/>
      <c r="E185" s="13"/>
      <c r="F185" s="14"/>
      <c r="G185" s="13"/>
      <c r="H185" s="13"/>
      <c r="I185" s="14"/>
      <c r="J185" s="13"/>
      <c r="K185" s="13"/>
      <c r="L185" s="13"/>
    </row>
    <row r="186" spans="1:12" ht="14.45">
      <c r="A186" s="13"/>
      <c r="B186" s="18"/>
      <c r="C186" s="13"/>
      <c r="D186" s="13"/>
      <c r="E186" s="13"/>
      <c r="F186" s="14"/>
      <c r="G186" s="13"/>
      <c r="H186" s="13"/>
      <c r="I186" s="14"/>
      <c r="J186" s="13"/>
      <c r="K186" s="13"/>
      <c r="L186" s="13"/>
    </row>
    <row r="187" spans="1:12" ht="14.45">
      <c r="A187" s="13"/>
      <c r="B187" s="18"/>
      <c r="C187" s="13"/>
      <c r="D187" s="13"/>
      <c r="E187" s="13"/>
      <c r="F187" s="14"/>
      <c r="G187" s="13"/>
      <c r="H187" s="13"/>
      <c r="I187" s="14"/>
      <c r="J187" s="13"/>
      <c r="K187" s="13"/>
      <c r="L187" s="13"/>
    </row>
    <row r="188" spans="1:12" ht="14.45">
      <c r="A188" s="13"/>
      <c r="B188" s="18"/>
      <c r="C188" s="13"/>
      <c r="D188" s="13"/>
      <c r="E188" s="13"/>
      <c r="F188" s="14"/>
      <c r="G188" s="13"/>
      <c r="H188" s="13"/>
      <c r="I188" s="14"/>
      <c r="J188" s="13"/>
      <c r="K188" s="13"/>
      <c r="L188" s="13"/>
    </row>
    <row r="189" spans="1:12" ht="14.45">
      <c r="A189" s="13"/>
      <c r="B189" s="18"/>
      <c r="C189" s="13"/>
      <c r="D189" s="13"/>
      <c r="E189" s="13"/>
      <c r="F189" s="14"/>
      <c r="G189" s="13"/>
      <c r="H189" s="13"/>
      <c r="I189" s="14"/>
      <c r="J189" s="13"/>
      <c r="K189" s="13"/>
      <c r="L189" s="13"/>
    </row>
    <row r="190" spans="1:12" ht="14.45">
      <c r="A190" s="13"/>
      <c r="B190" s="18"/>
      <c r="C190" s="13"/>
      <c r="D190" s="13"/>
      <c r="E190" s="13"/>
      <c r="F190" s="14"/>
      <c r="G190" s="13"/>
      <c r="H190" s="13"/>
      <c r="I190" s="14"/>
      <c r="J190" s="13"/>
      <c r="K190" s="13"/>
      <c r="L190" s="13"/>
    </row>
    <row r="191" spans="1:12" ht="14.45">
      <c r="A191" s="13"/>
      <c r="B191" s="18"/>
      <c r="C191" s="13"/>
      <c r="D191" s="13"/>
      <c r="E191" s="13"/>
      <c r="F191" s="14"/>
      <c r="G191" s="13"/>
      <c r="H191" s="13"/>
      <c r="I191" s="14"/>
      <c r="J191" s="13"/>
      <c r="K191" s="13"/>
      <c r="L191" s="13"/>
    </row>
    <row r="192" spans="1:12" ht="14.45">
      <c r="A192" s="13"/>
      <c r="B192" s="18"/>
      <c r="C192" s="13"/>
      <c r="D192" s="13"/>
      <c r="E192" s="13"/>
      <c r="F192" s="14"/>
      <c r="G192" s="13"/>
      <c r="H192" s="13"/>
      <c r="I192" s="14"/>
      <c r="J192" s="13"/>
      <c r="K192" s="13"/>
      <c r="L192" s="13"/>
    </row>
    <row r="193" spans="1:12" ht="14.45">
      <c r="A193" s="13"/>
      <c r="B193" s="18"/>
      <c r="C193" s="13"/>
      <c r="D193" s="13"/>
      <c r="E193" s="13"/>
      <c r="F193" s="14"/>
      <c r="G193" s="13"/>
      <c r="H193" s="13"/>
      <c r="I193" s="14"/>
      <c r="J193" s="13"/>
      <c r="K193" s="13"/>
      <c r="L193" s="13"/>
    </row>
    <row r="194" spans="1:12" ht="14.45">
      <c r="A194" s="13"/>
      <c r="B194" s="18"/>
      <c r="C194" s="13"/>
      <c r="D194" s="13"/>
      <c r="E194" s="13"/>
      <c r="F194" s="14"/>
      <c r="G194" s="13"/>
      <c r="H194" s="13"/>
      <c r="I194" s="14"/>
      <c r="J194" s="13"/>
      <c r="K194" s="13"/>
      <c r="L194" s="13"/>
    </row>
    <row r="195" spans="1:12" ht="14.45">
      <c r="A195" s="13"/>
      <c r="B195" s="18"/>
      <c r="C195" s="13"/>
      <c r="D195" s="13"/>
      <c r="E195" s="13"/>
      <c r="F195" s="14"/>
      <c r="G195" s="13"/>
      <c r="H195" s="13"/>
      <c r="I195" s="14"/>
      <c r="J195" s="13"/>
      <c r="K195" s="13"/>
      <c r="L195" s="13"/>
    </row>
    <row r="196" spans="1:12" ht="14.45">
      <c r="A196" s="13"/>
      <c r="B196" s="18"/>
      <c r="C196" s="13"/>
      <c r="D196" s="13"/>
      <c r="E196" s="13"/>
      <c r="F196" s="14"/>
      <c r="G196" s="13"/>
      <c r="H196" s="13"/>
      <c r="I196" s="14"/>
      <c r="J196" s="13"/>
      <c r="K196" s="13"/>
      <c r="L196" s="13"/>
    </row>
    <row r="197" spans="1:12" ht="14.45">
      <c r="A197" s="13"/>
      <c r="B197" s="18"/>
      <c r="C197" s="13"/>
      <c r="D197" s="13"/>
      <c r="E197" s="13"/>
      <c r="F197" s="14"/>
      <c r="G197" s="13"/>
      <c r="H197" s="13"/>
      <c r="I197" s="14"/>
      <c r="J197" s="13"/>
      <c r="K197" s="13"/>
      <c r="L197" s="13"/>
    </row>
    <row r="198" spans="1:12" ht="14.45">
      <c r="A198" s="13"/>
      <c r="B198" s="18"/>
      <c r="C198" s="13"/>
      <c r="D198" s="13"/>
      <c r="E198" s="13"/>
      <c r="F198" s="14"/>
      <c r="G198" s="13"/>
      <c r="H198" s="13"/>
      <c r="I198" s="14"/>
      <c r="J198" s="13"/>
      <c r="K198" s="13"/>
      <c r="L198" s="13"/>
    </row>
    <row r="199" spans="1:12" ht="14.45">
      <c r="A199" s="13"/>
      <c r="B199" s="18"/>
      <c r="C199" s="13"/>
      <c r="D199" s="13"/>
      <c r="E199" s="13"/>
      <c r="F199" s="14"/>
      <c r="G199" s="13"/>
      <c r="H199" s="13"/>
      <c r="I199" s="14"/>
      <c r="J199" s="13"/>
      <c r="K199" s="13"/>
      <c r="L199" s="13"/>
    </row>
    <row r="200" spans="1:12" ht="14.45">
      <c r="A200" s="13"/>
      <c r="B200" s="18"/>
      <c r="C200" s="13"/>
      <c r="D200" s="13"/>
      <c r="E200" s="13"/>
      <c r="F200" s="14"/>
      <c r="G200" s="13"/>
      <c r="H200" s="13"/>
      <c r="I200" s="14"/>
      <c r="J200" s="13"/>
      <c r="K200" s="13"/>
      <c r="L200" s="13"/>
    </row>
    <row r="201" spans="1:12" ht="14.45">
      <c r="A201" s="13"/>
      <c r="B201" s="18"/>
      <c r="C201" s="13"/>
      <c r="D201" s="13"/>
      <c r="E201" s="13"/>
      <c r="F201" s="14"/>
      <c r="G201" s="13"/>
      <c r="H201" s="13"/>
      <c r="I201" s="14"/>
      <c r="J201" s="13"/>
      <c r="K201" s="13"/>
      <c r="L201" s="13"/>
    </row>
    <row r="202" spans="1:12" ht="14.45">
      <c r="A202" s="13"/>
      <c r="B202" s="18"/>
      <c r="C202" s="13"/>
      <c r="D202" s="13"/>
      <c r="E202" s="13"/>
      <c r="F202" s="14"/>
      <c r="G202" s="13"/>
      <c r="H202" s="13"/>
      <c r="I202" s="14"/>
      <c r="J202" s="13"/>
      <c r="K202" s="13"/>
      <c r="L202" s="13"/>
    </row>
    <row r="203" spans="1:12" ht="14.45">
      <c r="A203" s="13"/>
      <c r="B203" s="18"/>
      <c r="C203" s="13"/>
      <c r="D203" s="13"/>
      <c r="E203" s="13"/>
      <c r="F203" s="14"/>
      <c r="G203" s="13"/>
      <c r="H203" s="13"/>
      <c r="I203" s="14"/>
      <c r="J203" s="13"/>
      <c r="K203" s="13"/>
      <c r="L203" s="13"/>
    </row>
    <row r="204" spans="1:12" ht="14.45">
      <c r="A204" s="13"/>
      <c r="B204" s="18"/>
      <c r="C204" s="13"/>
      <c r="D204" s="13"/>
      <c r="E204" s="13"/>
      <c r="F204" s="14"/>
      <c r="G204" s="13"/>
      <c r="H204" s="13"/>
      <c r="I204" s="14"/>
      <c r="J204" s="13"/>
      <c r="K204" s="13"/>
      <c r="L204" s="13"/>
    </row>
    <row r="205" spans="1:12" ht="14.45">
      <c r="A205" s="13"/>
      <c r="B205" s="18"/>
      <c r="C205" s="13"/>
      <c r="D205" s="13"/>
      <c r="E205" s="13"/>
      <c r="F205" s="14"/>
      <c r="G205" s="13"/>
      <c r="H205" s="13"/>
      <c r="I205" s="14"/>
      <c r="J205" s="13"/>
      <c r="K205" s="13"/>
      <c r="L205" s="13"/>
    </row>
    <row r="206" spans="1:12" ht="14.45">
      <c r="A206" s="13"/>
      <c r="B206" s="18"/>
      <c r="C206" s="13"/>
      <c r="D206" s="13"/>
      <c r="E206" s="13"/>
      <c r="F206" s="14"/>
      <c r="G206" s="13"/>
      <c r="H206" s="13"/>
      <c r="I206" s="14"/>
      <c r="J206" s="13"/>
      <c r="K206" s="13"/>
      <c r="L206" s="13"/>
    </row>
    <row r="207" spans="1:12" ht="14.45">
      <c r="A207" s="13"/>
      <c r="B207" s="18"/>
      <c r="C207" s="13"/>
      <c r="D207" s="13"/>
      <c r="E207" s="13"/>
      <c r="F207" s="14"/>
      <c r="G207" s="13"/>
      <c r="H207" s="13"/>
      <c r="I207" s="14"/>
      <c r="J207" s="13"/>
      <c r="K207" s="13"/>
      <c r="L207" s="13"/>
    </row>
    <row r="208" spans="1:12" ht="14.45">
      <c r="A208" s="13"/>
      <c r="B208" s="18"/>
      <c r="C208" s="13"/>
      <c r="D208" s="13"/>
      <c r="E208" s="13"/>
      <c r="F208" s="14"/>
      <c r="G208" s="13"/>
      <c r="H208" s="13"/>
      <c r="I208" s="14"/>
      <c r="J208" s="13"/>
      <c r="K208" s="13"/>
      <c r="L208" s="13"/>
    </row>
    <row r="209" spans="1:12" ht="14.45">
      <c r="A209" s="13"/>
      <c r="B209" s="18"/>
      <c r="C209" s="13"/>
      <c r="D209" s="13"/>
      <c r="E209" s="13"/>
      <c r="F209" s="14"/>
      <c r="G209" s="13"/>
      <c r="H209" s="13"/>
      <c r="I209" s="14"/>
      <c r="J209" s="13"/>
      <c r="K209" s="13"/>
      <c r="L209" s="13"/>
    </row>
    <row r="210" spans="1:12" ht="14.45">
      <c r="A210" s="13"/>
      <c r="B210" s="18"/>
      <c r="C210" s="13"/>
      <c r="D210" s="13"/>
      <c r="E210" s="13"/>
      <c r="F210" s="14"/>
      <c r="G210" s="13"/>
      <c r="H210" s="13"/>
      <c r="I210" s="14"/>
      <c r="J210" s="13"/>
      <c r="K210" s="13"/>
      <c r="L210" s="13"/>
    </row>
    <row r="211" spans="1:12" ht="14.45">
      <c r="A211" s="13"/>
      <c r="B211" s="18"/>
      <c r="C211" s="13"/>
      <c r="D211" s="13"/>
      <c r="E211" s="13"/>
      <c r="F211" s="14"/>
      <c r="G211" s="13"/>
      <c r="H211" s="13"/>
      <c r="I211" s="14"/>
      <c r="J211" s="13"/>
      <c r="K211" s="13"/>
      <c r="L211" s="13"/>
    </row>
    <row r="212" spans="1:12" ht="14.45">
      <c r="A212" s="13"/>
      <c r="B212" s="18"/>
      <c r="C212" s="13"/>
      <c r="D212" s="13"/>
      <c r="E212" s="13"/>
      <c r="F212" s="14"/>
      <c r="G212" s="13"/>
      <c r="H212" s="13"/>
      <c r="I212" s="14"/>
      <c r="J212" s="13"/>
      <c r="K212" s="13"/>
      <c r="L212" s="13"/>
    </row>
    <row r="213" spans="1:12" ht="14.45">
      <c r="A213" s="13"/>
      <c r="B213" s="18"/>
      <c r="C213" s="13"/>
      <c r="D213" s="13"/>
      <c r="E213" s="13"/>
      <c r="F213" s="14"/>
      <c r="G213" s="13"/>
      <c r="H213" s="13"/>
      <c r="I213" s="14"/>
      <c r="J213" s="13"/>
      <c r="K213" s="13"/>
      <c r="L213" s="13"/>
    </row>
    <row r="214" spans="1:12" ht="14.45">
      <c r="A214" s="13"/>
      <c r="B214" s="18"/>
      <c r="C214" s="13"/>
      <c r="D214" s="13"/>
      <c r="E214" s="13"/>
      <c r="F214" s="14"/>
      <c r="G214" s="13"/>
      <c r="H214" s="13"/>
      <c r="I214" s="14"/>
      <c r="J214" s="13"/>
      <c r="K214" s="13"/>
      <c r="L214" s="13"/>
    </row>
    <row r="215" spans="1:12" ht="14.45">
      <c r="A215" s="13"/>
      <c r="B215" s="18"/>
      <c r="C215" s="13"/>
      <c r="D215" s="13"/>
      <c r="E215" s="13"/>
      <c r="F215" s="14"/>
      <c r="G215" s="13"/>
      <c r="H215" s="13"/>
      <c r="I215" s="14"/>
      <c r="J215" s="13"/>
      <c r="K215" s="13"/>
      <c r="L215" s="13"/>
    </row>
    <row r="216" spans="1:12" ht="14.45">
      <c r="A216" s="13"/>
      <c r="B216" s="18"/>
      <c r="C216" s="13"/>
      <c r="D216" s="13"/>
      <c r="E216" s="13"/>
      <c r="F216" s="14"/>
      <c r="G216" s="13"/>
      <c r="H216" s="13"/>
      <c r="I216" s="14"/>
      <c r="J216" s="13"/>
      <c r="K216" s="13"/>
      <c r="L216" s="13"/>
    </row>
    <row r="217" spans="1:12" ht="14.45">
      <c r="A217" s="13"/>
      <c r="B217" s="18"/>
      <c r="C217" s="13"/>
      <c r="D217" s="13"/>
      <c r="E217" s="13"/>
      <c r="F217" s="14"/>
      <c r="G217" s="13"/>
      <c r="H217" s="13"/>
      <c r="I217" s="14"/>
      <c r="J217" s="13"/>
      <c r="K217" s="13"/>
      <c r="L217" s="13"/>
    </row>
    <row r="218" spans="1:12" ht="14.45">
      <c r="A218" s="13"/>
      <c r="B218" s="18"/>
      <c r="C218" s="13"/>
      <c r="D218" s="13"/>
      <c r="E218" s="13"/>
      <c r="F218" s="14"/>
      <c r="G218" s="13"/>
      <c r="H218" s="13"/>
      <c r="I218" s="14"/>
      <c r="J218" s="13"/>
      <c r="K218" s="13"/>
      <c r="L218" s="13"/>
    </row>
    <row r="219" spans="1:12" ht="14.45">
      <c r="A219" s="13"/>
      <c r="B219" s="18"/>
      <c r="C219" s="13"/>
      <c r="D219" s="13"/>
      <c r="E219" s="13"/>
      <c r="F219" s="14"/>
      <c r="G219" s="13"/>
      <c r="H219" s="13"/>
      <c r="I219" s="14"/>
      <c r="J219" s="13"/>
      <c r="K219" s="13"/>
      <c r="L219" s="13"/>
    </row>
    <row r="220" spans="1:12" ht="14.45">
      <c r="A220" s="13"/>
      <c r="B220" s="18"/>
      <c r="C220" s="13"/>
      <c r="D220" s="13"/>
      <c r="E220" s="13"/>
      <c r="F220" s="14"/>
      <c r="G220" s="13"/>
      <c r="H220" s="13"/>
      <c r="I220" s="14"/>
      <c r="J220" s="13"/>
      <c r="K220" s="13"/>
      <c r="L220" s="13"/>
    </row>
    <row r="221" spans="1:12" ht="14.45">
      <c r="A221" s="13"/>
      <c r="B221" s="18"/>
      <c r="C221" s="13"/>
      <c r="D221" s="13"/>
      <c r="E221" s="13"/>
      <c r="F221" s="14"/>
      <c r="G221" s="13"/>
      <c r="H221" s="13"/>
      <c r="I221" s="14"/>
      <c r="J221" s="13"/>
      <c r="K221" s="13"/>
      <c r="L221" s="13"/>
    </row>
    <row r="222" spans="1:12" ht="14.45">
      <c r="A222" s="13"/>
      <c r="B222" s="18"/>
      <c r="C222" s="13"/>
      <c r="D222" s="13"/>
      <c r="E222" s="13"/>
      <c r="F222" s="14"/>
      <c r="G222" s="13"/>
      <c r="H222" s="13"/>
      <c r="I222" s="14"/>
      <c r="J222" s="13"/>
      <c r="K222" s="13"/>
      <c r="L222" s="13"/>
    </row>
    <row r="223" spans="1:12" ht="14.45">
      <c r="A223" s="13"/>
      <c r="B223" s="18"/>
      <c r="C223" s="13"/>
      <c r="D223" s="13"/>
      <c r="E223" s="13"/>
      <c r="F223" s="14"/>
      <c r="G223" s="13"/>
      <c r="H223" s="13"/>
      <c r="I223" s="14"/>
      <c r="J223" s="13"/>
      <c r="K223" s="13"/>
      <c r="L223" s="13"/>
    </row>
    <row r="224" spans="1:12" ht="14.45">
      <c r="A224" s="13"/>
      <c r="B224" s="18"/>
      <c r="C224" s="13"/>
      <c r="D224" s="13"/>
      <c r="E224" s="13"/>
      <c r="F224" s="14"/>
      <c r="G224" s="13"/>
      <c r="H224" s="13"/>
      <c r="I224" s="14"/>
      <c r="J224" s="13"/>
      <c r="K224" s="13"/>
      <c r="L224" s="13"/>
    </row>
    <row r="225" spans="1:12" ht="14.45">
      <c r="A225" s="13"/>
      <c r="B225" s="18"/>
      <c r="C225" s="13"/>
      <c r="D225" s="13"/>
      <c r="E225" s="13"/>
      <c r="F225" s="14"/>
      <c r="G225" s="13"/>
      <c r="H225" s="13"/>
      <c r="I225" s="14"/>
      <c r="J225" s="13"/>
      <c r="K225" s="13"/>
      <c r="L225" s="13"/>
    </row>
    <row r="226" spans="1:12" ht="14.45">
      <c r="A226" s="13"/>
      <c r="B226" s="18"/>
      <c r="C226" s="13"/>
      <c r="D226" s="13"/>
      <c r="E226" s="13"/>
      <c r="F226" s="14"/>
      <c r="G226" s="13"/>
      <c r="H226" s="13"/>
      <c r="I226" s="14"/>
      <c r="J226" s="13"/>
      <c r="K226" s="13"/>
      <c r="L226" s="13"/>
    </row>
    <row r="227" spans="1:12" ht="14.45">
      <c r="A227" s="13"/>
      <c r="B227" s="18"/>
      <c r="C227" s="13"/>
      <c r="D227" s="13"/>
      <c r="E227" s="13"/>
      <c r="F227" s="14"/>
      <c r="G227" s="13"/>
      <c r="H227" s="13"/>
      <c r="I227" s="14"/>
      <c r="J227" s="13"/>
      <c r="K227" s="13"/>
      <c r="L227" s="13"/>
    </row>
    <row r="228" spans="1:12" ht="14.45">
      <c r="A228" s="13"/>
      <c r="B228" s="18"/>
      <c r="C228" s="13"/>
      <c r="D228" s="13"/>
      <c r="E228" s="13"/>
      <c r="F228" s="14"/>
      <c r="G228" s="13"/>
      <c r="H228" s="13"/>
      <c r="I228" s="14"/>
      <c r="J228" s="13"/>
      <c r="K228" s="13"/>
      <c r="L228" s="13"/>
    </row>
    <row r="229" spans="1:12" ht="14.45">
      <c r="A229" s="13"/>
      <c r="B229" s="18"/>
      <c r="C229" s="13"/>
      <c r="D229" s="13"/>
      <c r="E229" s="13"/>
      <c r="F229" s="14"/>
      <c r="G229" s="13"/>
      <c r="H229" s="13"/>
      <c r="I229" s="14"/>
      <c r="J229" s="13"/>
      <c r="K229" s="13"/>
      <c r="L229" s="13"/>
    </row>
    <row r="230" spans="1:12" ht="14.45">
      <c r="A230" s="13"/>
      <c r="B230" s="18"/>
      <c r="C230" s="13"/>
      <c r="D230" s="13"/>
      <c r="E230" s="13"/>
      <c r="F230" s="14"/>
      <c r="G230" s="13"/>
      <c r="H230" s="13"/>
      <c r="I230" s="14"/>
      <c r="J230" s="13"/>
      <c r="K230" s="13"/>
      <c r="L230" s="13"/>
    </row>
    <row r="231" spans="1:12" ht="14.45">
      <c r="A231" s="13"/>
      <c r="B231" s="18"/>
      <c r="C231" s="13"/>
      <c r="D231" s="13"/>
      <c r="E231" s="13"/>
      <c r="F231" s="14"/>
      <c r="G231" s="13"/>
      <c r="H231" s="13"/>
      <c r="I231" s="14"/>
      <c r="J231" s="13"/>
      <c r="K231" s="13"/>
      <c r="L231" s="13"/>
    </row>
    <row r="232" spans="1:12" ht="14.45">
      <c r="A232" s="13"/>
      <c r="B232" s="18"/>
      <c r="C232" s="13"/>
      <c r="D232" s="13"/>
      <c r="E232" s="13"/>
      <c r="F232" s="14"/>
      <c r="G232" s="13"/>
      <c r="H232" s="13"/>
      <c r="I232" s="14"/>
      <c r="J232" s="13"/>
      <c r="K232" s="13"/>
      <c r="L232" s="13"/>
    </row>
    <row r="233" spans="1:12" ht="14.45">
      <c r="A233" s="13"/>
      <c r="B233" s="18"/>
      <c r="C233" s="13"/>
      <c r="D233" s="13"/>
      <c r="E233" s="13"/>
      <c r="F233" s="14"/>
      <c r="G233" s="13"/>
      <c r="H233" s="13"/>
      <c r="I233" s="14"/>
      <c r="J233" s="13"/>
      <c r="K233" s="13"/>
      <c r="L233" s="13"/>
    </row>
    <row r="234" spans="1:12" ht="14.45">
      <c r="A234" s="13"/>
      <c r="B234" s="18"/>
      <c r="C234" s="13"/>
      <c r="D234" s="13"/>
      <c r="E234" s="13"/>
      <c r="F234" s="14"/>
      <c r="G234" s="13"/>
      <c r="H234" s="13"/>
      <c r="I234" s="14"/>
      <c r="J234" s="13"/>
      <c r="K234" s="13"/>
      <c r="L234" s="13"/>
    </row>
    <row r="235" spans="1:12" ht="14.45">
      <c r="A235" s="13"/>
      <c r="B235" s="18"/>
      <c r="C235" s="13"/>
      <c r="D235" s="13"/>
      <c r="E235" s="13"/>
      <c r="F235" s="14"/>
      <c r="G235" s="13"/>
      <c r="H235" s="13"/>
      <c r="I235" s="14"/>
      <c r="J235" s="13"/>
      <c r="K235" s="13"/>
      <c r="L235" s="13"/>
    </row>
    <row r="236" spans="1:12" ht="14.45">
      <c r="A236" s="13"/>
      <c r="B236" s="18"/>
      <c r="C236" s="13"/>
      <c r="D236" s="13"/>
      <c r="E236" s="13"/>
      <c r="F236" s="14"/>
      <c r="G236" s="13"/>
      <c r="H236" s="13"/>
      <c r="I236" s="14"/>
      <c r="J236" s="13"/>
      <c r="K236" s="13"/>
      <c r="L236" s="13"/>
    </row>
    <row r="237" spans="1:12" ht="14.45">
      <c r="A237" s="13"/>
      <c r="B237" s="18"/>
      <c r="C237" s="13"/>
      <c r="D237" s="13"/>
      <c r="E237" s="13"/>
      <c r="F237" s="14"/>
      <c r="G237" s="13"/>
      <c r="H237" s="13"/>
      <c r="I237" s="14"/>
      <c r="J237" s="13"/>
      <c r="K237" s="13"/>
      <c r="L237" s="13"/>
    </row>
    <row r="238" spans="1:12" ht="14.45">
      <c r="A238" s="13"/>
      <c r="B238" s="18"/>
      <c r="C238" s="13"/>
      <c r="D238" s="13"/>
      <c r="E238" s="13"/>
      <c r="F238" s="14"/>
      <c r="G238" s="13"/>
      <c r="H238" s="13"/>
      <c r="I238" s="14"/>
      <c r="J238" s="13"/>
      <c r="K238" s="13"/>
      <c r="L238" s="13"/>
    </row>
    <row r="239" spans="1:12" ht="14.45">
      <c r="A239" s="13"/>
      <c r="B239" s="18"/>
      <c r="C239" s="13"/>
      <c r="D239" s="13"/>
      <c r="E239" s="13"/>
      <c r="F239" s="14"/>
      <c r="G239" s="13"/>
      <c r="H239" s="13"/>
      <c r="I239" s="14"/>
      <c r="J239" s="13"/>
      <c r="K239" s="13"/>
      <c r="L239" s="13"/>
    </row>
    <row r="240" spans="1:12" ht="14.45">
      <c r="A240" s="13"/>
      <c r="B240" s="18"/>
      <c r="C240" s="13"/>
      <c r="D240" s="13"/>
      <c r="E240" s="13"/>
      <c r="F240" s="14"/>
      <c r="G240" s="13"/>
      <c r="H240" s="13"/>
      <c r="I240" s="14"/>
      <c r="J240" s="13"/>
      <c r="K240" s="13"/>
      <c r="L240" s="13"/>
    </row>
    <row r="241" spans="1:12" ht="14.45">
      <c r="A241" s="13"/>
      <c r="B241" s="18"/>
      <c r="C241" s="13"/>
      <c r="D241" s="13"/>
      <c r="E241" s="13"/>
      <c r="F241" s="14"/>
      <c r="G241" s="13"/>
      <c r="H241" s="13"/>
      <c r="I241" s="14"/>
      <c r="J241" s="13"/>
      <c r="K241" s="13"/>
      <c r="L241" s="13"/>
    </row>
    <row r="242" spans="1:12" ht="14.45">
      <c r="A242" s="13"/>
      <c r="B242" s="18"/>
      <c r="C242" s="13"/>
      <c r="D242" s="13"/>
      <c r="E242" s="13"/>
      <c r="F242" s="14"/>
      <c r="G242" s="13"/>
      <c r="H242" s="13"/>
      <c r="I242" s="14"/>
      <c r="J242" s="13"/>
      <c r="K242" s="13"/>
      <c r="L242" s="13"/>
    </row>
    <row r="243" spans="1:12" ht="14.45">
      <c r="A243" s="13"/>
      <c r="B243" s="18"/>
      <c r="C243" s="13"/>
      <c r="D243" s="13"/>
      <c r="E243" s="13"/>
      <c r="F243" s="14"/>
      <c r="G243" s="13"/>
      <c r="H243" s="13"/>
      <c r="I243" s="14"/>
      <c r="J243" s="13"/>
      <c r="K243" s="13"/>
      <c r="L243" s="13"/>
    </row>
    <row r="244" spans="1:12" ht="14.45">
      <c r="A244" s="13"/>
      <c r="B244" s="18"/>
      <c r="C244" s="13"/>
      <c r="D244" s="13"/>
      <c r="E244" s="13"/>
      <c r="F244" s="14"/>
      <c r="G244" s="13"/>
      <c r="H244" s="13"/>
      <c r="I244" s="14"/>
      <c r="J244" s="13"/>
      <c r="K244" s="13"/>
      <c r="L244" s="13"/>
    </row>
    <row r="245" spans="1:12" ht="14.45">
      <c r="A245" s="13"/>
      <c r="B245" s="18"/>
      <c r="C245" s="13"/>
      <c r="D245" s="13"/>
      <c r="E245" s="13"/>
      <c r="F245" s="14"/>
      <c r="G245" s="13"/>
      <c r="H245" s="13"/>
      <c r="I245" s="14"/>
      <c r="J245" s="13"/>
      <c r="K245" s="13"/>
      <c r="L245" s="13"/>
    </row>
    <row r="246" spans="1:12" ht="14.45">
      <c r="A246" s="13"/>
      <c r="B246" s="18"/>
      <c r="C246" s="13"/>
      <c r="D246" s="13"/>
      <c r="E246" s="13"/>
      <c r="F246" s="14"/>
      <c r="G246" s="13"/>
      <c r="H246" s="13"/>
      <c r="I246" s="14"/>
      <c r="J246" s="13"/>
      <c r="K246" s="13"/>
      <c r="L246" s="13"/>
    </row>
    <row r="247" spans="1:12" ht="14.45">
      <c r="A247" s="13"/>
      <c r="B247" s="18"/>
      <c r="C247" s="13"/>
      <c r="D247" s="13"/>
      <c r="E247" s="13"/>
      <c r="F247" s="14"/>
      <c r="G247" s="13"/>
      <c r="H247" s="13"/>
      <c r="I247" s="14"/>
      <c r="J247" s="13"/>
      <c r="K247" s="13"/>
      <c r="L247" s="13"/>
    </row>
    <row r="248" spans="1:12" ht="14.45">
      <c r="A248" s="13"/>
      <c r="B248" s="18"/>
      <c r="C248" s="13"/>
      <c r="D248" s="13"/>
      <c r="E248" s="13"/>
      <c r="F248" s="14"/>
      <c r="G248" s="13"/>
      <c r="H248" s="13"/>
      <c r="I248" s="14"/>
      <c r="J248" s="13"/>
      <c r="K248" s="13"/>
      <c r="L248" s="13"/>
    </row>
    <row r="249" spans="1:12" ht="14.45">
      <c r="A249" s="13"/>
      <c r="B249" s="18"/>
      <c r="C249" s="13"/>
      <c r="D249" s="13"/>
      <c r="E249" s="13"/>
      <c r="F249" s="14"/>
      <c r="G249" s="13"/>
      <c r="H249" s="13"/>
      <c r="I249" s="14"/>
      <c r="J249" s="13"/>
      <c r="K249" s="13"/>
      <c r="L249" s="13"/>
    </row>
    <row r="250" spans="1:12" ht="14.45">
      <c r="A250" s="13"/>
      <c r="B250" s="18"/>
      <c r="C250" s="13"/>
      <c r="D250" s="13"/>
      <c r="E250" s="13"/>
      <c r="F250" s="14"/>
      <c r="G250" s="13"/>
      <c r="H250" s="13"/>
      <c r="I250" s="14"/>
      <c r="J250" s="13"/>
      <c r="K250" s="13"/>
      <c r="L250" s="13"/>
    </row>
    <row r="251" spans="1:12" ht="14.45">
      <c r="A251" s="13"/>
      <c r="B251" s="18"/>
      <c r="C251" s="13"/>
      <c r="D251" s="13"/>
      <c r="E251" s="13"/>
      <c r="F251" s="14"/>
      <c r="G251" s="13"/>
      <c r="H251" s="13"/>
      <c r="I251" s="14"/>
      <c r="J251" s="13"/>
      <c r="K251" s="13"/>
      <c r="L251" s="13"/>
    </row>
    <row r="252" spans="1:12" ht="14.45">
      <c r="A252" s="13"/>
      <c r="B252" s="18"/>
      <c r="C252" s="13"/>
      <c r="D252" s="13"/>
      <c r="E252" s="13"/>
      <c r="F252" s="14"/>
      <c r="G252" s="13"/>
      <c r="H252" s="13"/>
      <c r="I252" s="14"/>
      <c r="J252" s="13"/>
      <c r="K252" s="13"/>
      <c r="L252" s="13"/>
    </row>
    <row r="253" spans="1:12" ht="14.45">
      <c r="A253" s="13"/>
      <c r="B253" s="18"/>
      <c r="C253" s="13"/>
      <c r="D253" s="13"/>
      <c r="E253" s="13"/>
      <c r="F253" s="14"/>
      <c r="G253" s="13"/>
      <c r="H253" s="13"/>
      <c r="I253" s="14"/>
      <c r="J253" s="13"/>
      <c r="K253" s="13"/>
      <c r="L253" s="13"/>
    </row>
    <row r="254" spans="1:12" ht="14.45">
      <c r="A254" s="13"/>
      <c r="B254" s="18"/>
      <c r="C254" s="13"/>
      <c r="D254" s="13"/>
      <c r="E254" s="13"/>
      <c r="F254" s="14"/>
      <c r="G254" s="13"/>
      <c r="H254" s="13"/>
      <c r="I254" s="14"/>
      <c r="J254" s="13"/>
      <c r="K254" s="13"/>
      <c r="L254" s="13"/>
    </row>
    <row r="255" spans="1:12" ht="14.45">
      <c r="A255" s="13"/>
      <c r="B255" s="18"/>
      <c r="C255" s="13"/>
      <c r="D255" s="13"/>
      <c r="E255" s="13"/>
      <c r="F255" s="14"/>
      <c r="G255" s="13"/>
      <c r="H255" s="13"/>
      <c r="I255" s="14"/>
      <c r="J255" s="13"/>
      <c r="K255" s="13"/>
      <c r="L255" s="13"/>
    </row>
    <row r="256" spans="1:12" ht="14.45">
      <c r="A256" s="13"/>
      <c r="B256" s="18"/>
      <c r="C256" s="13"/>
      <c r="D256" s="13"/>
      <c r="E256" s="13"/>
      <c r="F256" s="14"/>
      <c r="G256" s="13"/>
      <c r="H256" s="13"/>
      <c r="I256" s="14"/>
      <c r="J256" s="13"/>
      <c r="K256" s="13"/>
      <c r="L256" s="13"/>
    </row>
    <row r="257" spans="1:12" ht="14.45">
      <c r="A257" s="13"/>
      <c r="B257" s="18"/>
      <c r="C257" s="13"/>
      <c r="D257" s="13"/>
      <c r="E257" s="13"/>
      <c r="F257" s="14"/>
      <c r="G257" s="13"/>
      <c r="H257" s="13"/>
      <c r="I257" s="14"/>
      <c r="J257" s="13"/>
      <c r="K257" s="13"/>
      <c r="L257" s="13"/>
    </row>
    <row r="258" spans="1:12" ht="14.45">
      <c r="A258" s="13"/>
      <c r="B258" s="18"/>
      <c r="C258" s="13"/>
      <c r="D258" s="13"/>
      <c r="E258" s="13"/>
      <c r="F258" s="14"/>
      <c r="G258" s="13"/>
      <c r="H258" s="13"/>
      <c r="I258" s="14"/>
      <c r="J258" s="13"/>
      <c r="K258" s="13"/>
      <c r="L258" s="13"/>
    </row>
    <row r="259" spans="1:12" ht="14.45">
      <c r="A259" s="13"/>
      <c r="B259" s="18"/>
      <c r="C259" s="13"/>
      <c r="D259" s="13"/>
      <c r="E259" s="13"/>
      <c r="F259" s="14"/>
      <c r="G259" s="13"/>
      <c r="H259" s="13"/>
      <c r="I259" s="14"/>
      <c r="J259" s="13"/>
      <c r="K259" s="13"/>
      <c r="L259" s="13"/>
    </row>
    <row r="260" spans="1:12" ht="14.45">
      <c r="A260" s="13"/>
      <c r="B260" s="18"/>
      <c r="C260" s="13"/>
      <c r="D260" s="13"/>
      <c r="E260" s="13"/>
      <c r="F260" s="14"/>
      <c r="G260" s="13"/>
      <c r="H260" s="13"/>
      <c r="I260" s="14"/>
      <c r="J260" s="13"/>
      <c r="K260" s="13"/>
      <c r="L260" s="13"/>
    </row>
    <row r="261" spans="1:12" ht="14.45">
      <c r="A261" s="13"/>
      <c r="B261" s="18"/>
      <c r="C261" s="13"/>
      <c r="D261" s="13"/>
      <c r="E261" s="13"/>
      <c r="F261" s="14"/>
      <c r="G261" s="13"/>
      <c r="H261" s="13"/>
      <c r="I261" s="14"/>
      <c r="J261" s="13"/>
      <c r="K261" s="13"/>
      <c r="L261" s="13"/>
    </row>
    <row r="262" spans="1:12" ht="14.45">
      <c r="A262" s="13"/>
      <c r="B262" s="18"/>
      <c r="C262" s="13"/>
      <c r="D262" s="13"/>
      <c r="E262" s="13"/>
      <c r="F262" s="14"/>
      <c r="G262" s="13"/>
      <c r="H262" s="13"/>
      <c r="I262" s="14"/>
      <c r="J262" s="13"/>
      <c r="K262" s="13"/>
      <c r="L262" s="13"/>
    </row>
    <row r="263" spans="1:12" ht="14.45">
      <c r="A263" s="13"/>
      <c r="B263" s="18"/>
      <c r="C263" s="13"/>
      <c r="D263" s="13"/>
      <c r="E263" s="13"/>
      <c r="F263" s="14"/>
      <c r="G263" s="13"/>
      <c r="H263" s="13"/>
      <c r="I263" s="14"/>
      <c r="J263" s="13"/>
      <c r="K263" s="13"/>
      <c r="L263" s="13"/>
    </row>
    <row r="264" spans="1:12" ht="14.45">
      <c r="A264" s="13"/>
      <c r="B264" s="18"/>
      <c r="C264" s="13"/>
      <c r="D264" s="13"/>
      <c r="E264" s="13"/>
      <c r="F264" s="14"/>
      <c r="G264" s="13"/>
      <c r="H264" s="13"/>
      <c r="I264" s="14"/>
      <c r="J264" s="13"/>
      <c r="K264" s="13"/>
      <c r="L264" s="13"/>
    </row>
    <row r="265" spans="1:12" ht="14.45">
      <c r="A265" s="13"/>
      <c r="B265" s="18"/>
      <c r="C265" s="13"/>
      <c r="D265" s="13"/>
      <c r="E265" s="13"/>
      <c r="F265" s="14"/>
      <c r="G265" s="13"/>
      <c r="H265" s="13"/>
      <c r="I265" s="14"/>
      <c r="J265" s="13"/>
      <c r="K265" s="13"/>
      <c r="L265" s="13"/>
    </row>
    <row r="266" spans="1:12" ht="14.45">
      <c r="A266" s="13"/>
      <c r="B266" s="18"/>
      <c r="C266" s="13"/>
      <c r="D266" s="13"/>
      <c r="E266" s="13"/>
      <c r="F266" s="14"/>
      <c r="G266" s="13"/>
      <c r="H266" s="13"/>
      <c r="I266" s="14"/>
      <c r="J266" s="13"/>
      <c r="K266" s="13"/>
      <c r="L266" s="13"/>
    </row>
    <row r="267" spans="1:12" ht="14.45">
      <c r="A267" s="13"/>
      <c r="B267" s="18"/>
      <c r="C267" s="13"/>
      <c r="D267" s="13"/>
      <c r="E267" s="13"/>
      <c r="F267" s="14"/>
      <c r="G267" s="13"/>
      <c r="H267" s="13"/>
      <c r="I267" s="14"/>
      <c r="J267" s="13"/>
      <c r="K267" s="13"/>
      <c r="L267" s="13"/>
    </row>
    <row r="268" spans="1:12" ht="14.45">
      <c r="A268" s="13"/>
      <c r="B268" s="18"/>
      <c r="C268" s="13"/>
      <c r="D268" s="13"/>
      <c r="E268" s="13"/>
      <c r="F268" s="14"/>
      <c r="G268" s="13"/>
      <c r="H268" s="13"/>
      <c r="I268" s="14"/>
      <c r="J268" s="13"/>
      <c r="K268" s="13"/>
      <c r="L268" s="13"/>
    </row>
    <row r="269" spans="1:12" ht="14.45">
      <c r="A269" s="13"/>
      <c r="B269" s="18"/>
      <c r="C269" s="13"/>
      <c r="D269" s="13"/>
      <c r="E269" s="13"/>
      <c r="F269" s="14"/>
      <c r="G269" s="13"/>
      <c r="H269" s="13"/>
      <c r="I269" s="14"/>
      <c r="J269" s="13"/>
      <c r="K269" s="13"/>
      <c r="L269" s="13"/>
    </row>
    <row r="270" spans="1:12" ht="14.45">
      <c r="A270" s="13"/>
      <c r="B270" s="18"/>
      <c r="C270" s="13"/>
      <c r="D270" s="13"/>
      <c r="E270" s="13"/>
      <c r="F270" s="14"/>
      <c r="G270" s="13"/>
      <c r="H270" s="13"/>
      <c r="I270" s="14"/>
      <c r="J270" s="13"/>
      <c r="K270" s="13"/>
      <c r="L270" s="13"/>
    </row>
    <row r="271" spans="1:12" ht="14.45">
      <c r="A271" s="13"/>
      <c r="B271" s="18"/>
      <c r="C271" s="13"/>
      <c r="D271" s="13"/>
      <c r="E271" s="13"/>
      <c r="F271" s="14"/>
      <c r="G271" s="13"/>
      <c r="H271" s="13"/>
      <c r="I271" s="14"/>
      <c r="J271" s="13"/>
      <c r="K271" s="13"/>
      <c r="L271" s="13"/>
    </row>
    <row r="272" spans="1:12" ht="14.45">
      <c r="A272" s="13"/>
      <c r="B272" s="18"/>
      <c r="C272" s="13"/>
      <c r="D272" s="13"/>
      <c r="E272" s="13"/>
      <c r="F272" s="14"/>
      <c r="G272" s="13"/>
      <c r="H272" s="13"/>
      <c r="I272" s="14"/>
      <c r="J272" s="13"/>
      <c r="K272" s="13"/>
      <c r="L272" s="13"/>
    </row>
    <row r="273" spans="1:12" ht="14.45">
      <c r="A273" s="13"/>
      <c r="B273" s="18"/>
      <c r="C273" s="13"/>
      <c r="D273" s="13"/>
      <c r="E273" s="13"/>
      <c r="F273" s="14"/>
      <c r="G273" s="13"/>
      <c r="H273" s="13"/>
      <c r="I273" s="14"/>
      <c r="J273" s="13"/>
      <c r="K273" s="13"/>
      <c r="L273" s="13"/>
    </row>
    <row r="274" spans="1:12" ht="14.45">
      <c r="A274" s="13"/>
      <c r="B274" s="18"/>
      <c r="C274" s="13"/>
      <c r="D274" s="13"/>
      <c r="E274" s="13"/>
      <c r="F274" s="14"/>
      <c r="G274" s="13"/>
      <c r="H274" s="13"/>
      <c r="I274" s="14"/>
      <c r="J274" s="13"/>
      <c r="K274" s="13"/>
      <c r="L274" s="13"/>
    </row>
    <row r="275" spans="1:12" ht="14.45">
      <c r="A275" s="13"/>
      <c r="B275" s="18"/>
      <c r="C275" s="13"/>
      <c r="D275" s="13"/>
      <c r="E275" s="13"/>
      <c r="F275" s="14"/>
      <c r="G275" s="13"/>
      <c r="H275" s="13"/>
      <c r="I275" s="14"/>
      <c r="J275" s="13"/>
      <c r="K275" s="13"/>
      <c r="L275" s="13"/>
    </row>
    <row r="276" spans="1:12" ht="14.45">
      <c r="A276" s="13"/>
      <c r="B276" s="18"/>
      <c r="C276" s="13"/>
      <c r="D276" s="13"/>
      <c r="E276" s="13"/>
      <c r="F276" s="14"/>
      <c r="G276" s="13"/>
      <c r="H276" s="13"/>
      <c r="I276" s="14"/>
      <c r="J276" s="13"/>
      <c r="K276" s="13"/>
      <c r="L276" s="13"/>
    </row>
    <row r="277" spans="1:12" ht="14.45">
      <c r="A277" s="13"/>
      <c r="B277" s="18"/>
      <c r="C277" s="13"/>
      <c r="D277" s="13"/>
      <c r="E277" s="13"/>
      <c r="F277" s="14"/>
      <c r="G277" s="13"/>
      <c r="H277" s="13"/>
      <c r="I277" s="14"/>
      <c r="J277" s="13"/>
      <c r="K277" s="13"/>
      <c r="L277" s="13"/>
    </row>
    <row r="278" spans="1:12" ht="14.45">
      <c r="A278" s="13"/>
      <c r="B278" s="18"/>
      <c r="C278" s="13"/>
      <c r="D278" s="13"/>
      <c r="E278" s="13"/>
      <c r="F278" s="14"/>
      <c r="G278" s="13"/>
      <c r="H278" s="13"/>
      <c r="I278" s="14"/>
      <c r="J278" s="13"/>
      <c r="K278" s="13"/>
      <c r="L278" s="13"/>
    </row>
    <row r="279" spans="1:12" ht="14.45">
      <c r="A279" s="13"/>
      <c r="B279" s="18"/>
      <c r="C279" s="13"/>
      <c r="D279" s="13"/>
      <c r="E279" s="13"/>
      <c r="F279" s="14"/>
      <c r="G279" s="13"/>
      <c r="H279" s="13"/>
      <c r="I279" s="14"/>
      <c r="J279" s="13"/>
      <c r="K279" s="13"/>
      <c r="L279" s="13"/>
    </row>
    <row r="280" spans="1:12" ht="14.45">
      <c r="A280" s="13"/>
      <c r="B280" s="18"/>
      <c r="C280" s="13"/>
      <c r="D280" s="13"/>
      <c r="E280" s="13"/>
      <c r="F280" s="14"/>
      <c r="G280" s="13"/>
      <c r="H280" s="13"/>
      <c r="I280" s="14"/>
      <c r="J280" s="13"/>
      <c r="K280" s="13"/>
      <c r="L280" s="13"/>
    </row>
    <row r="281" spans="1:12" ht="14.45">
      <c r="A281" s="13"/>
      <c r="B281" s="18"/>
      <c r="C281" s="13"/>
      <c r="D281" s="13"/>
      <c r="E281" s="13"/>
      <c r="F281" s="14"/>
      <c r="G281" s="13"/>
      <c r="H281" s="13"/>
      <c r="I281" s="14"/>
      <c r="J281" s="13"/>
      <c r="K281" s="13"/>
      <c r="L281" s="13"/>
    </row>
    <row r="282" spans="1:12" ht="14.45">
      <c r="A282" s="13"/>
      <c r="B282" s="18"/>
      <c r="C282" s="13"/>
      <c r="D282" s="13"/>
      <c r="E282" s="13"/>
      <c r="F282" s="14"/>
      <c r="G282" s="13"/>
      <c r="H282" s="13"/>
      <c r="I282" s="14"/>
      <c r="J282" s="13"/>
      <c r="K282" s="13"/>
      <c r="L282" s="13"/>
    </row>
    <row r="283" spans="1:12" ht="14.45">
      <c r="A283" s="13"/>
      <c r="B283" s="18"/>
      <c r="C283" s="13"/>
      <c r="D283" s="13"/>
      <c r="E283" s="13"/>
      <c r="F283" s="14"/>
      <c r="G283" s="13"/>
      <c r="H283" s="13"/>
      <c r="I283" s="14"/>
      <c r="J283" s="13"/>
      <c r="K283" s="13"/>
      <c r="L283" s="13"/>
    </row>
    <row r="284" spans="1:12" ht="14.45">
      <c r="A284" s="13"/>
      <c r="B284" s="18"/>
      <c r="C284" s="13"/>
      <c r="D284" s="13"/>
      <c r="E284" s="13"/>
      <c r="F284" s="14"/>
      <c r="G284" s="13"/>
      <c r="H284" s="13"/>
      <c r="I284" s="14"/>
      <c r="J284" s="13"/>
      <c r="K284" s="13"/>
      <c r="L284" s="13"/>
    </row>
    <row r="285" spans="1:12" ht="14.45">
      <c r="A285" s="13"/>
      <c r="B285" s="18"/>
      <c r="C285" s="13"/>
      <c r="D285" s="13"/>
      <c r="E285" s="13"/>
      <c r="F285" s="14"/>
      <c r="G285" s="13"/>
      <c r="H285" s="13"/>
      <c r="I285" s="14"/>
      <c r="J285" s="13"/>
      <c r="K285" s="13"/>
      <c r="L285" s="13"/>
    </row>
    <row r="286" spans="1:12" ht="14.45">
      <c r="A286" s="13"/>
      <c r="B286" s="18"/>
      <c r="C286" s="13"/>
      <c r="D286" s="13"/>
      <c r="E286" s="13"/>
      <c r="F286" s="14"/>
      <c r="G286" s="13"/>
      <c r="H286" s="13"/>
      <c r="I286" s="14"/>
      <c r="J286" s="13"/>
      <c r="K286" s="13"/>
      <c r="L286" s="13"/>
    </row>
    <row r="287" spans="1:12" ht="14.45">
      <c r="A287" s="13"/>
      <c r="B287" s="18"/>
      <c r="C287" s="13"/>
      <c r="D287" s="13"/>
      <c r="E287" s="13"/>
      <c r="F287" s="14"/>
      <c r="G287" s="13"/>
      <c r="H287" s="13"/>
      <c r="I287" s="14"/>
      <c r="J287" s="13"/>
      <c r="K287" s="13"/>
      <c r="L287" s="13"/>
    </row>
    <row r="288" spans="1:12" ht="14.45">
      <c r="A288" s="13"/>
      <c r="B288" s="18"/>
      <c r="C288" s="13"/>
      <c r="D288" s="13"/>
      <c r="E288" s="13"/>
      <c r="F288" s="14"/>
      <c r="G288" s="13"/>
      <c r="H288" s="13"/>
      <c r="I288" s="14"/>
      <c r="J288" s="13"/>
      <c r="K288" s="13"/>
      <c r="L288" s="13"/>
    </row>
    <row r="289" spans="1:12" ht="14.45">
      <c r="A289" s="13"/>
      <c r="B289" s="18"/>
      <c r="C289" s="13"/>
      <c r="D289" s="13"/>
      <c r="E289" s="13"/>
      <c r="F289" s="14"/>
      <c r="G289" s="13"/>
      <c r="H289" s="13"/>
      <c r="I289" s="14"/>
      <c r="J289" s="13"/>
      <c r="K289" s="13"/>
      <c r="L289" s="13"/>
    </row>
    <row r="290" spans="1:12" ht="14.45">
      <c r="A290" s="13"/>
      <c r="B290" s="18"/>
      <c r="C290" s="13"/>
      <c r="D290" s="13"/>
      <c r="E290" s="13"/>
      <c r="F290" s="14"/>
      <c r="G290" s="13"/>
      <c r="H290" s="13"/>
      <c r="I290" s="14"/>
      <c r="J290" s="13"/>
      <c r="K290" s="13"/>
      <c r="L290" s="13"/>
    </row>
    <row r="291" spans="1:12" ht="14.45">
      <c r="A291" s="13"/>
      <c r="B291" s="18"/>
      <c r="C291" s="13"/>
      <c r="D291" s="13"/>
      <c r="E291" s="13"/>
      <c r="F291" s="14"/>
      <c r="G291" s="13"/>
      <c r="H291" s="13"/>
      <c r="I291" s="14"/>
      <c r="J291" s="13"/>
      <c r="K291" s="13"/>
      <c r="L291" s="13"/>
    </row>
    <row r="292" spans="1:12" ht="14.45">
      <c r="A292" s="13"/>
      <c r="B292" s="18"/>
      <c r="C292" s="13"/>
      <c r="D292" s="13"/>
      <c r="E292" s="13"/>
      <c r="F292" s="14"/>
      <c r="G292" s="13"/>
      <c r="H292" s="13"/>
      <c r="I292" s="14"/>
      <c r="J292" s="13"/>
      <c r="K292" s="13"/>
      <c r="L292" s="13"/>
    </row>
    <row r="293" spans="1:12" ht="14.45">
      <c r="A293" s="13"/>
      <c r="B293" s="18"/>
      <c r="C293" s="13"/>
      <c r="D293" s="13"/>
      <c r="E293" s="13"/>
      <c r="F293" s="14"/>
      <c r="G293" s="13"/>
      <c r="H293" s="13"/>
      <c r="I293" s="14"/>
      <c r="J293" s="13"/>
      <c r="K293" s="13"/>
      <c r="L293" s="13"/>
    </row>
    <row r="294" spans="1:12" ht="14.45">
      <c r="A294" s="13"/>
      <c r="B294" s="18"/>
      <c r="C294" s="13"/>
      <c r="D294" s="13"/>
      <c r="E294" s="13"/>
      <c r="F294" s="14"/>
      <c r="G294" s="13"/>
      <c r="H294" s="13"/>
      <c r="I294" s="14"/>
      <c r="J294" s="13"/>
      <c r="K294" s="13"/>
      <c r="L294" s="13"/>
    </row>
    <row r="295" spans="1:12" ht="14.45">
      <c r="A295" s="13"/>
      <c r="B295" s="18"/>
      <c r="C295" s="13"/>
      <c r="D295" s="13"/>
      <c r="E295" s="13"/>
      <c r="F295" s="14"/>
      <c r="G295" s="13"/>
      <c r="H295" s="13"/>
      <c r="I295" s="14"/>
      <c r="J295" s="13"/>
      <c r="K295" s="13"/>
      <c r="L295" s="13"/>
    </row>
    <row r="296" spans="1:12" ht="14.45">
      <c r="A296" s="13"/>
      <c r="B296" s="18"/>
      <c r="C296" s="13"/>
      <c r="D296" s="13"/>
      <c r="E296" s="13"/>
      <c r="F296" s="14"/>
      <c r="G296" s="13"/>
      <c r="H296" s="13"/>
      <c r="I296" s="14"/>
      <c r="J296" s="13"/>
      <c r="K296" s="13"/>
      <c r="L296" s="13"/>
    </row>
    <row r="297" spans="1:12" ht="14.45">
      <c r="A297" s="13"/>
      <c r="B297" s="18"/>
      <c r="C297" s="13"/>
      <c r="D297" s="13"/>
      <c r="E297" s="13"/>
      <c r="F297" s="14"/>
      <c r="G297" s="13"/>
      <c r="H297" s="13"/>
      <c r="I297" s="14"/>
      <c r="J297" s="13"/>
      <c r="K297" s="13"/>
      <c r="L297" s="13"/>
    </row>
    <row r="298" spans="1:12" ht="14.45">
      <c r="A298" s="13"/>
      <c r="B298" s="18"/>
      <c r="C298" s="13"/>
      <c r="D298" s="13"/>
      <c r="E298" s="13"/>
      <c r="F298" s="14"/>
      <c r="G298" s="13"/>
      <c r="H298" s="13"/>
      <c r="I298" s="14"/>
      <c r="J298" s="13"/>
      <c r="K298" s="13"/>
      <c r="L298" s="13"/>
    </row>
    <row r="299" spans="1:12" ht="14.45">
      <c r="A299" s="13"/>
      <c r="B299" s="18"/>
      <c r="C299" s="13"/>
      <c r="D299" s="13"/>
      <c r="E299" s="13"/>
      <c r="F299" s="14"/>
      <c r="G299" s="13"/>
      <c r="H299" s="13"/>
      <c r="I299" s="14"/>
      <c r="J299" s="13"/>
      <c r="K299" s="13"/>
      <c r="L299" s="13"/>
    </row>
    <row r="300" spans="1:12" ht="14.45">
      <c r="A300" s="13"/>
      <c r="B300" s="18"/>
      <c r="C300" s="13"/>
      <c r="D300" s="13"/>
      <c r="E300" s="13"/>
      <c r="F300" s="14"/>
      <c r="G300" s="13"/>
      <c r="H300" s="13"/>
      <c r="I300" s="14"/>
      <c r="J300" s="13"/>
      <c r="K300" s="13"/>
      <c r="L300" s="13"/>
    </row>
    <row r="301" spans="1:12" ht="14.45">
      <c r="A301" s="13"/>
      <c r="B301" s="18"/>
      <c r="C301" s="13"/>
      <c r="D301" s="13"/>
      <c r="E301" s="13"/>
      <c r="F301" s="14"/>
      <c r="G301" s="13"/>
      <c r="H301" s="13"/>
      <c r="I301" s="14"/>
      <c r="J301" s="13"/>
      <c r="K301" s="13"/>
      <c r="L301" s="13"/>
    </row>
    <row r="302" spans="1:12" ht="14.45">
      <c r="A302" s="13"/>
      <c r="B302" s="18"/>
      <c r="C302" s="13"/>
      <c r="D302" s="13"/>
      <c r="E302" s="13"/>
      <c r="F302" s="14"/>
      <c r="G302" s="13"/>
      <c r="H302" s="13"/>
      <c r="I302" s="14"/>
      <c r="J302" s="13"/>
      <c r="K302" s="13"/>
      <c r="L302" s="13"/>
    </row>
    <row r="303" spans="1:12" ht="14.45">
      <c r="A303" s="13"/>
      <c r="B303" s="18"/>
      <c r="C303" s="13"/>
      <c r="D303" s="13"/>
      <c r="E303" s="13"/>
      <c r="F303" s="14"/>
      <c r="G303" s="13"/>
      <c r="H303" s="13"/>
      <c r="I303" s="14"/>
      <c r="J303" s="13"/>
      <c r="K303" s="13"/>
      <c r="L303" s="13"/>
    </row>
    <row r="304" spans="1:12" ht="14.45">
      <c r="A304" s="13"/>
      <c r="B304" s="18"/>
      <c r="C304" s="13"/>
      <c r="D304" s="13"/>
      <c r="E304" s="13"/>
      <c r="F304" s="14"/>
      <c r="G304" s="13"/>
      <c r="H304" s="13"/>
      <c r="I304" s="14"/>
      <c r="J304" s="13"/>
      <c r="K304" s="13"/>
      <c r="L304" s="13"/>
    </row>
    <row r="305" spans="1:12" ht="14.45">
      <c r="A305" s="13"/>
      <c r="B305" s="18"/>
      <c r="C305" s="13"/>
      <c r="D305" s="13"/>
      <c r="E305" s="13"/>
      <c r="F305" s="14"/>
      <c r="G305" s="13"/>
      <c r="H305" s="13"/>
      <c r="I305" s="14"/>
      <c r="J305" s="13"/>
      <c r="K305" s="13"/>
      <c r="L305" s="13"/>
    </row>
    <row r="306" spans="1:12" ht="14.45">
      <c r="A306" s="13"/>
      <c r="B306" s="18"/>
      <c r="C306" s="13"/>
      <c r="D306" s="13"/>
      <c r="E306" s="13"/>
      <c r="F306" s="14"/>
      <c r="G306" s="13"/>
      <c r="H306" s="13"/>
      <c r="I306" s="14"/>
      <c r="J306" s="13"/>
      <c r="K306" s="13"/>
      <c r="L306" s="13"/>
    </row>
    <row r="307" spans="1:12" ht="14.45">
      <c r="A307" s="13"/>
      <c r="B307" s="18"/>
      <c r="C307" s="13"/>
      <c r="D307" s="13"/>
      <c r="E307" s="13"/>
      <c r="F307" s="14"/>
      <c r="G307" s="13"/>
      <c r="H307" s="13"/>
      <c r="I307" s="14"/>
      <c r="J307" s="13"/>
      <c r="K307" s="13"/>
      <c r="L307" s="13"/>
    </row>
    <row r="308" spans="1:12" ht="14.45">
      <c r="A308" s="13"/>
      <c r="B308" s="18"/>
      <c r="C308" s="13"/>
      <c r="D308" s="13"/>
      <c r="E308" s="13"/>
      <c r="F308" s="14"/>
      <c r="G308" s="13"/>
      <c r="H308" s="13"/>
      <c r="I308" s="14"/>
      <c r="J308" s="13"/>
      <c r="K308" s="13"/>
      <c r="L308" s="13"/>
    </row>
    <row r="309" spans="1:12" ht="14.45">
      <c r="A309" s="13"/>
      <c r="B309" s="18"/>
      <c r="C309" s="13"/>
      <c r="D309" s="13"/>
      <c r="E309" s="13"/>
      <c r="F309" s="14"/>
      <c r="G309" s="13"/>
      <c r="H309" s="13"/>
      <c r="I309" s="14"/>
      <c r="J309" s="13"/>
      <c r="K309" s="13"/>
      <c r="L309" s="13"/>
    </row>
    <row r="310" spans="1:12" ht="14.45">
      <c r="A310" s="13"/>
      <c r="B310" s="18"/>
      <c r="C310" s="13"/>
      <c r="D310" s="13"/>
      <c r="E310" s="13"/>
      <c r="F310" s="14"/>
      <c r="G310" s="13"/>
      <c r="H310" s="13"/>
      <c r="I310" s="14"/>
      <c r="J310" s="13"/>
      <c r="K310" s="13"/>
      <c r="L310" s="13"/>
    </row>
    <row r="311" spans="1:12" ht="14.45">
      <c r="A311" s="13"/>
      <c r="B311" s="18"/>
      <c r="C311" s="13"/>
      <c r="D311" s="13"/>
      <c r="E311" s="13"/>
      <c r="F311" s="14"/>
      <c r="G311" s="13"/>
      <c r="H311" s="13"/>
      <c r="I311" s="14"/>
      <c r="J311" s="13"/>
      <c r="K311" s="13"/>
      <c r="L311" s="13"/>
    </row>
    <row r="312" spans="1:12" ht="14.45">
      <c r="A312" s="13"/>
      <c r="B312" s="18"/>
      <c r="C312" s="13"/>
      <c r="D312" s="13"/>
      <c r="E312" s="13"/>
      <c r="F312" s="14"/>
      <c r="G312" s="13"/>
      <c r="H312" s="13"/>
      <c r="I312" s="14"/>
      <c r="J312" s="13"/>
      <c r="K312" s="13"/>
      <c r="L312" s="13"/>
    </row>
    <row r="313" spans="1:12" ht="14.45">
      <c r="A313" s="13"/>
      <c r="B313" s="18"/>
      <c r="C313" s="13"/>
      <c r="D313" s="13"/>
      <c r="E313" s="13"/>
      <c r="F313" s="14"/>
      <c r="G313" s="13"/>
      <c r="H313" s="13"/>
      <c r="I313" s="14"/>
      <c r="J313" s="13"/>
      <c r="K313" s="13"/>
      <c r="L313" s="13"/>
    </row>
    <row r="314" spans="1:12" ht="14.45">
      <c r="A314" s="13"/>
      <c r="B314" s="18"/>
      <c r="C314" s="13"/>
      <c r="D314" s="13"/>
      <c r="E314" s="13"/>
      <c r="F314" s="14"/>
      <c r="G314" s="13"/>
      <c r="H314" s="13"/>
      <c r="I314" s="14"/>
      <c r="J314" s="13"/>
      <c r="K314" s="13"/>
      <c r="L314" s="13"/>
    </row>
    <row r="315" spans="1:12" ht="14.45">
      <c r="A315" s="13"/>
      <c r="B315" s="18"/>
      <c r="C315" s="13"/>
      <c r="D315" s="13"/>
      <c r="E315" s="13"/>
      <c r="F315" s="14"/>
      <c r="G315" s="13"/>
      <c r="H315" s="13"/>
      <c r="I315" s="14"/>
      <c r="J315" s="13"/>
      <c r="K315" s="13"/>
      <c r="L315" s="13"/>
    </row>
    <row r="316" spans="1:12" ht="14.45">
      <c r="A316" s="13"/>
      <c r="B316" s="18"/>
      <c r="C316" s="13"/>
      <c r="D316" s="13"/>
      <c r="E316" s="13"/>
      <c r="F316" s="14"/>
      <c r="G316" s="13"/>
      <c r="H316" s="13"/>
      <c r="I316" s="14"/>
      <c r="J316" s="13"/>
      <c r="K316" s="13"/>
      <c r="L316" s="13"/>
    </row>
    <row r="317" spans="1:12" ht="14.45">
      <c r="A317" s="13"/>
      <c r="B317" s="18"/>
      <c r="C317" s="13"/>
      <c r="D317" s="13"/>
      <c r="E317" s="13"/>
      <c r="F317" s="14"/>
      <c r="G317" s="13"/>
      <c r="H317" s="13"/>
      <c r="I317" s="14"/>
      <c r="J317" s="13"/>
      <c r="K317" s="13"/>
      <c r="L317" s="13"/>
    </row>
    <row r="318" spans="1:12" ht="14.45">
      <c r="A318" s="13"/>
      <c r="B318" s="18"/>
      <c r="C318" s="13"/>
      <c r="D318" s="13"/>
      <c r="E318" s="13"/>
      <c r="F318" s="14"/>
      <c r="G318" s="13"/>
      <c r="H318" s="13"/>
      <c r="I318" s="14"/>
      <c r="J318" s="13"/>
      <c r="K318" s="13"/>
      <c r="L318" s="13"/>
    </row>
    <row r="319" spans="1:12" ht="14.45">
      <c r="A319" s="13"/>
      <c r="B319" s="18"/>
      <c r="C319" s="13"/>
      <c r="D319" s="13"/>
      <c r="E319" s="13"/>
      <c r="F319" s="14"/>
      <c r="G319" s="13"/>
      <c r="H319" s="13"/>
      <c r="I319" s="14"/>
      <c r="J319" s="13"/>
      <c r="K319" s="13"/>
      <c r="L319" s="13"/>
    </row>
    <row r="320" spans="1:12" ht="14.45">
      <c r="A320" s="13"/>
      <c r="B320" s="18"/>
      <c r="C320" s="13"/>
      <c r="D320" s="13"/>
      <c r="E320" s="13"/>
      <c r="F320" s="14"/>
      <c r="G320" s="13"/>
      <c r="H320" s="13"/>
      <c r="I320" s="14"/>
      <c r="J320" s="13"/>
      <c r="K320" s="13"/>
      <c r="L320" s="13"/>
    </row>
    <row r="321" spans="1:12" ht="14.45">
      <c r="A321" s="13"/>
      <c r="B321" s="18"/>
      <c r="C321" s="13"/>
      <c r="D321" s="13"/>
      <c r="E321" s="13"/>
      <c r="F321" s="14"/>
      <c r="G321" s="13"/>
      <c r="H321" s="13"/>
      <c r="I321" s="14"/>
      <c r="J321" s="13"/>
      <c r="K321" s="13"/>
      <c r="L321" s="13"/>
    </row>
    <row r="322" spans="1:12" ht="14.45">
      <c r="A322" s="13"/>
      <c r="B322" s="18"/>
      <c r="C322" s="13"/>
      <c r="D322" s="13"/>
      <c r="E322" s="13"/>
      <c r="F322" s="14"/>
      <c r="G322" s="13"/>
      <c r="H322" s="13"/>
      <c r="I322" s="14"/>
      <c r="J322" s="13"/>
      <c r="K322" s="13"/>
      <c r="L322" s="13"/>
    </row>
    <row r="323" spans="1:12" ht="14.45">
      <c r="A323" s="13"/>
      <c r="B323" s="18"/>
      <c r="C323" s="13"/>
      <c r="D323" s="13"/>
      <c r="E323" s="13"/>
      <c r="F323" s="14"/>
      <c r="G323" s="13"/>
      <c r="H323" s="13"/>
      <c r="I323" s="14"/>
      <c r="J323" s="13"/>
      <c r="K323" s="13"/>
      <c r="L323" s="13"/>
    </row>
    <row r="324" spans="1:12" ht="14.45">
      <c r="A324" s="13"/>
      <c r="B324" s="18"/>
      <c r="C324" s="13"/>
      <c r="D324" s="13"/>
      <c r="E324" s="13"/>
      <c r="F324" s="14"/>
      <c r="G324" s="13"/>
      <c r="H324" s="13"/>
      <c r="I324" s="14"/>
      <c r="J324" s="13"/>
      <c r="K324" s="13"/>
      <c r="L324" s="13"/>
    </row>
    <row r="325" spans="1:12" ht="14.45">
      <c r="A325" s="13"/>
      <c r="B325" s="18"/>
      <c r="C325" s="13"/>
      <c r="D325" s="13"/>
      <c r="E325" s="13"/>
      <c r="F325" s="14"/>
      <c r="G325" s="13"/>
      <c r="H325" s="13"/>
      <c r="I325" s="14"/>
      <c r="J325" s="13"/>
      <c r="K325" s="13"/>
      <c r="L325" s="13"/>
    </row>
    <row r="326" spans="1:12" ht="14.45">
      <c r="A326" s="13"/>
      <c r="B326" s="18"/>
      <c r="C326" s="13"/>
      <c r="D326" s="13"/>
      <c r="E326" s="13"/>
      <c r="F326" s="14"/>
      <c r="G326" s="13"/>
      <c r="H326" s="13"/>
      <c r="I326" s="14"/>
      <c r="J326" s="13"/>
      <c r="K326" s="13"/>
      <c r="L326" s="13"/>
    </row>
    <row r="327" spans="1:12" ht="14.45">
      <c r="A327" s="13"/>
      <c r="B327" s="18"/>
      <c r="C327" s="13"/>
      <c r="D327" s="13"/>
      <c r="E327" s="13"/>
      <c r="F327" s="14"/>
      <c r="G327" s="13"/>
      <c r="H327" s="13"/>
      <c r="I327" s="14"/>
      <c r="J327" s="13"/>
      <c r="K327" s="13"/>
      <c r="L327" s="13"/>
    </row>
    <row r="328" spans="1:12" ht="14.45">
      <c r="A328" s="13"/>
      <c r="B328" s="18"/>
      <c r="C328" s="13"/>
      <c r="D328" s="13"/>
      <c r="E328" s="13"/>
      <c r="F328" s="14"/>
      <c r="G328" s="13"/>
      <c r="H328" s="13"/>
      <c r="I328" s="14"/>
      <c r="J328" s="13"/>
      <c r="K328" s="13"/>
      <c r="L328" s="13"/>
    </row>
    <row r="329" spans="1:12" ht="14.45">
      <c r="A329" s="13"/>
      <c r="B329" s="18"/>
      <c r="C329" s="13"/>
      <c r="D329" s="13"/>
      <c r="E329" s="13"/>
      <c r="F329" s="14"/>
      <c r="G329" s="13"/>
      <c r="H329" s="13"/>
      <c r="I329" s="14"/>
      <c r="J329" s="13"/>
      <c r="K329" s="13"/>
      <c r="L329" s="13"/>
    </row>
    <row r="330" spans="1:12" ht="14.45">
      <c r="A330" s="13"/>
      <c r="B330" s="18"/>
      <c r="C330" s="13"/>
      <c r="D330" s="13"/>
      <c r="E330" s="13"/>
      <c r="F330" s="14"/>
      <c r="G330" s="13"/>
      <c r="H330" s="13"/>
      <c r="I330" s="14"/>
      <c r="J330" s="13"/>
      <c r="K330" s="13"/>
      <c r="L330" s="13"/>
    </row>
    <row r="331" spans="1:12" ht="14.45">
      <c r="A331" s="13"/>
      <c r="B331" s="18"/>
      <c r="C331" s="13"/>
      <c r="D331" s="13"/>
      <c r="E331" s="13"/>
      <c r="F331" s="14"/>
      <c r="G331" s="13"/>
      <c r="H331" s="13"/>
      <c r="I331" s="14"/>
      <c r="J331" s="13"/>
      <c r="K331" s="13"/>
      <c r="L331" s="13"/>
    </row>
    <row r="332" spans="1:12" ht="14.45">
      <c r="A332" s="13"/>
      <c r="B332" s="18"/>
      <c r="C332" s="13"/>
      <c r="D332" s="13"/>
      <c r="E332" s="13"/>
      <c r="F332" s="14"/>
      <c r="G332" s="13"/>
      <c r="H332" s="13"/>
      <c r="I332" s="14"/>
      <c r="J332" s="13"/>
      <c r="K332" s="13"/>
      <c r="L332" s="13"/>
    </row>
    <row r="333" spans="1:12" ht="14.45">
      <c r="A333" s="13"/>
      <c r="B333" s="18"/>
      <c r="C333" s="13"/>
      <c r="D333" s="13"/>
      <c r="E333" s="13"/>
      <c r="F333" s="14"/>
      <c r="G333" s="13"/>
      <c r="H333" s="13"/>
      <c r="I333" s="14"/>
      <c r="J333" s="13"/>
      <c r="K333" s="13"/>
      <c r="L333" s="13"/>
    </row>
    <row r="334" spans="1:12" ht="14.45">
      <c r="A334" s="13"/>
      <c r="B334" s="18"/>
      <c r="C334" s="13"/>
      <c r="D334" s="13"/>
      <c r="E334" s="13"/>
      <c r="F334" s="14"/>
      <c r="G334" s="13"/>
      <c r="H334" s="13"/>
      <c r="I334" s="14"/>
      <c r="J334" s="13"/>
      <c r="K334" s="13"/>
      <c r="L334" s="13"/>
    </row>
    <row r="335" spans="1:12" ht="14.45">
      <c r="A335" s="13"/>
      <c r="B335" s="18"/>
      <c r="C335" s="13"/>
      <c r="D335" s="13"/>
      <c r="E335" s="13"/>
      <c r="F335" s="14"/>
      <c r="G335" s="13"/>
      <c r="H335" s="13"/>
      <c r="I335" s="14"/>
      <c r="J335" s="13"/>
      <c r="K335" s="13"/>
      <c r="L335" s="13"/>
    </row>
    <row r="336" spans="1:12" ht="14.45">
      <c r="A336" s="13"/>
      <c r="B336" s="18"/>
      <c r="C336" s="13"/>
      <c r="D336" s="13"/>
      <c r="E336" s="13"/>
      <c r="F336" s="14"/>
      <c r="G336" s="13"/>
      <c r="H336" s="13"/>
      <c r="I336" s="14"/>
      <c r="J336" s="13"/>
      <c r="K336" s="13"/>
      <c r="L336" s="13"/>
    </row>
    <row r="337" spans="1:12" ht="14.45">
      <c r="A337" s="13"/>
      <c r="B337" s="18"/>
      <c r="C337" s="13"/>
      <c r="D337" s="13"/>
      <c r="E337" s="13"/>
      <c r="F337" s="14"/>
      <c r="G337" s="13"/>
      <c r="H337" s="13"/>
      <c r="I337" s="14"/>
      <c r="J337" s="13"/>
      <c r="K337" s="13"/>
      <c r="L337" s="13"/>
    </row>
    <row r="338" spans="1:12" ht="14.45">
      <c r="A338" s="13"/>
      <c r="B338" s="18"/>
      <c r="C338" s="13"/>
      <c r="D338" s="13"/>
      <c r="E338" s="13"/>
      <c r="F338" s="14"/>
      <c r="G338" s="13"/>
      <c r="H338" s="13"/>
      <c r="I338" s="14"/>
      <c r="J338" s="13"/>
      <c r="K338" s="13"/>
      <c r="L338" s="13"/>
    </row>
    <row r="339" spans="1:12" ht="14.45">
      <c r="A339" s="13"/>
      <c r="B339" s="18"/>
      <c r="C339" s="13"/>
      <c r="D339" s="13"/>
      <c r="E339" s="13"/>
      <c r="F339" s="14"/>
      <c r="G339" s="13"/>
      <c r="H339" s="13"/>
      <c r="I339" s="14"/>
      <c r="J339" s="13"/>
      <c r="K339" s="13"/>
      <c r="L339" s="13"/>
    </row>
    <row r="340" spans="1:12" ht="14.45">
      <c r="A340" s="13"/>
      <c r="B340" s="18"/>
      <c r="C340" s="13"/>
      <c r="D340" s="13"/>
      <c r="E340" s="13"/>
      <c r="F340" s="14"/>
      <c r="G340" s="13"/>
      <c r="H340" s="13"/>
      <c r="I340" s="14"/>
      <c r="J340" s="13"/>
      <c r="K340" s="13"/>
      <c r="L340" s="13"/>
    </row>
    <row r="341" spans="1:12" ht="14.45">
      <c r="C341" s="13"/>
      <c r="D341" s="13"/>
      <c r="E341" s="13"/>
      <c r="F341" s="14"/>
      <c r="G341" s="13"/>
      <c r="H341" s="13"/>
      <c r="I341" s="14"/>
      <c r="J341" s="13"/>
      <c r="K341" s="13"/>
      <c r="L341" s="13"/>
    </row>
  </sheetData>
  <mergeCells count="4">
    <mergeCell ref="G1:I1"/>
    <mergeCell ref="A1:C1"/>
    <mergeCell ref="D1:F1"/>
    <mergeCell ref="A2:B2"/>
  </mergeCells>
  <conditionalFormatting sqref="F2 I2 F4:F99 I4:I99">
    <cfRule type="cellIs" dxfId="4" priority="3" stopIfTrue="1" operator="lessThanOrEqual">
      <formula>-0.1</formula>
    </cfRule>
    <cfRule type="expression" dxfId="3" priority="4">
      <formula>AND(ISNUMBER(F2), F2&gt;=0.1)</formula>
    </cfRule>
  </conditionalFormatting>
  <hyperlinks>
    <hyperlink ref="K4" r:id="rId1" display="https://us3.assetplanner.com/service_request?ID=113216" xr:uid="{0C873AF1-5933-464C-BD4B-10094D27CE37}"/>
    <hyperlink ref="K5" r:id="rId2" display="https://us3.assetplanner.com/service_request?ID=112420" xr:uid="{32756B4E-9819-4CE4-AADA-F3585429A02B}"/>
    <hyperlink ref="M5" r:id="rId3" display="https://us3.assetplanner.com/service_request?ID=113307" xr:uid="{D1E8900D-0901-46D3-BAF0-D68E2F54A025}"/>
    <hyperlink ref="K10" r:id="rId4" display="https://us3.assetplanner.com/service_request?ID=112697" xr:uid="{8FA49EF3-F431-424F-843A-2B6CBF5BCE9A}"/>
    <hyperlink ref="M10" r:id="rId5" display="https://us3.assetplanner.com/service_request?ID=113170" xr:uid="{4D392255-0B89-45D3-B4AF-0E468431A84D}"/>
    <hyperlink ref="K11" r:id="rId6" display="https://us3.assetplanner.com/service_request?ID=113198" xr:uid="{CBCC993C-26D9-48FA-8ED8-464E55EB7AEF}"/>
    <hyperlink ref="M11" r:id="rId7" display="https://us3.assetplanner.com/service_request?ID=113383" xr:uid="{157675AF-41AC-486E-BB16-2F7829432CAF}"/>
    <hyperlink ref="N11" r:id="rId8" display="https://us3.assetplanner.com/service_request?ID=113615" xr:uid="{8999FC26-2B75-4ED9-A717-2D4A3638BDBF}"/>
    <hyperlink ref="K12" r:id="rId9" display="https://us3.assetplanner.com/service_request?ID=112330" xr:uid="{6C877E64-A285-41D0-B659-F2CFE29AF2BA}"/>
    <hyperlink ref="M12" r:id="rId10" display="https://us3.assetplanner.com/service_request?ID=113221" xr:uid="{5FF94F10-2D14-4630-B790-916AC1A805F4}"/>
    <hyperlink ref="N12" r:id="rId11" display="https://us3.assetplanner.com/service_request?ID=113625" xr:uid="{3AFA2129-C735-4934-A534-ECCAC6E45475}"/>
    <hyperlink ref="K14" r:id="rId12" display="https://us3.assetplanner.com/service_request?ID=112604" xr:uid="{0AD39E5A-DAFF-44D0-B71B-F45D7097F31C}"/>
    <hyperlink ref="K25" r:id="rId13" display="https://us3.assetplanner.com/service_request?ID=113685" xr:uid="{ECCF4C79-9FA7-4D9C-990F-8A7ECD962C4E}"/>
    <hyperlink ref="M25" r:id="rId14" display="https://us3.assetplanner.com/service_request?ID=113820" xr:uid="{E74AD5EA-275E-46F0-BBDB-7854A8DBE555}"/>
    <hyperlink ref="N25" r:id="rId15" display="https://us3.assetplanner.com/service_request?ID=112425" xr:uid="{6EAE9B5D-5C19-49D6-8FAC-5218650D2054}"/>
    <hyperlink ref="K26" r:id="rId16" display="https://us3.assetplanner.com/service_request?ID=112427" xr:uid="{A439B9EE-E320-4872-817F-C42523E8EA1C}"/>
    <hyperlink ref="M26" r:id="rId17" display="https://us3.assetplanner.com/service_request?ID=113821" xr:uid="{FF7D4099-4DD4-437C-B4D5-CF5C5AEC488E}"/>
    <hyperlink ref="K27" r:id="rId18" display="https://us3.assetplanner.com/service_request?ID=113161" xr:uid="{5B6508D4-C2DC-416B-A5F0-388C5284ACC2}"/>
    <hyperlink ref="M27" r:id="rId19" display="https://us3.assetplanner.com/service_request?ID=113703" xr:uid="{C236066C-A518-4EC2-8911-24EED76C3449}"/>
  </hyperlinks>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30"/>
  <sheetViews>
    <sheetView workbookViewId="0">
      <pane ySplit="3" topLeftCell="A4" activePane="bottomLeft" state="frozen"/>
      <selection pane="bottomLeft" activeCell="H27" sqref="H27"/>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420</v>
      </c>
      <c r="B1" t="s">
        <v>421</v>
      </c>
    </row>
    <row r="3" spans="1:12" ht="13.15">
      <c r="A3" t="s">
        <v>422</v>
      </c>
      <c r="B3" t="s">
        <v>3</v>
      </c>
      <c r="C3" t="s">
        <v>4</v>
      </c>
      <c r="D3" t="s">
        <v>423</v>
      </c>
      <c r="E3" s="2" t="s">
        <v>424</v>
      </c>
    </row>
    <row r="4" spans="1:12" ht="14.45">
      <c r="A4" s="26" t="s">
        <v>425</v>
      </c>
      <c r="B4" t="s">
        <v>425</v>
      </c>
      <c r="C4" s="25" t="s">
        <v>426</v>
      </c>
      <c r="D4" s="24" t="s">
        <v>427</v>
      </c>
      <c r="E4" t="s">
        <v>428</v>
      </c>
      <c r="G4" s="3"/>
    </row>
    <row r="5" spans="1:12" ht="14.45">
      <c r="A5" s="26" t="s">
        <v>429</v>
      </c>
      <c r="B5" t="s">
        <v>429</v>
      </c>
      <c r="C5" s="25" t="s">
        <v>430</v>
      </c>
      <c r="D5" s="24" t="s">
        <v>427</v>
      </c>
      <c r="E5" t="s">
        <v>428</v>
      </c>
      <c r="G5" s="3"/>
    </row>
    <row r="6" spans="1:12" ht="14.45">
      <c r="A6" s="26" t="s">
        <v>431</v>
      </c>
      <c r="B6" t="s">
        <v>431</v>
      </c>
      <c r="C6" s="25" t="s">
        <v>430</v>
      </c>
      <c r="D6" s="24" t="s">
        <v>427</v>
      </c>
      <c r="E6" t="s">
        <v>428</v>
      </c>
      <c r="G6" s="3"/>
    </row>
    <row r="7" spans="1:12" ht="12.75" customHeight="1">
      <c r="A7" s="26" t="s">
        <v>432</v>
      </c>
      <c r="B7" t="s">
        <v>432</v>
      </c>
      <c r="C7" s="25" t="s">
        <v>430</v>
      </c>
      <c r="D7" s="24" t="s">
        <v>427</v>
      </c>
      <c r="E7" t="s">
        <v>428</v>
      </c>
    </row>
    <row r="8" spans="1:12" ht="12.75" customHeight="1">
      <c r="A8" s="26" t="s">
        <v>433</v>
      </c>
      <c r="B8" t="s">
        <v>433</v>
      </c>
      <c r="C8" s="25" t="s">
        <v>430</v>
      </c>
      <c r="D8" s="24" t="s">
        <v>427</v>
      </c>
      <c r="E8" t="s">
        <v>428</v>
      </c>
    </row>
    <row r="9" spans="1:12" ht="12.75" customHeight="1">
      <c r="A9" s="26" t="s">
        <v>434</v>
      </c>
      <c r="B9" t="s">
        <v>434</v>
      </c>
      <c r="C9" s="25" t="s">
        <v>430</v>
      </c>
      <c r="D9" s="24" t="s">
        <v>427</v>
      </c>
      <c r="E9" t="s">
        <v>428</v>
      </c>
    </row>
    <row r="10" spans="1:12" ht="12.75" customHeight="1">
      <c r="A10" s="26" t="s">
        <v>435</v>
      </c>
      <c r="B10" t="s">
        <v>435</v>
      </c>
      <c r="C10" s="25" t="s">
        <v>430</v>
      </c>
      <c r="D10" s="24" t="s">
        <v>427</v>
      </c>
      <c r="E10" t="s">
        <v>428</v>
      </c>
      <c r="K10" s="21"/>
      <c r="L10" s="21"/>
    </row>
    <row r="11" spans="1:12" ht="12.75" customHeight="1">
      <c r="A11" s="26" t="s">
        <v>436</v>
      </c>
      <c r="B11" t="s">
        <v>436</v>
      </c>
      <c r="C11" s="25" t="s">
        <v>430</v>
      </c>
      <c r="D11" s="24" t="s">
        <v>427</v>
      </c>
      <c r="E11" t="s">
        <v>428</v>
      </c>
      <c r="K11" s="21"/>
      <c r="L11" s="21"/>
    </row>
    <row r="12" spans="1:12" ht="12.75" customHeight="1">
      <c r="A12" s="26" t="s">
        <v>437</v>
      </c>
      <c r="B12" t="s">
        <v>437</v>
      </c>
      <c r="C12" s="25" t="s">
        <v>430</v>
      </c>
      <c r="D12" s="24" t="s">
        <v>427</v>
      </c>
      <c r="E12" t="s">
        <v>428</v>
      </c>
      <c r="K12" s="21"/>
      <c r="L12" s="21"/>
    </row>
    <row r="13" spans="1:12" ht="12.75" customHeight="1">
      <c r="A13" s="26" t="s">
        <v>438</v>
      </c>
      <c r="B13" t="s">
        <v>438</v>
      </c>
      <c r="C13" s="25" t="s">
        <v>430</v>
      </c>
      <c r="D13" s="24" t="s">
        <v>427</v>
      </c>
      <c r="E13" t="s">
        <v>428</v>
      </c>
      <c r="K13" s="21"/>
      <c r="L13" s="21"/>
    </row>
    <row r="14" spans="1:12" ht="12.75" customHeight="1">
      <c r="A14" s="26" t="s">
        <v>439</v>
      </c>
      <c r="B14" t="s">
        <v>439</v>
      </c>
      <c r="C14" s="25" t="s">
        <v>430</v>
      </c>
      <c r="D14" s="24" t="s">
        <v>427</v>
      </c>
      <c r="E14" t="s">
        <v>428</v>
      </c>
      <c r="K14" s="21"/>
      <c r="L14" s="21"/>
    </row>
    <row r="15" spans="1:12" ht="12.75" customHeight="1">
      <c r="A15" s="26" t="s">
        <v>440</v>
      </c>
      <c r="B15" t="s">
        <v>440</v>
      </c>
      <c r="C15" s="25" t="s">
        <v>430</v>
      </c>
      <c r="D15" s="24" t="s">
        <v>427</v>
      </c>
      <c r="E15" t="s">
        <v>428</v>
      </c>
      <c r="K15" s="21"/>
      <c r="L15" s="21"/>
    </row>
    <row r="16" spans="1:12" ht="12.75" customHeight="1">
      <c r="A16" s="26" t="s">
        <v>441</v>
      </c>
      <c r="B16" t="s">
        <v>441</v>
      </c>
      <c r="C16" s="25" t="s">
        <v>430</v>
      </c>
      <c r="D16" s="24" t="s">
        <v>427</v>
      </c>
      <c r="E16" t="s">
        <v>428</v>
      </c>
      <c r="K16" s="21"/>
      <c r="L16" s="21"/>
    </row>
    <row r="17" spans="1:12" ht="12.75" customHeight="1">
      <c r="A17" s="26" t="s">
        <v>442</v>
      </c>
      <c r="B17" t="s">
        <v>442</v>
      </c>
      <c r="C17" s="25" t="s">
        <v>430</v>
      </c>
      <c r="D17" s="24" t="s">
        <v>427</v>
      </c>
      <c r="E17" t="s">
        <v>428</v>
      </c>
      <c r="K17" s="21"/>
      <c r="L17" s="21"/>
    </row>
    <row r="18" spans="1:12" ht="12.75" customHeight="1">
      <c r="A18" s="26" t="s">
        <v>443</v>
      </c>
      <c r="B18" t="s">
        <v>443</v>
      </c>
      <c r="C18" s="25" t="s">
        <v>430</v>
      </c>
      <c r="D18" s="24" t="s">
        <v>427</v>
      </c>
      <c r="E18" t="s">
        <v>428</v>
      </c>
      <c r="K18" s="21"/>
      <c r="L18" s="21"/>
    </row>
    <row r="19" spans="1:12" ht="12.75" customHeight="1">
      <c r="A19" s="26" t="s">
        <v>444</v>
      </c>
      <c r="B19" t="s">
        <v>444</v>
      </c>
      <c r="C19" s="25" t="s">
        <v>430</v>
      </c>
      <c r="D19" s="24" t="s">
        <v>427</v>
      </c>
      <c r="E19" t="s">
        <v>428</v>
      </c>
      <c r="K19" s="21"/>
      <c r="L19" s="21"/>
    </row>
    <row r="20" spans="1:12" ht="12.75" customHeight="1">
      <c r="A20" s="26" t="s">
        <v>445</v>
      </c>
      <c r="B20" t="s">
        <v>445</v>
      </c>
      <c r="C20" s="25" t="s">
        <v>430</v>
      </c>
      <c r="D20" s="24" t="s">
        <v>427</v>
      </c>
      <c r="E20" t="s">
        <v>428</v>
      </c>
      <c r="K20" s="21"/>
      <c r="L20" s="21"/>
    </row>
    <row r="21" spans="1:12" ht="12.75" customHeight="1">
      <c r="A21" s="26" t="s">
        <v>446</v>
      </c>
      <c r="B21" t="s">
        <v>446</v>
      </c>
      <c r="C21" s="25" t="s">
        <v>430</v>
      </c>
      <c r="D21" s="24"/>
      <c r="E21" t="s">
        <v>428</v>
      </c>
      <c r="K21" s="21"/>
      <c r="L21" s="21"/>
    </row>
    <row r="22" spans="1:12" ht="12.75" customHeight="1">
      <c r="A22" s="26" t="s">
        <v>447</v>
      </c>
      <c r="B22" t="s">
        <v>447</v>
      </c>
      <c r="C22" s="25" t="s">
        <v>430</v>
      </c>
      <c r="D22" s="24" t="s">
        <v>427</v>
      </c>
      <c r="E22" t="s">
        <v>428</v>
      </c>
      <c r="K22" s="21"/>
      <c r="L22" s="21"/>
    </row>
    <row r="23" spans="1:12" ht="12.75" customHeight="1">
      <c r="A23" s="26" t="s">
        <v>448</v>
      </c>
      <c r="B23" t="s">
        <v>448</v>
      </c>
      <c r="C23" s="25" t="s">
        <v>430</v>
      </c>
      <c r="D23" s="24" t="s">
        <v>427</v>
      </c>
      <c r="E23" t="s">
        <v>428</v>
      </c>
      <c r="K23" s="21"/>
      <c r="L23" s="21"/>
    </row>
    <row r="24" spans="1:12" ht="12.75" customHeight="1">
      <c r="A24" s="26" t="s">
        <v>449</v>
      </c>
      <c r="B24" t="s">
        <v>449</v>
      </c>
      <c r="C24" s="25" t="s">
        <v>430</v>
      </c>
      <c r="D24" s="24" t="s">
        <v>427</v>
      </c>
      <c r="E24" t="s">
        <v>428</v>
      </c>
      <c r="K24" s="21"/>
      <c r="L24" s="21"/>
    </row>
    <row r="25" spans="1:12" ht="12.75" customHeight="1">
      <c r="A25" s="98" t="s">
        <v>450</v>
      </c>
      <c r="B25" s="99" t="s">
        <v>451</v>
      </c>
      <c r="C25" s="25" t="s">
        <v>452</v>
      </c>
      <c r="D25" s="24" t="s">
        <v>427</v>
      </c>
      <c r="E25" t="s">
        <v>428</v>
      </c>
      <c r="K25" s="21"/>
      <c r="L25" s="21"/>
    </row>
    <row r="26" spans="1:12" ht="12.75" customHeight="1">
      <c r="A26" s="98" t="s">
        <v>453</v>
      </c>
      <c r="B26" s="99" t="s">
        <v>454</v>
      </c>
      <c r="C26" s="25" t="s">
        <v>452</v>
      </c>
      <c r="D26" s="24" t="s">
        <v>427</v>
      </c>
      <c r="E26" t="s">
        <v>428</v>
      </c>
      <c r="K26" s="21"/>
      <c r="L26" s="21"/>
    </row>
    <row r="27" spans="1:12" ht="12.75" customHeight="1">
      <c r="A27" s="98" t="s">
        <v>455</v>
      </c>
      <c r="B27" s="99" t="s">
        <v>456</v>
      </c>
      <c r="C27" s="25" t="s">
        <v>452</v>
      </c>
      <c r="D27" s="24" t="s">
        <v>427</v>
      </c>
      <c r="E27" t="s">
        <v>428</v>
      </c>
      <c r="K27" s="21"/>
      <c r="L27" s="21"/>
    </row>
    <row r="28" spans="1:12" ht="12.75" customHeight="1">
      <c r="K28" s="21"/>
      <c r="L28" s="21"/>
    </row>
    <row r="29" spans="1:12" ht="12.75" customHeight="1">
      <c r="K29" s="21"/>
      <c r="L29" s="21"/>
    </row>
    <row r="30" spans="1:12" ht="12.75" customHeight="1">
      <c r="K30" s="21"/>
      <c r="L30" s="21"/>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xml version="1.0" encoding="utf-8"?>
<?mso-contentType ?>
<FormTemplates xmlns="http://schemas.microsoft.com/sharepoint/v3/contenttype/forms">
  <Display>DocumentLibraryForm</Display>
  <Edit>DocumentLibraryForm</Edit>
  <New>DocumentLibraryForm</New>
</FormTemplates>
</file>

<file path=customXml/item7.xml>��
</file>

<file path=customXml/item8.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1f1b79f8b9e2ed4945a767f8629de7ee">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fa0ece0d1460af35953322f06fa9564e"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8.xml>��
</file>

<file path=customXml/item19.xml>��
</file>

<file path=customXml/item20.xml>��
</file>

<file path=customXml/itemProps1.xml><?xml version="1.0" encoding="utf-8"?>
<ds:datastoreItem xmlns:ds="http://schemas.openxmlformats.org/officeDocument/2006/customXml" ds:itemID="{89CF5C07-45EB-4100-9AFB-2C6AF77FA787}"/>
</file>

<file path=customXml/itemProps2.xml><?xml version="1.0" encoding="utf-8"?>
<ds:datastoreItem xmlns:ds="http://schemas.openxmlformats.org/officeDocument/2006/customXml" ds:itemID="{14966E4F-347B-477B-B74C-9DAC05405806}"/>
</file>

<file path=customXml/itemProps3.xml><?xml version="1.0" encoding="utf-8"?>
<ds:datastoreItem xmlns:ds="http://schemas.openxmlformats.org/officeDocument/2006/customXml" ds:itemID="{66B09F59-6532-46F8-924A-9A02417E070D}"/>
</file>

<file path=customXml/itemProps4.xml><?xml version="1.0" encoding="utf-8"?>
<ds:datastoreItem xmlns:ds="http://schemas.openxmlformats.org/officeDocument/2006/customXml" ds:itemID="{3AEAA9D8-2182-46BA-A58E-96C72DDA1C54}"/>
</file>

<file path=customXml/itemProps5.xml><?xml version="1.0" encoding="utf-8"?>
<ds:datastoreItem xmlns:ds="http://schemas.openxmlformats.org/officeDocument/2006/customXml" ds:itemID="{078388C9-06F9-42F4-B857-EF76B5CAF1FD}"/>
</file>

<file path=customXml/itemProps6.xml><?xml version="1.0" encoding="utf-8"?>
<ds:datastoreItem xmlns:ds="http://schemas.openxmlformats.org/officeDocument/2006/customXml" ds:itemID="{7946C510-7D04-49D8-9B25-EEC04582A1CA}"/>
</file>

<file path=customXml/itemProps7.xml><?xml version="1.0" encoding="utf-8"?>
<ds:datastoreItem xmlns:ds="http://schemas.openxmlformats.org/officeDocument/2006/customXml" ds:itemID="{1954BBA4-0359-438C-B0EC-A756015F7C02}"/>
</file>

<file path=customXml/itemProps8.xml><?xml version="1.0" encoding="utf-8"?>
<ds:datastoreItem xmlns:ds="http://schemas.openxmlformats.org/officeDocument/2006/customXml" ds:itemID="{0124A396-90F9-46FE-9687-BFE795BBFD2E}"/>
</file>

<file path=customXml/itemProps9.xml><?xml version="1.0" encoding="utf-8"?>
<ds:datastoreItem xmlns:ds="http://schemas.openxmlformats.org/officeDocument/2006/customXml" ds:itemID="{D3A7101F-9A85-4235-8B03-415370C100B2}"/>
</file>

<file path=customXml/itemProps10.xml><?xml version="1.0" encoding="utf-8"?>
<ds:datastoreItem xmlns:ds="http://schemas.openxmlformats.org/officeDocument/2006/customXml" ds:itemID="{98A113BB-8B7A-453C-8BD4-8EFC67FC2D3F}"/>
</file>

<file path=customXml/itemProps11.xml><?xml version="1.0" encoding="utf-8"?>
<ds:datastoreItem xmlns:ds="http://schemas.openxmlformats.org/officeDocument/2006/customXml" ds:itemID="{F12EFA50-0068-4A8C-85A0-F1B26389EBC3}"/>
</file>

<file path=customXml/itemProps12.xml><?xml version="1.0" encoding="utf-8"?>
<ds:datastoreItem xmlns:ds="http://schemas.openxmlformats.org/officeDocument/2006/customXml" ds:itemID="{0389C43E-394D-44C0-87DC-4780FCFCFB40}"/>
</file>

<file path=customXml/itemProps13.xml><?xml version="1.0" encoding="utf-8"?>
<ds:datastoreItem xmlns:ds="http://schemas.openxmlformats.org/officeDocument/2006/customXml" ds:itemID="{BE26B669-A686-459C-A5E9-FEC3409C4C81}"/>
</file>

<file path=customXml/itemProps14.xml><?xml version="1.0" encoding="utf-8"?>
<ds:datastoreItem xmlns:ds="http://schemas.openxmlformats.org/officeDocument/2006/customXml" ds:itemID="{2BC74AAC-D69B-4AF1-9649-B21EF3C1C463}"/>
</file>

<file path=customXml/itemProps15.xml><?xml version="1.0" encoding="utf-8"?>
<ds:datastoreItem xmlns:ds="http://schemas.openxmlformats.org/officeDocument/2006/customXml" ds:itemID="{CB52044A-5C0B-44A2-99D0-C1C315EC302D}"/>
</file>

<file path=customXml/itemProps16.xml><?xml version="1.0" encoding="utf-8"?>
<ds:datastoreItem xmlns:ds="http://schemas.openxmlformats.org/officeDocument/2006/customXml" ds:itemID="{E20E8303-6A67-485C-B6F4-303542CC295C}"/>
</file>

<file path=customXml/itemProps17.xml><?xml version="1.0" encoding="utf-8"?>
<ds:datastoreItem xmlns:ds="http://schemas.openxmlformats.org/officeDocument/2006/customXml" ds:itemID="{8D732231-4216-4543-A665-18A2886B0EB7}"/>
</file>

<file path=customXml/itemProps18.xml><?xml version="1.0" encoding="utf-8"?>
<ds:datastoreItem xmlns:ds="http://schemas.openxmlformats.org/officeDocument/2006/customXml" ds:itemID="{F6B2B1A1-1C4B-4AC9-9A7D-7A102DD1C942}"/>
</file>

<file path=customXml/itemProps19.xml><?xml version="1.0" encoding="utf-8"?>
<ds:datastoreItem xmlns:ds="http://schemas.openxmlformats.org/officeDocument/2006/customXml" ds:itemID="{BF5C6359-7763-4C37-8EAF-2BC4698CB285}"/>
</file>

<file path=customXml/itemProps20.xml><?xml version="1.0" encoding="utf-8"?>
<ds:datastoreItem xmlns:ds="http://schemas.openxmlformats.org/officeDocument/2006/customXml" ds:itemID="{E3716282-BFD2-4ED2-BA47-BFA1123827F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Dinesh Gadde [AGS]</cp:lastModifiedBy>
  <cp:revision/>
  <dcterms:created xsi:type="dcterms:W3CDTF">2021-01-01T16:39:53Z</dcterms:created>
  <dcterms:modified xsi:type="dcterms:W3CDTF">2026-02-20T17:40:34Z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2026-01-02T00:16:31Z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328c4b08-a84b-4748-854a-b600fe988917</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