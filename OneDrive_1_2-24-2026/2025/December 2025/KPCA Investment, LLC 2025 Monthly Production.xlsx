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2" documentId="13_ncr:1_{F3FABDF5-C9DA-4D25-9B2A-5DEF8ECCA9EE}" xr6:coauthVersionLast="47" xr6:coauthVersionMax="47" xr10:uidLastSave="{081FE802-2B78-4552-83CE-C593C85B022F}"/>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33" l="1"/>
  <c r="I10" i="33" s="1"/>
  <c r="F10" i="33"/>
  <c r="E10" i="33"/>
  <c r="H10" i="32"/>
  <c r="I10" i="32" s="1"/>
  <c r="E10" i="32"/>
  <c r="F10" i="32"/>
  <c r="E9" i="32"/>
  <c r="F9" i="32" s="1"/>
  <c r="I7" i="31"/>
  <c r="I5" i="31"/>
  <c r="E10" i="31"/>
  <c r="F10" i="31" s="1"/>
  <c r="E8" i="31"/>
  <c r="H6" i="31"/>
  <c r="H7" i="31"/>
  <c r="H8" i="31"/>
  <c r="H9" i="31"/>
  <c r="H10" i="31"/>
  <c r="I10" i="31" s="1"/>
  <c r="H4" i="31"/>
  <c r="H8" i="28"/>
  <c r="H9" i="28"/>
  <c r="H10" i="28"/>
  <c r="I8" i="28"/>
  <c r="I9" i="28"/>
  <c r="I10" i="28"/>
  <c r="E8" i="28"/>
  <c r="F8" i="28" s="1"/>
  <c r="E9" i="28"/>
  <c r="F9" i="28" s="1"/>
  <c r="E10" i="28"/>
  <c r="F10" i="28" s="1"/>
  <c r="I9" i="27"/>
  <c r="I10" i="27"/>
  <c r="H9" i="27"/>
  <c r="H10" i="27"/>
  <c r="F9" i="27"/>
  <c r="F10" i="27"/>
  <c r="E9" i="27"/>
  <c r="E10" i="27"/>
  <c r="E6" i="26"/>
  <c r="E7" i="26"/>
  <c r="H6" i="26"/>
  <c r="I6" i="26"/>
  <c r="H7" i="26"/>
  <c r="I7" i="26"/>
  <c r="H8" i="26"/>
  <c r="I8" i="26"/>
  <c r="H9" i="26"/>
  <c r="I9" i="26"/>
  <c r="H10" i="26"/>
  <c r="I10" i="26"/>
  <c r="F6" i="26"/>
  <c r="F7" i="26"/>
  <c r="E8" i="26"/>
  <c r="F8" i="26"/>
  <c r="E9" i="26"/>
  <c r="F9" i="26"/>
  <c r="E10" i="26"/>
  <c r="F10" i="26"/>
  <c r="E5" i="26"/>
  <c r="F5" i="26"/>
  <c r="E4" i="26"/>
  <c r="A4" i="26" a="1"/>
  <c r="A4" i="26"/>
  <c r="I9" i="19"/>
  <c r="H9" i="19"/>
  <c r="H10" i="19"/>
  <c r="I10" i="19" s="1"/>
  <c r="F9" i="19"/>
  <c r="E9" i="19"/>
  <c r="E10" i="19"/>
  <c r="F10" i="19" s="1"/>
  <c r="I9" i="20"/>
  <c r="I10" i="20"/>
  <c r="H9" i="20"/>
  <c r="H10" i="20"/>
  <c r="F9" i="20"/>
  <c r="F10" i="20"/>
  <c r="E9" i="20"/>
  <c r="E10" i="20"/>
  <c r="I9" i="21"/>
  <c r="H7" i="21"/>
  <c r="I7" i="21" s="1"/>
  <c r="H8" i="21"/>
  <c r="H9" i="21"/>
  <c r="H10" i="21"/>
  <c r="I10" i="21" s="1"/>
  <c r="E7" i="21"/>
  <c r="F7" i="21" s="1"/>
  <c r="E8" i="21"/>
  <c r="F8" i="21" s="1"/>
  <c r="E9" i="21"/>
  <c r="F9" i="21" s="1"/>
  <c r="E10" i="21"/>
  <c r="F10" i="21" s="1"/>
  <c r="H10" i="4"/>
  <c r="H9" i="4"/>
  <c r="E6" i="4"/>
  <c r="F6" i="4" s="1"/>
  <c r="E7" i="4"/>
  <c r="F7" i="4" s="1"/>
  <c r="E8" i="4"/>
  <c r="F8" i="4" s="1"/>
  <c r="E9" i="4"/>
  <c r="F9" i="4" s="1"/>
  <c r="E10" i="4"/>
  <c r="F10" i="4"/>
  <c r="I9" i="4"/>
  <c r="I10" i="4"/>
  <c r="I10" i="72"/>
  <c r="E7" i="3"/>
  <c r="F7" i="3" s="1"/>
  <c r="E8" i="3"/>
  <c r="E9" i="3"/>
  <c r="F9" i="3" s="1"/>
  <c r="E10" i="3"/>
  <c r="F10" i="3" s="1"/>
  <c r="F8" i="3"/>
  <c r="H9" i="3"/>
  <c r="H10" i="3"/>
  <c r="I10" i="3" s="1"/>
  <c r="G10" i="18"/>
  <c r="H9" i="18"/>
  <c r="D10" i="18"/>
  <c r="C10" i="18"/>
  <c r="H10" i="29"/>
  <c r="G9" i="29"/>
  <c r="G10" i="29"/>
  <c r="D10" i="29"/>
  <c r="C10" i="29"/>
  <c r="G10" i="1"/>
  <c r="D10" i="1"/>
  <c r="C10" i="1"/>
  <c r="H10" i="30"/>
  <c r="G10" i="30"/>
  <c r="D10" i="30"/>
  <c r="C10" i="30"/>
  <c r="H10" i="72"/>
  <c r="E10" i="72"/>
  <c r="F10" i="72" s="1"/>
  <c r="H9" i="72"/>
  <c r="I9" i="72" s="1"/>
  <c r="E9" i="72"/>
  <c r="F9" i="72" s="1"/>
  <c r="A4" i="72" a="1"/>
  <c r="A4" i="72" s="1"/>
  <c r="B4" i="72" a="1"/>
  <c r="B4" i="72" s="1"/>
  <c r="E4" i="72"/>
  <c r="F4" i="72"/>
  <c r="H4" i="72"/>
  <c r="I4" i="72"/>
  <c r="G8" i="18"/>
  <c r="G9" i="18"/>
  <c r="D9" i="18"/>
  <c r="C9" i="18"/>
  <c r="G8" i="1"/>
  <c r="G9" i="1"/>
  <c r="D8" i="1"/>
  <c r="D9" i="1"/>
  <c r="C9" i="1"/>
  <c r="D9" i="30"/>
  <c r="C9" i="30"/>
  <c r="G6" i="30"/>
  <c r="G7" i="30"/>
  <c r="G8" i="30"/>
  <c r="G9" i="30"/>
  <c r="G5" i="30"/>
  <c r="G4" i="30"/>
  <c r="H9" i="33"/>
  <c r="I9" i="33" s="1"/>
  <c r="E9" i="33"/>
  <c r="F9" i="33" s="1"/>
  <c r="I6" i="31"/>
  <c r="I8" i="31"/>
  <c r="E9" i="31"/>
  <c r="F9" i="31" s="1"/>
  <c r="H9" i="32"/>
  <c r="I9" i="32" s="1"/>
  <c r="E8" i="32"/>
  <c r="F8" i="32" s="1"/>
  <c r="E6" i="31"/>
  <c r="H5" i="31"/>
  <c r="D9" i="29"/>
  <c r="C9" i="29"/>
  <c r="G5" i="29"/>
  <c r="G6" i="29"/>
  <c r="G7" i="29"/>
  <c r="G8" i="29"/>
  <c r="G4" i="29"/>
  <c r="G4" i="18"/>
  <c r="G5" i="18"/>
  <c r="G6" i="18"/>
  <c r="G7" i="18"/>
  <c r="E4" i="4"/>
  <c r="E5" i="72"/>
  <c r="F5" i="72" s="1"/>
  <c r="E6" i="72"/>
  <c r="F6" i="72" s="1"/>
  <c r="E7" i="72"/>
  <c r="F7" i="72" s="1"/>
  <c r="E8" i="72"/>
  <c r="F8" i="72" s="1"/>
  <c r="H9" i="30" l="1"/>
  <c r="I9" i="30" s="1"/>
  <c r="I10" i="30"/>
  <c r="E10" i="30"/>
  <c r="F10" i="30" s="1"/>
  <c r="E9" i="30"/>
  <c r="F9" i="30" s="1"/>
  <c r="I9" i="31"/>
  <c r="I10" i="29"/>
  <c r="E10" i="29"/>
  <c r="F10" i="29" s="1"/>
  <c r="E9" i="29"/>
  <c r="F9" i="29" s="1"/>
  <c r="H10" i="18"/>
  <c r="I10" i="18" s="1"/>
  <c r="E10" i="18"/>
  <c r="F10" i="18" s="1"/>
  <c r="D10" i="34"/>
  <c r="I8" i="21"/>
  <c r="H9" i="29"/>
  <c r="I9" i="29" s="1"/>
  <c r="I9" i="18"/>
  <c r="G10" i="34"/>
  <c r="E9" i="18"/>
  <c r="F9" i="18" s="1"/>
  <c r="H9" i="34"/>
  <c r="I9" i="3"/>
  <c r="H9" i="1"/>
  <c r="H10" i="1"/>
  <c r="I9" i="1"/>
  <c r="G8" i="34"/>
  <c r="E10" i="1"/>
  <c r="F10" i="1" s="1"/>
  <c r="C10" i="34"/>
  <c r="E9" i="1"/>
  <c r="F9" i="1" s="1"/>
  <c r="C9" i="34"/>
  <c r="G9" i="34"/>
  <c r="I9" i="34" s="1"/>
  <c r="D9" i="34"/>
  <c r="C2" i="3"/>
  <c r="E10" i="34" l="1"/>
  <c r="F10" i="34" s="1"/>
  <c r="H10" i="34"/>
  <c r="I10" i="34" s="1"/>
  <c r="I10" i="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30" a="1"/>
  <c r="A4" i="30" s="1"/>
  <c r="E4" i="3"/>
  <c r="F4" i="3" s="1"/>
  <c r="H4" i="3"/>
  <c r="I4" i="3" s="1"/>
  <c r="E5" i="3"/>
  <c r="F5" i="3" s="1"/>
  <c r="H5" i="3"/>
  <c r="I5" i="3" s="1"/>
  <c r="E6" i="3"/>
  <c r="F6" i="3" s="1"/>
  <c r="H6" i="3"/>
  <c r="I6" i="3" s="1"/>
  <c r="H7" i="3"/>
  <c r="I7" i="3" s="1"/>
  <c r="H8" i="3"/>
  <c r="I8" i="3" s="1"/>
  <c r="G6" i="1"/>
  <c r="G6" i="34" s="1"/>
  <c r="G7" i="1"/>
  <c r="G7" i="34" s="1"/>
  <c r="G5" i="1"/>
  <c r="G5" i="34" s="1"/>
  <c r="G4" i="1"/>
  <c r="G4" i="34" s="1"/>
  <c r="B4" i="34" a="1"/>
  <c r="B4" i="34" s="1"/>
  <c r="A4" i="34" a="1"/>
  <c r="A4" i="34" s="1"/>
  <c r="A1" i="34" a="1"/>
  <c r="A1" i="34" s="1"/>
  <c r="D8" i="30"/>
  <c r="C8" i="30"/>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F8" i="31"/>
  <c r="E7" i="31"/>
  <c r="F7" i="31" s="1"/>
  <c r="F6" i="31"/>
  <c r="E5" i="31"/>
  <c r="F5" i="31" s="1"/>
  <c r="I4" i="31"/>
  <c r="E4" i="31"/>
  <c r="F4" i="31" s="1"/>
  <c r="G2" i="31"/>
  <c r="D2" i="31"/>
  <c r="C2" i="31"/>
  <c r="A1" i="31" a="1"/>
  <c r="A1" i="31"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5" i="26"/>
  <c r="H4" i="26"/>
  <c r="F4" i="26"/>
  <c r="G2" i="26"/>
  <c r="D2" i="26"/>
  <c r="C2" i="26"/>
  <c r="A1" i="26" a="1"/>
  <c r="A1" i="26"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8" i="20"/>
  <c r="E8" i="20"/>
  <c r="F8" i="20" s="1"/>
  <c r="H7" i="20"/>
  <c r="I7" i="20" s="1"/>
  <c r="E7" i="20"/>
  <c r="F7" i="20" s="1"/>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H6" i="72"/>
  <c r="I6" i="72" s="1"/>
  <c r="H7" i="72"/>
  <c r="I7" i="72" s="1"/>
  <c r="H8" i="72"/>
  <c r="I8" i="72" s="1"/>
  <c r="H5" i="72"/>
  <c r="I5" i="72" s="1"/>
  <c r="G2" i="72"/>
  <c r="D2" i="72"/>
  <c r="C2" i="72"/>
  <c r="J2" i="72" s="1"/>
  <c r="A1" i="72" a="1"/>
  <c r="A1" i="72" s="1"/>
  <c r="E8" i="30" l="1"/>
  <c r="F8" i="30" s="1"/>
  <c r="H6" i="29"/>
  <c r="I8" i="32"/>
  <c r="H8" i="30"/>
  <c r="I8" i="30" s="1"/>
  <c r="H7" i="29"/>
  <c r="I8" i="20"/>
  <c r="H8" i="18"/>
  <c r="I8" i="18" s="1"/>
  <c r="C7" i="34"/>
  <c r="H8" i="1"/>
  <c r="H7" i="34"/>
  <c r="I7" i="34" s="1"/>
  <c r="C6" i="34"/>
  <c r="E8" i="1"/>
  <c r="F8" i="1" s="1"/>
  <c r="C8" i="34"/>
  <c r="H8" i="29"/>
  <c r="I8" i="29" s="1"/>
  <c r="D5" i="34"/>
  <c r="I4" i="26"/>
  <c r="H4" i="29"/>
  <c r="I4" i="29" s="1"/>
  <c r="D6" i="34"/>
  <c r="D7" i="34"/>
  <c r="I5" i="26"/>
  <c r="H5" i="29"/>
  <c r="C5" i="34"/>
  <c r="D8" i="34"/>
  <c r="E5" i="30"/>
  <c r="F5" i="30" s="1"/>
  <c r="E8" i="29"/>
  <c r="F8" i="29" s="1"/>
  <c r="E7" i="18"/>
  <c r="F7" i="18" s="1"/>
  <c r="E5" i="18"/>
  <c r="F5" i="18" s="1"/>
  <c r="D2" i="18"/>
  <c r="I6" i="29"/>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E7" i="29"/>
  <c r="F7" i="29" s="1"/>
  <c r="I5" i="29"/>
  <c r="H6" i="18"/>
  <c r="I6" i="18" s="1"/>
  <c r="H4" i="18"/>
  <c r="I4" i="18" s="1"/>
  <c r="H7" i="18"/>
  <c r="I7" i="18" s="1"/>
  <c r="C4" i="34"/>
  <c r="H5" i="18"/>
  <c r="I5" i="18" s="1"/>
  <c r="H5" i="34"/>
  <c r="I5"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7" i="34"/>
  <c r="F7"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tc={3D522789-ECA8-4C30-877B-6F1E3693CA43}</author>
  </authors>
  <commentList>
    <comment ref="C4" authorId="0" shapeId="0" xr:uid="{3D522789-ECA8-4C30-877B-6F1E3693CA43}">
      <text>
        <t>[Threaded comment]
Your version of Excel allows you to read this threaded comment; however, any edits to it will get removed if the file is opened in a newer version of Excel. Learn more: https://go.microsoft.com/fwlink/?linkid=870924
Comment:
    As meter is not reporting full production due to bad CT actual energy was taken from total inverter energy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<sst xmlns="http://schemas.openxmlformats.org/spreadsheetml/2006/main" count="394" uniqueCount="157">
  <si>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</si>
  <si>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</si>
  <si>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</si>
  <si>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</si>
  <si>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</si>
  <si>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</si>
  <si>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</si>
  <si>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</si>
  <si>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</si>
  <si>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</si>
  <si>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</si>
  <si>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</si>
  <si>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</si>
  <si>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</si>
  <si>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</si>
  <si>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</si>
  <si>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</si>
  <si>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</si>
  <si>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</si>
  <si>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</si>
  <si>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</si>
  <si>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</si>
  <si>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</si>
  <si>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</si>
  <si>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</si>
  <si>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</si>
  <si>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</si>
  <si>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</si>
  <si>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 Meter A phase CT dropped 20 amps on 9/26/24. There is a 5 % variance between the meter and total inverter power. Will be addressed in next PM.</t>
  </si>
  <si>
    <t>1.SR098881</t>
  </si>
  <si>
    <t>1.The site is producing as expected. The higher delta value indicates that the forecasted values are on the higher side.</t>
  </si>
  <si>
    <t>1.Inverter 22 has been down a string (5 kW) since it was re-energized on 05/22/2024. The Operations Team is currently reviewing the issue.
2.Inverter 10 was offline from 04/01 and came back online at 10:30 on 04/04. It went offline again at 17:00 on 04/25 and remained offline for the rest of the month. A dispatch has been scheduled for next month.</t>
  </si>
  <si>
    <t>1.SR098879
2.SR099137,SR100773</t>
  </si>
  <si>
    <t>SR099137</t>
  </si>
  <si>
    <t>SR100773</t>
  </si>
  <si>
    <t>1.Inverter 16 is having an history of multiple trip events. On 04/02, a technician addressed that faults occured due to PV imbalance issues and adjusted settings of comibner boxes. However, the inverter tripped again on 04/03 at 13:45, came online at 11:30 on 04/04,even after technician troubleshooted again inverter  tripped at 12:45on 04/04. Issue got resolved after technician ensured all strands were compressed and torqued to 50 in-lbs. Inverter is back online at 14:00 on 04/22</t>
  </si>
  <si>
    <t>1.SR099120,SR099410,SR099504</t>
  </si>
  <si>
    <t>SR099410</t>
  </si>
  <si>
    <t>SR099504</t>
  </si>
  <si>
    <t>1. Inverters 3, 5, and 7 may be swapped with 4, 6, and 8 in PowerTrack, as their performance suggests mismatched string counts—3, 5, and 7 (7-string) are performing like 8-string units, and vice versa.</t>
  </si>
  <si>
    <t>1.SR100567</t>
  </si>
  <si>
    <t xml:space="preserve"> </t>
  </si>
  <si>
    <t>May Actual v. Expected</t>
  </si>
  <si>
    <t>May Actual v. Forecasted</t>
  </si>
  <si>
    <t>1.The A-phase CT on the meter recorded a drop of 20 amps on 09/26/2024. In May, the drop was reduced to 10 amps on the same phase. A 5% variance currently exwasts between the meter readings and the total inverter power. Thwas wassue was scheduled to be investigated during the upcoming preventive maintenance (PM) event.
2.Inverter 5 started late for production at 07:45 on 05/19.wassue got self resoled.</t>
  </si>
  <si>
    <t>1.SR098881
2.SR101671</t>
  </si>
  <si>
    <t>SR101671</t>
  </si>
  <si>
    <t>1. Multiple inverters experiencied tripping events from 10:30AM to 15:30 due technician was onsite for preventive maintenance.
2. Inverter 5 was offline from 15:30 to 16:30 due technician was onsite for preventive maintenance.
3. The site was producing as expected. The higher delta value indicates that the forecasted values are on the higher side.</t>
  </si>
  <si>
    <t>1. PM13593
2. PM13593</t>
  </si>
  <si>
    <t xml:space="preserve">1.Inverter 3 down a string from 5/06. issue did not resolve.
2. Inverter 4 was offline from 10:55 to 11:20 on 05/06 due to technician was onsite for preventive maintenance.
</t>
  </si>
  <si>
    <t>1.SR101329
2. PM13591.</t>
  </si>
  <si>
    <t>1. Multiple inverters experiencied tripping events from 11:30AM to 15:30 due technician was onsite for preventive maintenance.
2. The site was producing as expected. The higher delta value indicates that the forecasted values are on the higher side.</t>
  </si>
  <si>
    <t>1.  PM13589</t>
  </si>
  <si>
    <t>1.Inverter 14 tripped offline at 11:15 and self resolved at 11:25 on 05/03.
2. Inverters 3, 5, and 7 may be swapped with inverters 4, 6, and 8 in PowerTrack. Invs 3, 5, and 7 are seven string inverters that are performing like eight string inverters, while 4, 6, and 8 are eight string inverters that are performing like seven strings. Will investigate during PM event.</t>
  </si>
  <si>
    <t>1.SR100962
2. SR100567</t>
  </si>
  <si>
    <t>SR100567</t>
  </si>
  <si>
    <t>June Actual v. Expected</t>
  </si>
  <si>
    <t>June Actual v. Forecasted</t>
  </si>
  <si>
    <t>1.The A-phase CT on the meter recorded a drop of 20 amps on 09/26/2024. In May, the drop was reduced to 10 amps on the same phase. A 5% variance currently exwasts between the meter readings and the total inverter power. This issue was scheduled to be investigated during the upcoming preventive maintenance (PM) event.
2.Inverter 1 is underperforming by 5 kW down compared to its peer inverters since 06/16 at 14:00.</t>
  </si>
  <si>
    <t>1.	SR098881
2.	SR103049</t>
  </si>
  <si>
    <t>SR103049</t>
  </si>
  <si>
    <t>1.Inverter 3 down a string from 5/06. Issue was haven't resolved.</t>
  </si>
  <si>
    <t>1.	SR101329</t>
  </si>
  <si>
    <t>1.Inverter 2 tripped offline at 06:15 on 06/23, reporting a 'Steady State GFCI Fault – Fault0090.' The inverter came back online on 06/24.</t>
  </si>
  <si>
    <t>1.	SR103317</t>
  </si>
  <si>
    <t>1.Inverters 3, 5, and 7 may be swapped with inverters 4, 6, and 8 in PowerTrack. Invs 3, 5, and 7 are seven string inverters that are performing like eight string inverters, while 4, 6, and 8 are eight string inverters that are performing like seven strings. Will investigate during PM event.</t>
  </si>
  <si>
    <t>1.	SR100567</t>
  </si>
  <si>
    <t>July Actual v. Expected</t>
  </si>
  <si>
    <t>July Actual v. Forecasted</t>
  </si>
  <si>
    <t xml:space="preserve">1. Inverter 1 is underperforming by 5 kW down compared to its peer inverters since 06/16 at 14:00.
2.The A-phase CT on the meter recorded a drop of 20 amps on 09/26/2024. In May, the drop was reduced to 10 amps on the same phase. A 5% variance currently exist between the meter readings and the total inverter power. </t>
  </si>
  <si>
    <t>1. SR103049 
2. SR104160</t>
  </si>
  <si>
    <t>SR104160</t>
  </si>
  <si>
    <t>1. Inverter 16 is having reoccurring late starts from 6/12.
2. Inverter 20 is down a string since 7/7.</t>
  </si>
  <si>
    <t>1. SR103140
2. SR104320</t>
  </si>
  <si>
    <t>SR104320</t>
  </si>
  <si>
    <t xml:space="preserve">1.Inverter 5 String 4 has low performance. </t>
  </si>
  <si>
    <t>1.SR102034</t>
  </si>
  <si>
    <t xml:space="preserve">1.Inverters 3, 5, and 7 may be swapped with inverters 4, 6, and 8 in PowerTrack. Invs 3, 5, and 7 are seven string inverters that are performing like eight string inverters, while 4, 6, and 8 are eight string inverters that are performing like seven strings. </t>
  </si>
  <si>
    <t>1. SR100567</t>
  </si>
  <si>
    <t>August Actual v. Expected</t>
  </si>
  <si>
    <t>August Actual v. Forecasted</t>
  </si>
  <si>
    <t xml:space="preserve">1.Inverter 1 is underperforming by 5 kW down compared to its peer inverters since 06/16 at 14:00.
2.The A-phase CT on the meter recorded a drop of 20 amps on 09/26/2024. In May, the drop was reduced to 10 amps on the same phase. A 5% variance currently exist between the meter readings and the total inverter power. </t>
  </si>
  <si>
    <t>1.SR103049
2.SR104160</t>
  </si>
  <si>
    <t>1.Site is producing as expected, may be issue with forecasted value</t>
  </si>
  <si>
    <t>1.SR103140
2.SR104320</t>
  </si>
  <si>
    <t>1.Inverter 5 String 4 has low performance. 
2. Inverters 1 and 2 tripped offline at 7:00 on 08/27 and later back online on 08/28 at 07:00</t>
  </si>
  <si>
    <t>1.SR102034
2.SR107041</t>
  </si>
  <si>
    <t>SR107041</t>
  </si>
  <si>
    <t>1.Low production due to weather on 08/16</t>
  </si>
  <si>
    <t>September Actual v. Expected</t>
  </si>
  <si>
    <t>September Actual v. Forecasted</t>
  </si>
  <si>
    <t xml:space="preserve">1.Inverter 1 is underperforming by 5 kW down compared to its peer inverters since 06/16 at 14:00.
2.The A-phase CT on the meter recorded a drop of 20 amps on 09/26/2024. In May, the drop was reduced to 10 amps on the same phase. A 5% variance currently exist between the meter readings and the total inverter power. On 09/16 technician confirmed Replacement CT being quoted. 
3.Inverter 5 tripped offline multiple days through out the month.
4.Inverters 1, 2, 3, and 4, along with AC Box 3 will remain offline on 09/25  for safety reasons, as the electrical box that is connected to these inverters is damaged, and it needs to be ensured that the electrical box is back in good condition before turning back on these inverters. These inverters will remain offline until the issue is resolved </t>
  </si>
  <si>
    <t>1.SR103049
2.SR104160 ,  SR104160
3.SR107548
4.SR108510</t>
  </si>
  <si>
    <t>SR107548</t>
  </si>
  <si>
    <t>SR108510</t>
  </si>
  <si>
    <t xml:space="preserve">1.Inverter 5 String 4 has low performance. 
2.Inverter 2 tripped offline at 6:15 on 09/02 reporting "Steady State GFCI fault - Fault0090". Self resolve on 09/03 
3.Inverter 2 dropped a string on 09/18
</t>
  </si>
  <si>
    <t xml:space="preserve">1.SR102034
2.	SR107305
3.	SR108644
</t>
  </si>
  <si>
    <t>SR107305</t>
  </si>
  <si>
    <t>SR108644</t>
  </si>
  <si>
    <t>October Actual v. Expected</t>
  </si>
  <si>
    <t>October Actual v. Forecasted</t>
  </si>
  <si>
    <t>Status</t>
  </si>
  <si>
    <t xml:space="preserve">1. Inverter 1 is underperforming by 5 kW down compared to its peer inverters since 06/16 at 14:00.
2. The A-phase CT on the meter recorded a drop of 20 amps on 09/26/2024. In May, the drop was reduced to 10 amps on the same phase. A 5% variance currently exist between the meter readings and the total inverter power. On 09/16 technician confirmed Replacement CT being quoted. 
3. Inverter 5 started late multiple days through out the month.
4. Inverters 1, 2, 3, and 4, along with AC Box 3 will remain offline on 09/25  for safety reasons, as the electrical box that is connected to these inverters is damaged, and it needs to be ensured that the electrical box is back in good condition before turning back on these inverters. These inverters will remain offline until the issue is resolved </t>
  </si>
  <si>
    <t>1.SR103049
2.	SR108381
3.SR107548
4.SR108510</t>
  </si>
  <si>
    <t>1.Pending
2.Pending
3.Pending
4.Pending</t>
  </si>
  <si>
    <t>SR108381</t>
  </si>
  <si>
    <t xml:space="preserve">1. Inverter 2 tripped offline at 10:45  reporting steady state GFCI fault - Fault0090 Static GFCI high on 10/14. It came back online on 10/15
</t>
  </si>
  <si>
    <t>1.SR109470</t>
  </si>
  <si>
    <t>1.Closed</t>
  </si>
  <si>
    <t>1. Site was producing as expected.</t>
  </si>
  <si>
    <t>1.SR103140
2.	SR104320</t>
  </si>
  <si>
    <t xml:space="preserve">1.Pending
2.Pending
</t>
  </si>
  <si>
    <t xml:space="preserve">1.Inverter 5 String 4 has low performance. 
2.Inverter 2 dropped a string on 09/18.  On 10/27 no string issues found on inverter 2
</t>
  </si>
  <si>
    <t>1.	SR102034
2.	SR108644</t>
  </si>
  <si>
    <t>1.Pending
2.Workin progress</t>
  </si>
  <si>
    <t>1. Inverter 3 has evening shading.
2 Inverter 16 has evening and morning shading.</t>
  </si>
  <si>
    <t>1. Site is producing as expected.</t>
  </si>
  <si>
    <t>November Actual v. Expected</t>
  </si>
  <si>
    <t>November Actual v. Forecasted</t>
  </si>
  <si>
    <t>1. The meter was not reporting the full production of the inverters for the entire month due to a bad CT.
2. Inverters 1 to 4 was offline for whole month.
3. Inverter 1 is underperforming by 5 kW down compared to its peer inverters since 06/16 at 14:00.</t>
  </si>
  <si>
    <t>1. SR108381
2. SR108510
3.	SR103049</t>
  </si>
  <si>
    <t>1. Pending
2.Pending
3.Pending</t>
  </si>
  <si>
    <t>1. Inverter 16 was offline from 06:00 to 11:00 on 11/19.
2. Inverter 20 started late at 11:00 on 11/14, 10:00 on 11/15, and 09:00 on 11/16 and it has had a down string since 07/07.</t>
  </si>
  <si>
    <t>1. SR111709, SR103140
2. SR104320, SR111097</t>
  </si>
  <si>
    <t>1.Pending
2. Pending, Closed
3. Closed, Closed</t>
  </si>
  <si>
    <t>SR103140</t>
  </si>
  <si>
    <t>SR111097</t>
  </si>
  <si>
    <t xml:space="preserve">1. Inverter 5 String 4 has low performance. </t>
  </si>
  <si>
    <t>1. SR102034</t>
  </si>
  <si>
    <t>1. Pending</t>
  </si>
  <si>
    <t>December Actual v. Expected</t>
  </si>
  <si>
    <t>December Actual v. Forecasted</t>
  </si>
  <si>
    <t>1. Pending
2.Closed
3.Pending</t>
  </si>
  <si>
    <t>1.Site production was low on 12/20 to 12/22 , 12/26, 12/30 , 12/31 due to snow</t>
  </si>
  <si>
    <t>1.Site production was low on 12/20, 12/21 , 12/31 due to snow</t>
  </si>
  <si>
    <t>Portfolio:</t>
  </si>
  <si>
    <t>KPCA Investment, LLC</t>
  </si>
  <si>
    <t>Site DAS Name</t>
  </si>
  <si>
    <t>Update</t>
  </si>
  <si>
    <t>DAS</t>
  </si>
  <si>
    <t>Kaiser - KP3 - Chino Grand CA6581</t>
  </si>
  <si>
    <t>Chino - 3750-3770 Grand Ave</t>
  </si>
  <si>
    <t>CA</t>
  </si>
  <si>
    <t>AEF</t>
  </si>
  <si>
    <t>PowerTrack</t>
  </si>
  <si>
    <t>Murrietta MOB - CA5341</t>
  </si>
  <si>
    <t>Murrieta - 28150 Keller Rd</t>
  </si>
  <si>
    <t>Kaiser - KP3 - La Habra - CA3841 Site</t>
  </si>
  <si>
    <t>La Habra - 601 E Imperial Way</t>
  </si>
  <si>
    <t>San Jose - Skyport</t>
  </si>
  <si>
    <t>Kaiser - KP3 - SCA Skyport - CN7901 Site</t>
  </si>
  <si>
    <t>Kaiser - KP3 - Irwindale MOB &amp; Garage - CA5681 Site</t>
  </si>
  <si>
    <t>Irwindale - 12761 Schabarum Ave</t>
  </si>
  <si>
    <t>Santa Rosa 6 - CN7001</t>
  </si>
  <si>
    <t>Santa Rosa - 2240 Mercury Way</t>
  </si>
  <si>
    <t>Kaiser - KP3 - Dublin - CN2A99 Site</t>
  </si>
  <si>
    <t>Dublin - 3100 Dublin Blvd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</si>
</sst>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87">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49" fontId="28" fillId="0" borderId="0" xfId="0" applyNumberFormat="1" applyFont="1" applyAlignment="1">
      <alignment horizontal="left" vertical="top" wrapText="1"/>
    </xf>
    <xf numFmtId="0" fontId="35" fillId="43" borderId="1" xfId="0" applyFont="1" applyFill="1" applyBorder="1" applyAlignment="1">
      <alignment horizontal="center" vertical="center" wrapText="1"/>
    </xf>
    <xf numFmtId="0" fontId="22" fillId="0" borderId="0" xfId="43" applyFont="1" applyAlignment="1">
      <alignment horizontal="left" wrapText="1"/>
    </xf>
    <xf numFmtId="0" fontId="22" fillId="0" borderId="0" xfId="43" applyFont="1"/>
    <xf numFmtId="49" fontId="28" fillId="0" borderId="0" xfId="0" applyNumberFormat="1" applyFont="1" applyAlignment="1">
      <alignment vertical="top" wrapText="1"/>
    </xf>
    <xf numFmtId="0" fontId="34" fillId="40" borderId="0" xfId="0" applyFont="1" applyFill="1" applyAlignment="1">
      <alignment vertical="top"/>
    </xf>
    <xf numFmtId="49" fontId="23" fillId="38" borderId="0" xfId="2" applyNumberFormat="1" applyFont="1" applyFill="1" applyBorder="1" applyAlignment="1">
      <alignment vertical="top" wrapText="1"/>
    </xf>
    <xf numFmtId="49" fontId="36" fillId="38" borderId="0" xfId="45" applyNumberFormat="1" applyFill="1" applyBorder="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top" wrapText="1"/>
    </xf>
    <xf numFmtId="0" fontId="36" fillId="0" borderId="0" xfId="45" applyAlignment="1">
      <alignment horizontal="left" vertical="top"/>
    </xf>
    <xf numFmtId="0" fontId="36" fillId="0" borderId="0" xfId="45" applyAlignment="1">
      <alignment vertical="top"/>
    </xf>
    <xf numFmtId="10" fontId="30" fillId="0" borderId="0" xfId="0" applyNumberFormat="1" applyFont="1" applyAlignment="1">
      <alignment horizontal="center" vertical="center"/>
    </xf>
    <xf numFmtId="0" fontId="34" fillId="40" borderId="0" xfId="0" applyFont="1" applyFill="1" applyAlignment="1">
      <alignment horizontal="center" vertical="center"/>
    </xf>
    <xf numFmtId="0" fontId="36" fillId="0" borderId="0" xfId="45"/>
    <xf numFmtId="3" fontId="30" fillId="0" borderId="0" xfId="1" applyNumberFormat="1" applyFont="1" applyFill="1" applyBorder="1" applyAlignment="1">
      <alignment horizontal="right" vertical="center"/>
    </xf>
    <xf numFmtId="3" fontId="30" fillId="4" borderId="0" xfId="1" applyNumberFormat="1" applyFont="1" applyFill="1" applyBorder="1" applyAlignment="1">
      <alignment horizontal="right" vertical="center"/>
    </xf>
    <xf numFmtId="0" fontId="0" fillId="0" borderId="0" xfId="0" applyAlignment="1">
      <alignment horizontal="left" vertical="top"/>
    </xf>
    <xf numFmtId="49" fontId="30" fillId="38" borderId="0" xfId="2" applyNumberFormat="1" applyFont="1" applyFill="1" applyBorder="1" applyAlignment="1">
      <alignment horizontal="left" vertical="top" wrapText="1"/>
    </xf>
    <xf numFmtId="0" fontId="0" fillId="0" borderId="0" xfId="0" applyAlignment="1">
      <alignment vertical="top" wrapText="1"/>
    </xf>
    <xf numFmtId="49" fontId="36" fillId="38" borderId="0" xfId="45" applyNumberFormat="1" applyFill="1" applyBorder="1" applyAlignment="1">
      <alignment horizontal="left" vertical="top" wrapText="1"/>
    </xf>
    <xf numFmtId="49" fontId="27" fillId="0" borderId="0" xfId="0" applyNumberFormat="1" applyFont="1" applyAlignment="1">
      <alignment horizontal="left" vertical="center" wrapText="1"/>
    </xf>
    <xf numFmtId="0" fontId="32" fillId="0" borderId="0" xfId="0" applyFont="1" applyAlignment="1">
      <alignment horizontal="left"/>
    </xf>
    <xf numFmtId="49" fontId="36" fillId="0" borderId="0" xfId="45" applyNumberFormat="1" applyAlignment="1">
      <alignment vertical="center" wrapText="1"/>
    </xf>
    <xf numFmtId="9" fontId="31" fillId="0" borderId="0" xfId="2" applyFont="1" applyAlignment="1">
      <alignment horizontal="left" vertical="top"/>
    </xf>
    <xf numFmtId="49" fontId="28" fillId="0" borderId="0" xfId="0" applyNumberFormat="1" applyFont="1" applyAlignment="1">
      <alignment horizontal="left" vertical="center" wrapText="1"/>
    </xf>
    <xf numFmtId="49" fontId="36" fillId="0" borderId="0" xfId="45" applyNumberFormat="1" applyAlignment="1">
      <alignment horizontal="left" vertical="center" wrapText="1"/>
    </xf>
    <xf numFmtId="0" fontId="5" fillId="45" borderId="1" xfId="0" applyFont="1" applyFill="1" applyBorder="1" applyAlignment="1">
      <alignment horizontal="left" vertical="top"/>
    </xf>
    <xf numFmtId="0" fontId="0" fillId="0" borderId="0" xfId="0" applyAlignment="1">
      <alignment horizontal="left" vertical="top" wrapText="1"/>
    </xf>
    <xf numFmtId="0" fontId="0" fillId="0" borderId="0" xfId="0" applyAlignment="1">
      <alignment wrapText="1"/>
    </xf>
    <xf numFmtId="0" fontId="0" fillId="0" borderId="0" xfId="0"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0">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558B42D1-B8BE-4CD6-9196-F154B505DFC8}"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 dT="2026-01-03T11:36:29.84" personId="{558B42D1-B8BE-4CD6-9196-F154B505DFC8}" id="{3D522789-ECA8-4C30-877B-6F1E3693CA43}">
    <text>As meter is not reporting full production due to bad CT actual energy was taken from total inverter energy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567" TargetMode="External"/><Relationship Id="rId3" Type="http://schemas.openxmlformats.org/officeDocument/2006/relationships/hyperlink" Target="https://us3.assetplanner.com/service_request?ID=099137" TargetMode="External"/><Relationship Id="rId7" Type="http://schemas.openxmlformats.org/officeDocument/2006/relationships/hyperlink" Target="https://us3.assetplanner.com/service_request?ID=099504" TargetMode="External"/><Relationship Id="rId2" Type="http://schemas.openxmlformats.org/officeDocument/2006/relationships/hyperlink" Target="https://us3.assetplanner.com/service_request?ID=098879" TargetMode="External"/><Relationship Id="rId1" Type="http://schemas.openxmlformats.org/officeDocument/2006/relationships/hyperlink" Target="https://us3.assetplanner.com/service_request?ID=098881" TargetMode="External"/><Relationship Id="rId6" Type="http://schemas.openxmlformats.org/officeDocument/2006/relationships/hyperlink" Target="https://us3.assetplanner.com/service_request?ID=099410" TargetMode="External"/><Relationship Id="rId5" Type="http://schemas.openxmlformats.org/officeDocument/2006/relationships/hyperlink" Target="https://us3.assetplanner.com/service_request?ID=099120" TargetMode="External"/><Relationship Id="rId4" Type="http://schemas.openxmlformats.org/officeDocument/2006/relationships/hyperlink" Target="https://us3.assetplanner.com/service_request?ID=10077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1329" TargetMode="External"/><Relationship Id="rId2" Type="http://schemas.openxmlformats.org/officeDocument/2006/relationships/hyperlink" Target="https://us3.assetplanner.com/service_request?ID=101671" TargetMode="External"/><Relationship Id="rId1" Type="http://schemas.openxmlformats.org/officeDocument/2006/relationships/hyperlink" Target="https://us3.assetplanner.com/service_request?ID=098881" TargetMode="External"/><Relationship Id="rId5" Type="http://schemas.openxmlformats.org/officeDocument/2006/relationships/hyperlink" Target="https://us3.assetplanner.com/service_request?ID=100567" TargetMode="External"/><Relationship Id="rId4" Type="http://schemas.openxmlformats.org/officeDocument/2006/relationships/hyperlink" Target="https://us3.assetplanner.com/service_request?ID=100962"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1329" TargetMode="External"/><Relationship Id="rId2" Type="http://schemas.openxmlformats.org/officeDocument/2006/relationships/hyperlink" Target="https://us3.assetplanner.com/service_request?ID=103049" TargetMode="External"/><Relationship Id="rId1" Type="http://schemas.openxmlformats.org/officeDocument/2006/relationships/hyperlink" Target="https://us3.assetplanner.com/service_request?ID=098881" TargetMode="External"/><Relationship Id="rId5" Type="http://schemas.openxmlformats.org/officeDocument/2006/relationships/hyperlink" Target="https://us3.assetplanner.com/service_request?ID=100567" TargetMode="External"/><Relationship Id="rId4" Type="http://schemas.openxmlformats.org/officeDocument/2006/relationships/hyperlink" Target="https://us3.assetplanner.com/service_request?ID=103317"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103140" TargetMode="External"/><Relationship Id="rId2" Type="http://schemas.openxmlformats.org/officeDocument/2006/relationships/hyperlink" Target="https://us3.assetplanner.com/service_request?ID=104160"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0567" TargetMode="External"/><Relationship Id="rId5" Type="http://schemas.openxmlformats.org/officeDocument/2006/relationships/hyperlink" Target="https://us3.assetplanner.com/service_request?ID=102034" TargetMode="External"/><Relationship Id="rId4" Type="http://schemas.openxmlformats.org/officeDocument/2006/relationships/hyperlink" Target="https://us3.assetplanner.com/service_request?ID=104320"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3140" TargetMode="External"/><Relationship Id="rId2" Type="http://schemas.openxmlformats.org/officeDocument/2006/relationships/hyperlink" Target="https://us3.assetplanner.com/service_request?ID=104160"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7041" TargetMode="External"/><Relationship Id="rId5" Type="http://schemas.openxmlformats.org/officeDocument/2006/relationships/hyperlink" Target="https://us3.assetplanner.com/service_request?ID=102034" TargetMode="External"/><Relationship Id="rId4" Type="http://schemas.openxmlformats.org/officeDocument/2006/relationships/hyperlink" Target="https://us3.assetplanner.com/service_request?ID=104320"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2034" TargetMode="External"/><Relationship Id="rId3" Type="http://schemas.openxmlformats.org/officeDocument/2006/relationships/hyperlink" Target="https://us3.assetplanner.com/service_request?ID=104160" TargetMode="External"/><Relationship Id="rId7" Type="http://schemas.openxmlformats.org/officeDocument/2006/relationships/hyperlink" Target="https://us3.assetplanner.com/service_request?ID=104320" TargetMode="External"/><Relationship Id="rId2" Type="http://schemas.openxmlformats.org/officeDocument/2006/relationships/hyperlink" Target="https://us3.assetplanner.com/service_request?ID=104160"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3140" TargetMode="External"/><Relationship Id="rId5" Type="http://schemas.openxmlformats.org/officeDocument/2006/relationships/hyperlink" Target="https://us3.assetplanner.com/service_request?ID=108510" TargetMode="External"/><Relationship Id="rId10" Type="http://schemas.openxmlformats.org/officeDocument/2006/relationships/hyperlink" Target="https://us3.assetplanner.com/service_request?ID=108644" TargetMode="External"/><Relationship Id="rId4" Type="http://schemas.openxmlformats.org/officeDocument/2006/relationships/hyperlink" Target="https://us3.assetplanner.com/service_request?ID=107548" TargetMode="External"/><Relationship Id="rId9" Type="http://schemas.openxmlformats.org/officeDocument/2006/relationships/hyperlink" Target="https://us3.assetplanner.com/service_request?ID=107305"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2034" TargetMode="External"/><Relationship Id="rId3" Type="http://schemas.openxmlformats.org/officeDocument/2006/relationships/hyperlink" Target="https://us3.assetplanner.com/service_request?ID=107548" TargetMode="External"/><Relationship Id="rId7" Type="http://schemas.openxmlformats.org/officeDocument/2006/relationships/hyperlink" Target="https://us3.assetplanner.com/service_request?ID=104320" TargetMode="External"/><Relationship Id="rId2" Type="http://schemas.openxmlformats.org/officeDocument/2006/relationships/hyperlink" Target="https://us3.assetplanner.com/service_request?ID=108381" TargetMode="External"/><Relationship Id="rId1" Type="http://schemas.openxmlformats.org/officeDocument/2006/relationships/hyperlink" Target="https://us3.assetplanner.com/service_request?ID=103049" TargetMode="External"/><Relationship Id="rId6" Type="http://schemas.openxmlformats.org/officeDocument/2006/relationships/hyperlink" Target="https://us3.assetplanner.com/service_request?ID=103140" TargetMode="External"/><Relationship Id="rId5" Type="http://schemas.openxmlformats.org/officeDocument/2006/relationships/hyperlink" Target="https://us3.assetplanner.com/service_request?ID=109470" TargetMode="External"/><Relationship Id="rId4" Type="http://schemas.openxmlformats.org/officeDocument/2006/relationships/hyperlink" Target="https://us3.assetplanner.com/service_request?ID=108510" TargetMode="External"/><Relationship Id="rId9" Type="http://schemas.openxmlformats.org/officeDocument/2006/relationships/hyperlink" Target="https://us3.assetplanner.com/service_request?ID=108644"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02034" TargetMode="External"/><Relationship Id="rId3" Type="http://schemas.openxmlformats.org/officeDocument/2006/relationships/hyperlink" Target="https://us3.assetplanner.com/service_request?ID=103049" TargetMode="External"/><Relationship Id="rId7" Type="http://schemas.openxmlformats.org/officeDocument/2006/relationships/hyperlink" Target="https://us3.assetplanner.com/service_request?ID=111097" TargetMode="External"/><Relationship Id="rId2" Type="http://schemas.openxmlformats.org/officeDocument/2006/relationships/hyperlink" Target="https://us3.assetplanner.com/service_request?ID=108510" TargetMode="External"/><Relationship Id="rId1" Type="http://schemas.openxmlformats.org/officeDocument/2006/relationships/hyperlink" Target="https://us3.assetplanner.com/service_request?ID=108381" TargetMode="External"/><Relationship Id="rId6" Type="http://schemas.openxmlformats.org/officeDocument/2006/relationships/hyperlink" Target="https://us3.assetplanner.com/service_request?ID=104320" TargetMode="External"/><Relationship Id="rId5" Type="http://schemas.openxmlformats.org/officeDocument/2006/relationships/hyperlink" Target="https://us3.assetplanner.com/service_request?ID=103140" TargetMode="External"/><Relationship Id="rId4" Type="http://schemas.openxmlformats.org/officeDocument/2006/relationships/hyperlink" Target="https://us3.assetplanner.com/service_request?ID=111709" TargetMode="External"/><Relationship Id="rId9"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openxmlformats.org/officeDocument/2006/relationships/hyperlink" Target="https://us3.assetplanner.com/service_request?ID=102034" TargetMode="External"/><Relationship Id="rId2" Type="http://schemas.openxmlformats.org/officeDocument/2006/relationships/hyperlink" Target="https://us3.assetplanner.com/service_request?ID=103049" TargetMode="External"/><Relationship Id="rId1" Type="http://schemas.openxmlformats.org/officeDocument/2006/relationships/hyperlink" Target="https://us3.assetplanner.com/service_request?ID=10838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D4" activePane="bottomRight" state="frozen"/>
      <selection pane="bottomRight" activeCell="D18" sqref="D18"/>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KPCA Investment, LLC</v>
      </c>
      <c r="B1" s="84"/>
      <c r="C1" s="84"/>
      <c r="D1" s="85" t="s">
        <v>0</v>
      </c>
      <c r="E1" s="85"/>
      <c r="F1" s="85"/>
      <c r="G1" s="83" t="s">
        <v>1</v>
      </c>
      <c r="H1" s="83"/>
      <c r="I1" s="83"/>
    </row>
    <row r="2" spans="1:9" ht="19.5" customHeight="1">
      <c r="A2" s="86" t="s">
        <v>2</v>
      </c>
      <c r="B2" s="86"/>
      <c r="C2" s="5">
        <f>SUM(C4:C80)</f>
        <v>4141321.71873372</v>
      </c>
      <c r="D2" s="5">
        <f>SUM(D4:D80)</f>
        <v>4311771.6380000003</v>
      </c>
      <c r="E2" s="5">
        <f>C2-D2</f>
        <v>-170449.91926628025</v>
      </c>
      <c r="F2" s="6">
        <f>IFERROR(E2/D2, 0)</f>
        <v>-3.9531295619668491E-2</v>
      </c>
      <c r="G2" s="5">
        <f>SUM(G4:G80)</f>
        <v>4805107.1390000004</v>
      </c>
      <c r="H2" s="7">
        <f>C2-G2</f>
        <v>-663785.42026628042</v>
      </c>
      <c r="I2" s="6">
        <f>IFERROR(H2/G2, 0)</f>
        <v>-0.13814164826393902</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Chino - 3750-3770 Grand Ave</v>
      </c>
      <c r="B4" s="30" t="str" cm="1">
        <f t="array" ref="B4:B10">Sites[State]</f>
        <v>CA</v>
      </c>
      <c r="C4" s="22">
        <f>SUM('1st Qtr'!C4, '2nd Qtr'!C4, '3rd Qtr'!C4, '4th Qtr'!C4)</f>
        <v>222941.4266262087</v>
      </c>
      <c r="D4" s="12">
        <f>SUM('1st Qtr'!D4, '2nd Qtr'!D4, '3rd Qtr'!D4, '4th Qtr'!D4)</f>
        <v>225103.61700000003</v>
      </c>
      <c r="E4" s="12">
        <f>IF(AND(ISNUMBER(C4),ISNUMBER(D4)), C4-D4, "")</f>
        <v>-2162.1903737913235</v>
      </c>
      <c r="F4" s="13">
        <f>IFERROR(E4/D4, "")</f>
        <v>-9.6053115565500804E-3</v>
      </c>
      <c r="G4" s="14">
        <f>SUM('1st Qtr'!G4, '2nd Qtr'!G4, '3rd Qtr'!G4, '4th Qtr'!G4)</f>
        <v>339656</v>
      </c>
      <c r="H4" s="14">
        <f>SUM('1st Qtr'!H4, '2nd Qtr'!H4, '3rd Qtr'!H4, '4th Qtr'!H4)</f>
        <v>-116714.5733737913</v>
      </c>
      <c r="I4" s="15">
        <f>IFERROR(H4/G4, "")</f>
        <v>-0.34362582546397324</v>
      </c>
    </row>
    <row r="5" spans="1:9" ht="15.6">
      <c r="A5" s="50" t="str">
        <v>Murrieta - 28150 Keller Rd</v>
      </c>
      <c r="B5" s="28" t="str">
        <v>CA</v>
      </c>
      <c r="C5" s="16">
        <f>SUM('1st Qtr'!C5, '2nd Qtr'!C5, '3rd Qtr'!C5, '4th Qtr'!C5)</f>
        <v>766325</v>
      </c>
      <c r="D5" s="16">
        <f>SUM('1st Qtr'!D5, '2nd Qtr'!D5, '3rd Qtr'!D5, '4th Qtr'!D5)</f>
        <v>772468.76799999992</v>
      </c>
      <c r="E5" s="16">
        <f t="shared" ref="E5:E10" si="0">IF(AND(ISNUMBER(C5),ISNUMBER(D5)), C5-D5, "")</f>
        <v>-6143.7679999999236</v>
      </c>
      <c r="F5" s="17">
        <f>IFERROR(E5/D5, "")</f>
        <v>-7.953419289567866E-3</v>
      </c>
      <c r="G5" s="18">
        <f>SUM('1st Qtr'!G5, '2nd Qtr'!G5, '3rd Qtr'!G5, '4th Qtr'!G5)</f>
        <v>880788.96299999999</v>
      </c>
      <c r="H5" s="18">
        <f>SUM(Jan!H5, Feb!H5, Mar!H5)</f>
        <v>0</v>
      </c>
      <c r="I5" s="17">
        <f>IFERROR(H5/G5, "")</f>
        <v>0</v>
      </c>
    </row>
    <row r="6" spans="1:9" ht="15.6">
      <c r="A6" s="51" t="str">
        <v>La Habra - 601 E Imperial Way</v>
      </c>
      <c r="B6" s="26" t="str">
        <v>CA</v>
      </c>
      <c r="C6" s="22">
        <f>SUM('1st Qtr'!C6, '2nd Qtr'!C6, '3rd Qtr'!C6, '4th Qtr'!C6)</f>
        <v>157484.05000000022</v>
      </c>
      <c r="D6" s="12">
        <f>SUM('1st Qtr'!D6, '2nd Qtr'!D6, '3rd Qtr'!D6, '4th Qtr'!D6)</f>
        <v>124305.041</v>
      </c>
      <c r="E6" s="12">
        <f t="shared" si="0"/>
        <v>33179.009000000224</v>
      </c>
      <c r="F6" s="13">
        <f t="shared" ref="F6:F10" si="1">IFERROR(E6/D6, "")</f>
        <v>0.26691603762071264</v>
      </c>
      <c r="G6" s="14">
        <f>SUM('1st Qtr'!G6, '2nd Qtr'!G6, '3rd Qtr'!G6, '4th Qtr'!G6)</f>
        <v>179763.967</v>
      </c>
      <c r="H6" s="14">
        <f>SUM('1st Qtr'!H6, '2nd Qtr'!H6, '3rd Qtr'!H6, '4th Qtr'!H6)</f>
        <v>-22279.916999999801</v>
      </c>
      <c r="I6" s="15">
        <f t="shared" ref="I6:I10" si="2">IFERROR(H6/G6, "")</f>
        <v>-0.12393983828805803</v>
      </c>
    </row>
    <row r="7" spans="1:9" ht="15.6">
      <c r="A7" s="50" t="str">
        <v>Kaiser - KP3 - SCA Skyport - CN7901 Site</v>
      </c>
      <c r="B7" s="28" t="str">
        <v>CA</v>
      </c>
      <c r="C7" s="16">
        <f>SUM('1st Qtr'!C7, '2nd Qtr'!C7, '3rd Qtr'!C7, '4th Qtr'!C7)</f>
        <v>820121.12962909357</v>
      </c>
      <c r="D7" s="16">
        <f>SUM('1st Qtr'!D7, '2nd Qtr'!D7, '3rd Qtr'!D7, '4th Qtr'!D7)</f>
        <v>855583.20500000007</v>
      </c>
      <c r="E7" s="16">
        <f t="shared" si="0"/>
        <v>-35462.075370906503</v>
      </c>
      <c r="F7" s="17">
        <f t="shared" si="1"/>
        <v>-4.1447839513056479E-2</v>
      </c>
      <c r="G7" s="18">
        <f>SUM('1st Qtr'!G7, '2nd Qtr'!G7, '3rd Qtr'!G7, '4th Qtr'!G7)</f>
        <v>902065.67300000007</v>
      </c>
      <c r="H7" s="18">
        <f>SUM(Jan!H7, Feb!H7, Mar!H7)</f>
        <v>0</v>
      </c>
      <c r="I7" s="17">
        <f t="shared" si="2"/>
        <v>0</v>
      </c>
    </row>
    <row r="8" spans="1:9" ht="15.6">
      <c r="A8" s="51" t="str">
        <v>Irwindale - 12761 Schabarum Ave</v>
      </c>
      <c r="B8" s="26" t="str">
        <v>CA</v>
      </c>
      <c r="C8" s="22">
        <f>SUM('1st Qtr'!C8, '2nd Qtr'!C8, '3rd Qtr'!C8, '4th Qtr'!C8)</f>
        <v>201792.48999999993</v>
      </c>
      <c r="D8" s="12">
        <f>SUM('1st Qtr'!D8, '2nd Qtr'!D8, '3rd Qtr'!D8, '4th Qtr'!D8)</f>
        <v>166532.84299999999</v>
      </c>
      <c r="E8" s="12">
        <f t="shared" si="0"/>
        <v>35259.646999999939</v>
      </c>
      <c r="F8" s="13">
        <f t="shared" si="1"/>
        <v>0.21172788721321439</v>
      </c>
      <c r="G8" s="14">
        <f>SUM('1st Qtr'!G8, '2nd Qtr'!G8, '3rd Qtr'!G8, '4th Qtr'!G8)</f>
        <v>250619.15000000002</v>
      </c>
      <c r="H8" s="14">
        <f>SUM('1st Qtr'!H8, '2nd Qtr'!H8, '3rd Qtr'!H8, '4th Qtr'!H8)</f>
        <v>-48826.660000000105</v>
      </c>
      <c r="I8" s="15">
        <f t="shared" si="2"/>
        <v>-0.19482413853849598</v>
      </c>
    </row>
    <row r="9" spans="1:9" ht="15.6">
      <c r="A9" s="50" t="str">
        <v>Santa Rosa - 2240 Mercury Way</v>
      </c>
      <c r="B9" s="28" t="str">
        <v>CA</v>
      </c>
      <c r="C9" s="16">
        <f>SUM('1st Qtr'!C9, '2nd Qtr'!C9, '3rd Qtr'!C9, '4th Qtr'!C9)</f>
        <v>652829.62247841747</v>
      </c>
      <c r="D9" s="16">
        <f>SUM('1st Qtr'!D9, '2nd Qtr'!D9, '3rd Qtr'!D9, '4th Qtr'!D9)</f>
        <v>726888.95200000005</v>
      </c>
      <c r="E9" s="16">
        <f t="shared" si="0"/>
        <v>-74059.329521582578</v>
      </c>
      <c r="F9" s="17">
        <f t="shared" si="1"/>
        <v>-0.10188534207021842</v>
      </c>
      <c r="G9" s="18">
        <f>SUM('1st Qtr'!G9, '2nd Qtr'!G9, '3rd Qtr'!G9, '4th Qtr'!G9)</f>
        <v>780709</v>
      </c>
      <c r="H9" s="18">
        <f>SUM(Jan!H9, Feb!H9, Mar!H9)</f>
        <v>0</v>
      </c>
      <c r="I9" s="17">
        <f t="shared" si="2"/>
        <v>0</v>
      </c>
    </row>
    <row r="10" spans="1:9" ht="15.6">
      <c r="A10" s="51" t="str">
        <v>Dublin - 3100 Dublin Blvd</v>
      </c>
      <c r="B10" s="26" t="str">
        <v>CA</v>
      </c>
      <c r="C10" s="22">
        <f>SUM('1st Qtr'!C10, '2nd Qtr'!C10, '3rd Qtr'!C10, '4th Qtr'!C10)</f>
        <v>1319828</v>
      </c>
      <c r="D10" s="12">
        <f>SUM('1st Qtr'!D10, '2nd Qtr'!D10, '3rd Qtr'!D10, '4th Qtr'!D10)</f>
        <v>1440889.2119999998</v>
      </c>
      <c r="E10" s="12">
        <f t="shared" si="0"/>
        <v>-121061.21199999982</v>
      </c>
      <c r="F10" s="13">
        <f t="shared" si="1"/>
        <v>-8.4018404046458939E-2</v>
      </c>
      <c r="G10" s="14">
        <f>SUM('1st Qtr'!G10, '2nd Qtr'!G10, '3rd Qtr'!G10, '4th Qtr'!G10)</f>
        <v>1471504.3859999999</v>
      </c>
      <c r="H10" s="14">
        <f>SUM('1st Qtr'!H10, '2nd Qtr'!H10, '3rd Qtr'!H10, '4th Qtr'!H10)</f>
        <v>-151676.386</v>
      </c>
      <c r="I10" s="15">
        <f t="shared" si="2"/>
        <v>-0.10307572810727593</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9" priority="1" stopIfTrue="1" operator="lessThanOrEqual">
      <formula>-0.1</formula>
    </cfRule>
    <cfRule type="expression" dxfId="58"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D4" activePane="bottomRight" state="frozen"/>
      <selection pane="bottomRight" activeCell="D4" sqref="D4"/>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KPCA Investment, LLC</v>
      </c>
      <c r="B1" s="84"/>
      <c r="C1" s="84"/>
      <c r="D1" s="85" t="s">
        <v>10</v>
      </c>
      <c r="E1" s="85"/>
      <c r="F1" s="85"/>
      <c r="G1" s="83" t="s">
        <v>11</v>
      </c>
      <c r="H1" s="83"/>
      <c r="I1" s="83"/>
    </row>
    <row r="2" spans="1:9" ht="19.5" customHeight="1">
      <c r="A2" s="86" t="s">
        <v>2</v>
      </c>
      <c r="B2" s="86"/>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SUM(Jan!C4, Feb!C4, Mar!C4)</f>
        <v>0</v>
      </c>
      <c r="D4" s="12">
        <f>SUM(Jan!D4, Feb!D4, Mar!D4)</f>
        <v>0</v>
      </c>
      <c r="E4" s="12">
        <f>IF(AND(ISNUMBER(C4),ISNUMBER(D4)), C4-D4, "")</f>
        <v>0</v>
      </c>
      <c r="F4" s="13" t="str">
        <f>IFERROR(E4/D4, "")</f>
        <v/>
      </c>
      <c r="G4" s="14">
        <f>SUM(Jan!G4, Feb!G4, Mar!G4)</f>
        <v>0</v>
      </c>
      <c r="H4" s="14">
        <f>SUM(Jan!H4, Feb!H4, Mar!H4)</f>
        <v>0</v>
      </c>
      <c r="I4" s="15" t="str">
        <f>IFERROR(H4/G4, "")</f>
        <v/>
      </c>
    </row>
    <row r="5" spans="1:9" ht="15.6">
      <c r="A5" s="47" t="str">
        <v>Murrieta - 28150 Keller Rd</v>
      </c>
      <c r="B5" s="10" t="str">
        <v>CA</v>
      </c>
      <c r="C5" s="11">
        <f>SUM(Jan!C5, Feb!C5, Mar!C5)</f>
        <v>0</v>
      </c>
      <c r="D5" s="16">
        <f>SUM(Jan!D5, Feb!D5, Mar!D5)</f>
        <v>0</v>
      </c>
      <c r="E5" s="16">
        <f t="shared" ref="E5:E10" si="0">IF(AND(ISNUMBER(C5),ISNUMBER(D5)), C5-D5, "")</f>
        <v>0</v>
      </c>
      <c r="F5" s="17" t="str">
        <f>IFERROR(E5/D5, "")</f>
        <v/>
      </c>
      <c r="G5" s="18">
        <f>SUM(Jan!G5, Feb!G5, Mar!G5)</f>
        <v>0</v>
      </c>
      <c r="H5" s="18">
        <f>SUM(Jan!H5, Feb!H5, Mar!H5)</f>
        <v>0</v>
      </c>
      <c r="I5" s="17" t="str">
        <f>IFERROR(H5/G5, "")</f>
        <v/>
      </c>
    </row>
    <row r="6" spans="1:9" ht="15.6">
      <c r="A6" s="46" t="str">
        <v>La Habra - 601 E Imperial Way</v>
      </c>
      <c r="B6" s="9" t="str">
        <v>CA</v>
      </c>
      <c r="C6" s="22">
        <f>SUM(Jan!C6, Feb!C6, Mar!C6)</f>
        <v>0</v>
      </c>
      <c r="D6" s="12">
        <f>SUM(Jan!D6, Feb!D6, Mar!D6)</f>
        <v>0</v>
      </c>
      <c r="E6" s="12">
        <f t="shared" si="0"/>
        <v>0</v>
      </c>
      <c r="F6" s="13" t="str">
        <f t="shared" ref="F6:F10" si="1">IFERROR(E6/D6, "")</f>
        <v/>
      </c>
      <c r="G6" s="14">
        <f>SUM(Jan!G6, Feb!G6, Mar!G6)</f>
        <v>0</v>
      </c>
      <c r="H6" s="14">
        <f>SUM(Jan!H6, Feb!H6, Mar!H6)</f>
        <v>0</v>
      </c>
      <c r="I6" s="15" t="str">
        <f t="shared" ref="I6:I10" si="2">IFERROR(H6/G6, "")</f>
        <v/>
      </c>
    </row>
    <row r="7" spans="1:9" ht="15.6">
      <c r="A7" s="47" t="str">
        <v>Kaiser - KP3 - SCA Skyport - CN7901 Site</v>
      </c>
      <c r="B7" s="10" t="str">
        <v>CA</v>
      </c>
      <c r="C7" s="11">
        <f>SUM(Jan!C7, Feb!C7, Mar!C7)</f>
        <v>0</v>
      </c>
      <c r="D7" s="16">
        <f>SUM(Jan!D7, Feb!D7, Mar!D7)</f>
        <v>0</v>
      </c>
      <c r="E7" s="16">
        <f t="shared" si="0"/>
        <v>0</v>
      </c>
      <c r="F7" s="17" t="str">
        <f t="shared" si="1"/>
        <v/>
      </c>
      <c r="G7" s="18">
        <f>SUM(Jan!G7, Feb!G7, Mar!G7)</f>
        <v>0</v>
      </c>
      <c r="H7" s="18">
        <f>SUM(Jan!H7, Feb!H7, Mar!H7)</f>
        <v>0</v>
      </c>
      <c r="I7" s="17" t="str">
        <f t="shared" si="2"/>
        <v/>
      </c>
    </row>
    <row r="8" spans="1:9" ht="15.6">
      <c r="A8" s="46" t="str">
        <v>Irwindale - 12761 Schabarum Ave</v>
      </c>
      <c r="B8" s="9" t="str">
        <v>CA</v>
      </c>
      <c r="C8" s="22">
        <f>SUM(Jan!C8, Feb!C8, Mar!C8)</f>
        <v>0</v>
      </c>
      <c r="D8" s="12">
        <f>SUM(Jan!D8, Feb!D8, Mar!D8)</f>
        <v>0</v>
      </c>
      <c r="E8" s="12">
        <f t="shared" si="0"/>
        <v>0</v>
      </c>
      <c r="F8" s="13" t="str">
        <f t="shared" si="1"/>
        <v/>
      </c>
      <c r="G8" s="14">
        <f>SUM(Jan!G8, Feb!G8, Mar!G8)</f>
        <v>0</v>
      </c>
      <c r="H8" s="14">
        <f>SUM(Jan!H8, Feb!H8, Mar!H8)</f>
        <v>0</v>
      </c>
      <c r="I8" s="15" t="str">
        <f t="shared" si="2"/>
        <v/>
      </c>
    </row>
    <row r="9" spans="1:9" ht="15.6">
      <c r="A9" s="47" t="str">
        <v>Santa Rosa - 2240 Mercury Way</v>
      </c>
      <c r="B9" s="10" t="str">
        <v>CA</v>
      </c>
      <c r="C9" s="11">
        <f>SUM(Jan!C9, Feb!C9, Mar!C9)</f>
        <v>0</v>
      </c>
      <c r="D9" s="16">
        <f>SUM(Jan!D9, Feb!D9, Mar!D9)</f>
        <v>0</v>
      </c>
      <c r="E9" s="16">
        <f t="shared" si="0"/>
        <v>0</v>
      </c>
      <c r="F9" s="17" t="str">
        <f t="shared" si="1"/>
        <v/>
      </c>
      <c r="G9" s="18">
        <f>SUM(Jan!G9, Feb!G9, Mar!G9)</f>
        <v>0</v>
      </c>
      <c r="H9" s="18">
        <f>SUM(Jan!H9, Feb!H9, Mar!H9)</f>
        <v>0</v>
      </c>
      <c r="I9" s="17" t="str">
        <f t="shared" si="2"/>
        <v/>
      </c>
    </row>
    <row r="10" spans="1:9" ht="15.6">
      <c r="A10" s="46" t="str">
        <v>Dublin - 3100 Dublin Blvd</v>
      </c>
      <c r="B10" s="9" t="str">
        <v>CA</v>
      </c>
      <c r="C10" s="22">
        <f>SUM(Jan!C10, Feb!C10, Mar!C10)</f>
        <v>0</v>
      </c>
      <c r="D10" s="12">
        <f>SUM(Jan!D10, Feb!D10, Mar!D10)</f>
        <v>0</v>
      </c>
      <c r="E10" s="12">
        <f t="shared" si="0"/>
        <v>0</v>
      </c>
      <c r="F10" s="13" t="str">
        <f t="shared" si="1"/>
        <v/>
      </c>
      <c r="G10" s="14">
        <f>SUM(Jan!G10, Feb!G10, Mar!G10)</f>
        <v>0</v>
      </c>
      <c r="H10" s="14">
        <f>SUM(Jan!H10, Feb!H10, Mar!H10)</f>
        <v>0</v>
      </c>
      <c r="I10" s="15" t="str">
        <f t="shared" si="2"/>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E24" sqref="E24"/>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KPCA Investment, LLC</v>
      </c>
      <c r="B1" s="84"/>
      <c r="C1" s="84"/>
      <c r="D1" s="85" t="s">
        <v>12</v>
      </c>
      <c r="E1" s="85"/>
      <c r="F1" s="85"/>
      <c r="G1" s="83" t="s">
        <v>13</v>
      </c>
      <c r="H1" s="83"/>
      <c r="I1" s="83"/>
    </row>
    <row r="2" spans="1:9" ht="19.5" customHeight="1">
      <c r="A2" s="86" t="s">
        <v>2</v>
      </c>
      <c r="B2" s="86"/>
      <c r="C2" s="5">
        <f>SUM(C4:C80)</f>
        <v>1771758.058529947</v>
      </c>
      <c r="D2" s="5">
        <f>SUM(D4:D80)</f>
        <v>1834976.2749999999</v>
      </c>
      <c r="E2" s="5">
        <f>C2-D2</f>
        <v>-63218.216470052954</v>
      </c>
      <c r="F2" s="6">
        <f>IFERROR(E2/D2, 0)</f>
        <v>-3.4451789557907474E-2</v>
      </c>
      <c r="G2" s="5">
        <f>SUM(G4:G80)</f>
        <v>1939577.0290000001</v>
      </c>
      <c r="H2" s="7">
        <f>C2-G2</f>
        <v>-167818.97047005314</v>
      </c>
      <c r="I2" s="6">
        <f>IFERROR(H2/G2, 0)</f>
        <v>-8.6523488348682204E-2</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SUM(Apr!C4, May!C4, Jun!C4)</f>
        <v>105148.9373501324</v>
      </c>
      <c r="D4" s="12">
        <f>SUM(Apr!D4, May!D4, Jun!D4)</f>
        <v>88704.65</v>
      </c>
      <c r="E4" s="12">
        <f>IF(AND(ISNUMBER(C4),ISNUMBER(D4)), C4-D4, "")</f>
        <v>16444.287350132407</v>
      </c>
      <c r="F4" s="13">
        <f>IFERROR(E4/D4, "")</f>
        <v>0.18538247262271379</v>
      </c>
      <c r="G4" s="14">
        <f>SUM(Apr!G4+May!G4+Jun!G4)</f>
        <v>132650</v>
      </c>
      <c r="H4" s="14">
        <f>SUM(Apr!H4, May!H4, Jun!H4)</f>
        <v>-27501.062649867603</v>
      </c>
      <c r="I4" s="15">
        <f>IFERROR(H4/G4, "")</f>
        <v>-0.20732048737178743</v>
      </c>
    </row>
    <row r="5" spans="1:9" ht="15.6">
      <c r="A5" s="47" t="str">
        <v>Murrieta - 28150 Keller Rd</v>
      </c>
      <c r="B5" s="10" t="str">
        <v>CA</v>
      </c>
      <c r="C5" s="11">
        <f>SUM(Apr!C5, May!C5, Jun!C5)</f>
        <v>301660</v>
      </c>
      <c r="D5" s="16">
        <f>SUM(Apr!D5, May!D5, Jun!D5)</f>
        <v>301975.25</v>
      </c>
      <c r="E5" s="16">
        <f t="shared" ref="E5:E10" si="0">IF(AND(ISNUMBER(C5),ISNUMBER(D5)), C5-D5, "")</f>
        <v>-315.25</v>
      </c>
      <c r="F5" s="17">
        <f>IFERROR(E5/D5, "")</f>
        <v>-1.0439597284876824E-3</v>
      </c>
      <c r="G5" s="18">
        <f>SUM(Apr!G5+May!G5+Jun!G5)</f>
        <v>338989.4</v>
      </c>
      <c r="H5" s="18">
        <f>SUM(Apr!H5, May!H5, Jun!H5)</f>
        <v>-37329.400000000009</v>
      </c>
      <c r="I5" s="17">
        <f>IFERROR(H5/G5, "")</f>
        <v>-0.11011966745862851</v>
      </c>
    </row>
    <row r="6" spans="1:9" ht="15.6">
      <c r="A6" s="46" t="str">
        <v>La Habra - 601 E Imperial Way</v>
      </c>
      <c r="B6" s="9" t="str">
        <v>CA</v>
      </c>
      <c r="C6" s="22">
        <f>SUM(Apr!C6, May!C6, Jun!C6)</f>
        <v>60220.630000000099</v>
      </c>
      <c r="D6" s="12">
        <f>SUM(Apr!D6, May!D6, Jun!D6)</f>
        <v>48057.75</v>
      </c>
      <c r="E6" s="12">
        <f t="shared" si="0"/>
        <v>12162.880000000099</v>
      </c>
      <c r="F6" s="13">
        <f t="shared" ref="F6:F10" si="1">IFERROR(E6/D6, "")</f>
        <v>0.25308883582773017</v>
      </c>
      <c r="G6" s="14">
        <f>SUM(Apr!G6+May!G6+Jun!G6)</f>
        <v>67344.570000000007</v>
      </c>
      <c r="H6" s="14">
        <f>SUM(Apr!H6, May!H6, Jun!H6)</f>
        <v>-7123.9399999999005</v>
      </c>
      <c r="I6" s="15">
        <f t="shared" ref="I6:I9" si="2">IFERROR(H6/G6, "")</f>
        <v>-0.10578343584345255</v>
      </c>
    </row>
    <row r="7" spans="1:9" ht="15.6">
      <c r="A7" s="47" t="str">
        <v>Kaiser - KP3 - SCA Skyport - CN7901 Site</v>
      </c>
      <c r="B7" s="10" t="str">
        <v>CA</v>
      </c>
      <c r="C7" s="11">
        <f>SUM(Apr!C7, May!C7, Jun!C7)</f>
        <v>357011.58408212359</v>
      </c>
      <c r="D7" s="16">
        <f>SUM(Apr!D7, May!D7, Jun!D7)</f>
        <v>364194.08999999997</v>
      </c>
      <c r="E7" s="16">
        <f t="shared" si="0"/>
        <v>-7182.5059178763768</v>
      </c>
      <c r="F7" s="17">
        <f t="shared" si="1"/>
        <v>-1.9721643253124668E-2</v>
      </c>
      <c r="G7" s="18">
        <f>SUM(Apr!G7+May!G7+Jun!G7)</f>
        <v>372880.58900000004</v>
      </c>
      <c r="H7" s="18">
        <f>SUM(Apr!H7, May!H7, Jun!H7)</f>
        <v>-15869.004917876417</v>
      </c>
      <c r="I7" s="17">
        <f t="shared" si="2"/>
        <v>-4.2557873447996553E-2</v>
      </c>
    </row>
    <row r="8" spans="1:9" ht="15.6">
      <c r="A8" s="46" t="str">
        <v>Irwindale - 12761 Schabarum Ave</v>
      </c>
      <c r="B8" s="9" t="str">
        <v>CA</v>
      </c>
      <c r="C8" s="22">
        <f>SUM(Apr!C8, May!C8, Jun!C8)</f>
        <v>84093.869999999908</v>
      </c>
      <c r="D8" s="12">
        <f>SUM(Apr!D8, May!D8, Jun!D8)</f>
        <v>65700.179999999993</v>
      </c>
      <c r="E8" s="12">
        <f t="shared" si="0"/>
        <v>18393.689999999915</v>
      </c>
      <c r="F8" s="13">
        <f t="shared" si="1"/>
        <v>0.27996407315778915</v>
      </c>
      <c r="G8" s="14">
        <f>SUM(Apr!G8+May!G8+Jun!G8)</f>
        <v>95470.97</v>
      </c>
      <c r="H8" s="14">
        <f>SUM(Apr!H8, May!H8, Jun!H8)</f>
        <v>-11377.100000000097</v>
      </c>
      <c r="I8" s="15">
        <f>IFERROR(H8/G8, "")</f>
        <v>-0.11916816179829426</v>
      </c>
    </row>
    <row r="9" spans="1:9" ht="15.6">
      <c r="A9" s="47" t="str">
        <v>Santa Rosa - 2240 Mercury Way</v>
      </c>
      <c r="B9" s="10" t="str">
        <v>CA</v>
      </c>
      <c r="C9" s="11">
        <f>SUM(Apr!C9, May!C9, Jun!C9)</f>
        <v>294721.03709769092</v>
      </c>
      <c r="D9" s="16">
        <f>SUM(Apr!D9, May!D9, Jun!D9)</f>
        <v>315356.7</v>
      </c>
      <c r="E9" s="16">
        <f t="shared" si="0"/>
        <v>-20635.662902309094</v>
      </c>
      <c r="F9" s="17">
        <f t="shared" si="1"/>
        <v>-6.5435942544772613E-2</v>
      </c>
      <c r="G9" s="18">
        <f>SUM(Apr!G9+May!G9+Jun!G9)</f>
        <v>324424</v>
      </c>
      <c r="H9" s="18">
        <f>SUM(Apr!H9, May!H9, Jun!H9)</f>
        <v>-29702.962902309111</v>
      </c>
      <c r="I9" s="17">
        <f t="shared" si="2"/>
        <v>-9.1555997405583775E-2</v>
      </c>
    </row>
    <row r="10" spans="1:9" ht="15.6">
      <c r="A10" s="46" t="str">
        <v>Dublin - 3100 Dublin Blvd</v>
      </c>
      <c r="B10" s="9" t="str">
        <v>CA</v>
      </c>
      <c r="C10" s="22">
        <f>SUM(Apr!C10, May!C10, Jun!C10)</f>
        <v>568902</v>
      </c>
      <c r="D10" s="12">
        <f>SUM(Apr!D10, May!D10, Jun!D10)</f>
        <v>650987.65500000003</v>
      </c>
      <c r="E10" s="12">
        <f t="shared" si="0"/>
        <v>-82085.655000000028</v>
      </c>
      <c r="F10" s="13">
        <f t="shared" si="1"/>
        <v>-0.12609402708258735</v>
      </c>
      <c r="G10" s="14">
        <f>SUM(Apr!G10+May!G10+Jun!G10)</f>
        <v>607817.5</v>
      </c>
      <c r="H10" s="14">
        <f>SUM(Apr!H10, May!H10, Jun!H10)</f>
        <v>-38915.5</v>
      </c>
      <c r="I10" s="15">
        <f>IFERROR(H10/G10, "")</f>
        <v>-6.4024974601751342E-2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C23" sqref="C23"/>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KPCA Investment, LLC</v>
      </c>
      <c r="B1" s="84"/>
      <c r="C1" s="84"/>
      <c r="D1" s="85" t="s">
        <v>14</v>
      </c>
      <c r="E1" s="85"/>
      <c r="F1" s="85"/>
      <c r="G1" s="83" t="s">
        <v>15</v>
      </c>
      <c r="H1" s="83"/>
      <c r="I1" s="83"/>
    </row>
    <row r="2" spans="1:9" ht="19.5" customHeight="1">
      <c r="A2" s="86" t="s">
        <v>2</v>
      </c>
      <c r="B2" s="86"/>
      <c r="C2" s="5">
        <f>SUM(C4:C79)</f>
        <v>1583161.5404251381</v>
      </c>
      <c r="D2" s="5">
        <f>SUM(D4:D79)</f>
        <v>1688703.693</v>
      </c>
      <c r="E2" s="5">
        <f>C2-D2</f>
        <v>-105542.15257486189</v>
      </c>
      <c r="F2" s="6">
        <f>IFERROR(E2/D2, 0)</f>
        <v>-6.2498917372156119E-2</v>
      </c>
      <c r="G2" s="5">
        <f>SUM(G4:G79)</f>
        <v>1914876.3540000001</v>
      </c>
      <c r="H2" s="7">
        <f>C2-G2</f>
        <v>-331714.81357486197</v>
      </c>
      <c r="I2" s="6">
        <f>IFERROR(H2/G2, 0)</f>
        <v>-0.17323040878432716</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SUM(Jul!C4, Aug!C4, Sep!C4)</f>
        <v>90434.252480722294</v>
      </c>
      <c r="D4" s="12">
        <f>SUM(Jul!D4, Aug!D4, Sep!D4)</f>
        <v>87474.947</v>
      </c>
      <c r="E4" s="12">
        <f>IF(AND(ISNUMBER(C4),ISNUMBER(D4)), C4-D4, "")</f>
        <v>2959.3054807222943</v>
      </c>
      <c r="F4" s="13">
        <f>IFERROR(E4/D4, "")</f>
        <v>3.3830320362723904E-2</v>
      </c>
      <c r="G4" s="14">
        <f>SUM(Jul!G4,Aug!G4,Sep!G4)</f>
        <v>129673</v>
      </c>
      <c r="H4" s="14">
        <f>SUM(Jul!H4, Aug!H4, Sep!H4)</f>
        <v>-39238.747519277706</v>
      </c>
      <c r="I4" s="15">
        <f t="shared" ref="I4:I9" si="0">IFERROR(H4/G4, "")</f>
        <v>-0.30259766890006173</v>
      </c>
    </row>
    <row r="5" spans="1:9" ht="15.6">
      <c r="A5" s="47" t="str">
        <v>Murrieta - 28150 Keller Rd</v>
      </c>
      <c r="B5" s="10" t="str">
        <v>CA</v>
      </c>
      <c r="C5" s="11">
        <f>SUM(Jul!C5, Aug!C5, Sep!C5)</f>
        <v>289564.5</v>
      </c>
      <c r="D5" s="16">
        <f>SUM(Jul!D5, Aug!D5, Sep!D5)</f>
        <v>296131.788</v>
      </c>
      <c r="E5" s="16">
        <f t="shared" ref="E5:E10" si="1">IF(AND(ISNUMBER(C5),ISNUMBER(D5)), C5-D5, "")</f>
        <v>-6567.2880000000005</v>
      </c>
      <c r="F5" s="17">
        <f>IFERROR(E5/D5, "")</f>
        <v>-2.2176909964154206E-2</v>
      </c>
      <c r="G5" s="16">
        <f>SUM(Jul!G5,Aug!G5,Sep!G5)</f>
        <v>349616.033</v>
      </c>
      <c r="H5" s="18">
        <f>SUM(Jul!H5, Aug!H5, Sep!H5)</f>
        <v>-60051.532999999996</v>
      </c>
      <c r="I5" s="17">
        <f t="shared" si="0"/>
        <v>-0.17176424228805318</v>
      </c>
    </row>
    <row r="6" spans="1:9" ht="15.6">
      <c r="A6" s="46" t="str">
        <v>La Habra - 601 E Imperial Way</v>
      </c>
      <c r="B6" s="9" t="str">
        <v>CA</v>
      </c>
      <c r="C6" s="22">
        <f>SUM(Jul!C6, Aug!C6, Sep!C6)</f>
        <v>61294.870000000104</v>
      </c>
      <c r="D6" s="12">
        <f>SUM(Jul!D6, Aug!D6, Sep!D6)</f>
        <v>48470.569999999992</v>
      </c>
      <c r="E6" s="12">
        <f t="shared" si="1"/>
        <v>12824.300000000112</v>
      </c>
      <c r="F6" s="13">
        <f t="shared" ref="F6:F10" si="2">IFERROR(E6/D6, "")</f>
        <v>0.26457910439262655</v>
      </c>
      <c r="G6" s="14">
        <f>SUM(Jul!G6,Aug!G6,Sep!G6)</f>
        <v>72455.726999999999</v>
      </c>
      <c r="H6" s="14">
        <f>SUM(Jul!H6, Aug!H6, Sep!H6)</f>
        <v>-11160.856999999904</v>
      </c>
      <c r="I6" s="15">
        <f t="shared" si="0"/>
        <v>-0.15403691967647917</v>
      </c>
    </row>
    <row r="7" spans="1:9" ht="15.6">
      <c r="A7" s="47" t="str">
        <v>Kaiser - KP3 - SCA Skyport - CN7901 Site</v>
      </c>
      <c r="B7" s="10" t="str">
        <v>CA</v>
      </c>
      <c r="C7" s="11">
        <f>SUM(Jul!C7, Aug!C7, Sep!C7)</f>
        <v>312541.08676696999</v>
      </c>
      <c r="D7" s="16">
        <f>SUM(Jul!D7, Aug!D7, Sep!D7)</f>
        <v>330562.61900000001</v>
      </c>
      <c r="E7" s="16">
        <f t="shared" si="1"/>
        <v>-18021.532233030011</v>
      </c>
      <c r="F7" s="17">
        <f t="shared" si="2"/>
        <v>-5.4517756083696842E-2</v>
      </c>
      <c r="G7" s="16">
        <f>SUM(Jul!G7,Aug!G7,Sep!G7)</f>
        <v>363579.23400000005</v>
      </c>
      <c r="H7" s="18">
        <f>SUM(Jul!H7, Aug!H7, Sep!H7)</f>
        <v>-51038.147233030002</v>
      </c>
      <c r="I7" s="17">
        <f t="shared" si="0"/>
        <v>-0.14037695902354533</v>
      </c>
    </row>
    <row r="8" spans="1:9" ht="15.6">
      <c r="A8" s="46" t="str">
        <v>Irwindale - 12761 Schabarum Ave</v>
      </c>
      <c r="B8" s="9" t="str">
        <v>CA</v>
      </c>
      <c r="C8" s="22">
        <f>SUM(Jul!C8, Aug!C8, Sep!C8)</f>
        <v>75985.300000000105</v>
      </c>
      <c r="D8" s="12">
        <f>SUM(Jul!D8, Aug!D8, Sep!D8)</f>
        <v>65616.524000000005</v>
      </c>
      <c r="E8" s="12">
        <f t="shared" si="1"/>
        <v>10368.7760000001</v>
      </c>
      <c r="F8" s="13">
        <f t="shared" si="2"/>
        <v>0.15802080585677014</v>
      </c>
      <c r="G8" s="14">
        <f>SUM(Jul!G8,Aug!G8,Sep!G8)</f>
        <v>98977.860000000015</v>
      </c>
      <c r="H8" s="14">
        <f>SUM(Jul!H8, Aug!H8, Sep!H8)</f>
        <v>-22992.559999999903</v>
      </c>
      <c r="I8" s="15">
        <f t="shared" si="0"/>
        <v>-0.23230003154240655</v>
      </c>
    </row>
    <row r="9" spans="1:9" ht="15.6">
      <c r="A9" s="47" t="str">
        <v>Santa Rosa - 2240 Mercury Way</v>
      </c>
      <c r="B9" s="10" t="str">
        <v>CA</v>
      </c>
      <c r="C9" s="11">
        <f>SUM(Jul!C9, Aug!C9, Sep!C9)</f>
        <v>253233.53117744549</v>
      </c>
      <c r="D9" s="16">
        <f>SUM(Jul!D9, Aug!D9, Sep!D9)</f>
        <v>293509.22499999998</v>
      </c>
      <c r="E9" s="16">
        <f t="shared" si="1"/>
        <v>-40275.693822554487</v>
      </c>
      <c r="F9" s="17">
        <f t="shared" si="2"/>
        <v>-0.13722121961432215</v>
      </c>
      <c r="G9" s="16">
        <f>SUM(Jul!G9,Aug!G9,Sep!G9)</f>
        <v>311213</v>
      </c>
      <c r="H9" s="18">
        <f>SUM(Jul!H9, Aug!H9, Sep!H9)</f>
        <v>-57979.468822554496</v>
      </c>
      <c r="I9" s="17">
        <f t="shared" si="0"/>
        <v>-0.18630156459580574</v>
      </c>
    </row>
    <row r="10" spans="1:9" ht="15.6">
      <c r="A10" s="46" t="str">
        <v>Dublin - 3100 Dublin Blvd</v>
      </c>
      <c r="B10" s="9" t="str">
        <v>CA</v>
      </c>
      <c r="C10" s="22">
        <f>SUM(Jul!C10, Aug!C10, Sep!C10)</f>
        <v>500108</v>
      </c>
      <c r="D10" s="12">
        <f>SUM(Jul!D10, Aug!D10, Sep!D10)</f>
        <v>566938.0199999999</v>
      </c>
      <c r="E10" s="12">
        <f t="shared" si="1"/>
        <v>-66830.019999999902</v>
      </c>
      <c r="F10" s="13">
        <f t="shared" si="2"/>
        <v>-0.11787888206897804</v>
      </c>
      <c r="G10" s="14">
        <f>SUM(Jul!G10,Aug!G10,Sep!G10)</f>
        <v>589361.5</v>
      </c>
      <c r="H10" s="14">
        <f>SUM(Jul!H10, Aug!H10, Sep!H10)</f>
        <v>-89253.5</v>
      </c>
      <c r="I10" s="15">
        <f>IFERROR(H10/G10, "")</f>
        <v>-0.15144100861695242</v>
      </c>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G21" sqref="G21"/>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KPCA Investment, LLC</v>
      </c>
      <c r="B1" s="84"/>
      <c r="C1" s="84"/>
      <c r="D1" s="85" t="s">
        <v>16</v>
      </c>
      <c r="E1" s="85"/>
      <c r="F1" s="85"/>
      <c r="G1" s="83" t="s">
        <v>17</v>
      </c>
      <c r="H1" s="83"/>
      <c r="I1" s="83"/>
    </row>
    <row r="2" spans="1:9" ht="19.5" customHeight="1">
      <c r="A2" s="86" t="s">
        <v>2</v>
      </c>
      <c r="B2" s="86"/>
      <c r="C2" s="5">
        <f>SUM(C4:C80)</f>
        <v>786402.11977863498</v>
      </c>
      <c r="D2" s="5">
        <f>SUM(D4:D80)</f>
        <v>788091.66999999993</v>
      </c>
      <c r="E2" s="5">
        <f>C2-D2</f>
        <v>-1689.5502213649452</v>
      </c>
      <c r="F2" s="6">
        <f>IFERROR(E2/D2, 0)</f>
        <v>-2.1438498663041892E-3</v>
      </c>
      <c r="G2" s="5">
        <f>SUM(G4:G80)</f>
        <v>950653.75600000005</v>
      </c>
      <c r="H2" s="7">
        <f>C2-G2</f>
        <v>-164251.63622136507</v>
      </c>
      <c r="I2" s="6">
        <f>IFERROR(H2/G2, 0)</f>
        <v>-0.1727775598473153</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Chino - 3750-3770 Grand Ave</v>
      </c>
      <c r="B4" s="9" t="str" cm="1">
        <f t="array" ref="B4:B10">Sites[State]</f>
        <v>CA</v>
      </c>
      <c r="C4" s="22">
        <f>SUM(Oct!C4, Nov!C4, Dec!C4)</f>
        <v>27358.236795354002</v>
      </c>
      <c r="D4" s="12">
        <f>SUM(Oct!D4, Nov!D4, Dec!D4)</f>
        <v>48924.020000000004</v>
      </c>
      <c r="E4" s="12">
        <f>IF(AND(ISNUMBER(C4),ISNUMBER(D4)), C4-D4, "")</f>
        <v>-21565.783204646003</v>
      </c>
      <c r="F4" s="13">
        <f>IFERROR(E4/D4, "")</f>
        <v>-0.44080153684521428</v>
      </c>
      <c r="G4" s="14">
        <f>SUM(Oct!G4,Nov!G4,Dec!G4)</f>
        <v>77333</v>
      </c>
      <c r="H4" s="14">
        <f>SUM(Oct!H4, Nov!H4, Dec!H4)</f>
        <v>-49974.763204645998</v>
      </c>
      <c r="I4" s="15">
        <f>IFERROR(H4/G4, "")</f>
        <v>-0.64622817173323155</v>
      </c>
    </row>
    <row r="5" spans="1:9" ht="15.6">
      <c r="A5" s="47" t="str">
        <v>Murrieta - 28150 Keller Rd</v>
      </c>
      <c r="B5" s="10" t="str">
        <v>CA</v>
      </c>
      <c r="C5" s="11">
        <f>SUM(Oct!C5, Nov!C5, Dec!C5)</f>
        <v>175100.5</v>
      </c>
      <c r="D5" s="16">
        <f>SUM(Oct!D5, Nov!D5, Dec!D5)</f>
        <v>174361.73</v>
      </c>
      <c r="E5" s="16">
        <f t="shared" ref="E5:E10" si="0">IF(AND(ISNUMBER(C5),ISNUMBER(D5)), C5-D5, "")</f>
        <v>738.76999999998952</v>
      </c>
      <c r="F5" s="17">
        <f>IFERROR(E5/D5, "")</f>
        <v>4.2369962720603281E-3</v>
      </c>
      <c r="G5" s="16">
        <f>SUM(Oct!G5,Nov!G5,Dec!G5)</f>
        <v>192183.53</v>
      </c>
      <c r="H5" s="18">
        <f>SUM(Oct!H5, Nov!H5, Dec!H5)</f>
        <v>-17083.030000000006</v>
      </c>
      <c r="I5" s="17">
        <f>IFERROR(H5/G5, "")</f>
        <v>-8.8889146744260586E-2</v>
      </c>
    </row>
    <row r="6" spans="1:9" ht="15.6">
      <c r="A6" s="46" t="str">
        <v>La Habra - 601 E Imperial Way</v>
      </c>
      <c r="B6" s="9" t="str">
        <v>CA</v>
      </c>
      <c r="C6" s="22">
        <f>SUM(Oct!C6, Nov!C6, Dec!C6)</f>
        <v>35968.550000000003</v>
      </c>
      <c r="D6" s="12">
        <f>SUM(Oct!D6, Nov!D6, Dec!D6)</f>
        <v>27776.720999999998</v>
      </c>
      <c r="E6" s="12">
        <f t="shared" si="0"/>
        <v>8191.8290000000052</v>
      </c>
      <c r="F6" s="13">
        <f t="shared" ref="F6:F10" si="1">IFERROR(E6/D6, "")</f>
        <v>0.29491706382477634</v>
      </c>
      <c r="G6" s="14">
        <f>SUM(Oct!G6,Nov!G6,Dec!G6)</f>
        <v>39963.67</v>
      </c>
      <c r="H6" s="14">
        <f>SUM(Oct!H6, Nov!H6, Dec!H6)</f>
        <v>-3995.119999999999</v>
      </c>
      <c r="I6" s="15">
        <f t="shared" ref="I6:I10" si="2">IFERROR(H6/G6, "")</f>
        <v>-9.9968796659566025E-2</v>
      </c>
    </row>
    <row r="7" spans="1:9" ht="15.6">
      <c r="A7" s="47" t="str">
        <v>Kaiser - KP3 - SCA Skyport - CN7901 Site</v>
      </c>
      <c r="B7" s="10" t="str">
        <v>CA</v>
      </c>
      <c r="C7" s="11">
        <f>SUM(Oct!C7, Nov!C7, Dec!C7)</f>
        <v>150568.45877999999</v>
      </c>
      <c r="D7" s="16">
        <f>SUM(Oct!D7, Nov!D7, Dec!D7)</f>
        <v>160826.49599999998</v>
      </c>
      <c r="E7" s="16">
        <f t="shared" si="0"/>
        <v>-10258.037219999998</v>
      </c>
      <c r="F7" s="17">
        <f t="shared" si="1"/>
        <v>-6.3783253848918031E-2</v>
      </c>
      <c r="G7" s="16">
        <f>SUM(Oct!G7,Nov!G7,Dec!G7)</f>
        <v>165605.84999999998</v>
      </c>
      <c r="H7" s="18">
        <f>SUM(Oct!H7, Nov!H7, Dec!H7)</f>
        <v>-15037.391219999998</v>
      </c>
      <c r="I7" s="17">
        <f t="shared" si="2"/>
        <v>-9.080229484646829E-2</v>
      </c>
    </row>
    <row r="8" spans="1:9" ht="15.6">
      <c r="A8" s="46" t="str">
        <v>Irwindale - 12761 Schabarum Ave</v>
      </c>
      <c r="B8" s="9" t="str">
        <v>CA</v>
      </c>
      <c r="C8" s="22">
        <f>SUM(Oct!C8, Nov!C8, Dec!C8)</f>
        <v>41713.319999999905</v>
      </c>
      <c r="D8" s="12">
        <f>SUM(Oct!D8, Nov!D8, Dec!D8)</f>
        <v>35216.138999999996</v>
      </c>
      <c r="E8" s="12">
        <f t="shared" si="0"/>
        <v>6497.1809999999095</v>
      </c>
      <c r="F8" s="13">
        <f t="shared" si="1"/>
        <v>0.18449441604032488</v>
      </c>
      <c r="G8" s="14">
        <f>SUM(Oct!G8,Nov!G8,Dec!G8)</f>
        <v>56170.32</v>
      </c>
      <c r="H8" s="14">
        <f>SUM(Oct!H8,Nov!H8,Dec!H8)</f>
        <v>-14457.000000000098</v>
      </c>
      <c r="I8" s="15">
        <f t="shared" si="2"/>
        <v>-0.2573779177330679</v>
      </c>
    </row>
    <row r="9" spans="1:9" ht="15.6">
      <c r="A9" s="47" t="str">
        <v>Santa Rosa - 2240 Mercury Way</v>
      </c>
      <c r="B9" s="10" t="str">
        <v>CA</v>
      </c>
      <c r="C9" s="11">
        <f>SUM(Oct!C9, Nov!C9, Dec!C9)</f>
        <v>104875.05420328109</v>
      </c>
      <c r="D9" s="16">
        <f>SUM(Oct!D9, Nov!D9, Dec!D9)</f>
        <v>118023.027</v>
      </c>
      <c r="E9" s="16">
        <f t="shared" si="0"/>
        <v>-13147.97279671891</v>
      </c>
      <c r="F9" s="17">
        <f t="shared" si="1"/>
        <v>-0.1114017588848904</v>
      </c>
      <c r="G9" s="16">
        <f>SUM(Oct!G9,Nov!G9,Dec!G9)</f>
        <v>145072</v>
      </c>
      <c r="H9" s="18">
        <f>SUM(Oct!H9,Nov!H9,Dec!H9)</f>
        <v>-40196.945796718901</v>
      </c>
      <c r="I9" s="17">
        <f t="shared" si="2"/>
        <v>-0.27708272993216404</v>
      </c>
    </row>
    <row r="10" spans="1:9" ht="15.6">
      <c r="A10" s="46" t="str">
        <v>Dublin - 3100 Dublin Blvd</v>
      </c>
      <c r="B10" s="9" t="str">
        <v>CA</v>
      </c>
      <c r="C10" s="22">
        <f>SUM(Oct!C10, Nov!C10, Dec!C10)</f>
        <v>250818</v>
      </c>
      <c r="D10" s="12">
        <f>SUM(Oct!D10, Nov!D10, Dec!D10)</f>
        <v>222963.53699999998</v>
      </c>
      <c r="E10" s="12">
        <f t="shared" si="0"/>
        <v>27854.463000000018</v>
      </c>
      <c r="F10" s="13">
        <f t="shared" si="1"/>
        <v>0.12492833301258591</v>
      </c>
      <c r="G10" s="14">
        <f>SUM(Oct!G10,Nov!G10,Dec!G10)</f>
        <v>274325.386</v>
      </c>
      <c r="H10" s="14">
        <f>SUM(Oct!H10,Nov!H10,Dec!H10)</f>
        <v>-23507.385999999999</v>
      </c>
      <c r="I10" s="15">
        <f t="shared" si="2"/>
        <v>-8.5691617326294392E-2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J4" activePane="bottomRight" state="frozen"/>
      <selection pane="bottomRight" activeCell="J21" sqref="J21"/>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84" t="str" cm="1">
        <f t="array" ref="A1">portfolio</f>
        <v>KPCA Investment, LLC</v>
      </c>
      <c r="B1" s="84"/>
      <c r="C1" s="84"/>
      <c r="D1" s="85" t="s">
        <v>18</v>
      </c>
      <c r="E1" s="85"/>
      <c r="F1" s="85"/>
      <c r="G1" s="83" t="s">
        <v>19</v>
      </c>
      <c r="H1" s="83"/>
      <c r="I1" s="83"/>
      <c r="J1" s="4"/>
      <c r="K1" s="4"/>
    </row>
    <row r="2" spans="1:13" ht="19.5" customHeight="1">
      <c r="A2" s="86" t="s">
        <v>2</v>
      </c>
      <c r="B2" s="86"/>
      <c r="C2" s="5">
        <f>SUM(C4:C79)</f>
        <v>0</v>
      </c>
      <c r="D2" s="5">
        <f>SUM(D4:D79)</f>
        <v>0</v>
      </c>
      <c r="E2" s="5">
        <f>C2-D2</f>
        <v>0</v>
      </c>
      <c r="F2" s="6">
        <f>IFERROR(E2/D2, 0)</f>
        <v>0</v>
      </c>
      <c r="G2" s="5">
        <f>SUM(G4:G79)</f>
        <v>0</v>
      </c>
      <c r="H2" s="7">
        <f>C2-G2</f>
        <v>0</v>
      </c>
      <c r="I2" s="6">
        <f>IFERROR(H2/G2, 0)</f>
        <v>0</v>
      </c>
      <c r="J2" s="24"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15.6">
      <c r="A4" s="57"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58"/>
      <c r="K4" s="59"/>
      <c r="L4" s="63"/>
      <c r="M4" s="63"/>
    </row>
    <row r="5" spans="1:13" ht="79.5" customHeight="1">
      <c r="A5" s="50" t="str">
        <v>Murrieta - 28150 Keller Rd</v>
      </c>
      <c r="B5" s="29" t="str">
        <v>CA</v>
      </c>
      <c r="C5" s="16"/>
      <c r="D5" s="16"/>
      <c r="E5" s="16" t="str">
        <f t="shared" ref="E5:E10" si="0">IF(AND(ISNUMBER(C5),ISNUMBER(D5)), C5-D5, "")</f>
        <v/>
      </c>
      <c r="F5" s="64" t="str">
        <f t="shared" ref="F5:F10" si="1">IFERROR(E5/D5, "")</f>
        <v/>
      </c>
      <c r="G5" s="18"/>
      <c r="H5" s="18" t="str">
        <f t="shared" ref="H5:H6" si="2">IF(AND(ISNUMBER(C5),ISNUMBER(G5)), C5-G5, "")</f>
        <v/>
      </c>
      <c r="I5" s="17" t="str">
        <f>IFERROR(H5/G5, "")</f>
        <v/>
      </c>
      <c r="J5" s="52"/>
      <c r="K5" s="60"/>
      <c r="L5" s="63"/>
    </row>
    <row r="6" spans="1:13" ht="15.6">
      <c r="A6" s="51" t="str">
        <v>La Habra - 601 E Imperial Way</v>
      </c>
      <c r="B6" s="27" t="str">
        <v>CA</v>
      </c>
      <c r="C6" s="22"/>
      <c r="D6" s="12"/>
      <c r="E6" s="12" t="str">
        <f t="shared" si="0"/>
        <v/>
      </c>
      <c r="F6" s="13" t="str">
        <f t="shared" si="1"/>
        <v/>
      </c>
      <c r="G6" s="14"/>
      <c r="H6" s="14" t="str">
        <f t="shared" si="2"/>
        <v/>
      </c>
      <c r="I6" s="15" t="str">
        <f t="shared" ref="I6:I10" si="3">IFERROR(H6/G6, "")</f>
        <v/>
      </c>
      <c r="J6" s="39"/>
      <c r="K6" s="59"/>
      <c r="L6" s="63"/>
    </row>
    <row r="7" spans="1:13" ht="15.6">
      <c r="A7" s="50" t="str">
        <v>Kaiser - KP3 - SCA Skyport - CN7901 Site</v>
      </c>
      <c r="B7" s="29" t="str">
        <v>CA</v>
      </c>
      <c r="C7" s="16"/>
      <c r="D7" s="16"/>
      <c r="E7" s="16" t="str">
        <f t="shared" si="0"/>
        <v/>
      </c>
      <c r="F7" s="16" t="str">
        <f t="shared" si="1"/>
        <v/>
      </c>
      <c r="G7" s="18"/>
      <c r="H7" s="18" t="str">
        <f t="shared" ref="H7:H10" si="4">IF(AND(ISNUMBER(C7),ISNUMBER(G7)), C7-G7, "")</f>
        <v/>
      </c>
      <c r="I7" s="17" t="str">
        <f t="shared" si="3"/>
        <v/>
      </c>
      <c r="J7" s="40"/>
      <c r="K7" s="40"/>
    </row>
    <row r="8" spans="1:13" ht="15.6">
      <c r="A8" s="51" t="str">
        <v>Irwindale - 12761 Schabarum Ave</v>
      </c>
      <c r="B8" s="27" t="str">
        <v>CA</v>
      </c>
      <c r="C8" s="22"/>
      <c r="D8" s="12"/>
      <c r="E8" s="12" t="str">
        <f t="shared" si="0"/>
        <v/>
      </c>
      <c r="F8" s="43" t="str">
        <f t="shared" si="1"/>
        <v/>
      </c>
      <c r="G8" s="14"/>
      <c r="H8" s="14" t="str">
        <f t="shared" si="4"/>
        <v/>
      </c>
      <c r="I8" s="15" t="str">
        <f t="shared" si="3"/>
        <v/>
      </c>
      <c r="J8" s="39"/>
      <c r="K8" s="59"/>
      <c r="L8" s="62"/>
      <c r="M8" s="62"/>
    </row>
    <row r="9" spans="1:13" ht="15.6">
      <c r="A9" s="50" t="str">
        <v>Santa Rosa - 2240 Mercury Way</v>
      </c>
      <c r="B9" s="29" t="str">
        <v>CA</v>
      </c>
      <c r="C9" s="16"/>
      <c r="D9" s="16"/>
      <c r="E9" s="16" t="str">
        <f t="shared" si="0"/>
        <v/>
      </c>
      <c r="F9" s="64" t="str">
        <f t="shared" si="1"/>
        <v/>
      </c>
      <c r="G9" s="18"/>
      <c r="H9" s="18" t="str">
        <f t="shared" si="4"/>
        <v/>
      </c>
      <c r="I9" s="17" t="str">
        <f t="shared" si="3"/>
        <v/>
      </c>
      <c r="J9" s="40"/>
      <c r="K9" s="61"/>
      <c r="L9" s="62"/>
    </row>
    <row r="10" spans="1:13" ht="15.6">
      <c r="A10" s="51" t="str">
        <v>Dublin - 3100 Dublin Blvd</v>
      </c>
      <c r="B10" s="27" t="str">
        <v>CA</v>
      </c>
      <c r="C10" s="22"/>
      <c r="D10" s="12"/>
      <c r="E10" s="12" t="str">
        <f t="shared" si="0"/>
        <v/>
      </c>
      <c r="F10" s="43" t="str">
        <f t="shared" si="1"/>
        <v/>
      </c>
      <c r="G10" s="14"/>
      <c r="H10" s="14" t="str">
        <f t="shared" si="4"/>
        <v/>
      </c>
      <c r="I10" s="15" t="str">
        <f t="shared" si="3"/>
        <v/>
      </c>
      <c r="J10" s="39"/>
      <c r="K10" s="59"/>
      <c r="L10" s="62"/>
      <c r="M10" s="62"/>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9" priority="12" stopIfTrue="1" operator="lessThanOrEqual">
      <formula>-0.1</formula>
    </cfRule>
    <cfRule type="expression" dxfId="48" priority="13">
      <formula>AND(ISNUMBER(F2), F2&gt;=0.1)</formula>
    </cfRule>
  </conditionalFormatting>
  <conditionalFormatting sqref="F4">
    <cfRule type="cellIs" dxfId="47" priority="3" stopIfTrue="1" operator="lessThanOrEqual">
      <formula>-0.1</formula>
    </cfRule>
    <cfRule type="expression" dxfId="46" priority="4">
      <formula>AND(ISNUMBER(F4), F4&gt;=0.1)</formula>
    </cfRule>
  </conditionalFormatting>
  <conditionalFormatting sqref="F6">
    <cfRule type="cellIs" dxfId="45" priority="1" stopIfTrue="1" operator="lessThanOrEqual">
      <formula>-0.1</formula>
    </cfRule>
    <cfRule type="expression" dxfId="44" priority="2">
      <formula>AND(ISNUMBER(F6), F6&gt;=0.1)</formula>
    </cfRule>
  </conditionalFormatting>
  <conditionalFormatting sqref="F11:F79">
    <cfRule type="cellIs" dxfId="43" priority="5" stopIfTrue="1" operator="lessThanOrEqual">
      <formula>-0.1</formula>
    </cfRule>
    <cfRule type="expression" dxfId="42" priority="6">
      <formula>AND(ISNUMBER(F11), F11&gt;=0.1)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4" t="str" cm="1">
        <f t="array" ref="A1">portfolio</f>
        <v>KPCA Investment, LLC</v>
      </c>
      <c r="B1" s="84"/>
      <c r="C1" s="84"/>
      <c r="D1" s="85" t="s">
        <v>22</v>
      </c>
      <c r="E1" s="85"/>
      <c r="F1" s="85"/>
      <c r="G1" s="83" t="s">
        <v>23</v>
      </c>
      <c r="H1" s="83"/>
      <c r="I1" s="83"/>
      <c r="J1" s="4"/>
      <c r="K1" s="4"/>
    </row>
    <row r="2" spans="1:14" ht="19.5" customHeight="1">
      <c r="A2" s="86" t="s">
        <v>2</v>
      </c>
      <c r="B2" s="86"/>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Murrieta - 28150 Keller Rd</v>
      </c>
      <c r="B5" s="29" t="str">
        <v>CA</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La Habra - 601 E Imperial Way</v>
      </c>
      <c r="B6" s="27" t="str">
        <v>CA</v>
      </c>
      <c r="C6" s="22"/>
      <c r="D6" s="12"/>
      <c r="E6" s="12" t="str">
        <f t="shared" si="0"/>
        <v/>
      </c>
      <c r="F6" s="13" t="str">
        <f t="shared" si="1"/>
        <v/>
      </c>
      <c r="G6" s="14"/>
      <c r="H6" s="14" t="str">
        <f t="shared" si="2"/>
        <v/>
      </c>
      <c r="I6" s="15" t="str">
        <f t="shared" ref="I6:I10" si="3">IFERROR(H6/G6, "")</f>
        <v/>
      </c>
      <c r="J6" s="39"/>
      <c r="K6" s="59"/>
      <c r="L6" s="66"/>
    </row>
    <row r="7" spans="1:14" ht="15.6">
      <c r="A7" s="28" t="str">
        <v>Kaiser - KP3 - SCA Skyport - CN7901 Site</v>
      </c>
      <c r="B7" s="29" t="str">
        <v>CA</v>
      </c>
      <c r="C7" s="11"/>
      <c r="D7" s="16"/>
      <c r="E7" s="16" t="str">
        <f t="shared" si="0"/>
        <v/>
      </c>
      <c r="F7" s="17" t="str">
        <f t="shared" si="1"/>
        <v/>
      </c>
      <c r="G7" s="18"/>
      <c r="H7" s="18" t="str">
        <f t="shared" si="2"/>
        <v/>
      </c>
      <c r="I7" s="17" t="str">
        <f t="shared" si="3"/>
        <v/>
      </c>
      <c r="J7" s="40"/>
      <c r="K7" s="41"/>
    </row>
    <row r="8" spans="1:14" ht="97.5" customHeight="1">
      <c r="A8" s="26" t="str">
        <v>Irwindale - 12761 Schabarum Ave</v>
      </c>
      <c r="B8" s="27" t="str">
        <v>CA</v>
      </c>
      <c r="C8" s="22"/>
      <c r="D8" s="12"/>
      <c r="E8" s="12" t="str">
        <f t="shared" si="0"/>
        <v/>
      </c>
      <c r="F8" s="13" t="str">
        <f t="shared" si="1"/>
        <v/>
      </c>
      <c r="G8" s="14"/>
      <c r="H8" s="14" t="str">
        <f t="shared" si="2"/>
        <v/>
      </c>
      <c r="I8" s="15" t="str">
        <f t="shared" si="3"/>
        <v/>
      </c>
      <c r="J8" s="39"/>
      <c r="K8" s="59"/>
      <c r="L8" s="66"/>
      <c r="M8" s="66"/>
    </row>
    <row r="9" spans="1:14" ht="98.25" customHeight="1">
      <c r="A9" s="28" t="str">
        <v>Santa Rosa - 2240 Mercury Way</v>
      </c>
      <c r="B9" s="29" t="str">
        <v>CA</v>
      </c>
      <c r="C9" s="11"/>
      <c r="D9" s="16"/>
      <c r="E9" s="16" t="str">
        <f t="shared" si="0"/>
        <v/>
      </c>
      <c r="F9" s="17" t="str">
        <f t="shared" si="1"/>
        <v/>
      </c>
      <c r="G9" s="18"/>
      <c r="H9" s="18" t="str">
        <f t="shared" si="2"/>
        <v/>
      </c>
      <c r="I9" s="17" t="str">
        <f t="shared" si="3"/>
        <v/>
      </c>
      <c r="J9" s="40"/>
      <c r="K9" s="60"/>
      <c r="L9" s="66"/>
      <c r="M9" s="66"/>
    </row>
    <row r="10" spans="1:14" ht="97.5" customHeight="1">
      <c r="A10" s="26" t="str">
        <v>Dublin - 3100 Dublin Blvd</v>
      </c>
      <c r="B10" s="27" t="str">
        <v>CA</v>
      </c>
      <c r="C10" s="22"/>
      <c r="D10" s="12"/>
      <c r="E10" s="12" t="str">
        <f t="shared" si="0"/>
        <v/>
      </c>
      <c r="F10" s="13" t="str">
        <f t="shared" si="1"/>
        <v/>
      </c>
      <c r="G10" s="14"/>
      <c r="H10" s="14" t="str">
        <f t="shared" si="2"/>
        <v/>
      </c>
      <c r="I10" s="15" t="str">
        <f t="shared" si="3"/>
        <v/>
      </c>
      <c r="J10" s="39"/>
      <c r="K10" s="59"/>
      <c r="L10" s="66"/>
      <c r="M10" s="66"/>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41" priority="11" stopIfTrue="1" operator="lessThanOrEqual">
      <formula>-0.1</formula>
    </cfRule>
    <cfRule type="expression" dxfId="40" priority="12">
      <formula>AND(ISNUMBER(F2), F2&gt;=0.1)</formula>
    </cfRule>
  </conditionalFormatting>
  <conditionalFormatting sqref="F4:F80 I4:I80">
    <cfRule type="cellIs" dxfId="39" priority="1" stopIfTrue="1" operator="lessThanOrEqual">
      <formula>-0.1</formula>
    </cfRule>
    <cfRule type="expression" dxfId="38"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4" t="str" cm="1">
        <f t="array" ref="A1">portfolio</f>
        <v>KPCA Investment, LLC</v>
      </c>
      <c r="B1" s="84"/>
      <c r="C1" s="84"/>
      <c r="D1" s="85" t="s">
        <v>24</v>
      </c>
      <c r="E1" s="85"/>
      <c r="F1" s="85"/>
      <c r="G1" s="83" t="s">
        <v>25</v>
      </c>
      <c r="H1" s="83"/>
      <c r="I1" s="83"/>
      <c r="J1" s="4"/>
      <c r="K1" s="4"/>
    </row>
    <row r="2" spans="1:17" ht="19.5" customHeight="1">
      <c r="A2" s="86" t="s">
        <v>2</v>
      </c>
      <c r="B2" s="86"/>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0">Sites[Site]</f>
        <v>Chino - 3750-3770 Grand Ave</v>
      </c>
      <c r="B4" s="27" t="str" cm="1">
        <f t="array" ref="B4:B10">Sites[State]</f>
        <v>CA</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Murrieta - 28150 Keller Rd</v>
      </c>
      <c r="B5" s="29" t="str">
        <v>CA</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61"/>
      <c r="L5" s="66"/>
      <c r="M5" s="66"/>
      <c r="N5" s="66"/>
    </row>
    <row r="6" spans="1:17" ht="98.25" customHeight="1">
      <c r="A6" s="26" t="str">
        <v>La Habra - 601 E Imperial Way</v>
      </c>
      <c r="B6" s="27" t="str">
        <v>CA</v>
      </c>
      <c r="C6" s="22"/>
      <c r="D6" s="12"/>
      <c r="E6" s="12" t="str">
        <f t="shared" si="0"/>
        <v/>
      </c>
      <c r="F6" s="13" t="str">
        <f t="shared" ref="F6:F10" si="3">IFERROR(E6/D6, "")</f>
        <v/>
      </c>
      <c r="G6" s="14"/>
      <c r="H6" s="14" t="str">
        <f t="shared" si="1"/>
        <v/>
      </c>
      <c r="I6" s="15" t="str">
        <f t="shared" si="2"/>
        <v/>
      </c>
      <c r="J6" s="39"/>
      <c r="K6" s="59"/>
      <c r="L6" s="62"/>
      <c r="M6" s="69"/>
      <c r="N6" s="69"/>
      <c r="O6" s="69"/>
      <c r="P6" s="69"/>
      <c r="Q6" s="69"/>
    </row>
    <row r="7" spans="1:17" ht="78.75" customHeight="1">
      <c r="A7" s="28" t="str">
        <v>Kaiser - KP3 - SCA Skyport - CN7901 Site</v>
      </c>
      <c r="B7" s="29" t="str">
        <v>CA</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Irwindale - 12761 Schabarum Ave</v>
      </c>
      <c r="B8" s="27" t="str">
        <v>CA</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Santa Rosa - 2240 Mercury Way</v>
      </c>
      <c r="B9" s="29" t="str">
        <v>CA</v>
      </c>
      <c r="C9" s="11"/>
      <c r="D9" s="16"/>
      <c r="E9" s="16" t="str">
        <f t="shared" si="0"/>
        <v/>
      </c>
      <c r="F9" s="17" t="str">
        <f t="shared" si="3"/>
        <v/>
      </c>
      <c r="G9" s="18"/>
      <c r="H9" s="18" t="str">
        <f t="shared" si="1"/>
        <v/>
      </c>
      <c r="I9" s="17" t="str">
        <f t="shared" si="2"/>
        <v/>
      </c>
      <c r="J9" s="52"/>
      <c r="K9" s="61"/>
      <c r="L9" s="62"/>
      <c r="M9" s="62"/>
      <c r="N9" s="62"/>
      <c r="O9" s="62"/>
      <c r="P9" s="62"/>
      <c r="Q9" s="69"/>
    </row>
    <row r="10" spans="1:17" ht="142.5" customHeight="1">
      <c r="A10" s="26" t="str">
        <v>Dublin - 3100 Dublin Blvd</v>
      </c>
      <c r="B10" s="27" t="str">
        <v>CA</v>
      </c>
      <c r="C10" s="22"/>
      <c r="D10" s="12"/>
      <c r="E10" s="12" t="str">
        <f t="shared" si="0"/>
        <v/>
      </c>
      <c r="F10" s="13" t="str">
        <f t="shared" si="3"/>
        <v/>
      </c>
      <c r="G10" s="68"/>
      <c r="H10" s="14" t="str">
        <f t="shared" si="1"/>
        <v/>
      </c>
      <c r="I10" s="15" t="str">
        <f t="shared" si="2"/>
        <v/>
      </c>
      <c r="J10" s="39"/>
      <c r="K10" s="59"/>
      <c r="L10" s="62"/>
      <c r="M10" s="62"/>
      <c r="N10" s="62"/>
      <c r="O10" s="69"/>
      <c r="P10" s="69"/>
      <c r="Q10" s="69"/>
    </row>
    <row r="11" spans="1:17" ht="14.45">
      <c r="A11" s="19"/>
      <c r="B11" s="31"/>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7" priority="7" stopIfTrue="1" operator="lessThanOrEqual">
      <formula>-0.1</formula>
    </cfRule>
    <cfRule type="expression" dxfId="36" priority="8">
      <formula>AND(ISNUMBER(F2), F2&gt;=0.1)</formula>
    </cfRule>
  </conditionalFormatting>
  <conditionalFormatting sqref="F4:F80 I4:I80">
    <cfRule type="cellIs" dxfId="35" priority="1" stopIfTrue="1" operator="lessThanOrEqual">
      <formula>-0.1</formula>
    </cfRule>
    <cfRule type="expression" dxfId="34"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22"/>
  <sheetViews>
    <sheetView zoomScale="80" zoomScaleNormal="80" workbookViewId="0">
      <pane xSplit="2" ySplit="3" topLeftCell="D4" activePane="bottomRight" state="frozen"/>
      <selection pane="bottomRight" activeCell="J10" sqref="J10"/>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3" max="13" width="9.85546875" bestFit="1" customWidth="1"/>
  </cols>
  <sheetData>
    <row r="1" spans="1:14" ht="19.5" customHeight="1">
      <c r="A1" s="84" t="str" cm="1">
        <f t="array" ref="A1">portfolio</f>
        <v>KPCA Investment, LLC</v>
      </c>
      <c r="B1" s="84"/>
      <c r="C1" s="84"/>
      <c r="D1" s="85" t="s">
        <v>26</v>
      </c>
      <c r="E1" s="85"/>
      <c r="F1" s="85"/>
      <c r="G1" s="83" t="s">
        <v>27</v>
      </c>
      <c r="H1" s="83"/>
      <c r="I1" s="83"/>
      <c r="J1" s="4"/>
      <c r="K1" s="4"/>
    </row>
    <row r="2" spans="1:14" ht="19.5" customHeight="1">
      <c r="A2" s="86" t="s">
        <v>2</v>
      </c>
      <c r="B2" s="86"/>
      <c r="C2" s="5">
        <f>SUM(C4:C80)</f>
        <v>498732.25972323952</v>
      </c>
      <c r="D2" s="5">
        <f>SUM(D4:D80)</f>
        <v>522792</v>
      </c>
      <c r="E2" s="5">
        <f>C2-D2</f>
        <v>-24059.74027676048</v>
      </c>
      <c r="F2" s="6">
        <f>IFERROR(E2/D2, 0)</f>
        <v>-4.6021630546681049E-2</v>
      </c>
      <c r="G2" s="5">
        <f>SUM(G4:G80)</f>
        <v>576056.17999999993</v>
      </c>
      <c r="H2" s="7">
        <f>C2-G2</f>
        <v>-77323.920276760415</v>
      </c>
      <c r="I2" s="6">
        <f>IFERROR(H2/G2, 0)</f>
        <v>-0.13422982507845055</v>
      </c>
      <c r="J2" s="24" t="str">
        <f ca="1">IF(AND(TODAY()&gt;DATE(2024, 4, 1), COUNTA(Sites[Site])&lt;&gt;(COUNT(C:C)-1)), "Some sites are missing actual data; if new sites were added, make sure they are aligned correctly (including prior months!)", "")</f>
        <v/>
      </c>
      <c r="K2" s="4"/>
    </row>
    <row r="3" spans="1:14" ht="14.25" customHeight="1">
      <c r="A3" s="8" t="s">
        <v>3</v>
      </c>
      <c r="B3" s="8" t="s">
        <v>4</v>
      </c>
      <c r="C3" s="53" t="s">
        <v>5</v>
      </c>
      <c r="D3" s="33" t="s">
        <v>6</v>
      </c>
      <c r="E3" s="33" t="s">
        <v>7</v>
      </c>
      <c r="F3" s="34" t="s">
        <v>8</v>
      </c>
      <c r="G3" s="35" t="s">
        <v>9</v>
      </c>
      <c r="H3" s="36" t="s">
        <v>7</v>
      </c>
      <c r="I3" s="37" t="s">
        <v>8</v>
      </c>
      <c r="J3" s="23" t="s">
        <v>20</v>
      </c>
      <c r="K3" s="23" t="s">
        <v>21</v>
      </c>
    </row>
    <row r="4" spans="1:14" ht="28.9">
      <c r="A4" s="65" t="str" cm="1">
        <f t="array" ref="A4:A10">Sites[Site]</f>
        <v>Chino - 3750-3770 Grand Ave</v>
      </c>
      <c r="B4" s="27" t="str" cm="1">
        <f t="array" ref="B4:B10">Sites[State]</f>
        <v>CA</v>
      </c>
      <c r="C4" s="22">
        <v>31190.763307372999</v>
      </c>
      <c r="D4" s="12">
        <v>26716.3</v>
      </c>
      <c r="E4" s="12">
        <f>IF(AND(ISNUMBER(C4),ISNUMBER(D4)), C4-D4, "")</f>
        <v>4474.4633073730001</v>
      </c>
      <c r="F4" s="13">
        <f>IFERROR(E4/D4, "")</f>
        <v>0.16748065066543646</v>
      </c>
      <c r="G4" s="14">
        <v>40273</v>
      </c>
      <c r="H4" s="14">
        <f>IF(AND(ISNUMBER(C4),ISNUMBER(G4)), C4-G4, "")</f>
        <v>-9082.2366926270006</v>
      </c>
      <c r="I4" s="15">
        <f>IFERROR(H4/G4, "")</f>
        <v>-0.22551676539187546</v>
      </c>
      <c r="J4" s="70" t="s">
        <v>28</v>
      </c>
      <c r="K4" s="72" t="s">
        <v>29</v>
      </c>
      <c r="L4" s="69"/>
      <c r="M4" s="69"/>
      <c r="N4" s="69"/>
    </row>
    <row r="5" spans="1:14" ht="26.45">
      <c r="A5" s="28" t="str">
        <v>Murrieta - 28150 Keller Rd</v>
      </c>
      <c r="B5" s="29" t="str">
        <v>CA</v>
      </c>
      <c r="C5" s="11">
        <v>87140</v>
      </c>
      <c r="D5" s="16">
        <v>90233.95</v>
      </c>
      <c r="E5" s="16">
        <f t="shared" ref="E5:E10" si="0">IF(AND(ISNUMBER(C5),ISNUMBER(D5)), C5-D5, "")</f>
        <v>-3093.9499999999971</v>
      </c>
      <c r="F5" s="17">
        <f>IFERROR(E5/D5, "")</f>
        <v>-3.4288092231360784E-2</v>
      </c>
      <c r="G5" s="18">
        <v>100122.5</v>
      </c>
      <c r="H5" s="18">
        <f t="shared" ref="H5:H10" si="1">IF(AND(ISNUMBER(C5),ISNUMBER(G5)), C5-G5, "")</f>
        <v>-12982.5</v>
      </c>
      <c r="I5" s="17">
        <f t="shared" ref="I5:I10" si="2">IFERROR(H5/G5, "")</f>
        <v>-0.12966615895527978</v>
      </c>
      <c r="J5" s="71" t="s">
        <v>30</v>
      </c>
      <c r="K5" s="52"/>
      <c r="L5" s="69"/>
      <c r="M5" s="69"/>
      <c r="N5" s="69"/>
    </row>
    <row r="6" spans="1:14" ht="30.75" customHeight="1">
      <c r="A6" s="26" t="str">
        <v>La Habra - 601 E Imperial Way</v>
      </c>
      <c r="B6" s="27" t="str">
        <v>CA</v>
      </c>
      <c r="C6" s="22">
        <v>17571.880000000099</v>
      </c>
      <c r="D6" s="12">
        <v>14932.1</v>
      </c>
      <c r="E6" s="12">
        <f t="shared" si="0"/>
        <v>2639.7800000000989</v>
      </c>
      <c r="F6" s="13">
        <f t="shared" ref="F6:F10" si="3">IFERROR(E6/D6, "")</f>
        <v>0.17678558273786665</v>
      </c>
      <c r="G6" s="14">
        <v>20943.080000000002</v>
      </c>
      <c r="H6" s="14">
        <f t="shared" si="1"/>
        <v>-3371.1999999999025</v>
      </c>
      <c r="I6" s="15">
        <f t="shared" si="2"/>
        <v>-0.16096963770371417</v>
      </c>
      <c r="J6" s="70" t="s">
        <v>30</v>
      </c>
      <c r="K6" s="70"/>
      <c r="L6" s="69"/>
      <c r="M6" s="69"/>
      <c r="N6" s="69"/>
    </row>
    <row r="7" spans="1:14" ht="72">
      <c r="A7" s="28" t="str">
        <v>Kaiser - KP3 - SCA Skyport - CN7901 Site</v>
      </c>
      <c r="B7" s="29" t="str">
        <v>CA</v>
      </c>
      <c r="C7" s="11">
        <v>97799.494882624596</v>
      </c>
      <c r="D7" s="16">
        <v>102139.7</v>
      </c>
      <c r="E7" s="16">
        <f t="shared" si="0"/>
        <v>-4340.2051173754007</v>
      </c>
      <c r="F7" s="17">
        <f t="shared" si="3"/>
        <v>-4.2492832046455993E-2</v>
      </c>
      <c r="G7" s="18">
        <v>110380.3</v>
      </c>
      <c r="H7" s="18">
        <f t="shared" si="1"/>
        <v>-12580.805117375407</v>
      </c>
      <c r="I7" s="17">
        <f t="shared" si="2"/>
        <v>-0.11397690636259737</v>
      </c>
      <c r="J7" s="52" t="s">
        <v>31</v>
      </c>
      <c r="K7" s="60" t="s">
        <v>32</v>
      </c>
      <c r="L7" s="62" t="s">
        <v>33</v>
      </c>
      <c r="M7" s="62" t="s">
        <v>34</v>
      </c>
    </row>
    <row r="8" spans="1:14" ht="27" customHeight="1">
      <c r="A8" s="26" t="str">
        <v>Irwindale - 12761 Schabarum Ave</v>
      </c>
      <c r="B8" s="27" t="str">
        <v>CA</v>
      </c>
      <c r="C8" s="22">
        <v>25974.619999999901</v>
      </c>
      <c r="D8" s="12">
        <v>20129.849999999999</v>
      </c>
      <c r="E8" s="12">
        <f t="shared" si="0"/>
        <v>5844.7699999999022</v>
      </c>
      <c r="F8" s="13">
        <f t="shared" si="3"/>
        <v>0.29035338067595651</v>
      </c>
      <c r="G8" s="14">
        <v>29983.3</v>
      </c>
      <c r="H8" s="14">
        <f t="shared" si="1"/>
        <v>-4008.6800000000985</v>
      </c>
      <c r="I8" s="15">
        <f t="shared" si="2"/>
        <v>-0.13369709138087196</v>
      </c>
      <c r="J8" s="70" t="s">
        <v>30</v>
      </c>
      <c r="K8" s="70"/>
      <c r="L8" s="69"/>
      <c r="M8" s="69"/>
      <c r="N8" s="69"/>
    </row>
    <row r="9" spans="1:14" ht="86.45">
      <c r="A9" s="28" t="str">
        <v>Santa Rosa - 2240 Mercury Way</v>
      </c>
      <c r="B9" s="29" t="str">
        <v>CA</v>
      </c>
      <c r="C9" s="11">
        <v>78610.001533241899</v>
      </c>
      <c r="D9" s="16">
        <v>86048.7</v>
      </c>
      <c r="E9" s="16">
        <f t="shared" si="0"/>
        <v>-7438.6984667580982</v>
      </c>
      <c r="F9" s="17">
        <f t="shared" si="3"/>
        <v>-8.6447540366770201E-2</v>
      </c>
      <c r="G9" s="18">
        <v>98920</v>
      </c>
      <c r="H9" s="18">
        <f t="shared" si="1"/>
        <v>-20309.998466758101</v>
      </c>
      <c r="I9" s="17">
        <f t="shared" si="2"/>
        <v>-0.20531741272501114</v>
      </c>
      <c r="J9" s="52" t="s">
        <v>35</v>
      </c>
      <c r="K9" s="60" t="s">
        <v>36</v>
      </c>
      <c r="L9" s="62" t="s">
        <v>37</v>
      </c>
      <c r="M9" s="62" t="s">
        <v>38</v>
      </c>
      <c r="N9" s="69"/>
    </row>
    <row r="10" spans="1:14" ht="48.75" customHeight="1">
      <c r="A10" s="26" t="str">
        <v>Dublin - 3100 Dublin Blvd</v>
      </c>
      <c r="B10" s="27" t="str">
        <v>CA</v>
      </c>
      <c r="C10" s="22">
        <v>160445.5</v>
      </c>
      <c r="D10" s="12">
        <v>182591.4</v>
      </c>
      <c r="E10" s="12">
        <f t="shared" si="0"/>
        <v>-22145.899999999994</v>
      </c>
      <c r="F10" s="13">
        <f t="shared" si="3"/>
        <v>-0.12128665424549018</v>
      </c>
      <c r="G10" s="14">
        <v>175434</v>
      </c>
      <c r="H10" s="14">
        <f t="shared" si="1"/>
        <v>-14988.5</v>
      </c>
      <c r="I10" s="15">
        <f t="shared" si="2"/>
        <v>-8.5436688441237155E-2</v>
      </c>
      <c r="J10" s="70" t="s">
        <v>39</v>
      </c>
      <c r="K10" s="72" t="s">
        <v>40</v>
      </c>
      <c r="L10" s="69"/>
      <c r="M10" s="69"/>
      <c r="N10" s="69"/>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t="s">
        <v>41</v>
      </c>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3" priority="5" stopIfTrue="1" operator="lessThanOrEqual">
      <formula>-0.1</formula>
    </cfRule>
    <cfRule type="expression" dxfId="32" priority="6">
      <formula>AND(ISNUMBER(F2), F2&gt;=0.1)</formula>
    </cfRule>
  </conditionalFormatting>
  <conditionalFormatting sqref="F4:F80 I4:I80">
    <cfRule type="cellIs" dxfId="31" priority="1" stopIfTrue="1" operator="lessThanOrEqual">
      <formula>-0.1</formula>
    </cfRule>
    <cfRule type="expression" dxfId="30" priority="2">
      <formula>AND(ISNUMBER(F4), F4&gt;=0.1)</formula>
    </cfRule>
  </conditionalFormatting>
  <hyperlinks>
    <hyperlink ref="K4" r:id="rId1" display="https://us3.assetplanner.com/service_request?ID=098881" xr:uid="{F657DF87-F196-4FA5-B507-AD369CD385A8}"/>
    <hyperlink ref="K7" r:id="rId2" display="https://us3.assetplanner.com/service_request?ID=098879" xr:uid="{DBAF9218-6FFE-42FA-B2A4-67471416AAFA}"/>
    <hyperlink ref="L7" r:id="rId3" display="https://us3.assetplanner.com/service_request?ID=099137" xr:uid="{4624C45C-CE0D-4641-BF60-D6BB46816015}"/>
    <hyperlink ref="M7" r:id="rId4" display="https://us3.assetplanner.com/service_request?ID=100773" xr:uid="{402213B3-3BD3-49E1-B179-8AA2738AF075}"/>
    <hyperlink ref="K9" r:id="rId5" display="https://us3.assetplanner.com/service_request?ID=099120" xr:uid="{C9B2FB03-0166-419C-916C-083D6F4E2EDE}"/>
    <hyperlink ref="L9" r:id="rId6" display="https://us3.assetplanner.com/service_request?ID=099410" xr:uid="{C3701840-2BFE-4E11-992B-62B98BF4FC78}"/>
    <hyperlink ref="M9" r:id="rId7" display="https://us3.assetplanner.com/service_request?ID=099504" xr:uid="{1499B655-23F9-4DB8-AEEB-8BB46A2BD1FB}"/>
    <hyperlink ref="K10" r:id="rId8" display="https://us3.assetplanner.com/service_request?ID=100567" xr:uid="{37F2FF22-AFFB-4C99-8D09-67F35D7267A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22"/>
  <sheetViews>
    <sheetView zoomScale="70" zoomScaleNormal="70" workbookViewId="0">
      <pane xSplit="2" ySplit="3" topLeftCell="J10" activePane="bottomRight" state="frozen"/>
      <selection pane="bottomRight" activeCell="J10" sqref="J10"/>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4" t="str" cm="1">
        <f t="array" ref="A1">portfolio</f>
        <v>KPCA Investment, LLC</v>
      </c>
      <c r="B1" s="84"/>
      <c r="C1" s="84"/>
      <c r="D1" s="85" t="s">
        <v>42</v>
      </c>
      <c r="E1" s="85"/>
      <c r="F1" s="85"/>
      <c r="G1" s="83" t="s">
        <v>43</v>
      </c>
      <c r="H1" s="83"/>
      <c r="I1" s="83"/>
      <c r="J1" s="4"/>
      <c r="K1" s="4"/>
    </row>
    <row r="2" spans="1:14" ht="19.5" customHeight="1">
      <c r="A2" s="86" t="s">
        <v>2</v>
      </c>
      <c r="B2" s="86"/>
      <c r="C2" s="5">
        <f>SUM(C4:C80)</f>
        <v>624624.67191951408</v>
      </c>
      <c r="D2" s="5">
        <f>SUM(D4:D80)</f>
        <v>660255.13</v>
      </c>
      <c r="E2" s="5">
        <f>C2-D2</f>
        <v>-35630.458080485929</v>
      </c>
      <c r="F2" s="6">
        <f>IFERROR(E2/D2, 0)</f>
        <v>-5.3964681926039607E-2</v>
      </c>
      <c r="G2" s="5">
        <f>SUM(G4:G80)</f>
        <v>673935.73</v>
      </c>
      <c r="H2" s="7">
        <f>C2-G2</f>
        <v>-49311.058080485906</v>
      </c>
      <c r="I2" s="6">
        <f>IFERROR(H2/G2, 0)</f>
        <v>-7.3168784329754863E-2</v>
      </c>
      <c r="J2" s="24" t="str">
        <f ca="1">IF(AND(TODAY()&gt;DATE(2024, 5,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86.45">
      <c r="A4" s="30" t="str" cm="1">
        <f t="array" ref="A4:A10">Sites[Site]</f>
        <v>Chino - 3750-3770 Grand Ave</v>
      </c>
      <c r="B4" s="27" t="str" cm="1">
        <f t="array" ref="B4:B10">Sites[State]</f>
        <v>CA</v>
      </c>
      <c r="C4" s="22">
        <v>34717.2293524942</v>
      </c>
      <c r="D4" s="12">
        <v>30123.32</v>
      </c>
      <c r="E4" s="12">
        <f>IF(AND(ISNUMBER(C4),ISNUMBER(D4)), C4-D4, "")</f>
        <v>4593.9093524942</v>
      </c>
      <c r="F4" s="13">
        <f>IFERROR(E4/D4, "")</f>
        <v>0.15250342102046521</v>
      </c>
      <c r="G4" s="14">
        <v>45926</v>
      </c>
      <c r="H4" s="14">
        <f>IF(AND(ISNUMBER(C4),ISNUMBER(G4)), C4-G4, "")</f>
        <v>-11208.7706475058</v>
      </c>
      <c r="I4" s="15">
        <f>IFERROR(H4/G4, "")</f>
        <v>-0.2440615478706136</v>
      </c>
      <c r="J4" s="39" t="s">
        <v>44</v>
      </c>
      <c r="K4" s="72" t="s">
        <v>45</v>
      </c>
      <c r="L4" s="62" t="s">
        <v>46</v>
      </c>
      <c r="M4" s="69"/>
      <c r="N4" s="69"/>
    </row>
    <row r="5" spans="1:14" ht="86.45">
      <c r="A5" s="28" t="str">
        <v>Murrieta - 28150 Keller Rd</v>
      </c>
      <c r="B5" s="29" t="str">
        <v>CA</v>
      </c>
      <c r="C5" s="11">
        <v>100090</v>
      </c>
      <c r="D5" s="16">
        <v>104378.3</v>
      </c>
      <c r="E5" s="16">
        <f t="shared" ref="E5:E10" si="0">IF(AND(ISNUMBER(C5),ISNUMBER(D5)), C5-D5, "")</f>
        <v>-4288.3000000000029</v>
      </c>
      <c r="F5" s="17">
        <f>IFERROR(E5/D5, "")</f>
        <v>-4.1084210032161887E-2</v>
      </c>
      <c r="G5" s="18">
        <v>118934.8</v>
      </c>
      <c r="H5" s="18">
        <f t="shared" ref="H5:H10" si="1">IF(AND(ISNUMBER(C5),ISNUMBER(G5)), C5-G5, "")</f>
        <v>-18844.800000000003</v>
      </c>
      <c r="I5" s="17">
        <f t="shared" ref="I5:I10" si="2">IFERROR(H5/G5, "")</f>
        <v>-0.15844647655690347</v>
      </c>
      <c r="J5" s="40" t="s">
        <v>47</v>
      </c>
      <c r="K5" s="52" t="s">
        <v>48</v>
      </c>
      <c r="L5" s="69"/>
      <c r="M5" s="69"/>
      <c r="N5" s="69"/>
    </row>
    <row r="6" spans="1:14" ht="47.25" customHeight="1">
      <c r="A6" s="26" t="str">
        <v>La Habra - 601 E Imperial Way</v>
      </c>
      <c r="B6" s="27" t="str">
        <v>CA</v>
      </c>
      <c r="C6" s="22">
        <v>19128.619999999901</v>
      </c>
      <c r="D6" s="12">
        <v>16120.48</v>
      </c>
      <c r="E6" s="12">
        <f t="shared" si="0"/>
        <v>3008.1399999999012</v>
      </c>
      <c r="F6" s="13">
        <f t="shared" ref="F6:F10" si="3">IFERROR(E6/D6, "")</f>
        <v>0.18660362470595795</v>
      </c>
      <c r="G6" s="14">
        <v>23850.17</v>
      </c>
      <c r="H6" s="14">
        <f t="shared" si="1"/>
        <v>-4721.5500000000975</v>
      </c>
      <c r="I6" s="15">
        <f t="shared" si="2"/>
        <v>-0.19796714237257421</v>
      </c>
      <c r="J6" s="39" t="s">
        <v>49</v>
      </c>
      <c r="K6" s="72" t="s">
        <v>50</v>
      </c>
      <c r="L6" s="69"/>
      <c r="M6" s="69"/>
      <c r="N6" s="69"/>
    </row>
    <row r="7" spans="1:14" ht="15.6">
      <c r="A7" s="28" t="str">
        <v>Kaiser - KP3 - SCA Skyport - CN7901 Site</v>
      </c>
      <c r="B7" s="29" t="str">
        <v>CA</v>
      </c>
      <c r="C7" s="11">
        <v>128682.05119949899</v>
      </c>
      <c r="D7" s="16">
        <v>133149.1</v>
      </c>
      <c r="E7" s="16">
        <f t="shared" si="0"/>
        <v>-4467.048800501012</v>
      </c>
      <c r="F7" s="17">
        <f t="shared" si="3"/>
        <v>-3.354922264214337E-2</v>
      </c>
      <c r="G7" s="18">
        <v>129050.2</v>
      </c>
      <c r="H7" s="18">
        <f t="shared" si="1"/>
        <v>-368.14880050100328</v>
      </c>
      <c r="I7" s="17">
        <f t="shared" si="2"/>
        <v>-2.8527565280875447E-3</v>
      </c>
      <c r="J7" s="40"/>
      <c r="K7" s="73"/>
      <c r="L7" s="69"/>
      <c r="M7" s="69"/>
      <c r="N7" s="69"/>
    </row>
    <row r="8" spans="1:14" ht="57.6">
      <c r="A8" s="26" t="str">
        <v>Irwindale - 12761 Schabarum Ave</v>
      </c>
      <c r="B8" s="27" t="str">
        <v>CA</v>
      </c>
      <c r="C8" s="22">
        <v>27504.75</v>
      </c>
      <c r="D8" s="12">
        <v>21662.73</v>
      </c>
      <c r="E8" s="12">
        <f t="shared" si="0"/>
        <v>5842.02</v>
      </c>
      <c r="F8" s="13">
        <f t="shared" si="3"/>
        <v>0.26968069121481919</v>
      </c>
      <c r="G8" s="14">
        <v>32927.56</v>
      </c>
      <c r="H8" s="14">
        <f t="shared" si="1"/>
        <v>-5422.8099999999977</v>
      </c>
      <c r="I8" s="15">
        <f t="shared" si="2"/>
        <v>-0.16468909327019671</v>
      </c>
      <c r="J8" s="39" t="s">
        <v>51</v>
      </c>
      <c r="K8" s="70" t="s">
        <v>52</v>
      </c>
      <c r="L8" s="69"/>
      <c r="M8" s="69"/>
      <c r="N8" s="69"/>
    </row>
    <row r="9" spans="1:14" ht="15.6">
      <c r="A9" s="28" t="str">
        <v>Santa Rosa - 2240 Mercury Way</v>
      </c>
      <c r="B9" s="29" t="str">
        <v>CA</v>
      </c>
      <c r="C9" s="11">
        <v>110658.021367521</v>
      </c>
      <c r="D9" s="16">
        <v>118241.5</v>
      </c>
      <c r="E9" s="16">
        <f t="shared" si="0"/>
        <v>-7583.4786324790039</v>
      </c>
      <c r="F9" s="17">
        <f t="shared" si="3"/>
        <v>-6.4135507689592947E-2</v>
      </c>
      <c r="G9" s="18">
        <v>110018</v>
      </c>
      <c r="H9" s="18">
        <f t="shared" si="1"/>
        <v>640.02136752099614</v>
      </c>
      <c r="I9" s="17">
        <f t="shared" si="2"/>
        <v>5.817424126242943E-3</v>
      </c>
      <c r="J9" s="40"/>
      <c r="K9" s="73"/>
      <c r="L9" s="69"/>
      <c r="M9" s="69"/>
      <c r="N9" s="69"/>
    </row>
    <row r="10" spans="1:14" ht="72">
      <c r="A10" s="26" t="str">
        <v>Dublin - 3100 Dublin Blvd</v>
      </c>
      <c r="B10" s="27" t="str">
        <v>CA</v>
      </c>
      <c r="C10" s="22">
        <v>203844</v>
      </c>
      <c r="D10" s="12">
        <v>236579.7</v>
      </c>
      <c r="E10" s="12">
        <f t="shared" si="0"/>
        <v>-32735.700000000012</v>
      </c>
      <c r="F10" s="13">
        <f t="shared" si="3"/>
        <v>-0.13837070551699918</v>
      </c>
      <c r="G10" s="14">
        <v>213229</v>
      </c>
      <c r="H10" s="14">
        <f t="shared" si="1"/>
        <v>-9385</v>
      </c>
      <c r="I10" s="15">
        <f t="shared" si="2"/>
        <v>-4.4013712956492784E-2</v>
      </c>
      <c r="J10" s="39" t="s">
        <v>53</v>
      </c>
      <c r="K10" s="72" t="s">
        <v>54</v>
      </c>
      <c r="L10" s="62" t="s">
        <v>55</v>
      </c>
      <c r="M10" s="69"/>
      <c r="N10" s="69"/>
    </row>
    <row r="11" spans="1:14" ht="14.45">
      <c r="A11" s="19"/>
      <c r="B11" s="31"/>
      <c r="C11" s="19"/>
      <c r="D11" s="19"/>
      <c r="E11" s="19"/>
      <c r="F11" s="19"/>
      <c r="G11" s="19"/>
      <c r="H11" s="19"/>
      <c r="I11" s="19"/>
      <c r="J11" s="19"/>
      <c r="K11" s="74"/>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9" priority="5" stopIfTrue="1" operator="lessThanOrEqual">
      <formula>-0.1</formula>
    </cfRule>
    <cfRule type="expression" dxfId="28" priority="6">
      <formula>AND(ISNUMBER(F2), F2&gt;=0.1)</formula>
    </cfRule>
  </conditionalFormatting>
  <conditionalFormatting sqref="F4:F80 I4:I80">
    <cfRule type="cellIs" dxfId="27" priority="1" stopIfTrue="1" operator="lessThanOrEqual">
      <formula>-0.1</formula>
    </cfRule>
    <cfRule type="expression" dxfId="26" priority="2">
      <formula>AND(ISNUMBER(F4), F4&gt;=0.1)</formula>
    </cfRule>
  </conditionalFormatting>
  <hyperlinks>
    <hyperlink ref="K4" r:id="rId1" display="https://us3.assetplanner.com/service_request?ID=098881" xr:uid="{A4F010A6-3B40-40C6-B746-8D9AE3868AE0}"/>
    <hyperlink ref="L4" r:id="rId2" display="https://us3.assetplanner.com/service_request?ID=101671" xr:uid="{EE2CDAC7-6914-412A-9397-99EF711E9342}"/>
    <hyperlink ref="K6" r:id="rId3" display="https://us3.assetplanner.com/service_request?ID=101329" xr:uid="{2D878FCE-5F18-4AB6-844E-FF92A7EDCD4A}"/>
    <hyperlink ref="K10" r:id="rId4" display="https://us3.assetplanner.com/service_request?ID=100962" xr:uid="{49286BDE-70A3-42C8-9D7E-73A8D61E52E5}"/>
    <hyperlink ref="L10" r:id="rId5" display="https://us3.assetplanner.com/service_request?ID=100567" xr:uid="{F3D9F451-4E92-4F72-A956-BE785EC34CFC}"/>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22"/>
  <sheetViews>
    <sheetView zoomScale="70" zoomScaleNormal="70" workbookViewId="0">
      <pane xSplit="2" ySplit="3" topLeftCell="C4" activePane="bottomRight" state="frozen"/>
      <selection pane="bottomRight" activeCell="J29" sqref="J29"/>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84" t="str" cm="1">
        <f t="array" ref="A1">portfolio</f>
        <v>KPCA Investment, LLC</v>
      </c>
      <c r="B1" s="84"/>
      <c r="C1" s="84"/>
      <c r="D1" s="85" t="s">
        <v>56</v>
      </c>
      <c r="E1" s="85"/>
      <c r="F1" s="85"/>
      <c r="G1" s="83" t="s">
        <v>57</v>
      </c>
      <c r="H1" s="83"/>
      <c r="I1" s="83"/>
      <c r="J1" s="4"/>
      <c r="K1" s="4"/>
    </row>
    <row r="2" spans="1:12" ht="19.5" customHeight="1">
      <c r="A2" s="86" t="s">
        <v>2</v>
      </c>
      <c r="B2" s="86"/>
      <c r="C2" s="5">
        <f>SUM(C4:C80)</f>
        <v>648401.1268871933</v>
      </c>
      <c r="D2" s="5">
        <f>SUM(D4:D80)</f>
        <v>651929.14500000002</v>
      </c>
      <c r="E2" s="5">
        <f>C2-D2</f>
        <v>-3528.0181128067197</v>
      </c>
      <c r="F2" s="6">
        <f>IFERROR(E2/D2, 0)</f>
        <v>-5.4116588280567202E-3</v>
      </c>
      <c r="G2" s="5">
        <f>SUM(G4:G80)</f>
        <v>689585.11899999995</v>
      </c>
      <c r="H2" s="7">
        <f>C2-G2</f>
        <v>-41183.992112806649</v>
      </c>
      <c r="I2" s="6">
        <f>IFERROR(H2/G2, 0)</f>
        <v>-5.972285505889325E-2</v>
      </c>
      <c r="J2" s="24" t="str">
        <f ca="1">IF(AND(TODAY()&gt;DATE(2024, 6, 1), COUNTA(Sites[Site])&lt;&gt;(COUNT(C:C)-1)), "Some sites are missing actual data; if new sites were added, make sure they are aligned correctly (including prior months!)", "")</f>
        <v/>
      </c>
      <c r="K2" s="4"/>
    </row>
    <row r="3" spans="1:12" ht="14.25" customHeight="1">
      <c r="A3" s="8" t="s">
        <v>3</v>
      </c>
      <c r="B3" s="8" t="s">
        <v>4</v>
      </c>
      <c r="C3" s="21" t="s">
        <v>5</v>
      </c>
      <c r="D3" s="33" t="s">
        <v>6</v>
      </c>
      <c r="E3" s="33" t="s">
        <v>7</v>
      </c>
      <c r="F3" s="34" t="s">
        <v>8</v>
      </c>
      <c r="G3" s="35" t="s">
        <v>9</v>
      </c>
      <c r="H3" s="36" t="s">
        <v>7</v>
      </c>
      <c r="I3" s="37" t="s">
        <v>8</v>
      </c>
      <c r="J3" s="23" t="s">
        <v>20</v>
      </c>
      <c r="K3" s="23" t="s">
        <v>21</v>
      </c>
    </row>
    <row r="4" spans="1:12" ht="100.9">
      <c r="A4" s="65" t="str" cm="1">
        <f t="array" ref="A4:A10">Sites[Site]</f>
        <v>Chino - 3750-3770 Grand Ave</v>
      </c>
      <c r="B4" s="27" t="str" cm="1">
        <f t="array" ref="B4:B10">Sites[State]</f>
        <v>CA</v>
      </c>
      <c r="C4" s="22">
        <v>39240.944690265198</v>
      </c>
      <c r="D4" s="12">
        <v>31865.03</v>
      </c>
      <c r="E4" s="12">
        <f>IF(AND(ISNUMBER(C4),ISNUMBER(D4)), C4-D4, "")</f>
        <v>7375.9146902651992</v>
      </c>
      <c r="F4" s="13">
        <f>IFERROR(E4/D4, "")</f>
        <v>0.23147364651045987</v>
      </c>
      <c r="G4" s="14">
        <v>46451</v>
      </c>
      <c r="H4" s="14">
        <f>IF(AND(ISNUMBER(C4),ISNUMBER(G4)), C4-G4, "")</f>
        <v>-7210.055309734802</v>
      </c>
      <c r="I4" s="15">
        <f>IFERROR(H4/G4, "")</f>
        <v>-0.15521851649555019</v>
      </c>
      <c r="J4" s="39" t="s">
        <v>58</v>
      </c>
      <c r="K4" s="59" t="s">
        <v>59</v>
      </c>
      <c r="L4" s="62" t="s">
        <v>60</v>
      </c>
    </row>
    <row r="5" spans="1:12" ht="15.6">
      <c r="A5" s="28" t="str">
        <v>Murrieta - 28150 Keller Rd</v>
      </c>
      <c r="B5" s="29" t="str">
        <v>CA</v>
      </c>
      <c r="C5" s="11">
        <v>114430</v>
      </c>
      <c r="D5" s="16">
        <v>107363</v>
      </c>
      <c r="E5" s="16">
        <f t="shared" ref="E5:E10" si="0">IF(AND(ISNUMBER(C5),ISNUMBER(D5)), C5-D5, "")</f>
        <v>7067</v>
      </c>
      <c r="F5" s="17">
        <f>IFERROR(E5/D5, "")</f>
        <v>6.5823421476672597E-2</v>
      </c>
      <c r="G5" s="18">
        <v>119932.1</v>
      </c>
      <c r="H5" s="18">
        <f t="shared" ref="H5:H10" si="1">IF(AND(ISNUMBER(C5),ISNUMBER(G5)), C5-G5, "")</f>
        <v>-5502.1000000000058</v>
      </c>
      <c r="I5" s="17">
        <f t="shared" ref="I5:I10" si="2">IFERROR(H5/G5, "")</f>
        <v>-4.5876791951445908E-2</v>
      </c>
      <c r="J5" s="40"/>
      <c r="K5" s="40"/>
    </row>
    <row r="6" spans="1:12" ht="15.6">
      <c r="A6" s="26" t="str">
        <v>La Habra - 601 E Imperial Way</v>
      </c>
      <c r="B6" s="27" t="str">
        <v>CA</v>
      </c>
      <c r="C6" s="22">
        <v>23520.130000000099</v>
      </c>
      <c r="D6" s="12">
        <v>17005.169999999998</v>
      </c>
      <c r="E6" s="12">
        <f t="shared" si="0"/>
        <v>6514.960000000101</v>
      </c>
      <c r="F6" s="13">
        <f t="shared" ref="F6:F10" si="3">IFERROR(E6/D6, "")</f>
        <v>0.38311642870962781</v>
      </c>
      <c r="G6" s="14">
        <v>22551.32</v>
      </c>
      <c r="H6" s="14">
        <f t="shared" si="1"/>
        <v>968.81000000009954</v>
      </c>
      <c r="I6" s="15">
        <f t="shared" si="2"/>
        <v>4.2960234700234821E-2</v>
      </c>
      <c r="J6" s="39" t="s">
        <v>61</v>
      </c>
      <c r="K6" s="59" t="s">
        <v>62</v>
      </c>
    </row>
    <row r="7" spans="1:12" ht="15.6">
      <c r="A7" s="28" t="str">
        <v>Kaiser - KP3 - SCA Skyport - CN7901 Site</v>
      </c>
      <c r="B7" s="29" t="str">
        <v>CA</v>
      </c>
      <c r="C7" s="11">
        <v>130530.038</v>
      </c>
      <c r="D7" s="16">
        <v>128905.29</v>
      </c>
      <c r="E7" s="16">
        <f t="shared" si="0"/>
        <v>1624.7480000000069</v>
      </c>
      <c r="F7" s="17">
        <f t="shared" si="3"/>
        <v>1.2604199563881412E-2</v>
      </c>
      <c r="G7" s="18">
        <v>133450.08900000001</v>
      </c>
      <c r="H7" s="18">
        <f t="shared" si="1"/>
        <v>-2920.0510000000068</v>
      </c>
      <c r="I7" s="17">
        <f t="shared" si="2"/>
        <v>-2.1881221825187442E-2</v>
      </c>
      <c r="J7" s="40"/>
      <c r="K7" s="41"/>
    </row>
    <row r="8" spans="1:12" ht="35.1" customHeight="1">
      <c r="A8" s="26" t="str">
        <v>Irwindale - 12761 Schabarum Ave</v>
      </c>
      <c r="B8" s="27" t="str">
        <v>CA</v>
      </c>
      <c r="C8" s="22">
        <v>30614.5</v>
      </c>
      <c r="D8" s="12">
        <v>23907.599999999999</v>
      </c>
      <c r="E8" s="12">
        <f t="shared" si="0"/>
        <v>6706.9000000000015</v>
      </c>
      <c r="F8" s="13">
        <f t="shared" si="3"/>
        <v>0.28053422342686013</v>
      </c>
      <c r="G8" s="14">
        <v>32560.11</v>
      </c>
      <c r="H8" s="14">
        <f t="shared" si="1"/>
        <v>-1945.6100000000006</v>
      </c>
      <c r="I8" s="15">
        <f t="shared" si="2"/>
        <v>-5.9754405006617009E-2</v>
      </c>
      <c r="J8" s="39" t="s">
        <v>63</v>
      </c>
      <c r="K8" s="59" t="s">
        <v>64</v>
      </c>
    </row>
    <row r="9" spans="1:12" ht="15.6">
      <c r="A9" s="28" t="str">
        <v>Santa Rosa - 2240 Mercury Way</v>
      </c>
      <c r="B9" s="29" t="str">
        <v>CA</v>
      </c>
      <c r="C9" s="11">
        <v>105453.01419692799</v>
      </c>
      <c r="D9" s="16">
        <v>111066.5</v>
      </c>
      <c r="E9" s="16">
        <f t="shared" si="0"/>
        <v>-5613.4858030720061</v>
      </c>
      <c r="F9" s="17">
        <f t="shared" si="3"/>
        <v>-5.0541664706027528E-2</v>
      </c>
      <c r="G9" s="18">
        <v>115486</v>
      </c>
      <c r="H9" s="18">
        <f t="shared" si="1"/>
        <v>-10032.985803072006</v>
      </c>
      <c r="I9" s="17">
        <f t="shared" si="2"/>
        <v>-8.6876208398178181E-2</v>
      </c>
      <c r="J9" s="40"/>
      <c r="K9" s="41"/>
    </row>
    <row r="10" spans="1:12" ht="66.75" customHeight="1">
      <c r="A10" s="26" t="str">
        <v>Dublin - 3100 Dublin Blvd</v>
      </c>
      <c r="B10" s="27" t="str">
        <v>CA</v>
      </c>
      <c r="C10" s="22">
        <v>204612.5</v>
      </c>
      <c r="D10" s="12">
        <v>231816.55499999999</v>
      </c>
      <c r="E10" s="12">
        <f t="shared" si="0"/>
        <v>-27204.054999999993</v>
      </c>
      <c r="F10" s="13">
        <f t="shared" si="3"/>
        <v>-0.11735164902265066</v>
      </c>
      <c r="G10" s="14">
        <v>219154.5</v>
      </c>
      <c r="H10" s="14">
        <f t="shared" si="1"/>
        <v>-14542</v>
      </c>
      <c r="I10" s="15">
        <f t="shared" si="2"/>
        <v>-6.6355014384828964E-2</v>
      </c>
      <c r="J10" s="39" t="s">
        <v>65</v>
      </c>
      <c r="K10" s="59" t="s">
        <v>66</v>
      </c>
    </row>
    <row r="11" spans="1:12" ht="14.45">
      <c r="A11" s="19"/>
      <c r="B11" s="31"/>
      <c r="C11" s="19"/>
      <c r="D11" s="19"/>
      <c r="E11" s="19"/>
      <c r="F11" s="19"/>
      <c r="G11" s="19"/>
      <c r="H11" s="19"/>
      <c r="I11" s="19"/>
      <c r="J11" s="19"/>
      <c r="K11" s="19"/>
    </row>
    <row r="12" spans="1:12" ht="14.45">
      <c r="A12" s="19"/>
      <c r="B12" s="31"/>
      <c r="C12" s="19"/>
      <c r="D12" s="19"/>
      <c r="E12" s="19"/>
      <c r="F12" s="19"/>
      <c r="G12" s="19"/>
      <c r="H12" s="19"/>
      <c r="I12" s="19"/>
      <c r="J12" s="19"/>
      <c r="K12" s="19"/>
    </row>
    <row r="13" spans="1:12" ht="14.45">
      <c r="A13" s="19"/>
      <c r="B13" s="31"/>
      <c r="C13" s="19"/>
      <c r="D13" s="19"/>
      <c r="E13" s="19"/>
      <c r="F13" s="20"/>
      <c r="G13" s="19"/>
      <c r="H13" s="19"/>
      <c r="I13" s="20"/>
      <c r="J13" s="19"/>
      <c r="K13" s="19"/>
    </row>
    <row r="14" spans="1:12" ht="14.45">
      <c r="A14" s="19"/>
      <c r="B14" s="31"/>
      <c r="C14" s="19"/>
      <c r="D14" s="19"/>
      <c r="E14" s="19"/>
      <c r="F14" s="20"/>
      <c r="G14" s="19"/>
      <c r="H14" s="19"/>
      <c r="I14" s="20"/>
      <c r="J14" s="19"/>
      <c r="K14" s="19"/>
    </row>
    <row r="15" spans="1:12" ht="14.45">
      <c r="A15" s="19"/>
      <c r="B15" s="31"/>
      <c r="C15" s="19"/>
      <c r="D15" s="19"/>
      <c r="E15" s="19"/>
      <c r="F15" s="20"/>
      <c r="G15" s="19"/>
      <c r="H15" s="19"/>
      <c r="I15" s="20"/>
      <c r="J15" s="19"/>
      <c r="K15" s="19"/>
    </row>
    <row r="16" spans="1:12"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5" priority="5" stopIfTrue="1" operator="lessThanOrEqual">
      <formula>-0.1</formula>
    </cfRule>
    <cfRule type="expression" dxfId="24" priority="6">
      <formula>AND(ISNUMBER(F2), F2&gt;=0.1)</formula>
    </cfRule>
  </conditionalFormatting>
  <conditionalFormatting sqref="F4:F80 I4:I80">
    <cfRule type="cellIs" dxfId="23" priority="1" stopIfTrue="1" operator="lessThanOrEqual">
      <formula>-0.1</formula>
    </cfRule>
    <cfRule type="expression" dxfId="22" priority="2">
      <formula>AND(ISNUMBER(F4), F4&gt;=0.1)</formula>
    </cfRule>
  </conditionalFormatting>
  <hyperlinks>
    <hyperlink ref="K4" r:id="rId1" display="https://us3.assetplanner.com/service_request?ID=098881" xr:uid="{BCFC08C6-4453-455B-9334-435D44E5E50C}"/>
    <hyperlink ref="L4" r:id="rId2" display="https://us3.assetplanner.com/service_request?ID=103049" xr:uid="{F3DABFE9-80CE-4554-8947-DFA55671EE41}"/>
    <hyperlink ref="K6" r:id="rId3" display="https://us3.assetplanner.com/service_request?ID=101329" xr:uid="{44A68645-BF34-4F88-A662-C12ED67E46D9}"/>
    <hyperlink ref="K8" r:id="rId4" display="https://us3.assetplanner.com/service_request?ID=103317" xr:uid="{D7788FD0-75D6-491C-8AAC-DAA7C1D5AF6E}"/>
    <hyperlink ref="K10" r:id="rId5" display="https://us3.assetplanner.com/service_request?ID=100567" xr:uid="{89555318-5BD0-4F03-ADAA-07E912C2ED44}"/>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N322"/>
  <sheetViews>
    <sheetView zoomScale="70" zoomScaleNormal="70" workbookViewId="0">
      <pane xSplit="2" ySplit="3" topLeftCell="C4" activePane="bottomRight" state="frozen"/>
      <selection pane="bottomRight" activeCell="J10" sqref="J10"/>
      <selection pane="bottomLeft" activeCell="J21" sqref="J21"/>
      <selection pane="topRight" activeCell="J21" sqref="J21"/>
    </sheetView>
  </sheetViews>
  <sheetFormatPr defaultRowHeight="13.9"/>
  <cols>
    <col min="1" max="1" width="43"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s>
  <sheetData>
    <row r="1" spans="1:14" ht="19.5" customHeight="1">
      <c r="A1" s="84" t="str" cm="1">
        <f t="array" ref="A1">portfolio</f>
        <v>KPCA Investment, LLC</v>
      </c>
      <c r="B1" s="84"/>
      <c r="C1" s="84"/>
      <c r="D1" s="85" t="s">
        <v>67</v>
      </c>
      <c r="E1" s="85"/>
      <c r="F1" s="85"/>
      <c r="G1" s="83" t="s">
        <v>68</v>
      </c>
      <c r="H1" s="83"/>
      <c r="I1" s="83"/>
      <c r="J1" s="4"/>
      <c r="K1" s="4"/>
    </row>
    <row r="2" spans="1:14" ht="19.5" customHeight="1">
      <c r="A2" s="86" t="s">
        <v>2</v>
      </c>
      <c r="B2" s="86"/>
      <c r="C2" s="5">
        <f>SUM(C4:C80)</f>
        <v>623987.73699999996</v>
      </c>
      <c r="D2" s="5">
        <f>SUM(D4:D80)</f>
        <v>663153.10899999994</v>
      </c>
      <c r="E2" s="5">
        <f>C2-D2</f>
        <v>-39165.371999999974</v>
      </c>
      <c r="F2" s="6">
        <f>IFERROR(E2/D2, 0)</f>
        <v>-5.905932049245656E-2</v>
      </c>
      <c r="G2" s="5">
        <f>SUM(G4:G80)</f>
        <v>718627</v>
      </c>
      <c r="H2" s="7">
        <f>C2-G2</f>
        <v>-94639.263000000035</v>
      </c>
      <c r="I2" s="6">
        <f>IFERROR(H2/G2, 0)</f>
        <v>-0.13169455503341795</v>
      </c>
      <c r="J2" s="24" t="str">
        <f ca="1">IF(AND(TODAY()&gt;DATE(2024, 7,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72">
      <c r="A4" s="30" t="str" cm="1">
        <f t="array" ref="A4:A10">Sites[Site]</f>
        <v>Chino - 3750-3770 Grand Ave</v>
      </c>
      <c r="B4" s="27" t="str" cm="1">
        <f t="array" ref="B4:B10">Sites[State]</f>
        <v>CA</v>
      </c>
      <c r="C4" s="22">
        <v>38033.493999999999</v>
      </c>
      <c r="D4" s="12">
        <v>34071.269999999997</v>
      </c>
      <c r="E4" s="12">
        <f t="shared" ref="E4:E7" si="0">IF(AND(ISNUMBER(C4),ISNUMBER(D4)), C4-D4, "")</f>
        <v>3962.224000000002</v>
      </c>
      <c r="F4" s="13">
        <f>IFERROR(E4/D4, "")</f>
        <v>0.11629223096174585</v>
      </c>
      <c r="G4" s="14">
        <v>48864</v>
      </c>
      <c r="H4" s="14">
        <f>IF(AND(ISNUMBER(C4),ISNUMBER(G4)), C4-G4, "")</f>
        <v>-10830.506000000001</v>
      </c>
      <c r="I4" s="15">
        <f>IFERROR(H4/G4, "")</f>
        <v>-0.2216459151931893</v>
      </c>
      <c r="J4" s="39" t="s">
        <v>69</v>
      </c>
      <c r="K4" s="59" t="s">
        <v>70</v>
      </c>
      <c r="L4" s="62" t="s">
        <v>71</v>
      </c>
      <c r="M4" s="69"/>
      <c r="N4" s="69"/>
    </row>
    <row r="5" spans="1:14" ht="15.6">
      <c r="A5" s="28" t="str">
        <v>Murrieta - 28150 Keller Rd</v>
      </c>
      <c r="B5" s="29" t="str">
        <v>CA</v>
      </c>
      <c r="C5" s="11">
        <v>115259</v>
      </c>
      <c r="D5" s="16">
        <v>114481.1</v>
      </c>
      <c r="E5" s="16">
        <f t="shared" si="0"/>
        <v>777.89999999999418</v>
      </c>
      <c r="F5" s="17">
        <f>IFERROR(E5/D5, "")</f>
        <v>6.7950080843038208E-3</v>
      </c>
      <c r="G5" s="18">
        <v>126237</v>
      </c>
      <c r="H5" s="18">
        <f t="shared" ref="H5:H6" si="1">IF(AND(ISNUMBER(C5),ISNUMBER(G5)), C5-G5, "")</f>
        <v>-10978</v>
      </c>
      <c r="I5" s="17">
        <f t="shared" ref="I5:I6" si="2">IFERROR(H5/G5, "")</f>
        <v>-8.6963410093712626E-2</v>
      </c>
      <c r="J5" s="40"/>
      <c r="K5" s="40"/>
      <c r="L5" s="69"/>
      <c r="M5" s="69"/>
      <c r="N5" s="69"/>
    </row>
    <row r="6" spans="1:14" ht="15.6">
      <c r="A6" s="26" t="str">
        <v>La Habra - 601 E Imperial Way</v>
      </c>
      <c r="B6" s="27" t="str">
        <v>CA</v>
      </c>
      <c r="C6" s="22">
        <v>24207.37</v>
      </c>
      <c r="D6" s="12">
        <v>18656.803</v>
      </c>
      <c r="E6" s="12">
        <f t="shared" si="0"/>
        <v>5550.5669999999991</v>
      </c>
      <c r="F6" s="13">
        <f t="shared" ref="F6:F10" si="3">IFERROR(E6/D6, "")</f>
        <v>0.29750901052018391</v>
      </c>
      <c r="G6" s="14">
        <v>25624</v>
      </c>
      <c r="H6" s="14">
        <f t="shared" si="1"/>
        <v>-1416.630000000001</v>
      </c>
      <c r="I6" s="15">
        <f t="shared" si="2"/>
        <v>-5.5285279425538597E-2</v>
      </c>
      <c r="J6" s="39"/>
      <c r="K6" s="39"/>
      <c r="L6" s="69"/>
      <c r="M6" s="69"/>
      <c r="N6" s="69"/>
    </row>
    <row r="7" spans="1:14" ht="28.9">
      <c r="A7" s="28" t="str">
        <v>Kaiser - KP3 - SCA Skyport - CN7901 Site</v>
      </c>
      <c r="B7" s="29" t="str">
        <v>CA</v>
      </c>
      <c r="C7" s="11">
        <v>123422.003</v>
      </c>
      <c r="D7" s="16">
        <v>129061.81</v>
      </c>
      <c r="E7" s="16">
        <f t="shared" si="0"/>
        <v>-5639.8070000000007</v>
      </c>
      <c r="F7" s="17">
        <f t="shared" si="3"/>
        <v>-4.369849609268614E-2</v>
      </c>
      <c r="G7" s="18">
        <v>141665</v>
      </c>
      <c r="H7" s="18">
        <f t="shared" ref="H7:H10" si="4">IF(AND(ISNUMBER(C7),ISNUMBER(G7)), C7-G7, "")</f>
        <v>-18242.997000000003</v>
      </c>
      <c r="I7" s="17">
        <f t="shared" ref="I7:I10" si="5">IFERROR(H7/G7, "")</f>
        <v>-0.1287756114777821</v>
      </c>
      <c r="J7" s="40" t="s">
        <v>72</v>
      </c>
      <c r="K7" s="75" t="s">
        <v>73</v>
      </c>
      <c r="L7" s="62" t="s">
        <v>74</v>
      </c>
      <c r="M7" s="69"/>
      <c r="N7" s="69"/>
    </row>
    <row r="8" spans="1:14" ht="15.6">
      <c r="A8" s="26" t="str">
        <v>Irwindale - 12761 Schabarum Ave</v>
      </c>
      <c r="B8" s="27" t="str">
        <v>CA</v>
      </c>
      <c r="C8" s="22">
        <v>31536.37</v>
      </c>
      <c r="D8" s="12">
        <v>25932.523000000001</v>
      </c>
      <c r="E8" s="12">
        <f t="shared" ref="E8:E10" si="6">IF(AND(ISNUMBER(C8),ISNUMBER(D8)), C8-D8, "")</f>
        <v>5603.8469999999979</v>
      </c>
      <c r="F8" s="13">
        <f t="shared" si="3"/>
        <v>0.2160933974684992</v>
      </c>
      <c r="G8" s="14">
        <v>37219</v>
      </c>
      <c r="H8" s="14">
        <f t="shared" si="4"/>
        <v>-5682.630000000001</v>
      </c>
      <c r="I8" s="15">
        <f t="shared" si="5"/>
        <v>-0.15268088879335825</v>
      </c>
      <c r="J8" s="39" t="s">
        <v>75</v>
      </c>
      <c r="K8" s="59" t="s">
        <v>76</v>
      </c>
      <c r="L8" s="69"/>
      <c r="M8" s="69"/>
      <c r="N8" s="69"/>
    </row>
    <row r="9" spans="1:14" ht="15.6">
      <c r="A9" s="28" t="str">
        <v>Santa Rosa - 2240 Mercury Way</v>
      </c>
      <c r="B9" s="29" t="str">
        <v>CA</v>
      </c>
      <c r="C9" s="11">
        <v>97975.5</v>
      </c>
      <c r="D9" s="16">
        <v>110139.48</v>
      </c>
      <c r="E9" s="16">
        <f t="shared" si="6"/>
        <v>-12163.979999999996</v>
      </c>
      <c r="F9" s="17">
        <f t="shared" si="3"/>
        <v>-0.11044159641937656</v>
      </c>
      <c r="G9" s="18">
        <v>117314</v>
      </c>
      <c r="H9" s="18">
        <f t="shared" si="4"/>
        <v>-19338.5</v>
      </c>
      <c r="I9" s="17">
        <f t="shared" si="5"/>
        <v>-0.16484392314642754</v>
      </c>
      <c r="J9" s="40"/>
      <c r="K9" s="41"/>
      <c r="L9" s="69"/>
      <c r="M9" s="69"/>
      <c r="N9" s="69"/>
    </row>
    <row r="10" spans="1:14" ht="60.75" customHeight="1">
      <c r="A10" s="26" t="str">
        <v>Dublin - 3100 Dublin Blvd</v>
      </c>
      <c r="B10" s="27" t="str">
        <v>CA</v>
      </c>
      <c r="C10" s="22">
        <v>193554</v>
      </c>
      <c r="D10" s="12">
        <v>230810.12299999999</v>
      </c>
      <c r="E10" s="12">
        <f t="shared" si="6"/>
        <v>-37256.122999999992</v>
      </c>
      <c r="F10" s="13">
        <f t="shared" si="3"/>
        <v>-0.16141459705387357</v>
      </c>
      <c r="G10" s="14">
        <v>221704</v>
      </c>
      <c r="H10" s="14">
        <f t="shared" si="4"/>
        <v>-28150</v>
      </c>
      <c r="I10" s="15">
        <f t="shared" si="5"/>
        <v>-0.12697109659726483</v>
      </c>
      <c r="J10" s="39" t="s">
        <v>77</v>
      </c>
      <c r="K10" s="59" t="s">
        <v>78</v>
      </c>
      <c r="L10" s="69"/>
      <c r="M10" s="69"/>
      <c r="N10" s="69"/>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21" priority="5" stopIfTrue="1" operator="lessThanOrEqual">
      <formula>-0.1</formula>
    </cfRule>
    <cfRule type="expression" dxfId="20" priority="6">
      <formula>AND(ISNUMBER(F2), F2&gt;=0.1)</formula>
    </cfRule>
  </conditionalFormatting>
  <conditionalFormatting sqref="F4:F80 I4:I80">
    <cfRule type="cellIs" dxfId="19" priority="1" stopIfTrue="1" operator="lessThanOrEqual">
      <formula>-0.1</formula>
    </cfRule>
    <cfRule type="expression" dxfId="18" priority="2">
      <formula>AND(ISNUMBER(F4), F4&gt;=0.1)</formula>
    </cfRule>
  </conditionalFormatting>
  <hyperlinks>
    <hyperlink ref="K4" r:id="rId1" display="https://us3.assetplanner.com/service_request?ID=103049" xr:uid="{EC52D185-A0FE-41CB-ADB9-D69FCEB98F31}"/>
    <hyperlink ref="L4" r:id="rId2" display="https://us3.assetplanner.com/service_request?ID=104160" xr:uid="{B99E32DB-222C-4C2D-8DE8-0DEB52096D41}"/>
    <hyperlink ref="K7" r:id="rId3" display="https://us3.assetplanner.com/service_request?ID=103140" xr:uid="{9484737B-5141-4C10-8B3F-199F30219233}"/>
    <hyperlink ref="L7" r:id="rId4" display="https://us3.assetplanner.com/service_request?ID=104320" xr:uid="{2487084D-4E28-41BB-9C5D-0B4237EEFF63}"/>
    <hyperlink ref="K8" r:id="rId5" display="https://us3.assetplanner.com/service_request?ID=102034" xr:uid="{75A9CA73-52B9-4926-815E-EBDBDADE843D}"/>
    <hyperlink ref="K10" r:id="rId6" display="https://us3.assetplanner.com/service_request?ID=100567" xr:uid="{B3D13C27-3F63-4AD9-893B-67BA4E514D42}"/>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N322"/>
  <sheetViews>
    <sheetView zoomScale="70" zoomScaleNormal="70" workbookViewId="0">
      <pane xSplit="2" ySplit="3" topLeftCell="E4" activePane="bottomRight" state="frozen"/>
      <selection pane="bottomRight" activeCell="I21" sqref="I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4" t="str" cm="1">
        <f t="array" ref="A1">portfolio</f>
        <v>KPCA Investment, LLC</v>
      </c>
      <c r="B1" s="84"/>
      <c r="C1" s="84"/>
      <c r="D1" s="85" t="s">
        <v>79</v>
      </c>
      <c r="E1" s="85"/>
      <c r="F1" s="85"/>
      <c r="G1" s="83" t="s">
        <v>80</v>
      </c>
      <c r="H1" s="83"/>
      <c r="I1" s="83"/>
      <c r="J1" s="4"/>
      <c r="K1" s="4"/>
    </row>
    <row r="2" spans="1:14" ht="19.5" customHeight="1">
      <c r="A2" s="86" t="s">
        <v>2</v>
      </c>
      <c r="B2" s="86"/>
      <c r="C2" s="5">
        <f>SUM(C4:C80)</f>
        <v>548563.97342513804</v>
      </c>
      <c r="D2" s="5">
        <f>SUM(D4:D80)</f>
        <v>603181.84</v>
      </c>
      <c r="E2" s="5">
        <f>C2-D2</f>
        <v>-54617.866574861924</v>
      </c>
      <c r="F2" s="6">
        <f>IFERROR(E2/D2, 0)</f>
        <v>-9.0549587127593104E-2</v>
      </c>
      <c r="G2" s="5">
        <f>SUM(G4:G80)</f>
        <v>654651.87</v>
      </c>
      <c r="H2" s="7">
        <f>C2-G2</f>
        <v>-106087.89657486195</v>
      </c>
      <c r="I2" s="6">
        <f>IFERROR(H2/G2, 0)</f>
        <v>-0.16205238453662701</v>
      </c>
      <c r="J2" s="24" t="str">
        <f ca="1">IF(AND(TODAY()&gt;DATE(2024, 8,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72">
      <c r="A4" s="30" t="str" cm="1">
        <f t="array" ref="A4:A10">Sites[Site]</f>
        <v>Chino - 3750-3770 Grand Ave</v>
      </c>
      <c r="B4" s="27" t="str" cm="1">
        <f t="array" ref="B4:B10">Sites[State]</f>
        <v>CA</v>
      </c>
      <c r="C4" s="22">
        <v>31906.6544807223</v>
      </c>
      <c r="D4" s="12">
        <v>30044.7</v>
      </c>
      <c r="E4" s="12">
        <f>IF(AND(ISNUMBER(C4),ISNUMBER(D4)), C4-D4, "")</f>
        <v>1861.9544807222992</v>
      </c>
      <c r="F4" s="13">
        <f>IFERROR(E4/D4, "")</f>
        <v>6.1972809870702625E-2</v>
      </c>
      <c r="G4" s="14">
        <v>45234</v>
      </c>
      <c r="H4" s="14">
        <f>IF(AND(ISNUMBER(C4),ISNUMBER(G4)), C4-G4, "")</f>
        <v>-13327.3455192777</v>
      </c>
      <c r="I4" s="15">
        <f>IFERROR(H4/G4, "")</f>
        <v>-0.29463115177250959</v>
      </c>
      <c r="J4" s="39" t="s">
        <v>81</v>
      </c>
      <c r="K4" s="59" t="s">
        <v>82</v>
      </c>
      <c r="L4" s="62" t="s">
        <v>71</v>
      </c>
      <c r="M4" s="69"/>
      <c r="N4" s="69"/>
    </row>
    <row r="5" spans="1:14" ht="15.6">
      <c r="A5" s="28" t="str">
        <v>Murrieta - 28150 Keller Rd</v>
      </c>
      <c r="B5" s="29" t="str">
        <v>CA</v>
      </c>
      <c r="C5" s="11">
        <v>95153</v>
      </c>
      <c r="D5" s="16">
        <v>99725.96</v>
      </c>
      <c r="E5" s="16">
        <f t="shared" ref="E5:E10" si="0">IF(AND(ISNUMBER(C5),ISNUMBER(D5)), C5-D5, "")</f>
        <v>-4572.9600000000064</v>
      </c>
      <c r="F5" s="17">
        <f>IFERROR(E5/D5, "")</f>
        <v>-4.5855261759325319E-2</v>
      </c>
      <c r="G5" s="18">
        <v>114410.4</v>
      </c>
      <c r="H5" s="18">
        <f t="shared" ref="H5:H10" si="1">IF(AND(ISNUMBER(C5),ISNUMBER(G5)), C5-G5, "")</f>
        <v>-19257.399999999994</v>
      </c>
      <c r="I5" s="17">
        <f t="shared" ref="I5:I10" si="2">IFERROR(H5/G5, "")</f>
        <v>-0.16831861439169862</v>
      </c>
      <c r="J5" s="40" t="s">
        <v>83</v>
      </c>
      <c r="K5" s="40"/>
      <c r="L5" s="76"/>
      <c r="M5" s="69"/>
      <c r="N5" s="69"/>
    </row>
    <row r="6" spans="1:14" ht="15.6">
      <c r="A6" s="26" t="str">
        <v>La Habra - 601 E Imperial Way</v>
      </c>
      <c r="B6" s="27" t="str">
        <v>CA</v>
      </c>
      <c r="C6" s="22">
        <v>21199.630000000099</v>
      </c>
      <c r="D6" s="12">
        <v>16694.73</v>
      </c>
      <c r="E6" s="12">
        <f t="shared" si="0"/>
        <v>4504.9000000000997</v>
      </c>
      <c r="F6" s="13">
        <f t="shared" ref="F6:F10" si="3">IFERROR(E6/D6, "")</f>
        <v>0.26983964400742627</v>
      </c>
      <c r="G6" s="14">
        <v>26525.81</v>
      </c>
      <c r="H6" s="14">
        <f t="shared" si="1"/>
        <v>-5326.1799999999021</v>
      </c>
      <c r="I6" s="15">
        <f t="shared" si="2"/>
        <v>-0.200792360346391</v>
      </c>
      <c r="J6" s="39" t="s">
        <v>83</v>
      </c>
      <c r="K6" s="39"/>
      <c r="L6" s="69"/>
      <c r="M6" s="69"/>
      <c r="N6" s="69"/>
    </row>
    <row r="7" spans="1:14" ht="28.9">
      <c r="A7" s="28" t="str">
        <v>Kaiser - KP3 - SCA Skyport - CN7901 Site</v>
      </c>
      <c r="B7" s="29" t="str">
        <v>CA</v>
      </c>
      <c r="C7" s="11">
        <v>106893.04376697</v>
      </c>
      <c r="D7" s="16">
        <v>114393.8</v>
      </c>
      <c r="E7" s="16">
        <f t="shared" si="0"/>
        <v>-7500.7562330299988</v>
      </c>
      <c r="F7" s="17">
        <f t="shared" si="3"/>
        <v>-6.5569604585475769E-2</v>
      </c>
      <c r="G7" s="18">
        <v>123121.9</v>
      </c>
      <c r="H7" s="18">
        <f t="shared" si="1"/>
        <v>-16228.85623302999</v>
      </c>
      <c r="I7" s="17">
        <f t="shared" si="2"/>
        <v>-0.13181128810577153</v>
      </c>
      <c r="J7" s="40" t="s">
        <v>72</v>
      </c>
      <c r="K7" s="75" t="s">
        <v>84</v>
      </c>
      <c r="L7" s="62" t="s">
        <v>74</v>
      </c>
      <c r="M7" s="69"/>
      <c r="N7" s="69"/>
    </row>
    <row r="8" spans="1:14" ht="43.15">
      <c r="A8" s="26" t="str">
        <v>Irwindale - 12761 Schabarum Ave</v>
      </c>
      <c r="B8" s="27" t="str">
        <v>CA</v>
      </c>
      <c r="C8" s="22">
        <v>25933.630000000099</v>
      </c>
      <c r="D8" s="12">
        <v>22533.55</v>
      </c>
      <c r="E8" s="12">
        <f t="shared" si="0"/>
        <v>3400.0800000001</v>
      </c>
      <c r="F8" s="13">
        <f t="shared" si="3"/>
        <v>0.15088967339811526</v>
      </c>
      <c r="G8" s="14">
        <v>33846.76</v>
      </c>
      <c r="H8" s="14">
        <f t="shared" si="1"/>
        <v>-7913.1299999999028</v>
      </c>
      <c r="I8" s="15">
        <f t="shared" si="2"/>
        <v>-0.23379283571012122</v>
      </c>
      <c r="J8" s="39" t="s">
        <v>85</v>
      </c>
      <c r="K8" s="59" t="s">
        <v>86</v>
      </c>
      <c r="L8" s="62" t="s">
        <v>87</v>
      </c>
      <c r="M8" s="69"/>
      <c r="N8" s="69"/>
    </row>
    <row r="9" spans="1:14" ht="15.6">
      <c r="A9" s="28" t="str">
        <v>Santa Rosa - 2240 Mercury Way</v>
      </c>
      <c r="B9" s="29" t="str">
        <v>CA</v>
      </c>
      <c r="C9" s="11">
        <v>92708.015177445501</v>
      </c>
      <c r="D9" s="16">
        <v>107429.3</v>
      </c>
      <c r="E9" s="16">
        <f t="shared" si="0"/>
        <v>-14721.284822554502</v>
      </c>
      <c r="F9" s="17">
        <f t="shared" si="3"/>
        <v>-0.13703230703871758</v>
      </c>
      <c r="G9" s="18">
        <v>107538</v>
      </c>
      <c r="H9" s="18">
        <f t="shared" si="1"/>
        <v>-14829.984822554499</v>
      </c>
      <c r="I9" s="17">
        <f t="shared" si="2"/>
        <v>-0.13790459951416709</v>
      </c>
      <c r="J9" s="40"/>
      <c r="K9" s="41"/>
      <c r="L9" s="69"/>
      <c r="M9" s="69"/>
      <c r="N9" s="69"/>
    </row>
    <row r="10" spans="1:14" ht="15.6">
      <c r="A10" s="26" t="str">
        <v>Dublin - 3100 Dublin Blvd</v>
      </c>
      <c r="B10" s="27" t="str">
        <v>CA</v>
      </c>
      <c r="C10" s="22">
        <v>174770</v>
      </c>
      <c r="D10" s="12">
        <v>212359.8</v>
      </c>
      <c r="E10" s="12">
        <f t="shared" si="0"/>
        <v>-37589.799999999988</v>
      </c>
      <c r="F10" s="13">
        <f t="shared" si="3"/>
        <v>-0.17700996139570668</v>
      </c>
      <c r="G10" s="14">
        <v>203975</v>
      </c>
      <c r="H10" s="14">
        <f t="shared" si="1"/>
        <v>-29205</v>
      </c>
      <c r="I10" s="15">
        <f t="shared" si="2"/>
        <v>-0.14317931119009683</v>
      </c>
      <c r="J10" s="39" t="s">
        <v>88</v>
      </c>
      <c r="K10" s="39"/>
      <c r="L10" s="69"/>
      <c r="M10" s="69"/>
      <c r="N10" s="69"/>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7" priority="5" stopIfTrue="1" operator="lessThanOrEqual">
      <formula>-0.1</formula>
    </cfRule>
    <cfRule type="expression" dxfId="16" priority="6">
      <formula>AND(ISNUMBER(F2), F2&gt;=0.1)</formula>
    </cfRule>
  </conditionalFormatting>
  <conditionalFormatting sqref="L5">
    <cfRule type="cellIs" dxfId="15" priority="1" stopIfTrue="1" operator="lessThanOrEqual">
      <formula>-0.1</formula>
    </cfRule>
    <cfRule type="expression" dxfId="14" priority="2">
      <formula>AND(ISNUMBER(L5), L5&gt;=0.1)</formula>
    </cfRule>
  </conditionalFormatting>
  <hyperlinks>
    <hyperlink ref="K4" r:id="rId1" display="https://us3.assetplanner.com/service_request?ID=103049" xr:uid="{263F6FA7-FDA9-4295-8BD4-A8F2A58A70DF}"/>
    <hyperlink ref="L4" r:id="rId2" display="https://us3.assetplanner.com/service_request?ID=104160" xr:uid="{38017AB1-8BA0-41CC-8880-7FEE500E28F1}"/>
    <hyperlink ref="K7" r:id="rId3" display="https://us3.assetplanner.com/service_request?ID=103140" xr:uid="{219F410E-2E6F-4015-BC5D-81A28FB534AA}"/>
    <hyperlink ref="L7" r:id="rId4" display="https://us3.assetplanner.com/service_request?ID=104320" xr:uid="{58334292-E990-4D2D-9799-E355C33652BF}"/>
    <hyperlink ref="K8" r:id="rId5" display="https://us3.assetplanner.com/service_request?ID=102034" xr:uid="{A835F1A3-4112-46D3-B591-F839B51AAECE}"/>
    <hyperlink ref="L8" r:id="rId6" display="https://us3.assetplanner.com/service_request?ID=107041" xr:uid="{694A3419-383C-4FB3-8FEF-7A680A331624}"/>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R322"/>
  <sheetViews>
    <sheetView zoomScale="70" zoomScaleNormal="70" workbookViewId="0">
      <pane xSplit="2" ySplit="3" topLeftCell="C5" activePane="bottomRight" state="frozen"/>
      <selection pane="bottomRight" activeCell="G21" sqref="G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69"/>
  </cols>
  <sheetData>
    <row r="1" spans="1:15" ht="19.5" customHeight="1">
      <c r="A1" s="84" t="str" cm="1">
        <f t="array" ref="A1">portfolio</f>
        <v>KPCA Investment, LLC</v>
      </c>
      <c r="B1" s="84"/>
      <c r="C1" s="84"/>
      <c r="D1" s="85" t="s">
        <v>89</v>
      </c>
      <c r="E1" s="85"/>
      <c r="F1" s="85"/>
      <c r="G1" s="83" t="s">
        <v>90</v>
      </c>
      <c r="H1" s="83"/>
      <c r="I1" s="83"/>
      <c r="J1" s="4"/>
      <c r="K1" s="4"/>
    </row>
    <row r="2" spans="1:15" ht="19.5" customHeight="1">
      <c r="A2" s="86" t="s">
        <v>2</v>
      </c>
      <c r="B2" s="86"/>
      <c r="C2" s="5">
        <f>SUM(C4:C80)</f>
        <v>410609.82999999996</v>
      </c>
      <c r="D2" s="5">
        <f>SUM(D4:D80)</f>
        <v>422368.74400000001</v>
      </c>
      <c r="E2" s="5">
        <f>C2-D2</f>
        <v>-11758.914000000048</v>
      </c>
      <c r="F2" s="6">
        <f>IFERROR(E2/D2, 0)</f>
        <v>-2.7840398152189139E-2</v>
      </c>
      <c r="G2" s="5">
        <f>SUM(G4:G80)</f>
        <v>541597.48399999994</v>
      </c>
      <c r="H2" s="7">
        <f>C2-G2</f>
        <v>-130987.65399999998</v>
      </c>
      <c r="I2" s="6">
        <f>IFERROR(H2/G2, 0)</f>
        <v>-0.24185425130224569</v>
      </c>
      <c r="J2" s="24" t="str">
        <f ca="1">IF(AND(TODAY()&gt;DATE(2024, 9,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158.44999999999999">
      <c r="A4" s="65" t="str" cm="1">
        <f t="array" ref="A4:A10">Sites[Site]</f>
        <v>Chino - 3750-3770 Grand Ave</v>
      </c>
      <c r="B4" s="27" t="str" cm="1">
        <f t="array" ref="B4:B10">Sites[State]</f>
        <v>CA</v>
      </c>
      <c r="C4" s="22">
        <v>20494.103999999999</v>
      </c>
      <c r="D4" s="12">
        <v>23358.976999999999</v>
      </c>
      <c r="E4" s="12">
        <f>IF(AND(ISNUMBER(C4),ISNUMBER(D4)), C4-D4, "")</f>
        <v>-2864.8729999999996</v>
      </c>
      <c r="F4" s="13">
        <f>IFERROR(E4/D4, "")</f>
        <v>-0.12264548229145479</v>
      </c>
      <c r="G4" s="14">
        <v>35575</v>
      </c>
      <c r="H4" s="14">
        <f>IF(AND(ISNUMBER(C4),ISNUMBER(G4)), C4-G4, "")</f>
        <v>-15080.896000000001</v>
      </c>
      <c r="I4" s="15">
        <f>IFERROR(H4/G4, "")</f>
        <v>-0.42391836964160229</v>
      </c>
      <c r="J4" s="70" t="s">
        <v>91</v>
      </c>
      <c r="K4" s="72" t="s">
        <v>92</v>
      </c>
      <c r="L4" s="62" t="s">
        <v>71</v>
      </c>
      <c r="M4" s="62" t="s">
        <v>71</v>
      </c>
      <c r="N4" s="62" t="s">
        <v>93</v>
      </c>
      <c r="O4" s="62" t="s">
        <v>94</v>
      </c>
    </row>
    <row r="5" spans="1:15" ht="15.6">
      <c r="A5" s="28" t="str">
        <v>Murrieta - 28150 Keller Rd</v>
      </c>
      <c r="B5" s="29" t="str">
        <v>CA</v>
      </c>
      <c r="C5" s="11">
        <v>79152.5</v>
      </c>
      <c r="D5" s="16">
        <v>81924.728000000003</v>
      </c>
      <c r="E5" s="16">
        <f t="shared" ref="E5:E10" si="0">IF(AND(ISNUMBER(C5),ISNUMBER(D5)), C5-D5, "")</f>
        <v>-2772.2280000000028</v>
      </c>
      <c r="F5" s="17">
        <f>IFERROR(E5/D5, "")</f>
        <v>-3.3838720831639538E-2</v>
      </c>
      <c r="G5" s="18">
        <v>108968.633</v>
      </c>
      <c r="H5" s="18">
        <f t="shared" ref="H5:H9" si="1">IF(AND(ISNUMBER(C5),ISNUMBER(G5)), C5-G5, "")</f>
        <v>-29816.133000000002</v>
      </c>
      <c r="I5" s="17">
        <f t="shared" ref="I5:I9" si="2">IFERROR(H5/G5, "")</f>
        <v>-0.27362124474847732</v>
      </c>
      <c r="J5" s="77" t="s">
        <v>83</v>
      </c>
      <c r="K5" s="77"/>
    </row>
    <row r="6" spans="1:15" ht="15.6">
      <c r="A6" s="26" t="str">
        <v>La Habra - 601 E Imperial Way</v>
      </c>
      <c r="B6" s="27" t="str">
        <v>CA</v>
      </c>
      <c r="C6" s="22">
        <v>15887.87</v>
      </c>
      <c r="D6" s="12">
        <v>13119.037</v>
      </c>
      <c r="E6" s="12">
        <f t="shared" si="0"/>
        <v>2768.8330000000005</v>
      </c>
      <c r="F6" s="13">
        <f t="shared" ref="F6:F10" si="3">IFERROR(E6/D6, "")</f>
        <v>0.21105459188810891</v>
      </c>
      <c r="G6" s="14">
        <v>20305.917000000001</v>
      </c>
      <c r="H6" s="14">
        <f t="shared" si="1"/>
        <v>-4418.0470000000005</v>
      </c>
      <c r="I6" s="15">
        <f t="shared" si="2"/>
        <v>-0.21757436514686829</v>
      </c>
      <c r="J6" s="70" t="s">
        <v>83</v>
      </c>
      <c r="K6" s="70"/>
    </row>
    <row r="7" spans="1:15" ht="28.9">
      <c r="A7" s="28" t="str">
        <v>Kaiser - KP3 - SCA Skyport - CN7901 Site</v>
      </c>
      <c r="B7" s="29" t="str">
        <v>CA</v>
      </c>
      <c r="C7" s="11">
        <v>82226.039999999994</v>
      </c>
      <c r="D7" s="16">
        <v>87107.009000000005</v>
      </c>
      <c r="E7" s="16">
        <f t="shared" si="0"/>
        <v>-4880.9690000000119</v>
      </c>
      <c r="F7" s="17">
        <f t="shared" si="3"/>
        <v>-5.6034170568295044E-2</v>
      </c>
      <c r="G7" s="18">
        <v>98792.334000000003</v>
      </c>
      <c r="H7" s="18">
        <f t="shared" si="1"/>
        <v>-16566.294000000009</v>
      </c>
      <c r="I7" s="17">
        <f t="shared" si="2"/>
        <v>-0.16768805158505526</v>
      </c>
      <c r="J7" s="77" t="s">
        <v>72</v>
      </c>
      <c r="K7" s="78" t="s">
        <v>84</v>
      </c>
      <c r="L7" s="62" t="s">
        <v>74</v>
      </c>
    </row>
    <row r="8" spans="1:15" ht="72">
      <c r="A8" s="26" t="str">
        <v>Irwindale - 12761 Schabarum Ave</v>
      </c>
      <c r="B8" s="27" t="str">
        <v>CA</v>
      </c>
      <c r="C8" s="22">
        <v>18515.3</v>
      </c>
      <c r="D8" s="12">
        <v>17150.451000000001</v>
      </c>
      <c r="E8" s="12">
        <f t="shared" si="0"/>
        <v>1364.8489999999983</v>
      </c>
      <c r="F8" s="13">
        <f t="shared" si="3"/>
        <v>7.9580939300080117E-2</v>
      </c>
      <c r="G8" s="14">
        <v>27912.1</v>
      </c>
      <c r="H8" s="14">
        <f t="shared" si="1"/>
        <v>-9396.7999999999993</v>
      </c>
      <c r="I8" s="15">
        <f t="shared" si="2"/>
        <v>-0.33665686207773687</v>
      </c>
      <c r="J8" s="70" t="s">
        <v>95</v>
      </c>
      <c r="K8" s="72" t="s">
        <v>96</v>
      </c>
      <c r="L8" s="62" t="s">
        <v>97</v>
      </c>
      <c r="M8" s="62" t="s">
        <v>98</v>
      </c>
    </row>
    <row r="9" spans="1:15" ht="15.6">
      <c r="A9" s="28" t="str">
        <v>Santa Rosa - 2240 Mercury Way</v>
      </c>
      <c r="B9" s="29" t="str">
        <v>CA</v>
      </c>
      <c r="C9" s="11">
        <v>62550.016000000003</v>
      </c>
      <c r="D9" s="16">
        <v>75940.445000000007</v>
      </c>
      <c r="E9" s="16">
        <f t="shared" si="0"/>
        <v>-13390.429000000004</v>
      </c>
      <c r="F9" s="17">
        <f t="shared" si="3"/>
        <v>-0.17632802915495166</v>
      </c>
      <c r="G9" s="18">
        <v>86361</v>
      </c>
      <c r="H9" s="18">
        <f t="shared" si="1"/>
        <v>-23810.983999999997</v>
      </c>
      <c r="I9" s="17">
        <f t="shared" si="2"/>
        <v>-0.27571454707564752</v>
      </c>
      <c r="J9" s="77"/>
      <c r="K9" s="73"/>
    </row>
    <row r="10" spans="1:15" ht="15.6">
      <c r="A10" s="26" t="str">
        <v>Dublin - 3100 Dublin Blvd</v>
      </c>
      <c r="B10" s="27" t="str">
        <v>CA</v>
      </c>
      <c r="C10" s="22">
        <v>131784</v>
      </c>
      <c r="D10" s="12">
        <v>123768.09699999999</v>
      </c>
      <c r="E10" s="12">
        <f t="shared" si="0"/>
        <v>8015.9030000000057</v>
      </c>
      <c r="F10" s="13">
        <f t="shared" si="3"/>
        <v>6.4765502534954597E-2</v>
      </c>
      <c r="G10" s="14">
        <v>163682.5</v>
      </c>
      <c r="H10" s="14">
        <f>IF(AND(ISNUMBER(C10),ISNUMBER(G10)), C10-G10, "")</f>
        <v>-31898.5</v>
      </c>
      <c r="I10" s="15">
        <f>IFERROR(H10/G10, "")</f>
        <v>-0.19488033235074001</v>
      </c>
      <c r="J10" s="70" t="s">
        <v>83</v>
      </c>
      <c r="K10" s="70"/>
    </row>
    <row r="11" spans="1:15" ht="14.45">
      <c r="A11" s="19"/>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hyperlinks>
    <hyperlink ref="K4" r:id="rId1" display="https://us3.assetplanner.com/service_request?ID=103049" xr:uid="{0D8C8E21-623B-43B2-9F69-5C419E57D836}"/>
    <hyperlink ref="L4" r:id="rId2" display="https://us3.assetplanner.com/service_request?ID=104160" xr:uid="{CEE9519E-52D5-4768-AEA5-6BE8FE761F60}"/>
    <hyperlink ref="M4" r:id="rId3" display="https://us3.assetplanner.com/service_request?ID=104160" xr:uid="{AA3F9F60-7DB6-4320-B3A1-7D16F70BF890}"/>
    <hyperlink ref="N4" r:id="rId4" display="https://us3.assetplanner.com/service_request?ID=107548" xr:uid="{9B380E24-0B2E-4396-A445-ADE623C7DDBB}"/>
    <hyperlink ref="O4" r:id="rId5" display="https://us3.assetplanner.com/service_request?ID=108510" xr:uid="{34A27B9D-E034-4628-88DC-8E4DE6FEDB70}"/>
    <hyperlink ref="K7" r:id="rId6" display="https://us3.assetplanner.com/service_request?ID=103140" xr:uid="{B1A14A34-946A-4B5D-B545-031C5CA449C5}"/>
    <hyperlink ref="L7" r:id="rId7" display="https://us3.assetplanner.com/service_request?ID=104320" xr:uid="{7147E896-A814-47B8-9471-6A162E50EBBD}"/>
    <hyperlink ref="K8" r:id="rId8" display="https://us3.assetplanner.com/service_request?ID=102034" xr:uid="{67A17B52-CD02-4F05-B748-94285D9BDE05}"/>
    <hyperlink ref="L8" r:id="rId9" display="https://us3.assetplanner.com/service_request?ID=107305" xr:uid="{392070CF-C41D-4F60-B4FB-33A17A04F907}"/>
    <hyperlink ref="M8" r:id="rId10" display="https://us3.assetplanner.com/service_request?ID=108644" xr:uid="{EC271903-8C5B-43FC-9559-192CFDDE8834}"/>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O322"/>
  <sheetViews>
    <sheetView zoomScale="70" zoomScaleNormal="70" workbookViewId="0">
      <pane xSplit="2" ySplit="3" topLeftCell="C4" activePane="bottomRight" state="frozen"/>
      <selection pane="bottomRight" activeCell="J19" sqref="J19"/>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0.5703125" style="69" customWidth="1"/>
  </cols>
  <sheetData>
    <row r="1" spans="1:15" ht="19.5" customHeight="1">
      <c r="A1" s="84" t="str" cm="1">
        <f t="array" ref="A1">portfolio</f>
        <v>KPCA Investment, LLC</v>
      </c>
      <c r="B1" s="84"/>
      <c r="C1" s="84"/>
      <c r="D1" s="85" t="s">
        <v>99</v>
      </c>
      <c r="E1" s="85"/>
      <c r="F1" s="85"/>
      <c r="G1" s="83" t="s">
        <v>100</v>
      </c>
      <c r="H1" s="83"/>
      <c r="I1" s="83"/>
      <c r="J1" s="4"/>
      <c r="K1" s="4"/>
    </row>
    <row r="2" spans="1:15" ht="19.5" customHeight="1">
      <c r="A2" s="86" t="s">
        <v>2</v>
      </c>
      <c r="B2" s="86"/>
      <c r="C2" s="5">
        <f>SUM(C4:C80)</f>
        <v>352157.70184863498</v>
      </c>
      <c r="D2" s="5">
        <f>SUM(D4:D80)</f>
        <v>354315.30299999996</v>
      </c>
      <c r="E2" s="5">
        <f>C2-D2</f>
        <v>-2157.6011513649719</v>
      </c>
      <c r="F2" s="6">
        <f>IFERROR(E2/D2, 0)</f>
        <v>-6.0894946763419139E-3</v>
      </c>
      <c r="G2" s="5">
        <f>SUM(G4:G80)</f>
        <v>412083.446</v>
      </c>
      <c r="H2" s="7">
        <f>C2-G2</f>
        <v>-59925.744151365012</v>
      </c>
      <c r="I2" s="6">
        <f>IFERROR(H2/G2, 0)</f>
        <v>-0.1454213818415919</v>
      </c>
      <c r="J2" s="24" t="str">
        <f ca="1">IF(AND(TODAY()&gt;DATE(2024, 10,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c r="L3" s="79" t="s">
        <v>101</v>
      </c>
    </row>
    <row r="4" spans="1:15" ht="158.44999999999999">
      <c r="A4" s="30" t="str" cm="1">
        <f t="array" ref="A4:A10">Sites[Site]</f>
        <v>Chino - 3750-3770 Grand Ave</v>
      </c>
      <c r="B4" s="27" t="str" cm="1">
        <f t="array" ref="B4:B10">Sites[State]</f>
        <v>CA</v>
      </c>
      <c r="C4" s="22">
        <v>11963.036795354001</v>
      </c>
      <c r="D4" s="12">
        <v>21453.31</v>
      </c>
      <c r="E4" s="12">
        <f>IF(AND(ISNUMBER(C4),ISNUMBER(D4)), C4-D4, "")</f>
        <v>-9490.2732046460005</v>
      </c>
      <c r="F4" s="13">
        <f>IFERROR(E4/D4, "")</f>
        <v>-0.44236871627949254</v>
      </c>
      <c r="G4" s="14">
        <v>30206</v>
      </c>
      <c r="H4" s="14">
        <f>IF(AND(ISNUMBER(C4),ISNUMBER(G4)), C4-G4, "")</f>
        <v>-18242.963204645999</v>
      </c>
      <c r="I4" s="15">
        <f>IFERROR(H4/G4, "")</f>
        <v>-0.60395163890107928</v>
      </c>
      <c r="J4" s="39" t="s">
        <v>102</v>
      </c>
      <c r="K4" s="59" t="s">
        <v>103</v>
      </c>
      <c r="L4" s="80" t="s">
        <v>104</v>
      </c>
      <c r="M4" s="66" t="s">
        <v>105</v>
      </c>
      <c r="N4" s="66" t="s">
        <v>93</v>
      </c>
      <c r="O4" s="66" t="s">
        <v>94</v>
      </c>
    </row>
    <row r="5" spans="1:15" ht="43.15">
      <c r="A5" s="28" t="str">
        <v>Murrieta - 28150 Keller Rd</v>
      </c>
      <c r="B5" s="29" t="str">
        <v>CA</v>
      </c>
      <c r="C5" s="11">
        <v>74713</v>
      </c>
      <c r="D5" s="16">
        <v>74409.23</v>
      </c>
      <c r="E5" s="16">
        <f t="shared" ref="E5:E9" si="0">IF(AND(ISNUMBER(C5),ISNUMBER(D5)), C5-D5, "")</f>
        <v>303.77000000000407</v>
      </c>
      <c r="F5" s="17">
        <f>IFERROR(E5/D5, "")</f>
        <v>4.0824236455612303E-3</v>
      </c>
      <c r="G5" s="18">
        <v>79915.350000000006</v>
      </c>
      <c r="H5" s="18">
        <f>IF(AND(ISNUMBER(C5),ISNUMBER(G5)), C5-G5, "")</f>
        <v>-5202.3500000000058</v>
      </c>
      <c r="I5" s="17">
        <f>IFERROR(H5/G5, "")</f>
        <v>-6.5098257093286899E-2</v>
      </c>
      <c r="J5" s="40" t="s">
        <v>106</v>
      </c>
      <c r="K5" s="61" t="s">
        <v>107</v>
      </c>
      <c r="L5" s="69" t="s">
        <v>108</v>
      </c>
    </row>
    <row r="6" spans="1:15" ht="15.6">
      <c r="A6" s="30" t="str">
        <v>La Habra - 601 E Imperial Way</v>
      </c>
      <c r="B6" s="27" t="str">
        <v>CA</v>
      </c>
      <c r="C6" s="22">
        <v>15416.5</v>
      </c>
      <c r="D6" s="12">
        <v>12287.47</v>
      </c>
      <c r="E6" s="12">
        <f>IF(AND(ISNUMBER(C6),ISNUMBER(D6)), C6-D6, "")</f>
        <v>3129.0300000000007</v>
      </c>
      <c r="F6" s="13">
        <f t="shared" ref="F6:F9" si="1">IFERROR(E6/D6, "")</f>
        <v>0.2546520968108163</v>
      </c>
      <c r="G6" s="14">
        <v>17169.919999999998</v>
      </c>
      <c r="H6" s="14">
        <f t="shared" ref="H6:H10" si="2">IF(AND(ISNUMBER(C6),ISNUMBER(G6)), C6-G6, "")</f>
        <v>-1753.4199999999983</v>
      </c>
      <c r="I6" s="15">
        <f t="shared" ref="I6" si="3">IFERROR(H6/G6, "")</f>
        <v>-0.10212161734009235</v>
      </c>
      <c r="J6" s="39" t="s">
        <v>109</v>
      </c>
      <c r="K6" s="39"/>
    </row>
    <row r="7" spans="1:15" ht="39.6">
      <c r="A7" s="28" t="str">
        <v>Kaiser - KP3 - SCA Skyport - CN7901 Site</v>
      </c>
      <c r="B7" s="29" t="str">
        <v>CA</v>
      </c>
      <c r="C7" s="11">
        <v>69605.509999999995</v>
      </c>
      <c r="D7" s="16">
        <v>73078.225999999995</v>
      </c>
      <c r="E7" s="16">
        <f t="shared" si="0"/>
        <v>-3472.7160000000003</v>
      </c>
      <c r="F7" s="17">
        <f t="shared" si="1"/>
        <v>-4.7520529576073736E-2</v>
      </c>
      <c r="G7" s="18">
        <v>76785.429999999993</v>
      </c>
      <c r="H7" s="18">
        <f t="shared" si="2"/>
        <v>-7179.9199999999983</v>
      </c>
      <c r="I7" s="17">
        <f>IFERROR(H7/G7, "")</f>
        <v>-9.3506281074417358E-2</v>
      </c>
      <c r="J7" s="52" t="s">
        <v>72</v>
      </c>
      <c r="K7" s="75" t="s">
        <v>110</v>
      </c>
      <c r="L7" s="80" t="s">
        <v>111</v>
      </c>
      <c r="M7" s="66" t="s">
        <v>74</v>
      </c>
    </row>
    <row r="8" spans="1:15" ht="43.15">
      <c r="A8" s="26" t="str">
        <v>Irwindale - 12761 Schabarum Ave</v>
      </c>
      <c r="B8" s="27" t="str">
        <v>CA</v>
      </c>
      <c r="C8" s="22">
        <v>17638.619999999901</v>
      </c>
      <c r="D8" s="12">
        <v>15926.16</v>
      </c>
      <c r="E8" s="12">
        <f>IF(AND(ISNUMBER(C8),ISNUMBER(D8)), C8-D8, "")</f>
        <v>1712.4599999999009</v>
      </c>
      <c r="F8" s="13">
        <f t="shared" si="1"/>
        <v>0.1075249777724135</v>
      </c>
      <c r="G8" s="14">
        <v>22524.36</v>
      </c>
      <c r="H8" s="14">
        <f t="shared" si="2"/>
        <v>-4885.7400000000998</v>
      </c>
      <c r="I8" s="15">
        <f t="shared" ref="I8:I10" si="4">IFERROR(H8/G8, "")</f>
        <v>-0.21690915968312083</v>
      </c>
      <c r="J8" s="39" t="s">
        <v>112</v>
      </c>
      <c r="K8" s="59" t="s">
        <v>113</v>
      </c>
      <c r="L8" s="80" t="s">
        <v>114</v>
      </c>
      <c r="M8" s="66" t="s">
        <v>98</v>
      </c>
    </row>
    <row r="9" spans="1:15" ht="28.9">
      <c r="A9" s="28" t="str">
        <v>Santa Rosa - 2240 Mercury Way</v>
      </c>
      <c r="B9" s="29" t="str">
        <v>CA</v>
      </c>
      <c r="C9" s="11">
        <v>48677.035053281099</v>
      </c>
      <c r="D9" s="16">
        <v>56672.54</v>
      </c>
      <c r="E9" s="16">
        <f t="shared" si="0"/>
        <v>-7995.5049467189019</v>
      </c>
      <c r="F9" s="17">
        <f t="shared" si="1"/>
        <v>-0.14108252332997431</v>
      </c>
      <c r="G9" s="18">
        <v>66427</v>
      </c>
      <c r="H9" s="18">
        <f t="shared" si="2"/>
        <v>-17749.964946718901</v>
      </c>
      <c r="I9" s="17">
        <f>IFERROR(H9/G9, "")</f>
        <v>-0.26721009449047678</v>
      </c>
      <c r="J9" s="40" t="s">
        <v>115</v>
      </c>
      <c r="K9" s="41"/>
    </row>
    <row r="10" spans="1:15" ht="15.6">
      <c r="A10" s="26" t="str">
        <v>Dublin - 3100 Dublin Blvd</v>
      </c>
      <c r="B10" s="27" t="str">
        <v>CA</v>
      </c>
      <c r="C10" s="22">
        <v>114144</v>
      </c>
      <c r="D10" s="12">
        <v>100488.367</v>
      </c>
      <c r="E10" s="12">
        <f>IF(AND(ISNUMBER(C10),ISNUMBER(D10)), C10-D10, "")</f>
        <v>13655.633000000002</v>
      </c>
      <c r="F10" s="13">
        <f t="shared" ref="F10" si="5">IFERROR(E10/D10, "")</f>
        <v>0.13589267501978614</v>
      </c>
      <c r="G10" s="14">
        <v>119055.386</v>
      </c>
      <c r="H10" s="14">
        <f t="shared" si="2"/>
        <v>-4911.3859999999986</v>
      </c>
      <c r="I10" s="15">
        <f t="shared" si="4"/>
        <v>-4.1252950958472374E-2</v>
      </c>
      <c r="J10" s="39" t="s">
        <v>116</v>
      </c>
      <c r="K10" s="39"/>
    </row>
    <row r="11" spans="1:15" ht="14.45">
      <c r="A11" s="19"/>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hyperlinks>
    <hyperlink ref="K4" r:id="rId1" display="https://us3.assetplanner.com/service_request?ID=103049" xr:uid="{1C89CE54-0163-46BF-8D84-ED6529C46731}"/>
    <hyperlink ref="M4" r:id="rId2" display="https://us3.assetplanner.com/service_request?ID=108381" xr:uid="{652CE8D2-78F7-498D-8C3F-4B5E36CE0333}"/>
    <hyperlink ref="N4" r:id="rId3" display="https://us3.assetplanner.com/service_request?ID=107548" xr:uid="{F1E4EA56-B2D2-4286-A382-1502E562E02C}"/>
    <hyperlink ref="O4" r:id="rId4" display="https://us3.assetplanner.com/service_request?ID=108510" xr:uid="{BF6A9A4F-3B1D-48F0-9AB1-1BAE40BEE4D9}"/>
    <hyperlink ref="K5" r:id="rId5" display="https://us3.assetplanner.com/service_request?ID=109470" xr:uid="{7D811A44-58AE-43D6-A075-08425992898F}"/>
    <hyperlink ref="K7" r:id="rId6" display="https://us3.assetplanner.com/service_request?ID=103140" xr:uid="{F2ACEF17-03FB-4AD1-9940-47C3E123A5A2}"/>
    <hyperlink ref="M7" r:id="rId7" display="https://us3.assetplanner.com/service_request?ID=104320" xr:uid="{A030EAC9-F8D1-4F2B-AA84-A5907D72E750}"/>
    <hyperlink ref="K8" r:id="rId8" display="https://us3.assetplanner.com/service_request?ID=102034" xr:uid="{37B4C561-B5B4-4439-AC5D-793E032E58F8}"/>
    <hyperlink ref="M8" r:id="rId9" display="https://us3.assetplanner.com/service_request?ID=108644" xr:uid="{8ED0E135-ABB6-4952-918C-CCFEECD3DC34}"/>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O322"/>
  <sheetViews>
    <sheetView zoomScale="70" zoomScaleNormal="70" workbookViewId="0">
      <pane xSplit="2" ySplit="4" topLeftCell="C5" activePane="bottomRight" state="frozen"/>
      <selection pane="bottomRight" activeCell="J6" sqref="J6"/>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 min="12" max="12" width="12.28515625" customWidth="1"/>
    <col min="13" max="15" width="9.140625" style="82"/>
  </cols>
  <sheetData>
    <row r="1" spans="1:15" ht="19.5" customHeight="1">
      <c r="A1" s="84" t="str" cm="1">
        <f t="array" ref="A1">portfolio</f>
        <v>KPCA Investment, LLC</v>
      </c>
      <c r="B1" s="84"/>
      <c r="C1" s="84"/>
      <c r="D1" s="85" t="s">
        <v>117</v>
      </c>
      <c r="E1" s="85"/>
      <c r="F1" s="85"/>
      <c r="G1" s="83" t="s">
        <v>118</v>
      </c>
      <c r="H1" s="83"/>
      <c r="I1" s="83"/>
      <c r="J1" s="4"/>
      <c r="K1" s="4"/>
    </row>
    <row r="2" spans="1:15" ht="19.5" customHeight="1">
      <c r="A2" s="86" t="s">
        <v>2</v>
      </c>
      <c r="B2" s="86"/>
      <c r="C2" s="5">
        <f>SUM(C4:C80)</f>
        <v>236059.10699999999</v>
      </c>
      <c r="D2" s="5">
        <f>SUM(D4:D80)</f>
        <v>237205.09399999998</v>
      </c>
      <c r="E2" s="5">
        <f>C2-D2</f>
        <v>-1145.9869999999937</v>
      </c>
      <c r="F2" s="6">
        <f>IFERROR(E2/D2, 0)</f>
        <v>-4.8312073770219871E-3</v>
      </c>
      <c r="G2" s="5">
        <f>SUM(G4:G80)</f>
        <v>300318</v>
      </c>
      <c r="H2" s="7">
        <f>C2-G2</f>
        <v>-64258.893000000011</v>
      </c>
      <c r="I2" s="6">
        <f>IFERROR(H2/G2, 0)</f>
        <v>-0.21396950232753284</v>
      </c>
      <c r="J2" s="24" t="str">
        <f ca="1">IF(AND(TODAY()&gt;DATE(2024, 11,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c r="L3" s="23" t="s">
        <v>101</v>
      </c>
    </row>
    <row r="4" spans="1:15" ht="72">
      <c r="A4" s="26" t="str" cm="1">
        <f t="array" ref="A4:A10">Sites[Site]</f>
        <v>Chino - 3750-3770 Grand Ave</v>
      </c>
      <c r="B4" s="27" t="str" cm="1">
        <f t="array" ref="B4:B10">Sites[State]</f>
        <v>CA</v>
      </c>
      <c r="C4" s="22">
        <v>7236.2</v>
      </c>
      <c r="D4" s="12">
        <v>14992.3</v>
      </c>
      <c r="E4" s="12">
        <f>IF(AND(ISNUMBER(C4),ISNUMBER(D4)), C4-D4, "")</f>
        <v>-7756.0999999999995</v>
      </c>
      <c r="F4" s="13">
        <f>IFERROR(E4/D4, "")</f>
        <v>-0.51733890063565968</v>
      </c>
      <c r="G4" s="14">
        <v>23963</v>
      </c>
      <c r="H4" s="14">
        <f>IF(AND(ISNUMBER(C4),ISNUMBER(G4)), C4-G4, "")</f>
        <v>-16726.8</v>
      </c>
      <c r="I4" s="15">
        <f>IFERROR(H4/G4, "")</f>
        <v>-0.69802612360722782</v>
      </c>
      <c r="J4" s="39" t="s">
        <v>119</v>
      </c>
      <c r="K4" s="59" t="s">
        <v>120</v>
      </c>
      <c r="L4" s="71" t="s">
        <v>121</v>
      </c>
      <c r="M4" s="63" t="s">
        <v>94</v>
      </c>
      <c r="N4" s="63" t="s">
        <v>60</v>
      </c>
    </row>
    <row r="5" spans="1:15" ht="15.6">
      <c r="A5" s="28" t="str">
        <v>Murrieta - 28150 Keller Rd</v>
      </c>
      <c r="B5" s="29" t="str">
        <v>CA</v>
      </c>
      <c r="C5" s="11">
        <v>52767</v>
      </c>
      <c r="D5" s="16">
        <v>52438.15</v>
      </c>
      <c r="E5" s="16">
        <f t="shared" ref="E5:E9" si="0">IF(AND(ISNUMBER(C5),ISNUMBER(D5)), C5-D5, "")</f>
        <v>328.84999999999854</v>
      </c>
      <c r="F5" s="17">
        <f>IFERROR(E5/D5, "")</f>
        <v>6.2711975918295845E-3</v>
      </c>
      <c r="G5" s="18">
        <v>66549</v>
      </c>
      <c r="H5" s="18">
        <f t="shared" ref="H5:H9" si="1">IF(AND(ISNUMBER(C5),ISNUMBER(G5)), C5-G5, "")</f>
        <v>-13782</v>
      </c>
      <c r="I5" s="17">
        <f t="shared" ref="I5:I9" si="2">IFERROR(H5/G5, "")</f>
        <v>-0.20709552359915251</v>
      </c>
      <c r="J5" s="56" t="s">
        <v>116</v>
      </c>
      <c r="K5" s="52"/>
    </row>
    <row r="6" spans="1:15" ht="15.6">
      <c r="A6" s="26" t="str">
        <v>La Habra - 601 E Imperial Way</v>
      </c>
      <c r="B6" s="27" t="str">
        <v>CA</v>
      </c>
      <c r="C6" s="22">
        <v>10738.8</v>
      </c>
      <c r="D6" s="12">
        <v>8152.3419999999996</v>
      </c>
      <c r="E6" s="12">
        <f t="shared" si="0"/>
        <v>2586.4579999999996</v>
      </c>
      <c r="F6" s="13">
        <f t="shared" ref="F6:F9" si="3">IFERROR(E6/D6, "")</f>
        <v>0.31726563973886274</v>
      </c>
      <c r="G6" s="14">
        <v>13897</v>
      </c>
      <c r="H6" s="14">
        <f t="shared" si="1"/>
        <v>-3158.2000000000007</v>
      </c>
      <c r="I6" s="15">
        <f t="shared" si="2"/>
        <v>-0.22725768151399589</v>
      </c>
      <c r="J6" s="39" t="s">
        <v>116</v>
      </c>
      <c r="K6" s="39"/>
    </row>
    <row r="7" spans="1:15" ht="66">
      <c r="A7" s="28" t="str">
        <v>Kaiser - KP3 - SCA Skyport - CN7901 Site</v>
      </c>
      <c r="B7" s="29" t="str">
        <v>CA</v>
      </c>
      <c r="C7" s="11">
        <v>44913.9</v>
      </c>
      <c r="D7" s="16">
        <v>48522.8</v>
      </c>
      <c r="E7" s="16">
        <f t="shared" si="0"/>
        <v>-3608.9000000000015</v>
      </c>
      <c r="F7" s="17">
        <f t="shared" si="3"/>
        <v>-7.437534519854587E-2</v>
      </c>
      <c r="G7" s="18">
        <v>50533</v>
      </c>
      <c r="H7" s="18">
        <f t="shared" si="1"/>
        <v>-5619.0999999999985</v>
      </c>
      <c r="I7" s="17">
        <f t="shared" si="2"/>
        <v>-0.1111966437773336</v>
      </c>
      <c r="J7" s="56" t="s">
        <v>122</v>
      </c>
      <c r="K7" s="75" t="s">
        <v>123</v>
      </c>
      <c r="L7" s="81" t="s">
        <v>124</v>
      </c>
      <c r="M7" s="63" t="s">
        <v>125</v>
      </c>
      <c r="N7" s="63" t="s">
        <v>74</v>
      </c>
      <c r="O7" s="63" t="s">
        <v>126</v>
      </c>
    </row>
    <row r="8" spans="1:15" ht="15.6">
      <c r="A8" s="26" t="str">
        <v>Irwindale - 12761 Schabarum Ave</v>
      </c>
      <c r="B8" s="27" t="str">
        <v>CA</v>
      </c>
      <c r="C8" s="22">
        <v>12685.7</v>
      </c>
      <c r="D8" s="12">
        <v>10226.924999999999</v>
      </c>
      <c r="E8" s="12">
        <f t="shared" si="0"/>
        <v>2458.7750000000015</v>
      </c>
      <c r="F8" s="13">
        <f t="shared" si="3"/>
        <v>0.24042172989437213</v>
      </c>
      <c r="G8" s="14">
        <v>18320</v>
      </c>
      <c r="H8" s="14">
        <f t="shared" si="1"/>
        <v>-5634.2999999999993</v>
      </c>
      <c r="I8" s="15">
        <f t="shared" si="2"/>
        <v>-0.30754912663755457</v>
      </c>
      <c r="J8" s="39" t="s">
        <v>127</v>
      </c>
      <c r="K8" s="59" t="s">
        <v>128</v>
      </c>
      <c r="L8" t="s">
        <v>129</v>
      </c>
    </row>
    <row r="9" spans="1:15" ht="15.6">
      <c r="A9" s="28" t="str">
        <v>Santa Rosa - 2240 Mercury Way</v>
      </c>
      <c r="B9" s="29" t="str">
        <v>CA</v>
      </c>
      <c r="C9" s="11">
        <v>32062.507000000001</v>
      </c>
      <c r="D9" s="16">
        <v>35264.646999999997</v>
      </c>
      <c r="E9" s="16">
        <f t="shared" si="0"/>
        <v>-3202.1399999999958</v>
      </c>
      <c r="F9" s="17">
        <f t="shared" si="3"/>
        <v>-9.0803120757170661E-2</v>
      </c>
      <c r="G9" s="18">
        <v>43187</v>
      </c>
      <c r="H9" s="18">
        <f t="shared" si="1"/>
        <v>-11124.492999999999</v>
      </c>
      <c r="I9" s="17">
        <f t="shared" si="2"/>
        <v>-0.25758892722346999</v>
      </c>
      <c r="J9" s="40" t="s">
        <v>116</v>
      </c>
      <c r="K9" s="41"/>
    </row>
    <row r="10" spans="1:15" ht="15.6">
      <c r="A10" s="26" t="str">
        <v>Dublin - 3100 Dublin Blvd</v>
      </c>
      <c r="B10" s="27" t="str">
        <v>CA</v>
      </c>
      <c r="C10" s="22">
        <v>75655</v>
      </c>
      <c r="D10" s="12">
        <v>67607.929999999993</v>
      </c>
      <c r="E10" s="12">
        <f t="shared" ref="E10" si="4">IF(AND(ISNUMBER(C10),ISNUMBER(D10)), C10-D10, "")</f>
        <v>8047.070000000007</v>
      </c>
      <c r="F10" s="13">
        <f t="shared" ref="F10" si="5">IFERROR(E10/D10, "")</f>
        <v>0.11902553443065049</v>
      </c>
      <c r="G10" s="14">
        <v>83869</v>
      </c>
      <c r="H10" s="14">
        <f t="shared" ref="H10" si="6">IF(AND(ISNUMBER(C10),ISNUMBER(G10)), C10-G10, "")</f>
        <v>-8214</v>
      </c>
      <c r="I10" s="15">
        <f t="shared" ref="I10" si="7">IFERROR(H10/G10, "")</f>
        <v>-9.7938451632903697E-2</v>
      </c>
      <c r="J10" s="39" t="s">
        <v>116</v>
      </c>
      <c r="K10" s="39"/>
    </row>
    <row r="11" spans="1:15" ht="14.45">
      <c r="A11" s="19"/>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hyperlinks>
    <hyperlink ref="K4" r:id="rId1" display="https://us3.assetplanner.com/service_request?ID=108381" xr:uid="{67E2AB32-6847-4990-91BE-58DFB5834204}"/>
    <hyperlink ref="M4" r:id="rId2" display="https://us3.assetplanner.com/service_request?ID=108510" xr:uid="{0E4E788F-0667-4F33-8C0B-7EBC292AA521}"/>
    <hyperlink ref="N4" r:id="rId3" display="https://us3.assetplanner.com/service_request?ID=103049" xr:uid="{3205AE73-A409-4897-BA5D-33436CC1A71C}"/>
    <hyperlink ref="K7" r:id="rId4" display="https://us3.assetplanner.com/service_request?ID=111709" xr:uid="{CF5F2E6D-0574-4D8E-841D-9DE9803DBB5A}"/>
    <hyperlink ref="M7" r:id="rId5" display="https://us3.assetplanner.com/service_request?ID=103140" xr:uid="{F56A4085-653B-4182-BE16-C9BF6D1E0073}"/>
    <hyperlink ref="N7" r:id="rId6" display="https://us3.assetplanner.com/service_request?ID=104320" xr:uid="{7381511B-E8CD-46A4-BA91-A7A5AB8F2CDF}"/>
    <hyperlink ref="O7" r:id="rId7" display="https://us3.assetplanner.com/service_request?ID=111097" xr:uid="{C817A168-B999-4B20-B53E-0A55A813109B}"/>
    <hyperlink ref="K8" r:id="rId8" display="https://us3.assetplanner.com/service_request?ID=102034" xr:uid="{6028EA27-B76C-44BD-A755-C37D511DC901}"/>
  </hyperlinks>
  <pageMargins left="0.4" right="0.7" top="0.25" bottom="0.25" header="0.3" footer="0.3"/>
  <pageSetup fitToHeight="99" orientation="landscape" r:id="rId9"/>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22"/>
  <sheetViews>
    <sheetView tabSelected="1" zoomScale="70" zoomScaleNormal="70" workbookViewId="0">
      <pane xSplit="2" ySplit="3" topLeftCell="C4" activePane="bottomRight" state="frozen"/>
      <selection pane="bottomRight" activeCell="I17" sqref="I17"/>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3" customWidth="1"/>
  </cols>
  <sheetData>
    <row r="1" spans="1:13" ht="19.5" customHeight="1">
      <c r="A1" s="84" t="str" cm="1">
        <f t="array" ref="A1">portfolio</f>
        <v>KPCA Investment, LLC</v>
      </c>
      <c r="B1" s="84"/>
      <c r="C1" s="84"/>
      <c r="D1" s="85" t="s">
        <v>130</v>
      </c>
      <c r="E1" s="85"/>
      <c r="F1" s="85"/>
      <c r="G1" s="83" t="s">
        <v>131</v>
      </c>
      <c r="H1" s="83"/>
      <c r="I1" s="83"/>
      <c r="J1" s="4"/>
      <c r="K1" s="4"/>
      <c r="L1" s="4"/>
    </row>
    <row r="2" spans="1:13" ht="19.5" customHeight="1">
      <c r="A2" s="86" t="s">
        <v>2</v>
      </c>
      <c r="B2" s="86"/>
      <c r="C2" s="5">
        <f>SUM(C4:C80)</f>
        <v>198185.31093000001</v>
      </c>
      <c r="D2" s="5">
        <f>SUM(D4:D80)</f>
        <v>196571.27299999999</v>
      </c>
      <c r="E2" s="5">
        <f>C2-D2</f>
        <v>1614.0379300000204</v>
      </c>
      <c r="F2" s="6">
        <f>IFERROR(E2/D2, 0)</f>
        <v>8.2109552701529302E-3</v>
      </c>
      <c r="G2" s="5">
        <f>SUM(G4:G80)</f>
        <v>238252.31</v>
      </c>
      <c r="H2" s="7">
        <f>C2-G2</f>
        <v>-40066.999069999991</v>
      </c>
      <c r="I2" s="6">
        <f>IFERROR(H2/G2, 0)</f>
        <v>-0.168170453709347</v>
      </c>
      <c r="J2" s="24" t="str">
        <f ca="1">IF(AND(TODAY()&gt;DATE(2024, 12, 1), COUNTA(Sites[Site])&lt;&gt;(COUNT(C:C)-1)), "Some sites are missing actual data; if new sites were added, make sure they are aligned correctly (including prior months!)", "")</f>
        <v/>
      </c>
      <c r="K2" s="4"/>
      <c r="L2" s="24"/>
    </row>
    <row r="3" spans="1:13" ht="14.25" customHeight="1">
      <c r="A3" s="8" t="s">
        <v>3</v>
      </c>
      <c r="B3" s="8" t="s">
        <v>4</v>
      </c>
      <c r="C3" s="21" t="s">
        <v>5</v>
      </c>
      <c r="D3" s="33" t="s">
        <v>6</v>
      </c>
      <c r="E3" s="33" t="s">
        <v>7</v>
      </c>
      <c r="F3" s="34" t="s">
        <v>8</v>
      </c>
      <c r="G3" s="35" t="s">
        <v>9</v>
      </c>
      <c r="H3" s="36" t="s">
        <v>7</v>
      </c>
      <c r="I3" s="37" t="s">
        <v>8</v>
      </c>
      <c r="J3" s="23" t="s">
        <v>20</v>
      </c>
      <c r="K3" s="23" t="s">
        <v>21</v>
      </c>
      <c r="L3" s="23" t="s">
        <v>101</v>
      </c>
    </row>
    <row r="4" spans="1:13" ht="76.5">
      <c r="A4" s="30" t="str" cm="1">
        <f t="array" ref="A4:A10">Sites[Site]</f>
        <v>Chino - 3750-3770 Grand Ave</v>
      </c>
      <c r="B4" s="27" t="str" cm="1">
        <f t="array" ref="B4:B10">Sites[State]</f>
        <v>CA</v>
      </c>
      <c r="C4" s="22">
        <v>8159</v>
      </c>
      <c r="D4" s="12">
        <v>12478.41</v>
      </c>
      <c r="E4" s="12">
        <f>IF(AND(ISNUMBER(C4),ISNUMBER(D4)), C4-D4, "")</f>
        <v>-4319.41</v>
      </c>
      <c r="F4" s="13">
        <f>IFERROR(E4/D4, "")</f>
        <v>-0.34615067143971068</v>
      </c>
      <c r="G4" s="14">
        <v>23164</v>
      </c>
      <c r="H4" s="14">
        <f>IF(AND(ISNUMBER(C4),ISNUMBER(G4)), C4-G4, "")</f>
        <v>-15005</v>
      </c>
      <c r="I4" s="15">
        <f>IFERROR(H4/G4, "")</f>
        <v>-0.64777240545674319</v>
      </c>
      <c r="J4" s="39" t="s">
        <v>119</v>
      </c>
      <c r="K4" s="59" t="s">
        <v>120</v>
      </c>
      <c r="L4" s="39" t="s">
        <v>132</v>
      </c>
      <c r="M4" s="66" t="s">
        <v>60</v>
      </c>
    </row>
    <row r="5" spans="1:13" ht="15.6">
      <c r="A5" s="28" t="str">
        <v>Murrieta - 28150 Keller Rd</v>
      </c>
      <c r="B5" s="29" t="str">
        <v>CA</v>
      </c>
      <c r="C5" s="11">
        <v>47620.5</v>
      </c>
      <c r="D5" s="16">
        <v>47514.35</v>
      </c>
      <c r="E5" s="16">
        <f t="shared" ref="E5:E10" si="0">IF(AND(ISNUMBER(C5),ISNUMBER(D5)), C5-D5, "")</f>
        <v>106.15000000000146</v>
      </c>
      <c r="F5" s="17">
        <f>IFERROR(E5/D5, "")</f>
        <v>2.2340619202409684E-3</v>
      </c>
      <c r="G5" s="18">
        <v>45719.18</v>
      </c>
      <c r="H5" s="18">
        <f t="shared" ref="H5:H10" si="1">IF(AND(ISNUMBER(C5),ISNUMBER(G5)), C5-G5, "")</f>
        <v>1901.3199999999997</v>
      </c>
      <c r="I5" s="17">
        <f t="shared" ref="I5:I10" si="2">IFERROR(H5/G5, "")</f>
        <v>4.1586922600099122E-2</v>
      </c>
      <c r="J5" s="40"/>
      <c r="K5" s="56"/>
      <c r="L5" s="40"/>
    </row>
    <row r="6" spans="1:13" ht="15.6">
      <c r="A6" s="26" t="str">
        <v>La Habra - 601 E Imperial Way</v>
      </c>
      <c r="B6" s="27" t="str">
        <v>CA</v>
      </c>
      <c r="C6" s="22">
        <v>9813.25</v>
      </c>
      <c r="D6" s="12">
        <v>7336.9089999999997</v>
      </c>
      <c r="E6" s="12">
        <f t="shared" si="0"/>
        <v>2476.3410000000003</v>
      </c>
      <c r="F6" s="13">
        <f t="shared" ref="F6:F10" si="3">IFERROR(E6/D6, "")</f>
        <v>0.33751829278514978</v>
      </c>
      <c r="G6" s="14">
        <v>8896.75</v>
      </c>
      <c r="H6" s="14">
        <f t="shared" si="1"/>
        <v>916.5</v>
      </c>
      <c r="I6" s="15">
        <f t="shared" si="2"/>
        <v>0.1030151459802737</v>
      </c>
      <c r="J6" s="39" t="s">
        <v>116</v>
      </c>
      <c r="K6" s="39"/>
      <c r="L6" s="39"/>
    </row>
    <row r="7" spans="1:13" ht="15.6">
      <c r="A7" s="28" t="str">
        <v>Kaiser - KP3 - SCA Skyport - CN7901 Site</v>
      </c>
      <c r="B7" s="29" t="str">
        <v>CA</v>
      </c>
      <c r="C7" s="11">
        <v>36049.048779999997</v>
      </c>
      <c r="D7" s="16">
        <v>39225.47</v>
      </c>
      <c r="E7" s="16">
        <f t="shared" si="0"/>
        <v>-3176.4212200000038</v>
      </c>
      <c r="F7" s="17">
        <f t="shared" si="3"/>
        <v>-8.0978538179402412E-2</v>
      </c>
      <c r="G7" s="18">
        <v>38287.42</v>
      </c>
      <c r="H7" s="18">
        <f t="shared" si="1"/>
        <v>-2238.3712200000009</v>
      </c>
      <c r="I7" s="17">
        <f t="shared" si="2"/>
        <v>-5.8462315298340839E-2</v>
      </c>
      <c r="J7" s="40"/>
      <c r="K7" s="41"/>
      <c r="L7" s="40"/>
    </row>
    <row r="8" spans="1:13" ht="15.75">
      <c r="A8" s="26" t="str">
        <v>Irwindale - 12761 Schabarum Ave</v>
      </c>
      <c r="B8" s="27" t="str">
        <v>CA</v>
      </c>
      <c r="C8" s="22">
        <v>11389</v>
      </c>
      <c r="D8" s="12">
        <v>9063.0540000000001</v>
      </c>
      <c r="E8" s="12">
        <f t="shared" si="0"/>
        <v>2325.9459999999999</v>
      </c>
      <c r="F8" s="13">
        <f t="shared" si="3"/>
        <v>0.25664042165036199</v>
      </c>
      <c r="G8" s="14">
        <v>15325.96</v>
      </c>
      <c r="H8" s="14">
        <f t="shared" si="1"/>
        <v>-3936.9599999999991</v>
      </c>
      <c r="I8" s="15">
        <f t="shared" si="2"/>
        <v>-0.25688178750303403</v>
      </c>
      <c r="J8" s="39" t="s">
        <v>127</v>
      </c>
      <c r="K8" s="59" t="s">
        <v>128</v>
      </c>
      <c r="L8" s="39" t="s">
        <v>129</v>
      </c>
    </row>
    <row r="9" spans="1:13" ht="15.6">
      <c r="A9" s="28" t="str">
        <v>Santa Rosa - 2240 Mercury Way</v>
      </c>
      <c r="B9" s="29" t="str">
        <v>CA</v>
      </c>
      <c r="C9" s="11">
        <v>24135.512149999999</v>
      </c>
      <c r="D9" s="16">
        <v>26085.84</v>
      </c>
      <c r="E9" s="16">
        <f t="shared" si="0"/>
        <v>-1950.3278500000015</v>
      </c>
      <c r="F9" s="17">
        <f t="shared" si="3"/>
        <v>-7.4765767558184884E-2</v>
      </c>
      <c r="G9" s="18">
        <v>35458</v>
      </c>
      <c r="H9" s="18">
        <f t="shared" si="1"/>
        <v>-11322.487850000001</v>
      </c>
      <c r="I9" s="17">
        <f t="shared" si="2"/>
        <v>-0.31932110807152125</v>
      </c>
      <c r="J9" s="40" t="s">
        <v>133</v>
      </c>
      <c r="K9" s="56"/>
      <c r="L9" s="40"/>
    </row>
    <row r="10" spans="1:13" ht="15.6">
      <c r="A10" s="26" t="str">
        <v>Dublin - 3100 Dublin Blvd</v>
      </c>
      <c r="B10" s="27" t="str">
        <v>CA</v>
      </c>
      <c r="C10" s="22">
        <v>61019</v>
      </c>
      <c r="D10" s="12">
        <v>54867.24</v>
      </c>
      <c r="E10" s="12">
        <f t="shared" si="0"/>
        <v>6151.760000000002</v>
      </c>
      <c r="F10" s="13">
        <f t="shared" si="3"/>
        <v>0.11212082109470063</v>
      </c>
      <c r="G10" s="14">
        <v>71401</v>
      </c>
      <c r="H10" s="14">
        <f t="shared" si="1"/>
        <v>-10382</v>
      </c>
      <c r="I10" s="15">
        <f t="shared" si="2"/>
        <v>-0.14540412599263317</v>
      </c>
      <c r="J10" s="39" t="s">
        <v>134</v>
      </c>
      <c r="K10" s="39"/>
      <c r="L10" s="39"/>
    </row>
    <row r="11" spans="1:13" ht="14.45">
      <c r="A11" s="19"/>
      <c r="B11" s="31"/>
      <c r="C11" s="19"/>
      <c r="D11" s="19"/>
      <c r="E11" s="19"/>
      <c r="F11" s="19"/>
      <c r="G11" s="19"/>
      <c r="H11" s="19"/>
      <c r="I11" s="19"/>
      <c r="J11" s="19"/>
      <c r="K11" s="19"/>
      <c r="L11" s="19"/>
    </row>
    <row r="12" spans="1:13" ht="14.45">
      <c r="A12" s="19"/>
      <c r="B12" s="31"/>
      <c r="C12" s="19"/>
      <c r="D12" s="19"/>
      <c r="E12" s="19"/>
      <c r="F12" s="19"/>
      <c r="G12" s="19"/>
      <c r="H12" s="19"/>
      <c r="I12" s="19"/>
      <c r="J12" s="19"/>
      <c r="K12" s="19"/>
      <c r="L12" s="19"/>
    </row>
    <row r="13" spans="1:13" ht="14.45">
      <c r="A13" s="19"/>
      <c r="B13" s="31"/>
      <c r="C13" s="19"/>
      <c r="D13" s="19"/>
      <c r="E13" s="19"/>
      <c r="F13" s="20"/>
      <c r="G13" s="19"/>
      <c r="H13" s="19"/>
      <c r="I13" s="20"/>
      <c r="J13" s="19"/>
      <c r="K13" s="19"/>
      <c r="L13" s="19"/>
    </row>
    <row r="14" spans="1:13" ht="14.45">
      <c r="A14" s="19"/>
      <c r="B14" s="31"/>
      <c r="C14" s="19"/>
      <c r="D14" s="19"/>
      <c r="E14" s="19"/>
      <c r="F14" s="20"/>
      <c r="G14" s="19"/>
      <c r="H14" s="19"/>
      <c r="I14" s="20"/>
      <c r="J14" s="19"/>
      <c r="K14" s="19"/>
      <c r="L14" s="19"/>
    </row>
    <row r="15" spans="1:13" ht="14.45">
      <c r="A15" s="19"/>
      <c r="B15" s="31"/>
      <c r="C15" s="19"/>
      <c r="D15" s="19"/>
      <c r="E15" s="19"/>
      <c r="F15" s="20"/>
      <c r="G15" s="19"/>
      <c r="H15" s="19"/>
      <c r="I15" s="20"/>
      <c r="J15" s="19"/>
      <c r="K15" s="19"/>
      <c r="L15" s="19"/>
    </row>
    <row r="16" spans="1:13" ht="14.45">
      <c r="A16" s="19"/>
      <c r="B16" s="31"/>
      <c r="C16" s="19"/>
      <c r="D16" s="19"/>
      <c r="E16" s="19"/>
      <c r="F16" s="20"/>
      <c r="G16" s="19"/>
      <c r="H16" s="19"/>
      <c r="I16" s="20"/>
      <c r="J16" s="19"/>
      <c r="K16" s="19"/>
      <c r="L16" s="19"/>
    </row>
    <row r="17" spans="1:12" ht="15">
      <c r="A17" s="19"/>
      <c r="B17" s="31"/>
      <c r="C17" s="19"/>
      <c r="D17" s="19"/>
      <c r="E17" s="19"/>
      <c r="F17" s="20"/>
      <c r="G17" s="19"/>
      <c r="H17" s="19"/>
      <c r="I17" s="20"/>
      <c r="J17" s="19"/>
      <c r="K17" s="19"/>
      <c r="L17" s="19"/>
    </row>
    <row r="18" spans="1:12" ht="14.45">
      <c r="A18" s="19"/>
      <c r="B18" s="31"/>
      <c r="C18" s="19"/>
      <c r="D18" s="19"/>
      <c r="E18" s="19"/>
      <c r="F18" s="20"/>
      <c r="G18" s="19"/>
      <c r="H18" s="19"/>
      <c r="I18" s="20"/>
      <c r="J18" s="19"/>
      <c r="K18" s="19"/>
      <c r="L18" s="19"/>
    </row>
    <row r="19" spans="1:12" ht="14.45">
      <c r="A19" s="19"/>
      <c r="B19" s="31"/>
      <c r="C19" s="19"/>
      <c r="D19" s="19"/>
      <c r="E19" s="19"/>
      <c r="F19" s="20"/>
      <c r="G19" s="19"/>
      <c r="H19" s="19"/>
      <c r="I19" s="20"/>
      <c r="J19" s="19"/>
      <c r="K19" s="19"/>
      <c r="L19" s="19"/>
    </row>
    <row r="20" spans="1:12" ht="14.45">
      <c r="A20" s="19"/>
      <c r="B20" s="31"/>
      <c r="C20" s="19"/>
      <c r="D20" s="19"/>
      <c r="E20" s="19"/>
      <c r="F20" s="20"/>
      <c r="G20" s="19"/>
      <c r="H20" s="19"/>
      <c r="I20" s="20"/>
      <c r="J20" s="19"/>
      <c r="K20" s="19"/>
      <c r="L20" s="19"/>
    </row>
    <row r="21" spans="1:12" ht="14.45">
      <c r="A21" s="19"/>
      <c r="B21" s="31"/>
      <c r="C21" s="19"/>
      <c r="D21" s="19"/>
      <c r="E21" s="19"/>
      <c r="F21" s="20"/>
      <c r="G21" s="19"/>
      <c r="H21" s="19"/>
      <c r="I21" s="20"/>
      <c r="J21" s="19"/>
      <c r="K21" s="19"/>
      <c r="L21" s="19"/>
    </row>
    <row r="22" spans="1:12" ht="14.45">
      <c r="A22" s="19"/>
      <c r="B22" s="31"/>
      <c r="C22" s="19"/>
      <c r="D22" s="19"/>
      <c r="E22" s="19"/>
      <c r="F22" s="20"/>
      <c r="G22" s="19"/>
      <c r="H22" s="19"/>
      <c r="I22" s="20"/>
      <c r="J22" s="19"/>
      <c r="K22" s="19"/>
      <c r="L22" s="19"/>
    </row>
    <row r="23" spans="1:12" ht="14.45">
      <c r="A23" s="19"/>
      <c r="B23" s="31"/>
      <c r="C23" s="19"/>
      <c r="D23" s="19"/>
      <c r="E23" s="19"/>
      <c r="F23" s="20"/>
      <c r="G23" s="19"/>
      <c r="H23" s="19"/>
      <c r="I23" s="20"/>
      <c r="J23" s="19"/>
      <c r="K23" s="19"/>
      <c r="L23" s="19"/>
    </row>
    <row r="24" spans="1:12" ht="14.45">
      <c r="A24" s="19"/>
      <c r="B24" s="31"/>
      <c r="C24" s="19"/>
      <c r="D24" s="19"/>
      <c r="E24" s="19"/>
      <c r="F24" s="20"/>
      <c r="G24" s="19"/>
      <c r="H24" s="19"/>
      <c r="I24" s="20"/>
      <c r="J24" s="19"/>
      <c r="K24" s="19"/>
      <c r="L24" s="19"/>
    </row>
    <row r="25" spans="1:12" ht="14.45">
      <c r="A25" s="19"/>
      <c r="B25" s="31"/>
      <c r="C25" s="19"/>
      <c r="D25" s="19"/>
      <c r="E25" s="19"/>
      <c r="F25" s="20"/>
      <c r="G25" s="19"/>
      <c r="H25" s="19"/>
      <c r="I25" s="20"/>
      <c r="J25" s="19"/>
      <c r="K25" s="19"/>
      <c r="L25" s="19"/>
    </row>
    <row r="26" spans="1:12" ht="14.45">
      <c r="A26" s="19"/>
      <c r="B26" s="31"/>
      <c r="C26" s="19"/>
      <c r="D26" s="19"/>
      <c r="E26" s="19"/>
      <c r="F26" s="20"/>
      <c r="G26" s="19"/>
      <c r="H26" s="19"/>
      <c r="I26" s="20"/>
      <c r="J26" s="19"/>
      <c r="K26" s="19"/>
      <c r="L26" s="19"/>
    </row>
    <row r="27" spans="1:12" ht="14.45">
      <c r="A27" s="19"/>
      <c r="B27" s="31"/>
      <c r="C27" s="19"/>
      <c r="D27" s="19"/>
      <c r="E27" s="19"/>
      <c r="F27" s="20"/>
      <c r="G27" s="19"/>
      <c r="H27" s="19"/>
      <c r="I27" s="20"/>
      <c r="J27" s="19"/>
      <c r="K27" s="19"/>
      <c r="L27" s="19"/>
    </row>
    <row r="28" spans="1:12" ht="14.45">
      <c r="A28" s="19"/>
      <c r="B28" s="31"/>
      <c r="C28" s="19"/>
      <c r="D28" s="19"/>
      <c r="E28" s="19"/>
      <c r="F28" s="20"/>
      <c r="G28" s="19"/>
      <c r="H28" s="19"/>
      <c r="I28" s="20"/>
      <c r="J28" s="19"/>
      <c r="K28" s="19"/>
      <c r="L28" s="19"/>
    </row>
    <row r="29" spans="1:12" ht="14.45">
      <c r="A29" s="19"/>
      <c r="B29" s="31"/>
      <c r="C29" s="19"/>
      <c r="D29" s="19"/>
      <c r="E29" s="19"/>
      <c r="F29" s="20"/>
      <c r="G29" s="19"/>
      <c r="H29" s="19"/>
      <c r="I29" s="20"/>
      <c r="J29" s="19"/>
      <c r="K29" s="19"/>
      <c r="L29" s="19"/>
    </row>
    <row r="30" spans="1:12" ht="14.45">
      <c r="A30" s="19"/>
      <c r="B30" s="31"/>
      <c r="C30" s="19"/>
      <c r="D30" s="19"/>
      <c r="E30" s="19"/>
      <c r="F30" s="20"/>
      <c r="G30" s="19"/>
      <c r="H30" s="19"/>
      <c r="I30" s="20"/>
      <c r="J30" s="19"/>
      <c r="K30" s="19"/>
      <c r="L30" s="19"/>
    </row>
    <row r="31" spans="1:12" ht="14.45">
      <c r="A31" s="19"/>
      <c r="B31" s="31"/>
      <c r="C31" s="19"/>
      <c r="D31" s="19"/>
      <c r="E31" s="19"/>
      <c r="F31" s="20"/>
      <c r="G31" s="19"/>
      <c r="H31" s="19"/>
      <c r="I31" s="20"/>
      <c r="J31" s="19"/>
      <c r="K31" s="19"/>
      <c r="L31" s="19"/>
    </row>
    <row r="32" spans="1:12" ht="14.45">
      <c r="A32" s="19"/>
      <c r="B32" s="31"/>
      <c r="C32" s="19"/>
      <c r="D32" s="19"/>
      <c r="E32" s="19"/>
      <c r="F32" s="20"/>
      <c r="G32" s="19"/>
      <c r="H32" s="19"/>
      <c r="I32" s="20"/>
      <c r="J32" s="19"/>
      <c r="K32" s="19"/>
      <c r="L32" s="19"/>
    </row>
    <row r="33" spans="1:12" ht="14.45">
      <c r="A33" s="19"/>
      <c r="B33" s="31"/>
      <c r="C33" s="19"/>
      <c r="D33" s="19"/>
      <c r="E33" s="19"/>
      <c r="F33" s="20"/>
      <c r="G33" s="19"/>
      <c r="H33" s="19"/>
      <c r="I33" s="20"/>
      <c r="J33" s="19"/>
      <c r="K33" s="19"/>
      <c r="L33" s="19"/>
    </row>
    <row r="34" spans="1:12" ht="14.45">
      <c r="A34" s="19"/>
      <c r="B34" s="31"/>
      <c r="C34" s="19"/>
      <c r="D34" s="19"/>
      <c r="E34" s="19"/>
      <c r="F34" s="20"/>
      <c r="G34" s="19"/>
      <c r="H34" s="19"/>
      <c r="I34" s="20"/>
      <c r="J34" s="19"/>
      <c r="K34" s="19"/>
      <c r="L34" s="19"/>
    </row>
    <row r="35" spans="1:12" ht="14.45">
      <c r="A35" s="19"/>
      <c r="B35" s="31"/>
      <c r="C35" s="19"/>
      <c r="D35" s="19"/>
      <c r="E35" s="19"/>
      <c r="F35" s="20"/>
      <c r="G35" s="19"/>
      <c r="H35" s="19"/>
      <c r="I35" s="20"/>
      <c r="J35" s="19"/>
      <c r="K35" s="19"/>
      <c r="L35" s="19"/>
    </row>
    <row r="36" spans="1:12" ht="14.45">
      <c r="A36" s="19"/>
      <c r="B36" s="31"/>
      <c r="C36" s="19"/>
      <c r="D36" s="19"/>
      <c r="E36" s="19"/>
      <c r="F36" s="20"/>
      <c r="G36" s="19"/>
      <c r="H36" s="19"/>
      <c r="I36" s="20"/>
      <c r="J36" s="19"/>
      <c r="K36" s="19"/>
      <c r="L36" s="19"/>
    </row>
    <row r="37" spans="1:12" ht="14.45">
      <c r="A37" s="19"/>
      <c r="B37" s="31"/>
      <c r="C37" s="19"/>
      <c r="D37" s="19"/>
      <c r="E37" s="19"/>
      <c r="F37" s="20"/>
      <c r="G37" s="19"/>
      <c r="H37" s="19"/>
      <c r="I37" s="20"/>
      <c r="J37" s="19"/>
      <c r="K37" s="19"/>
      <c r="L37" s="19"/>
    </row>
    <row r="38" spans="1:12" ht="14.45">
      <c r="A38" s="19"/>
      <c r="B38" s="31"/>
      <c r="C38" s="19"/>
      <c r="D38" s="19"/>
      <c r="E38" s="19"/>
      <c r="F38" s="20"/>
      <c r="G38" s="19"/>
      <c r="H38" s="19"/>
      <c r="I38" s="20"/>
      <c r="J38" s="19"/>
      <c r="K38" s="19"/>
      <c r="L38" s="19"/>
    </row>
    <row r="39" spans="1:12" ht="14.45">
      <c r="A39" s="19"/>
      <c r="B39" s="31"/>
      <c r="C39" s="19"/>
      <c r="D39" s="19"/>
      <c r="E39" s="19"/>
      <c r="F39" s="20"/>
      <c r="G39" s="19"/>
      <c r="H39" s="19"/>
      <c r="I39" s="20"/>
      <c r="J39" s="19"/>
      <c r="K39" s="19"/>
      <c r="L39" s="19"/>
    </row>
    <row r="40" spans="1:12" ht="14.45">
      <c r="A40" s="19"/>
      <c r="B40" s="31"/>
      <c r="C40" s="19"/>
      <c r="D40" s="19"/>
      <c r="E40" s="19"/>
      <c r="F40" s="20"/>
      <c r="G40" s="19"/>
      <c r="H40" s="19"/>
      <c r="I40" s="20"/>
      <c r="J40" s="19"/>
      <c r="K40" s="19"/>
      <c r="L40" s="19"/>
    </row>
    <row r="41" spans="1:12" ht="14.45">
      <c r="A41" s="19"/>
      <c r="B41" s="31"/>
      <c r="C41" s="19"/>
      <c r="D41" s="19"/>
      <c r="E41" s="19"/>
      <c r="F41" s="20"/>
      <c r="G41" s="19"/>
      <c r="H41" s="19"/>
      <c r="I41" s="20"/>
      <c r="J41" s="19"/>
      <c r="K41" s="19"/>
      <c r="L41" s="19"/>
    </row>
    <row r="42" spans="1:12" ht="14.45">
      <c r="A42" s="19"/>
      <c r="B42" s="31"/>
      <c r="C42" s="19"/>
      <c r="D42" s="19"/>
      <c r="E42" s="19"/>
      <c r="F42" s="20"/>
      <c r="G42" s="19"/>
      <c r="H42" s="19"/>
      <c r="I42" s="20"/>
      <c r="J42" s="19"/>
      <c r="K42" s="19"/>
      <c r="L42" s="19"/>
    </row>
    <row r="43" spans="1:12" ht="14.45">
      <c r="A43" s="19"/>
      <c r="B43" s="31"/>
      <c r="C43" s="19"/>
      <c r="D43" s="19"/>
      <c r="E43" s="19"/>
      <c r="F43" s="20"/>
      <c r="G43" s="19"/>
      <c r="H43" s="19"/>
      <c r="I43" s="20"/>
      <c r="J43" s="19"/>
      <c r="K43" s="19"/>
      <c r="L43" s="19"/>
    </row>
    <row r="44" spans="1:12" ht="14.45">
      <c r="A44" s="19"/>
      <c r="B44" s="31"/>
      <c r="C44" s="19"/>
      <c r="D44" s="19"/>
      <c r="E44" s="19"/>
      <c r="F44" s="20"/>
      <c r="G44" s="19"/>
      <c r="H44" s="19"/>
      <c r="I44" s="20"/>
      <c r="J44" s="19"/>
      <c r="K44" s="19"/>
      <c r="L44" s="19"/>
    </row>
    <row r="45" spans="1:12" ht="14.45">
      <c r="A45" s="19"/>
      <c r="B45" s="31"/>
      <c r="C45" s="19"/>
      <c r="D45" s="19"/>
      <c r="E45" s="19"/>
      <c r="F45" s="20"/>
      <c r="G45" s="19"/>
      <c r="H45" s="19"/>
      <c r="I45" s="20"/>
      <c r="J45" s="19"/>
      <c r="K45" s="19"/>
      <c r="L45" s="19"/>
    </row>
    <row r="46" spans="1:12" ht="14.45">
      <c r="A46" s="19"/>
      <c r="B46" s="31"/>
      <c r="C46" s="19"/>
      <c r="D46" s="19"/>
      <c r="E46" s="19"/>
      <c r="F46" s="20"/>
      <c r="G46" s="19"/>
      <c r="H46" s="19"/>
      <c r="I46" s="20"/>
      <c r="J46" s="19"/>
      <c r="K46" s="19"/>
      <c r="L46" s="19"/>
    </row>
    <row r="47" spans="1:12" ht="14.45">
      <c r="A47" s="19"/>
      <c r="B47" s="31"/>
      <c r="C47" s="19"/>
      <c r="D47" s="19"/>
      <c r="E47" s="19"/>
      <c r="F47" s="20"/>
      <c r="G47" s="19"/>
      <c r="H47" s="19"/>
      <c r="I47" s="20"/>
      <c r="J47" s="19"/>
      <c r="K47" s="19"/>
      <c r="L47" s="19"/>
    </row>
    <row r="48" spans="1:12" ht="14.45">
      <c r="A48" s="19"/>
      <c r="B48" s="31"/>
      <c r="C48" s="19"/>
      <c r="D48" s="19"/>
      <c r="E48" s="19"/>
      <c r="F48" s="20"/>
      <c r="G48" s="19"/>
      <c r="H48" s="19"/>
      <c r="I48" s="20"/>
      <c r="J48" s="19"/>
      <c r="K48" s="19"/>
      <c r="L48" s="19"/>
    </row>
    <row r="49" spans="1:12" ht="14.45">
      <c r="A49" s="19"/>
      <c r="B49" s="31"/>
      <c r="C49" s="19"/>
      <c r="D49" s="19"/>
      <c r="E49" s="19"/>
      <c r="F49" s="20"/>
      <c r="G49" s="19"/>
      <c r="H49" s="19"/>
      <c r="I49" s="20"/>
      <c r="J49" s="19"/>
      <c r="K49" s="19"/>
      <c r="L49" s="19"/>
    </row>
    <row r="50" spans="1:12" ht="14.45">
      <c r="A50" s="19"/>
      <c r="B50" s="31"/>
      <c r="C50" s="19"/>
      <c r="D50" s="19"/>
      <c r="E50" s="19"/>
      <c r="F50" s="20"/>
      <c r="G50" s="19"/>
      <c r="H50" s="19"/>
      <c r="I50" s="20"/>
      <c r="J50" s="19"/>
      <c r="K50" s="19"/>
      <c r="L50" s="19"/>
    </row>
    <row r="51" spans="1:12" ht="14.45">
      <c r="A51" s="19"/>
      <c r="B51" s="31"/>
      <c r="C51" s="19"/>
      <c r="D51" s="19"/>
      <c r="E51" s="19"/>
      <c r="F51" s="20"/>
      <c r="G51" s="19"/>
      <c r="H51" s="19"/>
      <c r="I51" s="20"/>
      <c r="J51" s="19"/>
      <c r="K51" s="19"/>
      <c r="L51" s="19"/>
    </row>
    <row r="52" spans="1:12" ht="14.45">
      <c r="A52" s="19"/>
      <c r="B52" s="31"/>
      <c r="C52" s="19"/>
      <c r="D52" s="19"/>
      <c r="E52" s="19"/>
      <c r="F52" s="20"/>
      <c r="G52" s="19"/>
      <c r="H52" s="19"/>
      <c r="I52" s="20"/>
      <c r="J52" s="19"/>
      <c r="K52" s="19"/>
      <c r="L52" s="19"/>
    </row>
    <row r="53" spans="1:12" ht="14.45">
      <c r="A53" s="19"/>
      <c r="B53" s="31"/>
      <c r="C53" s="19"/>
      <c r="D53" s="19"/>
      <c r="E53" s="19"/>
      <c r="F53" s="20"/>
      <c r="G53" s="19"/>
      <c r="H53" s="19"/>
      <c r="I53" s="20"/>
      <c r="J53" s="19"/>
      <c r="K53" s="19"/>
      <c r="L53" s="19"/>
    </row>
    <row r="54" spans="1:12" ht="14.45">
      <c r="A54" s="19"/>
      <c r="B54" s="31"/>
      <c r="C54" s="19"/>
      <c r="D54" s="19"/>
      <c r="E54" s="19"/>
      <c r="F54" s="20"/>
      <c r="G54" s="19"/>
      <c r="H54" s="19"/>
      <c r="I54" s="20"/>
      <c r="J54" s="19"/>
      <c r="K54" s="19"/>
      <c r="L54" s="19"/>
    </row>
    <row r="55" spans="1:12" ht="14.45">
      <c r="A55" s="19"/>
      <c r="B55" s="31"/>
      <c r="C55" s="19"/>
      <c r="D55" s="19"/>
      <c r="E55" s="19"/>
      <c r="F55" s="20"/>
      <c r="G55" s="19"/>
      <c r="H55" s="19"/>
      <c r="I55" s="20"/>
      <c r="J55" s="19"/>
      <c r="K55" s="19"/>
      <c r="L55" s="19"/>
    </row>
    <row r="56" spans="1:12" ht="14.45">
      <c r="A56" s="19"/>
      <c r="B56" s="31"/>
      <c r="C56" s="19"/>
      <c r="D56" s="19"/>
      <c r="E56" s="19"/>
      <c r="F56" s="20"/>
      <c r="G56" s="19"/>
      <c r="H56" s="19"/>
      <c r="I56" s="20"/>
      <c r="J56" s="19"/>
      <c r="K56" s="19"/>
      <c r="L56" s="19"/>
    </row>
    <row r="57" spans="1:12" ht="14.45">
      <c r="A57" s="19"/>
      <c r="B57" s="31"/>
      <c r="C57" s="19"/>
      <c r="D57" s="19"/>
      <c r="E57" s="19"/>
      <c r="F57" s="20"/>
      <c r="G57" s="19"/>
      <c r="H57" s="19"/>
      <c r="I57" s="20"/>
      <c r="J57" s="19"/>
      <c r="K57" s="19"/>
      <c r="L57" s="19"/>
    </row>
    <row r="58" spans="1:12" ht="14.45">
      <c r="A58" s="19"/>
      <c r="B58" s="31"/>
      <c r="C58" s="19"/>
      <c r="D58" s="19"/>
      <c r="E58" s="19"/>
      <c r="F58" s="20"/>
      <c r="G58" s="19"/>
      <c r="H58" s="19"/>
      <c r="I58" s="20"/>
      <c r="J58" s="19"/>
      <c r="K58" s="19"/>
      <c r="L58" s="19"/>
    </row>
    <row r="59" spans="1:12" ht="14.45">
      <c r="A59" s="19"/>
      <c r="B59" s="31"/>
      <c r="C59" s="19"/>
      <c r="D59" s="19"/>
      <c r="E59" s="19"/>
      <c r="F59" s="20"/>
      <c r="G59" s="19"/>
      <c r="H59" s="19"/>
      <c r="I59" s="20"/>
      <c r="J59" s="19"/>
      <c r="K59" s="19"/>
      <c r="L59" s="19"/>
    </row>
    <row r="60" spans="1:12" ht="14.45">
      <c r="A60" s="19"/>
      <c r="B60" s="31"/>
      <c r="C60" s="19"/>
      <c r="D60" s="19"/>
      <c r="E60" s="19"/>
      <c r="F60" s="20"/>
      <c r="G60" s="19"/>
      <c r="H60" s="19"/>
      <c r="I60" s="20"/>
      <c r="J60" s="19"/>
      <c r="K60" s="19"/>
      <c r="L60" s="19"/>
    </row>
    <row r="61" spans="1:12" ht="14.45">
      <c r="A61" s="19"/>
      <c r="B61" s="31"/>
      <c r="C61" s="19"/>
      <c r="D61" s="19"/>
      <c r="E61" s="19"/>
      <c r="F61" s="20"/>
      <c r="G61" s="19"/>
      <c r="H61" s="19"/>
      <c r="I61" s="20"/>
      <c r="J61" s="19"/>
      <c r="K61" s="19"/>
      <c r="L61" s="19"/>
    </row>
    <row r="62" spans="1:12" ht="14.45">
      <c r="A62" s="19"/>
      <c r="B62" s="31"/>
      <c r="C62" s="19"/>
      <c r="D62" s="19"/>
      <c r="E62" s="19"/>
      <c r="F62" s="20"/>
      <c r="G62" s="19"/>
      <c r="H62" s="19"/>
      <c r="I62" s="20"/>
      <c r="J62" s="19"/>
      <c r="K62" s="19"/>
      <c r="L62" s="19"/>
    </row>
    <row r="63" spans="1:12" ht="14.45">
      <c r="A63" s="19"/>
      <c r="B63" s="31"/>
      <c r="C63" s="19"/>
      <c r="D63" s="19"/>
      <c r="E63" s="19"/>
      <c r="F63" s="20"/>
      <c r="G63" s="19"/>
      <c r="H63" s="19"/>
      <c r="I63" s="20"/>
      <c r="J63" s="19"/>
      <c r="K63" s="19"/>
      <c r="L63" s="19"/>
    </row>
    <row r="64" spans="1:12" ht="14.45">
      <c r="A64" s="19"/>
      <c r="B64" s="31"/>
      <c r="C64" s="19"/>
      <c r="D64" s="19"/>
      <c r="E64" s="19"/>
      <c r="F64" s="20"/>
      <c r="G64" s="19"/>
      <c r="H64" s="19"/>
      <c r="I64" s="20"/>
      <c r="J64" s="19"/>
      <c r="K64" s="19"/>
      <c r="L64" s="19"/>
    </row>
    <row r="65" spans="1:12" ht="14.45">
      <c r="A65" s="19"/>
      <c r="B65" s="31"/>
      <c r="C65" s="19"/>
      <c r="D65" s="19"/>
      <c r="E65" s="19"/>
      <c r="F65" s="20"/>
      <c r="G65" s="19"/>
      <c r="H65" s="19"/>
      <c r="I65" s="20"/>
      <c r="J65" s="19"/>
      <c r="K65" s="19"/>
      <c r="L65" s="19"/>
    </row>
    <row r="66" spans="1:12" ht="14.45">
      <c r="A66" s="19"/>
      <c r="B66" s="31"/>
      <c r="C66" s="19"/>
      <c r="D66" s="19"/>
      <c r="E66" s="19"/>
      <c r="F66" s="20"/>
      <c r="G66" s="19"/>
      <c r="H66" s="19"/>
      <c r="I66" s="20"/>
      <c r="J66" s="19"/>
      <c r="K66" s="19"/>
      <c r="L66" s="19"/>
    </row>
    <row r="67" spans="1:12" ht="14.45">
      <c r="A67" s="19"/>
      <c r="B67" s="31"/>
      <c r="C67" s="19"/>
      <c r="D67" s="19"/>
      <c r="E67" s="19"/>
      <c r="F67" s="20"/>
      <c r="G67" s="19"/>
      <c r="H67" s="19"/>
      <c r="I67" s="20"/>
      <c r="J67" s="19"/>
      <c r="K67" s="19"/>
      <c r="L67" s="19"/>
    </row>
    <row r="68" spans="1:12" ht="14.45">
      <c r="A68" s="19"/>
      <c r="B68" s="31"/>
      <c r="C68" s="19"/>
      <c r="D68" s="19"/>
      <c r="E68" s="19"/>
      <c r="F68" s="20"/>
      <c r="G68" s="19"/>
      <c r="H68" s="19"/>
      <c r="I68" s="20"/>
      <c r="J68" s="19"/>
      <c r="K68" s="19"/>
      <c r="L68" s="19"/>
    </row>
    <row r="69" spans="1:12" ht="14.45">
      <c r="A69" s="19"/>
      <c r="B69" s="31"/>
      <c r="C69" s="19"/>
      <c r="D69" s="19"/>
      <c r="E69" s="19"/>
      <c r="F69" s="20"/>
      <c r="G69" s="19"/>
      <c r="H69" s="19"/>
      <c r="I69" s="20"/>
      <c r="J69" s="19"/>
      <c r="K69" s="19"/>
      <c r="L69" s="19"/>
    </row>
    <row r="70" spans="1:12" ht="14.45">
      <c r="A70" s="19"/>
      <c r="B70" s="31"/>
      <c r="C70" s="19"/>
      <c r="D70" s="19"/>
      <c r="E70" s="19"/>
      <c r="F70" s="20"/>
      <c r="G70" s="19"/>
      <c r="H70" s="19"/>
      <c r="I70" s="20"/>
      <c r="J70" s="19"/>
      <c r="K70" s="19"/>
      <c r="L70" s="19"/>
    </row>
    <row r="71" spans="1:12" ht="14.45">
      <c r="A71" s="19"/>
      <c r="B71" s="31"/>
      <c r="C71" s="19"/>
      <c r="D71" s="19"/>
      <c r="E71" s="19"/>
      <c r="F71" s="20"/>
      <c r="G71" s="19"/>
      <c r="H71" s="19"/>
      <c r="I71" s="20"/>
      <c r="J71" s="19"/>
      <c r="K71" s="19"/>
      <c r="L71" s="19"/>
    </row>
    <row r="72" spans="1:12" ht="14.45">
      <c r="A72" s="19"/>
      <c r="B72" s="31"/>
      <c r="C72" s="19"/>
      <c r="D72" s="19"/>
      <c r="E72" s="19"/>
      <c r="F72" s="20"/>
      <c r="G72" s="19"/>
      <c r="H72" s="19"/>
      <c r="I72" s="20"/>
      <c r="J72" s="19"/>
      <c r="K72" s="19"/>
      <c r="L72" s="19"/>
    </row>
    <row r="73" spans="1:12" ht="14.45">
      <c r="A73" s="19"/>
      <c r="B73" s="31"/>
      <c r="C73" s="19"/>
      <c r="D73" s="19"/>
      <c r="E73" s="19"/>
      <c r="F73" s="20"/>
      <c r="G73" s="19"/>
      <c r="H73" s="19"/>
      <c r="I73" s="20"/>
      <c r="J73" s="19"/>
      <c r="K73" s="19"/>
      <c r="L73" s="19"/>
    </row>
    <row r="74" spans="1:12" ht="14.45">
      <c r="A74" s="19"/>
      <c r="B74" s="31"/>
      <c r="C74" s="19"/>
      <c r="D74" s="19"/>
      <c r="E74" s="19"/>
      <c r="F74" s="20"/>
      <c r="G74" s="19"/>
      <c r="H74" s="19"/>
      <c r="I74" s="20"/>
      <c r="J74" s="19"/>
      <c r="K74" s="19"/>
      <c r="L74" s="19"/>
    </row>
    <row r="75" spans="1:12" ht="14.45">
      <c r="A75" s="19"/>
      <c r="B75" s="31"/>
      <c r="C75" s="19"/>
      <c r="D75" s="19"/>
      <c r="E75" s="19"/>
      <c r="F75" s="20"/>
      <c r="G75" s="19"/>
      <c r="H75" s="19"/>
      <c r="I75" s="20"/>
      <c r="J75" s="19"/>
      <c r="K75" s="19"/>
      <c r="L75" s="19"/>
    </row>
    <row r="76" spans="1:12" ht="14.45">
      <c r="A76" s="19"/>
      <c r="B76" s="31"/>
      <c r="C76" s="19"/>
      <c r="D76" s="19"/>
      <c r="E76" s="19"/>
      <c r="F76" s="20"/>
      <c r="G76" s="19"/>
      <c r="H76" s="19"/>
      <c r="I76" s="20"/>
      <c r="J76" s="19"/>
      <c r="K76" s="19"/>
      <c r="L76" s="19"/>
    </row>
    <row r="77" spans="1:12" ht="14.45">
      <c r="A77" s="19"/>
      <c r="B77" s="31"/>
      <c r="C77" s="19"/>
      <c r="D77" s="19"/>
      <c r="E77" s="19"/>
      <c r="F77" s="20"/>
      <c r="G77" s="19"/>
      <c r="H77" s="19"/>
      <c r="I77" s="20"/>
      <c r="J77" s="19"/>
      <c r="K77" s="19"/>
      <c r="L77" s="19"/>
    </row>
    <row r="78" spans="1:12" ht="14.45">
      <c r="A78" s="19"/>
      <c r="B78" s="31"/>
      <c r="C78" s="19"/>
      <c r="D78" s="19"/>
      <c r="E78" s="19"/>
      <c r="F78" s="20"/>
      <c r="G78" s="19"/>
      <c r="H78" s="19"/>
      <c r="I78" s="20"/>
      <c r="J78" s="19"/>
      <c r="K78" s="19"/>
      <c r="L78" s="19"/>
    </row>
    <row r="79" spans="1:12" ht="14.45">
      <c r="A79" s="19"/>
      <c r="B79" s="31"/>
      <c r="C79" s="19"/>
      <c r="D79" s="19"/>
      <c r="E79" s="19"/>
      <c r="F79" s="20"/>
      <c r="G79" s="19"/>
      <c r="H79" s="19"/>
      <c r="I79" s="20"/>
      <c r="J79" s="19"/>
      <c r="K79" s="19"/>
      <c r="L79" s="19"/>
    </row>
    <row r="80" spans="1:12" ht="14.45">
      <c r="A80" s="19"/>
      <c r="B80" s="31"/>
      <c r="C80" s="19"/>
      <c r="D80" s="19"/>
      <c r="E80" s="19"/>
      <c r="F80" s="20"/>
      <c r="G80" s="19"/>
      <c r="H80" s="19"/>
      <c r="I80" s="20"/>
      <c r="J80" s="19"/>
      <c r="K80" s="19"/>
      <c r="L80" s="19"/>
    </row>
    <row r="81" spans="1:12" ht="14.45">
      <c r="A81" s="19"/>
      <c r="B81" s="31"/>
      <c r="C81" s="19"/>
      <c r="D81" s="19"/>
      <c r="E81" s="19"/>
      <c r="F81" s="20"/>
      <c r="G81" s="19"/>
      <c r="H81" s="19"/>
      <c r="I81" s="20"/>
      <c r="J81" s="19"/>
      <c r="K81" s="19"/>
      <c r="L81" s="19"/>
    </row>
    <row r="82" spans="1:12" ht="14.45">
      <c r="A82" s="19"/>
      <c r="B82" s="31"/>
      <c r="C82" s="19"/>
      <c r="D82" s="19"/>
      <c r="E82" s="19"/>
      <c r="F82" s="20"/>
      <c r="G82" s="19"/>
      <c r="H82" s="19"/>
      <c r="I82" s="20"/>
      <c r="J82" s="19"/>
      <c r="K82" s="19"/>
      <c r="L82" s="19"/>
    </row>
    <row r="83" spans="1:12" ht="14.45">
      <c r="A83" s="19"/>
      <c r="B83" s="31"/>
      <c r="C83" s="19"/>
      <c r="D83" s="19"/>
      <c r="E83" s="19"/>
      <c r="F83" s="20"/>
      <c r="G83" s="19"/>
      <c r="H83" s="19"/>
      <c r="I83" s="20"/>
      <c r="J83" s="19"/>
      <c r="K83" s="19"/>
      <c r="L83" s="19"/>
    </row>
    <row r="84" spans="1:12" ht="14.45">
      <c r="A84" s="19"/>
      <c r="B84" s="31"/>
      <c r="C84" s="19"/>
      <c r="D84" s="19"/>
      <c r="E84" s="19"/>
      <c r="F84" s="20"/>
      <c r="G84" s="19"/>
      <c r="H84" s="19"/>
      <c r="I84" s="20"/>
      <c r="J84" s="19"/>
      <c r="K84" s="19"/>
      <c r="L84" s="19"/>
    </row>
    <row r="85" spans="1:12" ht="14.45">
      <c r="A85" s="19"/>
      <c r="B85" s="31"/>
      <c r="C85" s="19"/>
      <c r="D85" s="19"/>
      <c r="E85" s="19"/>
      <c r="F85" s="20"/>
      <c r="G85" s="19"/>
      <c r="H85" s="19"/>
      <c r="I85" s="20"/>
      <c r="J85" s="19"/>
      <c r="K85" s="19"/>
      <c r="L85" s="19"/>
    </row>
    <row r="86" spans="1:12" ht="14.45">
      <c r="A86" s="19"/>
      <c r="B86" s="31"/>
      <c r="C86" s="19"/>
      <c r="D86" s="19"/>
      <c r="E86" s="19"/>
      <c r="F86" s="20"/>
      <c r="G86" s="19"/>
      <c r="H86" s="19"/>
      <c r="I86" s="20"/>
      <c r="J86" s="19"/>
      <c r="K86" s="19"/>
      <c r="L86" s="19"/>
    </row>
    <row r="87" spans="1:12" ht="14.45">
      <c r="A87" s="19"/>
      <c r="B87" s="31"/>
      <c r="C87" s="19"/>
      <c r="D87" s="19"/>
      <c r="E87" s="19"/>
      <c r="F87" s="20"/>
      <c r="G87" s="19"/>
      <c r="H87" s="19"/>
      <c r="I87" s="20"/>
      <c r="J87" s="19"/>
      <c r="K87" s="19"/>
      <c r="L87" s="19"/>
    </row>
    <row r="88" spans="1:12" ht="14.45">
      <c r="A88" s="19"/>
      <c r="B88" s="31"/>
      <c r="C88" s="19"/>
      <c r="D88" s="19"/>
      <c r="E88" s="19"/>
      <c r="F88" s="20"/>
      <c r="G88" s="19"/>
      <c r="H88" s="19"/>
      <c r="I88" s="20"/>
      <c r="J88" s="19"/>
      <c r="K88" s="19"/>
      <c r="L88" s="19"/>
    </row>
    <row r="89" spans="1:12" ht="14.45">
      <c r="A89" s="19"/>
      <c r="B89" s="31"/>
      <c r="C89" s="19"/>
      <c r="D89" s="19"/>
      <c r="E89" s="19"/>
      <c r="F89" s="20"/>
      <c r="G89" s="19"/>
      <c r="H89" s="19"/>
      <c r="I89" s="20"/>
      <c r="J89" s="19"/>
      <c r="K89" s="19"/>
      <c r="L89" s="19"/>
    </row>
    <row r="90" spans="1:12" ht="14.45">
      <c r="A90" s="19"/>
      <c r="B90" s="31"/>
      <c r="C90" s="19"/>
      <c r="D90" s="19"/>
      <c r="E90" s="19"/>
      <c r="F90" s="20"/>
      <c r="G90" s="19"/>
      <c r="H90" s="19"/>
      <c r="I90" s="20"/>
      <c r="J90" s="19"/>
      <c r="K90" s="19"/>
      <c r="L90" s="19"/>
    </row>
    <row r="91" spans="1:12" ht="14.45">
      <c r="A91" s="19"/>
      <c r="B91" s="31"/>
      <c r="C91" s="19"/>
      <c r="D91" s="19"/>
      <c r="E91" s="19"/>
      <c r="F91" s="20"/>
      <c r="G91" s="19"/>
      <c r="H91" s="19"/>
      <c r="I91" s="20"/>
      <c r="J91" s="19"/>
      <c r="K91" s="19"/>
      <c r="L91" s="19"/>
    </row>
    <row r="92" spans="1:12" ht="14.45">
      <c r="A92" s="19"/>
      <c r="B92" s="31"/>
      <c r="C92" s="19"/>
      <c r="D92" s="19"/>
      <c r="E92" s="19"/>
      <c r="F92" s="20"/>
      <c r="G92" s="19"/>
      <c r="H92" s="19"/>
      <c r="I92" s="20"/>
      <c r="J92" s="19"/>
      <c r="K92" s="19"/>
      <c r="L92" s="19"/>
    </row>
    <row r="93" spans="1:12" ht="14.45">
      <c r="A93" s="19"/>
      <c r="B93" s="31"/>
      <c r="C93" s="19"/>
      <c r="D93" s="19"/>
      <c r="E93" s="19"/>
      <c r="F93" s="20"/>
      <c r="G93" s="19"/>
      <c r="H93" s="19"/>
      <c r="I93" s="20"/>
      <c r="J93" s="19"/>
      <c r="K93" s="19"/>
      <c r="L93" s="19"/>
    </row>
    <row r="94" spans="1:12" ht="14.45">
      <c r="A94" s="19"/>
      <c r="B94" s="31"/>
      <c r="C94" s="19"/>
      <c r="D94" s="19"/>
      <c r="E94" s="19"/>
      <c r="F94" s="20"/>
      <c r="G94" s="19"/>
      <c r="H94" s="19"/>
      <c r="I94" s="20"/>
      <c r="J94" s="19"/>
      <c r="K94" s="19"/>
      <c r="L94" s="19"/>
    </row>
    <row r="95" spans="1:12" ht="14.45">
      <c r="A95" s="19"/>
      <c r="B95" s="31"/>
      <c r="C95" s="19"/>
      <c r="D95" s="19"/>
      <c r="E95" s="19"/>
      <c r="F95" s="20"/>
      <c r="G95" s="19"/>
      <c r="H95" s="19"/>
      <c r="I95" s="20"/>
      <c r="J95" s="19"/>
      <c r="K95" s="19"/>
      <c r="L95" s="19"/>
    </row>
    <row r="96" spans="1:12" ht="14.45">
      <c r="A96" s="19"/>
      <c r="B96" s="31"/>
      <c r="C96" s="19"/>
      <c r="D96" s="19"/>
      <c r="E96" s="19"/>
      <c r="F96" s="20"/>
      <c r="G96" s="19"/>
      <c r="H96" s="19"/>
      <c r="I96" s="20"/>
      <c r="J96" s="19"/>
      <c r="K96" s="19"/>
      <c r="L96" s="19"/>
    </row>
    <row r="97" spans="1:12" ht="14.45">
      <c r="A97" s="19"/>
      <c r="B97" s="31"/>
      <c r="C97" s="19"/>
      <c r="D97" s="19"/>
      <c r="E97" s="19"/>
      <c r="F97" s="20"/>
      <c r="G97" s="19"/>
      <c r="H97" s="19"/>
      <c r="I97" s="20"/>
      <c r="J97" s="19"/>
      <c r="K97" s="19"/>
      <c r="L97" s="19"/>
    </row>
    <row r="98" spans="1:12" ht="14.45">
      <c r="A98" s="19"/>
      <c r="B98" s="31"/>
      <c r="C98" s="19"/>
      <c r="D98" s="19"/>
      <c r="E98" s="19"/>
      <c r="F98" s="20"/>
      <c r="G98" s="19"/>
      <c r="H98" s="19"/>
      <c r="I98" s="20"/>
      <c r="J98" s="19"/>
      <c r="K98" s="19"/>
      <c r="L98" s="19"/>
    </row>
    <row r="99" spans="1:12" ht="14.45">
      <c r="A99" s="19"/>
      <c r="B99" s="31"/>
      <c r="C99" s="19"/>
      <c r="D99" s="19"/>
      <c r="E99" s="19"/>
      <c r="F99" s="20"/>
      <c r="G99" s="19"/>
      <c r="H99" s="19"/>
      <c r="I99" s="20"/>
      <c r="J99" s="19"/>
      <c r="K99" s="19"/>
      <c r="L99" s="19"/>
    </row>
    <row r="100" spans="1:12" ht="14.45">
      <c r="A100" s="19"/>
      <c r="B100" s="31"/>
      <c r="C100" s="19"/>
      <c r="D100" s="19"/>
      <c r="E100" s="19"/>
      <c r="F100" s="20"/>
      <c r="G100" s="19"/>
      <c r="H100" s="19"/>
      <c r="I100" s="20"/>
      <c r="J100" s="19"/>
      <c r="K100" s="19"/>
      <c r="L100" s="19"/>
    </row>
    <row r="101" spans="1:12" ht="14.45">
      <c r="A101" s="19"/>
      <c r="B101" s="31"/>
      <c r="C101" s="19"/>
      <c r="D101" s="19"/>
      <c r="E101" s="19"/>
      <c r="F101" s="20"/>
      <c r="G101" s="19"/>
      <c r="H101" s="19"/>
      <c r="I101" s="20"/>
      <c r="J101" s="19"/>
      <c r="K101" s="19"/>
      <c r="L101" s="19"/>
    </row>
    <row r="102" spans="1:12" ht="14.45">
      <c r="A102" s="19"/>
      <c r="B102" s="31"/>
      <c r="C102" s="19"/>
      <c r="D102" s="19"/>
      <c r="E102" s="19"/>
      <c r="F102" s="20"/>
      <c r="G102" s="19"/>
      <c r="H102" s="19"/>
      <c r="I102" s="20"/>
      <c r="J102" s="19"/>
      <c r="K102" s="19"/>
      <c r="L102" s="19"/>
    </row>
    <row r="103" spans="1:12" ht="14.45">
      <c r="A103" s="19"/>
      <c r="B103" s="31"/>
      <c r="C103" s="19"/>
      <c r="D103" s="19"/>
      <c r="E103" s="19"/>
      <c r="F103" s="20"/>
      <c r="G103" s="19"/>
      <c r="H103" s="19"/>
      <c r="I103" s="20"/>
      <c r="J103" s="19"/>
      <c r="K103" s="19"/>
      <c r="L103" s="19"/>
    </row>
    <row r="104" spans="1:12" ht="14.45">
      <c r="A104" s="19"/>
      <c r="B104" s="31"/>
      <c r="C104" s="19"/>
      <c r="D104" s="19"/>
      <c r="E104" s="19"/>
      <c r="F104" s="20"/>
      <c r="G104" s="19"/>
      <c r="H104" s="19"/>
      <c r="I104" s="20"/>
      <c r="J104" s="19"/>
      <c r="K104" s="19"/>
      <c r="L104" s="19"/>
    </row>
    <row r="105" spans="1:12" ht="14.45">
      <c r="A105" s="19"/>
      <c r="B105" s="31"/>
      <c r="C105" s="19"/>
      <c r="D105" s="19"/>
      <c r="E105" s="19"/>
      <c r="F105" s="20"/>
      <c r="G105" s="19"/>
      <c r="H105" s="19"/>
      <c r="I105" s="20"/>
      <c r="J105" s="19"/>
      <c r="K105" s="19"/>
      <c r="L105" s="19"/>
    </row>
    <row r="106" spans="1:12" ht="14.45">
      <c r="A106" s="19"/>
      <c r="B106" s="31"/>
      <c r="C106" s="19"/>
      <c r="D106" s="19"/>
      <c r="E106" s="19"/>
      <c r="F106" s="20"/>
      <c r="G106" s="19"/>
      <c r="H106" s="19"/>
      <c r="I106" s="20"/>
      <c r="J106" s="19"/>
      <c r="K106" s="19"/>
      <c r="L106" s="19"/>
    </row>
    <row r="107" spans="1:12" ht="14.45">
      <c r="A107" s="19"/>
      <c r="B107" s="31"/>
      <c r="C107" s="19"/>
      <c r="D107" s="19"/>
      <c r="E107" s="19"/>
      <c r="F107" s="20"/>
      <c r="G107" s="19"/>
      <c r="H107" s="19"/>
      <c r="I107" s="20"/>
      <c r="J107" s="19"/>
      <c r="K107" s="19"/>
      <c r="L107" s="19"/>
    </row>
    <row r="108" spans="1:12" ht="14.45">
      <c r="A108" s="19"/>
      <c r="B108" s="31"/>
      <c r="C108" s="19"/>
      <c r="D108" s="19"/>
      <c r="E108" s="19"/>
      <c r="F108" s="20"/>
      <c r="G108" s="19"/>
      <c r="H108" s="19"/>
      <c r="I108" s="20"/>
      <c r="J108" s="19"/>
      <c r="K108" s="19"/>
      <c r="L108" s="19"/>
    </row>
    <row r="109" spans="1:12" ht="14.45">
      <c r="A109" s="19"/>
      <c r="B109" s="31"/>
      <c r="C109" s="19"/>
      <c r="D109" s="19"/>
      <c r="E109" s="19"/>
      <c r="F109" s="20"/>
      <c r="G109" s="19"/>
      <c r="H109" s="19"/>
      <c r="I109" s="20"/>
      <c r="J109" s="19"/>
      <c r="K109" s="19"/>
      <c r="L109" s="19"/>
    </row>
    <row r="110" spans="1:12" ht="14.45">
      <c r="A110" s="19"/>
      <c r="B110" s="31"/>
      <c r="C110" s="19"/>
      <c r="D110" s="19"/>
      <c r="E110" s="19"/>
      <c r="F110" s="20"/>
      <c r="G110" s="19"/>
      <c r="H110" s="19"/>
      <c r="I110" s="20"/>
      <c r="J110" s="19"/>
      <c r="K110" s="19"/>
      <c r="L110" s="19"/>
    </row>
    <row r="111" spans="1:12" ht="14.45">
      <c r="A111" s="19"/>
      <c r="B111" s="31"/>
      <c r="C111" s="19"/>
      <c r="D111" s="19"/>
      <c r="E111" s="19"/>
      <c r="F111" s="20"/>
      <c r="G111" s="19"/>
      <c r="H111" s="19"/>
      <c r="I111" s="20"/>
      <c r="J111" s="19"/>
      <c r="K111" s="19"/>
      <c r="L111" s="19"/>
    </row>
    <row r="112" spans="1:12" ht="14.45">
      <c r="A112" s="19"/>
      <c r="B112" s="31"/>
      <c r="C112" s="19"/>
      <c r="D112" s="19"/>
      <c r="E112" s="19"/>
      <c r="F112" s="20"/>
      <c r="G112" s="19"/>
      <c r="H112" s="19"/>
      <c r="I112" s="20"/>
      <c r="J112" s="19"/>
      <c r="K112" s="19"/>
      <c r="L112" s="19"/>
    </row>
    <row r="113" spans="1:12" ht="14.45">
      <c r="A113" s="19"/>
      <c r="B113" s="31"/>
      <c r="C113" s="19"/>
      <c r="D113" s="19"/>
      <c r="E113" s="19"/>
      <c r="F113" s="20"/>
      <c r="G113" s="19"/>
      <c r="H113" s="19"/>
      <c r="I113" s="20"/>
      <c r="J113" s="19"/>
      <c r="K113" s="19"/>
      <c r="L113" s="19"/>
    </row>
    <row r="114" spans="1:12" ht="14.45">
      <c r="A114" s="19"/>
      <c r="B114" s="31"/>
      <c r="C114" s="19"/>
      <c r="D114" s="19"/>
      <c r="E114" s="19"/>
      <c r="F114" s="20"/>
      <c r="G114" s="19"/>
      <c r="H114" s="19"/>
      <c r="I114" s="20"/>
      <c r="J114" s="19"/>
      <c r="K114" s="19"/>
      <c r="L114" s="19"/>
    </row>
    <row r="115" spans="1:12" ht="14.45">
      <c r="A115" s="19"/>
      <c r="B115" s="31"/>
      <c r="C115" s="19"/>
      <c r="D115" s="19"/>
      <c r="E115" s="19"/>
      <c r="F115" s="20"/>
      <c r="G115" s="19"/>
      <c r="H115" s="19"/>
      <c r="I115" s="20"/>
      <c r="J115" s="19"/>
      <c r="K115" s="19"/>
      <c r="L115" s="19"/>
    </row>
    <row r="116" spans="1:12" ht="14.45">
      <c r="A116" s="19"/>
      <c r="B116" s="31"/>
      <c r="C116" s="19"/>
      <c r="D116" s="19"/>
      <c r="E116" s="19"/>
      <c r="F116" s="20"/>
      <c r="G116" s="19"/>
      <c r="H116" s="19"/>
      <c r="I116" s="20"/>
      <c r="J116" s="19"/>
      <c r="K116" s="19"/>
      <c r="L116" s="19"/>
    </row>
    <row r="117" spans="1:12" ht="14.45">
      <c r="A117" s="19"/>
      <c r="B117" s="31"/>
      <c r="C117" s="19"/>
      <c r="D117" s="19"/>
      <c r="E117" s="19"/>
      <c r="F117" s="20"/>
      <c r="G117" s="19"/>
      <c r="H117" s="19"/>
      <c r="I117" s="20"/>
      <c r="J117" s="19"/>
      <c r="K117" s="19"/>
      <c r="L117" s="19"/>
    </row>
    <row r="118" spans="1:12" ht="14.45">
      <c r="A118" s="19"/>
      <c r="B118" s="31"/>
      <c r="C118" s="19"/>
      <c r="D118" s="19"/>
      <c r="E118" s="19"/>
      <c r="F118" s="20"/>
      <c r="G118" s="19"/>
      <c r="H118" s="19"/>
      <c r="I118" s="20"/>
      <c r="J118" s="19"/>
      <c r="K118" s="19"/>
      <c r="L118" s="19"/>
    </row>
    <row r="119" spans="1:12" ht="14.45">
      <c r="A119" s="19"/>
      <c r="B119" s="31"/>
      <c r="C119" s="19"/>
      <c r="D119" s="19"/>
      <c r="E119" s="19"/>
      <c r="F119" s="20"/>
      <c r="G119" s="19"/>
      <c r="H119" s="19"/>
      <c r="I119" s="20"/>
      <c r="J119" s="19"/>
      <c r="K119" s="19"/>
      <c r="L119" s="19"/>
    </row>
    <row r="120" spans="1:12" ht="14.45">
      <c r="A120" s="19"/>
      <c r="B120" s="31"/>
      <c r="C120" s="19"/>
      <c r="D120" s="19"/>
      <c r="E120" s="19"/>
      <c r="F120" s="20"/>
      <c r="G120" s="19"/>
      <c r="H120" s="19"/>
      <c r="I120" s="20"/>
      <c r="J120" s="19"/>
      <c r="K120" s="19"/>
      <c r="L120" s="19"/>
    </row>
    <row r="121" spans="1:12" ht="14.45">
      <c r="A121" s="19"/>
      <c r="B121" s="31"/>
      <c r="C121" s="19"/>
      <c r="D121" s="19"/>
      <c r="E121" s="19"/>
      <c r="F121" s="20"/>
      <c r="G121" s="19"/>
      <c r="H121" s="19"/>
      <c r="I121" s="20"/>
      <c r="J121" s="19"/>
      <c r="K121" s="19"/>
      <c r="L121" s="19"/>
    </row>
    <row r="122" spans="1:12" ht="14.45">
      <c r="A122" s="19"/>
      <c r="B122" s="31"/>
      <c r="C122" s="19"/>
      <c r="D122" s="19"/>
      <c r="E122" s="19"/>
      <c r="F122" s="20"/>
      <c r="G122" s="19"/>
      <c r="H122" s="19"/>
      <c r="I122" s="20"/>
      <c r="J122" s="19"/>
      <c r="K122" s="19"/>
      <c r="L122" s="19"/>
    </row>
    <row r="123" spans="1:12" ht="14.45">
      <c r="A123" s="19"/>
      <c r="B123" s="31"/>
      <c r="C123" s="19"/>
      <c r="D123" s="19"/>
      <c r="E123" s="19"/>
      <c r="F123" s="20"/>
      <c r="G123" s="19"/>
      <c r="H123" s="19"/>
      <c r="I123" s="20"/>
      <c r="J123" s="19"/>
      <c r="K123" s="19"/>
      <c r="L123" s="19"/>
    </row>
    <row r="124" spans="1:12" ht="14.45">
      <c r="A124" s="19"/>
      <c r="B124" s="31"/>
      <c r="C124" s="19"/>
      <c r="D124" s="19"/>
      <c r="E124" s="19"/>
      <c r="F124" s="20"/>
      <c r="G124" s="19"/>
      <c r="H124" s="19"/>
      <c r="I124" s="20"/>
      <c r="J124" s="19"/>
      <c r="K124" s="19"/>
      <c r="L124" s="19"/>
    </row>
    <row r="125" spans="1:12" ht="14.45">
      <c r="A125" s="19"/>
      <c r="B125" s="31"/>
      <c r="C125" s="19"/>
      <c r="D125" s="19"/>
      <c r="E125" s="19"/>
      <c r="F125" s="20"/>
      <c r="G125" s="19"/>
      <c r="H125" s="19"/>
      <c r="I125" s="20"/>
      <c r="J125" s="19"/>
      <c r="K125" s="19"/>
      <c r="L125" s="19"/>
    </row>
    <row r="126" spans="1:12" ht="14.45">
      <c r="A126" s="19"/>
      <c r="B126" s="31"/>
      <c r="C126" s="19"/>
      <c r="D126" s="19"/>
      <c r="E126" s="19"/>
      <c r="F126" s="20"/>
      <c r="G126" s="19"/>
      <c r="H126" s="19"/>
      <c r="I126" s="20"/>
      <c r="J126" s="19"/>
      <c r="K126" s="19"/>
      <c r="L126" s="19"/>
    </row>
    <row r="127" spans="1:12" ht="14.45">
      <c r="A127" s="19"/>
      <c r="B127" s="31"/>
      <c r="C127" s="19"/>
      <c r="D127" s="19"/>
      <c r="E127" s="19"/>
      <c r="F127" s="20"/>
      <c r="G127" s="19"/>
      <c r="H127" s="19"/>
      <c r="I127" s="20"/>
      <c r="J127" s="19"/>
      <c r="K127" s="19"/>
      <c r="L127" s="19"/>
    </row>
    <row r="128" spans="1:12" ht="14.45">
      <c r="A128" s="19"/>
      <c r="B128" s="31"/>
      <c r="C128" s="19"/>
      <c r="D128" s="19"/>
      <c r="E128" s="19"/>
      <c r="F128" s="20"/>
      <c r="G128" s="19"/>
      <c r="H128" s="19"/>
      <c r="I128" s="20"/>
      <c r="J128" s="19"/>
      <c r="K128" s="19"/>
      <c r="L128" s="19"/>
    </row>
    <row r="129" spans="1:12" ht="14.45">
      <c r="A129" s="19"/>
      <c r="B129" s="31"/>
      <c r="C129" s="19"/>
      <c r="D129" s="19"/>
      <c r="E129" s="19"/>
      <c r="F129" s="20"/>
      <c r="G129" s="19"/>
      <c r="H129" s="19"/>
      <c r="I129" s="20"/>
      <c r="J129" s="19"/>
      <c r="K129" s="19"/>
      <c r="L129" s="19"/>
    </row>
    <row r="130" spans="1:12" ht="14.45">
      <c r="A130" s="19"/>
      <c r="B130" s="31"/>
      <c r="C130" s="19"/>
      <c r="D130" s="19"/>
      <c r="E130" s="19"/>
      <c r="F130" s="20"/>
      <c r="G130" s="19"/>
      <c r="H130" s="19"/>
      <c r="I130" s="20"/>
      <c r="J130" s="19"/>
      <c r="K130" s="19"/>
      <c r="L130" s="19"/>
    </row>
    <row r="131" spans="1:12" ht="14.45">
      <c r="A131" s="19"/>
      <c r="B131" s="31"/>
      <c r="C131" s="19"/>
      <c r="D131" s="19"/>
      <c r="E131" s="19"/>
      <c r="F131" s="20"/>
      <c r="G131" s="19"/>
      <c r="H131" s="19"/>
      <c r="I131" s="20"/>
      <c r="J131" s="19"/>
      <c r="K131" s="19"/>
      <c r="L131" s="19"/>
    </row>
    <row r="132" spans="1:12" ht="14.45">
      <c r="A132" s="19"/>
      <c r="B132" s="31"/>
      <c r="C132" s="19"/>
      <c r="D132" s="19"/>
      <c r="E132" s="19"/>
      <c r="F132" s="20"/>
      <c r="G132" s="19"/>
      <c r="H132" s="19"/>
      <c r="I132" s="20"/>
      <c r="J132" s="19"/>
      <c r="K132" s="19"/>
      <c r="L132" s="19"/>
    </row>
    <row r="133" spans="1:12" ht="14.45">
      <c r="A133" s="19"/>
      <c r="B133" s="31"/>
      <c r="C133" s="19"/>
      <c r="D133" s="19"/>
      <c r="E133" s="19"/>
      <c r="F133" s="20"/>
      <c r="G133" s="19"/>
      <c r="H133" s="19"/>
      <c r="I133" s="20"/>
      <c r="J133" s="19"/>
      <c r="K133" s="19"/>
      <c r="L133" s="19"/>
    </row>
    <row r="134" spans="1:12" ht="14.45">
      <c r="A134" s="19"/>
      <c r="B134" s="31"/>
      <c r="C134" s="19"/>
      <c r="D134" s="19"/>
      <c r="E134" s="19"/>
      <c r="F134" s="20"/>
      <c r="G134" s="19"/>
      <c r="H134" s="19"/>
      <c r="I134" s="20"/>
      <c r="J134" s="19"/>
      <c r="K134" s="19"/>
      <c r="L134" s="19"/>
    </row>
    <row r="135" spans="1:12" ht="14.45">
      <c r="A135" s="19"/>
      <c r="B135" s="31"/>
      <c r="C135" s="19"/>
      <c r="D135" s="19"/>
      <c r="E135" s="19"/>
      <c r="F135" s="20"/>
      <c r="G135" s="19"/>
      <c r="H135" s="19"/>
      <c r="I135" s="20"/>
      <c r="J135" s="19"/>
      <c r="K135" s="19"/>
      <c r="L135" s="19"/>
    </row>
    <row r="136" spans="1:12" ht="14.45">
      <c r="A136" s="19"/>
      <c r="B136" s="31"/>
      <c r="C136" s="19"/>
      <c r="D136" s="19"/>
      <c r="E136" s="19"/>
      <c r="F136" s="20"/>
      <c r="G136" s="19"/>
      <c r="H136" s="19"/>
      <c r="I136" s="20"/>
      <c r="J136" s="19"/>
      <c r="K136" s="19"/>
      <c r="L136" s="19"/>
    </row>
    <row r="137" spans="1:12" ht="14.45">
      <c r="A137" s="19"/>
      <c r="B137" s="31"/>
      <c r="C137" s="19"/>
      <c r="D137" s="19"/>
      <c r="E137" s="19"/>
      <c r="F137" s="20"/>
      <c r="G137" s="19"/>
      <c r="H137" s="19"/>
      <c r="I137" s="20"/>
      <c r="J137" s="19"/>
      <c r="K137" s="19"/>
      <c r="L137" s="19"/>
    </row>
    <row r="138" spans="1:12" ht="14.45">
      <c r="A138" s="19"/>
      <c r="B138" s="31"/>
      <c r="C138" s="19"/>
      <c r="D138" s="19"/>
      <c r="E138" s="19"/>
      <c r="F138" s="20"/>
      <c r="G138" s="19"/>
      <c r="H138" s="19"/>
      <c r="I138" s="20"/>
      <c r="J138" s="19"/>
      <c r="K138" s="19"/>
      <c r="L138" s="19"/>
    </row>
    <row r="139" spans="1:12" ht="14.45">
      <c r="A139" s="19"/>
      <c r="B139" s="31"/>
      <c r="C139" s="19"/>
      <c r="D139" s="19"/>
      <c r="E139" s="19"/>
      <c r="F139" s="20"/>
      <c r="G139" s="19"/>
      <c r="H139" s="19"/>
      <c r="I139" s="20"/>
      <c r="J139" s="19"/>
      <c r="K139" s="19"/>
      <c r="L139" s="19"/>
    </row>
    <row r="140" spans="1:12" ht="14.45">
      <c r="A140" s="19"/>
      <c r="B140" s="31"/>
      <c r="C140" s="19"/>
      <c r="D140" s="19"/>
      <c r="E140" s="19"/>
      <c r="F140" s="20"/>
      <c r="G140" s="19"/>
      <c r="H140" s="19"/>
      <c r="I140" s="20"/>
      <c r="J140" s="19"/>
      <c r="K140" s="19"/>
      <c r="L140" s="19"/>
    </row>
    <row r="141" spans="1:12" ht="14.45">
      <c r="A141" s="19"/>
      <c r="B141" s="31"/>
      <c r="C141" s="19"/>
      <c r="D141" s="19"/>
      <c r="E141" s="19"/>
      <c r="F141" s="20"/>
      <c r="G141" s="19"/>
      <c r="H141" s="19"/>
      <c r="I141" s="20"/>
      <c r="J141" s="19"/>
      <c r="K141" s="19"/>
      <c r="L141" s="19"/>
    </row>
    <row r="142" spans="1:12" ht="14.45">
      <c r="A142" s="19"/>
      <c r="B142" s="31"/>
      <c r="C142" s="19"/>
      <c r="D142" s="19"/>
      <c r="E142" s="19"/>
      <c r="F142" s="20"/>
      <c r="G142" s="19"/>
      <c r="H142" s="19"/>
      <c r="I142" s="20"/>
      <c r="J142" s="19"/>
      <c r="K142" s="19"/>
      <c r="L142" s="19"/>
    </row>
    <row r="143" spans="1:12" ht="14.45">
      <c r="A143" s="19"/>
      <c r="B143" s="31"/>
      <c r="C143" s="19"/>
      <c r="D143" s="19"/>
      <c r="E143" s="19"/>
      <c r="F143" s="20"/>
      <c r="G143" s="19"/>
      <c r="H143" s="19"/>
      <c r="I143" s="20"/>
      <c r="J143" s="19"/>
      <c r="K143" s="19"/>
      <c r="L143" s="19"/>
    </row>
    <row r="144" spans="1:12" ht="14.45">
      <c r="A144" s="19"/>
      <c r="B144" s="31"/>
      <c r="C144" s="19"/>
      <c r="D144" s="19"/>
      <c r="E144" s="19"/>
      <c r="F144" s="20"/>
      <c r="G144" s="19"/>
      <c r="H144" s="19"/>
      <c r="I144" s="20"/>
      <c r="J144" s="19"/>
      <c r="K144" s="19"/>
      <c r="L144" s="19"/>
    </row>
    <row r="145" spans="1:12" ht="14.45">
      <c r="A145" s="19"/>
      <c r="B145" s="31"/>
      <c r="C145" s="19"/>
      <c r="D145" s="19"/>
      <c r="E145" s="19"/>
      <c r="F145" s="20"/>
      <c r="G145" s="19"/>
      <c r="H145" s="19"/>
      <c r="I145" s="20"/>
      <c r="J145" s="19"/>
      <c r="K145" s="19"/>
      <c r="L145" s="19"/>
    </row>
    <row r="146" spans="1:12" ht="14.45">
      <c r="A146" s="19"/>
      <c r="B146" s="31"/>
      <c r="C146" s="19"/>
      <c r="D146" s="19"/>
      <c r="E146" s="19"/>
      <c r="F146" s="20"/>
      <c r="G146" s="19"/>
      <c r="H146" s="19"/>
      <c r="I146" s="20"/>
      <c r="J146" s="19"/>
      <c r="K146" s="19"/>
      <c r="L146" s="19"/>
    </row>
    <row r="147" spans="1:12" ht="14.45">
      <c r="A147" s="19"/>
      <c r="B147" s="31"/>
      <c r="C147" s="19"/>
      <c r="D147" s="19"/>
      <c r="E147" s="19"/>
      <c r="F147" s="20"/>
      <c r="G147" s="19"/>
      <c r="H147" s="19"/>
      <c r="I147" s="20"/>
      <c r="J147" s="19"/>
      <c r="K147" s="19"/>
      <c r="L147" s="19"/>
    </row>
    <row r="148" spans="1:12" ht="14.45">
      <c r="A148" s="19"/>
      <c r="B148" s="31"/>
      <c r="C148" s="19"/>
      <c r="D148" s="19"/>
      <c r="E148" s="19"/>
      <c r="F148" s="20"/>
      <c r="G148" s="19"/>
      <c r="H148" s="19"/>
      <c r="I148" s="20"/>
      <c r="J148" s="19"/>
      <c r="K148" s="19"/>
      <c r="L148" s="19"/>
    </row>
    <row r="149" spans="1:12" ht="14.45">
      <c r="A149" s="19"/>
      <c r="B149" s="31"/>
      <c r="C149" s="19"/>
      <c r="D149" s="19"/>
      <c r="E149" s="19"/>
      <c r="F149" s="20"/>
      <c r="G149" s="19"/>
      <c r="H149" s="19"/>
      <c r="I149" s="20"/>
      <c r="J149" s="19"/>
      <c r="K149" s="19"/>
      <c r="L149" s="19"/>
    </row>
    <row r="150" spans="1:12" ht="14.45">
      <c r="A150" s="19"/>
      <c r="B150" s="31"/>
      <c r="C150" s="19"/>
      <c r="D150" s="19"/>
      <c r="E150" s="19"/>
      <c r="F150" s="20"/>
      <c r="G150" s="19"/>
      <c r="H150" s="19"/>
      <c r="I150" s="20"/>
      <c r="J150" s="19"/>
      <c r="K150" s="19"/>
      <c r="L150" s="19"/>
    </row>
    <row r="151" spans="1:12" ht="14.45">
      <c r="A151" s="19"/>
      <c r="B151" s="31"/>
      <c r="C151" s="19"/>
      <c r="D151" s="19"/>
      <c r="E151" s="19"/>
      <c r="F151" s="20"/>
      <c r="G151" s="19"/>
      <c r="H151" s="19"/>
      <c r="I151" s="20"/>
      <c r="J151" s="19"/>
      <c r="K151" s="19"/>
      <c r="L151" s="19"/>
    </row>
    <row r="152" spans="1:12" ht="14.45">
      <c r="A152" s="19"/>
      <c r="B152" s="31"/>
      <c r="C152" s="19"/>
      <c r="D152" s="19"/>
      <c r="E152" s="19"/>
      <c r="F152" s="20"/>
      <c r="G152" s="19"/>
      <c r="H152" s="19"/>
      <c r="I152" s="20"/>
      <c r="J152" s="19"/>
      <c r="K152" s="19"/>
      <c r="L152" s="19"/>
    </row>
    <row r="153" spans="1:12" ht="14.45">
      <c r="A153" s="19"/>
      <c r="B153" s="31"/>
      <c r="C153" s="19"/>
      <c r="D153" s="19"/>
      <c r="E153" s="19"/>
      <c r="F153" s="20"/>
      <c r="G153" s="19"/>
      <c r="H153" s="19"/>
      <c r="I153" s="20"/>
      <c r="J153" s="19"/>
      <c r="K153" s="19"/>
      <c r="L153" s="19"/>
    </row>
    <row r="154" spans="1:12" ht="14.45">
      <c r="A154" s="19"/>
      <c r="B154" s="31"/>
      <c r="C154" s="19"/>
      <c r="D154" s="19"/>
      <c r="E154" s="19"/>
      <c r="F154" s="20"/>
      <c r="G154" s="19"/>
      <c r="H154" s="19"/>
      <c r="I154" s="20"/>
      <c r="J154" s="19"/>
      <c r="K154" s="19"/>
      <c r="L154" s="19"/>
    </row>
    <row r="155" spans="1:12" ht="14.45">
      <c r="A155" s="19"/>
      <c r="B155" s="31"/>
      <c r="C155" s="19"/>
      <c r="D155" s="19"/>
      <c r="E155" s="19"/>
      <c r="F155" s="20"/>
      <c r="G155" s="19"/>
      <c r="H155" s="19"/>
      <c r="I155" s="20"/>
      <c r="J155" s="19"/>
      <c r="K155" s="19"/>
      <c r="L155" s="19"/>
    </row>
    <row r="156" spans="1:12" ht="14.45">
      <c r="A156" s="19"/>
      <c r="B156" s="31"/>
      <c r="C156" s="19"/>
      <c r="D156" s="19"/>
      <c r="E156" s="19"/>
      <c r="F156" s="20"/>
      <c r="G156" s="19"/>
      <c r="H156" s="19"/>
      <c r="I156" s="20"/>
      <c r="J156" s="19"/>
      <c r="K156" s="19"/>
      <c r="L156" s="19"/>
    </row>
    <row r="157" spans="1:12" ht="14.45">
      <c r="A157" s="19"/>
      <c r="B157" s="31"/>
      <c r="C157" s="19"/>
      <c r="D157" s="19"/>
      <c r="E157" s="19"/>
      <c r="F157" s="20"/>
      <c r="G157" s="19"/>
      <c r="H157" s="19"/>
      <c r="I157" s="20"/>
      <c r="J157" s="19"/>
      <c r="K157" s="19"/>
      <c r="L157" s="19"/>
    </row>
    <row r="158" spans="1:12" ht="14.45">
      <c r="A158" s="19"/>
      <c r="B158" s="31"/>
      <c r="C158" s="19"/>
      <c r="D158" s="19"/>
      <c r="E158" s="19"/>
      <c r="F158" s="20"/>
      <c r="G158" s="19"/>
      <c r="H158" s="19"/>
      <c r="I158" s="20"/>
      <c r="J158" s="19"/>
      <c r="K158" s="19"/>
      <c r="L158" s="19"/>
    </row>
    <row r="159" spans="1:12" ht="14.45">
      <c r="A159" s="19"/>
      <c r="B159" s="31"/>
      <c r="C159" s="19"/>
      <c r="D159" s="19"/>
      <c r="E159" s="19"/>
      <c r="F159" s="20"/>
      <c r="G159" s="19"/>
      <c r="H159" s="19"/>
      <c r="I159" s="20"/>
      <c r="J159" s="19"/>
      <c r="K159" s="19"/>
      <c r="L159" s="19"/>
    </row>
    <row r="160" spans="1:12" ht="14.45">
      <c r="A160" s="19"/>
      <c r="B160" s="31"/>
      <c r="C160" s="19"/>
      <c r="D160" s="19"/>
      <c r="E160" s="19"/>
      <c r="F160" s="20"/>
      <c r="G160" s="19"/>
      <c r="H160" s="19"/>
      <c r="I160" s="20"/>
      <c r="J160" s="19"/>
      <c r="K160" s="19"/>
      <c r="L160" s="19"/>
    </row>
    <row r="161" spans="1:12" ht="14.45">
      <c r="A161" s="19"/>
      <c r="B161" s="31"/>
      <c r="C161" s="19"/>
      <c r="D161" s="19"/>
      <c r="E161" s="19"/>
      <c r="F161" s="20"/>
      <c r="G161" s="19"/>
      <c r="H161" s="19"/>
      <c r="I161" s="20"/>
      <c r="J161" s="19"/>
      <c r="K161" s="19"/>
      <c r="L161" s="19"/>
    </row>
    <row r="162" spans="1:12" ht="14.45">
      <c r="A162" s="19"/>
      <c r="B162" s="31"/>
      <c r="C162" s="19"/>
      <c r="D162" s="19"/>
      <c r="E162" s="19"/>
      <c r="F162" s="20"/>
      <c r="G162" s="19"/>
      <c r="H162" s="19"/>
      <c r="I162" s="20"/>
      <c r="J162" s="19"/>
      <c r="K162" s="19"/>
      <c r="L162" s="19"/>
    </row>
    <row r="163" spans="1:12" ht="14.45">
      <c r="A163" s="19"/>
      <c r="B163" s="31"/>
      <c r="C163" s="19"/>
      <c r="D163" s="19"/>
      <c r="E163" s="19"/>
      <c r="F163" s="20"/>
      <c r="G163" s="19"/>
      <c r="H163" s="19"/>
      <c r="I163" s="20"/>
      <c r="J163" s="19"/>
      <c r="K163" s="19"/>
      <c r="L163" s="19"/>
    </row>
    <row r="164" spans="1:12" ht="14.45">
      <c r="A164" s="19"/>
      <c r="B164" s="31"/>
      <c r="C164" s="19"/>
      <c r="D164" s="19"/>
      <c r="E164" s="19"/>
      <c r="F164" s="20"/>
      <c r="G164" s="19"/>
      <c r="H164" s="19"/>
      <c r="I164" s="20"/>
      <c r="J164" s="19"/>
      <c r="K164" s="19"/>
      <c r="L164" s="19"/>
    </row>
    <row r="165" spans="1:12" ht="14.45">
      <c r="A165" s="19"/>
      <c r="B165" s="31"/>
      <c r="C165" s="19"/>
      <c r="D165" s="19"/>
      <c r="E165" s="19"/>
      <c r="F165" s="20"/>
      <c r="G165" s="19"/>
      <c r="H165" s="19"/>
      <c r="I165" s="20"/>
      <c r="J165" s="19"/>
      <c r="K165" s="19"/>
      <c r="L165" s="19"/>
    </row>
    <row r="166" spans="1:12" ht="14.45">
      <c r="A166" s="19"/>
      <c r="B166" s="31"/>
      <c r="C166" s="19"/>
      <c r="D166" s="19"/>
      <c r="E166" s="19"/>
      <c r="F166" s="20"/>
      <c r="G166" s="19"/>
      <c r="H166" s="19"/>
      <c r="I166" s="20"/>
      <c r="J166" s="19"/>
      <c r="K166" s="19"/>
      <c r="L166" s="19"/>
    </row>
    <row r="167" spans="1:12" ht="14.45">
      <c r="A167" s="19"/>
      <c r="B167" s="31"/>
      <c r="C167" s="19"/>
      <c r="D167" s="19"/>
      <c r="E167" s="19"/>
      <c r="F167" s="20"/>
      <c r="G167" s="19"/>
      <c r="H167" s="19"/>
      <c r="I167" s="20"/>
      <c r="J167" s="19"/>
      <c r="K167" s="19"/>
      <c r="L167" s="19"/>
    </row>
    <row r="168" spans="1:12" ht="14.45">
      <c r="A168" s="19"/>
      <c r="B168" s="31"/>
      <c r="C168" s="19"/>
      <c r="D168" s="19"/>
      <c r="E168" s="19"/>
      <c r="F168" s="20"/>
      <c r="G168" s="19"/>
      <c r="H168" s="19"/>
      <c r="I168" s="20"/>
      <c r="J168" s="19"/>
      <c r="K168" s="19"/>
      <c r="L168" s="19"/>
    </row>
    <row r="169" spans="1:12" ht="14.45">
      <c r="A169" s="19"/>
      <c r="B169" s="31"/>
      <c r="C169" s="19"/>
      <c r="D169" s="19"/>
      <c r="E169" s="19"/>
      <c r="F169" s="20"/>
      <c r="G169" s="19"/>
      <c r="H169" s="19"/>
      <c r="I169" s="20"/>
      <c r="J169" s="19"/>
      <c r="K169" s="19"/>
      <c r="L169" s="19"/>
    </row>
    <row r="170" spans="1:12" ht="14.45">
      <c r="A170" s="19"/>
      <c r="B170" s="31"/>
      <c r="C170" s="19"/>
      <c r="D170" s="19"/>
      <c r="E170" s="19"/>
      <c r="F170" s="20"/>
      <c r="G170" s="19"/>
      <c r="H170" s="19"/>
      <c r="I170" s="20"/>
      <c r="J170" s="19"/>
      <c r="K170" s="19"/>
      <c r="L170" s="19"/>
    </row>
    <row r="171" spans="1:12" ht="14.45">
      <c r="A171" s="19"/>
      <c r="B171" s="31"/>
      <c r="C171" s="19"/>
      <c r="D171" s="19"/>
      <c r="E171" s="19"/>
      <c r="F171" s="20"/>
      <c r="G171" s="19"/>
      <c r="H171" s="19"/>
      <c r="I171" s="20"/>
      <c r="J171" s="19"/>
      <c r="K171" s="19"/>
      <c r="L171" s="19"/>
    </row>
    <row r="172" spans="1:12" ht="14.45">
      <c r="A172" s="19"/>
      <c r="B172" s="31"/>
      <c r="C172" s="19"/>
      <c r="D172" s="19"/>
      <c r="E172" s="19"/>
      <c r="F172" s="20"/>
      <c r="G172" s="19"/>
      <c r="H172" s="19"/>
      <c r="I172" s="20"/>
      <c r="J172" s="19"/>
      <c r="K172" s="19"/>
      <c r="L172" s="19"/>
    </row>
    <row r="173" spans="1:12" ht="14.45">
      <c r="A173" s="19"/>
      <c r="B173" s="31"/>
      <c r="C173" s="19"/>
      <c r="D173" s="19"/>
      <c r="E173" s="19"/>
      <c r="F173" s="20"/>
      <c r="G173" s="19"/>
      <c r="H173" s="19"/>
      <c r="I173" s="20"/>
      <c r="J173" s="19"/>
      <c r="K173" s="19"/>
      <c r="L173" s="19"/>
    </row>
    <row r="174" spans="1:12" ht="14.45">
      <c r="A174" s="19"/>
      <c r="B174" s="31"/>
      <c r="C174" s="19"/>
      <c r="D174" s="19"/>
      <c r="E174" s="19"/>
      <c r="F174" s="20"/>
      <c r="G174" s="19"/>
      <c r="H174" s="19"/>
      <c r="I174" s="20"/>
      <c r="J174" s="19"/>
      <c r="K174" s="19"/>
      <c r="L174" s="19"/>
    </row>
    <row r="175" spans="1:12" ht="14.45">
      <c r="A175" s="19"/>
      <c r="B175" s="31"/>
      <c r="C175" s="19"/>
      <c r="D175" s="19"/>
      <c r="E175" s="19"/>
      <c r="F175" s="20"/>
      <c r="G175" s="19"/>
      <c r="H175" s="19"/>
      <c r="I175" s="20"/>
      <c r="J175" s="19"/>
      <c r="K175" s="19"/>
      <c r="L175" s="19"/>
    </row>
    <row r="176" spans="1:12" ht="14.45">
      <c r="A176" s="19"/>
      <c r="B176" s="31"/>
      <c r="C176" s="19"/>
      <c r="D176" s="19"/>
      <c r="E176" s="19"/>
      <c r="F176" s="20"/>
      <c r="G176" s="19"/>
      <c r="H176" s="19"/>
      <c r="I176" s="20"/>
      <c r="J176" s="19"/>
      <c r="K176" s="19"/>
      <c r="L176" s="19"/>
    </row>
    <row r="177" spans="1:12" ht="14.45">
      <c r="A177" s="19"/>
      <c r="B177" s="31"/>
      <c r="C177" s="19"/>
      <c r="D177" s="19"/>
      <c r="E177" s="19"/>
      <c r="F177" s="20"/>
      <c r="G177" s="19"/>
      <c r="H177" s="19"/>
      <c r="I177" s="20"/>
      <c r="J177" s="19"/>
      <c r="K177" s="19"/>
      <c r="L177" s="19"/>
    </row>
    <row r="178" spans="1:12" ht="14.45">
      <c r="A178" s="19"/>
      <c r="B178" s="31"/>
      <c r="C178" s="19"/>
      <c r="D178" s="19"/>
      <c r="E178" s="19"/>
      <c r="F178" s="20"/>
      <c r="G178" s="19"/>
      <c r="H178" s="19"/>
      <c r="I178" s="20"/>
      <c r="J178" s="19"/>
      <c r="K178" s="19"/>
      <c r="L178" s="19"/>
    </row>
    <row r="179" spans="1:12" ht="14.45">
      <c r="A179" s="19"/>
      <c r="B179" s="31"/>
      <c r="C179" s="19"/>
      <c r="D179" s="19"/>
      <c r="E179" s="19"/>
      <c r="F179" s="20"/>
      <c r="G179" s="19"/>
      <c r="H179" s="19"/>
      <c r="I179" s="20"/>
      <c r="J179" s="19"/>
      <c r="K179" s="19"/>
      <c r="L179" s="19"/>
    </row>
    <row r="180" spans="1:12" ht="14.45">
      <c r="A180" s="19"/>
      <c r="B180" s="31"/>
      <c r="C180" s="19"/>
      <c r="D180" s="19"/>
      <c r="E180" s="19"/>
      <c r="F180" s="20"/>
      <c r="G180" s="19"/>
      <c r="H180" s="19"/>
      <c r="I180" s="20"/>
      <c r="J180" s="19"/>
      <c r="K180" s="19"/>
      <c r="L180" s="19"/>
    </row>
    <row r="181" spans="1:12" ht="14.45">
      <c r="A181" s="19"/>
      <c r="B181" s="31"/>
      <c r="C181" s="19"/>
      <c r="D181" s="19"/>
      <c r="E181" s="19"/>
      <c r="F181" s="20"/>
      <c r="G181" s="19"/>
      <c r="H181" s="19"/>
      <c r="I181" s="20"/>
      <c r="J181" s="19"/>
      <c r="K181" s="19"/>
      <c r="L181" s="19"/>
    </row>
    <row r="182" spans="1:12" ht="14.45">
      <c r="A182" s="19"/>
      <c r="B182" s="31"/>
      <c r="C182" s="19"/>
      <c r="D182" s="19"/>
      <c r="E182" s="19"/>
      <c r="F182" s="20"/>
      <c r="G182" s="19"/>
      <c r="H182" s="19"/>
      <c r="I182" s="20"/>
      <c r="J182" s="19"/>
      <c r="K182" s="19"/>
      <c r="L182" s="19"/>
    </row>
    <row r="183" spans="1:12" ht="14.45">
      <c r="A183" s="19"/>
      <c r="B183" s="31"/>
      <c r="C183" s="19"/>
      <c r="D183" s="19"/>
      <c r="E183" s="19"/>
      <c r="F183" s="20"/>
      <c r="G183" s="19"/>
      <c r="H183" s="19"/>
      <c r="I183" s="20"/>
      <c r="J183" s="19"/>
      <c r="K183" s="19"/>
      <c r="L183" s="19"/>
    </row>
    <row r="184" spans="1:12" ht="14.45">
      <c r="A184" s="19"/>
      <c r="B184" s="31"/>
      <c r="C184" s="19"/>
      <c r="D184" s="19"/>
      <c r="E184" s="19"/>
      <c r="F184" s="20"/>
      <c r="G184" s="19"/>
      <c r="H184" s="19"/>
      <c r="I184" s="20"/>
      <c r="J184" s="19"/>
      <c r="K184" s="19"/>
      <c r="L184" s="19"/>
    </row>
    <row r="185" spans="1:12" ht="14.45">
      <c r="A185" s="19"/>
      <c r="B185" s="31"/>
      <c r="C185" s="19"/>
      <c r="D185" s="19"/>
      <c r="E185" s="19"/>
      <c r="F185" s="20"/>
      <c r="G185" s="19"/>
      <c r="H185" s="19"/>
      <c r="I185" s="20"/>
      <c r="J185" s="19"/>
      <c r="K185" s="19"/>
      <c r="L185" s="19"/>
    </row>
    <row r="186" spans="1:12" ht="14.45">
      <c r="A186" s="19"/>
      <c r="B186" s="31"/>
      <c r="C186" s="19"/>
      <c r="D186" s="19"/>
      <c r="E186" s="19"/>
      <c r="F186" s="20"/>
      <c r="G186" s="19"/>
      <c r="H186" s="19"/>
      <c r="I186" s="20"/>
      <c r="J186" s="19"/>
      <c r="K186" s="19"/>
      <c r="L186" s="19"/>
    </row>
    <row r="187" spans="1:12" ht="14.45">
      <c r="A187" s="19"/>
      <c r="B187" s="31"/>
      <c r="C187" s="19"/>
      <c r="D187" s="19"/>
      <c r="E187" s="19"/>
      <c r="F187" s="20"/>
      <c r="G187" s="19"/>
      <c r="H187" s="19"/>
      <c r="I187" s="20"/>
      <c r="J187" s="19"/>
      <c r="K187" s="19"/>
      <c r="L187" s="19"/>
    </row>
    <row r="188" spans="1:12" ht="14.45">
      <c r="A188" s="19"/>
      <c r="B188" s="31"/>
      <c r="C188" s="19"/>
      <c r="D188" s="19"/>
      <c r="E188" s="19"/>
      <c r="F188" s="20"/>
      <c r="G188" s="19"/>
      <c r="H188" s="19"/>
      <c r="I188" s="20"/>
      <c r="J188" s="19"/>
      <c r="K188" s="19"/>
      <c r="L188" s="19"/>
    </row>
    <row r="189" spans="1:12" ht="14.45">
      <c r="A189" s="19"/>
      <c r="B189" s="31"/>
      <c r="C189" s="19"/>
      <c r="D189" s="19"/>
      <c r="E189" s="19"/>
      <c r="F189" s="20"/>
      <c r="G189" s="19"/>
      <c r="H189" s="19"/>
      <c r="I189" s="20"/>
      <c r="J189" s="19"/>
      <c r="K189" s="19"/>
      <c r="L189" s="19"/>
    </row>
    <row r="190" spans="1:12" ht="14.45">
      <c r="A190" s="19"/>
      <c r="B190" s="31"/>
      <c r="C190" s="19"/>
      <c r="D190" s="19"/>
      <c r="E190" s="19"/>
      <c r="F190" s="20"/>
      <c r="G190" s="19"/>
      <c r="H190" s="19"/>
      <c r="I190" s="20"/>
      <c r="J190" s="19"/>
      <c r="K190" s="19"/>
      <c r="L190" s="19"/>
    </row>
    <row r="191" spans="1:12" ht="14.45">
      <c r="A191" s="19"/>
      <c r="B191" s="31"/>
      <c r="C191" s="19"/>
      <c r="D191" s="19"/>
      <c r="E191" s="19"/>
      <c r="F191" s="20"/>
      <c r="G191" s="19"/>
      <c r="H191" s="19"/>
      <c r="I191" s="20"/>
      <c r="J191" s="19"/>
      <c r="K191" s="19"/>
      <c r="L191" s="19"/>
    </row>
    <row r="192" spans="1:12" ht="14.45">
      <c r="A192" s="19"/>
      <c r="B192" s="31"/>
      <c r="C192" s="19"/>
      <c r="D192" s="19"/>
      <c r="E192" s="19"/>
      <c r="F192" s="20"/>
      <c r="G192" s="19"/>
      <c r="H192" s="19"/>
      <c r="I192" s="20"/>
      <c r="J192" s="19"/>
      <c r="K192" s="19"/>
      <c r="L192" s="19"/>
    </row>
    <row r="193" spans="1:12" ht="14.45">
      <c r="A193" s="19"/>
      <c r="B193" s="31"/>
      <c r="C193" s="19"/>
      <c r="D193" s="19"/>
      <c r="E193" s="19"/>
      <c r="F193" s="20"/>
      <c r="G193" s="19"/>
      <c r="H193" s="19"/>
      <c r="I193" s="20"/>
      <c r="J193" s="19"/>
      <c r="K193" s="19"/>
      <c r="L193" s="19"/>
    </row>
    <row r="194" spans="1:12" ht="14.45">
      <c r="A194" s="19"/>
      <c r="B194" s="31"/>
      <c r="C194" s="19"/>
      <c r="D194" s="19"/>
      <c r="E194" s="19"/>
      <c r="F194" s="20"/>
      <c r="G194" s="19"/>
      <c r="H194" s="19"/>
      <c r="I194" s="20"/>
      <c r="J194" s="19"/>
      <c r="K194" s="19"/>
      <c r="L194" s="19"/>
    </row>
    <row r="195" spans="1:12" ht="14.45">
      <c r="A195" s="19"/>
      <c r="B195" s="31"/>
      <c r="C195" s="19"/>
      <c r="D195" s="19"/>
      <c r="E195" s="19"/>
      <c r="F195" s="20"/>
      <c r="G195" s="19"/>
      <c r="H195" s="19"/>
      <c r="I195" s="20"/>
      <c r="J195" s="19"/>
      <c r="K195" s="19"/>
      <c r="L195" s="19"/>
    </row>
    <row r="196" spans="1:12" ht="14.45">
      <c r="A196" s="19"/>
      <c r="B196" s="31"/>
      <c r="C196" s="19"/>
      <c r="D196" s="19"/>
      <c r="E196" s="19"/>
      <c r="F196" s="20"/>
      <c r="G196" s="19"/>
      <c r="H196" s="19"/>
      <c r="I196" s="20"/>
      <c r="J196" s="19"/>
      <c r="K196" s="19"/>
      <c r="L196" s="19"/>
    </row>
    <row r="197" spans="1:12" ht="14.45">
      <c r="A197" s="19"/>
      <c r="B197" s="31"/>
      <c r="C197" s="19"/>
      <c r="D197" s="19"/>
      <c r="E197" s="19"/>
      <c r="F197" s="20"/>
      <c r="G197" s="19"/>
      <c r="H197" s="19"/>
      <c r="I197" s="20"/>
      <c r="J197" s="19"/>
      <c r="K197" s="19"/>
      <c r="L197" s="19"/>
    </row>
    <row r="198" spans="1:12" ht="14.45">
      <c r="A198" s="19"/>
      <c r="B198" s="31"/>
      <c r="C198" s="19"/>
      <c r="D198" s="19"/>
      <c r="E198" s="19"/>
      <c r="F198" s="20"/>
      <c r="G198" s="19"/>
      <c r="H198" s="19"/>
      <c r="I198" s="20"/>
      <c r="J198" s="19"/>
      <c r="K198" s="19"/>
      <c r="L198" s="19"/>
    </row>
    <row r="199" spans="1:12" ht="14.45">
      <c r="A199" s="19"/>
      <c r="B199" s="31"/>
      <c r="C199" s="19"/>
      <c r="D199" s="19"/>
      <c r="E199" s="19"/>
      <c r="F199" s="20"/>
      <c r="G199" s="19"/>
      <c r="H199" s="19"/>
      <c r="I199" s="20"/>
      <c r="J199" s="19"/>
      <c r="K199" s="19"/>
      <c r="L199" s="19"/>
    </row>
    <row r="200" spans="1:12" ht="14.45">
      <c r="A200" s="19"/>
      <c r="B200" s="31"/>
      <c r="C200" s="19"/>
      <c r="D200" s="19"/>
      <c r="E200" s="19"/>
      <c r="F200" s="20"/>
      <c r="G200" s="19"/>
      <c r="H200" s="19"/>
      <c r="I200" s="20"/>
      <c r="J200" s="19"/>
      <c r="K200" s="19"/>
      <c r="L200" s="19"/>
    </row>
    <row r="201" spans="1:12" ht="14.45">
      <c r="A201" s="19"/>
      <c r="B201" s="31"/>
      <c r="C201" s="19"/>
      <c r="D201" s="19"/>
      <c r="E201" s="19"/>
      <c r="F201" s="20"/>
      <c r="G201" s="19"/>
      <c r="H201" s="19"/>
      <c r="I201" s="20"/>
      <c r="J201" s="19"/>
      <c r="K201" s="19"/>
      <c r="L201" s="19"/>
    </row>
    <row r="202" spans="1:12" ht="14.45">
      <c r="A202" s="19"/>
      <c r="B202" s="31"/>
      <c r="C202" s="19"/>
      <c r="D202" s="19"/>
      <c r="E202" s="19"/>
      <c r="F202" s="20"/>
      <c r="G202" s="19"/>
      <c r="H202" s="19"/>
      <c r="I202" s="20"/>
      <c r="J202" s="19"/>
      <c r="K202" s="19"/>
      <c r="L202" s="19"/>
    </row>
    <row r="203" spans="1:12" ht="14.45">
      <c r="A203" s="19"/>
      <c r="B203" s="31"/>
      <c r="C203" s="19"/>
      <c r="D203" s="19"/>
      <c r="E203" s="19"/>
      <c r="F203" s="20"/>
      <c r="G203" s="19"/>
      <c r="H203" s="19"/>
      <c r="I203" s="20"/>
      <c r="J203" s="19"/>
      <c r="K203" s="19"/>
      <c r="L203" s="19"/>
    </row>
    <row r="204" spans="1:12" ht="14.45">
      <c r="A204" s="19"/>
      <c r="B204" s="31"/>
      <c r="C204" s="19"/>
      <c r="D204" s="19"/>
      <c r="E204" s="19"/>
      <c r="F204" s="20"/>
      <c r="G204" s="19"/>
      <c r="H204" s="19"/>
      <c r="I204" s="20"/>
      <c r="J204" s="19"/>
      <c r="K204" s="19"/>
      <c r="L204" s="19"/>
    </row>
    <row r="205" spans="1:12" ht="14.45">
      <c r="A205" s="19"/>
      <c r="B205" s="31"/>
      <c r="C205" s="19"/>
      <c r="D205" s="19"/>
      <c r="E205" s="19"/>
      <c r="F205" s="20"/>
      <c r="G205" s="19"/>
      <c r="H205" s="19"/>
      <c r="I205" s="20"/>
      <c r="J205" s="19"/>
      <c r="K205" s="19"/>
      <c r="L205" s="19"/>
    </row>
    <row r="206" spans="1:12" ht="14.45">
      <c r="A206" s="19"/>
      <c r="B206" s="31"/>
      <c r="C206" s="19"/>
      <c r="D206" s="19"/>
      <c r="E206" s="19"/>
      <c r="F206" s="20"/>
      <c r="G206" s="19"/>
      <c r="H206" s="19"/>
      <c r="I206" s="20"/>
      <c r="J206" s="19"/>
      <c r="K206" s="19"/>
      <c r="L206" s="19"/>
    </row>
    <row r="207" spans="1:12" ht="14.45">
      <c r="A207" s="19"/>
      <c r="B207" s="31"/>
      <c r="C207" s="19"/>
      <c r="D207" s="19"/>
      <c r="E207" s="19"/>
      <c r="F207" s="20"/>
      <c r="G207" s="19"/>
      <c r="H207" s="19"/>
      <c r="I207" s="20"/>
      <c r="J207" s="19"/>
      <c r="K207" s="19"/>
      <c r="L207" s="19"/>
    </row>
    <row r="208" spans="1:12" ht="14.45">
      <c r="A208" s="19"/>
      <c r="B208" s="31"/>
      <c r="C208" s="19"/>
      <c r="D208" s="19"/>
      <c r="E208" s="19"/>
      <c r="F208" s="20"/>
      <c r="G208" s="19"/>
      <c r="H208" s="19"/>
      <c r="I208" s="20"/>
      <c r="J208" s="19"/>
      <c r="K208" s="19"/>
      <c r="L208" s="19"/>
    </row>
    <row r="209" spans="1:12" ht="14.45">
      <c r="A209" s="19"/>
      <c r="B209" s="31"/>
      <c r="C209" s="19"/>
      <c r="D209" s="19"/>
      <c r="E209" s="19"/>
      <c r="F209" s="20"/>
      <c r="G209" s="19"/>
      <c r="H209" s="19"/>
      <c r="I209" s="20"/>
      <c r="J209" s="19"/>
      <c r="K209" s="19"/>
      <c r="L209" s="19"/>
    </row>
    <row r="210" spans="1:12" ht="14.45">
      <c r="A210" s="19"/>
      <c r="B210" s="31"/>
      <c r="C210" s="19"/>
      <c r="D210" s="19"/>
      <c r="E210" s="19"/>
      <c r="F210" s="20"/>
      <c r="G210" s="19"/>
      <c r="H210" s="19"/>
      <c r="I210" s="20"/>
      <c r="J210" s="19"/>
      <c r="K210" s="19"/>
      <c r="L210" s="19"/>
    </row>
    <row r="211" spans="1:12" ht="14.45">
      <c r="A211" s="19"/>
      <c r="B211" s="31"/>
      <c r="C211" s="19"/>
      <c r="D211" s="19"/>
      <c r="E211" s="19"/>
      <c r="F211" s="20"/>
      <c r="G211" s="19"/>
      <c r="H211" s="19"/>
      <c r="I211" s="20"/>
      <c r="J211" s="19"/>
      <c r="K211" s="19"/>
      <c r="L211" s="19"/>
    </row>
    <row r="212" spans="1:12" ht="14.45">
      <c r="A212" s="19"/>
      <c r="B212" s="31"/>
      <c r="C212" s="19"/>
      <c r="D212" s="19"/>
      <c r="E212" s="19"/>
      <c r="F212" s="20"/>
      <c r="G212" s="19"/>
      <c r="H212" s="19"/>
      <c r="I212" s="20"/>
      <c r="J212" s="19"/>
      <c r="K212" s="19"/>
      <c r="L212" s="19"/>
    </row>
    <row r="213" spans="1:12" ht="14.45">
      <c r="A213" s="19"/>
      <c r="B213" s="31"/>
      <c r="C213" s="19"/>
      <c r="D213" s="19"/>
      <c r="E213" s="19"/>
      <c r="F213" s="20"/>
      <c r="G213" s="19"/>
      <c r="H213" s="19"/>
      <c r="I213" s="20"/>
      <c r="J213" s="19"/>
      <c r="K213" s="19"/>
      <c r="L213" s="19"/>
    </row>
    <row r="214" spans="1:12" ht="14.45">
      <c r="A214" s="19"/>
      <c r="B214" s="31"/>
      <c r="C214" s="19"/>
      <c r="D214" s="19"/>
      <c r="E214" s="19"/>
      <c r="F214" s="20"/>
      <c r="G214" s="19"/>
      <c r="H214" s="19"/>
      <c r="I214" s="20"/>
      <c r="J214" s="19"/>
      <c r="K214" s="19"/>
      <c r="L214" s="19"/>
    </row>
    <row r="215" spans="1:12" ht="14.45">
      <c r="A215" s="19"/>
      <c r="B215" s="31"/>
      <c r="C215" s="19"/>
      <c r="D215" s="19"/>
      <c r="E215" s="19"/>
      <c r="F215" s="20"/>
      <c r="G215" s="19"/>
      <c r="H215" s="19"/>
      <c r="I215" s="20"/>
      <c r="J215" s="19"/>
      <c r="K215" s="19"/>
      <c r="L215" s="19"/>
    </row>
    <row r="216" spans="1:12" ht="14.45">
      <c r="A216" s="19"/>
      <c r="B216" s="31"/>
      <c r="C216" s="19"/>
      <c r="D216" s="19"/>
      <c r="E216" s="19"/>
      <c r="F216" s="20"/>
      <c r="G216" s="19"/>
      <c r="H216" s="19"/>
      <c r="I216" s="20"/>
      <c r="J216" s="19"/>
      <c r="K216" s="19"/>
      <c r="L216" s="19"/>
    </row>
    <row r="217" spans="1:12" ht="14.45">
      <c r="A217" s="19"/>
      <c r="B217" s="31"/>
      <c r="C217" s="19"/>
      <c r="D217" s="19"/>
      <c r="E217" s="19"/>
      <c r="F217" s="20"/>
      <c r="G217" s="19"/>
      <c r="H217" s="19"/>
      <c r="I217" s="20"/>
      <c r="J217" s="19"/>
      <c r="K217" s="19"/>
      <c r="L217" s="19"/>
    </row>
    <row r="218" spans="1:12" ht="14.45">
      <c r="A218" s="19"/>
      <c r="B218" s="31"/>
      <c r="C218" s="19"/>
      <c r="D218" s="19"/>
      <c r="E218" s="19"/>
      <c r="F218" s="20"/>
      <c r="G218" s="19"/>
      <c r="H218" s="19"/>
      <c r="I218" s="20"/>
      <c r="J218" s="19"/>
      <c r="K218" s="19"/>
      <c r="L218" s="19"/>
    </row>
    <row r="219" spans="1:12" ht="14.45">
      <c r="A219" s="19"/>
      <c r="B219" s="31"/>
      <c r="C219" s="19"/>
      <c r="D219" s="19"/>
      <c r="E219" s="19"/>
      <c r="F219" s="20"/>
      <c r="G219" s="19"/>
      <c r="H219" s="19"/>
      <c r="I219" s="20"/>
      <c r="J219" s="19"/>
      <c r="K219" s="19"/>
      <c r="L219" s="19"/>
    </row>
    <row r="220" spans="1:12" ht="14.45">
      <c r="A220" s="19"/>
      <c r="B220" s="31"/>
      <c r="C220" s="19"/>
      <c r="D220" s="19"/>
      <c r="E220" s="19"/>
      <c r="F220" s="20"/>
      <c r="G220" s="19"/>
      <c r="H220" s="19"/>
      <c r="I220" s="20"/>
      <c r="J220" s="19"/>
      <c r="K220" s="19"/>
      <c r="L220" s="19"/>
    </row>
    <row r="221" spans="1:12" ht="14.45">
      <c r="A221" s="19"/>
      <c r="B221" s="31"/>
      <c r="C221" s="19"/>
      <c r="D221" s="19"/>
      <c r="E221" s="19"/>
      <c r="F221" s="20"/>
      <c r="G221" s="19"/>
      <c r="H221" s="19"/>
      <c r="I221" s="20"/>
      <c r="J221" s="19"/>
      <c r="K221" s="19"/>
      <c r="L221" s="19"/>
    </row>
    <row r="222" spans="1:12" ht="14.45">
      <c r="A222" s="19"/>
      <c r="B222" s="31"/>
      <c r="C222" s="19"/>
      <c r="D222" s="19"/>
      <c r="E222" s="19"/>
      <c r="F222" s="20"/>
      <c r="G222" s="19"/>
      <c r="H222" s="19"/>
      <c r="I222" s="20"/>
      <c r="J222" s="19"/>
      <c r="K222" s="19"/>
      <c r="L222" s="19"/>
    </row>
    <row r="223" spans="1:12" ht="14.45">
      <c r="A223" s="19"/>
      <c r="B223" s="31"/>
      <c r="C223" s="19"/>
      <c r="D223" s="19"/>
      <c r="E223" s="19"/>
      <c r="F223" s="20"/>
      <c r="G223" s="19"/>
      <c r="H223" s="19"/>
      <c r="I223" s="20"/>
      <c r="J223" s="19"/>
      <c r="K223" s="19"/>
      <c r="L223" s="19"/>
    </row>
    <row r="224" spans="1:12" ht="14.45">
      <c r="A224" s="19"/>
      <c r="B224" s="31"/>
      <c r="C224" s="19"/>
      <c r="D224" s="19"/>
      <c r="E224" s="19"/>
      <c r="F224" s="20"/>
      <c r="G224" s="19"/>
      <c r="H224" s="19"/>
      <c r="I224" s="20"/>
      <c r="J224" s="19"/>
      <c r="K224" s="19"/>
      <c r="L224" s="19"/>
    </row>
    <row r="225" spans="1:12" ht="14.45">
      <c r="A225" s="19"/>
      <c r="B225" s="31"/>
      <c r="C225" s="19"/>
      <c r="D225" s="19"/>
      <c r="E225" s="19"/>
      <c r="F225" s="20"/>
      <c r="G225" s="19"/>
      <c r="H225" s="19"/>
      <c r="I225" s="20"/>
      <c r="J225" s="19"/>
      <c r="K225" s="19"/>
      <c r="L225" s="19"/>
    </row>
    <row r="226" spans="1:12" ht="14.45">
      <c r="A226" s="19"/>
      <c r="B226" s="31"/>
      <c r="C226" s="19"/>
      <c r="D226" s="19"/>
      <c r="E226" s="19"/>
      <c r="F226" s="20"/>
      <c r="G226" s="19"/>
      <c r="H226" s="19"/>
      <c r="I226" s="20"/>
      <c r="J226" s="19"/>
      <c r="K226" s="19"/>
      <c r="L226" s="19"/>
    </row>
    <row r="227" spans="1:12" ht="14.45">
      <c r="A227" s="19"/>
      <c r="B227" s="31"/>
      <c r="C227" s="19"/>
      <c r="D227" s="19"/>
      <c r="E227" s="19"/>
      <c r="F227" s="20"/>
      <c r="G227" s="19"/>
      <c r="H227" s="19"/>
      <c r="I227" s="20"/>
      <c r="J227" s="19"/>
      <c r="K227" s="19"/>
      <c r="L227" s="19"/>
    </row>
    <row r="228" spans="1:12" ht="14.45">
      <c r="A228" s="19"/>
      <c r="B228" s="31"/>
      <c r="C228" s="19"/>
      <c r="D228" s="19"/>
      <c r="E228" s="19"/>
      <c r="F228" s="20"/>
      <c r="G228" s="19"/>
      <c r="H228" s="19"/>
      <c r="I228" s="20"/>
      <c r="J228" s="19"/>
      <c r="K228" s="19"/>
      <c r="L228" s="19"/>
    </row>
    <row r="229" spans="1:12" ht="14.45">
      <c r="A229" s="19"/>
      <c r="B229" s="31"/>
      <c r="C229" s="19"/>
      <c r="D229" s="19"/>
      <c r="E229" s="19"/>
      <c r="F229" s="20"/>
      <c r="G229" s="19"/>
      <c r="H229" s="19"/>
      <c r="I229" s="20"/>
      <c r="J229" s="19"/>
      <c r="K229" s="19"/>
      <c r="L229" s="19"/>
    </row>
    <row r="230" spans="1:12" ht="14.45">
      <c r="A230" s="19"/>
      <c r="B230" s="31"/>
      <c r="C230" s="19"/>
      <c r="D230" s="19"/>
      <c r="E230" s="19"/>
      <c r="F230" s="20"/>
      <c r="G230" s="19"/>
      <c r="H230" s="19"/>
      <c r="I230" s="20"/>
      <c r="J230" s="19"/>
      <c r="K230" s="19"/>
      <c r="L230" s="19"/>
    </row>
    <row r="231" spans="1:12" ht="14.45">
      <c r="A231" s="19"/>
      <c r="B231" s="31"/>
      <c r="C231" s="19"/>
      <c r="D231" s="19"/>
      <c r="E231" s="19"/>
      <c r="F231" s="20"/>
      <c r="G231" s="19"/>
      <c r="H231" s="19"/>
      <c r="I231" s="20"/>
      <c r="J231" s="19"/>
      <c r="K231" s="19"/>
      <c r="L231" s="19"/>
    </row>
    <row r="232" spans="1:12" ht="14.45">
      <c r="A232" s="19"/>
      <c r="B232" s="31"/>
      <c r="C232" s="19"/>
      <c r="D232" s="19"/>
      <c r="E232" s="19"/>
      <c r="F232" s="20"/>
      <c r="G232" s="19"/>
      <c r="H232" s="19"/>
      <c r="I232" s="20"/>
      <c r="J232" s="19"/>
      <c r="K232" s="19"/>
      <c r="L232" s="19"/>
    </row>
    <row r="233" spans="1:12" ht="14.45">
      <c r="A233" s="19"/>
      <c r="B233" s="31"/>
      <c r="C233" s="19"/>
      <c r="D233" s="19"/>
      <c r="E233" s="19"/>
      <c r="F233" s="20"/>
      <c r="G233" s="19"/>
      <c r="H233" s="19"/>
      <c r="I233" s="20"/>
      <c r="J233" s="19"/>
      <c r="K233" s="19"/>
      <c r="L233" s="19"/>
    </row>
    <row r="234" spans="1:12" ht="14.45">
      <c r="A234" s="19"/>
      <c r="B234" s="31"/>
      <c r="C234" s="19"/>
      <c r="D234" s="19"/>
      <c r="E234" s="19"/>
      <c r="F234" s="20"/>
      <c r="G234" s="19"/>
      <c r="H234" s="19"/>
      <c r="I234" s="20"/>
      <c r="J234" s="19"/>
      <c r="K234" s="19"/>
      <c r="L234" s="19"/>
    </row>
    <row r="235" spans="1:12" ht="14.45">
      <c r="A235" s="19"/>
      <c r="B235" s="31"/>
      <c r="C235" s="19"/>
      <c r="D235" s="19"/>
      <c r="E235" s="19"/>
      <c r="F235" s="20"/>
      <c r="G235" s="19"/>
      <c r="H235" s="19"/>
      <c r="I235" s="20"/>
      <c r="J235" s="19"/>
      <c r="K235" s="19"/>
      <c r="L235" s="19"/>
    </row>
    <row r="236" spans="1:12" ht="14.45">
      <c r="A236" s="19"/>
      <c r="B236" s="31"/>
      <c r="C236" s="19"/>
      <c r="D236" s="19"/>
      <c r="E236" s="19"/>
      <c r="F236" s="20"/>
      <c r="G236" s="19"/>
      <c r="H236" s="19"/>
      <c r="I236" s="20"/>
      <c r="J236" s="19"/>
      <c r="K236" s="19"/>
      <c r="L236" s="19"/>
    </row>
    <row r="237" spans="1:12" ht="14.45">
      <c r="A237" s="19"/>
      <c r="B237" s="31"/>
      <c r="C237" s="19"/>
      <c r="D237" s="19"/>
      <c r="E237" s="19"/>
      <c r="F237" s="20"/>
      <c r="G237" s="19"/>
      <c r="H237" s="19"/>
      <c r="I237" s="20"/>
      <c r="J237" s="19"/>
      <c r="K237" s="19"/>
      <c r="L237" s="19"/>
    </row>
    <row r="238" spans="1:12" ht="14.45">
      <c r="A238" s="19"/>
      <c r="B238" s="31"/>
      <c r="C238" s="19"/>
      <c r="D238" s="19"/>
      <c r="E238" s="19"/>
      <c r="F238" s="20"/>
      <c r="G238" s="19"/>
      <c r="H238" s="19"/>
      <c r="I238" s="20"/>
      <c r="J238" s="19"/>
      <c r="K238" s="19"/>
      <c r="L238" s="19"/>
    </row>
    <row r="239" spans="1:12" ht="14.45">
      <c r="A239" s="19"/>
      <c r="B239" s="31"/>
      <c r="C239" s="19"/>
      <c r="D239" s="19"/>
      <c r="E239" s="19"/>
      <c r="F239" s="20"/>
      <c r="G239" s="19"/>
      <c r="H239" s="19"/>
      <c r="I239" s="20"/>
      <c r="J239" s="19"/>
      <c r="K239" s="19"/>
      <c r="L239" s="19"/>
    </row>
    <row r="240" spans="1:12" ht="14.45">
      <c r="A240" s="19"/>
      <c r="B240" s="31"/>
      <c r="C240" s="19"/>
      <c r="D240" s="19"/>
      <c r="E240" s="19"/>
      <c r="F240" s="20"/>
      <c r="G240" s="19"/>
      <c r="H240" s="19"/>
      <c r="I240" s="20"/>
      <c r="J240" s="19"/>
      <c r="K240" s="19"/>
      <c r="L240" s="19"/>
    </row>
    <row r="241" spans="1:12" ht="14.45">
      <c r="A241" s="19"/>
      <c r="B241" s="31"/>
      <c r="C241" s="19"/>
      <c r="D241" s="19"/>
      <c r="E241" s="19"/>
      <c r="F241" s="20"/>
      <c r="G241" s="19"/>
      <c r="H241" s="19"/>
      <c r="I241" s="20"/>
      <c r="J241" s="19"/>
      <c r="K241" s="19"/>
      <c r="L241" s="19"/>
    </row>
    <row r="242" spans="1:12" ht="14.45">
      <c r="A242" s="19"/>
      <c r="B242" s="31"/>
      <c r="C242" s="19"/>
      <c r="D242" s="19"/>
      <c r="E242" s="19"/>
      <c r="F242" s="20"/>
      <c r="G242" s="19"/>
      <c r="H242" s="19"/>
      <c r="I242" s="20"/>
      <c r="J242" s="19"/>
      <c r="K242" s="19"/>
      <c r="L242" s="19"/>
    </row>
    <row r="243" spans="1:12" ht="14.45">
      <c r="A243" s="19"/>
      <c r="B243" s="31"/>
      <c r="C243" s="19"/>
      <c r="D243" s="19"/>
      <c r="E243" s="19"/>
      <c r="F243" s="20"/>
      <c r="G243" s="19"/>
      <c r="H243" s="19"/>
      <c r="I243" s="20"/>
      <c r="J243" s="19"/>
      <c r="K243" s="19"/>
      <c r="L243" s="19"/>
    </row>
    <row r="244" spans="1:12" ht="14.45">
      <c r="A244" s="19"/>
      <c r="B244" s="31"/>
      <c r="C244" s="19"/>
      <c r="D244" s="19"/>
      <c r="E244" s="19"/>
      <c r="F244" s="20"/>
      <c r="G244" s="19"/>
      <c r="H244" s="19"/>
      <c r="I244" s="20"/>
      <c r="J244" s="19"/>
      <c r="K244" s="19"/>
      <c r="L244" s="19"/>
    </row>
    <row r="245" spans="1:12" ht="14.45">
      <c r="A245" s="19"/>
      <c r="B245" s="31"/>
      <c r="C245" s="19"/>
      <c r="D245" s="19"/>
      <c r="E245" s="19"/>
      <c r="F245" s="20"/>
      <c r="G245" s="19"/>
      <c r="H245" s="19"/>
      <c r="I245" s="20"/>
      <c r="J245" s="19"/>
      <c r="K245" s="19"/>
      <c r="L245" s="19"/>
    </row>
    <row r="246" spans="1:12" ht="14.45">
      <c r="A246" s="19"/>
      <c r="B246" s="31"/>
      <c r="C246" s="19"/>
      <c r="D246" s="19"/>
      <c r="E246" s="19"/>
      <c r="F246" s="20"/>
      <c r="G246" s="19"/>
      <c r="H246" s="19"/>
      <c r="I246" s="20"/>
      <c r="J246" s="19"/>
      <c r="K246" s="19"/>
      <c r="L246" s="19"/>
    </row>
    <row r="247" spans="1:12" ht="14.45">
      <c r="A247" s="19"/>
      <c r="B247" s="31"/>
      <c r="C247" s="19"/>
      <c r="D247" s="19"/>
      <c r="E247" s="19"/>
      <c r="F247" s="20"/>
      <c r="G247" s="19"/>
      <c r="H247" s="19"/>
      <c r="I247" s="20"/>
      <c r="J247" s="19"/>
      <c r="K247" s="19"/>
      <c r="L247" s="19"/>
    </row>
    <row r="248" spans="1:12" ht="14.45">
      <c r="A248" s="19"/>
      <c r="B248" s="31"/>
      <c r="C248" s="19"/>
      <c r="D248" s="19"/>
      <c r="E248" s="19"/>
      <c r="F248" s="20"/>
      <c r="G248" s="19"/>
      <c r="H248" s="19"/>
      <c r="I248" s="20"/>
      <c r="J248" s="19"/>
      <c r="K248" s="19"/>
      <c r="L248" s="19"/>
    </row>
    <row r="249" spans="1:12" ht="14.45">
      <c r="A249" s="19"/>
      <c r="B249" s="31"/>
      <c r="C249" s="19"/>
      <c r="D249" s="19"/>
      <c r="E249" s="19"/>
      <c r="F249" s="20"/>
      <c r="G249" s="19"/>
      <c r="H249" s="19"/>
      <c r="I249" s="20"/>
      <c r="J249" s="19"/>
      <c r="K249" s="19"/>
      <c r="L249" s="19"/>
    </row>
    <row r="250" spans="1:12" ht="14.45">
      <c r="A250" s="19"/>
      <c r="B250" s="31"/>
      <c r="C250" s="19"/>
      <c r="D250" s="19"/>
      <c r="E250" s="19"/>
      <c r="F250" s="20"/>
      <c r="G250" s="19"/>
      <c r="H250" s="19"/>
      <c r="I250" s="20"/>
      <c r="J250" s="19"/>
      <c r="K250" s="19"/>
      <c r="L250" s="19"/>
    </row>
    <row r="251" spans="1:12" ht="14.45">
      <c r="A251" s="19"/>
      <c r="B251" s="31"/>
      <c r="C251" s="19"/>
      <c r="D251" s="19"/>
      <c r="E251" s="19"/>
      <c r="F251" s="20"/>
      <c r="G251" s="19"/>
      <c r="H251" s="19"/>
      <c r="I251" s="20"/>
      <c r="J251" s="19"/>
      <c r="K251" s="19"/>
      <c r="L251" s="19"/>
    </row>
    <row r="252" spans="1:12" ht="14.45">
      <c r="A252" s="19"/>
      <c r="B252" s="31"/>
      <c r="C252" s="19"/>
      <c r="D252" s="19"/>
      <c r="E252" s="19"/>
      <c r="F252" s="20"/>
      <c r="G252" s="19"/>
      <c r="H252" s="19"/>
      <c r="I252" s="20"/>
      <c r="J252" s="19"/>
      <c r="K252" s="19"/>
      <c r="L252" s="19"/>
    </row>
    <row r="253" spans="1:12" ht="14.45">
      <c r="A253" s="19"/>
      <c r="B253" s="31"/>
      <c r="C253" s="19"/>
      <c r="D253" s="19"/>
      <c r="E253" s="19"/>
      <c r="F253" s="20"/>
      <c r="G253" s="19"/>
      <c r="H253" s="19"/>
      <c r="I253" s="20"/>
      <c r="J253" s="19"/>
      <c r="K253" s="19"/>
      <c r="L253" s="19"/>
    </row>
    <row r="254" spans="1:12" ht="14.45">
      <c r="A254" s="19"/>
      <c r="B254" s="31"/>
      <c r="C254" s="19"/>
      <c r="D254" s="19"/>
      <c r="E254" s="19"/>
      <c r="F254" s="20"/>
      <c r="G254" s="19"/>
      <c r="H254" s="19"/>
      <c r="I254" s="20"/>
      <c r="J254" s="19"/>
      <c r="K254" s="19"/>
      <c r="L254" s="19"/>
    </row>
    <row r="255" spans="1:12" ht="14.45">
      <c r="A255" s="19"/>
      <c r="B255" s="31"/>
      <c r="C255" s="19"/>
      <c r="D255" s="19"/>
      <c r="E255" s="19"/>
      <c r="F255" s="20"/>
      <c r="G255" s="19"/>
      <c r="H255" s="19"/>
      <c r="I255" s="20"/>
      <c r="J255" s="19"/>
      <c r="K255" s="19"/>
      <c r="L255" s="19"/>
    </row>
    <row r="256" spans="1:12" ht="14.45">
      <c r="A256" s="19"/>
      <c r="B256" s="31"/>
      <c r="C256" s="19"/>
      <c r="D256" s="19"/>
      <c r="E256" s="19"/>
      <c r="F256" s="20"/>
      <c r="G256" s="19"/>
      <c r="H256" s="19"/>
      <c r="I256" s="20"/>
      <c r="J256" s="19"/>
      <c r="K256" s="19"/>
      <c r="L256" s="19"/>
    </row>
    <row r="257" spans="1:12" ht="14.45">
      <c r="A257" s="19"/>
      <c r="B257" s="31"/>
      <c r="C257" s="19"/>
      <c r="D257" s="19"/>
      <c r="E257" s="19"/>
      <c r="F257" s="20"/>
      <c r="G257" s="19"/>
      <c r="H257" s="19"/>
      <c r="I257" s="20"/>
      <c r="J257" s="19"/>
      <c r="K257" s="19"/>
      <c r="L257" s="19"/>
    </row>
    <row r="258" spans="1:12" ht="14.45">
      <c r="A258" s="19"/>
      <c r="B258" s="31"/>
      <c r="C258" s="19"/>
      <c r="D258" s="19"/>
      <c r="E258" s="19"/>
      <c r="F258" s="20"/>
      <c r="G258" s="19"/>
      <c r="H258" s="19"/>
      <c r="I258" s="20"/>
      <c r="J258" s="19"/>
      <c r="K258" s="19"/>
      <c r="L258" s="19"/>
    </row>
    <row r="259" spans="1:12" ht="14.45">
      <c r="A259" s="19"/>
      <c r="B259" s="31"/>
      <c r="C259" s="19"/>
      <c r="D259" s="19"/>
      <c r="E259" s="19"/>
      <c r="F259" s="20"/>
      <c r="G259" s="19"/>
      <c r="H259" s="19"/>
      <c r="I259" s="20"/>
      <c r="J259" s="19"/>
      <c r="K259" s="19"/>
      <c r="L259" s="19"/>
    </row>
    <row r="260" spans="1:12" ht="14.45">
      <c r="A260" s="19"/>
      <c r="B260" s="31"/>
      <c r="C260" s="19"/>
      <c r="D260" s="19"/>
      <c r="E260" s="19"/>
      <c r="F260" s="20"/>
      <c r="G260" s="19"/>
      <c r="H260" s="19"/>
      <c r="I260" s="20"/>
      <c r="J260" s="19"/>
      <c r="K260" s="19"/>
      <c r="L260" s="19"/>
    </row>
    <row r="261" spans="1:12" ht="14.45">
      <c r="A261" s="19"/>
      <c r="B261" s="31"/>
      <c r="C261" s="19"/>
      <c r="D261" s="19"/>
      <c r="E261" s="19"/>
      <c r="F261" s="20"/>
      <c r="G261" s="19"/>
      <c r="H261" s="19"/>
      <c r="I261" s="20"/>
      <c r="J261" s="19"/>
      <c r="K261" s="19"/>
      <c r="L261" s="19"/>
    </row>
    <row r="262" spans="1:12" ht="14.45">
      <c r="A262" s="19"/>
      <c r="B262" s="31"/>
      <c r="C262" s="19"/>
      <c r="D262" s="19"/>
      <c r="E262" s="19"/>
      <c r="F262" s="20"/>
      <c r="G262" s="19"/>
      <c r="H262" s="19"/>
      <c r="I262" s="20"/>
      <c r="J262" s="19"/>
      <c r="K262" s="19"/>
      <c r="L262" s="19"/>
    </row>
    <row r="263" spans="1:12" ht="14.45">
      <c r="A263" s="19"/>
      <c r="B263" s="31"/>
      <c r="C263" s="19"/>
      <c r="D263" s="19"/>
      <c r="E263" s="19"/>
      <c r="F263" s="20"/>
      <c r="G263" s="19"/>
      <c r="H263" s="19"/>
      <c r="I263" s="20"/>
      <c r="J263" s="19"/>
      <c r="K263" s="19"/>
      <c r="L263" s="19"/>
    </row>
    <row r="264" spans="1:12" ht="14.45">
      <c r="A264" s="19"/>
      <c r="B264" s="31"/>
      <c r="C264" s="19"/>
      <c r="D264" s="19"/>
      <c r="E264" s="19"/>
      <c r="F264" s="20"/>
      <c r="G264" s="19"/>
      <c r="H264" s="19"/>
      <c r="I264" s="20"/>
      <c r="J264" s="19"/>
      <c r="K264" s="19"/>
      <c r="L264" s="19"/>
    </row>
    <row r="265" spans="1:12" ht="14.45">
      <c r="A265" s="19"/>
      <c r="B265" s="31"/>
      <c r="C265" s="19"/>
      <c r="D265" s="19"/>
      <c r="E265" s="19"/>
      <c r="F265" s="20"/>
      <c r="G265" s="19"/>
      <c r="H265" s="19"/>
      <c r="I265" s="20"/>
      <c r="J265" s="19"/>
      <c r="K265" s="19"/>
      <c r="L265" s="19"/>
    </row>
    <row r="266" spans="1:12" ht="14.45">
      <c r="A266" s="19"/>
      <c r="B266" s="31"/>
      <c r="C266" s="19"/>
      <c r="D266" s="19"/>
      <c r="E266" s="19"/>
      <c r="F266" s="20"/>
      <c r="G266" s="19"/>
      <c r="H266" s="19"/>
      <c r="I266" s="20"/>
      <c r="J266" s="19"/>
      <c r="K266" s="19"/>
      <c r="L266" s="19"/>
    </row>
    <row r="267" spans="1:12" ht="14.45">
      <c r="A267" s="19"/>
      <c r="B267" s="31"/>
      <c r="C267" s="19"/>
      <c r="D267" s="19"/>
      <c r="E267" s="19"/>
      <c r="F267" s="20"/>
      <c r="G267" s="19"/>
      <c r="H267" s="19"/>
      <c r="I267" s="20"/>
      <c r="J267" s="19"/>
      <c r="K267" s="19"/>
      <c r="L267" s="19"/>
    </row>
    <row r="268" spans="1:12" ht="14.45">
      <c r="A268" s="19"/>
      <c r="B268" s="31"/>
      <c r="C268" s="19"/>
      <c r="D268" s="19"/>
      <c r="E268" s="19"/>
      <c r="F268" s="20"/>
      <c r="G268" s="19"/>
      <c r="H268" s="19"/>
      <c r="I268" s="20"/>
      <c r="J268" s="19"/>
      <c r="K268" s="19"/>
      <c r="L268" s="19"/>
    </row>
    <row r="269" spans="1:12" ht="14.45">
      <c r="A269" s="19"/>
      <c r="B269" s="31"/>
      <c r="C269" s="19"/>
      <c r="D269" s="19"/>
      <c r="E269" s="19"/>
      <c r="F269" s="20"/>
      <c r="G269" s="19"/>
      <c r="H269" s="19"/>
      <c r="I269" s="20"/>
      <c r="J269" s="19"/>
      <c r="K269" s="19"/>
      <c r="L269" s="19"/>
    </row>
    <row r="270" spans="1:12" ht="14.45">
      <c r="A270" s="19"/>
      <c r="B270" s="31"/>
      <c r="C270" s="19"/>
      <c r="D270" s="19"/>
      <c r="E270" s="19"/>
      <c r="F270" s="20"/>
      <c r="G270" s="19"/>
      <c r="H270" s="19"/>
      <c r="I270" s="20"/>
      <c r="J270" s="19"/>
      <c r="K270" s="19"/>
      <c r="L270" s="19"/>
    </row>
    <row r="271" spans="1:12" ht="14.45">
      <c r="A271" s="19"/>
      <c r="B271" s="31"/>
      <c r="C271" s="19"/>
      <c r="D271" s="19"/>
      <c r="E271" s="19"/>
      <c r="F271" s="20"/>
      <c r="G271" s="19"/>
      <c r="H271" s="19"/>
      <c r="I271" s="20"/>
      <c r="J271" s="19"/>
      <c r="K271" s="19"/>
      <c r="L271" s="19"/>
    </row>
    <row r="272" spans="1:12" ht="14.45">
      <c r="A272" s="19"/>
      <c r="B272" s="31"/>
      <c r="C272" s="19"/>
      <c r="D272" s="19"/>
      <c r="E272" s="19"/>
      <c r="F272" s="20"/>
      <c r="G272" s="19"/>
      <c r="H272" s="19"/>
      <c r="I272" s="20"/>
      <c r="J272" s="19"/>
      <c r="K272" s="19"/>
      <c r="L272" s="19"/>
    </row>
    <row r="273" spans="1:12" ht="14.45">
      <c r="A273" s="19"/>
      <c r="B273" s="31"/>
      <c r="C273" s="19"/>
      <c r="D273" s="19"/>
      <c r="E273" s="19"/>
      <c r="F273" s="20"/>
      <c r="G273" s="19"/>
      <c r="H273" s="19"/>
      <c r="I273" s="20"/>
      <c r="J273" s="19"/>
      <c r="K273" s="19"/>
      <c r="L273" s="19"/>
    </row>
    <row r="274" spans="1:12" ht="14.45">
      <c r="A274" s="19"/>
      <c r="B274" s="31"/>
      <c r="C274" s="19"/>
      <c r="D274" s="19"/>
      <c r="E274" s="19"/>
      <c r="F274" s="20"/>
      <c r="G274" s="19"/>
      <c r="H274" s="19"/>
      <c r="I274" s="20"/>
      <c r="J274" s="19"/>
      <c r="K274" s="19"/>
      <c r="L274" s="19"/>
    </row>
    <row r="275" spans="1:12" ht="14.45">
      <c r="A275" s="19"/>
      <c r="B275" s="31"/>
      <c r="C275" s="19"/>
      <c r="D275" s="19"/>
      <c r="E275" s="19"/>
      <c r="F275" s="20"/>
      <c r="G275" s="19"/>
      <c r="H275" s="19"/>
      <c r="I275" s="20"/>
      <c r="J275" s="19"/>
      <c r="K275" s="19"/>
      <c r="L275" s="19"/>
    </row>
    <row r="276" spans="1:12" ht="14.45">
      <c r="A276" s="19"/>
      <c r="B276" s="31"/>
      <c r="C276" s="19"/>
      <c r="D276" s="19"/>
      <c r="E276" s="19"/>
      <c r="F276" s="20"/>
      <c r="G276" s="19"/>
      <c r="H276" s="19"/>
      <c r="I276" s="20"/>
      <c r="J276" s="19"/>
      <c r="K276" s="19"/>
      <c r="L276" s="19"/>
    </row>
    <row r="277" spans="1:12" ht="14.45">
      <c r="A277" s="19"/>
      <c r="B277" s="31"/>
      <c r="C277" s="19"/>
      <c r="D277" s="19"/>
      <c r="E277" s="19"/>
      <c r="F277" s="20"/>
      <c r="G277" s="19"/>
      <c r="H277" s="19"/>
      <c r="I277" s="20"/>
      <c r="J277" s="19"/>
      <c r="K277" s="19"/>
      <c r="L277" s="19"/>
    </row>
    <row r="278" spans="1:12" ht="14.45">
      <c r="A278" s="19"/>
      <c r="B278" s="31"/>
      <c r="C278" s="19"/>
      <c r="D278" s="19"/>
      <c r="E278" s="19"/>
      <c r="F278" s="20"/>
      <c r="G278" s="19"/>
      <c r="H278" s="19"/>
      <c r="I278" s="20"/>
      <c r="J278" s="19"/>
      <c r="K278" s="19"/>
      <c r="L278" s="19"/>
    </row>
    <row r="279" spans="1:12" ht="14.45">
      <c r="A279" s="19"/>
      <c r="B279" s="31"/>
      <c r="C279" s="19"/>
      <c r="D279" s="19"/>
      <c r="E279" s="19"/>
      <c r="F279" s="20"/>
      <c r="G279" s="19"/>
      <c r="H279" s="19"/>
      <c r="I279" s="20"/>
      <c r="J279" s="19"/>
      <c r="K279" s="19"/>
      <c r="L279" s="19"/>
    </row>
    <row r="280" spans="1:12" ht="14.45">
      <c r="A280" s="19"/>
      <c r="B280" s="31"/>
      <c r="C280" s="19"/>
      <c r="D280" s="19"/>
      <c r="E280" s="19"/>
      <c r="F280" s="20"/>
      <c r="G280" s="19"/>
      <c r="H280" s="19"/>
      <c r="I280" s="20"/>
      <c r="J280" s="19"/>
      <c r="K280" s="19"/>
      <c r="L280" s="19"/>
    </row>
    <row r="281" spans="1:12" ht="14.45">
      <c r="A281" s="19"/>
      <c r="B281" s="31"/>
      <c r="C281" s="19"/>
      <c r="D281" s="19"/>
      <c r="E281" s="19"/>
      <c r="F281" s="20"/>
      <c r="G281" s="19"/>
      <c r="H281" s="19"/>
      <c r="I281" s="20"/>
      <c r="J281" s="19"/>
      <c r="K281" s="19"/>
      <c r="L281" s="19"/>
    </row>
    <row r="282" spans="1:12" ht="14.45">
      <c r="A282" s="19"/>
      <c r="B282" s="31"/>
      <c r="C282" s="19"/>
      <c r="D282" s="19"/>
      <c r="E282" s="19"/>
      <c r="F282" s="20"/>
      <c r="G282" s="19"/>
      <c r="H282" s="19"/>
      <c r="I282" s="20"/>
      <c r="J282" s="19"/>
      <c r="K282" s="19"/>
      <c r="L282" s="19"/>
    </row>
    <row r="283" spans="1:12" ht="14.45">
      <c r="A283" s="19"/>
      <c r="B283" s="31"/>
      <c r="C283" s="19"/>
      <c r="D283" s="19"/>
      <c r="E283" s="19"/>
      <c r="F283" s="20"/>
      <c r="G283" s="19"/>
      <c r="H283" s="19"/>
      <c r="I283" s="20"/>
      <c r="J283" s="19"/>
      <c r="K283" s="19"/>
      <c r="L283" s="19"/>
    </row>
    <row r="284" spans="1:12" ht="14.45">
      <c r="A284" s="19"/>
      <c r="B284" s="31"/>
      <c r="C284" s="19"/>
      <c r="D284" s="19"/>
      <c r="E284" s="19"/>
      <c r="F284" s="20"/>
      <c r="G284" s="19"/>
      <c r="H284" s="19"/>
      <c r="I284" s="20"/>
      <c r="J284" s="19"/>
      <c r="K284" s="19"/>
      <c r="L284" s="19"/>
    </row>
    <row r="285" spans="1:12" ht="14.45">
      <c r="A285" s="19"/>
      <c r="B285" s="31"/>
      <c r="C285" s="19"/>
      <c r="D285" s="19"/>
      <c r="E285" s="19"/>
      <c r="F285" s="20"/>
      <c r="G285" s="19"/>
      <c r="H285" s="19"/>
      <c r="I285" s="20"/>
      <c r="J285" s="19"/>
      <c r="K285" s="19"/>
      <c r="L285" s="19"/>
    </row>
    <row r="286" spans="1:12" ht="14.45">
      <c r="A286" s="19"/>
      <c r="B286" s="31"/>
      <c r="C286" s="19"/>
      <c r="D286" s="19"/>
      <c r="E286" s="19"/>
      <c r="F286" s="20"/>
      <c r="G286" s="19"/>
      <c r="H286" s="19"/>
      <c r="I286" s="20"/>
      <c r="J286" s="19"/>
      <c r="K286" s="19"/>
      <c r="L286" s="19"/>
    </row>
    <row r="287" spans="1:12" ht="14.45">
      <c r="A287" s="19"/>
      <c r="B287" s="31"/>
      <c r="C287" s="19"/>
      <c r="D287" s="19"/>
      <c r="E287" s="19"/>
      <c r="F287" s="20"/>
      <c r="G287" s="19"/>
      <c r="H287" s="19"/>
      <c r="I287" s="20"/>
      <c r="J287" s="19"/>
      <c r="K287" s="19"/>
      <c r="L287" s="19"/>
    </row>
    <row r="288" spans="1:12" ht="14.45">
      <c r="A288" s="19"/>
      <c r="B288" s="31"/>
      <c r="C288" s="19"/>
      <c r="D288" s="19"/>
      <c r="E288" s="19"/>
      <c r="F288" s="20"/>
      <c r="G288" s="19"/>
      <c r="H288" s="19"/>
      <c r="I288" s="20"/>
      <c r="J288" s="19"/>
      <c r="K288" s="19"/>
      <c r="L288" s="19"/>
    </row>
    <row r="289" spans="1:12" ht="14.45">
      <c r="A289" s="19"/>
      <c r="B289" s="31"/>
      <c r="C289" s="19"/>
      <c r="D289" s="19"/>
      <c r="E289" s="19"/>
      <c r="F289" s="20"/>
      <c r="G289" s="19"/>
      <c r="H289" s="19"/>
      <c r="I289" s="20"/>
      <c r="J289" s="19"/>
      <c r="K289" s="19"/>
      <c r="L289" s="19"/>
    </row>
    <row r="290" spans="1:12" ht="14.45">
      <c r="A290" s="19"/>
      <c r="B290" s="31"/>
      <c r="C290" s="19"/>
      <c r="D290" s="19"/>
      <c r="E290" s="19"/>
      <c r="F290" s="20"/>
      <c r="G290" s="19"/>
      <c r="H290" s="19"/>
      <c r="I290" s="20"/>
      <c r="J290" s="19"/>
      <c r="K290" s="19"/>
      <c r="L290" s="19"/>
    </row>
    <row r="291" spans="1:12" ht="14.45">
      <c r="A291" s="19"/>
      <c r="B291" s="31"/>
      <c r="C291" s="19"/>
      <c r="D291" s="19"/>
      <c r="E291" s="19"/>
      <c r="F291" s="20"/>
      <c r="G291" s="19"/>
      <c r="H291" s="19"/>
      <c r="I291" s="20"/>
      <c r="J291" s="19"/>
      <c r="K291" s="19"/>
      <c r="L291" s="19"/>
    </row>
    <row r="292" spans="1:12" ht="14.45">
      <c r="A292" s="19"/>
      <c r="B292" s="31"/>
      <c r="C292" s="19"/>
      <c r="D292" s="19"/>
      <c r="E292" s="19"/>
      <c r="F292" s="20"/>
      <c r="G292" s="19"/>
      <c r="H292" s="19"/>
      <c r="I292" s="20"/>
      <c r="J292" s="19"/>
      <c r="K292" s="19"/>
      <c r="L292" s="19"/>
    </row>
    <row r="293" spans="1:12" ht="14.45">
      <c r="A293" s="19"/>
      <c r="B293" s="31"/>
      <c r="C293" s="19"/>
      <c r="D293" s="19"/>
      <c r="E293" s="19"/>
      <c r="F293" s="20"/>
      <c r="G293" s="19"/>
      <c r="H293" s="19"/>
      <c r="I293" s="20"/>
      <c r="J293" s="19"/>
      <c r="K293" s="19"/>
      <c r="L293" s="19"/>
    </row>
    <row r="294" spans="1:12" ht="14.45">
      <c r="A294" s="19"/>
      <c r="B294" s="31"/>
      <c r="C294" s="19"/>
      <c r="D294" s="19"/>
      <c r="E294" s="19"/>
      <c r="F294" s="20"/>
      <c r="G294" s="19"/>
      <c r="H294" s="19"/>
      <c r="I294" s="20"/>
      <c r="J294" s="19"/>
      <c r="K294" s="19"/>
      <c r="L294" s="19"/>
    </row>
    <row r="295" spans="1:12" ht="14.45">
      <c r="A295" s="19"/>
      <c r="B295" s="31"/>
      <c r="C295" s="19"/>
      <c r="D295" s="19"/>
      <c r="E295" s="19"/>
      <c r="F295" s="20"/>
      <c r="G295" s="19"/>
      <c r="H295" s="19"/>
      <c r="I295" s="20"/>
      <c r="J295" s="19"/>
      <c r="K295" s="19"/>
      <c r="L295" s="19"/>
    </row>
    <row r="296" spans="1:12" ht="14.45">
      <c r="A296" s="19"/>
      <c r="B296" s="31"/>
      <c r="C296" s="19"/>
      <c r="D296" s="19"/>
      <c r="E296" s="19"/>
      <c r="F296" s="20"/>
      <c r="G296" s="19"/>
      <c r="H296" s="19"/>
      <c r="I296" s="20"/>
      <c r="J296" s="19"/>
      <c r="K296" s="19"/>
      <c r="L296" s="19"/>
    </row>
    <row r="297" spans="1:12" ht="14.45">
      <c r="A297" s="19"/>
      <c r="B297" s="31"/>
      <c r="C297" s="19"/>
      <c r="D297" s="19"/>
      <c r="E297" s="19"/>
      <c r="F297" s="20"/>
      <c r="G297" s="19"/>
      <c r="H297" s="19"/>
      <c r="I297" s="20"/>
      <c r="J297" s="19"/>
      <c r="K297" s="19"/>
      <c r="L297" s="19"/>
    </row>
    <row r="298" spans="1:12" ht="14.45">
      <c r="A298" s="19"/>
      <c r="B298" s="31"/>
      <c r="C298" s="19"/>
      <c r="D298" s="19"/>
      <c r="E298" s="19"/>
      <c r="F298" s="20"/>
      <c r="G298" s="19"/>
      <c r="H298" s="19"/>
      <c r="I298" s="20"/>
      <c r="J298" s="19"/>
      <c r="K298" s="19"/>
      <c r="L298" s="19"/>
    </row>
    <row r="299" spans="1:12" ht="14.45">
      <c r="A299" s="19"/>
      <c r="B299" s="31"/>
      <c r="C299" s="19"/>
      <c r="D299" s="19"/>
      <c r="E299" s="19"/>
      <c r="F299" s="20"/>
      <c r="G299" s="19"/>
      <c r="H299" s="19"/>
      <c r="I299" s="20"/>
      <c r="J299" s="19"/>
      <c r="K299" s="19"/>
      <c r="L299" s="19"/>
    </row>
    <row r="300" spans="1:12" ht="14.45">
      <c r="A300" s="19"/>
      <c r="B300" s="31"/>
      <c r="C300" s="19"/>
      <c r="D300" s="19"/>
      <c r="E300" s="19"/>
      <c r="F300" s="20"/>
      <c r="G300" s="19"/>
      <c r="H300" s="19"/>
      <c r="I300" s="20"/>
      <c r="J300" s="19"/>
      <c r="K300" s="19"/>
      <c r="L300" s="19"/>
    </row>
    <row r="301" spans="1:12" ht="14.45">
      <c r="A301" s="19"/>
      <c r="B301" s="31"/>
      <c r="C301" s="19"/>
      <c r="D301" s="19"/>
      <c r="E301" s="19"/>
      <c r="F301" s="20"/>
      <c r="G301" s="19"/>
      <c r="H301" s="19"/>
      <c r="I301" s="20"/>
      <c r="J301" s="19"/>
      <c r="K301" s="19"/>
      <c r="L301" s="19"/>
    </row>
    <row r="302" spans="1:12" ht="14.45">
      <c r="A302" s="19"/>
      <c r="B302" s="31"/>
      <c r="C302" s="19"/>
      <c r="D302" s="19"/>
      <c r="E302" s="19"/>
      <c r="F302" s="20"/>
      <c r="G302" s="19"/>
      <c r="H302" s="19"/>
      <c r="I302" s="20"/>
      <c r="J302" s="19"/>
      <c r="K302" s="19"/>
      <c r="L302" s="19"/>
    </row>
    <row r="303" spans="1:12" ht="14.45">
      <c r="A303" s="19"/>
      <c r="B303" s="31"/>
      <c r="C303" s="19"/>
      <c r="D303" s="19"/>
      <c r="E303" s="19"/>
      <c r="F303" s="20"/>
      <c r="G303" s="19"/>
      <c r="H303" s="19"/>
      <c r="I303" s="20"/>
      <c r="J303" s="19"/>
      <c r="K303" s="19"/>
      <c r="L303" s="19"/>
    </row>
    <row r="304" spans="1:12" ht="14.45">
      <c r="A304" s="19"/>
      <c r="B304" s="31"/>
      <c r="C304" s="19"/>
      <c r="D304" s="19"/>
      <c r="E304" s="19"/>
      <c r="F304" s="20"/>
      <c r="G304" s="19"/>
      <c r="H304" s="19"/>
      <c r="I304" s="20"/>
      <c r="J304" s="19"/>
      <c r="K304" s="19"/>
      <c r="L304" s="19"/>
    </row>
    <row r="305" spans="1:12" ht="14.45">
      <c r="A305" s="19"/>
      <c r="B305" s="31"/>
      <c r="C305" s="19"/>
      <c r="D305" s="19"/>
      <c r="E305" s="19"/>
      <c r="F305" s="20"/>
      <c r="G305" s="19"/>
      <c r="H305" s="19"/>
      <c r="I305" s="20"/>
      <c r="J305" s="19"/>
      <c r="K305" s="19"/>
      <c r="L305" s="19"/>
    </row>
    <row r="306" spans="1:12" ht="14.45">
      <c r="A306" s="19"/>
      <c r="B306" s="31"/>
      <c r="C306" s="19"/>
      <c r="D306" s="19"/>
      <c r="E306" s="19"/>
      <c r="F306" s="20"/>
      <c r="G306" s="19"/>
      <c r="H306" s="19"/>
      <c r="I306" s="20"/>
      <c r="J306" s="19"/>
      <c r="K306" s="19"/>
      <c r="L306" s="19"/>
    </row>
    <row r="307" spans="1:12" ht="14.45">
      <c r="A307" s="19"/>
      <c r="B307" s="31"/>
      <c r="C307" s="19"/>
      <c r="D307" s="19"/>
      <c r="E307" s="19"/>
      <c r="F307" s="20"/>
      <c r="G307" s="19"/>
      <c r="H307" s="19"/>
      <c r="I307" s="20"/>
      <c r="J307" s="19"/>
      <c r="K307" s="19"/>
      <c r="L307" s="19"/>
    </row>
    <row r="308" spans="1:12" ht="14.45">
      <c r="A308" s="19"/>
      <c r="B308" s="31"/>
      <c r="C308" s="19"/>
      <c r="D308" s="19"/>
      <c r="E308" s="19"/>
      <c r="F308" s="20"/>
      <c r="G308" s="19"/>
      <c r="H308" s="19"/>
      <c r="I308" s="20"/>
      <c r="J308" s="19"/>
      <c r="K308" s="19"/>
      <c r="L308" s="19"/>
    </row>
    <row r="309" spans="1:12" ht="14.45">
      <c r="A309" s="19"/>
      <c r="B309" s="31"/>
      <c r="C309" s="19"/>
      <c r="D309" s="19"/>
      <c r="E309" s="19"/>
      <c r="F309" s="20"/>
      <c r="G309" s="19"/>
      <c r="H309" s="19"/>
      <c r="I309" s="20"/>
      <c r="J309" s="19"/>
      <c r="K309" s="19"/>
      <c r="L309" s="19"/>
    </row>
    <row r="310" spans="1:12" ht="14.45">
      <c r="A310" s="19"/>
      <c r="B310" s="31"/>
      <c r="C310" s="19"/>
      <c r="D310" s="19"/>
      <c r="E310" s="19"/>
      <c r="F310" s="20"/>
      <c r="G310" s="19"/>
      <c r="H310" s="19"/>
      <c r="I310" s="20"/>
      <c r="J310" s="19"/>
      <c r="K310" s="19"/>
      <c r="L310" s="19"/>
    </row>
    <row r="311" spans="1:12" ht="14.45">
      <c r="A311" s="19"/>
      <c r="B311" s="31"/>
      <c r="C311" s="19"/>
      <c r="D311" s="19"/>
      <c r="E311" s="19"/>
      <c r="F311" s="20"/>
      <c r="G311" s="19"/>
      <c r="H311" s="19"/>
      <c r="I311" s="20"/>
      <c r="J311" s="19"/>
      <c r="K311" s="19"/>
      <c r="L311" s="19"/>
    </row>
    <row r="312" spans="1:12" ht="14.45">
      <c r="A312" s="19"/>
      <c r="B312" s="31"/>
      <c r="C312" s="19"/>
      <c r="D312" s="19"/>
      <c r="E312" s="19"/>
      <c r="F312" s="20"/>
      <c r="G312" s="19"/>
      <c r="H312" s="19"/>
      <c r="I312" s="20"/>
      <c r="J312" s="19"/>
      <c r="K312" s="19"/>
      <c r="L312" s="19"/>
    </row>
    <row r="313" spans="1:12" ht="14.45">
      <c r="A313" s="19"/>
      <c r="B313" s="31"/>
      <c r="C313" s="19"/>
      <c r="D313" s="19"/>
      <c r="E313" s="19"/>
      <c r="F313" s="20"/>
      <c r="G313" s="19"/>
      <c r="H313" s="19"/>
      <c r="I313" s="20"/>
      <c r="J313" s="19"/>
      <c r="K313" s="19"/>
      <c r="L313" s="19"/>
    </row>
    <row r="314" spans="1:12" ht="14.45">
      <c r="A314" s="19"/>
      <c r="B314" s="31"/>
      <c r="C314" s="19"/>
      <c r="D314" s="19"/>
      <c r="E314" s="19"/>
      <c r="F314" s="20"/>
      <c r="G314" s="19"/>
      <c r="H314" s="19"/>
      <c r="I314" s="20"/>
      <c r="J314" s="19"/>
      <c r="K314" s="19"/>
      <c r="L314" s="19"/>
    </row>
    <row r="315" spans="1:12" ht="14.45">
      <c r="A315" s="19"/>
      <c r="B315" s="31"/>
      <c r="C315" s="19"/>
      <c r="D315" s="19"/>
      <c r="E315" s="19"/>
      <c r="F315" s="20"/>
      <c r="G315" s="19"/>
      <c r="H315" s="19"/>
      <c r="I315" s="20"/>
      <c r="J315" s="19"/>
      <c r="K315" s="19"/>
      <c r="L315" s="19"/>
    </row>
    <row r="316" spans="1:12" ht="14.45">
      <c r="A316" s="19"/>
      <c r="B316" s="31"/>
      <c r="C316" s="19"/>
      <c r="D316" s="19"/>
      <c r="E316" s="19"/>
      <c r="F316" s="20"/>
      <c r="G316" s="19"/>
      <c r="H316" s="19"/>
      <c r="I316" s="20"/>
      <c r="J316" s="19"/>
      <c r="K316" s="19"/>
      <c r="L316" s="19"/>
    </row>
    <row r="317" spans="1:12" ht="14.45">
      <c r="A317" s="19"/>
      <c r="B317" s="31"/>
      <c r="C317" s="19"/>
      <c r="D317" s="19"/>
      <c r="E317" s="19"/>
      <c r="F317" s="20"/>
      <c r="G317" s="19"/>
      <c r="H317" s="19"/>
      <c r="I317" s="20"/>
      <c r="J317" s="19"/>
      <c r="K317" s="19"/>
      <c r="L317" s="19"/>
    </row>
    <row r="318" spans="1:12" ht="14.45">
      <c r="A318" s="19"/>
      <c r="B318" s="31"/>
      <c r="C318" s="19"/>
      <c r="D318" s="19"/>
      <c r="E318" s="19"/>
      <c r="F318" s="20"/>
      <c r="G318" s="19"/>
      <c r="H318" s="19"/>
      <c r="I318" s="20"/>
      <c r="J318" s="19"/>
      <c r="K318" s="19"/>
      <c r="L318" s="19"/>
    </row>
    <row r="319" spans="1:12" ht="14.45">
      <c r="A319" s="19"/>
      <c r="B319" s="31"/>
      <c r="C319" s="19"/>
      <c r="D319" s="19"/>
      <c r="E319" s="19"/>
      <c r="F319" s="20"/>
      <c r="G319" s="19"/>
      <c r="H319" s="19"/>
      <c r="I319" s="20"/>
      <c r="J319" s="19"/>
      <c r="K319" s="19"/>
      <c r="L319" s="19"/>
    </row>
    <row r="320" spans="1:12" ht="14.45">
      <c r="A320" s="19"/>
      <c r="B320" s="31"/>
      <c r="C320" s="19"/>
      <c r="D320" s="19"/>
      <c r="E320" s="19"/>
      <c r="F320" s="20"/>
      <c r="G320" s="19"/>
      <c r="H320" s="19"/>
      <c r="I320" s="20"/>
      <c r="J320" s="19"/>
      <c r="K320" s="19"/>
      <c r="L320" s="19"/>
    </row>
    <row r="321" spans="1:12" ht="14.45">
      <c r="A321" s="19"/>
      <c r="B321" s="31"/>
      <c r="C321" s="19"/>
      <c r="D321" s="19"/>
      <c r="E321" s="19"/>
      <c r="F321" s="20"/>
      <c r="G321" s="19"/>
      <c r="H321" s="19"/>
      <c r="I321" s="20"/>
      <c r="J321" s="19"/>
      <c r="K321" s="19"/>
      <c r="L321" s="19"/>
    </row>
    <row r="322" spans="1:12" ht="14.45">
      <c r="C322" s="19"/>
      <c r="D322" s="19"/>
      <c r="E322" s="19"/>
      <c r="F322" s="20"/>
      <c r="G322" s="19"/>
      <c r="H322" s="19"/>
      <c r="I322" s="20"/>
      <c r="J322" s="19"/>
      <c r="K322" s="19"/>
      <c r="L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hyperlinks>
    <hyperlink ref="K4" r:id="rId1" display="https://us3.assetplanner.com/service_request?ID=108381" xr:uid="{EED7DF95-D59B-4D04-98A2-6F99068CA434}"/>
    <hyperlink ref="M4" r:id="rId2" display="https://us3.assetplanner.com/service_request?ID=103049" xr:uid="{469A7020-F9F9-46EA-9AB7-7914629ECEA9}"/>
    <hyperlink ref="K8" r:id="rId3" display="https://us3.assetplanner.com/service_request?ID=102034" xr:uid="{FE2F7AB9-BB79-4D33-A32D-335145DC77BB}"/>
  </hyperlinks>
  <pageMargins left="0.4" right="0.7" top="0.25" bottom="0.25" header="0.3" footer="0.3"/>
  <pageSetup fitToHeight="99" orientation="landscape"/>
  <legacy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B6" sqref="B6"/>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135</v>
      </c>
      <c r="B1" t="s">
        <v>136</v>
      </c>
    </row>
    <row r="3" spans="1:12" ht="13.15">
      <c r="A3" t="s">
        <v>137</v>
      </c>
      <c r="B3" t="s">
        <v>3</v>
      </c>
      <c r="C3" t="s">
        <v>4</v>
      </c>
      <c r="D3" t="s">
        <v>138</v>
      </c>
      <c r="E3" s="2" t="s">
        <v>139</v>
      </c>
    </row>
    <row r="4" spans="1:12" ht="14.45">
      <c r="A4" s="48" t="s">
        <v>140</v>
      </c>
      <c r="B4" t="s">
        <v>141</v>
      </c>
      <c r="C4" s="45" t="s">
        <v>142</v>
      </c>
      <c r="D4" s="44" t="s">
        <v>143</v>
      </c>
      <c r="E4" t="s">
        <v>144</v>
      </c>
      <c r="G4" s="3"/>
    </row>
    <row r="5" spans="1:12" ht="14.45">
      <c r="A5" s="48" t="s">
        <v>145</v>
      </c>
      <c r="B5" t="s">
        <v>146</v>
      </c>
      <c r="C5" s="45" t="s">
        <v>142</v>
      </c>
      <c r="D5" s="44" t="s">
        <v>143</v>
      </c>
      <c r="E5" t="s">
        <v>144</v>
      </c>
      <c r="G5" s="3"/>
    </row>
    <row r="6" spans="1:12" ht="14.45">
      <c r="A6" s="48" t="s">
        <v>147</v>
      </c>
      <c r="B6" t="s">
        <v>148</v>
      </c>
      <c r="C6" s="45" t="s">
        <v>142</v>
      </c>
      <c r="D6" s="44" t="s">
        <v>143</v>
      </c>
      <c r="E6" t="s">
        <v>144</v>
      </c>
      <c r="G6" s="3"/>
    </row>
    <row r="7" spans="1:12" ht="12.75" customHeight="1">
      <c r="A7" s="48" t="s">
        <v>149</v>
      </c>
      <c r="B7" t="s">
        <v>150</v>
      </c>
      <c r="C7" s="45" t="s">
        <v>142</v>
      </c>
      <c r="D7" s="44"/>
      <c r="E7" t="s">
        <v>144</v>
      </c>
    </row>
    <row r="8" spans="1:12" ht="12.75" customHeight="1">
      <c r="A8" s="48" t="s">
        <v>151</v>
      </c>
      <c r="B8" t="s">
        <v>152</v>
      </c>
      <c r="C8" s="45" t="s">
        <v>142</v>
      </c>
      <c r="D8" s="44" t="s">
        <v>143</v>
      </c>
      <c r="E8" t="s">
        <v>144</v>
      </c>
    </row>
    <row r="9" spans="1:12" ht="12.75" customHeight="1">
      <c r="A9" s="54" t="s">
        <v>153</v>
      </c>
      <c r="B9" s="55" t="s">
        <v>154</v>
      </c>
      <c r="C9" s="45" t="s">
        <v>142</v>
      </c>
      <c r="D9" s="44" t="s">
        <v>143</v>
      </c>
      <c r="E9" t="s">
        <v>144</v>
      </c>
      <c r="K9" s="42"/>
      <c r="L9" s="42"/>
    </row>
    <row r="10" spans="1:12" ht="12.75" customHeight="1">
      <c r="A10" s="54" t="s">
        <v>155</v>
      </c>
      <c r="B10" s="55" t="s">
        <v>156</v>
      </c>
      <c r="C10" s="45" t="s">
        <v>142</v>
      </c>
      <c r="D10" s="44"/>
      <c r="E10" t="s">
        <v>144</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954BBA4-0359-438C-B0EC-A756015F7C02}"/>
</file>

<file path=customXml/itemProps2.xml><?xml version="1.0" encoding="utf-8"?>
<ds:datastoreItem xmlns:ds="http://schemas.openxmlformats.org/officeDocument/2006/customXml" ds:itemID="{F6B2B1A1-1C4B-4AC9-9A7D-7A102DD1C942}"/>
</file>

<file path=customXml/itemProps3.xml><?xml version="1.0" encoding="utf-8"?>
<ds:datastoreItem xmlns:ds="http://schemas.openxmlformats.org/officeDocument/2006/customXml" ds:itemID="{14966E4F-347B-477B-B74C-9DAC05405806}"/>
</file>

<file path=customXml/itemProps4.xml><?xml version="1.0" encoding="utf-8"?>
<ds:datastoreItem xmlns:ds="http://schemas.openxmlformats.org/officeDocument/2006/customXml" ds:itemID="{BE26B669-A686-459C-A5E9-FEC3409C4C81}"/>
</file>

<file path=customXml/itemProps5.xml><?xml version="1.0" encoding="utf-8"?>
<ds:datastoreItem xmlns:ds="http://schemas.openxmlformats.org/officeDocument/2006/customXml" ds:itemID="{CB52044A-5C0B-44A2-99D0-C1C315EC302D}"/>
</file>

<file path=customXml/itemProps6.xml><?xml version="1.0" encoding="utf-8"?>
<ds:datastoreItem xmlns:ds="http://schemas.openxmlformats.org/officeDocument/2006/customXml" ds:itemID="{98A113BB-8B7A-453C-8BD4-8EFC67FC2D3F}"/>
</file>

<file path=customXml/itemProps7.xml><?xml version="1.0" encoding="utf-8"?>
<ds:datastoreItem xmlns:ds="http://schemas.openxmlformats.org/officeDocument/2006/customXml" ds:itemID="{7946C510-7D04-49D8-9B25-EEC04582A1CA}"/>
</file>

<file path=customXml/itemProps8.xml><?xml version="1.0" encoding="utf-8"?>
<ds:datastoreItem xmlns:ds="http://schemas.openxmlformats.org/officeDocument/2006/customXml" ds:itemID="{D3A7101F-9A85-4235-8B03-415370C100B2}"/>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2BC74AAC-D69B-4AF1-9649-B21EF3C1C463}"/>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E20E8303-6A67-485C-B6F4-303542CC295C}"/>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66B09F59-6532-46F8-924A-9A02417E070D}"/>
</file>

<file path=customXml/itemProps15.xml><?xml version="1.0" encoding="utf-8"?>
<ds:datastoreItem xmlns:ds="http://schemas.openxmlformats.org/officeDocument/2006/customXml" ds:itemID="{D533CEF3-DD3E-4853-A619-D0A9A28292A6}"/>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078388C9-06F9-42F4-B857-EF76B5CAF1FD}"/>
</file>

<file path=customXml/itemProps18.xml><?xml version="1.0" encoding="utf-8"?>
<ds:datastoreItem xmlns:ds="http://schemas.openxmlformats.org/officeDocument/2006/customXml" ds:itemID="{89CF5C07-45EB-4100-9AFB-2C6AF77FA787}"/>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2026-02-20T18:51:40Z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