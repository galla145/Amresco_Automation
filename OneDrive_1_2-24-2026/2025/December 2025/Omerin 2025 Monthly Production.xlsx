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2" documentId="13_ncr:1_{52120B3E-811B-4687-895A-476C04C97C12}" xr6:coauthVersionLast="47" xr6:coauthVersionMax="47" xr10:uidLastSave="{240C4651-0892-429E-9FDC-ACFCA3F8EE26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<sst xmlns="http://schemas.openxmlformats.org/spreadsheetml/2006/main" count="271" uniqueCount="55">
  <si>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</si>
  <si>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</si>
  <si>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</si>
  <si>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</si>
  <si>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</si>
  <si>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</si>
  <si>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</si>
  <si>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</si>
  <si>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</si>
  <si>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</si>
  <si>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</si>
  <si>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</si>
  <si>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</si>
  <si>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</si>
  <si>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</si>
  <si>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</si>
  <si>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</si>
  <si>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</si>
  <si>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</si>
  <si>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</si>
  <si>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</si>
  <si>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</si>
  <si>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</si>
  <si>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</si>
  <si>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</si>
  <si>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</si>
  <si>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</si>
  <si>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</si>
  <si>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</si>
  <si>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</si>
  <si>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</si>
  <si>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</si>
  <si>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</si>
  <si>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</si>
  <si>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</si>
  <si>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</si>
  <si>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</si>
  <si>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</si>
  <si>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</si>
  <si>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</si>
  <si>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</si>
  <si>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</si>
  <si>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</si>
  <si>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</si>
  <si>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</si>
  <si>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</si>
  <si>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 Expected and forecasted values are not available
2. Site production was low due to snow.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</si>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</sst>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239400.84</v>
      </c>
      <c r="D2" s="5">
        <f>SUM(D4:D79)</f>
        <v>0</v>
      </c>
      <c r="E2" s="5">
        <f>C2-D2</f>
        <v>239400.84</v>
      </c>
      <c r="F2" s="6">
        <f>IFERROR(E2/D2, 0)</f>
        <v>0</v>
      </c>
      <c r="G2" s="5">
        <f>SUM(G4:G79)</f>
        <v>0</v>
      </c>
      <c r="H2" s="7">
        <f>C2-G2</f>
        <v>239400.84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239400.84</v>
      </c>
      <c r="D4" s="12">
        <f>SUM('1st Qtr'!D4, '2nd Qtr'!D4, '3rd Qtr'!D4, '4th Qtr'!D4)</f>
        <v>0</v>
      </c>
      <c r="E4" s="12">
        <f>IF(AND(ISNUMBER(C4),ISNUMBER(D4)), C4-D4, "")</f>
        <v>239400.84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89565.760000000009</v>
      </c>
      <c r="D2" s="5">
        <f>SUM(D4:D79)</f>
        <v>0</v>
      </c>
      <c r="E2" s="5">
        <f>C2-D2</f>
        <v>89565.760000000009</v>
      </c>
      <c r="F2" s="6">
        <f>IFERROR(E2/D2, 0)</f>
        <v>0</v>
      </c>
      <c r="G2" s="5">
        <f>SUM(G4:G79)</f>
        <v>0</v>
      </c>
      <c r="H2" s="7">
        <f>C2-G2</f>
        <v>89565.760000000009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89565.760000000009</v>
      </c>
      <c r="D4" s="12">
        <f>SUM(Jul!D4, Aug!D4, Sep!D4)</f>
        <v>0</v>
      </c>
      <c r="E4" s="12">
        <f>IF(AND(ISNUMBER(C4),ISNUMBER(D4)), C4-D4, "")</f>
        <v>89565.760000000009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36929.410000000003</v>
      </c>
      <c r="D2" s="5">
        <f>SUM(D4:D79)</f>
        <v>0</v>
      </c>
      <c r="E2" s="5">
        <f>C2-D2</f>
        <v>36929.410000000003</v>
      </c>
      <c r="F2" s="6">
        <f>IFERROR(E2/D2, 0)</f>
        <v>0</v>
      </c>
      <c r="G2" s="5">
        <f>SUM(G4:G79)</f>
        <v>0</v>
      </c>
      <c r="H2" s="7">
        <f>C2-G2</f>
        <v>36929.410000000003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36929.410000000003</v>
      </c>
      <c r="D4" s="12">
        <f>SUM(Oct!D4, Nov!D4, Dec!D4)</f>
        <v>0</v>
      </c>
      <c r="E4" s="12">
        <f>IF(AND(ISNUMBER(C4),ISNUMBER(D4)), C4-D4, "")</f>
        <v>36929.410000000003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32394.41</v>
      </c>
      <c r="D2" s="5">
        <f>SUM(D4:D79)</f>
        <v>0</v>
      </c>
      <c r="E2" s="5">
        <f>C2-D2</f>
        <v>32394.41</v>
      </c>
      <c r="F2" s="6">
        <f>IFERROR(E2/D2, 0)</f>
        <v>0</v>
      </c>
      <c r="G2" s="5">
        <f>SUM(G4:G79)</f>
        <v>0</v>
      </c>
      <c r="H2" s="7">
        <f>C2-G2</f>
        <v>32394.41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32394.41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25140.71</v>
      </c>
      <c r="D2" s="5">
        <f>SUM(D4:D79)</f>
        <v>0</v>
      </c>
      <c r="E2" s="5">
        <f>C2-D2</f>
        <v>25140.71</v>
      </c>
      <c r="F2" s="6">
        <f>IFERROR(E2/D2, 0)</f>
        <v>0</v>
      </c>
      <c r="G2" s="5">
        <f>SUM(G4:G79)</f>
        <v>0</v>
      </c>
      <c r="H2" s="7">
        <f>C2-G2</f>
        <v>25140.71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25140.71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18189.98</v>
      </c>
      <c r="D2" s="5">
        <f>SUM(D4:D79)</f>
        <v>0</v>
      </c>
      <c r="E2" s="5">
        <f>C2-D2</f>
        <v>18189.98</v>
      </c>
      <c r="F2" s="6">
        <f>IFERROR(E2/D2, 0)</f>
        <v>0</v>
      </c>
      <c r="G2" s="5">
        <f>SUM(G4:G79)</f>
        <v>0</v>
      </c>
      <c r="H2" s="7">
        <f>C2-G2</f>
        <v>18189.98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18189.98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K17" sqref="A9:K17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11295.29</v>
      </c>
      <c r="D2" s="5">
        <f>SUM(D4:D79)</f>
        <v>0</v>
      </c>
      <c r="E2" s="5">
        <f>C2-D2</f>
        <v>11295.29</v>
      </c>
      <c r="F2" s="6">
        <f>IFERROR(E2/D2, 0)</f>
        <v>0</v>
      </c>
      <c r="G2" s="5">
        <f>SUM(G4:G79)</f>
        <v>0</v>
      </c>
      <c r="H2" s="7">
        <f>C2-G2</f>
        <v>11295.29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11295.29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zoomScale="90" zoomScaleNormal="90" workbookViewId="0">
      <pane xSplit="2" ySplit="3" topLeftCell="C4" activePane="bottomRight" state="frozen"/>
      <selection pane="bottomRight" activeCell="C7" sqref="C7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7444.14</v>
      </c>
      <c r="D2" s="5">
        <f>SUM(D4:D79)</f>
        <v>0</v>
      </c>
      <c r="E2" s="5">
        <f>C2-D2</f>
        <v>7444.14</v>
      </c>
      <c r="F2" s="6">
        <f>IFERROR(E2/D2, 0)</f>
        <v>0</v>
      </c>
      <c r="G2" s="5">
        <f>SUM(G4:G79)</f>
        <v>0</v>
      </c>
      <c r="H2" s="7">
        <f>C2-G2</f>
        <v>7444.14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7444.14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46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25">
      <c r="A4" s="45" t="s">
        <v>48</v>
      </c>
      <c r="B4" t="s">
        <v>48</v>
      </c>
      <c r="C4" s="43" t="s">
        <v>52</v>
      </c>
      <c r="D4" s="42" t="s">
        <v>53</v>
      </c>
      <c r="E4" t="s">
        <v>54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75723C5D-B012-430C-934F-984DD55B443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2026-01-23T18:02:47Z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