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8DAEF4E6-2F33-442A-B53A-3162E607EE0C}" xr6:coauthVersionLast="47" xr6:coauthVersionMax="47" xr10:uidLastSave="{5E06D77C-56F2-4BAE-B48D-9B9B60B972A3}"/>
  <bookViews>
    <workbookView xWindow="-108" yWindow="-108" windowWidth="23256" windowHeight="12456" tabRatio="866" firstSheet="16" activeTab="16" xr2:uid="{00000000-000D-0000-FFFF-FFFF00000000}"/>
  </bookViews>
  <sheets>
    <sheet name="1st Qtr" sheetId="1" r:id="rId1"/>
    <sheet name="Year to Date" sheetId="34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0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1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1" l="1"/>
  <c r="I5" i="20"/>
  <c r="I5" i="19"/>
  <c r="I6" i="21"/>
  <c r="I6" i="19"/>
  <c r="I4" i="21"/>
  <c r="I4" i="19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B4" i="34" a="1"/>
  <c r="B4" i="34" s="1"/>
  <c r="A4" i="34" a="1"/>
  <c r="A4" i="34" s="1"/>
  <c r="A1" i="34" a="1"/>
  <c r="A1" i="34" s="1"/>
  <c r="C5" i="30"/>
  <c r="E5" i="30" s="1"/>
  <c r="F5" i="30" s="1"/>
  <c r="C4" i="30"/>
  <c r="C5" i="29"/>
  <c r="C4" i="29"/>
  <c r="C5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E6" i="19"/>
  <c r="F6" i="19" s="1"/>
  <c r="H5" i="19"/>
  <c r="E5" i="19"/>
  <c r="F5" i="19" s="1"/>
  <c r="H4" i="19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E6" i="21"/>
  <c r="F6" i="21" s="1"/>
  <c r="H5" i="21"/>
  <c r="E5" i="21"/>
  <c r="F5" i="21" s="1"/>
  <c r="H4" i="2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4" i="72"/>
  <c r="I4" i="72" s="1"/>
  <c r="D2" i="72"/>
  <c r="C2" i="72"/>
  <c r="J2" i="72" s="1"/>
  <c r="E4" i="72"/>
  <c r="F4" i="72" s="1"/>
  <c r="A1" i="72" a="1"/>
  <c r="A1" i="72" s="1"/>
  <c r="H5" i="72" l="1"/>
  <c r="I5" i="72" s="1"/>
  <c r="G2" i="72"/>
  <c r="H2" i="72" s="1"/>
  <c r="I2" i="72" s="1"/>
  <c r="D2" i="30"/>
  <c r="H2" i="31"/>
  <c r="I2" i="31" s="1"/>
  <c r="E4" i="30"/>
  <c r="F4" i="30" s="1"/>
  <c r="E5" i="29"/>
  <c r="F5" i="29" s="1"/>
  <c r="E2" i="28"/>
  <c r="F2" i="28" s="1"/>
  <c r="H2" i="20"/>
  <c r="I2" i="20" s="1"/>
  <c r="E5" i="18"/>
  <c r="F5" i="18" s="1"/>
  <c r="D2" i="18"/>
  <c r="E4" i="18"/>
  <c r="F4" i="18" s="1"/>
  <c r="J2" i="20"/>
  <c r="J2" i="21"/>
  <c r="H2" i="4"/>
  <c r="I2" i="4" s="1"/>
  <c r="G2" i="34"/>
  <c r="H2" i="19"/>
  <c r="I2" i="19" s="1"/>
  <c r="J2" i="19"/>
  <c r="H2" i="28"/>
  <c r="I2" i="28" s="1"/>
  <c r="H2" i="32"/>
  <c r="I2" i="32" s="1"/>
  <c r="H2" i="26"/>
  <c r="I2" i="26" s="1"/>
  <c r="D2" i="34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C2" i="29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5" i="34" l="1"/>
  <c r="I5" i="34" s="1"/>
  <c r="E2" i="29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<sst xmlns="http://schemas.openxmlformats.org/spreadsheetml/2006/main" count="289" uniqueCount="74">
  <si>
    <t>1st Quarter Actual v. Expected</t>
  </si>
  <si>
    <t>1st Quarter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</si>
  <si>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</si>
  <si>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</si>
  <si>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</si>
  <si>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</si>
  <si>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</si>
  <si>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</si>
  <si>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</si>
  <si>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</si>
  <si>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Year to Date Actual v. Expected</t>
  </si>
  <si>
    <t>Year to Date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</si>
  <si>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</si>
  <si>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</si>
  <si>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</si>
  <si>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</si>
  <si>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</si>
  <si>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</si>
  <si>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</si>
  <si>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</si>
  <si>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</si>
  <si>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</si>
  <si>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</si>
  <si>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</si>
  <si>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</si>
  <si>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</si>
  <si>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</si>
  <si>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</si>
  <si>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</si>
  <si>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</si>
  <si>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2 (inverter 3 on Solaredge, SN: 7E89F60D) unit derating midday.</t>
  </si>
  <si>
    <t>1.SR102245</t>
  </si>
  <si>
    <t>June Actual v. Expected</t>
  </si>
  <si>
    <t>June Actual v. Forecasted</t>
  </si>
  <si>
    <t>July Actual v. Expected</t>
  </si>
  <si>
    <t>July Actual v. Forecasted</t>
  </si>
  <si>
    <t>N/A</t>
  </si>
  <si>
    <t>1.Inverter 2 (inverter 3 on Solaredge, SN: 7E89F60D) was unit derating midday for whole month.</t>
  </si>
  <si>
    <t>1.Site was offline  at 13:00 since 06/24</t>
  </si>
  <si>
    <t>1.SR103414</t>
  </si>
  <si>
    <t>August Actual v. Expected</t>
  </si>
  <si>
    <t>August Actual v. Forecasted</t>
  </si>
  <si>
    <t xml:space="preserve">1.Inverter 2 (inverter 3 on Solaredge, SN: 7E89F60D) unit derating midday for whole month. </t>
  </si>
  <si>
    <t>1.Site was offline  from 13:00 on 06/24 to end of the month.</t>
  </si>
  <si>
    <t>1.	SR103414</t>
  </si>
  <si>
    <t>September Actual v. Expected</t>
  </si>
  <si>
    <t>September Actual v. Forecasted</t>
  </si>
  <si>
    <t>1.Inverter 2 was operating normally on 09/22
2.Inverter 2 right is underperforming by 15kW. On 09/22 technician confirmed Lower performance due to fewer optimizers.  Firmware update completed.  Confirmed with SE.</t>
  </si>
  <si>
    <t>1.SR102245
2.SR107701</t>
  </si>
  <si>
    <t>SR107701</t>
  </si>
  <si>
    <t>October Actual v. Expected</t>
  </si>
  <si>
    <t>October Actual v. Forecasted</t>
  </si>
  <si>
    <t>Status</t>
  </si>
  <si>
    <t>1..Inverter 2 right is underperforming by 15kW. On 09/22 technician confirmed Lower performance due to fewer optimizers.  Firmware update completed.  Confirmed with SE.</t>
  </si>
  <si>
    <t>1.	SR107701</t>
  </si>
  <si>
    <t>1.Closed</t>
  </si>
  <si>
    <t>1.closed</t>
  </si>
  <si>
    <t>November Actual v. Expected</t>
  </si>
  <si>
    <t>November Actual v. Forecasted</t>
  </si>
  <si>
    <t>1.Inverter 2 right is underperforming by 15kW. On 09/22 technician confirmed Lower performance due to fewer optimizers.  Firmware update completed.  Confirmed with SE.</t>
  </si>
  <si>
    <t>1.Site back online on 11/18</t>
  </si>
  <si>
    <t>December Actual v. Expected</t>
  </si>
  <si>
    <t>December Actual v. Forecasted</t>
  </si>
  <si>
    <t>Portfolio:</t>
  </si>
  <si>
    <t>Mahopac Central School District</t>
  </si>
  <si>
    <t>Site DAS Name</t>
  </si>
  <si>
    <t>Update</t>
  </si>
  <si>
    <t>DAS</t>
  </si>
  <si>
    <t>NY:  Mahopac - Austin Road  ES</t>
  </si>
  <si>
    <t>Mahopac - Austin Road  ES</t>
  </si>
  <si>
    <t>NY</t>
  </si>
  <si>
    <t>PF Unity</t>
  </si>
  <si>
    <t>NY:  Mahopcac -  Lakeview ES</t>
  </si>
  <si>
    <t>Mahopcac -  Lakeview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</si>
</sst>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35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49" fontId="35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/>
    </xf>
    <xf numFmtId="0" fontId="36" fillId="0" borderId="0" xfId="45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49" fontId="36" fillId="0" borderId="0" xfId="45" applyNumberFormat="1" applyAlignment="1">
      <alignment horizontal="left" vertical="center"/>
    </xf>
    <xf numFmtId="0" fontId="36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414" TargetMode="External"/><Relationship Id="rId1" Type="http://schemas.openxmlformats.org/officeDocument/2006/relationships/hyperlink" Target="https://us3.assetplanner.com/service_request?ID=102245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414" TargetMode="External"/><Relationship Id="rId1" Type="http://schemas.openxmlformats.org/officeDocument/2006/relationships/hyperlink" Target="https://us3.assetplanner.com/service_request?ID=102245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414" TargetMode="External"/><Relationship Id="rId2" Type="http://schemas.openxmlformats.org/officeDocument/2006/relationships/hyperlink" Target="https://us3.assetplanner.com/service_request?ID=107701" TargetMode="External"/><Relationship Id="rId1" Type="http://schemas.openxmlformats.org/officeDocument/2006/relationships/hyperlink" Target="https://us3.assetplanner.com/service_request?ID=10224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414" TargetMode="External"/><Relationship Id="rId1" Type="http://schemas.openxmlformats.org/officeDocument/2006/relationships/hyperlink" Target="https://us3.assetplanner.com/service_request?ID=107701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03414" TargetMode="External"/><Relationship Id="rId1" Type="http://schemas.openxmlformats.org/officeDocument/2006/relationships/hyperlink" Target="https://us3.assetplanner.com/service_request?ID=107701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70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6"/>
  <sheetViews>
    <sheetView workbookViewId="0">
      <pane ySplit="2" topLeftCell="A3" activePane="bottomLeft" state="frozen"/>
      <selection pane="bottomLeft" activeCell="H12" sqref="H12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Mahopac Central School District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/>
      <c r="D4" s="14">
        <f>SUM(Jan!D4, Feb!D4, Mar!D4)</f>
        <v>0</v>
      </c>
      <c r="E4" s="14" t="str">
        <f>IF(AND(ISNUMBER(C4),ISNUMBER(D4)), C4-D4, "")</f>
        <v/>
      </c>
      <c r="F4" s="15" t="str">
        <f>IFERROR(E4/D4,"")</f>
        <v/>
      </c>
      <c r="G4" s="16"/>
      <c r="H4" s="16">
        <f>SUM(Jan!H4, Feb!H4, Mar!H4)</f>
        <v>0</v>
      </c>
      <c r="I4" s="17">
        <f>IFERROR(H4/G4, 0)</f>
        <v>0</v>
      </c>
    </row>
    <row r="5" spans="1:9" ht="15.6">
      <c r="A5" s="19" t="str">
        <v>Mahopcac -  Lakeview ES</v>
      </c>
      <c r="B5" s="11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SUM(Jan!H5, Feb!H5, Mar!H5)</f>
        <v>0</v>
      </c>
      <c r="I5" s="21">
        <f>IFERROR(H5/G5, 0)</f>
        <v>0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4 I4:I8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6"/>
  <sheetViews>
    <sheetView workbookViewId="0">
      <pane ySplit="2" topLeftCell="A3" activePane="bottomLeft" state="frozen"/>
      <selection pane="bottomLeft" activeCell="G11" sqref="G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Mahopac Central School District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>
        <f>IFERROR(E4/D4, 0)</f>
        <v>0</v>
      </c>
      <c r="G4" s="16"/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Mahopcac -  Lakeview ES</v>
      </c>
      <c r="B5" s="11" t="str">
        <v>NY</v>
      </c>
      <c r="C5" s="12"/>
      <c r="D5" s="20"/>
      <c r="E5" s="20" t="str">
        <f t="shared" ref="E5" si="0">IF(AND(ISNUMBER(C5),ISNUMBER(D5)), C5-D5, "")</f>
        <v/>
      </c>
      <c r="F5" s="21">
        <f>IFERROR(E5/D5, 0)</f>
        <v>0</v>
      </c>
      <c r="G5" s="22"/>
      <c r="H5" s="22">
        <f>SUM(Jan!H5, Feb!H5, Mar!H5)</f>
        <v>0</v>
      </c>
      <c r="I5" s="21">
        <f>IFERROR(H5/G5, 0)</f>
        <v>0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4 I4:I8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6"/>
  <sheetViews>
    <sheetView workbookViewId="0">
      <pane ySplit="2" topLeftCell="A3" activePane="bottomLeft" state="frozen"/>
      <selection pane="bottomLeft" activeCell="C19" sqref="C19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Mahopac Central School District</v>
      </c>
      <c r="B1" s="63"/>
      <c r="C1" s="63"/>
      <c r="D1" s="64" t="s">
        <v>12</v>
      </c>
      <c r="E1" s="64"/>
      <c r="F1" s="64"/>
      <c r="G1" s="62" t="s">
        <v>13</v>
      </c>
      <c r="H1" s="62"/>
      <c r="I1" s="62"/>
    </row>
    <row r="2" spans="1:9" ht="19.5" customHeight="1">
      <c r="A2" s="65" t="s">
        <v>2</v>
      </c>
      <c r="B2" s="65"/>
      <c r="C2" s="6">
        <f>SUM(C4:C84)</f>
        <v>45497.5</v>
      </c>
      <c r="D2" s="6">
        <f>SUM(D4:D84)</f>
        <v>0</v>
      </c>
      <c r="E2" s="6">
        <f>C2-D2</f>
        <v>45497.5</v>
      </c>
      <c r="F2" s="7">
        <f>IFERROR(E2/D2, 0)</f>
        <v>0</v>
      </c>
      <c r="G2" s="6">
        <f>SUM(G4:G84)</f>
        <v>0</v>
      </c>
      <c r="H2" s="8">
        <f>C2-G2</f>
        <v>45497.5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>
        <f>SUM(Apr!C4, May!C4, Jun!C4)</f>
        <v>45497.5</v>
      </c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Mahopcac -  Lakeview ES</v>
      </c>
      <c r="B5" s="11" t="str">
        <v>NY</v>
      </c>
      <c r="C5" s="12">
        <f>SUM(Apr!C5, May!C5, Jun!C5)</f>
        <v>0</v>
      </c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4 I4:I8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6"/>
  <sheetViews>
    <sheetView workbookViewId="0">
      <pane ySplit="2" topLeftCell="A3" activePane="bottomLeft" state="frozen"/>
      <selection pane="bottomLeft" activeCell="A6" sqref="A6:XFD6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Mahopac Central School District</v>
      </c>
      <c r="B1" s="63"/>
      <c r="C1" s="63"/>
      <c r="D1" s="64" t="s">
        <v>14</v>
      </c>
      <c r="E1" s="64"/>
      <c r="F1" s="64"/>
      <c r="G1" s="62" t="s">
        <v>15</v>
      </c>
      <c r="H1" s="62"/>
      <c r="I1" s="62"/>
    </row>
    <row r="2" spans="1:9" ht="19.5" customHeight="1">
      <c r="A2" s="65" t="s">
        <v>2</v>
      </c>
      <c r="B2" s="65"/>
      <c r="C2" s="6">
        <f>SUM(C4:C84)</f>
        <v>156517.83800000002</v>
      </c>
      <c r="D2" s="6">
        <f>SUM(D4:D84)</f>
        <v>0</v>
      </c>
      <c r="E2" s="6">
        <f>C2-D2</f>
        <v>156517.83800000002</v>
      </c>
      <c r="F2" s="7">
        <f>IFERROR(E2/D2, 0)</f>
        <v>0</v>
      </c>
      <c r="G2" s="6">
        <f>SUM(G4:G84)</f>
        <v>0</v>
      </c>
      <c r="H2" s="8">
        <f>C2-G2</f>
        <v>156517.83800000002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>
        <f>SUM(Jul!C4, Aug!C4, Sep!C4)</f>
        <v>156517.83800000002</v>
      </c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Mahopcac -  Lakeview ES</v>
      </c>
      <c r="B5" s="11" t="str">
        <v>NY</v>
      </c>
      <c r="C5" s="12">
        <f>SUM(Jul!C5, Aug!C5, Sep!C5)</f>
        <v>0</v>
      </c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</sheetData>
  <mergeCells count="4">
    <mergeCell ref="G1:I1"/>
    <mergeCell ref="A1:C1"/>
    <mergeCell ref="D1:F1"/>
    <mergeCell ref="A2:B2"/>
  </mergeCells>
  <conditionalFormatting sqref="F2 I2 F4:F84 I4:I8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6"/>
  <sheetViews>
    <sheetView workbookViewId="0">
      <pane ySplit="2" topLeftCell="A3" activePane="bottomLeft" state="frozen"/>
      <selection pane="bottomLeft" activeCell="F16" sqref="F16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Mahopac Central School District</v>
      </c>
      <c r="B1" s="63"/>
      <c r="C1" s="63"/>
      <c r="D1" s="64" t="s">
        <v>16</v>
      </c>
      <c r="E1" s="64"/>
      <c r="F1" s="64"/>
      <c r="G1" s="62" t="s">
        <v>17</v>
      </c>
      <c r="H1" s="62"/>
      <c r="I1" s="62"/>
    </row>
    <row r="2" spans="1:9" ht="19.5" customHeight="1">
      <c r="A2" s="65" t="s">
        <v>2</v>
      </c>
      <c r="B2" s="65"/>
      <c r="C2" s="6">
        <f>SUM(C4:C84)</f>
        <v>68776.929999999993</v>
      </c>
      <c r="D2" s="6">
        <f>SUM(D4:D84)</f>
        <v>0</v>
      </c>
      <c r="E2" s="6">
        <f>C2-D2</f>
        <v>68776.929999999993</v>
      </c>
      <c r="F2" s="7">
        <f>IFERROR(E2/D2, 0)</f>
        <v>0</v>
      </c>
      <c r="G2" s="6">
        <f>SUM(G4:G84)</f>
        <v>0</v>
      </c>
      <c r="H2" s="8">
        <f>C2-G2</f>
        <v>68776.929999999993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>
        <f>SUM(Oct!C4, Nov!C4, Dec!C4)</f>
        <v>60956.5</v>
      </c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Mahopcac -  Lakeview ES</v>
      </c>
      <c r="B5" s="11" t="str">
        <v>NY</v>
      </c>
      <c r="C5" s="12">
        <f>SUM(Oct!C5, Nov!C5, Dec!C5)</f>
        <v>7820.43</v>
      </c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</sheetData>
  <mergeCells count="4">
    <mergeCell ref="G1:I1"/>
    <mergeCell ref="A1:C1"/>
    <mergeCell ref="D1:F1"/>
    <mergeCell ref="A2:B2"/>
  </mergeCells>
  <conditionalFormatting sqref="F2 I2 F4:F84 I4:I8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5"/>
  <sheetViews>
    <sheetView zoomScale="80" zoomScaleNormal="80" zoomScaleSheetLayoutView="50" workbookViewId="0">
      <pane ySplit="3" topLeftCell="A4" activePane="bottomLeft" state="frozen"/>
      <selection pane="bottomLeft" activeCell="J20" sqref="J20"/>
      <selection activeCell="I6" sqref="I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Mahopac Central School District</v>
      </c>
      <c r="B1" s="63"/>
      <c r="C1" s="63"/>
      <c r="D1" s="64" t="s">
        <v>18</v>
      </c>
      <c r="E1" s="64"/>
      <c r="F1" s="64"/>
      <c r="G1" s="62" t="s">
        <v>19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SUM(C4:C83)</f>
        <v>0</v>
      </c>
      <c r="D2" s="6">
        <f>SUM(D4:D83)</f>
        <v>0</v>
      </c>
      <c r="E2" s="6">
        <f>C2-D2</f>
        <v>0</v>
      </c>
      <c r="F2" s="7">
        <f>IFERROR(E2/D2, 0)</f>
        <v>0</v>
      </c>
      <c r="G2" s="6">
        <f>SUM(G4:G83)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>
        <f>IFERROR(E4/D4, 0)</f>
        <v>0</v>
      </c>
      <c r="G4" s="52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53"/>
      <c r="H5" s="22" t="str">
        <f t="shared" ref="H5" si="1">IF(AND(ISNUMBER(C5),ISNUMBER(G5)), C5-G5, "")</f>
        <v/>
      </c>
      <c r="I5" s="21" t="str">
        <f>IFERROR(H5/G5,"")</f>
        <v/>
      </c>
      <c r="J5" s="47"/>
      <c r="K5" s="49"/>
    </row>
    <row r="6" spans="1:11" ht="14.45">
      <c r="A6" s="23"/>
      <c r="B6" s="35"/>
      <c r="C6" s="23"/>
      <c r="D6" s="23"/>
      <c r="E6" s="23"/>
      <c r="F6" s="23"/>
      <c r="G6" s="50"/>
      <c r="H6" s="23"/>
      <c r="I6" s="23"/>
      <c r="J6" s="23"/>
      <c r="K6" s="23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51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</sheetData>
  <mergeCells count="4">
    <mergeCell ref="D1:F1"/>
    <mergeCell ref="A1:C1"/>
    <mergeCell ref="G1:I1"/>
    <mergeCell ref="A2:B2"/>
  </mergeCells>
  <conditionalFormatting sqref="F2 I2 F4:F83 I4:I83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6"/>
  <sheetViews>
    <sheetView zoomScale="60" zoomScaleNormal="60" workbookViewId="0">
      <pane ySplit="2" topLeftCell="A3" activePane="bottomLeft" state="frozen"/>
      <selection pane="bottomLeft" activeCell="K33" sqref="K33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Mahopac Central School District</v>
      </c>
      <c r="B1" s="63"/>
      <c r="C1" s="63"/>
      <c r="D1" s="64" t="s">
        <v>22</v>
      </c>
      <c r="E1" s="64"/>
      <c r="F1" s="64"/>
      <c r="G1" s="62" t="s">
        <v>23</v>
      </c>
      <c r="H1" s="62"/>
      <c r="I1" s="62"/>
      <c r="J1" s="5"/>
      <c r="K1" s="5"/>
    </row>
    <row r="2" spans="1:12" ht="19.5" customHeight="1">
      <c r="A2" s="65" t="s">
        <v>2</v>
      </c>
      <c r="B2" s="65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4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53"/>
      <c r="H5" s="22" t="str">
        <f t="shared" ref="H5" si="1">IF(AND(ISNUMBER(C5),ISNUMBER(G5)), C5-G5, "")</f>
        <v/>
      </c>
      <c r="I5" s="21" t="str">
        <f>IFERROR(H5/G5,"")</f>
        <v/>
      </c>
      <c r="J5" s="47"/>
      <c r="K5" s="55"/>
      <c r="L5" s="56"/>
    </row>
    <row r="6" spans="1:12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6"/>
  <sheetViews>
    <sheetView zoomScale="60" zoomScaleNormal="60" workbookViewId="0">
      <pane ySplit="2" topLeftCell="A3" activePane="bottomLeft" state="frozen"/>
      <selection pane="bottomLeft" activeCell="J28" sqref="J28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Mahopac Central School District</v>
      </c>
      <c r="B1" s="63"/>
      <c r="C1" s="63"/>
      <c r="D1" s="64" t="s">
        <v>24</v>
      </c>
      <c r="E1" s="64"/>
      <c r="F1" s="64"/>
      <c r="G1" s="62" t="s">
        <v>25</v>
      </c>
      <c r="H1" s="62"/>
      <c r="I1" s="62"/>
      <c r="J1" s="5"/>
      <c r="K1" s="5"/>
    </row>
    <row r="2" spans="1:12" ht="19.5" customHeight="1">
      <c r="A2" s="65" t="s">
        <v>2</v>
      </c>
      <c r="B2" s="65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4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53"/>
      <c r="H5" s="22" t="str">
        <f t="shared" ref="H5" si="1">IF(AND(ISNUMBER(C5),ISNUMBER(G5)), C5-G5, "")</f>
        <v/>
      </c>
      <c r="I5" s="21" t="str">
        <f>IFERROR(H5/G5,"")</f>
        <v/>
      </c>
      <c r="J5" s="47"/>
      <c r="K5" s="55"/>
      <c r="L5" s="56"/>
    </row>
    <row r="6" spans="1:12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pane="bottomLeft" activeCell="D19" sqref="D19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Mahopac Central School District</v>
      </c>
      <c r="B1" s="63"/>
      <c r="C1" s="63"/>
      <c r="D1" s="64" t="s">
        <v>26</v>
      </c>
      <c r="E1" s="64"/>
      <c r="F1" s="64"/>
      <c r="G1" s="62" t="s">
        <v>27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Mahopcac -  Lakeview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/>
      <c r="B6" s="31"/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I16" sqref="I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Mahopac Central School District</v>
      </c>
      <c r="B1" s="63"/>
      <c r="C1" s="63"/>
      <c r="D1" s="64" t="s">
        <v>28</v>
      </c>
      <c r="E1" s="64"/>
      <c r="F1" s="64"/>
      <c r="G1" s="62" t="s">
        <v>29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SUM(C4:C85)</f>
        <v>45497.5</v>
      </c>
      <c r="D2" s="6">
        <f>SUM(D4:D85)</f>
        <v>54376.7</v>
      </c>
      <c r="E2" s="6">
        <f>C2-D2</f>
        <v>-8879.1999999999971</v>
      </c>
      <c r="F2" s="7">
        <f>IFERROR(E2/D2, 0)</f>
        <v>-0.16329052700881072</v>
      </c>
      <c r="G2" s="6">
        <f>SUM(G4:G85)</f>
        <v>0</v>
      </c>
      <c r="H2" s="8">
        <f>C2-G2</f>
        <v>45497.5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45497.5</v>
      </c>
      <c r="D4" s="14">
        <v>54376.7</v>
      </c>
      <c r="E4" s="14">
        <f>IF(AND(ISNUMBER(C4),ISNUMBER(D4)), C4-D4, "")</f>
        <v>-8879.1999999999971</v>
      </c>
      <c r="F4" s="15">
        <f>IFERROR(E4/D4, "")</f>
        <v>-0.16329052700881072</v>
      </c>
      <c r="G4" s="16"/>
      <c r="H4" s="16" t="str">
        <f>IF(AND(ISNUMBER(C4),ISNUMBER(G4)), C4-G4, "")</f>
        <v/>
      </c>
      <c r="I4" s="17" t="str">
        <f>IFERROR(H4/G4,"")</f>
        <v/>
      </c>
      <c r="J4" s="18" t="s">
        <v>30</v>
      </c>
      <c r="K4" s="18" t="s">
        <v>31</v>
      </c>
    </row>
    <row r="5" spans="1:11" ht="15.6">
      <c r="A5" s="32" t="str">
        <v>Mahopcac -  Lakeview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4.45">
      <c r="A6" s="23"/>
      <c r="B6" s="35"/>
      <c r="C6" s="23"/>
      <c r="D6" s="23"/>
      <c r="E6" s="23" t="str">
        <f t="shared" si="0"/>
        <v/>
      </c>
      <c r="F6" s="23" t="str">
        <f t="shared" ref="F6" si="2">IFERROR(E6/D6, "")</f>
        <v/>
      </c>
      <c r="G6" s="23"/>
      <c r="H6" s="23" t="str">
        <f t="shared" si="1"/>
        <v/>
      </c>
      <c r="I6" s="23" t="str">
        <f>IFERROR(H6/G6,"")</f>
        <v/>
      </c>
      <c r="J6" s="23"/>
      <c r="K6" s="23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Mahopac Central School District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Mahopcac -  Lakeview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/>
      <c r="B6" s="31"/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6"/>
  <sheetViews>
    <sheetView zoomScale="70" zoomScaleNormal="70" workbookViewId="0">
      <pane ySplit="2" topLeftCell="A3" activePane="bottomLeft" state="frozen"/>
      <selection pane="bottomLeft" activeCell="J4" sqref="J4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9.7109375" customWidth="1"/>
    <col min="11" max="11" width="20.5703125" bestFit="1" customWidth="1"/>
  </cols>
  <sheetData>
    <row r="1" spans="1:11" ht="19.5" customHeight="1">
      <c r="A1" s="63" t="str" cm="1">
        <f t="array" ref="A1">portfolio</f>
        <v>Mahopac Central School District</v>
      </c>
      <c r="B1" s="63"/>
      <c r="C1" s="63"/>
      <c r="D1" s="64" t="s">
        <v>34</v>
      </c>
      <c r="E1" s="64"/>
      <c r="F1" s="64"/>
      <c r="G1" s="62" t="s">
        <v>35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SUM(C4:C84)</f>
        <v>56666.12</v>
      </c>
      <c r="D2" s="6">
        <f>SUM(D4:D84)</f>
        <v>66456.328999999998</v>
      </c>
      <c r="E2" s="6">
        <f>C2-D2</f>
        <v>-9790.2089999999953</v>
      </c>
      <c r="F2" s="7">
        <f>IFERROR(E2/D2, 0)</f>
        <v>-0.14731793265318635</v>
      </c>
      <c r="G2" s="6">
        <f>SUM(G4:G84)</f>
        <v>0</v>
      </c>
      <c r="H2" s="8">
        <f>C2-G2</f>
        <v>56666.12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56666.12</v>
      </c>
      <c r="D4" s="14">
        <v>66456.328999999998</v>
      </c>
      <c r="E4" s="14">
        <f>IF(AND(ISNUMBER(C4),ISNUMBER(D4)), C4-D4, "")</f>
        <v>-9790.2089999999953</v>
      </c>
      <c r="F4" s="15">
        <f>IFERROR(E4/D4, "")</f>
        <v>-0.14731793265318635</v>
      </c>
      <c r="G4" s="54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37</v>
      </c>
      <c r="K4" s="59" t="s">
        <v>31</v>
      </c>
    </row>
    <row r="5" spans="1:11" ht="15.6">
      <c r="A5" s="32" t="str">
        <v>Mahopcac -  Lakeview ES</v>
      </c>
      <c r="B5" s="33" t="str">
        <v>NY</v>
      </c>
      <c r="C5" s="12">
        <v>0</v>
      </c>
      <c r="D5" s="20">
        <v>0</v>
      </c>
      <c r="E5" s="20">
        <f t="shared" ref="E5" si="0">IF(AND(ISNUMBER(C5),ISNUMBER(D5)), C5-D5, "")</f>
        <v>0</v>
      </c>
      <c r="F5" s="21" t="str">
        <f>IFERROR(E5/D5, "")</f>
        <v/>
      </c>
      <c r="G5" s="53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45" t="s">
        <v>38</v>
      </c>
      <c r="K5" s="55" t="s">
        <v>39</v>
      </c>
    </row>
    <row r="6" spans="1:11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C326" s="23"/>
      <c r="D326" s="23"/>
      <c r="E326" s="23"/>
      <c r="F326" s="24"/>
      <c r="G326" s="23"/>
      <c r="H326" s="23"/>
      <c r="I326" s="24"/>
      <c r="J326" s="23"/>
      <c r="K326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4 I4:I84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2245" xr:uid="{705F4408-A111-4372-B242-25B8715DE217}"/>
    <hyperlink ref="K5" r:id="rId2" display="https://us3.assetplanner.com/service_request?ID=103414" xr:uid="{C1D23961-2B73-48DD-9097-5B0B89A71845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6"/>
  <sheetViews>
    <sheetView zoomScale="80" zoomScaleNormal="80" workbookViewId="0">
      <pane ySplit="2" topLeftCell="A5" activePane="bottomLeft" state="frozen"/>
      <selection pane="bottomLeft" activeCell="J5" sqref="J5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Mahopac Central School District</v>
      </c>
      <c r="B1" s="63"/>
      <c r="C1" s="63"/>
      <c r="D1" s="64" t="s">
        <v>40</v>
      </c>
      <c r="E1" s="64"/>
      <c r="F1" s="64"/>
      <c r="G1" s="62" t="s">
        <v>41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SUM(C4:C84)</f>
        <v>56891.83</v>
      </c>
      <c r="D2" s="6">
        <f>SUM(D4:D84)</f>
        <v>67267.448999999993</v>
      </c>
      <c r="E2" s="6">
        <f>C2-D2</f>
        <v>-10375.618999999992</v>
      </c>
      <c r="F2" s="7">
        <f>IFERROR(E2/D2, 0)</f>
        <v>-0.15424427645531782</v>
      </c>
      <c r="G2" s="6">
        <f>SUM(G4:G84)</f>
        <v>0</v>
      </c>
      <c r="H2" s="8">
        <f>C2-G2</f>
        <v>56891.83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28.9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56891.83</v>
      </c>
      <c r="D4" s="14">
        <v>67267.448999999993</v>
      </c>
      <c r="E4" s="14">
        <f>IF(AND(ISNUMBER(C4),ISNUMBER(D4)), C4-D4, "")</f>
        <v>-10375.618999999992</v>
      </c>
      <c r="F4" s="15">
        <f>IFERROR(E4/D4, "")</f>
        <v>-0.15424427645531782</v>
      </c>
      <c r="G4" s="54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42</v>
      </c>
      <c r="K4" s="59" t="s">
        <v>31</v>
      </c>
    </row>
    <row r="5" spans="1:11" ht="15.6">
      <c r="A5" s="32" t="str">
        <v>Mahopcac -  Lakeview ES</v>
      </c>
      <c r="B5" s="33" t="str">
        <v>NY</v>
      </c>
      <c r="C5" s="12">
        <v>0</v>
      </c>
      <c r="D5" s="20">
        <v>0</v>
      </c>
      <c r="E5" s="20">
        <f t="shared" ref="E5" si="0">IF(AND(ISNUMBER(C5),ISNUMBER(D5)), C5-D5, "")</f>
        <v>0</v>
      </c>
      <c r="F5" s="21" t="str">
        <f>IFERROR(E5/D5, "")</f>
        <v/>
      </c>
      <c r="G5" s="53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57" t="s">
        <v>43</v>
      </c>
      <c r="K5" s="61" t="s">
        <v>44</v>
      </c>
    </row>
    <row r="6" spans="1:11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2245" xr:uid="{579FD661-4EEC-4253-A7D0-2F531FA84FCB}"/>
    <hyperlink ref="K5" r:id="rId2" display="https://us3.assetplanner.com/service_request?ID=103414" xr:uid="{656A7F4E-B14C-486C-B749-F1B591232C4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6"/>
  <sheetViews>
    <sheetView zoomScale="70" zoomScaleNormal="70" workbookViewId="0">
      <pane ySplit="2" topLeftCell="A3" activePane="bottomLeft" state="frozen"/>
      <selection pane="bottomLeft" activeCell="G4" sqref="G4:G5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8"/>
  </cols>
  <sheetData>
    <row r="1" spans="1:12" ht="19.5" customHeight="1">
      <c r="A1" s="63" t="str" cm="1">
        <f t="array" ref="A1">portfolio</f>
        <v>Mahopac Central School District</v>
      </c>
      <c r="B1" s="63"/>
      <c r="C1" s="63"/>
      <c r="D1" s="64" t="s">
        <v>45</v>
      </c>
      <c r="E1" s="64"/>
      <c r="F1" s="64"/>
      <c r="G1" s="62" t="s">
        <v>46</v>
      </c>
      <c r="H1" s="62"/>
      <c r="I1" s="62"/>
      <c r="J1" s="5"/>
      <c r="K1" s="5"/>
    </row>
    <row r="2" spans="1:12" ht="19.5" customHeight="1">
      <c r="A2" s="65" t="s">
        <v>2</v>
      </c>
      <c r="B2" s="65"/>
      <c r="C2" s="6">
        <f>SUM(C4:C84)</f>
        <v>42959.887999999999</v>
      </c>
      <c r="D2" s="6">
        <f>SUM(D4:D84)</f>
        <v>51069.2</v>
      </c>
      <c r="E2" s="6">
        <f>C2-D2</f>
        <v>-8109.3119999999981</v>
      </c>
      <c r="F2" s="7">
        <f>IFERROR(E2/D2, 0)</f>
        <v>-0.15879066051553575</v>
      </c>
      <c r="G2" s="6">
        <f>SUM(G4:G84)</f>
        <v>0</v>
      </c>
      <c r="H2" s="8">
        <f>C2-G2</f>
        <v>42959.887999999999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57.6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42959.887999999999</v>
      </c>
      <c r="D4" s="14">
        <v>51069.2</v>
      </c>
      <c r="E4" s="14">
        <f>IF(AND(ISNUMBER(C4),ISNUMBER(D4)), C4-D4, "")</f>
        <v>-8109.3119999999981</v>
      </c>
      <c r="F4" s="15">
        <f>IFERROR(E4/D4, "")</f>
        <v>-0.15879066051553575</v>
      </c>
      <c r="G4" s="54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47</v>
      </c>
      <c r="K4" s="59" t="s">
        <v>48</v>
      </c>
      <c r="L4" s="56" t="s">
        <v>49</v>
      </c>
    </row>
    <row r="5" spans="1:12" ht="15.6">
      <c r="A5" s="32" t="str">
        <v>Mahopcac -  Lakeview ES</v>
      </c>
      <c r="B5" s="33" t="str">
        <v>NY</v>
      </c>
      <c r="C5" s="12">
        <v>0</v>
      </c>
      <c r="D5" s="20">
        <v>0</v>
      </c>
      <c r="E5" s="20">
        <f t="shared" ref="E5" si="0">IF(AND(ISNUMBER(C5),ISNUMBER(D5)), C5-D5, "")</f>
        <v>0</v>
      </c>
      <c r="F5" s="21" t="str">
        <f>IFERROR(E5/D5, "")</f>
        <v/>
      </c>
      <c r="G5" s="53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57" t="s">
        <v>43</v>
      </c>
      <c r="K5" s="60" t="s">
        <v>44</v>
      </c>
    </row>
    <row r="6" spans="1:12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102245" xr:uid="{077CD7B7-35F5-47EA-BBF0-49A0785D9971}"/>
    <hyperlink ref="L4" r:id="rId2" display="https://us3.assetplanner.com/service_request?ID=107701" xr:uid="{F859A93E-657D-43B7-8DFB-F9BA1B433AD5}"/>
    <hyperlink ref="K5" r:id="rId3" display="https://us3.assetplanner.com/service_request?ID=103414" xr:uid="{6861943A-7D76-4F3B-9D7B-52D35AF9079C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26"/>
  <sheetViews>
    <sheetView topLeftCell="F1" zoomScale="70" zoomScaleNormal="70" workbookViewId="0">
      <pane ySplit="2" topLeftCell="A3" activePane="bottomLeft" state="frozen"/>
      <selection pane="bottomLeft" activeCell="L1" sqref="L1:L104857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3" t="str" cm="1">
        <f t="array" ref="A1">portfolio</f>
        <v>Mahopac Central School District</v>
      </c>
      <c r="B1" s="63"/>
      <c r="C1" s="63"/>
      <c r="D1" s="64" t="s">
        <v>50</v>
      </c>
      <c r="E1" s="64"/>
      <c r="F1" s="64"/>
      <c r="G1" s="62" t="s">
        <v>51</v>
      </c>
      <c r="H1" s="62"/>
      <c r="I1" s="62"/>
      <c r="J1" s="5"/>
      <c r="K1" s="5"/>
      <c r="L1" s="5"/>
    </row>
    <row r="2" spans="1:12" ht="19.5" customHeight="1">
      <c r="A2" s="65" t="s">
        <v>2</v>
      </c>
      <c r="B2" s="65"/>
      <c r="C2" s="6">
        <f>SUM(C4:C84)</f>
        <v>32871.199999999997</v>
      </c>
      <c r="D2" s="6">
        <f>SUM(D4:D84)</f>
        <v>41182.6</v>
      </c>
      <c r="E2" s="6">
        <f>C2-D2</f>
        <v>-8311.4000000000015</v>
      </c>
      <c r="F2" s="7">
        <f>IFERROR(E2/D2, 0)</f>
        <v>-0.20181824362716297</v>
      </c>
      <c r="G2" s="6">
        <f>SUM(G4:G84)</f>
        <v>0</v>
      </c>
      <c r="H2" s="8">
        <f>C2-G2</f>
        <v>32871.199999999997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  <c r="L2" s="28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  <c r="L3" s="27" t="s">
        <v>52</v>
      </c>
    </row>
    <row r="4" spans="1:12" ht="43.15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32871.199999999997</v>
      </c>
      <c r="D4" s="14">
        <v>41182.6</v>
      </c>
      <c r="E4" s="14">
        <f>IF(AND(ISNUMBER(C4),ISNUMBER(D4)), C4-D4, "")</f>
        <v>-8311.4000000000015</v>
      </c>
      <c r="F4" s="15">
        <f>IFERROR(E4/D4, "")</f>
        <v>-0.20181824362716297</v>
      </c>
      <c r="G4" s="54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53</v>
      </c>
      <c r="K4" s="59" t="s">
        <v>54</v>
      </c>
      <c r="L4" s="18" t="s">
        <v>55</v>
      </c>
    </row>
    <row r="5" spans="1:12" ht="15.6">
      <c r="A5" s="32" t="str">
        <v>Mahopcac -  Lakeview ES</v>
      </c>
      <c r="B5" s="33" t="str">
        <v>NY</v>
      </c>
      <c r="C5" s="12">
        <v>0</v>
      </c>
      <c r="D5" s="20">
        <v>0</v>
      </c>
      <c r="E5" s="20">
        <f t="shared" ref="E5" si="0">IF(AND(ISNUMBER(C5),ISNUMBER(D5)), C5-D5, "")</f>
        <v>0</v>
      </c>
      <c r="F5" s="21" t="str">
        <f>IFERROR(E5/D5, "")</f>
        <v/>
      </c>
      <c r="G5" s="53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57" t="s">
        <v>43</v>
      </c>
      <c r="K5" s="60" t="s">
        <v>44</v>
      </c>
      <c r="L5" s="57" t="s">
        <v>56</v>
      </c>
    </row>
    <row r="6" spans="1:12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107701" xr:uid="{788D5284-FFB2-4C2B-9654-941958A9891F}"/>
    <hyperlink ref="K5" r:id="rId2" display="https://us3.assetplanner.com/service_request?ID=103414" xr:uid="{6E4E60F2-2941-47B5-ABEF-8CB661EE7417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6"/>
  <sheetViews>
    <sheetView topLeftCell="B1" zoomScale="80" zoomScaleNormal="80" workbookViewId="0">
      <pane ySplit="2" topLeftCell="A3" activePane="bottomLeft" state="frozen"/>
      <selection pane="bottomLeft" activeCell="L1" sqref="L1:L104857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Mahopac Central School District</v>
      </c>
      <c r="B1" s="63"/>
      <c r="C1" s="63"/>
      <c r="D1" s="64" t="s">
        <v>57</v>
      </c>
      <c r="E1" s="64"/>
      <c r="F1" s="64"/>
      <c r="G1" s="62" t="s">
        <v>58</v>
      </c>
      <c r="H1" s="62"/>
      <c r="I1" s="62"/>
      <c r="J1" s="5"/>
      <c r="K1" s="5"/>
      <c r="L1" s="5"/>
    </row>
    <row r="2" spans="1:12" ht="19.5" customHeight="1">
      <c r="A2" s="65" t="s">
        <v>2</v>
      </c>
      <c r="B2" s="65"/>
      <c r="C2" s="6">
        <f>SUM(C4:C84)</f>
        <v>24021.5</v>
      </c>
      <c r="D2" s="6">
        <f>SUM(D4:D84)</f>
        <v>26390.3</v>
      </c>
      <c r="E2" s="6">
        <f>C2-D2</f>
        <v>-2368.7999999999993</v>
      </c>
      <c r="F2" s="7">
        <f>IFERROR(E2/D2, 0)</f>
        <v>-8.9760252820164962E-2</v>
      </c>
      <c r="G2" s="6">
        <f>SUM(G4:G84)</f>
        <v>0</v>
      </c>
      <c r="H2" s="8">
        <f>C2-G2</f>
        <v>24021.5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  <c r="L3" s="27" t="s">
        <v>52</v>
      </c>
    </row>
    <row r="4" spans="1:12" ht="43.15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20641.5</v>
      </c>
      <c r="D4" s="14">
        <v>26390.3</v>
      </c>
      <c r="E4" s="14">
        <f>IF(AND(ISNUMBER(C4),ISNUMBER(D4)), C4-D4, "")</f>
        <v>-5748.7999999999993</v>
      </c>
      <c r="F4" s="15">
        <f>IFERROR(E4/D4, "")</f>
        <v>-0.21783761457808359</v>
      </c>
      <c r="G4" s="54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59</v>
      </c>
      <c r="K4" s="59" t="s">
        <v>54</v>
      </c>
      <c r="L4" s="18" t="s">
        <v>55</v>
      </c>
    </row>
    <row r="5" spans="1:12" ht="15.6">
      <c r="A5" s="32" t="str">
        <v>Mahopcac -  Lakeview ES</v>
      </c>
      <c r="B5" s="33" t="str">
        <v>NY</v>
      </c>
      <c r="C5" s="12">
        <v>3380</v>
      </c>
      <c r="D5" s="20" t="s">
        <v>36</v>
      </c>
      <c r="E5" s="20" t="str">
        <f t="shared" ref="E5" si="0">IF(AND(ISNUMBER(C5),ISNUMBER(D5)), C5-D5, "")</f>
        <v/>
      </c>
      <c r="F5" s="21" t="str">
        <f>IFERROR(E5/D5, "")</f>
        <v/>
      </c>
      <c r="G5" s="53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23" t="s">
        <v>60</v>
      </c>
      <c r="K5" s="55" t="s">
        <v>44</v>
      </c>
      <c r="L5" s="48" t="s">
        <v>55</v>
      </c>
    </row>
    <row r="6" spans="1:12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hyperlinks>
    <hyperlink ref="K4" r:id="rId1" display="https://us3.assetplanner.com/service_request?ID=107701" xr:uid="{E8499D73-F3B3-47BC-A1FB-FE30F90ED9A4}"/>
    <hyperlink ref="K5" r:id="rId2" display="https://us3.assetplanner.com/service_request?ID=103414" xr:uid="{3DDA5E3C-5447-4EF5-969C-9C3A74C16538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26"/>
  <sheetViews>
    <sheetView tabSelected="1" topLeftCell="B1" zoomScale="90" zoomScaleNormal="90" workbookViewId="0">
      <pane ySplit="2" topLeftCell="A3" activePane="bottomLeft" state="frozen"/>
      <selection pane="bottomLeft" activeCell="K10" sqref="K10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Mahopac Central School District</v>
      </c>
      <c r="B1" s="63"/>
      <c r="C1" s="63"/>
      <c r="D1" s="64" t="s">
        <v>61</v>
      </c>
      <c r="E1" s="64"/>
      <c r="F1" s="64"/>
      <c r="G1" s="62" t="s">
        <v>62</v>
      </c>
      <c r="H1" s="62"/>
      <c r="I1" s="62"/>
      <c r="J1" s="5"/>
      <c r="K1" s="5"/>
      <c r="L1" s="5"/>
    </row>
    <row r="2" spans="1:12" ht="19.5" customHeight="1">
      <c r="A2" s="65" t="s">
        <v>2</v>
      </c>
      <c r="B2" s="65"/>
      <c r="C2" s="6">
        <f>SUM(C4:C84)</f>
        <v>11884.23</v>
      </c>
      <c r="D2" s="6">
        <f>SUM(D4:D84)</f>
        <v>25149.599999999999</v>
      </c>
      <c r="E2" s="6">
        <f>C2-D2</f>
        <v>-13265.369999999999</v>
      </c>
      <c r="F2" s="7">
        <f>IFERROR(E2/D2, 0)</f>
        <v>-0.52745848840538223</v>
      </c>
      <c r="G2" s="6">
        <f>SUM(G4:G84)</f>
        <v>0</v>
      </c>
      <c r="H2" s="8">
        <f>C2-G2</f>
        <v>11884.23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  <c r="L3" s="27" t="s">
        <v>52</v>
      </c>
    </row>
    <row r="4" spans="1:12" ht="43.15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7443.8</v>
      </c>
      <c r="D4" s="14">
        <v>25149.599999999999</v>
      </c>
      <c r="E4" s="14">
        <f>IF(AND(ISNUMBER(C4),ISNUMBER(D4)), C4-D4, "")</f>
        <v>-17705.8</v>
      </c>
      <c r="F4" s="15">
        <f>IFERROR(E4/D4, "")</f>
        <v>-0.70401914940993093</v>
      </c>
      <c r="G4" s="54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59</v>
      </c>
      <c r="K4" s="59" t="s">
        <v>54</v>
      </c>
      <c r="L4" s="18" t="s">
        <v>55</v>
      </c>
    </row>
    <row r="5" spans="1:12" ht="15.6">
      <c r="A5" s="32" t="str">
        <v>Mahopcac -  Lakeview ES</v>
      </c>
      <c r="B5" s="33" t="str">
        <v>NY</v>
      </c>
      <c r="C5" s="12">
        <v>4440.43</v>
      </c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53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23"/>
      <c r="K5" s="46"/>
      <c r="L5" s="48"/>
    </row>
    <row r="6" spans="1:12" ht="14.45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  <c r="L20" s="23"/>
    </row>
    <row r="21" spans="1:12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hyperlinks>
    <hyperlink ref="K4" r:id="rId1" display="https://us3.assetplanner.com/service_request?ID=107701" xr:uid="{B628AEC2-E0A1-4EA2-A3F8-9748B34DEBAE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7" sqref="B17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63</v>
      </c>
      <c r="B1" s="37" t="s">
        <v>64</v>
      </c>
    </row>
    <row r="3" spans="1:7" ht="13.15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7" ht="14.45">
      <c r="A4" s="37" t="s">
        <v>68</v>
      </c>
      <c r="B4" s="37" t="s">
        <v>69</v>
      </c>
      <c r="C4" s="4" t="s">
        <v>70</v>
      </c>
      <c r="E4" t="s">
        <v>71</v>
      </c>
      <c r="G4" s="3"/>
    </row>
    <row r="5" spans="1:7" ht="14.45">
      <c r="A5" s="37" t="s">
        <v>72</v>
      </c>
      <c r="B5" s="37" t="s">
        <v>73</v>
      </c>
      <c r="C5" s="4" t="s">
        <v>70</v>
      </c>
      <c r="E5" t="s">
        <v>71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52D3301-039B-4B9D-94AE-2CC0237199D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2026-01-23T18:09:23Z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80c3c726-911f-418e-8fba-0aadfa2aae4b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