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" documentId="13_ncr:1_{1393A8B7-55BD-4E39-9A6B-2F96E499941F}" xr6:coauthVersionLast="47" xr6:coauthVersionMax="47" xr10:uidLastSave="{AE3C2E23-D21D-4BF8-A439-E1FE3B51080C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7" l="1"/>
  <c r="H5" i="4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5" i="29" l="1"/>
  <c r="F5" i="29" s="1"/>
  <c r="H2" i="28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<sst xmlns="http://schemas.openxmlformats.org/spreadsheetml/2006/main" count="306" uniqueCount="86">
  <si>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</si>
  <si>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</si>
  <si>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</si>
  <si>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</si>
  <si>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</si>
  <si>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</si>
  <si>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</si>
  <si>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</si>
  <si>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</si>
  <si>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</si>
  <si>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</si>
  <si>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</si>
  <si>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</si>
  <si>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</si>
  <si>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</si>
  <si>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</si>
  <si>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</si>
  <si>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</si>
  <si>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</si>
  <si>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</si>
  <si>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</si>
  <si>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</si>
  <si>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</si>
  <si>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</si>
  <si>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</si>
  <si>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</si>
  <si>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</si>
  <si>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</si>
  <si>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</si>
  <si>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</si>
  <si>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</si>
  <si>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</si>
  <si>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</si>
  <si>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</si>
  <si>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</si>
  <si>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</si>
  <si>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</si>
  <si>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</si>
  <si>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</si>
  <si>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</si>
  <si>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</si>
  <si>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</si>
  <si>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</si>
  <si>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</si>
  <si>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</si>
  <si>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</si>
  <si>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</si>
  <si>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</si>
  <si>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</si>
  <si>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</si>
  <si>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</si>
  <si>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</si>
  <si>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	SR100216</t>
  </si>
  <si>
    <t>1.	SR094280</t>
  </si>
  <si>
    <t>October Actual v. Expected</t>
  </si>
  <si>
    <t>October Actual v. Forecasted</t>
  </si>
  <si>
    <t>Status</t>
  </si>
  <si>
    <t>1.Site was not communicated for whole month. Transformer that connects to DAS needs to be replaced. Remains without communication.</t>
  </si>
  <si>
    <t>1.SR106124</t>
  </si>
  <si>
    <t>1.Closed</t>
  </si>
  <si>
    <t>1.The POA irradiance sensor has intermittent communication issues and has been
 showing bad data since 11/03/2024.
2.Site stopped communicating at 13:30 on 10/08 and later back online at 09:00 on 10/22</t>
  </si>
  <si>
    <t>1.SR094280
2.SR109266</t>
  </si>
  <si>
    <t>1.Pending
2.Closed</t>
  </si>
  <si>
    <t>SR109266</t>
  </si>
  <si>
    <t>November Actual v. Expected</t>
  </si>
  <si>
    <t>November Actual v. Forecasted</t>
  </si>
  <si>
    <t>1.Meter started communicating to DAS from 11/13 at 10:30. Created Ticket #142793 with power factors as data points require recalculation.</t>
  </si>
  <si>
    <t>1.PM9586 , SR111018</t>
  </si>
  <si>
    <t>1.Completed, Pending</t>
  </si>
  <si>
    <t>1.The POA irradiance sensor has intermittent communication issues and has been
 showing bad data since 11/03/2024.
2.Inverter 2.3 having heavy shading starting from mid day</t>
  </si>
  <si>
    <t>1.Pending</t>
  </si>
  <si>
    <t>December Actual v. Expected</t>
  </si>
  <si>
    <t>December Actual v. Forecasted</t>
  </si>
  <si>
    <t xml:space="preserve">1.The POA irradiance sensor has intermittent communication issues and has been
 showing bad data since 11/03/2024, due to that expected energy values are on higher side.
2.Inverter 2.3 having heavy shading starting from mid day
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</si>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</sst>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49" fontId="23" fillId="0" borderId="0" xfId="0" applyNumberFormat="1" applyFont="1" applyAlignment="1">
      <alignment horizontal="left" vertical="top" wrapText="1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9266" TargetMode="External"/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6124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11018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4280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tabSelected="1" workbookViewId="0">
      <pane ySplit="2" topLeftCell="A3" activePane="bottomLeft" state="frozen"/>
      <selection pane="bottomLef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6">
        <f>SUM(C4:C90)</f>
        <v>376364.82500000001</v>
      </c>
      <c r="D2" s="6">
        <f>SUM(D4:D90)</f>
        <v>217611.75</v>
      </c>
      <c r="E2" s="6">
        <f>C2-D2</f>
        <v>158753.07500000001</v>
      </c>
      <c r="F2" s="7">
        <f>IFERROR(E2/D2, 0)</f>
        <v>0.72952437081177834</v>
      </c>
      <c r="G2" s="6">
        <f>SUM(G4:G90)</f>
        <v>275066.17799999996</v>
      </c>
      <c r="H2" s="8">
        <f>C2-G2</f>
        <v>101298.64700000006</v>
      </c>
      <c r="I2" s="7">
        <f>IFERROR(H2/G2, 0)</f>
        <v>0.36827009317008824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103999.7</v>
      </c>
      <c r="D4" s="14">
        <f>SUM('1st Qtr'!D4, '2nd Qtr'!D4, '3rd Qtr'!D4, '4th Qtr'!D4)</f>
        <v>0</v>
      </c>
      <c r="E4" s="14">
        <f>IF(AND(ISNUMBER(C4),ISNUMBER(D4)), C4-D4, "")</f>
        <v>103999.7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20">
        <f>SUM('1st Qtr'!C5, '2nd Qtr'!C5, '3rd Qtr'!C5, '4th Qtr'!C5)</f>
        <v>272365.125</v>
      </c>
      <c r="D5" s="20">
        <f>SUM('1st Qtr'!D5, '2nd Qtr'!D5, '3rd Qtr'!D5, '4th Qtr'!D5)</f>
        <v>217611.75</v>
      </c>
      <c r="E5" s="20">
        <f t="shared" ref="E5" si="0">IF(AND(ISNUMBER(C5),ISNUMBER(D5)), C5-D5, "")</f>
        <v>54753.375</v>
      </c>
      <c r="F5" s="21">
        <f>IFERROR(E5/D5, "")</f>
        <v>0.25161037949467341</v>
      </c>
      <c r="G5" s="22">
        <f>SUM('1st Qtr'!G5,'2nd Qtr'!G5,'3rd Qtr'!G5,'4th Qtr'!G5)</f>
        <v>275066.17799999996</v>
      </c>
      <c r="H5" s="22">
        <f>SUM('1st Qtr'!H5, '2nd Qtr'!H5, '3rd Qtr'!H5, '4th Qtr'!H5)</f>
        <v>-2701.0529999999999</v>
      </c>
      <c r="I5" s="21">
        <f>IFERROR(H5/G5, "")</f>
        <v>-9.8196478376196446E-3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6">
        <f>SUM(C4:C90)</f>
        <v>92112.5</v>
      </c>
      <c r="D2" s="6">
        <f>SUM(D4:D90)</f>
        <v>44172.071000000004</v>
      </c>
      <c r="E2" s="6">
        <f>C2-D2</f>
        <v>47940.428999999996</v>
      </c>
      <c r="F2" s="7">
        <f>IFERROR(E2/D2, 0)</f>
        <v>1.0853108743758018</v>
      </c>
      <c r="G2" s="6">
        <f>SUM(G4:G90)</f>
        <v>84996.659</v>
      </c>
      <c r="H2" s="8">
        <f>C2-G2</f>
        <v>7115.8410000000003</v>
      </c>
      <c r="I2" s="7">
        <f>IFERROR(H2/G2, 0)</f>
        <v>8.3719067122391244E-2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92112.5</v>
      </c>
      <c r="D5" s="20">
        <f>SUM(Jul!D5, Aug!D5, Sep!D5)</f>
        <v>44172.071000000004</v>
      </c>
      <c r="E5" s="20">
        <f t="shared" ref="E5" si="0">IF(AND(ISNUMBER(C5),ISNUMBER(D5)), C5-D5, "")</f>
        <v>47940.428999999996</v>
      </c>
      <c r="F5" s="21">
        <f>IFERROR(E5/D5, "")</f>
        <v>1.0853108743758018</v>
      </c>
      <c r="G5" s="20">
        <f>SUM(Jul!G5, Aug!G5, Sep!G5)</f>
        <v>84996.659</v>
      </c>
      <c r="H5" s="22">
        <f>SUM(Jul!H5, Aug!H5, Sep!H5)</f>
        <v>7115.8410000000003</v>
      </c>
      <c r="I5" s="21">
        <f>IFERROR(H5/G5, "")</f>
        <v>8.3719067122391244E-2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Northbridge Companies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6">
        <f>SUM(C4:C90)</f>
        <v>59392.425000000003</v>
      </c>
      <c r="D2" s="6">
        <f>SUM(D4:D90)</f>
        <v>59850.025999999998</v>
      </c>
      <c r="E2" s="6">
        <f>C2-D2</f>
        <v>-457.60099999999511</v>
      </c>
      <c r="F2" s="7">
        <f>IFERROR(E2/D2, 0)</f>
        <v>-7.6457945064216867E-3</v>
      </c>
      <c r="G2" s="6">
        <f>SUM(G4:G90)</f>
        <v>48932.315999999999</v>
      </c>
      <c r="H2" s="8">
        <f>C2-G2</f>
        <v>10460.109000000004</v>
      </c>
      <c r="I2" s="7">
        <f>IFERROR(H2/G2, 0)</f>
        <v>0.21376688975849834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23076.3</v>
      </c>
      <c r="D4" s="14">
        <f>SUM(Oct!D4, Nov!D4, Dec!D4)</f>
        <v>0</v>
      </c>
      <c r="E4" s="14">
        <f>IF(AND(ISNUMBER(C4),ISNUMBER(D4)), C4-D4, "")</f>
        <v>23076.3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36316.125</v>
      </c>
      <c r="D5" s="20">
        <f>SUM(Oct!D5, Nov!D5, Dec!D5)</f>
        <v>59850.025999999998</v>
      </c>
      <c r="E5" s="20">
        <f t="shared" ref="E5" si="0">IF(AND(ISNUMBER(C5),ISNUMBER(D5)), C5-D5, "")</f>
        <v>-23533.900999999998</v>
      </c>
      <c r="F5" s="21">
        <f>IFERROR(E5/D5, "")</f>
        <v>-0.39321454931364608</v>
      </c>
      <c r="G5" s="20">
        <f>SUM(Oct!G5,Nov!G5,Dec!G5)</f>
        <v>48932.315999999999</v>
      </c>
      <c r="H5" s="22">
        <f>SUM(Oct!H5, Nov!H5, Dec!H5)</f>
        <v>-12616.191000000001</v>
      </c>
      <c r="I5" s="21">
        <f>IFERROR(H5/G5, "")</f>
        <v>-0.25782942708045947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pane="bottomLeft" activeCell="G18" sqref="G18"/>
      <selection activeCell="F18" sqref="F18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6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2" t="s">
        <v>23</v>
      </c>
      <c r="K5" s="44" t="s">
        <v>24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4" t="str" cm="1">
        <f t="array" ref="A1">portfolio</f>
        <v>Northbridge Companies</v>
      </c>
      <c r="B1" s="54"/>
      <c r="C1" s="54"/>
      <c r="D1" s="55" t="s">
        <v>25</v>
      </c>
      <c r="E1" s="55"/>
      <c r="F1" s="55"/>
      <c r="G1" s="53" t="s">
        <v>26</v>
      </c>
      <c r="H1" s="53"/>
      <c r="I1" s="53"/>
      <c r="J1" s="5"/>
      <c r="K1" s="5"/>
    </row>
    <row r="2" spans="1:12" ht="19.5" customHeight="1">
      <c r="A2" s="56" t="s">
        <v>2</v>
      </c>
      <c r="B2" s="56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6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2" t="s">
        <v>27</v>
      </c>
      <c r="K5" s="44" t="s">
        <v>28</v>
      </c>
      <c r="L5" s="48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D15" sqref="D15"/>
      <selection activeCell="F18" sqref="F18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6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5">
        <f>IF(AND(ISNUMBER(C5),ISNUMBER(G5)), C5-G5, "")</f>
        <v>2775.3240000000005</v>
      </c>
      <c r="I5" s="21">
        <f t="shared" ref="I5" si="1">IFERROR(H5/G5, "")</f>
        <v>0.12475510397831972</v>
      </c>
      <c r="J5" s="42" t="s">
        <v>32</v>
      </c>
      <c r="K5" s="47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pane="bottomLeft" activeCell="J11" sqref="J11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0"/>
  </cols>
  <sheetData>
    <row r="1" spans="1:12" ht="19.5" customHeight="1">
      <c r="A1" s="54" t="str" cm="1">
        <f t="array" ref="A1">portfolio</f>
        <v>Northbridge Companies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5"/>
      <c r="K1" s="5"/>
    </row>
    <row r="2" spans="1:12" ht="19.5" customHeight="1">
      <c r="A2" s="56" t="s">
        <v>2</v>
      </c>
      <c r="B2" s="56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1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6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49" t="s">
        <v>37</v>
      </c>
    </row>
    <row r="5" spans="1:12" ht="57.6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2" t="s">
        <v>38</v>
      </c>
      <c r="K5" s="44" t="s">
        <v>39</v>
      </c>
      <c r="L5" s="48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K4" sqref="K4"/>
      <selection activeCell="F18" sqref="F18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40</v>
      </c>
      <c r="E1" s="55"/>
      <c r="F1" s="55"/>
      <c r="G1" s="53" t="s">
        <v>41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49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2" t="s">
        <v>32</v>
      </c>
      <c r="K5" s="47" t="s">
        <v>43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J4" sqref="J4"/>
      <selection activeCell="F18" sqref="F18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44</v>
      </c>
      <c r="E1" s="55"/>
      <c r="F1" s="55"/>
      <c r="G1" s="53" t="s">
        <v>45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49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2" t="s">
        <v>32</v>
      </c>
      <c r="K5" s="47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J4" sqref="J4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46</v>
      </c>
      <c r="E1" s="55"/>
      <c r="F1" s="55"/>
      <c r="G1" s="53" t="s">
        <v>47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49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32655.625</v>
      </c>
      <c r="D5" s="20"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2">
        <v>30863.213</v>
      </c>
      <c r="H5" s="22">
        <f t="shared" ref="H5" si="1">IF(AND(ISNUMBER(C5),ISNUMBER(G5)), C5-G5, "")</f>
        <v>1792.4120000000003</v>
      </c>
      <c r="I5" s="21">
        <f t="shared" ref="I5" si="2">IFERROR(H5/G5, "")</f>
        <v>5.8076001354752022E-2</v>
      </c>
      <c r="J5" s="43" t="s">
        <v>32</v>
      </c>
      <c r="K5" s="47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0216" xr:uid="{9635BA9B-428C-4796-B051-1E1A5448BFEE}"/>
    <hyperlink ref="K5" r:id="rId2" display="https://us3.assetplanner.com/service_request?ID=094280" xr:uid="{E5157812-88F0-4C64-BD92-B374D2001C1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60" zoomScaleNormal="60" workbookViewId="0">
      <pane ySplit="2" topLeftCell="A3" activePane="bottomLeft" state="frozen"/>
      <selection pane="bottomLeft" activeCell="J5" sqref="J5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48</v>
      </c>
      <c r="E1" s="55"/>
      <c r="F1" s="55"/>
      <c r="G1" s="53" t="s">
        <v>49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34330.125</v>
      </c>
      <c r="D2" s="6">
        <f>SUM(D4:D90)</f>
        <v>14682.458000000001</v>
      </c>
      <c r="E2" s="6">
        <f>C2-D2</f>
        <v>19647.667000000001</v>
      </c>
      <c r="F2" s="7">
        <f>IFERROR(E2/D2, 0)</f>
        <v>1.3381728726893005</v>
      </c>
      <c r="G2" s="6">
        <f>SUM(G4:G90)</f>
        <v>29110</v>
      </c>
      <c r="H2" s="8">
        <f>C2-G2</f>
        <v>5220.125</v>
      </c>
      <c r="I2" s="7">
        <f>IFERROR(H2/G2, 0)</f>
        <v>0.17932411542425283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49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34330.125</v>
      </c>
      <c r="D5" s="20">
        <v>14682.458000000001</v>
      </c>
      <c r="E5" s="20">
        <f>IF(AND(ISNUMBER(C5),ISNUMBER(D5)), C5-D5, "")</f>
        <v>19647.667000000001</v>
      </c>
      <c r="F5" s="21">
        <f>IFERROR(E5/D5, "")</f>
        <v>1.3381728726893005</v>
      </c>
      <c r="G5" s="22">
        <v>29110</v>
      </c>
      <c r="H5" s="22">
        <f t="shared" ref="H5" si="0">IF(AND(ISNUMBER(C5),ISNUMBER(G5)), C5-G5, "")</f>
        <v>5220.125</v>
      </c>
      <c r="I5" s="21">
        <f t="shared" ref="I5" si="1">IFERROR(H5/G5, "")</f>
        <v>0.17932411542425283</v>
      </c>
      <c r="J5" s="43" t="s">
        <v>32</v>
      </c>
      <c r="K5" s="47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0216" xr:uid="{726A4759-6CB4-44F8-B414-872E2EB9DC13}"/>
    <hyperlink ref="K5" r:id="rId2" display="https://us3.assetplanner.com/service_request?ID=094280" xr:uid="{C04032DD-D005-4AF7-9123-A8CCE4C59BB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Northbridge Companies</v>
      </c>
      <c r="B1" s="54"/>
      <c r="C1" s="54"/>
      <c r="D1" s="55" t="s">
        <v>50</v>
      </c>
      <c r="E1" s="55"/>
      <c r="F1" s="55"/>
      <c r="G1" s="53" t="s">
        <v>51</v>
      </c>
      <c r="H1" s="53"/>
      <c r="I1" s="53"/>
      <c r="J1" s="5"/>
      <c r="K1" s="5"/>
    </row>
    <row r="2" spans="1:11" ht="19.5" customHeight="1">
      <c r="A2" s="56" t="s">
        <v>2</v>
      </c>
      <c r="B2" s="56"/>
      <c r="C2" s="6">
        <f>SUM(C4:C90)</f>
        <v>25126.75</v>
      </c>
      <c r="D2" s="6">
        <f>SUM(D4:D90)</f>
        <v>16682.328000000001</v>
      </c>
      <c r="E2" s="6">
        <f>C2-D2</f>
        <v>8444.4219999999987</v>
      </c>
      <c r="F2" s="7">
        <f>IFERROR(E2/D2, 0)</f>
        <v>0.50618966369681728</v>
      </c>
      <c r="G2" s="6">
        <f>SUM(G4:G90)</f>
        <v>25023.446</v>
      </c>
      <c r="H2" s="8">
        <f>C2-G2</f>
        <v>103.30400000000009</v>
      </c>
      <c r="I2" s="7">
        <f>IFERROR(H2/G2, 0)</f>
        <v>4.1282883260762761E-3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49" t="s">
        <v>52</v>
      </c>
    </row>
    <row r="5" spans="1:11" ht="28.9">
      <c r="A5" s="31" t="str">
        <v>MA: North Dartmouth - 293 Cross St (Array 2)</v>
      </c>
      <c r="B5" s="32" t="str">
        <v>MA</v>
      </c>
      <c r="C5" s="12">
        <v>25126.75</v>
      </c>
      <c r="D5" s="20">
        <v>16682.328000000001</v>
      </c>
      <c r="E5" s="20">
        <f t="shared" ref="E5" si="0">IF(AND(ISNUMBER(C5),ISNUMBER(D5)), C5-D5, "")</f>
        <v>8444.4219999999987</v>
      </c>
      <c r="F5" s="21">
        <f>IFERROR(E5/D5, "")</f>
        <v>0.50618966369681728</v>
      </c>
      <c r="G5" s="22">
        <v>25023.446</v>
      </c>
      <c r="H5" s="22">
        <f t="shared" ref="H5" si="1">IF(AND(ISNUMBER(C5),ISNUMBER(G5)), C5-G5, "")</f>
        <v>103.30400000000009</v>
      </c>
      <c r="I5" s="21">
        <f t="shared" ref="I5" si="2">IFERROR(H5/G5, "")</f>
        <v>4.1282883260762761E-3</v>
      </c>
      <c r="J5" s="43" t="s">
        <v>32</v>
      </c>
      <c r="K5" s="47" t="s">
        <v>53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100216" xr:uid="{5DF6436B-4F90-44DC-B483-D52C9FC71FB3}"/>
    <hyperlink ref="K5" r:id="rId2" display="https://us3.assetplanner.com/service_request?ID=094280" xr:uid="{2C34ACF0-728C-4E3E-BC50-DF7BD2193D8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2"/>
  <sheetViews>
    <sheetView topLeftCell="C1" zoomScale="80" zoomScaleNormal="80" workbookViewId="0">
      <pane ySplit="2" topLeftCell="A3" activePane="bottomLeft" state="frozen"/>
      <selection pane="bottomLeft" activeCell="J15" sqref="J15"/>
      <selection activeCell="F18" sqref="F18"/>
    </sheetView>
  </sheetViews>
  <sheetFormatPr defaultRowHeight="13.9"/>
  <cols>
    <col min="1" max="1" width="40.28515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7109375" customWidth="1"/>
  </cols>
  <sheetData>
    <row r="1" spans="1:13" ht="19.5" customHeight="1">
      <c r="A1" s="54" t="str" cm="1">
        <f t="array" ref="A1">portfolio</f>
        <v>Northbridge Companies</v>
      </c>
      <c r="B1" s="54"/>
      <c r="C1" s="54"/>
      <c r="D1" s="55" t="s">
        <v>54</v>
      </c>
      <c r="E1" s="55"/>
      <c r="F1" s="55"/>
      <c r="G1" s="53" t="s">
        <v>55</v>
      </c>
      <c r="H1" s="53"/>
      <c r="I1" s="53"/>
      <c r="J1" s="5"/>
      <c r="K1" s="5"/>
    </row>
    <row r="2" spans="1:13" ht="19.5" customHeight="1">
      <c r="A2" s="56" t="s">
        <v>2</v>
      </c>
      <c r="B2" s="56"/>
      <c r="C2" s="6">
        <f>SUM(C4:C90)</f>
        <v>12226.125</v>
      </c>
      <c r="D2" s="6">
        <f>SUM(D4:D90)</f>
        <v>7030.3540000000003</v>
      </c>
      <c r="E2" s="6">
        <f>C2-D2</f>
        <v>5195.7709999999997</v>
      </c>
      <c r="F2" s="7">
        <f>IFERROR(E2/D2, 0)</f>
        <v>0.73904827552069208</v>
      </c>
      <c r="G2" s="6">
        <f>SUM(G4:G90)</f>
        <v>21374.539000000001</v>
      </c>
      <c r="H2" s="8">
        <f>C2-G2</f>
        <v>-9148.4140000000007</v>
      </c>
      <c r="I2" s="7">
        <f>IFERROR(H2/G2, 0)</f>
        <v>-0.42800520750412441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56</v>
      </c>
    </row>
    <row r="4" spans="1:13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57</v>
      </c>
      <c r="K4" s="49" t="s">
        <v>58</v>
      </c>
      <c r="L4" s="18" t="s">
        <v>59</v>
      </c>
    </row>
    <row r="5" spans="1:13" ht="64.5" customHeight="1">
      <c r="A5" s="31" t="str">
        <v>MA: North Dartmouth - 293 Cross St (Array 2)</v>
      </c>
      <c r="B5" s="32" t="str">
        <v>MA</v>
      </c>
      <c r="C5" s="12">
        <v>12226.125</v>
      </c>
      <c r="D5" s="20">
        <v>7030.3540000000003</v>
      </c>
      <c r="E5" s="20">
        <f t="shared" ref="E5" si="0">IF(AND(ISNUMBER(C5),ISNUMBER(D5)), C5-D5, "")</f>
        <v>5195.7709999999997</v>
      </c>
      <c r="F5" s="21">
        <f>IFERROR(E5/D5, "")</f>
        <v>0.73904827552069208</v>
      </c>
      <c r="G5" s="22">
        <v>21374.539000000001</v>
      </c>
      <c r="H5" s="22">
        <f t="shared" ref="H5" si="1">IF(AND(ISNUMBER(C5),ISNUMBER(G5)), C5-G5, "")</f>
        <v>-9148.4140000000007</v>
      </c>
      <c r="I5" s="21">
        <f t="shared" ref="I5" si="2">IFERROR(H5/G5, "")</f>
        <v>-0.42800520750412441</v>
      </c>
      <c r="J5" s="43" t="s">
        <v>60</v>
      </c>
      <c r="K5" s="44" t="s">
        <v>61</v>
      </c>
      <c r="L5" s="51" t="s">
        <v>62</v>
      </c>
      <c r="M5" s="52" t="s">
        <v>63</v>
      </c>
    </row>
    <row r="6" spans="1:13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3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3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3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106124" xr:uid="{2F719BBB-F7CF-4A0E-A03B-ACCA5BFC329D}"/>
    <hyperlink ref="K5" r:id="rId2" display="https://us3.assetplanner.com/service_request?ID=094280" xr:uid="{CBFC3ED4-4C02-401E-9268-F743C8665582}"/>
    <hyperlink ref="M5" r:id="rId3" display="https://us3.assetplanner.com/service_request?ID=109266" xr:uid="{151E25F1-4F4C-4C4D-BC25-77A2D0F75DA2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H10" sqref="H10"/>
      <selection activeCell="F18" sqref="F18"/>
    </sheetView>
  </sheetViews>
  <sheetFormatPr defaultRowHeight="13.9"/>
  <cols>
    <col min="1" max="1" width="43.710937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85546875" customWidth="1"/>
  </cols>
  <sheetData>
    <row r="1" spans="1:12" ht="19.5" customHeight="1">
      <c r="A1" s="54" t="str" cm="1">
        <f t="array" ref="A1">portfolio</f>
        <v>Northbridge Companies</v>
      </c>
      <c r="B1" s="54"/>
      <c r="C1" s="54"/>
      <c r="D1" s="55" t="s">
        <v>64</v>
      </c>
      <c r="E1" s="55"/>
      <c r="F1" s="55"/>
      <c r="G1" s="53" t="s">
        <v>65</v>
      </c>
      <c r="H1" s="53"/>
      <c r="I1" s="53"/>
      <c r="J1" s="5"/>
      <c r="K1" s="5"/>
    </row>
    <row r="2" spans="1:12" ht="19.5" customHeight="1">
      <c r="A2" s="56" t="s">
        <v>2</v>
      </c>
      <c r="B2" s="56"/>
      <c r="C2" s="6">
        <f>SUM(C4:C90)</f>
        <v>23563.3</v>
      </c>
      <c r="D2" s="6">
        <f>SUM(D4:D90)</f>
        <v>16100.672</v>
      </c>
      <c r="E2" s="6">
        <f>C2-D2</f>
        <v>7462.6279999999988</v>
      </c>
      <c r="F2" s="7">
        <f>IFERROR(E2/D2, 0)</f>
        <v>0.46349792108056104</v>
      </c>
      <c r="G2" s="6">
        <f>SUM(G4:G90)</f>
        <v>15302.777</v>
      </c>
      <c r="H2" s="8">
        <f>C2-G2</f>
        <v>8260.5229999999992</v>
      </c>
      <c r="I2" s="7">
        <f>IFERROR(H2/G2, 0)</f>
        <v>0.53980548759221936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56</v>
      </c>
    </row>
    <row r="4" spans="1:12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9773.2999999999993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6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66</v>
      </c>
      <c r="K4" s="49" t="s">
        <v>67</v>
      </c>
      <c r="L4" s="18" t="s">
        <v>68</v>
      </c>
    </row>
    <row r="5" spans="1:12" ht="43.15">
      <c r="A5" s="31" t="str">
        <v>MA: North Dartmouth - 293 Cross St (Array 2)</v>
      </c>
      <c r="B5" s="32" t="str">
        <v>MA</v>
      </c>
      <c r="C5" s="12">
        <v>13790</v>
      </c>
      <c r="D5" s="20">
        <v>16100.672</v>
      </c>
      <c r="E5" s="20">
        <f t="shared" ref="E5" si="0">IF(AND(ISNUMBER(C5),ISNUMBER(D5)), C5-D5, "")</f>
        <v>-2310.6720000000005</v>
      </c>
      <c r="F5" s="21">
        <f>IFERROR(E5/D5, "")</f>
        <v>-0.14351400985002369</v>
      </c>
      <c r="G5" s="22">
        <v>15302.777</v>
      </c>
      <c r="H5" s="22">
        <f t="shared" ref="H5" si="1">IF(AND(ISNUMBER(C5),ISNUMBER(G5)), C5-G5, "")</f>
        <v>-1512.777</v>
      </c>
      <c r="I5" s="21">
        <f t="shared" ref="I5" si="2">IFERROR(H5/G5, "")</f>
        <v>-9.8856370971098909E-2</v>
      </c>
      <c r="J5" s="43" t="s">
        <v>69</v>
      </c>
      <c r="K5" s="44" t="s">
        <v>33</v>
      </c>
      <c r="L5" s="51" t="s">
        <v>70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111018" xr:uid="{57CC0B65-A241-41AB-8877-C0658888F635}"/>
    <hyperlink ref="K5" r:id="rId2" display="https://us3.assetplanner.com/service_request?ID=094280" xr:uid="{01515B6D-C5A6-4452-9474-1E96ED541FE3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33"/>
  <sheetViews>
    <sheetView zoomScale="70" zoomScaleNormal="70" workbookViewId="0">
      <pane ySplit="2" topLeftCell="A3" activePane="bottomLeft" state="frozen"/>
      <selection pane="bottomLeft" activeCell="G5" sqref="G5"/>
      <selection activeCell="J16" sqref="J16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  <col min="12" max="12" width="14.85546875" customWidth="1"/>
  </cols>
  <sheetData>
    <row r="1" spans="1:12" ht="19.5" customHeight="1">
      <c r="A1" s="54" t="str" cm="1">
        <f t="array" ref="A1">portfolio</f>
        <v>Northbridge Companies</v>
      </c>
      <c r="B1" s="54"/>
      <c r="C1" s="54"/>
      <c r="D1" s="55" t="s">
        <v>71</v>
      </c>
      <c r="E1" s="55"/>
      <c r="F1" s="55"/>
      <c r="G1" s="53" t="s">
        <v>72</v>
      </c>
      <c r="H1" s="53"/>
      <c r="I1" s="53"/>
      <c r="J1" s="5"/>
      <c r="K1" s="5"/>
    </row>
    <row r="2" spans="1:12" ht="19.5" customHeight="1">
      <c r="A2" s="56" t="s">
        <v>2</v>
      </c>
      <c r="B2" s="56"/>
      <c r="C2" s="6">
        <f>SUM(C4:C91)</f>
        <v>23603</v>
      </c>
      <c r="D2" s="6">
        <f>SUM(D4:D91)</f>
        <v>36719</v>
      </c>
      <c r="E2" s="6">
        <f>C2-D2</f>
        <v>-13116</v>
      </c>
      <c r="F2" s="7">
        <f>IFERROR(E2/D2, 0)</f>
        <v>-0.35719927013262887</v>
      </c>
      <c r="G2" s="6">
        <f>SUM(G4:G91)</f>
        <v>12255</v>
      </c>
      <c r="H2" s="8">
        <f>C2-G2</f>
        <v>11348</v>
      </c>
      <c r="I2" s="7">
        <f>IFERROR(H2/G2, 0)</f>
        <v>0.92598939208486331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56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13303</v>
      </c>
      <c r="D4" s="14" t="s">
        <v>22</v>
      </c>
      <c r="E4" s="14"/>
      <c r="F4" s="15" t="str">
        <f>IFERROR(E4/D4, "")</f>
        <v/>
      </c>
      <c r="G4" s="46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  <c r="L4" s="18"/>
    </row>
    <row r="5" spans="1:12" ht="78.75" customHeight="1">
      <c r="A5" s="31" t="str">
        <v>MA: North Dartmouth - 293 Cross St (Array 2)</v>
      </c>
      <c r="B5" s="32" t="str">
        <v>MA</v>
      </c>
      <c r="C5" s="12">
        <v>10300</v>
      </c>
      <c r="D5" s="20">
        <v>36719</v>
      </c>
      <c r="E5" s="20">
        <f t="shared" ref="E5:E6" si="0">IF(AND(ISNUMBER(C5),ISNUMBER(D5)), C5-D5, "")</f>
        <v>-26419</v>
      </c>
      <c r="F5" s="21">
        <f>IFERROR(E5/D5, "")</f>
        <v>-0.71949127154878945</v>
      </c>
      <c r="G5" s="22">
        <v>12255</v>
      </c>
      <c r="H5" s="22">
        <f t="shared" ref="H5:H6" si="1">IF(AND(ISNUMBER(C5),ISNUMBER(G5)), C5-G5, "")</f>
        <v>-1955</v>
      </c>
      <c r="I5" s="21">
        <f t="shared" ref="I5:I6" si="2">IFERROR(H5/G5, "")</f>
        <v>-0.15952672378620972</v>
      </c>
      <c r="J5" s="42" t="s">
        <v>73</v>
      </c>
      <c r="K5" s="44" t="s">
        <v>33</v>
      </c>
      <c r="L5" s="51" t="s">
        <v>70</v>
      </c>
    </row>
    <row r="6" spans="1:12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hyperlinks>
    <hyperlink ref="K5" r:id="rId1" display="https://us3.assetplanner.com/service_request?ID=094280" xr:uid="{3535C399-02F8-42BA-813B-FE697EB767A9}"/>
  </hyperlinks>
  <pageMargins left="0.4" right="0.7" top="0.25" bottom="0.25" header="0.3" footer="0.3"/>
  <pageSetup fitToHeight="99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74</v>
      </c>
      <c r="B1" t="s">
        <v>75</v>
      </c>
    </row>
    <row r="3" spans="1:7" ht="13.15">
      <c r="A3" t="s">
        <v>76</v>
      </c>
      <c r="B3" t="s">
        <v>3</v>
      </c>
      <c r="C3" t="s">
        <v>4</v>
      </c>
      <c r="D3" t="s">
        <v>77</v>
      </c>
      <c r="E3" s="2" t="s">
        <v>78</v>
      </c>
    </row>
    <row r="4" spans="1:7" ht="14.45">
      <c r="A4" t="s">
        <v>79</v>
      </c>
      <c r="B4" t="s">
        <v>80</v>
      </c>
      <c r="C4" s="4" t="s">
        <v>81</v>
      </c>
      <c r="E4" t="s">
        <v>82</v>
      </c>
      <c r="G4" s="3"/>
    </row>
    <row r="5" spans="1:7" ht="14.45">
      <c r="A5" t="s">
        <v>83</v>
      </c>
      <c r="B5" t="s">
        <v>84</v>
      </c>
      <c r="C5" s="4" t="s">
        <v>81</v>
      </c>
      <c r="E5" t="s">
        <v>85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D270626F-3CF3-451D-AADD-48EC185B4B76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2026-01-30T20:12:55Z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afabd8f9-4e29-4d28-8f0d-5dc97b4e1c38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