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2" documentId="13_ncr:1_{5CF90252-705E-43C1-BFE8-E646D633ED8E}" xr6:coauthVersionLast="47" xr6:coauthVersionMax="47" xr10:uidLastSave="{BBCDE3A4-BE8B-4A0F-B3E9-6ED19BC8595E}"/>
  <bookViews>
    <workbookView xWindow="-108" yWindow="-108" windowWidth="23256" windowHeight="13896" tabRatio="866" firstSheet="14"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33" l="1" a="1"/>
  <c r="A4" i="33"/>
  <c r="A4" i="28" a="1"/>
  <c r="A4" i="28"/>
  <c r="H8" i="33"/>
  <c r="H9" i="33"/>
  <c r="H10" i="33"/>
  <c r="H11" i="33"/>
  <c r="H12" i="33"/>
  <c r="H13" i="33"/>
  <c r="H14" i="33"/>
  <c r="I4" i="19"/>
  <c r="B4" i="20" a="1"/>
  <c r="B4" i="20"/>
  <c r="H8" i="21"/>
  <c r="G14" i="30"/>
  <c r="G14" i="34" s="1"/>
  <c r="G6" i="30"/>
  <c r="G7" i="30"/>
  <c r="G8" i="30"/>
  <c r="G9" i="30"/>
  <c r="G10" i="30"/>
  <c r="G11" i="30"/>
  <c r="G12" i="30"/>
  <c r="G13" i="30"/>
  <c r="G5" i="30"/>
  <c r="G4" i="30"/>
  <c r="G2" i="30" s="1"/>
  <c r="G6" i="29"/>
  <c r="G7" i="29"/>
  <c r="G8" i="29"/>
  <c r="G9" i="29"/>
  <c r="G10" i="29"/>
  <c r="G11" i="29"/>
  <c r="G12" i="29"/>
  <c r="G13" i="29"/>
  <c r="G14" i="29"/>
  <c r="G5" i="29"/>
  <c r="G4" i="29"/>
  <c r="G6" i="18"/>
  <c r="G7" i="18"/>
  <c r="G8" i="18"/>
  <c r="G9" i="18"/>
  <c r="G10" i="18"/>
  <c r="G11" i="18"/>
  <c r="G12" i="18"/>
  <c r="G13" i="18"/>
  <c r="G14" i="18"/>
  <c r="G5" i="18"/>
  <c r="G4" i="18"/>
  <c r="E5" i="33"/>
  <c r="F5" i="33" s="1"/>
  <c r="A4" i="19" a="1"/>
  <c r="A4" i="19" s="1"/>
  <c r="A4" i="4" a="1"/>
  <c r="A4" i="4"/>
  <c r="B4" i="33" a="1"/>
  <c r="B4" i="33" s="1"/>
  <c r="B4" i="32" a="1"/>
  <c r="B4" i="32" s="1"/>
  <c r="A4" i="32" a="1"/>
  <c r="A4" i="32" s="1"/>
  <c r="B4" i="31" a="1"/>
  <c r="B4" i="31" s="1"/>
  <c r="A4" i="31" a="1"/>
  <c r="A4" i="31" s="1"/>
  <c r="B4" i="19" a="1"/>
  <c r="B4" i="19" s="1"/>
  <c r="A4" i="20" a="1"/>
  <c r="A4" i="20" s="1"/>
  <c r="B4" i="21" a="1"/>
  <c r="B4" i="21" s="1"/>
  <c r="A4" i="21" a="1"/>
  <c r="A4" i="21" s="1"/>
  <c r="B4" i="4" a="1"/>
  <c r="B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c r="E11" i="3"/>
  <c r="F11" i="3" s="1"/>
  <c r="H11" i="3"/>
  <c r="I11" i="3" s="1"/>
  <c r="E12" i="3"/>
  <c r="F12" i="3" s="1"/>
  <c r="H12" i="3"/>
  <c r="I12" i="3"/>
  <c r="E13" i="3"/>
  <c r="F13" i="3" s="1"/>
  <c r="H13" i="3"/>
  <c r="I13" i="3" s="1"/>
  <c r="E14" i="3"/>
  <c r="F14" i="3" s="1"/>
  <c r="H14" i="3"/>
  <c r="I14" i="3" s="1"/>
  <c r="G6" i="1"/>
  <c r="G7" i="1"/>
  <c r="G8" i="1"/>
  <c r="G9" i="1"/>
  <c r="G10" i="1"/>
  <c r="G11" i="1"/>
  <c r="G12" i="1"/>
  <c r="G13" i="1"/>
  <c r="G14" i="1"/>
  <c r="G5" i="1"/>
  <c r="G4" i="1"/>
  <c r="B4" i="34" a="1"/>
  <c r="B4" i="34" s="1"/>
  <c r="A4" i="34" a="1"/>
  <c r="A4" i="34" s="1"/>
  <c r="A1" i="34" a="1"/>
  <c r="A1" i="34" s="1"/>
  <c r="D14" i="30"/>
  <c r="C14" i="30"/>
  <c r="D13" i="30"/>
  <c r="C13" i="30"/>
  <c r="D12" i="30"/>
  <c r="C12" i="30"/>
  <c r="D11" i="30"/>
  <c r="C11" i="30"/>
  <c r="D10" i="30"/>
  <c r="C10" i="30"/>
  <c r="E10" i="30" s="1"/>
  <c r="F10" i="30" s="1"/>
  <c r="D9" i="30"/>
  <c r="C9" i="30"/>
  <c r="D8" i="30"/>
  <c r="C8" i="30"/>
  <c r="D7" i="30"/>
  <c r="C7" i="30"/>
  <c r="D6" i="30"/>
  <c r="C6" i="30"/>
  <c r="D5" i="30"/>
  <c r="C5" i="30"/>
  <c r="D4" i="30"/>
  <c r="C4" i="30"/>
  <c r="D14" i="29"/>
  <c r="C14" i="29"/>
  <c r="E14" i="29" s="1"/>
  <c r="F14" i="29" s="1"/>
  <c r="D13" i="29"/>
  <c r="C13" i="29"/>
  <c r="D12" i="29"/>
  <c r="C12" i="29"/>
  <c r="D11" i="29"/>
  <c r="C11" i="29"/>
  <c r="D10" i="29"/>
  <c r="C10" i="29"/>
  <c r="E10" i="29" s="1"/>
  <c r="F10" i="29" s="1"/>
  <c r="D9" i="29"/>
  <c r="C9" i="29"/>
  <c r="E9" i="29" s="1"/>
  <c r="F9" i="29" s="1"/>
  <c r="D8" i="29"/>
  <c r="C8" i="29"/>
  <c r="D7" i="29"/>
  <c r="C7" i="29"/>
  <c r="D6" i="29"/>
  <c r="C6" i="29"/>
  <c r="D5" i="29"/>
  <c r="C5" i="29"/>
  <c r="D4" i="29"/>
  <c r="C4" i="29"/>
  <c r="D14" i="18"/>
  <c r="C14" i="18"/>
  <c r="D13" i="18"/>
  <c r="C13" i="18"/>
  <c r="E13" i="18" s="1"/>
  <c r="F13" i="18" s="1"/>
  <c r="D12" i="18"/>
  <c r="C12" i="18"/>
  <c r="E12" i="18" s="1"/>
  <c r="F12" i="18" s="1"/>
  <c r="D11" i="18"/>
  <c r="C11" i="18"/>
  <c r="D10" i="18"/>
  <c r="C10" i="18"/>
  <c r="D9" i="18"/>
  <c r="C9" i="18"/>
  <c r="E9" i="18" s="1"/>
  <c r="F9" i="18" s="1"/>
  <c r="D8" i="18"/>
  <c r="C8" i="18"/>
  <c r="D7" i="18"/>
  <c r="C7" i="18"/>
  <c r="D6" i="18"/>
  <c r="C6" i="18"/>
  <c r="D5" i="18"/>
  <c r="C5" i="18"/>
  <c r="D4" i="18"/>
  <c r="C4" i="18"/>
  <c r="E4" i="18" s="1"/>
  <c r="F4" i="18" s="1"/>
  <c r="B4" i="30" a="1"/>
  <c r="B4" i="30" s="1"/>
  <c r="A1" i="30" a="1"/>
  <c r="A1" i="30" s="1"/>
  <c r="B4" i="29" a="1"/>
  <c r="B4" i="29" s="1"/>
  <c r="A4" i="29" a="1"/>
  <c r="A4" i="29" s="1"/>
  <c r="A1" i="29" a="1"/>
  <c r="A1" i="29" s="1"/>
  <c r="B4" i="18" a="1"/>
  <c r="B4" i="18" s="1"/>
  <c r="A4" i="18" a="1"/>
  <c r="A4" i="18" s="1"/>
  <c r="A1" i="18" a="1"/>
  <c r="A1" i="18" s="1"/>
  <c r="C14" i="1"/>
  <c r="C13" i="1"/>
  <c r="C12" i="1"/>
  <c r="C11" i="1"/>
  <c r="C11" i="34" s="1"/>
  <c r="C10" i="1"/>
  <c r="C9" i="1"/>
  <c r="C8" i="1"/>
  <c r="C7" i="1"/>
  <c r="C6" i="1"/>
  <c r="C5" i="1"/>
  <c r="C4" i="1"/>
  <c r="D6" i="1"/>
  <c r="D7" i="1"/>
  <c r="D8" i="1"/>
  <c r="D9" i="1"/>
  <c r="D10" i="1"/>
  <c r="D11" i="1"/>
  <c r="D12" i="1"/>
  <c r="D13" i="1"/>
  <c r="D14" i="1"/>
  <c r="D5" i="1"/>
  <c r="D4" i="1"/>
  <c r="B4" i="1" a="1"/>
  <c r="B4" i="1" s="1"/>
  <c r="A4" i="1" a="1"/>
  <c r="A4" i="1" s="1"/>
  <c r="A1" i="1" a="1"/>
  <c r="A1" i="1" s="1"/>
  <c r="I14" i="33"/>
  <c r="E14" i="33"/>
  <c r="F14" i="33" s="1"/>
  <c r="I13" i="33"/>
  <c r="E13" i="33"/>
  <c r="F13" i="33" s="1"/>
  <c r="I12" i="33"/>
  <c r="E12" i="33"/>
  <c r="F12" i="33" s="1"/>
  <c r="I11" i="33"/>
  <c r="E11" i="33"/>
  <c r="F11" i="33" s="1"/>
  <c r="I10" i="33"/>
  <c r="E10" i="33"/>
  <c r="F10" i="33" s="1"/>
  <c r="I9" i="33"/>
  <c r="E9" i="33"/>
  <c r="F9" i="33" s="1"/>
  <c r="I8" i="33"/>
  <c r="E8" i="33"/>
  <c r="F8" i="33" s="1"/>
  <c r="H7" i="33"/>
  <c r="I7" i="33" s="1"/>
  <c r="E7" i="33"/>
  <c r="F7" i="33" s="1"/>
  <c r="H6" i="33"/>
  <c r="E6" i="33"/>
  <c r="F6" i="33" s="1"/>
  <c r="H5" i="33"/>
  <c r="I5" i="33" s="1"/>
  <c r="H4" i="33"/>
  <c r="I4" i="33" s="1"/>
  <c r="E4" i="33"/>
  <c r="F4" i="33" s="1"/>
  <c r="G2" i="33"/>
  <c r="D2" i="33"/>
  <c r="C2" i="33"/>
  <c r="A1" i="33" a="1"/>
  <c r="A1" i="33"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G2" i="28"/>
  <c r="D2" i="28"/>
  <c r="C2" i="28"/>
  <c r="A1" i="28" a="1"/>
  <c r="A1" i="28" s="1"/>
  <c r="H14" i="27"/>
  <c r="I14" i="27" s="1"/>
  <c r="E14" i="27"/>
  <c r="F14" i="27" s="1"/>
  <c r="H13" i="27"/>
  <c r="I13" i="27" s="1"/>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E4" i="19"/>
  <c r="F4" i="19" s="1"/>
  <c r="G2" i="19"/>
  <c r="D2" i="19"/>
  <c r="C2" i="19"/>
  <c r="A1" i="19" a="1"/>
  <c r="A1" i="19"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I8" i="21"/>
  <c r="E8" i="21"/>
  <c r="F8" i="21" s="1"/>
  <c r="H7" i="21"/>
  <c r="I7" i="21" s="1"/>
  <c r="E7" i="21"/>
  <c r="F7" i="21" s="1"/>
  <c r="H6" i="21"/>
  <c r="I6" i="21" s="1"/>
  <c r="E6" i="21"/>
  <c r="F6" i="21" s="1"/>
  <c r="H5" i="21"/>
  <c r="I5" i="21" s="1"/>
  <c r="E5" i="21"/>
  <c r="F5" i="21" s="1"/>
  <c r="H4" i="21"/>
  <c r="I4" i="21" s="1"/>
  <c r="E4" i="21"/>
  <c r="F4" i="21" s="1"/>
  <c r="G2" i="21"/>
  <c r="D2" i="21"/>
  <c r="C2" i="21"/>
  <c r="A1" i="21" a="1"/>
  <c r="A1" i="21"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E5" i="72"/>
  <c r="F5" i="72" s="1"/>
  <c r="E6" i="72"/>
  <c r="F6" i="72" s="1"/>
  <c r="E7" i="72"/>
  <c r="F7" i="72" s="1"/>
  <c r="E8" i="72"/>
  <c r="F8" i="72" s="1"/>
  <c r="E9" i="72"/>
  <c r="F9" i="72" s="1"/>
  <c r="E10" i="72"/>
  <c r="F10" i="72" s="1"/>
  <c r="E11" i="72"/>
  <c r="F11" i="72" s="1"/>
  <c r="E12" i="72"/>
  <c r="F12" i="72" s="1"/>
  <c r="E13" i="72"/>
  <c r="F13" i="72" s="1"/>
  <c r="E14" i="72"/>
  <c r="F14" i="72" s="1"/>
  <c r="H6" i="72"/>
  <c r="I6" i="72" s="1"/>
  <c r="H7" i="72"/>
  <c r="I7" i="72" s="1"/>
  <c r="H8" i="72"/>
  <c r="I8" i="72" s="1"/>
  <c r="H9" i="72"/>
  <c r="I9" i="72" s="1"/>
  <c r="H10" i="72"/>
  <c r="I10" i="72" s="1"/>
  <c r="H11" i="72"/>
  <c r="I11" i="72" s="1"/>
  <c r="H12" i="72"/>
  <c r="I12" i="72" s="1"/>
  <c r="H13" i="72"/>
  <c r="I13" i="72" s="1"/>
  <c r="H14" i="72"/>
  <c r="I14" i="72" s="1"/>
  <c r="H5" i="72"/>
  <c r="I5" i="72" s="1"/>
  <c r="H4" i="72"/>
  <c r="I4" i="72" s="1"/>
  <c r="G2" i="72"/>
  <c r="D2" i="72"/>
  <c r="C2" i="72"/>
  <c r="J2" i="72" s="1"/>
  <c r="E4" i="72"/>
  <c r="F4" i="72" s="1"/>
  <c r="A1" i="72" a="1"/>
  <c r="A1" i="72" s="1"/>
  <c r="C12" i="34" l="1"/>
  <c r="D8" i="34"/>
  <c r="G8" i="34"/>
  <c r="G9" i="34"/>
  <c r="G10" i="34"/>
  <c r="E14" i="30"/>
  <c r="F14" i="30" s="1"/>
  <c r="D14" i="34"/>
  <c r="D12" i="34"/>
  <c r="E12" i="34" s="1"/>
  <c r="F12" i="34" s="1"/>
  <c r="D11" i="34"/>
  <c r="E11" i="34" s="1"/>
  <c r="F11" i="34" s="1"/>
  <c r="C10" i="34"/>
  <c r="C9" i="34"/>
  <c r="G2" i="29"/>
  <c r="E5" i="29"/>
  <c r="F5" i="29" s="1"/>
  <c r="D5" i="34"/>
  <c r="E8" i="18"/>
  <c r="F8" i="18" s="1"/>
  <c r="D13" i="34"/>
  <c r="C13" i="34"/>
  <c r="E13" i="34" s="1"/>
  <c r="F13" i="34" s="1"/>
  <c r="D10" i="34"/>
  <c r="D9" i="34"/>
  <c r="C7" i="34"/>
  <c r="C6" i="34"/>
  <c r="G2" i="18"/>
  <c r="C5" i="34"/>
  <c r="C14" i="34"/>
  <c r="C8" i="34"/>
  <c r="E8" i="34" s="1"/>
  <c r="F8" i="34" s="1"/>
  <c r="D7" i="34"/>
  <c r="D6" i="34"/>
  <c r="G6" i="34"/>
  <c r="G4" i="34"/>
  <c r="G13" i="34"/>
  <c r="G5" i="34"/>
  <c r="G12" i="34"/>
  <c r="G7" i="34"/>
  <c r="E5" i="18"/>
  <c r="F5" i="18" s="1"/>
  <c r="E6" i="29"/>
  <c r="F6" i="29" s="1"/>
  <c r="G11" i="34"/>
  <c r="E11" i="30"/>
  <c r="F11" i="30" s="1"/>
  <c r="E6" i="30"/>
  <c r="F6" i="30" s="1"/>
  <c r="H12" i="29"/>
  <c r="I12" i="29" s="1"/>
  <c r="E13" i="29"/>
  <c r="F13" i="29" s="1"/>
  <c r="H2" i="26"/>
  <c r="I2" i="26" s="1"/>
  <c r="H2" i="4"/>
  <c r="I2" i="4" s="1"/>
  <c r="H2" i="20"/>
  <c r="I2" i="20" s="1"/>
  <c r="H2" i="21"/>
  <c r="I2" i="21" s="1"/>
  <c r="H2" i="32"/>
  <c r="I2" i="32" s="1"/>
  <c r="H2" i="28"/>
  <c r="I2" i="28" s="1"/>
  <c r="H2" i="33"/>
  <c r="I2" i="33" s="1"/>
  <c r="H2" i="19"/>
  <c r="I2" i="19" s="1"/>
  <c r="D2" i="18"/>
  <c r="H6" i="30"/>
  <c r="H10" i="29"/>
  <c r="I10" i="29" s="1"/>
  <c r="H2" i="31"/>
  <c r="I2" i="31" s="1"/>
  <c r="D2" i="30"/>
  <c r="E7" i="18"/>
  <c r="F7" i="18" s="1"/>
  <c r="E11" i="18"/>
  <c r="F11" i="18" s="1"/>
  <c r="E8" i="29"/>
  <c r="F8" i="29" s="1"/>
  <c r="E12" i="29"/>
  <c r="F12" i="29" s="1"/>
  <c r="E5" i="30"/>
  <c r="F5" i="30" s="1"/>
  <c r="E9" i="30"/>
  <c r="F9" i="30" s="1"/>
  <c r="E13" i="30"/>
  <c r="F13" i="30" s="1"/>
  <c r="H9" i="29"/>
  <c r="I9" i="29" s="1"/>
  <c r="D4" i="34"/>
  <c r="E2" i="20"/>
  <c r="F2" i="20" s="1"/>
  <c r="J2" i="4"/>
  <c r="J2" i="32"/>
  <c r="D2" i="29"/>
  <c r="I10" i="27"/>
  <c r="H2" i="27"/>
  <c r="I2" i="27" s="1"/>
  <c r="J2" i="21"/>
  <c r="H13" i="29"/>
  <c r="I13" i="29" s="1"/>
  <c r="E2" i="28"/>
  <c r="F2" i="28" s="1"/>
  <c r="H6" i="29"/>
  <c r="I6" i="29" s="1"/>
  <c r="H7" i="29"/>
  <c r="I7" i="29" s="1"/>
  <c r="E6" i="18"/>
  <c r="F6" i="18" s="1"/>
  <c r="E10" i="18"/>
  <c r="F10" i="18" s="1"/>
  <c r="E14" i="18"/>
  <c r="F14" i="18" s="1"/>
  <c r="E11" i="29"/>
  <c r="F11" i="29" s="1"/>
  <c r="E4" i="30"/>
  <c r="F4" i="30" s="1"/>
  <c r="E8" i="30"/>
  <c r="F8" i="30" s="1"/>
  <c r="E12" i="30"/>
  <c r="F12" i="30" s="1"/>
  <c r="J2" i="20"/>
  <c r="J2" i="19"/>
  <c r="J2" i="26"/>
  <c r="J2" i="27"/>
  <c r="J2" i="28"/>
  <c r="J2" i="31"/>
  <c r="J2" i="33"/>
  <c r="I6" i="33"/>
  <c r="H2" i="3"/>
  <c r="I2" i="3" s="1"/>
  <c r="E7" i="1"/>
  <c r="F7" i="1" s="1"/>
  <c r="G2" i="1"/>
  <c r="E8" i="1"/>
  <c r="F8" i="1" s="1"/>
  <c r="E11" i="1"/>
  <c r="F11" i="1" s="1"/>
  <c r="E9" i="1"/>
  <c r="F9" i="1" s="1"/>
  <c r="E10" i="1"/>
  <c r="F10" i="1" s="1"/>
  <c r="E12" i="1"/>
  <c r="F12" i="1" s="1"/>
  <c r="E5" i="1"/>
  <c r="F5" i="1" s="1"/>
  <c r="E13" i="1"/>
  <c r="F13" i="1" s="1"/>
  <c r="E6" i="1"/>
  <c r="F6" i="1" s="1"/>
  <c r="E14" i="1"/>
  <c r="F14" i="1" s="1"/>
  <c r="H14" i="30"/>
  <c r="H9" i="30"/>
  <c r="H4" i="30"/>
  <c r="E7" i="30"/>
  <c r="F7" i="30" s="1"/>
  <c r="H12" i="30"/>
  <c r="H7" i="30"/>
  <c r="H10" i="30"/>
  <c r="H5" i="30"/>
  <c r="H13" i="30"/>
  <c r="H8" i="30"/>
  <c r="H11" i="30"/>
  <c r="E7" i="29"/>
  <c r="F7" i="29" s="1"/>
  <c r="H8" i="29"/>
  <c r="I8" i="29" s="1"/>
  <c r="H11" i="29"/>
  <c r="I11" i="29" s="1"/>
  <c r="I6" i="26"/>
  <c r="I9" i="26"/>
  <c r="I12" i="26"/>
  <c r="H14" i="29"/>
  <c r="I14" i="29" s="1"/>
  <c r="H4" i="29"/>
  <c r="I4" i="29" s="1"/>
  <c r="H5" i="29"/>
  <c r="I5" i="29" s="1"/>
  <c r="I7" i="26"/>
  <c r="H14" i="18"/>
  <c r="I14" i="18" s="1"/>
  <c r="H9" i="18"/>
  <c r="I9" i="18" s="1"/>
  <c r="H6" i="18"/>
  <c r="I6" i="18" s="1"/>
  <c r="H4" i="18"/>
  <c r="I4" i="18" s="1"/>
  <c r="H12" i="18"/>
  <c r="I12" i="18" s="1"/>
  <c r="H7" i="18"/>
  <c r="I7" i="18" s="1"/>
  <c r="H10" i="18"/>
  <c r="I10" i="18" s="1"/>
  <c r="C4" i="34"/>
  <c r="H5" i="18"/>
  <c r="I5" i="18" s="1"/>
  <c r="H13" i="18"/>
  <c r="I13" i="18" s="1"/>
  <c r="H8" i="18"/>
  <c r="I8" i="18" s="1"/>
  <c r="H11" i="18"/>
  <c r="I11" i="18" s="1"/>
  <c r="C2" i="29"/>
  <c r="C2" i="30"/>
  <c r="E4" i="29"/>
  <c r="F4" i="29" s="1"/>
  <c r="C2" i="18"/>
  <c r="H7" i="1"/>
  <c r="I7" i="1" s="1"/>
  <c r="H4" i="1"/>
  <c r="H5" i="1"/>
  <c r="I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F2" i="4" s="1"/>
  <c r="H2" i="72"/>
  <c r="E9" i="34" l="1"/>
  <c r="F9" i="34" s="1"/>
  <c r="E10" i="34"/>
  <c r="F10" i="34" s="1"/>
  <c r="E5" i="34"/>
  <c r="F5" i="34" s="1"/>
  <c r="E14" i="34"/>
  <c r="F14" i="34" s="1"/>
  <c r="E7" i="34"/>
  <c r="F7" i="34" s="1"/>
  <c r="E6" i="34"/>
  <c r="F6" i="34" s="1"/>
  <c r="I11" i="30"/>
  <c r="H11" i="34"/>
  <c r="I11" i="34" s="1"/>
  <c r="I8" i="30"/>
  <c r="H8" i="34"/>
  <c r="I8" i="34" s="1"/>
  <c r="I13" i="30"/>
  <c r="H13" i="34"/>
  <c r="I13" i="34" s="1"/>
  <c r="I12" i="30"/>
  <c r="H12" i="34"/>
  <c r="I12" i="34" s="1"/>
  <c r="I14" i="30"/>
  <c r="H14" i="34"/>
  <c r="I14" i="34" s="1"/>
  <c r="I10" i="30"/>
  <c r="H10" i="34"/>
  <c r="I10" i="34" s="1"/>
  <c r="I9" i="30"/>
  <c r="H9" i="34"/>
  <c r="I9" i="34" s="1"/>
  <c r="I7" i="30"/>
  <c r="H7" i="34"/>
  <c r="I7" i="34" s="1"/>
  <c r="I6" i="30"/>
  <c r="H6" i="34"/>
  <c r="I6" i="34" s="1"/>
  <c r="I5" i="30"/>
  <c r="H5" i="34"/>
  <c r="I5" i="34" s="1"/>
  <c r="I4" i="30"/>
  <c r="H4" i="34"/>
  <c r="I4" i="34" s="1"/>
  <c r="D2" i="34"/>
  <c r="G2" i="34"/>
  <c r="E2" i="29"/>
  <c r="F2" i="29" s="1"/>
  <c r="E4" i="34"/>
  <c r="F4" i="34" s="1"/>
  <c r="H2" i="1"/>
  <c r="I2" i="1" s="1"/>
  <c r="C2" i="34"/>
  <c r="I4" i="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<sst xmlns="http://schemas.openxmlformats.org/spreadsheetml/2006/main" count="539" uniqueCount="223">
  <si>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</si>
  <si>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</si>
  <si>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</si>
  <si>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</si>
  <si>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</si>
  <si>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</si>
  <si>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</si>
  <si>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</si>
  <si>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</si>
  <si>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</si>
  <si>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</si>
  <si>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</si>
  <si>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</si>
  <si>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</si>
  <si>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</si>
  <si>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</si>
  <si>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</si>
  <si>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</si>
  <si>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</si>
  <si>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</si>
  <si>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</si>
  <si>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</si>
  <si>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is producing at maximum 40 kW throughout the month compared to its capacity 50kW due to seasonal underperformance</t>
  </si>
  <si>
    <t>1. SR099649</t>
  </si>
  <si>
    <t>1. Meter CT was replaced on 01/13 and AlsoEnergy was able to regain meter communication from 12:00 PM on 01/13</t>
  </si>
  <si>
    <t>1. 	SR094972</t>
  </si>
  <si>
    <t>1.Inverter 4 was offline from 01/21 and came back online on 01/24 at 10:30 after the blown fuse was replaced.
2. Inverter 4 offline from 01/25 and came back online on 01/29 at 10:45 after the blown fuse was replaced.</t>
  </si>
  <si>
    <t>1.	SR095814
2.SR096012 , SR096160</t>
  </si>
  <si>
    <t>1. Inverter 2 was underperforming 20kW down compared to inverter 1 due to L1 SP320 cartilage needs replacement and found active ground fault on CB 2-2 string 5.</t>
  </si>
  <si>
    <t>1. PM4031, SR086964, SR086966</t>
  </si>
  <si>
    <t>1.Inverter 1 is underperforming by 12kW down from 08:00 AM to 12:30 PM due to seasonal shading</t>
  </si>
  <si>
    <t>1. SR099639</t>
  </si>
  <si>
    <t>1. Inverter 1 was offline from 07:00 on 01/06 to 12:00pm on 01/24 due to failed PWR DIST Card</t>
  </si>
  <si>
    <t>1. SR094724</t>
  </si>
  <si>
    <t>February Actual v. Expected</t>
  </si>
  <si>
    <t>February Actual v. Forecasted</t>
  </si>
  <si>
    <t>1. Inverter 4 was tripped offline at 18:15 on 02/16 due to control card assembly plus backplane.
2. Inverter 2 and meter 2 stopped communication at 11:50AM on 02/20 tech suggested that replacing the Vlink MESR901 serial server.</t>
  </si>
  <si>
    <t>1. SR095814,	SR096160, SR096012
2. SR097592</t>
  </si>
  <si>
    <t>SR096160</t>
  </si>
  <si>
    <t>SR096012</t>
  </si>
  <si>
    <t>SR097592</t>
  </si>
  <si>
    <t>1.Inverter 2 is underperforming by 20kW down due to shading related issue.</t>
  </si>
  <si>
    <t>1. SR096743</t>
  </si>
  <si>
    <t>1. Inverter 2 having multiple tripping events on 02/25 and 02/27.</t>
  </si>
  <si>
    <t>1. SR097804</t>
  </si>
  <si>
    <t>March Actual v. Expected</t>
  </si>
  <si>
    <t>March Actual v. Forecasted</t>
  </si>
  <si>
    <t xml:space="preserve">1.Inverter 4 was offline from 18:20 on 02/16 to 22:20 on 03/25. On 03/25, a Bold  technician was onsite to replace the controller card and Upon arrival he found a worn DC shunt harness, which was requested for replacement. The inverter went offline again at 18:45 on 03/26 and requires additional components for full restoration.
2. Inverter 2 and meter 2 stopped communicating at 11:50AM on 02/20 and production can't be confirmed.On 02/24 upon troubleshooting ,technician recommends replacing the Vlink MESR901 serial server </t>
  </si>
  <si>
    <t>1.SR096012,SR096160
2.SR097592</t>
  </si>
  <si>
    <t>1.Inverter 2 is underperforming by approximately 20 kW, likely due to shading related issues</t>
  </si>
  <si>
    <t>1.SR096743</t>
  </si>
  <si>
    <t>1. A canopy strike was reported on 01/17, prompting immediate dispatch to secure the parking lot array and document the damages. Dispatch is scheduled to return on 04/10 to install five modules, reconnect homeruns, and re-energize the string.</t>
  </si>
  <si>
    <t>1.SR095815</t>
  </si>
  <si>
    <t xml:space="preserve">1. Inverter 2 tripped offline at 15:45 on 03/02 and was restored at 16:10 on 03/03 after a technician restart. It went offline again on 03/23 due to a "Watchdog Timer Fault." On 03/24, technicians confirmed the fault is related to internal monitoring and can be triggered by grid voltage fluctuations. The inverter was power cycled and back online at 09:10 AM on 03/24.
2. Inverter 1 tripped offline at 13:00 on 03/15/25 due to a ground fault. On 03/18, the technician observed heat marks on several Trina modules, likely impacted by recent heavy rain. A follow-up visit is required, along with replacement of 5A fuses. </t>
  </si>
  <si>
    <t>1.SR097804,SR098900
2.SR098620</t>
  </si>
  <si>
    <t>SR098900</t>
  </si>
  <si>
    <t>SR098620</t>
  </si>
  <si>
    <t>April Actual v. Expected</t>
  </si>
  <si>
    <t>April Actual v. Forecasted</t>
  </si>
  <si>
    <t>1. Site has low production on 04/13,  04/14 due to low irradance.</t>
  </si>
  <si>
    <t xml:space="preserve">1. Inverters 5 and 6 have started having multiple trips at peak production hours  due to overheating from 04/09 to 04/11 and later technician cleaned the filters of the inverters and reinstalled them.
2. Inverter 4 was offline from 18:20 on 02/16 to 22:20 on 03/25. On 03/25, a Bold  technician was onsite to replace the controller card and Upon arrival he found a worn DC shunt harness, which was requested for replacement. The inverter went offline again at 18:45 on 03/26 and requires additional components for full restoration.
3.  Inverter 2 and meter 2 stopped communicating at 11:50AM on 02/20 and production can't be confirmed.On 02/24 upon troubleshooting ,technician recommends replacing the Vlink MESR901 serial server </t>
  </si>
  <si>
    <t>1. SR099674
2. SR096012,SR096160
3. SR097592</t>
  </si>
  <si>
    <t>1. Inverter 1C is producing low, possibly down a string from 04/24.</t>
  </si>
  <si>
    <t>1. SR100105</t>
  </si>
  <si>
    <t>1. Inverter 1 dropped by 33 kW at 12:15 pm MST on 04/30 due to CB down.
2. Inverter 2 is down a CB or has some bypassed modules according to the drawing since 04/30. Inverter 2 started tripping on and off from 04/09 to 04/25.</t>
  </si>
  <si>
    <t>1. SR100774
2. SR100778, SR099610</t>
  </si>
  <si>
    <t>SR100778</t>
  </si>
  <si>
    <t>SR099610</t>
  </si>
  <si>
    <t>1. Inverter 2 underperforming by 5 kW due to CB 2.2 string 5 has a ground fault.</t>
  </si>
  <si>
    <t>1. SR100174</t>
  </si>
  <si>
    <t>1. SR095815</t>
  </si>
  <si>
    <t>1. Inverter 1 is underperforming by approximately 12kW down from 08:00 to 12:30 on 04/10 due to seasonal shading.</t>
  </si>
  <si>
    <t xml:space="preserve">1. Inverter 1 tripped offline at 13:00 on 03/15/25 due to a ground fault. On 03/18, the technician found heat marks on several Trina modules, likely from recent heavy rain. A follow-up was needed to replace 5A fuses. On 04/17, string testing began; ground faults were found across all DC strings. Defective modules were bypassed using jumpers. By 04/18, CB-1, CB-2, and CB-3 were cleared of ground faults. A ground fault board and 3A fuse were replaced, DC conductors reconnected, and the inverter power-cycled at 10:45.
2. Inverter 1 is down 2–3 strings. Modules were bypassed on 04/17–04/18. Client declined to pay for replacements.
3. Inverter 2 has been tripping on and offline, likely due to heat (cell temps ≥95°F since 04/14). It went offline on 04/15, was power-cycled back online on 04/17, and tripped again on 04/20. On 04/22, fault 0080 appeared; technician reseated the ribbon cable and cleaned the controller card per Bold's advice. It restarted but later showed fault 0011. On 04/24, after further testing, a new fault appeared. Bold reviewed logs on 04/25 and advised swapping parts with Inverter 1. After swapping, inverter tripped again at 13:30 with PS10 fault. Bold confirmed the issue is due to a faulty power distribution board and will provide a quote and remained offline through the month.
4.  3 Modules, procurement in process. </t>
  </si>
  <si>
    <t>1. SR098620
2. SR100058, SR98620
3. SR099782, SR100047, PM9663
4. SR100349, PM9663</t>
  </si>
  <si>
    <t>SR100058</t>
  </si>
  <si>
    <t xml:space="preserve">SR98620
</t>
  </si>
  <si>
    <t>SR099782</t>
  </si>
  <si>
    <t>SR100047</t>
  </si>
  <si>
    <t>SR100349</t>
  </si>
  <si>
    <t>May Actual v. Expected</t>
  </si>
  <si>
    <t>May Actual v. Forecasted</t>
  </si>
  <si>
    <t xml:space="preserve">1. Site has low production on 05/06, 05/12 due to low irradiance.
2.As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</si>
  <si>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 xml:space="preserve">1. Inverter 4 was offline from 02/16 until 10:45 on 05/05. After the technician replaced the DC shunt harness, AC disconnect rod and lever, and four filters, it went offline again at 19:00 on 05/05. It came back online at 07:00 on 05/10, then went offline once more on 05/11 and self-resolved by 14:00 on 05/12. 
2. Inverter 5 &amp;6 is offline from 05:00 on 05/06 to 06:00 on 05/10 and Inverter 3 offline from 07:00 on 05/08 to 07:00 on 05/10. These inverters have self-resolved.
3. Inverters 5 and 6 are derating midday by 50kW at peak production at the hours of 11:00 to 15:45 from 5/21/25 and on 05/30, the technician inspected and as per Blod renewables cleaned the inverter filters thoroughly and reinstalled the filters and confirmed that airflow was restored to optimal levels.
4. Inverter 2 and meter 2 stopped communicating at 11:50AM on 02/20 and production can't be confirmed.On 02/24 upon troubleshooting ,technician recommends replacing the Vlink MESR901 serial server </t>
  </si>
  <si>
    <t>1. 	SR101060, SR101332, SR096160 &amp; SR102080 
2. SR101060, SR101332
3. SR101859
4. SR102524, SR097592</t>
  </si>
  <si>
    <t>SR101332</t>
  </si>
  <si>
    <t>SR102080</t>
  </si>
  <si>
    <t>SR101060</t>
  </si>
  <si>
    <t>SR101859</t>
  </si>
  <si>
    <t>SR102524</t>
  </si>
  <si>
    <t xml:space="preserve">1. Site was taken offline from 09:23 to 11:45 on 05/22 for Preventative maintenance.
2.As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</si>
  <si>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PM10595, SR102079</t>
  </si>
  <si>
    <t>1. Inverter 1C has been underperforming, possibly due to a string issue since 04/24. On 05/16, the technician found string #2's fuse holder open, disconnecting it from the inverter. The technician closed the fuse holder and reconnected the string</t>
  </si>
  <si>
    <t>1. SR101409,  SR100105</t>
  </si>
  <si>
    <t>SR100105</t>
  </si>
  <si>
    <t>1. Inverter 1 dropped 33 kW at 12:15 PM MST on 04/30 due to a tripped circuit breaker; awaiting correct T-Blocks for restoration.
2. Inverter 2 is down due to a tripped CB or bypassed modules. On 05/01, the technician found CB-2 conductor showed overheating damage and a broken module was found.The site was taken offline on 05/01 from 11:45 to 12:30.  The site was offline from 09:00 to 11:30 on 05/16 to replace the damaged conductor and module; Inverter 1 also needs fan, fuse, and DC block replacements. Inverter 2 was tripping on and off for whole month.
3. On 05/22, the String 2 0vdc - string 6 negative conductor is frayed will need to troubleshoot technician found during Annual Preventative Maintenance Inspection.</t>
  </si>
  <si>
    <t>1. SR100774
2. SR100778
3. SR101850, PM10032</t>
  </si>
  <si>
    <t>SR101850</t>
  </si>
  <si>
    <t xml:space="preserve">1. Site was offline from 13:23 to 13:57 on 05/01 to replace inverter filters
2. On 05/24, Inverter 2 underperformed by 20 kW compared to peers. On 05/27, the technician inspected the unit and found no visible damage or faults. Power output was low but matched the peer inverter. No active alarms were reported. The inverter is overheating due to temperatures above 100°F. A shading structure is recommended.
</t>
  </si>
  <si>
    <t>1. SR099846
2. SR101951, SR102330 and PM8480</t>
  </si>
  <si>
    <t>SR101951</t>
  </si>
  <si>
    <t>SR102330</t>
  </si>
  <si>
    <t>1.  Inverter 2 underperforming by 5 kW due to a CB 2.2 string 5 has a ground fault.
2. Inveter 1 was offline from 15:00 to 15:40 and Inverter 2 was  from 14:44 to 15:21 on 05/01 to replace inverter filters</t>
  </si>
  <si>
    <t>1. SR100174
2. SR099847</t>
  </si>
  <si>
    <t>SR099847</t>
  </si>
  <si>
    <t xml:space="preserve">1. Inverter 3 tripped offline at 10:15 on 05/08 due to a "Faulted voltage fault" and remained offline through the month. On 05/14, the technician found a blown fuse on phase C and irregular behavior on phase 2. Inverters 1 and 2 are connected to parking lot 59, and inverters 3 and 4 to lot 58, but AlsoEnergy shows the opposite configuration. Updates are pending on hardware repair and monitoring correction.
</t>
  </si>
  <si>
    <t>1. SR101590, SR101591 &amp; PM10037</t>
  </si>
  <si>
    <t>SR101591</t>
  </si>
  <si>
    <t xml:space="preserve">1. Inverter 2 was offline from 13:30 on 04/25 to 10:45 on 05/13 
2.  3 Modules, procurement in process. </t>
  </si>
  <si>
    <t>1. SR100047, PM9663
2. SR100349, PM9663</t>
  </si>
  <si>
    <t>June Actual v. Expected</t>
  </si>
  <si>
    <t>June Actual v. Forecasted</t>
  </si>
  <si>
    <t xml:space="preserve">1. Site has low production on 06/01, due to low irradiance.
2.As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</si>
  <si>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 xml:space="preserve">1. Inverter 2 and meter 2 stopped communicating at 11:50AM on 02/20 and production can't be confirmed.On 02/24 upon troubleshooting ,technician recommends replacing the Vlink MESR901 serial server. Replacement parts are currently pending.
2. Inverters 5 and 6 are derating midday by 50kW at peak production at the hours from 06/06, on 06/20 the technician was onsite and no damages or faults found on the inverters as they continue to derate. He contacted the manufacturer, and they requested the log files for the inverters which he sent for review. and invereters are derated throughout the month.
</t>
  </si>
  <si>
    <t xml:space="preserve">1. SR102524, SR097592
2. SR101859, SR103044
</t>
  </si>
  <si>
    <t>SR103044</t>
  </si>
  <si>
    <t>1. Inverter 1 dropped 33 kW at 12:15 PM MST on 04/30 due to a tripped circuit 
breaker; awaiting correct T-Blocks for restoration. Bold Renewables for parts procurement pending.
2. On 05/22, the String 2 0vdc - string 6 negative conductor is frayed will need to troubleshoot technician found during Annual Preventative Maintenance Inspection. on 06/17 technician was on site and replaced a fuse on CB 2-2 and retightened terminations and CB 2-2 is back to normal operational.</t>
  </si>
  <si>
    <t>1. SR100774, 
SR103110
2. SR101850, PM10032</t>
  </si>
  <si>
    <t>SR103110</t>
  </si>
  <si>
    <t>1. On 05/24, Inverter 2 underperformed by 20 kW compared to peers. On 05/27, the technician inspected the unit and found no visible damage or faults. Power output was low but matched the peer inverter. No active alarms were reported. The inverter is overheating due to temperatures above 100°F. A shading structure is recommended. and parts are under replacement.</t>
  </si>
  <si>
    <t>1. SR101951, SR102330 and PM8480</t>
  </si>
  <si>
    <t>1. Inverter 2 underperforming by 5 kW and CB 2.2 string 5 has a ground fault.</t>
  </si>
  <si>
    <t xml:space="preserve">1. Inverter 3 tripped offline at 10:15 on 05/08 due to a "Faulted voltage fault" and  back online at 09:00 on 06/23. </t>
  </si>
  <si>
    <t xml:space="preserve">1. SR101590, SR101591, SR101406. </t>
  </si>
  <si>
    <t>SR101406</t>
  </si>
  <si>
    <t>July Actual v. Expected</t>
  </si>
  <si>
    <t>July Actual v. Forecasted</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</si>
  <si>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</si>
  <si>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The meter has been over-reporting since 01/28/25 due to an incorrect CT ratio, and it started reporting correctly from 07/21/25 after the CT ratio was corrected.</t>
  </si>
  <si>
    <t>1. SR104412</t>
  </si>
  <si>
    <t>1. Inverter 2 and meter 2 stopped communicating at 11:50AM on 02/20 and production can't be confirmed.On 02/24 upon troubleshooting ,technician recommends replacing the Vlink MESR901 serial server. Replacement parts are currently pending.
2. Inverters 5 and 6 are derating midday by 50kW at peak production at the hours from 06/06, on 06/20 the technician was onsite and no damages or faults found on the inverters as they continue to derate. He contacted the manufacturer, and they requested the log files for the inverters which he sent for review. and invereters are derated throughout the month.</t>
  </si>
  <si>
    <t>1. SR102524, SR097592
2. SR101859, SR103044</t>
  </si>
  <si>
    <t xml:space="preserve">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</si>
  <si>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Inverter 1 dropped 33 kW at 12:15 PM MST on 04/30 due to a tripped circuit 
breaker, awaiting correct T-Blocks for restoration. Bold Renewables for parts procurement pending.</t>
  </si>
  <si>
    <t>1. SR100774, SR103110</t>
  </si>
  <si>
    <t>1. Inverter 2 underperformed by 20 kW for whole month due to overheating of inverter.</t>
  </si>
  <si>
    <t>1.SR101951,SR102330 and PM8480</t>
  </si>
  <si>
    <t xml:space="preserve">1.Inverter 2 is underperforming by 5KW.CB 2.2 string 5 had a "ground fault"and was producing equal to its peer inverters from  07/11 </t>
  </si>
  <si>
    <t>1.SR100174</t>
  </si>
  <si>
    <t>1. Actual vs expected was 21% because the site produced more than the expected value.</t>
  </si>
  <si>
    <t>1.Inverter 1 labeled as per the DAS was tripped offline at 17:25MST on 07/09 reporting "Faulted overcharge fault"and was back online at 12:50MST 
on 07/15 after technician tightening the AC breaker position</t>
  </si>
  <si>
    <t>1.SR104247</t>
  </si>
  <si>
    <t>1.  Actual vs expected was 14% because the site produced more than the expected value.</t>
  </si>
  <si>
    <t>August Actual v. Expected</t>
  </si>
  <si>
    <t>August Actual v. Forecasted</t>
  </si>
  <si>
    <t>1. Inverter 2 and meter 2 stopped communicating at 11:50AM on 02/20 and production can't be confirmed.On 02/24 upon troubleshooting ,technician recommends replacing the Vlink MESR901 serial server. Replacement parts are currently pending.
2. Inverters 5 and 6 are derating midday by 50kW at peak production at the hours from 06/06 and remained throughout the month.</t>
  </si>
  <si>
    <t>1.SR102524, SR097592
2. SR101859, SR103044</t>
  </si>
  <si>
    <t>1.Meter onsite was struck at 106.88kw from 09:45MST on 08/07 and issue was resolved at 12:00MST on 08/13.</t>
  </si>
  <si>
    <t>1.SR106132</t>
  </si>
  <si>
    <t>1.Inverter 2 tripped offline at 16:15MST on 08/04  reporting "Faulted Overcharge Fault" and was back online at 15:45MST on 08/11,again tripped offline at 16:15MST on 08/12 and was back online 11:30MST on 08/13.</t>
  </si>
  <si>
    <t>1.SR105632,SR106162</t>
  </si>
  <si>
    <t>SR106162</t>
  </si>
  <si>
    <t>1.Inverter 4 tripped offline at 12:15MST on 08/15 reporting" faultevoltagefault"and back online at 11:00MST on 08/20.
2.Inverters 1 &amp;2 were offline on 08/12 and were back online at at 9:45MST on 08/13 after site was reenergized.</t>
  </si>
  <si>
    <t>1.SR106360
2.SR106131</t>
  </si>
  <si>
    <t>SR106131</t>
  </si>
  <si>
    <t>1.  Actual vs expected was 15% because the site produced more than the expected value.</t>
  </si>
  <si>
    <t>September Actual v. Expected</t>
  </si>
  <si>
    <t>September Actual v. Forecasted</t>
  </si>
  <si>
    <t>1. Inverter 2 underperformed by 20 kW for whole month.</t>
  </si>
  <si>
    <t>1.SR107465</t>
  </si>
  <si>
    <t>1. The meter was offline from 09/15 and came back online at 14:00 on 09/17.</t>
  </si>
  <si>
    <t>1. SR108017</t>
  </si>
  <si>
    <t>1. Inverter 2 tripped offline at 16:15 on 09/10 and came back online at 10:15 on 09/12. The inverter tripped offline again at 16:15 on 09/15 and remained offline throughout the month.</t>
  </si>
  <si>
    <t xml:space="preserve">1. SR106162, SR107692 </t>
  </si>
  <si>
    <t>SR107692</t>
  </si>
  <si>
    <t>1.  Actual vs expected was 19% because the site produced more than the expected value.</t>
  </si>
  <si>
    <t>October Actual v. Expected</t>
  </si>
  <si>
    <t>October Actual v. Forecasted</t>
  </si>
  <si>
    <t>Status</t>
  </si>
  <si>
    <t>1.SR102524, SR097592, SR097592, SR097592, SR103044, SR107293
2. SR101859, SR103044</t>
  </si>
  <si>
    <t>1. Closed
2. Closed</t>
  </si>
  <si>
    <t>SR107293</t>
  </si>
  <si>
    <t>1. Inverter 1C has been underperforming by 6 kW due to a dropped string since 11:30 on 10/05 and throughout the month. The inverter’s fan is currently under replacement.</t>
  </si>
  <si>
    <t>1. SR109067</t>
  </si>
  <si>
    <t>1.Closed</t>
  </si>
  <si>
    <t>1. Inverter 2 underperformed by 20 kW form 05/24 for whole month.</t>
  </si>
  <si>
    <t>1.SR101951, SR107465, SR102330</t>
  </si>
  <si>
    <t>1. Pending</t>
  </si>
  <si>
    <t>SR107465</t>
  </si>
  <si>
    <t>1. The inverter 2 tripped offline at 16:15 on 09/15 and back online at  08:00 on 10/03.</t>
  </si>
  <si>
    <t>1. Closed</t>
  </si>
  <si>
    <t>1. Actual vs expected was 23% because the site produced more than the expected value.</t>
  </si>
  <si>
    <t>1. Inverter 1 tripped offline at 08:00 10/14 and back online at 12:00 on 10/15.</t>
  </si>
  <si>
    <t>1. SR109471</t>
  </si>
  <si>
    <t>November Actual v. Expected</t>
  </si>
  <si>
    <t>November Actual v. Forecasted</t>
  </si>
  <si>
    <t>1. Inverter 2 has seasonal shading.</t>
  </si>
  <si>
    <t>1. Inverter 1 has heavy shading in the morning.</t>
  </si>
  <si>
    <t>1. Actual vs expected was 31% because the site produced more than the expected value.</t>
  </si>
  <si>
    <t>1. Inverter 1 tripped offline at 09:00 on 11/25 with a “Ground Fault” and has remained offline throughout the month.</t>
  </si>
  <si>
    <t>1. SR111734</t>
  </si>
  <si>
    <t>December Actual v. Expected</t>
  </si>
  <si>
    <t>December Actual v. Forecasted</t>
  </si>
  <si>
    <t>1. Site has morning and evening shading.</t>
  </si>
  <si>
    <t xml:space="preserve">1. Inverter 2 and meter 2 stopped communicating at 11:50AM on 02/20 and production can't be confirmed.On 02/24 upon troubleshooting ,technician recommends replacing the Vlink MESR901 serial server. Replacement parts are currently pending.
2. Inverters 5 and 6 are derating midday by 50kW at peak production at the hours from 06/06 and remained throughout the month.
3. Site was offline at 11:00 on 12/16 and back online at 09:00 on 12/19. 
4. Inverter was offline at 07:00 on 12/19 and back online at 09:30 on 12/20.
5. The site was taken offline at 10:30 on 12/22 due to SRP being on site to perform maintenance. The site was back online at 17:30 on 12/22. </t>
  </si>
  <si>
    <t>1.SR102524, SR097592, SR097592, SR097592, SR103044, SR107293
2. SR101859, SR103044
3. SR113016
4. SR113016, SR113230
5. SR113016</t>
  </si>
  <si>
    <t>1. Closed
2. Closed
3. Pending
4. Closed
5. Pending</t>
  </si>
  <si>
    <t>SR113016</t>
  </si>
  <si>
    <t>SR113230</t>
  </si>
  <si>
    <t>1. Inverter 2 underperformed by 20 kW form 05/24 for whole month.
2. All inverters and the meter stopped communicating with the DAS at 09:00 on 12/18, and the issue was not communicated throughout the month.</t>
  </si>
  <si>
    <t>1. SR101951, SR107465, SR102330
2. SR113236</t>
  </si>
  <si>
    <t>1. Pending
2. pending</t>
  </si>
  <si>
    <t>SR113236</t>
  </si>
  <si>
    <t>1. Site was taken offline at 14:00 on 12/29 due to ongoing ASU work happening at the site and back online at 08:00 on 12/31.
2. Inverter 1 has heavy shading in the morning.</t>
  </si>
  <si>
    <t>1. SR112931</t>
  </si>
  <si>
    <t>1. Site was taken offline at 14:00 on 12/29 due to ongoing ASU work happening at the site and back online at 08:00 on 12/31.
2. Weather station has morning shading.</t>
  </si>
  <si>
    <t>1. Inverter 1 tripped offline at 09:00 on 11/25 with a “Ground Fault” and back online at 10:00 on 12/08.</t>
  </si>
  <si>
    <t>Portfolio:</t>
  </si>
  <si>
    <t>Pardee (ENCAP)</t>
  </si>
  <si>
    <t>Site DAS Name</t>
  </si>
  <si>
    <t>Update</t>
  </si>
  <si>
    <t>DAS</t>
  </si>
  <si>
    <t>AZ: ASU - Pardee - Discovery Hall</t>
  </si>
  <si>
    <t>AZ</t>
  </si>
  <si>
    <t>AZ: ASU - Pardee - Farrington</t>
  </si>
  <si>
    <t>AZ: ASU - Pardee - Macro Tech.</t>
  </si>
  <si>
    <t>AZ: ASU - Pardee - McCord Hall</t>
  </si>
  <si>
    <t>AZ: NAU - SF Garage</t>
  </si>
  <si>
    <t>AZ: ASU - Pardee - Parking Lot 11</t>
  </si>
  <si>
    <t>AZ: ASU - Pardee - Parking Lot 19</t>
  </si>
  <si>
    <t>AZ: ASU - Pardee - Parking Lot 41</t>
  </si>
  <si>
    <t>AZ: ASU - Pardee - Parking Lot 58</t>
  </si>
  <si>
    <t>AZ: ASU - Pardee - Parking Lot 59S</t>
  </si>
  <si>
    <t>AZ: ASU - Pardee - Sun Devil 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</si>
</sst>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font>
      <sz val="10"/>
      <name val="Arial"/>
    </font>
    <font>
      <sz val="11"/>
      <color theme="1"/>
      <name val="Calibri"/>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font>
    <font>
      <u/>
      <sz val="10"/>
      <color theme="10"/>
      <name val="Arial"/>
      <family val="2"/>
    </font>
    <font>
      <sz val="10"/>
      <color rgb="FFFF0000"/>
      <name val="Arial"/>
      <family val="2"/>
    </font>
    <font>
      <sz val="11"/>
      <name val="Calibri"/>
      <scheme val="minor"/>
    </font>
    <font>
      <sz val="11"/>
      <color rgb="FF000000"/>
      <name val="Calibri"/>
      <scheme val="minor"/>
    </font>
    <font>
      <b/>
      <sz val="11"/>
      <name val="Calibri"/>
      <scheme val="minor"/>
    </font>
    <font>
      <b/>
      <sz val="11"/>
      <color rgb="FFFF0000"/>
      <name val="Calibri"/>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6" fillId="0" borderId="0" applyNumberFormat="0" applyFill="0" applyBorder="0" applyAlignment="0" applyProtection="0"/>
  </cellStyleXfs>
  <cellXfs count="97">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horizontal="left" vertical="top"/>
    </xf>
    <xf numFmtId="49" fontId="27" fillId="0" borderId="0" xfId="0" applyNumberFormat="1" applyFont="1" applyAlignment="1">
      <alignment horizontal="left" vertical="top"/>
    </xf>
    <xf numFmtId="49" fontId="35" fillId="38" borderId="0" xfId="2" applyNumberFormat="1" applyFont="1" applyFill="1" applyBorder="1" applyAlignment="1">
      <alignment horizontal="left" vertical="top" wrapText="1"/>
    </xf>
    <xf numFmtId="49" fontId="27"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28" fillId="0" borderId="0" xfId="0" applyNumberFormat="1" applyFont="1" applyAlignment="1">
      <alignment vertical="top" wrapText="1"/>
    </xf>
    <xf numFmtId="49" fontId="27" fillId="0" borderId="0" xfId="0" applyNumberFormat="1" applyFont="1" applyAlignment="1">
      <alignment vertical="top"/>
    </xf>
    <xf numFmtId="49" fontId="28" fillId="0" borderId="0" xfId="0" applyNumberFormat="1" applyFont="1" applyAlignment="1">
      <alignment vertical="top"/>
    </xf>
    <xf numFmtId="49" fontId="30" fillId="38" borderId="0" xfId="2" applyNumberFormat="1" applyFont="1" applyFill="1" applyBorder="1" applyAlignment="1">
      <alignment vertical="top" wrapText="1"/>
    </xf>
    <xf numFmtId="49" fontId="35" fillId="0" borderId="0" xfId="0" applyNumberFormat="1" applyFont="1" applyAlignment="1">
      <alignment horizontal="left" vertical="top"/>
    </xf>
    <xf numFmtId="49" fontId="35" fillId="0" borderId="0" xfId="0" applyNumberFormat="1" applyFont="1" applyAlignment="1">
      <alignment horizontal="left" vertical="top" wrapText="1"/>
    </xf>
    <xf numFmtId="0" fontId="0" fillId="0" borderId="0" xfId="0" applyAlignment="1">
      <alignment horizontal="left" vertical="top"/>
    </xf>
    <xf numFmtId="0" fontId="35" fillId="0" borderId="0" xfId="0" applyFont="1" applyAlignment="1">
      <alignment wrapText="1"/>
    </xf>
    <xf numFmtId="0" fontId="35" fillId="0" borderId="0" xfId="0" applyFont="1"/>
    <xf numFmtId="0" fontId="34" fillId="0" borderId="0" xfId="0" applyFont="1"/>
    <xf numFmtId="49" fontId="36" fillId="38" borderId="0" xfId="45" applyNumberFormat="1" applyFill="1" applyBorder="1" applyAlignment="1">
      <alignment horizontal="left" vertical="top" wrapText="1"/>
    </xf>
    <xf numFmtId="49" fontId="36" fillId="0" borderId="0" xfId="45" applyNumberFormat="1" applyAlignment="1">
      <alignment horizontal="left" vertical="center"/>
    </xf>
    <xf numFmtId="49" fontId="36" fillId="0" borderId="0" xfId="45" applyNumberFormat="1" applyAlignment="1">
      <alignment horizontal="left" vertical="top" wrapText="1"/>
    </xf>
    <xf numFmtId="49" fontId="36" fillId="0" borderId="0" xfId="45" applyNumberFormat="1" applyAlignment="1">
      <alignment horizontal="left" vertical="top"/>
    </xf>
    <xf numFmtId="0" fontId="36" fillId="0" borderId="0" xfId="45" applyAlignment="1">
      <alignment horizontal="left" vertical="top"/>
    </xf>
    <xf numFmtId="49" fontId="28" fillId="0" borderId="0" xfId="0" applyNumberFormat="1" applyFont="1" applyAlignment="1">
      <alignment horizontal="left" vertical="center" wrapText="1"/>
    </xf>
    <xf numFmtId="49" fontId="30" fillId="38" borderId="0" xfId="2" applyNumberFormat="1" applyFont="1" applyFill="1" applyAlignment="1">
      <alignment vertical="top" wrapText="1"/>
    </xf>
    <xf numFmtId="49" fontId="36" fillId="0" borderId="0" xfId="45" applyNumberFormat="1" applyAlignment="1">
      <alignment vertical="top" wrapText="1"/>
    </xf>
    <xf numFmtId="0" fontId="36" fillId="46" borderId="0" xfId="45" applyFill="1" applyAlignment="1">
      <alignment horizontal="left" vertical="top"/>
    </xf>
    <xf numFmtId="0" fontId="37" fillId="46" borderId="0" xfId="0" applyFont="1" applyFill="1" applyAlignment="1">
      <alignment horizontal="left" vertical="top"/>
    </xf>
    <xf numFmtId="49" fontId="36" fillId="38" borderId="0" xfId="45" applyNumberFormat="1" applyFill="1" applyBorder="1" applyAlignment="1">
      <alignment vertical="top" wrapText="1"/>
    </xf>
    <xf numFmtId="49" fontId="36" fillId="0" borderId="0" xfId="45" applyNumberFormat="1" applyAlignment="1">
      <alignment vertical="top"/>
    </xf>
    <xf numFmtId="49" fontId="36" fillId="0" borderId="0" xfId="45" applyNumberFormat="1" applyAlignment="1">
      <alignment horizontal="left" vertical="center" wrapText="1"/>
    </xf>
    <xf numFmtId="0" fontId="36" fillId="0" borderId="0" xfId="45" applyAlignment="1">
      <alignment horizontal="left" vertical="top" wrapText="1"/>
    </xf>
    <xf numFmtId="0" fontId="6" fillId="0" borderId="0" xfId="0" applyFont="1" applyAlignment="1">
      <alignment horizontal="left" vertical="top"/>
    </xf>
    <xf numFmtId="0" fontId="33" fillId="0" borderId="0" xfId="0" applyFont="1" applyAlignment="1">
      <alignment horizontal="left" vertical="top"/>
    </xf>
    <xf numFmtId="0" fontId="6" fillId="45" borderId="1" xfId="0" applyFont="1" applyFill="1" applyBorder="1" applyAlignment="1">
      <alignment horizontal="left" vertical="top"/>
    </xf>
    <xf numFmtId="0" fontId="32" fillId="0" borderId="0" xfId="0" applyFont="1" applyAlignment="1">
      <alignment horizontal="left" vertical="top"/>
    </xf>
    <xf numFmtId="49" fontId="38" fillId="38" borderId="0" xfId="2" applyNumberFormat="1" applyFont="1" applyFill="1" applyBorder="1" applyAlignment="1">
      <alignment horizontal="left" vertical="top" wrapText="1"/>
    </xf>
    <xf numFmtId="0" fontId="39" fillId="0" borderId="0" xfId="0" applyFont="1" applyAlignment="1">
      <alignment wrapText="1"/>
    </xf>
    <xf numFmtId="0" fontId="40" fillId="0" borderId="0" xfId="0" applyFont="1" applyAlignment="1">
      <alignment vertical="center"/>
    </xf>
    <xf numFmtId="0" fontId="41" fillId="0" borderId="0" xfId="0" applyFont="1" applyAlignment="1">
      <alignment vertical="center"/>
    </xf>
    <xf numFmtId="0" fontId="40" fillId="45" borderId="1" xfId="0" applyFont="1" applyFill="1" applyBorder="1" applyAlignment="1">
      <alignment horizontal="center" vertical="center"/>
    </xf>
    <xf numFmtId="0" fontId="38" fillId="0" borderId="0" xfId="0" applyFont="1"/>
    <xf numFmtId="49" fontId="39" fillId="0" borderId="0" xfId="0" applyNumberFormat="1" applyFont="1" applyAlignment="1">
      <alignment horizontal="left" vertical="top" wrapText="1"/>
    </xf>
    <xf numFmtId="0" fontId="38" fillId="0" borderId="0" xfId="0" applyFont="1" applyAlignment="1">
      <alignment vertical="top"/>
    </xf>
    <xf numFmtId="0" fontId="40" fillId="45" borderId="1" xfId="0" applyFont="1" applyFill="1" applyBorder="1" applyAlignment="1">
      <alignment horizontal="center" vertical="top"/>
    </xf>
    <xf numFmtId="164" fontId="28" fillId="44" borderId="0" xfId="1" applyNumberFormat="1" applyFont="1" applyFill="1" applyBorder="1" applyAlignment="1">
      <alignment horizontal="center" vertical="center" wrapText="1"/>
    </xf>
    <xf numFmtId="3" fontId="30" fillId="3" borderId="0" xfId="0" applyNumberFormat="1" applyFont="1" applyFill="1" applyAlignment="1">
      <alignment horizontal="right" vertical="center" wrapText="1"/>
    </xf>
    <xf numFmtId="3" fontId="30" fillId="4" borderId="0" xfId="1" applyNumberFormat="1" applyFont="1" applyFill="1" applyBorder="1" applyAlignment="1">
      <alignment vertical="center" wrapText="1"/>
    </xf>
    <xf numFmtId="3" fontId="30" fillId="0" borderId="0" xfId="0" applyNumberFormat="1" applyFont="1" applyAlignment="1">
      <alignment horizontal="right" vertical="center" wrapText="1"/>
    </xf>
    <xf numFmtId="0" fontId="36" fillId="0" borderId="0" xfId="45"/>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xf numFmtId="49" fontId="1" fillId="0" borderId="0" xfId="0" applyNumberFormat="1" applyFont="1" applyAlignment="1">
      <alignment horizontal="left" vertical="top" wrapText="1"/>
    </xf>
    <xf numFmtId="49" fontId="1" fillId="0" borderId="0" xfId="0" applyNumberFormat="1" applyFont="1" applyAlignment="1">
      <alignment horizontal="center" vertical="center"/>
    </xf>
    <xf numFmtId="49" fontId="1" fillId="0" borderId="0" xfId="0" applyNumberFormat="1" applyFont="1" applyAlignment="1">
      <alignment horizontal="left" vertical="center" wrapText="1"/>
    </xf>
    <xf numFmtId="49" fontId="1" fillId="0" borderId="0" xfId="0" applyNumberFormat="1" applyFont="1" applyAlignment="1">
      <alignment horizontal="left" vertical="top"/>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4" totalsRowShown="0">
  <autoFilter ref="A3:E14" xr:uid="{C9C95D9E-67ED-41E0-9F41-9C3DA4ACF4CD}"/>
  <sortState xmlns:xlrd2="http://schemas.microsoft.com/office/spreadsheetml/2017/richdata2" ref="A3:D4">
    <sortCondition ref="C3"/>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04" TargetMode="External"/><Relationship Id="rId3" Type="http://schemas.openxmlformats.org/officeDocument/2006/relationships/hyperlink" Target="https://us3.assetplanner.com/service_request?ID=096160" TargetMode="External"/><Relationship Id="rId7" Type="http://schemas.openxmlformats.org/officeDocument/2006/relationships/hyperlink" Target="https://us3.assetplanner.com/service_request?ID=099639" TargetMode="External"/><Relationship Id="rId2" Type="http://schemas.openxmlformats.org/officeDocument/2006/relationships/hyperlink" Target="https://us3.assetplanner.com/service_request?ID=095814" TargetMode="External"/><Relationship Id="rId1" Type="http://schemas.openxmlformats.org/officeDocument/2006/relationships/hyperlink" Target="https://us3.assetplanner.com/service_request?ID=099649" TargetMode="External"/><Relationship Id="rId6" Type="http://schemas.openxmlformats.org/officeDocument/2006/relationships/hyperlink" Target="https://us3.assetplanner.com/service_request?ID=096743" TargetMode="External"/><Relationship Id="rId5" Type="http://schemas.openxmlformats.org/officeDocument/2006/relationships/hyperlink" Target="https://us3.assetplanner.com/service_request?ID=097592" TargetMode="External"/><Relationship Id="rId4" Type="http://schemas.openxmlformats.org/officeDocument/2006/relationships/hyperlink" Target="https://us3.assetplanner.com/service_request?ID=09601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900" TargetMode="External"/><Relationship Id="rId3" Type="http://schemas.openxmlformats.org/officeDocument/2006/relationships/hyperlink" Target="https://us3.assetplanner.com/service_request?ID=097592" TargetMode="External"/><Relationship Id="rId7" Type="http://schemas.openxmlformats.org/officeDocument/2006/relationships/hyperlink" Target="https://us3.assetplanner.com/service_request?ID=097804" TargetMode="External"/><Relationship Id="rId2" Type="http://schemas.openxmlformats.org/officeDocument/2006/relationships/hyperlink" Target="https://us3.assetplanner.com/service_request?ID=096160" TargetMode="External"/><Relationship Id="rId1" Type="http://schemas.openxmlformats.org/officeDocument/2006/relationships/hyperlink" Target="https://us3.assetplanner.com/service_request?ID=096012" TargetMode="External"/><Relationship Id="rId6" Type="http://schemas.openxmlformats.org/officeDocument/2006/relationships/hyperlink" Target="https://us3.assetplanner.com/service_request?ID=099639" TargetMode="External"/><Relationship Id="rId5" Type="http://schemas.openxmlformats.org/officeDocument/2006/relationships/hyperlink" Target="https://us3.assetplanner.com/service_request?ID=095815" TargetMode="External"/><Relationship Id="rId4" Type="http://schemas.openxmlformats.org/officeDocument/2006/relationships/hyperlink" Target="https://us3.assetplanner.com/service_request?ID=096743" TargetMode="External"/><Relationship Id="rId9" Type="http://schemas.openxmlformats.org/officeDocument/2006/relationships/hyperlink" Target="https://us3.assetplanner.com/service_request?ID=09862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610" TargetMode="External"/><Relationship Id="rId13" Type="http://schemas.openxmlformats.org/officeDocument/2006/relationships/hyperlink" Target="https://us3.assetplanner.com/service_request?ID=100058" TargetMode="External"/><Relationship Id="rId18" Type="http://schemas.openxmlformats.org/officeDocument/2006/relationships/printerSettings" Target="../printerSettings/printerSettings4.bin"/><Relationship Id="rId3" Type="http://schemas.openxmlformats.org/officeDocument/2006/relationships/hyperlink" Target="https://us3.assetplanner.com/service_request?ID=096160" TargetMode="External"/><Relationship Id="rId7" Type="http://schemas.openxmlformats.org/officeDocument/2006/relationships/hyperlink" Target="https://us3.assetplanner.com/service_request?ID=100778" TargetMode="External"/><Relationship Id="rId12" Type="http://schemas.openxmlformats.org/officeDocument/2006/relationships/hyperlink" Target="https://us3.assetplanner.com/service_request?ID=098620" TargetMode="External"/><Relationship Id="rId17" Type="http://schemas.openxmlformats.org/officeDocument/2006/relationships/hyperlink" Target="https://us3.assetplanner.com/service_request?ID=100349" TargetMode="External"/><Relationship Id="rId2" Type="http://schemas.openxmlformats.org/officeDocument/2006/relationships/hyperlink" Target="https://us3.assetplanner.com/service_request?ID=096012" TargetMode="External"/><Relationship Id="rId16" Type="http://schemas.openxmlformats.org/officeDocument/2006/relationships/hyperlink" Target="https://us3.assetplanner.com/service_request?ID=100047" TargetMode="External"/><Relationship Id="rId1" Type="http://schemas.openxmlformats.org/officeDocument/2006/relationships/hyperlink" Target="https://us3.assetplanner.com/service_request?ID=099674" TargetMode="External"/><Relationship Id="rId6" Type="http://schemas.openxmlformats.org/officeDocument/2006/relationships/hyperlink" Target="https://us3.assetplanner.com/service_request?ID=100774" TargetMode="External"/><Relationship Id="rId11" Type="http://schemas.openxmlformats.org/officeDocument/2006/relationships/hyperlink" Target="https://us3.assetplanner.com/service_request?ID=099639" TargetMode="External"/><Relationship Id="rId5" Type="http://schemas.openxmlformats.org/officeDocument/2006/relationships/hyperlink" Target="https://us3.assetplanner.com/service_request?ID=100105" TargetMode="External"/><Relationship Id="rId15" Type="http://schemas.openxmlformats.org/officeDocument/2006/relationships/hyperlink" Target="https://us3.assetplanner.com/service_request?ID=099782" TargetMode="External"/><Relationship Id="rId10" Type="http://schemas.openxmlformats.org/officeDocument/2006/relationships/hyperlink" Target="https://us3.assetplanner.com/service_request?ID=095815" TargetMode="External"/><Relationship Id="rId4" Type="http://schemas.openxmlformats.org/officeDocument/2006/relationships/hyperlink" Target="https://us3.assetplanner.com/service_request?ID=097592" TargetMode="External"/><Relationship Id="rId9" Type="http://schemas.openxmlformats.org/officeDocument/2006/relationships/hyperlink" Target="https://us3.assetplanner.com/service_request?ID=100174" TargetMode="External"/><Relationship Id="rId14" Type="http://schemas.openxmlformats.org/officeDocument/2006/relationships/hyperlink" Target="https://us3.assetplanner.com/service_request?ID=9862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2524" TargetMode="External"/><Relationship Id="rId13" Type="http://schemas.openxmlformats.org/officeDocument/2006/relationships/hyperlink" Target="https://us3.assetplanner.com/service_request?ID=100774" TargetMode="External"/><Relationship Id="rId18" Type="http://schemas.openxmlformats.org/officeDocument/2006/relationships/hyperlink" Target="https://us3.assetplanner.com/service_request?ID=102330" TargetMode="External"/><Relationship Id="rId3" Type="http://schemas.openxmlformats.org/officeDocument/2006/relationships/hyperlink" Target="https://us3.assetplanner.com/service_request?ID=096160" TargetMode="External"/><Relationship Id="rId21" Type="http://schemas.openxmlformats.org/officeDocument/2006/relationships/hyperlink" Target="https://us3.assetplanner.com/service_request?ID=101590" TargetMode="External"/><Relationship Id="rId7" Type="http://schemas.openxmlformats.org/officeDocument/2006/relationships/hyperlink" Target="https://us3.assetplanner.com/service_request?ID=101859" TargetMode="External"/><Relationship Id="rId12" Type="http://schemas.openxmlformats.org/officeDocument/2006/relationships/hyperlink" Target="https://us3.assetplanner.com/service_request?ID=100105" TargetMode="External"/><Relationship Id="rId17" Type="http://schemas.openxmlformats.org/officeDocument/2006/relationships/hyperlink" Target="https://us3.assetplanner.com/service_request?ID=101951" TargetMode="External"/><Relationship Id="rId2" Type="http://schemas.openxmlformats.org/officeDocument/2006/relationships/hyperlink" Target="https://us3.assetplanner.com/service_request?ID=101332" TargetMode="External"/><Relationship Id="rId16" Type="http://schemas.openxmlformats.org/officeDocument/2006/relationships/hyperlink" Target="https://us3.assetplanner.com/service_request?ID=099846" TargetMode="External"/><Relationship Id="rId20" Type="http://schemas.openxmlformats.org/officeDocument/2006/relationships/hyperlink" Target="https://us3.assetplanner.com/service_request?ID=099847" TargetMode="External"/><Relationship Id="rId1" Type="http://schemas.openxmlformats.org/officeDocument/2006/relationships/hyperlink" Target="https://us3.assetplanner.com/service_request?ID=101060" TargetMode="External"/><Relationship Id="rId6" Type="http://schemas.openxmlformats.org/officeDocument/2006/relationships/hyperlink" Target="https://us3.assetplanner.com/service_request?ID=101332" TargetMode="External"/><Relationship Id="rId11" Type="http://schemas.openxmlformats.org/officeDocument/2006/relationships/hyperlink" Target="https://us3.assetplanner.com/service_request?ID=101409" TargetMode="External"/><Relationship Id="rId24" Type="http://schemas.openxmlformats.org/officeDocument/2006/relationships/hyperlink" Target="https://us3.assetplanner.com/service_request?ID=100349" TargetMode="External"/><Relationship Id="rId5" Type="http://schemas.openxmlformats.org/officeDocument/2006/relationships/hyperlink" Target="https://us3.assetplanner.com/service_request?ID=101060" TargetMode="External"/><Relationship Id="rId15" Type="http://schemas.openxmlformats.org/officeDocument/2006/relationships/hyperlink" Target="https://us3.assetplanner.com/service_request?ID=101850" TargetMode="External"/><Relationship Id="rId23" Type="http://schemas.openxmlformats.org/officeDocument/2006/relationships/hyperlink" Target="https://us3.assetplanner.com/service_request?ID=100047" TargetMode="External"/><Relationship Id="rId10" Type="http://schemas.openxmlformats.org/officeDocument/2006/relationships/hyperlink" Target="https://us3.assetplanner.com/service_request?ID=102079" TargetMode="External"/><Relationship Id="rId19" Type="http://schemas.openxmlformats.org/officeDocument/2006/relationships/hyperlink" Target="https://us3.assetplanner.com/service_request?ID=100174" TargetMode="External"/><Relationship Id="rId4" Type="http://schemas.openxmlformats.org/officeDocument/2006/relationships/hyperlink" Target="https://us3.assetplanner.com/service_request?ID=102080" TargetMode="External"/><Relationship Id="rId9" Type="http://schemas.openxmlformats.org/officeDocument/2006/relationships/hyperlink" Target="https://us3.assetplanner.com/service_request?ID=097592" TargetMode="External"/><Relationship Id="rId14" Type="http://schemas.openxmlformats.org/officeDocument/2006/relationships/hyperlink" Target="https://us3.assetplanner.com/service_request?ID=100778" TargetMode="External"/><Relationship Id="rId22" Type="http://schemas.openxmlformats.org/officeDocument/2006/relationships/hyperlink" Target="https://us3.assetplanner.com/service_request?ID=10159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1951" TargetMode="External"/><Relationship Id="rId13" Type="http://schemas.openxmlformats.org/officeDocument/2006/relationships/hyperlink" Target="https://us3.assetplanner.com/service_request?ID=101406" TargetMode="External"/><Relationship Id="rId3" Type="http://schemas.openxmlformats.org/officeDocument/2006/relationships/hyperlink" Target="https://us3.assetplanner.com/service_request?ID=101859" TargetMode="External"/><Relationship Id="rId7" Type="http://schemas.openxmlformats.org/officeDocument/2006/relationships/hyperlink" Target="https://us3.assetplanner.com/service_request?ID=101850" TargetMode="External"/><Relationship Id="rId12" Type="http://schemas.openxmlformats.org/officeDocument/2006/relationships/hyperlink" Target="https://us3.assetplanner.com/service_request?ID=101591" TargetMode="External"/><Relationship Id="rId2" Type="http://schemas.openxmlformats.org/officeDocument/2006/relationships/hyperlink" Target="https://us3.assetplanner.com/service_request?ID=097592" TargetMode="External"/><Relationship Id="rId1" Type="http://schemas.openxmlformats.org/officeDocument/2006/relationships/hyperlink" Target="https://us3.assetplanner.com/service_request?ID=102524" TargetMode="External"/><Relationship Id="rId6" Type="http://schemas.openxmlformats.org/officeDocument/2006/relationships/hyperlink" Target="https://us3.assetplanner.com/service_request?ID=103110" TargetMode="External"/><Relationship Id="rId11" Type="http://schemas.openxmlformats.org/officeDocument/2006/relationships/hyperlink" Target="https://us3.assetplanner.com/service_request?ID=101590" TargetMode="External"/><Relationship Id="rId5" Type="http://schemas.openxmlformats.org/officeDocument/2006/relationships/hyperlink" Target="https://us3.assetplanner.com/service_request?ID=100774" TargetMode="External"/><Relationship Id="rId10" Type="http://schemas.openxmlformats.org/officeDocument/2006/relationships/hyperlink" Target="https://us3.assetplanner.com/service_request?ID=100174" TargetMode="External"/><Relationship Id="rId4" Type="http://schemas.openxmlformats.org/officeDocument/2006/relationships/hyperlink" Target="https://us3.assetplanner.com/service_request?ID=103044" TargetMode="External"/><Relationship Id="rId9" Type="http://schemas.openxmlformats.org/officeDocument/2006/relationships/hyperlink" Target="https://us3.assetplanner.com/service_request?ID=102330" TargetMode="External"/><Relationship Id="rId14"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1951" TargetMode="External"/><Relationship Id="rId3" Type="http://schemas.openxmlformats.org/officeDocument/2006/relationships/hyperlink" Target="https://us3.assetplanner.com/service_request?ID=097592" TargetMode="External"/><Relationship Id="rId7" Type="http://schemas.openxmlformats.org/officeDocument/2006/relationships/hyperlink" Target="https://us3.assetplanner.com/service_request?ID=103110" TargetMode="External"/><Relationship Id="rId2" Type="http://schemas.openxmlformats.org/officeDocument/2006/relationships/hyperlink" Target="https://us3.assetplanner.com/service_request?ID=102524" TargetMode="External"/><Relationship Id="rId1" Type="http://schemas.openxmlformats.org/officeDocument/2006/relationships/hyperlink" Target="https://us3.assetplanner.com/service_request?ID=104412" TargetMode="External"/><Relationship Id="rId6" Type="http://schemas.openxmlformats.org/officeDocument/2006/relationships/hyperlink" Target="https://us3.assetplanner.com/service_request?ID=100774" TargetMode="External"/><Relationship Id="rId11" Type="http://schemas.openxmlformats.org/officeDocument/2006/relationships/hyperlink" Target="https://us3.assetplanner.com/service_request?ID=104247" TargetMode="External"/><Relationship Id="rId5" Type="http://schemas.openxmlformats.org/officeDocument/2006/relationships/hyperlink" Target="https://us3.assetplanner.com/service_request?ID=103044" TargetMode="External"/><Relationship Id="rId10" Type="http://schemas.openxmlformats.org/officeDocument/2006/relationships/hyperlink" Target="https://us3.assetplanner.com/service_request?ID=100174" TargetMode="External"/><Relationship Id="rId4" Type="http://schemas.openxmlformats.org/officeDocument/2006/relationships/hyperlink" Target="https://us3.assetplanner.com/service_request?ID=101859" TargetMode="External"/><Relationship Id="rId9" Type="http://schemas.openxmlformats.org/officeDocument/2006/relationships/hyperlink" Target="https://us3.assetplanner.com/service_request?ID=102330"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5632" TargetMode="External"/><Relationship Id="rId3" Type="http://schemas.openxmlformats.org/officeDocument/2006/relationships/hyperlink" Target="https://us3.assetplanner.com/service_request?ID=101859" TargetMode="External"/><Relationship Id="rId7" Type="http://schemas.openxmlformats.org/officeDocument/2006/relationships/hyperlink" Target="https://us3.assetplanner.com/service_request?ID=106132" TargetMode="External"/><Relationship Id="rId2" Type="http://schemas.openxmlformats.org/officeDocument/2006/relationships/hyperlink" Target="https://us3.assetplanner.com/service_request?ID=097592" TargetMode="External"/><Relationship Id="rId1" Type="http://schemas.openxmlformats.org/officeDocument/2006/relationships/hyperlink" Target="https://us3.assetplanner.com/service_request?ID=102524" TargetMode="External"/><Relationship Id="rId6" Type="http://schemas.openxmlformats.org/officeDocument/2006/relationships/hyperlink" Target="https://us3.assetplanner.com/service_request?ID=102330" TargetMode="External"/><Relationship Id="rId11" Type="http://schemas.openxmlformats.org/officeDocument/2006/relationships/hyperlink" Target="https://us3.assetplanner.com/service_request?ID=106131" TargetMode="External"/><Relationship Id="rId5" Type="http://schemas.openxmlformats.org/officeDocument/2006/relationships/hyperlink" Target="https://us3.assetplanner.com/service_request?ID=101951" TargetMode="External"/><Relationship Id="rId10" Type="http://schemas.openxmlformats.org/officeDocument/2006/relationships/hyperlink" Target="https://us3.assetplanner.com/service_request?ID=106360" TargetMode="External"/><Relationship Id="rId4" Type="http://schemas.openxmlformats.org/officeDocument/2006/relationships/hyperlink" Target="https://us3.assetplanner.com/service_request?ID=103044" TargetMode="External"/><Relationship Id="rId9" Type="http://schemas.openxmlformats.org/officeDocument/2006/relationships/hyperlink" Target="https://us3.assetplanner.com/service_request?ID=106162"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7692" TargetMode="External"/><Relationship Id="rId3" Type="http://schemas.openxmlformats.org/officeDocument/2006/relationships/hyperlink" Target="https://us3.assetplanner.com/service_request?ID=101859" TargetMode="External"/><Relationship Id="rId7" Type="http://schemas.openxmlformats.org/officeDocument/2006/relationships/hyperlink" Target="https://us3.assetplanner.com/service_request?ID=106162" TargetMode="External"/><Relationship Id="rId2" Type="http://schemas.openxmlformats.org/officeDocument/2006/relationships/hyperlink" Target="https://us3.assetplanner.com/service_request?ID=097592" TargetMode="External"/><Relationship Id="rId1" Type="http://schemas.openxmlformats.org/officeDocument/2006/relationships/hyperlink" Target="https://us3.assetplanner.com/service_request?ID=102524" TargetMode="External"/><Relationship Id="rId6" Type="http://schemas.openxmlformats.org/officeDocument/2006/relationships/hyperlink" Target="https://us3.assetplanner.com/service_request?ID=108017" TargetMode="External"/><Relationship Id="rId5" Type="http://schemas.openxmlformats.org/officeDocument/2006/relationships/hyperlink" Target="https://us3.assetplanner.com/service_request?ID=107465" TargetMode="External"/><Relationship Id="rId4" Type="http://schemas.openxmlformats.org/officeDocument/2006/relationships/hyperlink" Target="https://us3.assetplanner.com/service_request?ID=103044"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3044" TargetMode="External"/><Relationship Id="rId13" Type="http://schemas.openxmlformats.org/officeDocument/2006/relationships/hyperlink" Target="https://us3.assetplanner.com/service_request?ID=106162" TargetMode="External"/><Relationship Id="rId3" Type="http://schemas.openxmlformats.org/officeDocument/2006/relationships/hyperlink" Target="https://us3.assetplanner.com/service_request?ID=097592" TargetMode="External"/><Relationship Id="rId7" Type="http://schemas.openxmlformats.org/officeDocument/2006/relationships/hyperlink" Target="https://us3.assetplanner.com/service_request?ID=101859" TargetMode="External"/><Relationship Id="rId12" Type="http://schemas.openxmlformats.org/officeDocument/2006/relationships/hyperlink" Target="https://us3.assetplanner.com/service_request?ID=102330" TargetMode="External"/><Relationship Id="rId2" Type="http://schemas.openxmlformats.org/officeDocument/2006/relationships/hyperlink" Target="https://us3.assetplanner.com/service_request?ID=097592" TargetMode="External"/><Relationship Id="rId1" Type="http://schemas.openxmlformats.org/officeDocument/2006/relationships/hyperlink" Target="https://us3.assetplanner.com/service_request?ID=102524" TargetMode="External"/><Relationship Id="rId6" Type="http://schemas.openxmlformats.org/officeDocument/2006/relationships/hyperlink" Target="https://us3.assetplanner.com/service_request?ID=107293" TargetMode="External"/><Relationship Id="rId11" Type="http://schemas.openxmlformats.org/officeDocument/2006/relationships/hyperlink" Target="https://us3.assetplanner.com/service_request?ID=107465" TargetMode="External"/><Relationship Id="rId5" Type="http://schemas.openxmlformats.org/officeDocument/2006/relationships/hyperlink" Target="https://us3.assetplanner.com/service_request?ID=103044" TargetMode="External"/><Relationship Id="rId15" Type="http://schemas.openxmlformats.org/officeDocument/2006/relationships/hyperlink" Target="https://us3.assetplanner.com/service_request?ID=109471" TargetMode="External"/><Relationship Id="rId10" Type="http://schemas.openxmlformats.org/officeDocument/2006/relationships/hyperlink" Target="https://us3.assetplanner.com/service_request?ID=101951" TargetMode="External"/><Relationship Id="rId4" Type="http://schemas.openxmlformats.org/officeDocument/2006/relationships/hyperlink" Target="https://us3.assetplanner.com/service_request?ID=097592" TargetMode="External"/><Relationship Id="rId9" Type="http://schemas.openxmlformats.org/officeDocument/2006/relationships/hyperlink" Target="https://us3.assetplanner.com/service_request?ID=109067" TargetMode="External"/><Relationship Id="rId14" Type="http://schemas.openxmlformats.org/officeDocument/2006/relationships/hyperlink" Target="https://us3.assetplanner.com/service_request?ID=107692"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03044" TargetMode="External"/><Relationship Id="rId13" Type="http://schemas.openxmlformats.org/officeDocument/2006/relationships/hyperlink" Target="https://us3.assetplanner.com/service_request?ID=111734" TargetMode="External"/><Relationship Id="rId3" Type="http://schemas.openxmlformats.org/officeDocument/2006/relationships/hyperlink" Target="https://us3.assetplanner.com/service_request?ID=097592" TargetMode="External"/><Relationship Id="rId7" Type="http://schemas.openxmlformats.org/officeDocument/2006/relationships/hyperlink" Target="https://us3.assetplanner.com/service_request?ID=101859" TargetMode="External"/><Relationship Id="rId12" Type="http://schemas.openxmlformats.org/officeDocument/2006/relationships/hyperlink" Target="https://us3.assetplanner.com/service_request?ID=102330" TargetMode="External"/><Relationship Id="rId2" Type="http://schemas.openxmlformats.org/officeDocument/2006/relationships/hyperlink" Target="https://us3.assetplanner.com/service_request?ID=097592" TargetMode="External"/><Relationship Id="rId1" Type="http://schemas.openxmlformats.org/officeDocument/2006/relationships/hyperlink" Target="https://us3.assetplanner.com/service_request?ID=102524" TargetMode="External"/><Relationship Id="rId6" Type="http://schemas.openxmlformats.org/officeDocument/2006/relationships/hyperlink" Target="https://us3.assetplanner.com/service_request?ID=107293" TargetMode="External"/><Relationship Id="rId11" Type="http://schemas.openxmlformats.org/officeDocument/2006/relationships/hyperlink" Target="https://us3.assetplanner.com/service_request?ID=107465" TargetMode="External"/><Relationship Id="rId5" Type="http://schemas.openxmlformats.org/officeDocument/2006/relationships/hyperlink" Target="https://us3.assetplanner.com/service_request?ID=103044" TargetMode="External"/><Relationship Id="rId10" Type="http://schemas.openxmlformats.org/officeDocument/2006/relationships/hyperlink" Target="https://us3.assetplanner.com/service_request?ID=101951" TargetMode="External"/><Relationship Id="rId4" Type="http://schemas.openxmlformats.org/officeDocument/2006/relationships/hyperlink" Target="https://us3.assetplanner.com/service_request?ID=097592" TargetMode="External"/><Relationship Id="rId9" Type="http://schemas.openxmlformats.org/officeDocument/2006/relationships/hyperlink" Target="https://us3.assetplanner.com/service_request?ID=109067" TargetMode="External"/><Relationship Id="rId14"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8" Type="http://schemas.openxmlformats.org/officeDocument/2006/relationships/hyperlink" Target="https://us3.assetplanner.com/service_request?ID=103044" TargetMode="External"/><Relationship Id="rId13" Type="http://schemas.openxmlformats.org/officeDocument/2006/relationships/hyperlink" Target="https://us3.assetplanner.com/service_request?ID=109067" TargetMode="External"/><Relationship Id="rId18" Type="http://schemas.openxmlformats.org/officeDocument/2006/relationships/hyperlink" Target="https://us3.assetplanner.com/service_request?ID=112931" TargetMode="External"/><Relationship Id="rId3" Type="http://schemas.openxmlformats.org/officeDocument/2006/relationships/hyperlink" Target="https://us3.assetplanner.com/service_request?ID=097592" TargetMode="External"/><Relationship Id="rId7" Type="http://schemas.openxmlformats.org/officeDocument/2006/relationships/hyperlink" Target="https://us3.assetplanner.com/service_request?ID=101859" TargetMode="External"/><Relationship Id="rId12" Type="http://schemas.openxmlformats.org/officeDocument/2006/relationships/hyperlink" Target="https://us3.assetplanner.com/service_request?ID=113016" TargetMode="External"/><Relationship Id="rId17" Type="http://schemas.openxmlformats.org/officeDocument/2006/relationships/hyperlink" Target="https://us3.assetplanner.com/service_request?ID=113236" TargetMode="External"/><Relationship Id="rId2" Type="http://schemas.openxmlformats.org/officeDocument/2006/relationships/hyperlink" Target="https://us3.assetplanner.com/service_request?ID=097592" TargetMode="External"/><Relationship Id="rId16" Type="http://schemas.openxmlformats.org/officeDocument/2006/relationships/hyperlink" Target="https://us3.assetplanner.com/service_request?ID=102330" TargetMode="External"/><Relationship Id="rId20" Type="http://schemas.openxmlformats.org/officeDocument/2006/relationships/hyperlink" Target="https://us3.assetplanner.com/service_request?ID=111734" TargetMode="External"/><Relationship Id="rId1" Type="http://schemas.openxmlformats.org/officeDocument/2006/relationships/hyperlink" Target="https://us3.assetplanner.com/service_request?ID=102524" TargetMode="External"/><Relationship Id="rId6" Type="http://schemas.openxmlformats.org/officeDocument/2006/relationships/hyperlink" Target="https://us3.assetplanner.com/service_request?ID=107293" TargetMode="External"/><Relationship Id="rId11" Type="http://schemas.openxmlformats.org/officeDocument/2006/relationships/hyperlink" Target="https://us3.assetplanner.com/service_request?ID=113230" TargetMode="External"/><Relationship Id="rId5" Type="http://schemas.openxmlformats.org/officeDocument/2006/relationships/hyperlink" Target="https://us3.assetplanner.com/service_request?ID=103044" TargetMode="External"/><Relationship Id="rId15" Type="http://schemas.openxmlformats.org/officeDocument/2006/relationships/hyperlink" Target="https://us3.assetplanner.com/service_request?ID=107465" TargetMode="External"/><Relationship Id="rId10" Type="http://schemas.openxmlformats.org/officeDocument/2006/relationships/hyperlink" Target="https://us3.assetplanner.com/service_request?ID=113016" TargetMode="External"/><Relationship Id="rId19" Type="http://schemas.openxmlformats.org/officeDocument/2006/relationships/hyperlink" Target="https://us3.assetplanner.com/service_request?ID=112931" TargetMode="External"/><Relationship Id="rId4" Type="http://schemas.openxmlformats.org/officeDocument/2006/relationships/hyperlink" Target="https://us3.assetplanner.com/service_request?ID=097592" TargetMode="External"/><Relationship Id="rId9" Type="http://schemas.openxmlformats.org/officeDocument/2006/relationships/hyperlink" Target="https://us3.assetplanner.com/service_request?ID=113016" TargetMode="External"/><Relationship Id="rId14" Type="http://schemas.openxmlformats.org/officeDocument/2006/relationships/hyperlink" Target="https://us3.assetplanner.com/service_request?ID=101951"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8"/>
  <sheetViews>
    <sheetView workbookViewId="0">
      <pane ySplit="2" topLeftCell="A3" activePane="bottomLeft" state="frozen"/>
      <selection pane="bottomLeft" activeCell="G18" sqref="G18"/>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0" t="str" cm="1">
        <f t="array" ref="A1">portfolio</f>
        <v>Pardee (ENCAP)</v>
      </c>
      <c r="B1" s="90"/>
      <c r="C1" s="90"/>
      <c r="D1" s="91" t="s">
        <v>0</v>
      </c>
      <c r="E1" s="91"/>
      <c r="F1" s="91"/>
      <c r="G1" s="89" t="s">
        <v>1</v>
      </c>
      <c r="H1" s="89"/>
      <c r="I1" s="89"/>
    </row>
    <row r="2" spans="1:9" ht="19.5" customHeight="1">
      <c r="A2" s="92" t="s">
        <v>2</v>
      </c>
      <c r="B2" s="92"/>
      <c r="C2" s="5">
        <f>SUM(C4:C86)</f>
        <v>4877858.4181433106</v>
      </c>
      <c r="D2" s="5">
        <f>SUM(D4:D86)</f>
        <v>4842368.3260000004</v>
      </c>
      <c r="E2" s="5">
        <f>C2-D2</f>
        <v>35490.092143310234</v>
      </c>
      <c r="F2" s="6">
        <f>IFERROR(E2/D2, 0)</f>
        <v>7.3290773757861867E-3</v>
      </c>
      <c r="G2" s="5">
        <f>SUM(G4:G86)</f>
        <v>5460857.0870000003</v>
      </c>
      <c r="H2" s="7">
        <f>C2-G2</f>
        <v>-582998.66885668971</v>
      </c>
      <c r="I2" s="6">
        <f>IFERROR(H2/G2, 0)</f>
        <v>-0.10675955432793945</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SUM('1st Qtr'!C4, '2nd Qtr'!C4, '3rd Qtr'!C4, '4th Qtr'!C4)</f>
        <v>97872.994999999995</v>
      </c>
      <c r="D4" s="13">
        <f>SUM('1st Qtr'!D4, '2nd Qtr'!D4, '3rd Qtr'!D4, '4th Qtr'!D4)</f>
        <v>87068.652999999991</v>
      </c>
      <c r="E4" s="13">
        <f>IF(AND(ISNUMBER(C4),ISNUMBER(D4)), C4-D4, "")</f>
        <v>10804.342000000004</v>
      </c>
      <c r="F4" s="14">
        <f>IFERROR(E4/D4, "")</f>
        <v>0.12408991787204983</v>
      </c>
      <c r="G4" s="15">
        <f>SUM('1st Qtr'!G4,'2nd Qtr'!G4,'3rd Qtr'!G4,'4th Qtr'!G4)</f>
        <v>114607.48299999999</v>
      </c>
      <c r="H4" s="15">
        <f>SUM('1st Qtr'!H4,'2nd Qtr'!H4,'3rd Qtr'!H4,'4th Qtr'!H4)</f>
        <v>-16734.487999999998</v>
      </c>
      <c r="I4" s="16">
        <f>IFERROR(H4/G4, "")</f>
        <v>-0.14601566635923763</v>
      </c>
    </row>
    <row r="5" spans="1:9" ht="15.6">
      <c r="A5" s="18" t="str">
        <v>AZ: ASU - Pardee - Farrington</v>
      </c>
      <c r="B5" s="10" t="str">
        <v>AZ</v>
      </c>
      <c r="C5" s="19">
        <f>SUM('1st Qtr'!C5, '2nd Qtr'!C5, '3rd Qtr'!C5, '4th Qtr'!C5)</f>
        <v>418950.96254331066</v>
      </c>
      <c r="D5" s="19">
        <f>SUM('1st Qtr'!D5, '2nd Qtr'!D5, '3rd Qtr'!D5, '4th Qtr'!D5)</f>
        <v>389965.58</v>
      </c>
      <c r="E5" s="19">
        <f t="shared" ref="E5:E14" si="0">IF(AND(ISNUMBER(C5),ISNUMBER(D5)), C5-D5, "")</f>
        <v>28985.382543310639</v>
      </c>
      <c r="F5" s="20">
        <f>IFERROR(E5/D5, "")</f>
        <v>7.4328053627991067E-2</v>
      </c>
      <c r="G5" s="21">
        <f>SUM('1st Qtr'!G5,'2nd Qtr'!G5,'3rd Qtr'!G5,'4th Qtr'!G5)</f>
        <v>431966.18</v>
      </c>
      <c r="H5" s="21">
        <f>SUM('1st Qtr'!H5,'2nd Qtr'!H5,'3rd Qtr'!H5,'4th Qtr'!H5)</f>
        <v>-13015.217456689403</v>
      </c>
      <c r="I5" s="20">
        <f>IFERROR(H5/G5, "")</f>
        <v>-3.0130176989062899E-2</v>
      </c>
    </row>
    <row r="6" spans="1:9" ht="15.6">
      <c r="A6" s="12" t="str">
        <v>AZ: ASU - Pardee - Macro Tech.</v>
      </c>
      <c r="B6" s="9" t="str">
        <v>AZ</v>
      </c>
      <c r="C6" s="25">
        <f>SUM('1st Qtr'!C6, '2nd Qtr'!C6, '3rd Qtr'!C6, '4th Qtr'!C6)</f>
        <v>1264390.7905999999</v>
      </c>
      <c r="D6" s="13">
        <f>SUM('1st Qtr'!D6, '2nd Qtr'!D6, '3rd Qtr'!D6, '4th Qtr'!D6)</f>
        <v>1429585.6999999997</v>
      </c>
      <c r="E6" s="13">
        <f t="shared" si="0"/>
        <v>-165194.90939999977</v>
      </c>
      <c r="F6" s="14">
        <f t="shared" ref="F6:F14" si="1">IFERROR(E6/D6, "")</f>
        <v>-0.11555439411572165</v>
      </c>
      <c r="G6" s="15">
        <f>SUM('1st Qtr'!G6,'2nd Qtr'!G6,'3rd Qtr'!G6,'4th Qtr'!G6)</f>
        <v>1604762.94</v>
      </c>
      <c r="H6" s="15">
        <f>SUM('1st Qtr'!H6,'2nd Qtr'!H6,'3rd Qtr'!H6,'4th Qtr'!H6)</f>
        <v>-340372.14939999999</v>
      </c>
      <c r="I6" s="16">
        <f t="shared" ref="I6:I14" si="2">IFERROR(H6/G6, "")</f>
        <v>-0.21210120256142007</v>
      </c>
    </row>
    <row r="7" spans="1:9" ht="15.6">
      <c r="A7" s="18" t="str">
        <v>AZ: ASU - Pardee - McCord Hall</v>
      </c>
      <c r="B7" s="10" t="str">
        <v>AZ</v>
      </c>
      <c r="C7" s="19">
        <f>SUM('1st Qtr'!C7, '2nd Qtr'!C7, '3rd Qtr'!C7, '4th Qtr'!C7)</f>
        <v>132328.87</v>
      </c>
      <c r="D7" s="19">
        <f>SUM('1st Qtr'!D7, '2nd Qtr'!D7, '3rd Qtr'!D7, '4th Qtr'!D7)</f>
        <v>113128.107</v>
      </c>
      <c r="E7" s="19">
        <f t="shared" si="0"/>
        <v>19200.762999999992</v>
      </c>
      <c r="F7" s="20">
        <f t="shared" si="1"/>
        <v>0.16972584010444011</v>
      </c>
      <c r="G7" s="21">
        <f>SUM('1st Qtr'!G7,'2nd Qtr'!G7,'3rd Qtr'!G7,'4th Qtr'!G7)</f>
        <v>154948.383</v>
      </c>
      <c r="H7" s="21">
        <f>SUM('1st Qtr'!H7,'2nd Qtr'!H7,'3rd Qtr'!H7,'4th Qtr'!H7)</f>
        <v>-22619.512999999999</v>
      </c>
      <c r="I7" s="20">
        <f t="shared" si="2"/>
        <v>-0.14598095547728304</v>
      </c>
    </row>
    <row r="8" spans="1:9" ht="15.6">
      <c r="A8" s="12" t="str">
        <v>AZ: NAU - SF Garage</v>
      </c>
      <c r="B8" s="9" t="str">
        <v>AZ</v>
      </c>
      <c r="C8" s="25">
        <f>SUM('1st Qtr'!C8, '2nd Qtr'!C8, '3rd Qtr'!C8, '4th Qtr'!C8)</f>
        <v>908290</v>
      </c>
      <c r="D8" s="13">
        <f>SUM('1st Qtr'!D8, '2nd Qtr'!D8, '3rd Qtr'!D8, '4th Qtr'!D8)</f>
        <v>887359.89099999995</v>
      </c>
      <c r="E8" s="13">
        <f t="shared" si="0"/>
        <v>20930.109000000055</v>
      </c>
      <c r="F8" s="14">
        <f t="shared" si="1"/>
        <v>2.3586945062857315E-2</v>
      </c>
      <c r="G8" s="15">
        <f>SUM('1st Qtr'!G8,'2nd Qtr'!G8,'3rd Qtr'!G8,'4th Qtr'!G8)</f>
        <v>887944.946</v>
      </c>
      <c r="H8" s="15">
        <f>SUM('1st Qtr'!H8,'2nd Qtr'!H8,'3rd Qtr'!H8,'4th Qtr'!H8)</f>
        <v>20345.053999999996</v>
      </c>
      <c r="I8" s="16">
        <f t="shared" si="2"/>
        <v>2.2912517371319097E-2</v>
      </c>
    </row>
    <row r="9" spans="1:9" ht="15.6">
      <c r="A9" s="18" t="str">
        <v>AZ: ASU - Pardee - Parking Lot 11</v>
      </c>
      <c r="B9" s="10" t="str">
        <v>AZ</v>
      </c>
      <c r="C9" s="19">
        <f>SUM('1st Qtr'!C9, '2nd Qtr'!C9, '3rd Qtr'!C9, '4th Qtr'!C9)</f>
        <v>270528.97499999998</v>
      </c>
      <c r="D9" s="19">
        <f>SUM('1st Qtr'!D9, '2nd Qtr'!D9, '3rd Qtr'!D9, '4th Qtr'!D9)</f>
        <v>272237.81700000004</v>
      </c>
      <c r="E9" s="19">
        <f t="shared" si="0"/>
        <v>-1708.8420000000624</v>
      </c>
      <c r="F9" s="20">
        <f t="shared" si="1"/>
        <v>-6.2770191842967289E-3</v>
      </c>
      <c r="G9" s="21">
        <f>SUM('1st Qtr'!G9,'2nd Qtr'!G9,'3rd Qtr'!G9,'4th Qtr'!G9)</f>
        <v>249160.41800000001</v>
      </c>
      <c r="H9" s="21">
        <f>SUM('1st Qtr'!H9,'2nd Qtr'!H9,'3rd Qtr'!H9,'4th Qtr'!H9)</f>
        <v>21368.557000000001</v>
      </c>
      <c r="I9" s="20">
        <f t="shared" si="2"/>
        <v>8.57622457512493E-2</v>
      </c>
    </row>
    <row r="10" spans="1:9" ht="15.6">
      <c r="A10" s="12" t="str">
        <v>AZ: ASU - Pardee - Parking Lot 19</v>
      </c>
      <c r="B10" s="9" t="str">
        <v>AZ</v>
      </c>
      <c r="C10" s="25">
        <f>SUM('1st Qtr'!C10, '2nd Qtr'!C10, '3rd Qtr'!C10, '4th Qtr'!C10)</f>
        <v>377319.55</v>
      </c>
      <c r="D10" s="13">
        <f>SUM('1st Qtr'!D10, '2nd Qtr'!D10, '3rd Qtr'!D10, '4th Qtr'!D10)</f>
        <v>358277.63699999999</v>
      </c>
      <c r="E10" s="13">
        <f t="shared" si="0"/>
        <v>19041.913</v>
      </c>
      <c r="F10" s="14">
        <f t="shared" si="1"/>
        <v>5.3148483280858527E-2</v>
      </c>
      <c r="G10" s="15">
        <f>SUM('1st Qtr'!G10,'2nd Qtr'!G10,'3rd Qtr'!G10,'4th Qtr'!G10)</f>
        <v>368929.85900000005</v>
      </c>
      <c r="H10" s="15">
        <f>SUM('1st Qtr'!H10,'2nd Qtr'!H10,'3rd Qtr'!H10,'4th Qtr'!H10)</f>
        <v>8389.6910000000007</v>
      </c>
      <c r="I10" s="16">
        <f t="shared" si="2"/>
        <v>2.2740612599751648E-2</v>
      </c>
    </row>
    <row r="11" spans="1:9" ht="15.6">
      <c r="A11" s="18" t="str">
        <v>AZ: ASU - Pardee - Parking Lot 41</v>
      </c>
      <c r="B11" s="10" t="str">
        <v>AZ</v>
      </c>
      <c r="C11" s="19">
        <f>SUM('1st Qtr'!C11, '2nd Qtr'!C11, '3rd Qtr'!C11, '4th Qtr'!C11)</f>
        <v>343466.625</v>
      </c>
      <c r="D11" s="19">
        <f>SUM('1st Qtr'!D11, '2nd Qtr'!D11, '3rd Qtr'!D11, '4th Qtr'!D11)</f>
        <v>318141.88099999999</v>
      </c>
      <c r="E11" s="19">
        <f t="shared" si="0"/>
        <v>25324.744000000006</v>
      </c>
      <c r="F11" s="20">
        <f t="shared" si="1"/>
        <v>7.9602043969809827E-2</v>
      </c>
      <c r="G11" s="21">
        <f>SUM('1st Qtr'!G11,'2nd Qtr'!G11,'3rd Qtr'!G11,'4th Qtr'!G11)</f>
        <v>385819.99699999997</v>
      </c>
      <c r="H11" s="21">
        <f>SUM('1st Qtr'!H11,'2nd Qtr'!H11,'3rd Qtr'!H11,'4th Qtr'!H11)</f>
        <v>-42353.371999999988</v>
      </c>
      <c r="I11" s="20">
        <f t="shared" si="2"/>
        <v>-0.10977495290375007</v>
      </c>
    </row>
    <row r="12" spans="1:9" ht="15.6">
      <c r="A12" s="12" t="str">
        <v>AZ: ASU - Pardee - Parking Lot 58</v>
      </c>
      <c r="B12" s="9" t="str">
        <v>AZ</v>
      </c>
      <c r="C12" s="25">
        <f>SUM('1st Qtr'!C12, '2nd Qtr'!C12, '3rd Qtr'!C12, '4th Qtr'!C12)</f>
        <v>325181.2</v>
      </c>
      <c r="D12" s="13">
        <f>SUM('1st Qtr'!D12, '2nd Qtr'!D12, '3rd Qtr'!D12, '4th Qtr'!D12)</f>
        <v>307932.359</v>
      </c>
      <c r="E12" s="13">
        <f t="shared" si="0"/>
        <v>17248.841000000015</v>
      </c>
      <c r="F12" s="14">
        <f t="shared" si="1"/>
        <v>5.6015032184389607E-2</v>
      </c>
      <c r="G12" s="15">
        <f>SUM('1st Qtr'!G12,'2nd Qtr'!G12,'3rd Qtr'!G12,'4th Qtr'!G12)</f>
        <v>430253.91399999999</v>
      </c>
      <c r="H12" s="15">
        <f>SUM('1st Qtr'!H12,'2nd Qtr'!H12,'3rd Qtr'!H12,'4th Qtr'!H12)</f>
        <v>-105072.71399999999</v>
      </c>
      <c r="I12" s="16">
        <f t="shared" si="2"/>
        <v>-0.2442109428433927</v>
      </c>
    </row>
    <row r="13" spans="1:9" ht="15.6">
      <c r="A13" s="18" t="str">
        <v>AZ: ASU - Pardee - Parking Lot 59S</v>
      </c>
      <c r="B13" s="10" t="str">
        <v>AZ</v>
      </c>
      <c r="C13" s="19">
        <f>SUM('1st Qtr'!C13, '2nd Qtr'!C13, '3rd Qtr'!C13, '4th Qtr'!C13)</f>
        <v>388907.95</v>
      </c>
      <c r="D13" s="19">
        <f>SUM('1st Qtr'!D13, '2nd Qtr'!D13, '3rd Qtr'!D13, '4th Qtr'!D13)</f>
        <v>323477.80100000004</v>
      </c>
      <c r="E13" s="19">
        <f t="shared" si="0"/>
        <v>65430.148999999976</v>
      </c>
      <c r="F13" s="20">
        <f t="shared" si="1"/>
        <v>0.20227090946497428</v>
      </c>
      <c r="G13" s="21">
        <f>SUM('1st Qtr'!G13,'2nd Qtr'!G13,'3rd Qtr'!G13,'4th Qtr'!G13)</f>
        <v>408251.26699999999</v>
      </c>
      <c r="H13" s="21">
        <f>SUM('1st Qtr'!H13,'2nd Qtr'!H13,'3rd Qtr'!H13,'4th Qtr'!H13)</f>
        <v>-19343.317000000003</v>
      </c>
      <c r="I13" s="20">
        <f t="shared" si="2"/>
        <v>-4.738091112892983E-2</v>
      </c>
    </row>
    <row r="14" spans="1:9" ht="15.6">
      <c r="A14" s="12" t="str">
        <v>AZ: ASU - Pardee - Sun Devil Complex</v>
      </c>
      <c r="B14" s="9" t="str">
        <v>AZ</v>
      </c>
      <c r="C14" s="25">
        <f>SUM('1st Qtr'!C14, '2nd Qtr'!C14, '3rd Qtr'!C14, '4th Qtr'!C14)</f>
        <v>350620.5</v>
      </c>
      <c r="D14" s="13">
        <f>SUM('1st Qtr'!D14, '2nd Qtr'!D14, '3rd Qtr'!D14, '4th Qtr'!D14)</f>
        <v>355192.89999999997</v>
      </c>
      <c r="E14" s="13">
        <f t="shared" si="0"/>
        <v>-4572.3999999999651</v>
      </c>
      <c r="F14" s="14">
        <f t="shared" si="1"/>
        <v>-1.2873005062882635E-2</v>
      </c>
      <c r="G14" s="15">
        <f>SUM('1st Qtr'!G14,'2nd Qtr'!G14,'3rd Qtr'!G14,'4th Qtr'!G14)</f>
        <v>424211.7</v>
      </c>
      <c r="H14" s="15">
        <f>SUM('1st Qtr'!H14,'2nd Qtr'!H14,'3rd Qtr'!H14,'4th Qtr'!H14)</f>
        <v>-73591.199999999997</v>
      </c>
      <c r="I14" s="16">
        <f t="shared" si="2"/>
        <v>-0.17347753491947535</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autoFilter ref="A2:I2" xr:uid="{D5C25034-9971-4A61-864F-C938F31EB1B8}"/>
  <mergeCells count="4">
    <mergeCell ref="G1:I1"/>
    <mergeCell ref="A1:C1"/>
    <mergeCell ref="D1:F1"/>
    <mergeCell ref="A2:B2"/>
  </mergeCells>
  <conditionalFormatting sqref="F2 I2 F4:F86 I4:I86">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8"/>
  <sheetViews>
    <sheetView workbookViewId="0">
      <pane ySplit="2" topLeftCell="A3" activePane="bottomLeft" state="frozen"/>
      <selection pane="bottomLeft" activeCell="H4" sqref="H4"/>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0" t="str" cm="1">
        <f t="array" ref="A1">portfolio</f>
        <v>Pardee (ENCAP)</v>
      </c>
      <c r="B1" s="90"/>
      <c r="C1" s="90"/>
      <c r="D1" s="91" t="s">
        <v>10</v>
      </c>
      <c r="E1" s="91"/>
      <c r="F1" s="91"/>
      <c r="G1" s="89" t="s">
        <v>11</v>
      </c>
      <c r="H1" s="89"/>
      <c r="I1" s="89"/>
    </row>
    <row r="2" spans="1:9" ht="19.5" customHeight="1">
      <c r="A2" s="92" t="s">
        <v>2</v>
      </c>
      <c r="B2" s="92"/>
      <c r="C2" s="5">
        <f>SUM(C4:C86)</f>
        <v>1004744.6359558105</v>
      </c>
      <c r="D2" s="5">
        <f>SUM(D4:D86)</f>
        <v>1086389.2379999999</v>
      </c>
      <c r="E2" s="5">
        <f>C2-D2</f>
        <v>-81644.602044189349</v>
      </c>
      <c r="F2" s="6">
        <f>IFERROR(E2/D2, 0)</f>
        <v>-7.5152255921177816E-2</v>
      </c>
      <c r="G2" s="5">
        <f>SUM(G4:G86)</f>
        <v>1083575.165</v>
      </c>
      <c r="H2" s="7">
        <f>C2-G2</f>
        <v>-78830.52904418949</v>
      </c>
      <c r="I2" s="6">
        <f>IFERROR(H2/G2, 0)</f>
        <v>-7.2750402178320031E-2</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SUM(Jan!C4, Feb!C4, Mar!C4)</f>
        <v>21298.125</v>
      </c>
      <c r="D4" s="13">
        <f>SUM(Jan!D4, Feb!D4, Mar!D4)</f>
        <v>18845.883999999998</v>
      </c>
      <c r="E4" s="13">
        <f>IF(AND(ISNUMBER(C4),ISNUMBER(D4)), C4-D4, "")</f>
        <v>2452.2410000000018</v>
      </c>
      <c r="F4" s="14">
        <f>IFERROR(E4/D4, "")</f>
        <v>0.13012077332111363</v>
      </c>
      <c r="G4" s="15">
        <f>SUM(Jan!G4, Feb!G4, Mar!G4)</f>
        <v>23742.099000000002</v>
      </c>
      <c r="H4" s="15">
        <f>SUM(Jan!H4, Feb!H4, Mar!H4)</f>
        <v>-2443.9740000000002</v>
      </c>
      <c r="I4" s="16">
        <f>IFERROR(H4/G4, "")</f>
        <v>-0.10293841332225934</v>
      </c>
    </row>
    <row r="5" spans="1:9" ht="15.6">
      <c r="A5" s="18" t="str">
        <v>AZ: ASU - Pardee - Farrington</v>
      </c>
      <c r="B5" s="10" t="str">
        <v>AZ</v>
      </c>
      <c r="C5" s="11">
        <f>SUM(Jan!C5, Feb!C5, Mar!C5)</f>
        <v>90404.823455810605</v>
      </c>
      <c r="D5" s="19">
        <f>SUM(Jan!D5, Feb!D5, Mar!D5)</f>
        <v>87040.22</v>
      </c>
      <c r="E5" s="19">
        <f t="shared" ref="E5:E14" si="0">IF(AND(ISNUMBER(C5),ISNUMBER(D5)), C5-D5, "")</f>
        <v>3364.6034558106039</v>
      </c>
      <c r="F5" s="20">
        <f>IFERROR(E5/D5, "")</f>
        <v>3.8655732439676779E-2</v>
      </c>
      <c r="G5" s="21">
        <f>SUM(Jan!G5, Feb!G5, Mar!G5)</f>
        <v>88173.739999999991</v>
      </c>
      <c r="H5" s="21">
        <f>SUM(Jan!H5, Feb!H5, Mar!H5)</f>
        <v>2231.0834558106035</v>
      </c>
      <c r="I5" s="20">
        <f>IFERROR(H5/G5, "")</f>
        <v>2.5303264393804818E-2</v>
      </c>
    </row>
    <row r="6" spans="1:9" ht="15.6">
      <c r="A6" s="12" t="str">
        <v>AZ: ASU - Pardee - Macro Tech.</v>
      </c>
      <c r="B6" s="9" t="str">
        <v>AZ</v>
      </c>
      <c r="C6" s="25">
        <f>SUM(Jan!C6, Feb!C6, Mar!C6)</f>
        <v>214085.875</v>
      </c>
      <c r="D6" s="13">
        <f>SUM(Jan!D6, Feb!D6, Mar!D6)</f>
        <v>326130.59999999998</v>
      </c>
      <c r="E6" s="13">
        <f t="shared" si="0"/>
        <v>-112044.72499999998</v>
      </c>
      <c r="F6" s="14">
        <f t="shared" ref="F6:F14" si="1">IFERROR(E6/D6, "")</f>
        <v>-0.34355784155182001</v>
      </c>
      <c r="G6" s="15">
        <f>SUM(Jan!G6, Feb!G6, Mar!G6)</f>
        <v>318970.23999999999</v>
      </c>
      <c r="H6" s="15">
        <f>SUM(Jan!H6, Feb!H6, Mar!H6)</f>
        <v>-104884.36499999999</v>
      </c>
      <c r="I6" s="16">
        <f t="shared" ref="I6:I14" si="2">IFERROR(H6/G6, "")</f>
        <v>-0.32882178914246041</v>
      </c>
    </row>
    <row r="7" spans="1:9" ht="15.6">
      <c r="A7" s="18" t="str">
        <v>AZ: ASU - Pardee - McCord Hall</v>
      </c>
      <c r="B7" s="10" t="str">
        <v>AZ</v>
      </c>
      <c r="C7" s="11">
        <f>SUM(Jan!C7, Feb!C7, Mar!C7)</f>
        <v>29492.25</v>
      </c>
      <c r="D7" s="19">
        <f>SUM(Jan!D7, Feb!D7, Mar!D7)</f>
        <v>23630.756000000001</v>
      </c>
      <c r="E7" s="19">
        <f t="shared" si="0"/>
        <v>5861.4939999999988</v>
      </c>
      <c r="F7" s="20">
        <f t="shared" si="1"/>
        <v>0.24804513236901937</v>
      </c>
      <c r="G7" s="21">
        <f>SUM(Jan!G7, Feb!G7, Mar!G7)</f>
        <v>32051.733</v>
      </c>
      <c r="H7" s="21">
        <f>SUM(Jan!H7, Feb!H7, Mar!H7)</f>
        <v>-2559.4829999999984</v>
      </c>
      <c r="I7" s="20">
        <f t="shared" si="2"/>
        <v>-7.9854746075664562E-2</v>
      </c>
    </row>
    <row r="8" spans="1:9" ht="15.6">
      <c r="A8" s="12" t="str">
        <v>AZ: NAU - SF Garage</v>
      </c>
      <c r="B8" s="9" t="str">
        <v>AZ</v>
      </c>
      <c r="C8" s="25">
        <f>SUM(Jan!C8, Feb!C8, Mar!C8)</f>
        <v>180392</v>
      </c>
      <c r="D8" s="13">
        <f>SUM(Jan!D8, Feb!D8, Mar!D8)</f>
        <v>194414.13799999998</v>
      </c>
      <c r="E8" s="13">
        <f t="shared" si="0"/>
        <v>-14022.137999999977</v>
      </c>
      <c r="F8" s="14">
        <f t="shared" si="1"/>
        <v>-7.2125094112239815E-2</v>
      </c>
      <c r="G8" s="15">
        <f>SUM(Jan!G8, Feb!G8, Mar!G8)</f>
        <v>170818.65299999999</v>
      </c>
      <c r="H8" s="15">
        <f>SUM(Jan!H8, Feb!H8, Mar!H8)</f>
        <v>9573.3470000000016</v>
      </c>
      <c r="I8" s="16">
        <f t="shared" si="2"/>
        <v>5.604392044936686E-2</v>
      </c>
    </row>
    <row r="9" spans="1:9" ht="15.6">
      <c r="A9" s="18" t="str">
        <v>AZ: ASU - Pardee - Parking Lot 11</v>
      </c>
      <c r="B9" s="10" t="str">
        <v>AZ</v>
      </c>
      <c r="C9" s="11">
        <f>SUM(Jan!C9, Feb!C9, Mar!C9)</f>
        <v>64410.1875</v>
      </c>
      <c r="D9" s="19">
        <f>SUM(Jan!D9, Feb!D9, Mar!D9)</f>
        <v>60049.91</v>
      </c>
      <c r="E9" s="19">
        <f t="shared" si="0"/>
        <v>4360.2774999999965</v>
      </c>
      <c r="F9" s="20">
        <f t="shared" si="1"/>
        <v>7.2610891506748237E-2</v>
      </c>
      <c r="G9" s="21">
        <f>SUM(Jan!G9, Feb!G9, Mar!G9)</f>
        <v>43935.49</v>
      </c>
      <c r="H9" s="21">
        <f>SUM(Jan!H9, Feb!H9, Mar!H9)</f>
        <v>20474.697500000002</v>
      </c>
      <c r="I9" s="20">
        <f t="shared" si="2"/>
        <v>0.46601727896968947</v>
      </c>
    </row>
    <row r="10" spans="1:9" ht="15.6">
      <c r="A10" s="12" t="str">
        <v>AZ: ASU - Pardee - Parking Lot 19</v>
      </c>
      <c r="B10" s="9" t="str">
        <v>AZ</v>
      </c>
      <c r="C10" s="25">
        <f>SUM(Jan!C10, Feb!C10, Mar!C10)</f>
        <v>92152.625</v>
      </c>
      <c r="D10" s="13">
        <f>SUM(Jan!D10, Feb!D10, Mar!D10)</f>
        <v>84699.63</v>
      </c>
      <c r="E10" s="13">
        <f t="shared" si="0"/>
        <v>7452.9949999999953</v>
      </c>
      <c r="F10" s="14">
        <f t="shared" si="1"/>
        <v>8.7993241528918076E-2</v>
      </c>
      <c r="G10" s="15">
        <f>SUM(Jan!G10, Feb!G10, Mar!G10)</f>
        <v>65057.320000000007</v>
      </c>
      <c r="H10" s="15">
        <f>SUM(Jan!H10, Feb!H10, Mar!H10)</f>
        <v>27095.304999999997</v>
      </c>
      <c r="I10" s="16">
        <f t="shared" si="2"/>
        <v>0.41648357171798644</v>
      </c>
    </row>
    <row r="11" spans="1:9" ht="15.6">
      <c r="A11" s="18" t="str">
        <v>AZ: ASU - Pardee - Parking Lot 41</v>
      </c>
      <c r="B11" s="10" t="str">
        <v>AZ</v>
      </c>
      <c r="C11" s="11">
        <f>SUM(Jan!C11, Feb!C11, Mar!C11)</f>
        <v>74533.5</v>
      </c>
      <c r="D11" s="19">
        <f>SUM(Jan!D11, Feb!D11, Mar!D11)</f>
        <v>72187.700000000012</v>
      </c>
      <c r="E11" s="19">
        <f t="shared" si="0"/>
        <v>2345.7999999999884</v>
      </c>
      <c r="F11" s="20">
        <f t="shared" si="1"/>
        <v>3.2495840704164114E-2</v>
      </c>
      <c r="G11" s="21">
        <f>SUM(Jan!G11, Feb!G11, Mar!G11)</f>
        <v>78967.290000000008</v>
      </c>
      <c r="H11" s="21">
        <f>SUM(Jan!H11, Feb!H11, Mar!H11)</f>
        <v>-4433.7900000000009</v>
      </c>
      <c r="I11" s="20">
        <f t="shared" si="2"/>
        <v>-5.6147171822662274E-2</v>
      </c>
    </row>
    <row r="12" spans="1:9" ht="15.6">
      <c r="A12" s="12" t="str">
        <v>AZ: ASU - Pardee - Parking Lot 58</v>
      </c>
      <c r="B12" s="9" t="str">
        <v>AZ</v>
      </c>
      <c r="C12" s="25">
        <f>SUM(Jan!C12, Feb!C12, Mar!C12)</f>
        <v>91159.5</v>
      </c>
      <c r="D12" s="13">
        <f>SUM(Jan!D12, Feb!D12, Mar!D12)</f>
        <v>73363.569999999992</v>
      </c>
      <c r="E12" s="13">
        <f t="shared" si="0"/>
        <v>17795.930000000008</v>
      </c>
      <c r="F12" s="14">
        <f t="shared" si="1"/>
        <v>0.24257175598188596</v>
      </c>
      <c r="G12" s="15">
        <f>SUM(Jan!G12, Feb!G12, Mar!G12)</f>
        <v>82881.3</v>
      </c>
      <c r="H12" s="15">
        <f>SUM(Jan!H12, Feb!H12, Mar!H12)</f>
        <v>8278.1999999999971</v>
      </c>
      <c r="I12" s="16">
        <f t="shared" si="2"/>
        <v>9.9880190103195737E-2</v>
      </c>
    </row>
    <row r="13" spans="1:9" ht="15.6">
      <c r="A13" s="18" t="str">
        <v>AZ: ASU - Pardee - Parking Lot 59S</v>
      </c>
      <c r="B13" s="10" t="str">
        <v>AZ</v>
      </c>
      <c r="C13" s="11">
        <f>SUM(Jan!C13, Feb!C13, Mar!C13)</f>
        <v>75749.75</v>
      </c>
      <c r="D13" s="19">
        <f>SUM(Jan!D13, Feb!D13, Mar!D13)</f>
        <v>67144.100000000006</v>
      </c>
      <c r="E13" s="19">
        <f t="shared" si="0"/>
        <v>8605.6499999999942</v>
      </c>
      <c r="F13" s="20">
        <f t="shared" si="1"/>
        <v>0.1281668828683383</v>
      </c>
      <c r="G13" s="21">
        <f>SUM(Jan!G13, Feb!G13, Mar!G13)</f>
        <v>90651.299999999988</v>
      </c>
      <c r="H13" s="21">
        <f>SUM(Jan!H13, Feb!H13, Mar!H13)</f>
        <v>-14901.55</v>
      </c>
      <c r="I13" s="20">
        <f t="shared" si="2"/>
        <v>-0.16438319141589808</v>
      </c>
    </row>
    <row r="14" spans="1:9" ht="15.6">
      <c r="A14" s="12" t="str">
        <v>AZ: ASU - Pardee - Sun Devil Complex</v>
      </c>
      <c r="B14" s="9" t="str">
        <v>AZ</v>
      </c>
      <c r="C14" s="25">
        <f>SUM(Jan!C14, Feb!C14, Mar!C14)</f>
        <v>71066</v>
      </c>
      <c r="D14" s="13">
        <f>SUM(Jan!D14, Feb!D14, Mar!D14)</f>
        <v>78882.73</v>
      </c>
      <c r="E14" s="13">
        <f t="shared" si="0"/>
        <v>-7816.7299999999959</v>
      </c>
      <c r="F14" s="14">
        <f t="shared" si="1"/>
        <v>-9.9093046095133835E-2</v>
      </c>
      <c r="G14" s="15">
        <f>SUM(Jan!G14, Feb!G14, Mar!G14)</f>
        <v>88326</v>
      </c>
      <c r="H14" s="15">
        <f>SUM(Jan!H14, Feb!H14, Mar!H14)</f>
        <v>-17260</v>
      </c>
      <c r="I14" s="16">
        <f t="shared" si="2"/>
        <v>-0.19541244933541652</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sortState xmlns:xlrd2="http://schemas.microsoft.com/office/spreadsheetml/2017/richdata2" ref="A3:I3">
    <sortCondition ref="A3"/>
  </sortState>
  <mergeCells count="4">
    <mergeCell ref="G1:I1"/>
    <mergeCell ref="A1:C1"/>
    <mergeCell ref="D1:F1"/>
    <mergeCell ref="A2:B2"/>
  </mergeCells>
  <conditionalFormatting sqref="F2 I2 F4:F86 I4:I86">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8"/>
  <sheetViews>
    <sheetView workbookViewId="0">
      <pane ySplit="2" topLeftCell="A3" activePane="bottomLeft" state="frozen"/>
      <selection pane="bottomLeft" activeCell="H14" sqref="H14"/>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0" t="str" cm="1">
        <f t="array" ref="A1">portfolio</f>
        <v>Pardee (ENCAP)</v>
      </c>
      <c r="B1" s="90"/>
      <c r="C1" s="90"/>
      <c r="D1" s="91" t="s">
        <v>12</v>
      </c>
      <c r="E1" s="91"/>
      <c r="F1" s="91"/>
      <c r="G1" s="89" t="s">
        <v>13</v>
      </c>
      <c r="H1" s="89"/>
      <c r="I1" s="89"/>
    </row>
    <row r="2" spans="1:9" ht="19.5" customHeight="1">
      <c r="A2" s="92" t="s">
        <v>2</v>
      </c>
      <c r="B2" s="92"/>
      <c r="C2" s="5">
        <f>SUM(C4:C86)</f>
        <v>1456559.5696412306</v>
      </c>
      <c r="D2" s="5">
        <f>SUM(D4:D86)</f>
        <v>1511292.6370000001</v>
      </c>
      <c r="E2" s="5">
        <f>C2-D2</f>
        <v>-54733.067358769476</v>
      </c>
      <c r="F2" s="6">
        <f>IFERROR(E2/D2, 0)</f>
        <v>-3.621606168042852E-2</v>
      </c>
      <c r="G2" s="5">
        <f>SUM(G4:G86)</f>
        <v>1746705.6529999999</v>
      </c>
      <c r="H2" s="7">
        <f>C2-G2</f>
        <v>-290146.08335876931</v>
      </c>
      <c r="I2" s="6">
        <f>IFERROR(H2/G2, 0)</f>
        <v>-0.16611046220663334</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SUM(Apr!C4, May!C4, Jun!C4)</f>
        <v>30616.375</v>
      </c>
      <c r="D4" s="13">
        <f>SUM(Apr!D4, May!D4, Jun!D4)</f>
        <v>27251.829000000002</v>
      </c>
      <c r="E4" s="13">
        <f>IF(AND(ISNUMBER(C4),ISNUMBER(D4)), C4-D4, "")</f>
        <v>3364.5459999999985</v>
      </c>
      <c r="F4" s="14">
        <f>IFERROR(E4/D4, "")</f>
        <v>0.12346129135038966</v>
      </c>
      <c r="G4" s="15">
        <f>SUM(Apr!G4,May!G4,Jun!G4)</f>
        <v>35742.369999999995</v>
      </c>
      <c r="H4" s="15">
        <f>SUM(Apr!H4, May!H4, Jun!H4)</f>
        <v>-5125.994999999999</v>
      </c>
      <c r="I4" s="16">
        <f>IFERROR(H4/G4, "")</f>
        <v>-0.14341508411445575</v>
      </c>
    </row>
    <row r="5" spans="1:9" ht="15.6">
      <c r="A5" s="18" t="str">
        <v>AZ: ASU - Pardee - Farrington</v>
      </c>
      <c r="B5" s="10" t="str">
        <v>AZ</v>
      </c>
      <c r="C5" s="11">
        <f>SUM(Apr!C5, May!C5, Jun!C5)</f>
        <v>147217.75714123051</v>
      </c>
      <c r="D5" s="19">
        <f>SUM(Apr!D5, May!D5, Jun!D5)</f>
        <v>120272.36</v>
      </c>
      <c r="E5" s="19">
        <f t="shared" ref="E5:E14" si="0">IF(AND(ISNUMBER(C5),ISNUMBER(D5)), C5-D5, "")</f>
        <v>26945.397141230511</v>
      </c>
      <c r="F5" s="20">
        <f>IFERROR(E5/D5, "")</f>
        <v>0.22403648802792686</v>
      </c>
      <c r="G5" s="11">
        <f>SUM(Apr!G5,May!G5,Jun!G5)</f>
        <v>135776.32000000001</v>
      </c>
      <c r="H5" s="21">
        <f>SUM(Apr!H5, May!H5, Jun!H5)</f>
        <v>11441.43714123049</v>
      </c>
      <c r="I5" s="20">
        <f>IFERROR(H5/G5, "")</f>
        <v>8.4266808389198422E-2</v>
      </c>
    </row>
    <row r="6" spans="1:9" ht="15.6">
      <c r="A6" s="12" t="str">
        <v>AZ: ASU - Pardee - Macro Tech.</v>
      </c>
      <c r="B6" s="9" t="str">
        <v>AZ</v>
      </c>
      <c r="C6" s="25">
        <f>SUM(Apr!C6, May!C6, Jun!C6)</f>
        <v>314679.5</v>
      </c>
      <c r="D6" s="13">
        <f>SUM(Apr!D6, May!D6, Jun!D6)</f>
        <v>440884.19999999995</v>
      </c>
      <c r="E6" s="13">
        <f t="shared" si="0"/>
        <v>-126204.69999999995</v>
      </c>
      <c r="F6" s="14">
        <f t="shared" ref="F6:F14" si="1">IFERROR(E6/D6, "")</f>
        <v>-0.28625362396747256</v>
      </c>
      <c r="G6" s="15">
        <f>SUM(Apr!G6,May!G6,Jun!G6)</f>
        <v>497489.5</v>
      </c>
      <c r="H6" s="15">
        <f>SUM(Apr!H6, May!H6, Jun!H6)</f>
        <v>-182810</v>
      </c>
      <c r="I6" s="16">
        <f t="shared" ref="I6:I14" si="2">IFERROR(H6/G6, "")</f>
        <v>-0.3674650419757603</v>
      </c>
    </row>
    <row r="7" spans="1:9" ht="15.6">
      <c r="A7" s="18" t="str">
        <v>AZ: ASU - Pardee - McCord Hall</v>
      </c>
      <c r="B7" s="10" t="str">
        <v>AZ</v>
      </c>
      <c r="C7" s="11">
        <f>SUM(Apr!C7, May!C7, Jun!C7)</f>
        <v>40667.375</v>
      </c>
      <c r="D7" s="19">
        <f>SUM(Apr!D7, May!D7, Jun!D7)</f>
        <v>37795.410000000003</v>
      </c>
      <c r="E7" s="19">
        <f t="shared" si="0"/>
        <v>2871.9649999999965</v>
      </c>
      <c r="F7" s="20">
        <f t="shared" si="1"/>
        <v>7.5987137062410393E-2</v>
      </c>
      <c r="G7" s="11">
        <f>SUM(Apr!G7,May!G7,Jun!G7)</f>
        <v>48252.39</v>
      </c>
      <c r="H7" s="21">
        <f>SUM(Apr!H7, May!H7, Jun!H7)</f>
        <v>-7585.0149999999994</v>
      </c>
      <c r="I7" s="20">
        <f t="shared" si="2"/>
        <v>-0.15719459699301941</v>
      </c>
    </row>
    <row r="8" spans="1:9" ht="15.6">
      <c r="A8" s="12" t="str">
        <v>AZ: NAU - SF Garage</v>
      </c>
      <c r="B8" s="9" t="str">
        <v>AZ</v>
      </c>
      <c r="C8" s="25">
        <f>SUM(Apr!C8, May!C8, Jun!C8)</f>
        <v>304308</v>
      </c>
      <c r="D8" s="13">
        <f>SUM(Apr!D8, May!D8, Jun!D8)</f>
        <v>286727.538</v>
      </c>
      <c r="E8" s="13">
        <f t="shared" si="0"/>
        <v>17580.462</v>
      </c>
      <c r="F8" s="14">
        <f t="shared" si="1"/>
        <v>6.1314173457590944E-2</v>
      </c>
      <c r="G8" s="15">
        <f>SUM(Apr!G8,May!G8,Jun!G8)</f>
        <v>293601.07300000003</v>
      </c>
      <c r="H8" s="15">
        <f>SUM(Apr!H8, May!H8, Jun!H8)</f>
        <v>10706.926999999996</v>
      </c>
      <c r="I8" s="16">
        <f t="shared" si="2"/>
        <v>3.6467601737954124E-2</v>
      </c>
    </row>
    <row r="9" spans="1:9" ht="15.6">
      <c r="A9" s="18" t="str">
        <v>AZ: ASU - Pardee - Parking Lot 11</v>
      </c>
      <c r="B9" s="10" t="str">
        <v>AZ</v>
      </c>
      <c r="C9" s="11">
        <f>SUM(Apr!C9, May!C9, Jun!C9)</f>
        <v>74292.5625</v>
      </c>
      <c r="D9" s="19">
        <f>SUM(Apr!D9, May!D9, Jun!D9)</f>
        <v>86684.66</v>
      </c>
      <c r="E9" s="19">
        <f t="shared" si="0"/>
        <v>-12392.097500000003</v>
      </c>
      <c r="F9" s="20">
        <f t="shared" si="1"/>
        <v>-0.14295606050713014</v>
      </c>
      <c r="G9" s="11">
        <f>SUM(Apr!G9,May!G9,Jun!G9)</f>
        <v>89534.82</v>
      </c>
      <c r="H9" s="21">
        <f>SUM(Apr!H9, May!H9, Jun!H9)</f>
        <v>-15242.2575</v>
      </c>
      <c r="I9" s="20">
        <f t="shared" si="2"/>
        <v>-0.17023832180597445</v>
      </c>
    </row>
    <row r="10" spans="1:9" ht="15.6">
      <c r="A10" s="12" t="str">
        <v>AZ: ASU - Pardee - Parking Lot 19</v>
      </c>
      <c r="B10" s="9" t="str">
        <v>AZ</v>
      </c>
      <c r="C10" s="25">
        <f>SUM(Apr!C10, May!C10, Jun!C10)</f>
        <v>122329.625</v>
      </c>
      <c r="D10" s="13">
        <f>SUM(Apr!D10, May!D10, Jun!D10)</f>
        <v>105835.57</v>
      </c>
      <c r="E10" s="13">
        <f t="shared" si="0"/>
        <v>16494.054999999993</v>
      </c>
      <c r="F10" s="14">
        <f t="shared" si="1"/>
        <v>0.15584604495445142</v>
      </c>
      <c r="G10" s="15">
        <f>SUM(Apr!G10,May!G10,Jun!G10)</f>
        <v>132578.81</v>
      </c>
      <c r="H10" s="15">
        <f>SUM(Apr!H10, May!H10, Jun!H10)</f>
        <v>-10249.185000000005</v>
      </c>
      <c r="I10" s="16">
        <f t="shared" si="2"/>
        <v>-7.7306358384118895E-2</v>
      </c>
    </row>
    <row r="11" spans="1:9" ht="15.6">
      <c r="A11" s="18" t="str">
        <v>AZ: ASU - Pardee - Parking Lot 41</v>
      </c>
      <c r="B11" s="10" t="str">
        <v>AZ</v>
      </c>
      <c r="C11" s="11">
        <f>SUM(Apr!C11, May!C11, Jun!C11)</f>
        <v>112177.5</v>
      </c>
      <c r="D11" s="19">
        <f>SUM(Apr!D11, May!D11, Jun!D11)</f>
        <v>98367.750000000015</v>
      </c>
      <c r="E11" s="19">
        <f t="shared" si="0"/>
        <v>13809.749999999985</v>
      </c>
      <c r="F11" s="20">
        <f t="shared" si="1"/>
        <v>0.14038899944341499</v>
      </c>
      <c r="G11" s="11">
        <f>SUM(Apr!G11,May!G11,Jun!G11)</f>
        <v>121603.29999999999</v>
      </c>
      <c r="H11" s="21">
        <f>SUM(Apr!H11, May!H11, Jun!H11)</f>
        <v>-9425.7999999999956</v>
      </c>
      <c r="I11" s="20">
        <f t="shared" si="2"/>
        <v>-7.7512699079712449E-2</v>
      </c>
    </row>
    <row r="12" spans="1:9" ht="15.6">
      <c r="A12" s="12" t="str">
        <v>AZ: ASU - Pardee - Parking Lot 58</v>
      </c>
      <c r="B12" s="9" t="str">
        <v>AZ</v>
      </c>
      <c r="C12" s="25">
        <f>SUM(Apr!C12, May!C12, Jun!C12)</f>
        <v>83387.75</v>
      </c>
      <c r="D12" s="13">
        <f>SUM(Apr!D12, May!D12, Jun!D12)</f>
        <v>93838.760000000009</v>
      </c>
      <c r="E12" s="13">
        <f t="shared" si="0"/>
        <v>-10451.010000000009</v>
      </c>
      <c r="F12" s="14">
        <f t="shared" si="1"/>
        <v>-0.11137199596414113</v>
      </c>
      <c r="G12" s="15">
        <f>SUM(Apr!G12,May!G12,Jun!G12)</f>
        <v>136470.85999999999</v>
      </c>
      <c r="H12" s="15">
        <f>SUM(Apr!H12, May!H12, Jun!H12)</f>
        <v>-53083.109999999993</v>
      </c>
      <c r="I12" s="16">
        <f t="shared" si="2"/>
        <v>-0.38897029006778444</v>
      </c>
    </row>
    <row r="13" spans="1:9" ht="15.6">
      <c r="A13" s="18" t="str">
        <v>AZ: ASU - Pardee - Parking Lot 59S</v>
      </c>
      <c r="B13" s="10" t="str">
        <v>AZ</v>
      </c>
      <c r="C13" s="11">
        <f>SUM(Apr!C13, May!C13, Jun!C13)</f>
        <v>127595.625</v>
      </c>
      <c r="D13" s="19">
        <f>SUM(Apr!D13, May!D13, Jun!D13)</f>
        <v>102551.97</v>
      </c>
      <c r="E13" s="19">
        <f t="shared" si="0"/>
        <v>25043.654999999999</v>
      </c>
      <c r="F13" s="20">
        <f t="shared" si="1"/>
        <v>0.24420452381363322</v>
      </c>
      <c r="G13" s="11">
        <f>SUM(Apr!G13,May!G13,Jun!G13)</f>
        <v>124772.21</v>
      </c>
      <c r="H13" s="21">
        <f>SUM(Apr!H13, May!H13, Jun!H13)</f>
        <v>2823.4150000000009</v>
      </c>
      <c r="I13" s="20">
        <f t="shared" si="2"/>
        <v>2.262855647102829E-2</v>
      </c>
    </row>
    <row r="14" spans="1:9" ht="15.6">
      <c r="A14" s="12" t="str">
        <v>AZ: ASU - Pardee - Sun Devil Complex</v>
      </c>
      <c r="B14" s="9" t="str">
        <v>AZ</v>
      </c>
      <c r="C14" s="25">
        <f>SUM(Apr!C14, May!C14, Jun!C14)</f>
        <v>99287.5</v>
      </c>
      <c r="D14" s="13">
        <f>SUM(Apr!D14, May!D14, Jun!D14)</f>
        <v>111082.59</v>
      </c>
      <c r="E14" s="13">
        <f t="shared" si="0"/>
        <v>-11795.089999999997</v>
      </c>
      <c r="F14" s="14">
        <f t="shared" si="1"/>
        <v>-0.1061830661312452</v>
      </c>
      <c r="G14" s="15">
        <f>SUM(Apr!G14,May!G14,Jun!G14)</f>
        <v>130884</v>
      </c>
      <c r="H14" s="15">
        <f>SUM(Apr!H14, May!H14, Jun!H14)</f>
        <v>-31596.5</v>
      </c>
      <c r="I14" s="16">
        <f t="shared" si="2"/>
        <v>-0.24140842272546684</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sortState xmlns:xlrd2="http://schemas.microsoft.com/office/spreadsheetml/2017/richdata2" ref="A3:I4">
    <sortCondition ref="A3:A4"/>
  </sortState>
  <mergeCells count="4">
    <mergeCell ref="G1:I1"/>
    <mergeCell ref="A1:C1"/>
    <mergeCell ref="D1:F1"/>
    <mergeCell ref="A2:B2"/>
  </mergeCells>
  <conditionalFormatting sqref="F2 I2 F4:F86 I4:I86">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8"/>
  <sheetViews>
    <sheetView workbookViewId="0">
      <pane ySplit="2" topLeftCell="A3" activePane="bottomLeft" state="frozen"/>
      <selection pane="bottomLeft" activeCell="D2" sqref="D2"/>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0" t="str" cm="1">
        <f t="array" ref="A1">portfolio</f>
        <v>Pardee (ENCAP)</v>
      </c>
      <c r="B1" s="90"/>
      <c r="C1" s="90"/>
      <c r="D1" s="91" t="s">
        <v>14</v>
      </c>
      <c r="E1" s="91"/>
      <c r="F1" s="91"/>
      <c r="G1" s="89" t="s">
        <v>15</v>
      </c>
      <c r="H1" s="89"/>
      <c r="I1" s="89"/>
    </row>
    <row r="2" spans="1:9" ht="19.5" customHeight="1">
      <c r="A2" s="92" t="s">
        <v>2</v>
      </c>
      <c r="B2" s="92"/>
      <c r="C2" s="5">
        <f>SUM(C4:C86)</f>
        <v>1486166.5087562695</v>
      </c>
      <c r="D2" s="5">
        <f>SUM(D4:D86)</f>
        <v>1332088.446</v>
      </c>
      <c r="E2" s="5">
        <f>C2-D2</f>
        <v>154078.06275626947</v>
      </c>
      <c r="F2" s="6">
        <f>IFERROR(E2/D2, 0)</f>
        <v>0.11566654092596902</v>
      </c>
      <c r="G2" s="5">
        <f>SUM(G4:G86)</f>
        <v>1592658.388</v>
      </c>
      <c r="H2" s="7">
        <f>C2-G2</f>
        <v>-106491.87924373057</v>
      </c>
      <c r="I2" s="6">
        <f>IFERROR(H2/G2, 0)</f>
        <v>-6.6864231555304854E-2</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SUM(Jul!C4, Aug!C4, Sep!C4)</f>
        <v>27575</v>
      </c>
      <c r="D4" s="13">
        <f>SUM(Jul!D4, Aug!D4, Sep!D4)</f>
        <v>24157.485999999997</v>
      </c>
      <c r="E4" s="13">
        <f>IF(AND(ISNUMBER(C4),ISNUMBER(D4)), C4-D4, "")</f>
        <v>3417.5140000000029</v>
      </c>
      <c r="F4" s="14">
        <f>IFERROR(E4/D4, "")</f>
        <v>0.14146811468709961</v>
      </c>
      <c r="G4" s="15">
        <f>SUM(Jul!G4,Aug!G4,Sep!G4)</f>
        <v>32646.5</v>
      </c>
      <c r="H4" s="15">
        <f>SUM(Jul!H4, Aug!H4, Sep!H4)</f>
        <v>-5071.5</v>
      </c>
      <c r="I4" s="16">
        <f>IFERROR(H4/G4, "")</f>
        <v>-0.15534590231724688</v>
      </c>
    </row>
    <row r="5" spans="1:9" ht="15.6">
      <c r="A5" s="18" t="str">
        <v>AZ: ASU - Pardee - Farrington</v>
      </c>
      <c r="B5" s="10" t="str">
        <v>AZ</v>
      </c>
      <c r="C5" s="11">
        <f>SUM(Jul!C5, Aug!C5, Sep!C5)</f>
        <v>111945.5431562695</v>
      </c>
      <c r="D5" s="19">
        <f>SUM(Jul!D5, Aug!D5, Sep!D5)</f>
        <v>107314.06</v>
      </c>
      <c r="E5" s="19">
        <f t="shared" ref="E5:E14" si="0">IF(AND(ISNUMBER(C5),ISNUMBER(D5)), C5-D5, "")</f>
        <v>4631.4831562695035</v>
      </c>
      <c r="F5" s="20">
        <f>IFERROR(E5/D5, "")</f>
        <v>4.3158213902908006E-2</v>
      </c>
      <c r="G5" s="11">
        <f>SUM(Jul!G5,Aug!G5,Sep!G5)</f>
        <v>123552.31999999999</v>
      </c>
      <c r="H5" s="21">
        <f>SUM(Jul!H5, Aug!H5, Sep!H5)</f>
        <v>-11606.776843730499</v>
      </c>
      <c r="I5" s="20">
        <f>IFERROR(H5/G5, "")</f>
        <v>-9.3942200710844595E-2</v>
      </c>
    </row>
    <row r="6" spans="1:9" ht="15.6">
      <c r="A6" s="12" t="str">
        <v>AZ: ASU - Pardee - Macro Tech.</v>
      </c>
      <c r="B6" s="9" t="str">
        <v>AZ</v>
      </c>
      <c r="C6" s="25">
        <f>SUM(Jul!C6, Aug!C6, Sep!C6)</f>
        <v>465896.4656</v>
      </c>
      <c r="D6" s="13">
        <f>SUM(Jul!D6, Aug!D6, Sep!D6)</f>
        <v>391055.5</v>
      </c>
      <c r="E6" s="13">
        <f t="shared" si="0"/>
        <v>74840.965599999996</v>
      </c>
      <c r="F6" s="14">
        <f t="shared" ref="F6:F14" si="1">IFERROR(E6/D6, "")</f>
        <v>0.19138195371245256</v>
      </c>
      <c r="G6" s="15">
        <f>SUM(Jul!G6,Aug!G6,Sep!G6)</f>
        <v>464160.60000000003</v>
      </c>
      <c r="H6" s="15">
        <f>SUM(Jul!H6, Aug!H6, Sep!H6)</f>
        <v>1735.8655999999901</v>
      </c>
      <c r="I6" s="16">
        <f t="shared" ref="I6:I14" si="2">IFERROR(H6/G6, "")</f>
        <v>3.7397952346666001E-3</v>
      </c>
    </row>
    <row r="7" spans="1:9" ht="15.6">
      <c r="A7" s="18" t="str">
        <v>AZ: ASU - Pardee - McCord Hall</v>
      </c>
      <c r="B7" s="10" t="str">
        <v>AZ</v>
      </c>
      <c r="C7" s="11">
        <f>SUM(Jul!C7, Aug!C7, Sep!C7)</f>
        <v>36771.25</v>
      </c>
      <c r="D7" s="19">
        <f>SUM(Jul!D7, Aug!D7, Sep!D7)</f>
        <v>32647.91</v>
      </c>
      <c r="E7" s="19">
        <f t="shared" si="0"/>
        <v>4123.34</v>
      </c>
      <c r="F7" s="20">
        <f t="shared" si="1"/>
        <v>0.12629721167449923</v>
      </c>
      <c r="G7" s="11">
        <f>SUM(Jul!G7,Aug!G7,Sep!G7)</f>
        <v>44291.94</v>
      </c>
      <c r="H7" s="21">
        <f>SUM(Jul!H7, Aug!H7, Sep!H7)</f>
        <v>-7520.6900000000005</v>
      </c>
      <c r="I7" s="20">
        <f t="shared" si="2"/>
        <v>-0.16979816192291419</v>
      </c>
    </row>
    <row r="8" spans="1:9" ht="15.6">
      <c r="A8" s="12" t="str">
        <v>AZ: NAU - SF Garage</v>
      </c>
      <c r="B8" s="9" t="str">
        <v>AZ</v>
      </c>
      <c r="C8" s="25">
        <f>SUM(Jul!C8, Aug!C8, Sep!C8)</f>
        <v>262679</v>
      </c>
      <c r="D8" s="13">
        <f>SUM(Jul!D8, Aug!D8, Sep!D8)</f>
        <v>240863.10499999998</v>
      </c>
      <c r="E8" s="13">
        <f t="shared" si="0"/>
        <v>21815.895000000019</v>
      </c>
      <c r="F8" s="14">
        <f t="shared" si="1"/>
        <v>9.057383446086531E-2</v>
      </c>
      <c r="G8" s="15">
        <f>SUM(Jul!G8,Aug!G8,Sep!G8)</f>
        <v>263454.90299999999</v>
      </c>
      <c r="H8" s="15">
        <f>SUM(Jul!H8, Aug!H8, Sep!H8)</f>
        <v>-775.9030000000057</v>
      </c>
      <c r="I8" s="16">
        <f t="shared" si="2"/>
        <v>-2.9451074592451434E-3</v>
      </c>
    </row>
    <row r="9" spans="1:9" ht="15.6">
      <c r="A9" s="18" t="str">
        <v>AZ: ASU - Pardee - Parking Lot 11</v>
      </c>
      <c r="B9" s="10" t="str">
        <v>AZ</v>
      </c>
      <c r="C9" s="11">
        <f>SUM(Jul!C9, Aug!C9, Sep!C9)</f>
        <v>75951.125</v>
      </c>
      <c r="D9" s="19">
        <f>SUM(Jul!D9, Aug!D9, Sep!D9)</f>
        <v>76009.297000000006</v>
      </c>
      <c r="E9" s="19">
        <f t="shared" si="0"/>
        <v>-58.172000000005937</v>
      </c>
      <c r="F9" s="20">
        <f t="shared" si="1"/>
        <v>-7.6532743093263886E-4</v>
      </c>
      <c r="G9" s="11">
        <f>SUM(Jul!G9,Aug!G9,Sep!G9)</f>
        <v>78334.687999999995</v>
      </c>
      <c r="H9" s="21">
        <f>SUM(Jul!H9, Aug!H9, Sep!H9)</f>
        <v>-2383.5630000000019</v>
      </c>
      <c r="I9" s="20">
        <f t="shared" si="2"/>
        <v>-3.0427937620687302E-2</v>
      </c>
    </row>
    <row r="10" spans="1:9" ht="15.6">
      <c r="A10" s="12" t="str">
        <v>AZ: ASU - Pardee - Parking Lot 19</v>
      </c>
      <c r="B10" s="9" t="str">
        <v>AZ</v>
      </c>
      <c r="C10" s="25">
        <f>SUM(Jul!C10, Aug!C10, Sep!C10)</f>
        <v>101897.5</v>
      </c>
      <c r="D10" s="13">
        <f>SUM(Jul!D10, Aug!D10, Sep!D10)</f>
        <v>95801.467000000004</v>
      </c>
      <c r="E10" s="13">
        <f t="shared" si="0"/>
        <v>6096.0329999999958</v>
      </c>
      <c r="F10" s="14">
        <f t="shared" si="1"/>
        <v>6.3631937911764913E-2</v>
      </c>
      <c r="G10" s="15">
        <f>SUM(Jul!G10,Aug!G10,Sep!G10)</f>
        <v>115990.94899999999</v>
      </c>
      <c r="H10" s="15">
        <f>SUM(Jul!H10, Aug!H10, Sep!H10)</f>
        <v>-14093.448999999993</v>
      </c>
      <c r="I10" s="16">
        <f t="shared" si="2"/>
        <v>-0.12150473051134356</v>
      </c>
    </row>
    <row r="11" spans="1:9" ht="15.6">
      <c r="A11" s="18" t="str">
        <v>AZ: ASU - Pardee - Parking Lot 41</v>
      </c>
      <c r="B11" s="10" t="str">
        <v>AZ</v>
      </c>
      <c r="C11" s="11">
        <f>SUM(Jul!C11, Aug!C11, Sep!C11)</f>
        <v>92964.875</v>
      </c>
      <c r="D11" s="19">
        <f>SUM(Jul!D11, Aug!D11, Sep!D11)</f>
        <v>87217.120999999999</v>
      </c>
      <c r="E11" s="19">
        <f t="shared" si="0"/>
        <v>5747.7540000000008</v>
      </c>
      <c r="F11" s="20">
        <f t="shared" si="1"/>
        <v>6.5901670842815382E-2</v>
      </c>
      <c r="G11" s="11">
        <f>SUM(Jul!G11,Aug!G11,Sep!G11)</f>
        <v>110959.10699999999</v>
      </c>
      <c r="H11" s="21">
        <f>SUM(Jul!H11, Aug!H11, Sep!H11)</f>
        <v>-17994.231999999996</v>
      </c>
      <c r="I11" s="20">
        <f t="shared" si="2"/>
        <v>-0.16216994248160269</v>
      </c>
    </row>
    <row r="12" spans="1:9" ht="15.6">
      <c r="A12" s="12" t="str">
        <v>AZ: ASU - Pardee - Parking Lot 58</v>
      </c>
      <c r="B12" s="9" t="str">
        <v>AZ</v>
      </c>
      <c r="C12" s="25">
        <f>SUM(Jul!C12, Aug!C12, Sep!C12)</f>
        <v>89232.75</v>
      </c>
      <c r="D12" s="13">
        <f>SUM(Jul!D12, Aug!D12, Sep!D12)</f>
        <v>85364.789000000004</v>
      </c>
      <c r="E12" s="13">
        <f t="shared" si="0"/>
        <v>3867.9609999999957</v>
      </c>
      <c r="F12" s="14">
        <f t="shared" si="1"/>
        <v>4.5310965391128603E-2</v>
      </c>
      <c r="G12" s="15">
        <f>SUM(Jul!G12,Aug!G12,Sep!G12)</f>
        <v>125036.99399999999</v>
      </c>
      <c r="H12" s="15">
        <f>SUM(Jul!H12, Aug!H12, Sep!H12)</f>
        <v>-35804.243999999999</v>
      </c>
      <c r="I12" s="16">
        <f t="shared" si="2"/>
        <v>-0.28634920637967354</v>
      </c>
    </row>
    <row r="13" spans="1:9" ht="15.6">
      <c r="A13" s="18" t="str">
        <v>AZ: ASU - Pardee - Parking Lot 59S</v>
      </c>
      <c r="B13" s="10" t="str">
        <v>AZ</v>
      </c>
      <c r="C13" s="11">
        <f>SUM(Jul!C13, Aug!C13, Sep!C13)</f>
        <v>107434.5</v>
      </c>
      <c r="D13" s="19">
        <f>SUM(Jul!D13, Aug!D13, Sep!D13)</f>
        <v>93288.301000000007</v>
      </c>
      <c r="E13" s="19">
        <f t="shared" si="0"/>
        <v>14146.198999999993</v>
      </c>
      <c r="F13" s="20">
        <f t="shared" si="1"/>
        <v>0.15163958233090763</v>
      </c>
      <c r="G13" s="11">
        <f>SUM(Jul!G13,Aug!G13,Sep!G13)</f>
        <v>114318.88700000002</v>
      </c>
      <c r="H13" s="21">
        <f>SUM(Jul!H13, Aug!H13, Sep!H13)</f>
        <v>-6884.3870000000024</v>
      </c>
      <c r="I13" s="20">
        <f t="shared" si="2"/>
        <v>-6.0220906454416419E-2</v>
      </c>
    </row>
    <row r="14" spans="1:9" ht="15.6">
      <c r="A14" s="12" t="str">
        <v>AZ: ASU - Pardee - Sun Devil Complex</v>
      </c>
      <c r="B14" s="9" t="str">
        <v>AZ</v>
      </c>
      <c r="C14" s="25">
        <f>SUM(Jul!C14, Aug!C14, Sep!C14)</f>
        <v>113818.5</v>
      </c>
      <c r="D14" s="13">
        <f>SUM(Jul!D14, Aug!D14, Sep!D14)</f>
        <v>98369.409999999989</v>
      </c>
      <c r="E14" s="13">
        <f t="shared" si="0"/>
        <v>15449.090000000011</v>
      </c>
      <c r="F14" s="14">
        <f t="shared" si="1"/>
        <v>0.15705177046400923</v>
      </c>
      <c r="G14" s="15">
        <f>SUM(Jul!G14,Aug!G14,Sep!G14)</f>
        <v>119911.5</v>
      </c>
      <c r="H14" s="15">
        <f>SUM(Jul!H14, Aug!H14, Sep!H14)</f>
        <v>-6093</v>
      </c>
      <c r="I14" s="16">
        <f t="shared" si="2"/>
        <v>-5.0812474199722298E-2</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mergeCells count="4">
    <mergeCell ref="G1:I1"/>
    <mergeCell ref="A1:C1"/>
    <mergeCell ref="D1:F1"/>
    <mergeCell ref="A2:B2"/>
  </mergeCells>
  <conditionalFormatting sqref="F2 I2 F4:F86 I4:I86">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8"/>
  <sheetViews>
    <sheetView workbookViewId="0">
      <pane ySplit="2" topLeftCell="A3" activePane="bottomLeft" state="frozen"/>
      <selection pane="bottomLeft" activeCell="H19" sqref="H19"/>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0" t="str" cm="1">
        <f t="array" ref="A1">portfolio</f>
        <v>Pardee (ENCAP)</v>
      </c>
      <c r="B1" s="90"/>
      <c r="C1" s="90"/>
      <c r="D1" s="91" t="s">
        <v>16</v>
      </c>
      <c r="E1" s="91"/>
      <c r="F1" s="91"/>
      <c r="G1" s="89" t="s">
        <v>17</v>
      </c>
      <c r="H1" s="89"/>
      <c r="I1" s="89"/>
    </row>
    <row r="2" spans="1:9" ht="19.5" customHeight="1">
      <c r="A2" s="92" t="s">
        <v>2</v>
      </c>
      <c r="B2" s="92"/>
      <c r="C2" s="5">
        <f>SUM(C4:C86)</f>
        <v>930387.70378999994</v>
      </c>
      <c r="D2" s="5">
        <f>SUM(D4:D86)</f>
        <v>912598.00500000012</v>
      </c>
      <c r="E2" s="5">
        <f>C2-D2</f>
        <v>17789.69878999982</v>
      </c>
      <c r="F2" s="6">
        <f>IFERROR(E2/D2, 0)</f>
        <v>1.9493466666081323E-2</v>
      </c>
      <c r="G2" s="5">
        <f>SUM(G4:G86)</f>
        <v>1037917.8809999999</v>
      </c>
      <c r="H2" s="7">
        <f>C2-G2</f>
        <v>-107530.17720999999</v>
      </c>
      <c r="I2" s="6">
        <f>IFERROR(H2/G2, 0)</f>
        <v>-0.10360181588392926</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SUM(Oct!C4, Nov!C4, Dec!C4)</f>
        <v>18383.494999999999</v>
      </c>
      <c r="D4" s="13">
        <f>SUM(Oct!D4, Nov!D4, Dec!D4)</f>
        <v>16813.453999999998</v>
      </c>
      <c r="E4" s="13">
        <f>IF(AND(ISNUMBER(C4),ISNUMBER(D4)), C4-D4, "")</f>
        <v>1570.0410000000011</v>
      </c>
      <c r="F4" s="14">
        <f>IFERROR(E4/D4, "")</f>
        <v>9.3380039580207685E-2</v>
      </c>
      <c r="G4" s="15">
        <f>SUM(Oct!G4,Nov!G4,Dec!G4)</f>
        <v>22476.513999999999</v>
      </c>
      <c r="H4" s="15">
        <f>SUM(Oct!H4, Nov!H4, Dec!H4)</f>
        <v>-4093.0190000000002</v>
      </c>
      <c r="I4" s="16">
        <f>IFERROR(H4/G4, "")</f>
        <v>-0.18210203770922842</v>
      </c>
    </row>
    <row r="5" spans="1:9" ht="15.6">
      <c r="A5" s="18" t="str">
        <v>AZ: ASU - Pardee - Farrington</v>
      </c>
      <c r="B5" s="10" t="str">
        <v>AZ</v>
      </c>
      <c r="C5" s="11">
        <f>SUM(Oct!C5, Nov!C5, Dec!C5)</f>
        <v>69382.838789999994</v>
      </c>
      <c r="D5" s="19">
        <f>SUM(Oct!D5, Nov!D5, Dec!D5)</f>
        <v>75338.94</v>
      </c>
      <c r="E5" s="19">
        <f t="shared" ref="E5:E14" si="0">IF(AND(ISNUMBER(C5),ISNUMBER(D5)), C5-D5, "")</f>
        <v>-5956.101210000008</v>
      </c>
      <c r="F5" s="20">
        <f>IFERROR(E5/D5, "")</f>
        <v>-7.9057406568236926E-2</v>
      </c>
      <c r="G5" s="11">
        <f>SUM(Oct!G5,Nov!G5,Dec!G5)</f>
        <v>84463.8</v>
      </c>
      <c r="H5" s="21">
        <f>SUM(Oct!H5, Nov!H5, Dec!H5)</f>
        <v>-15080.961209999998</v>
      </c>
      <c r="I5" s="20">
        <f>IFERROR(H5/G5, "")</f>
        <v>-0.17854940471539282</v>
      </c>
    </row>
    <row r="6" spans="1:9" ht="15.6">
      <c r="A6" s="12" t="str">
        <v>AZ: ASU - Pardee - Macro Tech.</v>
      </c>
      <c r="B6" s="9" t="str">
        <v>AZ</v>
      </c>
      <c r="C6" s="25">
        <f>SUM(Oct!C6, Nov!C6, Dec!C6)</f>
        <v>269728.95</v>
      </c>
      <c r="D6" s="13">
        <f>SUM(Oct!D6, Nov!D6, Dec!D6)</f>
        <v>271515.40000000002</v>
      </c>
      <c r="E6" s="13">
        <f t="shared" si="0"/>
        <v>-1786.4500000000116</v>
      </c>
      <c r="F6" s="14">
        <f t="shared" ref="F6:F14" si="1">IFERROR(E6/D6, "")</f>
        <v>-6.5795531303197222E-3</v>
      </c>
      <c r="G6" s="15">
        <f>SUM(Oct!G6,Nov!G6,Dec!G6)</f>
        <v>324142.59999999998</v>
      </c>
      <c r="H6" s="15">
        <f>SUM(Oct!H6, Nov!H6, Dec!H6)</f>
        <v>-54413.650000000009</v>
      </c>
      <c r="I6" s="16">
        <f t="shared" ref="I6:I14" si="2">IFERROR(H6/G6, "")</f>
        <v>-0.16786948090130704</v>
      </c>
    </row>
    <row r="7" spans="1:9" ht="15.6">
      <c r="A7" s="18" t="str">
        <v>AZ: ASU - Pardee - McCord Hall</v>
      </c>
      <c r="B7" s="10" t="str">
        <v>AZ</v>
      </c>
      <c r="C7" s="11">
        <f>SUM(Oct!C7, Nov!C7, Dec!C7)</f>
        <v>25397.994999999999</v>
      </c>
      <c r="D7" s="19">
        <f>SUM(Oct!D7, Nov!D7, Dec!D7)</f>
        <v>19054.030999999999</v>
      </c>
      <c r="E7" s="19">
        <f t="shared" si="0"/>
        <v>6343.9639999999999</v>
      </c>
      <c r="F7" s="20">
        <f t="shared" si="1"/>
        <v>0.33294603120987892</v>
      </c>
      <c r="G7" s="11">
        <f>SUM(Oct!G7,Nov!G7,Dec!G7)</f>
        <v>30352.32</v>
      </c>
      <c r="H7" s="21">
        <f>SUM(Oct!H7, Nov!H7, Dec!H7)</f>
        <v>-4954.3249999999998</v>
      </c>
      <c r="I7" s="20">
        <f t="shared" si="2"/>
        <v>-0.16322722612307725</v>
      </c>
    </row>
    <row r="8" spans="1:9" ht="15.6">
      <c r="A8" s="12" t="str">
        <v>AZ: NAU - SF Garage</v>
      </c>
      <c r="B8" s="9" t="str">
        <v>AZ</v>
      </c>
      <c r="C8" s="25">
        <f>SUM(Oct!C8, Nov!C8, Dec!C8)</f>
        <v>160911</v>
      </c>
      <c r="D8" s="13">
        <f>SUM(Oct!D8, Nov!D8, Dec!D8)</f>
        <v>165355.10999999999</v>
      </c>
      <c r="E8" s="13">
        <f t="shared" si="0"/>
        <v>-4444.109999999986</v>
      </c>
      <c r="F8" s="14">
        <f t="shared" si="1"/>
        <v>-2.6876157622222781E-2</v>
      </c>
      <c r="G8" s="15">
        <f>SUM(Oct!G8,Nov!G8,Dec!G8)</f>
        <v>160070.31700000001</v>
      </c>
      <c r="H8" s="15">
        <f>SUM(Oct!H8, Nov!H8, Dec!H8)</f>
        <v>840.68300000000454</v>
      </c>
      <c r="I8" s="16">
        <f t="shared" si="2"/>
        <v>5.2519606117854096E-3</v>
      </c>
    </row>
    <row r="9" spans="1:9" ht="15.6">
      <c r="A9" s="18" t="str">
        <v>AZ: ASU - Pardee - Parking Lot 11</v>
      </c>
      <c r="B9" s="10" t="str">
        <v>AZ</v>
      </c>
      <c r="C9" s="11">
        <f>SUM(Oct!C9, Nov!C9, Dec!C9)</f>
        <v>55875.100000000006</v>
      </c>
      <c r="D9" s="19">
        <f>SUM(Oct!D9, Nov!D9, Dec!D9)</f>
        <v>49493.950000000004</v>
      </c>
      <c r="E9" s="19">
        <f t="shared" si="0"/>
        <v>6381.1500000000015</v>
      </c>
      <c r="F9" s="20">
        <f t="shared" si="1"/>
        <v>0.12892787906400682</v>
      </c>
      <c r="G9" s="11">
        <f>SUM(Oct!G9,Nov!G9,Dec!G9)</f>
        <v>37355.42</v>
      </c>
      <c r="H9" s="21">
        <f>SUM(Oct!H9, Nov!H9, Dec!H9)</f>
        <v>18519.68</v>
      </c>
      <c r="I9" s="20">
        <f t="shared" si="2"/>
        <v>0.49576955633212</v>
      </c>
    </row>
    <row r="10" spans="1:9" ht="15.6">
      <c r="A10" s="12" t="str">
        <v>AZ: ASU - Pardee - Parking Lot 19</v>
      </c>
      <c r="B10" s="9" t="str">
        <v>AZ</v>
      </c>
      <c r="C10" s="25">
        <f>SUM(Oct!C10, Nov!C10, Dec!C10)</f>
        <v>60939.799999999996</v>
      </c>
      <c r="D10" s="13">
        <f>SUM(Oct!D10, Nov!D10, Dec!D10)</f>
        <v>71940.97</v>
      </c>
      <c r="E10" s="13">
        <f t="shared" si="0"/>
        <v>-11001.170000000006</v>
      </c>
      <c r="F10" s="14">
        <f t="shared" si="1"/>
        <v>-0.15291940044733907</v>
      </c>
      <c r="G10" s="15">
        <f>SUM(Oct!G10,Nov!G10,Dec!G10)</f>
        <v>55302.78</v>
      </c>
      <c r="H10" s="15">
        <f>SUM(Oct!H10, Nov!H10, Dec!H10)</f>
        <v>5637.0200000000023</v>
      </c>
      <c r="I10" s="16">
        <f t="shared" si="2"/>
        <v>0.10193013805092624</v>
      </c>
    </row>
    <row r="11" spans="1:9" ht="15.6">
      <c r="A11" s="18" t="str">
        <v>AZ: ASU - Pardee - Parking Lot 41</v>
      </c>
      <c r="B11" s="10" t="str">
        <v>AZ</v>
      </c>
      <c r="C11" s="11">
        <f>SUM(Oct!C11, Nov!C11, Dec!C11)</f>
        <v>63790.75</v>
      </c>
      <c r="D11" s="19">
        <f>SUM(Oct!D11, Nov!D11, Dec!D11)</f>
        <v>60369.31</v>
      </c>
      <c r="E11" s="19">
        <f t="shared" si="0"/>
        <v>3421.4400000000023</v>
      </c>
      <c r="F11" s="20">
        <f t="shared" si="1"/>
        <v>5.6675154975268101E-2</v>
      </c>
      <c r="G11" s="11">
        <f>SUM(Oct!G11,Nov!G11,Dec!G11)</f>
        <v>74290.299999999988</v>
      </c>
      <c r="H11" s="21">
        <f>SUM(Oct!H11, Nov!H11, Dec!H11)</f>
        <v>-10499.55</v>
      </c>
      <c r="I11" s="20">
        <f t="shared" si="2"/>
        <v>-0.14133137165955717</v>
      </c>
    </row>
    <row r="12" spans="1:9" ht="15.6">
      <c r="A12" s="12" t="str">
        <v>AZ: ASU - Pardee - Parking Lot 58</v>
      </c>
      <c r="B12" s="9" t="str">
        <v>AZ</v>
      </c>
      <c r="C12" s="25">
        <f>SUM(Oct!C12, Nov!C12, Dec!C12)</f>
        <v>61401.2</v>
      </c>
      <c r="D12" s="13">
        <f>SUM(Oct!D12, Nov!D12, Dec!D12)</f>
        <v>55365.24</v>
      </c>
      <c r="E12" s="13">
        <f t="shared" si="0"/>
        <v>6035.9599999999991</v>
      </c>
      <c r="F12" s="14">
        <f t="shared" si="1"/>
        <v>0.10902075020355731</v>
      </c>
      <c r="G12" s="15">
        <f>SUM(Oct!G12,Nov!G12,Dec!G12)</f>
        <v>85864.760000000009</v>
      </c>
      <c r="H12" s="15">
        <f>SUM(Oct!H12, Nov!H12, Dec!H12)</f>
        <v>-24463.56</v>
      </c>
      <c r="I12" s="16">
        <f t="shared" si="2"/>
        <v>-0.28490803444859097</v>
      </c>
    </row>
    <row r="13" spans="1:9" ht="15.6">
      <c r="A13" s="18" t="str">
        <v>AZ: ASU - Pardee - Parking Lot 59S</v>
      </c>
      <c r="B13" s="10" t="str">
        <v>AZ</v>
      </c>
      <c r="C13" s="11">
        <f>SUM(Oct!C13, Nov!C13, Dec!C13)</f>
        <v>78128.074999999997</v>
      </c>
      <c r="D13" s="19">
        <f>SUM(Oct!D13, Nov!D13, Dec!D13)</f>
        <v>60493.430000000008</v>
      </c>
      <c r="E13" s="19">
        <f t="shared" si="0"/>
        <v>17634.64499999999</v>
      </c>
      <c r="F13" s="20">
        <f t="shared" si="1"/>
        <v>0.29151339244608854</v>
      </c>
      <c r="G13" s="11">
        <f>SUM(Oct!G13,Nov!G13,Dec!G13)</f>
        <v>78508.87</v>
      </c>
      <c r="H13" s="21">
        <f>SUM(Oct!H13, Nov!H13, Dec!H13)</f>
        <v>-380.79500000000189</v>
      </c>
      <c r="I13" s="20">
        <f t="shared" si="2"/>
        <v>-4.8503436618053718E-3</v>
      </c>
    </row>
    <row r="14" spans="1:9" ht="15.6">
      <c r="A14" s="12" t="str">
        <v>AZ: ASU - Pardee - Sun Devil Complex</v>
      </c>
      <c r="B14" s="9" t="str">
        <v>AZ</v>
      </c>
      <c r="C14" s="25">
        <f>SUM(Oct!C14, Nov!C14, Dec!C14)</f>
        <v>66448.5</v>
      </c>
      <c r="D14" s="13">
        <f>SUM(Oct!D14, Nov!D14, Dec!D14)</f>
        <v>66858.17</v>
      </c>
      <c r="E14" s="13">
        <f t="shared" si="0"/>
        <v>-409.66999999999825</v>
      </c>
      <c r="F14" s="14">
        <f t="shared" si="1"/>
        <v>-6.1274485975311363E-3</v>
      </c>
      <c r="G14" s="15">
        <f>SUM(Oct!G14,Nov!G14,Dec!G14)</f>
        <v>85090.2</v>
      </c>
      <c r="H14" s="15">
        <f>SUM(Oct!H14, Nov!H14, Dec!H14)</f>
        <v>-18641.7</v>
      </c>
      <c r="I14" s="16">
        <f t="shared" si="2"/>
        <v>-0.21908163337258582</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mergeCells count="4">
    <mergeCell ref="G1:I1"/>
    <mergeCell ref="A1:C1"/>
    <mergeCell ref="D1:F1"/>
    <mergeCell ref="A2:B2"/>
  </mergeCells>
  <conditionalFormatting sqref="F2 I2 F4:F86 I4:I86">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7"/>
  <sheetViews>
    <sheetView zoomScale="70" zoomScaleNormal="70" workbookViewId="0">
      <pane ySplit="3" topLeftCell="A4" activePane="bottomLeft" state="frozen"/>
      <selection pane="bottomLeft" activeCell="J14" sqref="J14"/>
      <selection activeCell="E30" sqref="E3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1.5703125" bestFit="1" customWidth="1"/>
  </cols>
  <sheetData>
    <row r="1" spans="1:11" ht="19.5" customHeight="1">
      <c r="A1" s="90" t="str" cm="1">
        <f t="array" ref="A1">portfolio</f>
        <v>Pardee (ENCAP)</v>
      </c>
      <c r="B1" s="90"/>
      <c r="C1" s="90"/>
      <c r="D1" s="91" t="s">
        <v>18</v>
      </c>
      <c r="E1" s="91"/>
      <c r="F1" s="91"/>
      <c r="G1" s="89" t="s">
        <v>19</v>
      </c>
      <c r="H1" s="89"/>
      <c r="I1" s="89"/>
      <c r="J1" s="4"/>
      <c r="K1" s="4"/>
    </row>
    <row r="2" spans="1:11" ht="19.5" customHeight="1">
      <c r="A2" s="92" t="s">
        <v>2</v>
      </c>
      <c r="B2" s="92"/>
      <c r="C2" s="5">
        <f>SUM(C4:C85)</f>
        <v>288814.37545776367</v>
      </c>
      <c r="D2" s="5">
        <f>SUM(D4:D85)</f>
        <v>316487.484</v>
      </c>
      <c r="E2" s="5">
        <f>C2-D2</f>
        <v>-27673.108542236325</v>
      </c>
      <c r="F2" s="6">
        <f>IFERROR(E2/D2, 0)</f>
        <v>-8.7438239871237139E-2</v>
      </c>
      <c r="G2" s="5">
        <f>SUM(G4:G85)</f>
        <v>295930.84500000003</v>
      </c>
      <c r="H2" s="7">
        <f>C2-G2</f>
        <v>-7116.4695422363584</v>
      </c>
      <c r="I2" s="6">
        <f>IFERROR(H2/G2, 0)</f>
        <v>-2.4047745148824747E-2</v>
      </c>
      <c r="J2" s="27" t="str">
        <f ca="1">IF(AND(TODAY()&gt;DATE(2024, 1, 1), COUNTA(Sites[Site])&lt;&gt;(COUNT(C:C)-1)), "Some sites are missing actual data; if new sites were added, make sure they are aligned correctly (including prior months!)", "")</f>
        <v/>
      </c>
      <c r="K2" s="4"/>
    </row>
    <row r="3" spans="1:11" ht="14.25" customHeight="1">
      <c r="A3" s="28" t="s">
        <v>3</v>
      </c>
      <c r="B3" s="8" t="s">
        <v>4</v>
      </c>
      <c r="C3" s="24" t="s">
        <v>5</v>
      </c>
      <c r="D3" s="36" t="s">
        <v>6</v>
      </c>
      <c r="E3" s="36" t="s">
        <v>7</v>
      </c>
      <c r="F3" s="37" t="s">
        <v>8</v>
      </c>
      <c r="G3" s="41" t="s">
        <v>9</v>
      </c>
      <c r="H3" s="39" t="s">
        <v>7</v>
      </c>
      <c r="I3" s="40" t="s">
        <v>8</v>
      </c>
      <c r="J3" s="26" t="s">
        <v>20</v>
      </c>
      <c r="K3" s="26" t="s">
        <v>21</v>
      </c>
    </row>
    <row r="4" spans="1:11" ht="28.9">
      <c r="A4" s="33" t="str" cm="1">
        <f t="array" ref="A4:A14">Sites[Site]</f>
        <v>AZ: ASU - Pardee - Discovery Hall</v>
      </c>
      <c r="B4" s="30" t="str" cm="1">
        <f t="array" ref="B4:B14">Sites[State]</f>
        <v>AZ</v>
      </c>
      <c r="C4" s="25">
        <v>5916.75</v>
      </c>
      <c r="D4" s="13">
        <v>5538.3739999999998</v>
      </c>
      <c r="E4" s="13">
        <f>IF(AND(ISNUMBER(C4),ISNUMBER(D4)), C4-D4, "")</f>
        <v>378.3760000000002</v>
      </c>
      <c r="F4" s="14">
        <f>IFERROR(E4/D4, "")</f>
        <v>6.8318968708144343E-2</v>
      </c>
      <c r="G4" s="15">
        <v>6580.4769999999999</v>
      </c>
      <c r="H4" s="15">
        <f>IF(AND(ISNUMBER(C4),ISNUMBER(G4)), C4-G4, "")</f>
        <v>-663.72699999999986</v>
      </c>
      <c r="I4" s="16">
        <f>IFERROR(H4/G4, "")</f>
        <v>-0.10086305293673997</v>
      </c>
      <c r="J4" s="17" t="s">
        <v>22</v>
      </c>
      <c r="K4" s="17" t="s">
        <v>23</v>
      </c>
    </row>
    <row r="5" spans="1:11" ht="28.9">
      <c r="A5" s="31" t="str">
        <v>AZ: ASU - Pardee - Farrington</v>
      </c>
      <c r="B5" s="32" t="str">
        <v>AZ</v>
      </c>
      <c r="C5" s="11">
        <v>17359.000457763701</v>
      </c>
      <c r="D5" s="19">
        <v>25551.77</v>
      </c>
      <c r="E5" s="19">
        <f t="shared" ref="E5:E6" si="0">IF(AND(ISNUMBER(C5),ISNUMBER(D5)), C5-D5, "")</f>
        <v>-8192.7695422362995</v>
      </c>
      <c r="F5" s="20">
        <f>IFERROR(E5/D5, "")</f>
        <v>-0.32063412993449375</v>
      </c>
      <c r="G5" s="21">
        <v>24198.86</v>
      </c>
      <c r="H5" s="21">
        <f t="shared" ref="H5:H6" si="1">IF(AND(ISNUMBER(C5),ISNUMBER(G5)), C5-G5, "")</f>
        <v>-6839.8595422362996</v>
      </c>
      <c r="I5" s="20">
        <f t="shared" ref="I5:I6" si="2">IFERROR(H5/G5, "")</f>
        <v>-0.28265213907747305</v>
      </c>
      <c r="J5" s="46" t="s">
        <v>24</v>
      </c>
      <c r="K5" s="46" t="s">
        <v>25</v>
      </c>
    </row>
    <row r="6" spans="1:11" ht="63.75" customHeight="1">
      <c r="A6" s="29" t="str">
        <v>AZ: ASU - Pardee - Macro Tech.</v>
      </c>
      <c r="B6" s="30" t="str">
        <v>AZ</v>
      </c>
      <c r="C6" s="25">
        <v>76476.625</v>
      </c>
      <c r="D6" s="13">
        <v>96023.1</v>
      </c>
      <c r="E6" s="13">
        <f t="shared" si="0"/>
        <v>-19546.475000000006</v>
      </c>
      <c r="F6" s="14">
        <f t="shared" ref="F6:F14" si="3">IFERROR(E6/D6, "")</f>
        <v>-0.20356013292634798</v>
      </c>
      <c r="G6" s="15">
        <v>89844.160000000003</v>
      </c>
      <c r="H6" s="15">
        <f t="shared" si="1"/>
        <v>-13367.535000000003</v>
      </c>
      <c r="I6" s="16">
        <f t="shared" si="2"/>
        <v>-0.14878579754098656</v>
      </c>
      <c r="J6" s="17" t="s">
        <v>26</v>
      </c>
      <c r="K6" s="17" t="s">
        <v>27</v>
      </c>
    </row>
    <row r="7" spans="1:11" ht="15.6">
      <c r="A7" s="31" t="str">
        <v>AZ: ASU - Pardee - McCord Hall</v>
      </c>
      <c r="B7" s="32" t="str">
        <v>AZ</v>
      </c>
      <c r="C7" s="11">
        <v>8385.875</v>
      </c>
      <c r="D7" s="19">
        <v>6453.7860000000001</v>
      </c>
      <c r="E7" s="19">
        <f t="shared" ref="E7:E14" si="4">IF(AND(ISNUMBER(C7),ISNUMBER(D7)), C7-D7, "")</f>
        <v>1932.0889999999999</v>
      </c>
      <c r="F7" s="20">
        <f t="shared" si="3"/>
        <v>0.299372957206824</v>
      </c>
      <c r="G7" s="21">
        <v>8884.1229999999996</v>
      </c>
      <c r="H7" s="21">
        <f t="shared" ref="H7:H14" si="5">IF(AND(ISNUMBER(C7),ISNUMBER(G7)), C7-G7, "")</f>
        <v>-498.24799999999959</v>
      </c>
      <c r="I7" s="20">
        <f t="shared" ref="I7:I14" si="6">IFERROR(H7/G7, "")</f>
        <v>-5.6082969585180172E-2</v>
      </c>
      <c r="J7" s="42"/>
      <c r="K7" s="42"/>
    </row>
    <row r="8" spans="1:11" ht="15.6">
      <c r="A8" s="29" t="str">
        <v>AZ: NAU - SF Garage</v>
      </c>
      <c r="B8" s="30" t="str">
        <v>AZ</v>
      </c>
      <c r="C8" s="25">
        <v>52716</v>
      </c>
      <c r="D8" s="13">
        <v>57354.053999999996</v>
      </c>
      <c r="E8" s="13">
        <f t="shared" si="4"/>
        <v>-4638.0539999999964</v>
      </c>
      <c r="F8" s="14">
        <f t="shared" si="3"/>
        <v>-8.0867064776275394E-2</v>
      </c>
      <c r="G8" s="15">
        <v>45999.135000000002</v>
      </c>
      <c r="H8" s="15">
        <f t="shared" si="5"/>
        <v>6716.864999999998</v>
      </c>
      <c r="I8" s="16">
        <f t="shared" si="6"/>
        <v>0.14602155018784588</v>
      </c>
      <c r="J8" s="17"/>
      <c r="K8" s="17"/>
    </row>
    <row r="9" spans="1:11" ht="15.6">
      <c r="A9" s="31" t="str">
        <v>AZ: ASU - Pardee - Parking Lot 11</v>
      </c>
      <c r="B9" s="32" t="str">
        <v>AZ</v>
      </c>
      <c r="C9" s="11">
        <v>18327.75</v>
      </c>
      <c r="D9" s="19">
        <v>17757.759999999998</v>
      </c>
      <c r="E9" s="19">
        <f t="shared" si="4"/>
        <v>569.9900000000016</v>
      </c>
      <c r="F9" s="20">
        <f t="shared" si="3"/>
        <v>3.2098079938010289E-2</v>
      </c>
      <c r="G9" s="21">
        <v>10305.89</v>
      </c>
      <c r="H9" s="21">
        <f t="shared" si="5"/>
        <v>8021.8600000000006</v>
      </c>
      <c r="I9" s="20">
        <f t="shared" si="6"/>
        <v>0.77837624892173318</v>
      </c>
      <c r="J9" s="42"/>
      <c r="K9" s="43"/>
    </row>
    <row r="10" spans="1:11" ht="15.6">
      <c r="A10" s="29" t="str">
        <v>AZ: ASU - Pardee - Parking Lot 19</v>
      </c>
      <c r="B10" s="30" t="str">
        <v>AZ</v>
      </c>
      <c r="C10" s="25">
        <v>26035.5</v>
      </c>
      <c r="D10" s="13">
        <v>25220.52</v>
      </c>
      <c r="E10" s="13">
        <f t="shared" si="4"/>
        <v>814.97999999999956</v>
      </c>
      <c r="F10" s="14">
        <f t="shared" si="3"/>
        <v>3.2314163228989709E-2</v>
      </c>
      <c r="G10" s="15">
        <v>15260.94</v>
      </c>
      <c r="H10" s="15">
        <f t="shared" si="5"/>
        <v>10774.56</v>
      </c>
      <c r="I10" s="16">
        <f t="shared" si="6"/>
        <v>0.70602204058203488</v>
      </c>
      <c r="J10" s="17"/>
      <c r="K10" s="17"/>
    </row>
    <row r="11" spans="1:11" ht="28.9">
      <c r="A11" s="31" t="str">
        <v>AZ: ASU - Pardee - Parking Lot 41</v>
      </c>
      <c r="B11" s="32" t="str">
        <v>AZ</v>
      </c>
      <c r="C11" s="11">
        <v>19602.125</v>
      </c>
      <c r="D11" s="19">
        <v>21279.74</v>
      </c>
      <c r="E11" s="19">
        <f t="shared" si="4"/>
        <v>-1677.6150000000016</v>
      </c>
      <c r="F11" s="20">
        <f t="shared" si="3"/>
        <v>-7.8836254578298487E-2</v>
      </c>
      <c r="G11" s="21">
        <v>21672.34</v>
      </c>
      <c r="H11" s="21">
        <f t="shared" si="5"/>
        <v>-2070.2150000000001</v>
      </c>
      <c r="I11" s="20">
        <f t="shared" si="6"/>
        <v>-9.5523372187774833E-2</v>
      </c>
      <c r="J11" s="46" t="s">
        <v>28</v>
      </c>
      <c r="K11" s="42" t="s">
        <v>29</v>
      </c>
    </row>
    <row r="12" spans="1:11" ht="15.6">
      <c r="A12" s="29" t="str">
        <v>AZ: ASU - Pardee - Parking Lot 58</v>
      </c>
      <c r="B12" s="30" t="str">
        <v>AZ</v>
      </c>
      <c r="C12" s="25">
        <v>25842.75</v>
      </c>
      <c r="D12" s="13">
        <v>19977.46</v>
      </c>
      <c r="E12" s="13">
        <f t="shared" si="4"/>
        <v>5865.2900000000009</v>
      </c>
      <c r="F12" s="14">
        <f t="shared" si="3"/>
        <v>0.293595381995509</v>
      </c>
      <c r="G12" s="15">
        <v>22973.07</v>
      </c>
      <c r="H12" s="15">
        <f t="shared" si="5"/>
        <v>2869.6800000000003</v>
      </c>
      <c r="I12" s="16">
        <f t="shared" si="6"/>
        <v>0.12491495477095575</v>
      </c>
      <c r="J12" s="17"/>
      <c r="K12" s="17"/>
    </row>
    <row r="13" spans="1:11" ht="28.9">
      <c r="A13" s="31" t="str">
        <v>AZ: ASU - Pardee - Parking Lot 59S</v>
      </c>
      <c r="B13" s="32" t="str">
        <v>AZ</v>
      </c>
      <c r="C13" s="11">
        <v>20102.5</v>
      </c>
      <c r="D13" s="19">
        <v>18284.13</v>
      </c>
      <c r="E13" s="19">
        <f t="shared" si="4"/>
        <v>1818.369999999999</v>
      </c>
      <c r="F13" s="20">
        <f t="shared" si="3"/>
        <v>9.9450725848044111E-2</v>
      </c>
      <c r="G13" s="21">
        <v>25126.85</v>
      </c>
      <c r="H13" s="21">
        <f t="shared" si="5"/>
        <v>-5024.3499999999985</v>
      </c>
      <c r="I13" s="20">
        <f t="shared" si="6"/>
        <v>-0.19995940597408743</v>
      </c>
      <c r="J13" s="46" t="s">
        <v>30</v>
      </c>
      <c r="K13" s="46" t="s">
        <v>31</v>
      </c>
    </row>
    <row r="14" spans="1:11" ht="28.9">
      <c r="A14" s="29" t="str">
        <v>AZ: ASU - Pardee - Sun Devil Complex</v>
      </c>
      <c r="B14" s="30" t="str">
        <v>AZ</v>
      </c>
      <c r="C14" s="25">
        <v>18049.5</v>
      </c>
      <c r="D14" s="13">
        <v>23046.79</v>
      </c>
      <c r="E14" s="13">
        <f t="shared" si="4"/>
        <v>-4997.2900000000009</v>
      </c>
      <c r="F14" s="14">
        <f t="shared" si="3"/>
        <v>-0.21683236580886106</v>
      </c>
      <c r="G14" s="15">
        <v>25085</v>
      </c>
      <c r="H14" s="15">
        <f t="shared" si="5"/>
        <v>-7035.5</v>
      </c>
      <c r="I14" s="16">
        <f t="shared" si="6"/>
        <v>-0.28046641419174806</v>
      </c>
      <c r="J14" s="17" t="s">
        <v>32</v>
      </c>
      <c r="K14" s="17" t="s">
        <v>33</v>
      </c>
    </row>
    <row r="15" spans="1:11" ht="14.45">
      <c r="A15" s="22"/>
      <c r="B15" s="34"/>
      <c r="C15" s="22"/>
      <c r="D15" s="22"/>
      <c r="E15" s="22"/>
      <c r="F15" s="22"/>
      <c r="G15" s="22"/>
      <c r="H15" s="22"/>
      <c r="I15" s="22"/>
      <c r="J15" s="22"/>
      <c r="K15" s="22"/>
    </row>
    <row r="16" spans="1:11"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3"/>
      <c r="G18" s="22"/>
      <c r="H18" s="22"/>
      <c r="I18" s="23"/>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sheetData>
  <mergeCells count="4">
    <mergeCell ref="D1:F1"/>
    <mergeCell ref="A1:C1"/>
    <mergeCell ref="G1:I1"/>
    <mergeCell ref="A2:B2"/>
  </mergeCells>
  <conditionalFormatting sqref="F2 I2 F4:F85 I4:I85">
    <cfRule type="cellIs" dxfId="26" priority="2" stopIfTrue="1" operator="lessThanOrEqual">
      <formula>-0.1</formula>
    </cfRule>
    <cfRule type="expression" dxfId="25" priority="3">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8"/>
  <sheetViews>
    <sheetView topLeftCell="E1" workbookViewId="0">
      <pane ySplit="2" topLeftCell="A3" activePane="bottomLeft" state="frozen"/>
      <selection pane="bottomLeft" activeCell="L17" sqref="L17"/>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140625" customWidth="1"/>
  </cols>
  <sheetData>
    <row r="1" spans="1:14" ht="19.5" customHeight="1">
      <c r="A1" s="90" t="str" cm="1">
        <f t="array" ref="A1">portfolio</f>
        <v>Pardee (ENCAP)</v>
      </c>
      <c r="B1" s="90"/>
      <c r="C1" s="90"/>
      <c r="D1" s="91" t="s">
        <v>34</v>
      </c>
      <c r="E1" s="91"/>
      <c r="F1" s="91"/>
      <c r="G1" s="89" t="s">
        <v>35</v>
      </c>
      <c r="H1" s="89"/>
      <c r="I1" s="89"/>
      <c r="J1" s="4"/>
      <c r="K1" s="4"/>
    </row>
    <row r="2" spans="1:14" ht="19.5" customHeight="1">
      <c r="A2" s="92" t="s">
        <v>2</v>
      </c>
      <c r="B2" s="92"/>
      <c r="C2" s="5">
        <f>SUM(C4:C86)</f>
        <v>332166.07843017578</v>
      </c>
      <c r="D2" s="5">
        <f>SUM(D4:D86)</f>
        <v>336249.9</v>
      </c>
      <c r="E2" s="5">
        <f>C2-D2</f>
        <v>-4083.821569824242</v>
      </c>
      <c r="F2" s="6">
        <f>IFERROR(E2/D2, 0)</f>
        <v>-1.2145197871655104E-2</v>
      </c>
      <c r="G2" s="5">
        <f>SUM(G4:G86)</f>
        <v>336219.701</v>
      </c>
      <c r="H2" s="7">
        <f>C2-G2</f>
        <v>-4053.6225698242197</v>
      </c>
      <c r="I2" s="6">
        <f>IFERROR(H2/G2, 0)</f>
        <v>-1.2056469498270774E-2</v>
      </c>
      <c r="J2" s="27"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4" t="s">
        <v>5</v>
      </c>
      <c r="D3" s="36" t="s">
        <v>6</v>
      </c>
      <c r="E3" s="36" t="s">
        <v>7</v>
      </c>
      <c r="F3" s="37" t="s">
        <v>8</v>
      </c>
      <c r="G3" s="38" t="s">
        <v>9</v>
      </c>
      <c r="H3" s="39" t="s">
        <v>7</v>
      </c>
      <c r="I3" s="40" t="s">
        <v>8</v>
      </c>
      <c r="J3" s="26" t="s">
        <v>20</v>
      </c>
      <c r="K3" s="26" t="s">
        <v>21</v>
      </c>
    </row>
    <row r="4" spans="1:14" ht="28.9">
      <c r="A4" s="33" t="str" cm="1">
        <f t="array" ref="A4:A14">Sites[Site]</f>
        <v>AZ: ASU - Pardee - Discovery Hall</v>
      </c>
      <c r="B4" s="30" t="str" cm="1">
        <f t="array" ref="B4:B14">Sites[State]</f>
        <v>AZ</v>
      </c>
      <c r="C4" s="25">
        <v>6598.875</v>
      </c>
      <c r="D4" s="13">
        <v>5712.3580000000002</v>
      </c>
      <c r="E4" s="13">
        <f>IF(AND(ISNUMBER(C4),ISNUMBER(D4)), C4-D4, "")</f>
        <v>886.51699999999983</v>
      </c>
      <c r="F4" s="14">
        <f>IFERROR(E4/D4, "")</f>
        <v>0.15519282930096465</v>
      </c>
      <c r="G4" s="15">
        <v>7494.7110000000002</v>
      </c>
      <c r="H4" s="15">
        <f>IF(AND(ISNUMBER(C4),ISNUMBER(G4)), C4-G4, "")</f>
        <v>-895.83600000000024</v>
      </c>
      <c r="I4" s="16">
        <f>IFERROR(H4/G4, "")</f>
        <v>-0.11952909191561892</v>
      </c>
      <c r="J4" s="17" t="s">
        <v>22</v>
      </c>
      <c r="K4" s="57" t="s">
        <v>23</v>
      </c>
      <c r="L4" s="53"/>
    </row>
    <row r="5" spans="1:14" ht="15.6">
      <c r="A5" s="31" t="str">
        <v>AZ: ASU - Pardee - Farrington</v>
      </c>
      <c r="B5" s="32" t="str">
        <v>AZ</v>
      </c>
      <c r="C5" s="11">
        <v>31007.328430175799</v>
      </c>
      <c r="D5" s="19">
        <v>26810.49</v>
      </c>
      <c r="E5" s="19">
        <f t="shared" ref="E5:E14" si="0">IF(AND(ISNUMBER(C5),ISNUMBER(D5)), C5-D5, "")</f>
        <v>4196.8384301757978</v>
      </c>
      <c r="F5" s="20">
        <f>IFERROR(E5/D5, "")</f>
        <v>0.1565371774322587</v>
      </c>
      <c r="G5" s="21">
        <v>27770.28</v>
      </c>
      <c r="H5" s="21">
        <f t="shared" ref="H5:H14" si="1">IF(AND(ISNUMBER(C5),ISNUMBER(G5)), C5-G5, "")</f>
        <v>3237.0484301758006</v>
      </c>
      <c r="I5" s="20">
        <f t="shared" ref="I5:I14" si="2">IFERROR(H5/G5, "")</f>
        <v>0.11656520676693936</v>
      </c>
      <c r="J5" s="10"/>
      <c r="K5" s="18"/>
      <c r="L5" s="53"/>
    </row>
    <row r="6" spans="1:14" ht="57.6">
      <c r="A6" s="29" t="str">
        <v>AZ: ASU - Pardee - Macro Tech.</v>
      </c>
      <c r="B6" s="30" t="str">
        <v>AZ</v>
      </c>
      <c r="C6" s="25">
        <v>72327.375</v>
      </c>
      <c r="D6" s="13">
        <v>99628.9</v>
      </c>
      <c r="E6" s="13">
        <f t="shared" si="0"/>
        <v>-27301.524999999994</v>
      </c>
      <c r="F6" s="14">
        <f t="shared" ref="F6:F14" si="3">IFERROR(E6/D6, "")</f>
        <v>-0.27403218343271879</v>
      </c>
      <c r="G6" s="15">
        <v>97007.78</v>
      </c>
      <c r="H6" s="15">
        <f t="shared" si="1"/>
        <v>-24680.404999999999</v>
      </c>
      <c r="I6" s="16">
        <f t="shared" si="2"/>
        <v>-0.25441675915065781</v>
      </c>
      <c r="J6" s="17" t="s">
        <v>36</v>
      </c>
      <c r="K6" s="57" t="s">
        <v>37</v>
      </c>
      <c r="L6" s="61" t="s">
        <v>38</v>
      </c>
      <c r="M6" s="61" t="s">
        <v>39</v>
      </c>
      <c r="N6" s="61" t="s">
        <v>40</v>
      </c>
    </row>
    <row r="7" spans="1:14" ht="15.6">
      <c r="A7" s="31" t="str">
        <v>AZ: ASU - Pardee - McCord Hall</v>
      </c>
      <c r="B7" s="32" t="str">
        <v>AZ</v>
      </c>
      <c r="C7" s="11">
        <v>9147.5</v>
      </c>
      <c r="D7" s="19">
        <v>7200.1319999999996</v>
      </c>
      <c r="E7" s="19">
        <f t="shared" si="0"/>
        <v>1947.3680000000004</v>
      </c>
      <c r="F7" s="20">
        <f t="shared" si="3"/>
        <v>0.27046281929275751</v>
      </c>
      <c r="G7" s="21">
        <v>10117.14</v>
      </c>
      <c r="H7" s="21">
        <f t="shared" si="1"/>
        <v>-969.63999999999942</v>
      </c>
      <c r="I7" s="20">
        <f t="shared" si="2"/>
        <v>-9.5841314837987759E-2</v>
      </c>
      <c r="J7" s="10"/>
      <c r="K7" s="18"/>
      <c r="L7" s="53"/>
      <c r="M7" s="53"/>
      <c r="N7" s="53"/>
    </row>
    <row r="8" spans="1:14" ht="15.6">
      <c r="A8" s="29" t="str">
        <v>AZ: NAU - SF Garage</v>
      </c>
      <c r="B8" s="30" t="str">
        <v>AZ</v>
      </c>
      <c r="C8" s="25">
        <v>60795</v>
      </c>
      <c r="D8" s="13">
        <v>63728.1</v>
      </c>
      <c r="E8" s="13">
        <f t="shared" si="0"/>
        <v>-2933.0999999999985</v>
      </c>
      <c r="F8" s="14">
        <f t="shared" si="3"/>
        <v>-4.6025222782414645E-2</v>
      </c>
      <c r="G8" s="15">
        <v>53900.3</v>
      </c>
      <c r="H8" s="15">
        <f t="shared" si="1"/>
        <v>6894.6999999999971</v>
      </c>
      <c r="I8" s="16">
        <f t="shared" si="2"/>
        <v>0.12791580009758752</v>
      </c>
      <c r="J8" s="44"/>
      <c r="K8" s="17"/>
      <c r="L8" s="53"/>
      <c r="M8" s="53"/>
      <c r="N8" s="53"/>
    </row>
    <row r="9" spans="1:14" ht="15.6">
      <c r="A9" s="31" t="str">
        <v>AZ: ASU - Pardee - Parking Lot 11</v>
      </c>
      <c r="B9" s="32" t="str">
        <v>AZ</v>
      </c>
      <c r="C9" s="11">
        <v>20052.5</v>
      </c>
      <c r="D9" s="19">
        <v>18203.32</v>
      </c>
      <c r="E9" s="19">
        <f t="shared" si="0"/>
        <v>1849.1800000000003</v>
      </c>
      <c r="F9" s="20">
        <f t="shared" si="3"/>
        <v>0.10158476585589883</v>
      </c>
      <c r="G9" s="21">
        <v>13387.73</v>
      </c>
      <c r="H9" s="21">
        <f t="shared" si="1"/>
        <v>6664.77</v>
      </c>
      <c r="I9" s="20">
        <f t="shared" si="2"/>
        <v>0.49782674135196936</v>
      </c>
      <c r="J9" s="54"/>
      <c r="K9" s="45"/>
      <c r="L9" s="53"/>
      <c r="M9" s="53"/>
      <c r="N9" s="53"/>
    </row>
    <row r="10" spans="1:14" ht="15.6">
      <c r="A10" s="29" t="str">
        <v>AZ: ASU - Pardee - Parking Lot 19</v>
      </c>
      <c r="B10" s="30" t="str">
        <v>AZ</v>
      </c>
      <c r="C10" s="25">
        <v>28758</v>
      </c>
      <c r="D10" s="13">
        <v>25680.77</v>
      </c>
      <c r="E10" s="13">
        <f t="shared" si="0"/>
        <v>3077.2299999999996</v>
      </c>
      <c r="F10" s="14">
        <f t="shared" si="3"/>
        <v>0.1198262357398162</v>
      </c>
      <c r="G10" s="15">
        <v>19823.29</v>
      </c>
      <c r="H10" s="15">
        <f t="shared" si="1"/>
        <v>8934.7099999999991</v>
      </c>
      <c r="I10" s="16">
        <f t="shared" si="2"/>
        <v>0.45071781727452903</v>
      </c>
      <c r="J10" s="17"/>
      <c r="K10" s="17"/>
      <c r="L10" s="53"/>
      <c r="M10" s="53"/>
      <c r="N10" s="53"/>
    </row>
    <row r="11" spans="1:14" ht="15.6">
      <c r="A11" s="31" t="str">
        <v>AZ: ASU - Pardee - Parking Lot 41</v>
      </c>
      <c r="B11" s="32" t="str">
        <v>AZ</v>
      </c>
      <c r="C11" s="11">
        <v>23110.25</v>
      </c>
      <c r="D11" s="19">
        <v>22043</v>
      </c>
      <c r="E11" s="19">
        <f t="shared" si="0"/>
        <v>1067.25</v>
      </c>
      <c r="F11" s="20">
        <f t="shared" si="3"/>
        <v>4.8416730934990701E-2</v>
      </c>
      <c r="G11" s="21">
        <v>24870.34</v>
      </c>
      <c r="H11" s="21">
        <f t="shared" si="1"/>
        <v>-1760.0900000000001</v>
      </c>
      <c r="I11" s="20">
        <f t="shared" si="2"/>
        <v>-7.0770644872567082E-2</v>
      </c>
      <c r="J11" s="55" t="s">
        <v>41</v>
      </c>
      <c r="K11" s="58" t="s">
        <v>42</v>
      </c>
      <c r="L11" s="53"/>
      <c r="M11" s="53"/>
      <c r="N11" s="53"/>
    </row>
    <row r="12" spans="1:14" ht="15.6">
      <c r="A12" s="29" t="str">
        <v>AZ: ASU - Pardee - Parking Lot 58</v>
      </c>
      <c r="B12" s="30" t="str">
        <v>AZ</v>
      </c>
      <c r="C12" s="25">
        <v>28384.25</v>
      </c>
      <c r="D12" s="13">
        <v>22538.77</v>
      </c>
      <c r="E12" s="13">
        <f t="shared" si="0"/>
        <v>5845.48</v>
      </c>
      <c r="F12" s="14">
        <f t="shared" si="3"/>
        <v>0.25935221842185707</v>
      </c>
      <c r="G12" s="15">
        <v>26162.83</v>
      </c>
      <c r="H12" s="15">
        <f t="shared" si="1"/>
        <v>2221.4199999999983</v>
      </c>
      <c r="I12" s="16">
        <f t="shared" si="2"/>
        <v>8.4907481338983515E-2</v>
      </c>
      <c r="J12" s="17"/>
      <c r="K12" s="17"/>
      <c r="L12" s="53"/>
      <c r="M12" s="53"/>
      <c r="N12" s="53"/>
    </row>
    <row r="13" spans="1:14" ht="28.9">
      <c r="A13" s="31" t="str">
        <v>AZ: ASU - Pardee - Parking Lot 59S</v>
      </c>
      <c r="B13" s="32" t="str">
        <v>AZ</v>
      </c>
      <c r="C13" s="11">
        <v>23550</v>
      </c>
      <c r="D13" s="19">
        <v>20628.14</v>
      </c>
      <c r="E13" s="19">
        <f t="shared" si="0"/>
        <v>2921.8600000000006</v>
      </c>
      <c r="F13" s="20">
        <f t="shared" si="3"/>
        <v>0.14164437511089223</v>
      </c>
      <c r="G13" s="21">
        <v>28615.3</v>
      </c>
      <c r="H13" s="21">
        <f t="shared" si="1"/>
        <v>-5065.2999999999993</v>
      </c>
      <c r="I13" s="20">
        <f t="shared" si="2"/>
        <v>-0.17701369547060486</v>
      </c>
      <c r="J13" s="46" t="s">
        <v>30</v>
      </c>
      <c r="K13" s="59" t="s">
        <v>31</v>
      </c>
      <c r="L13" s="53"/>
      <c r="M13" s="53"/>
      <c r="N13" s="53"/>
    </row>
    <row r="14" spans="1:14" ht="15.6">
      <c r="A14" s="29" t="str">
        <v>AZ: ASU - Pardee - Sun Devil Complex</v>
      </c>
      <c r="B14" s="30" t="str">
        <v>AZ</v>
      </c>
      <c r="C14" s="25">
        <v>28435</v>
      </c>
      <c r="D14" s="13">
        <v>24075.919999999998</v>
      </c>
      <c r="E14" s="13">
        <f t="shared" si="0"/>
        <v>4359.0800000000017</v>
      </c>
      <c r="F14" s="14">
        <f t="shared" si="3"/>
        <v>0.1810555941372127</v>
      </c>
      <c r="G14" s="15">
        <v>27070</v>
      </c>
      <c r="H14" s="15">
        <f t="shared" si="1"/>
        <v>1365</v>
      </c>
      <c r="I14" s="16">
        <f t="shared" si="2"/>
        <v>5.0424824528998893E-2</v>
      </c>
      <c r="J14" s="17" t="s">
        <v>43</v>
      </c>
      <c r="K14" s="57" t="s">
        <v>44</v>
      </c>
      <c r="L14" s="53"/>
    </row>
    <row r="15" spans="1:14" ht="14.45">
      <c r="A15" s="22"/>
      <c r="B15" s="34"/>
      <c r="C15" s="22"/>
      <c r="D15" s="22"/>
      <c r="E15" s="22"/>
      <c r="F15" s="22"/>
      <c r="G15" s="22"/>
      <c r="H15" s="22"/>
      <c r="I15" s="22"/>
      <c r="J15" s="22"/>
      <c r="K15" s="22"/>
    </row>
    <row r="16" spans="1:14"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9649" xr:uid="{B7AE21CF-6F90-4E13-A2DD-4B0191BADBE7}"/>
    <hyperlink ref="K6" r:id="rId2" display="https://us3.assetplanner.com/service_request?ID=095814" xr:uid="{162153F3-78CB-484E-98B2-2B1D6F43B70A}"/>
    <hyperlink ref="L6" r:id="rId3" display="https://us3.assetplanner.com/service_request?ID=096160" xr:uid="{1E4DC318-82AA-40FB-8A27-93F18D7A98CA}"/>
    <hyperlink ref="M6" r:id="rId4" display="https://us3.assetplanner.com/service_request?ID=096012" xr:uid="{920B04CC-0F99-4BF0-8785-545718CFFBE4}"/>
    <hyperlink ref="N6" r:id="rId5" display="https://us3.assetplanner.com/service_request?ID=097592" xr:uid="{C0A080EC-C8D8-426A-96B7-ADF7648BA5C4}"/>
    <hyperlink ref="K11" r:id="rId6" display="https://us3.assetplanner.com/service_request?ID=096743" xr:uid="{98AE1C93-A899-4B24-8F65-56B27A10371E}"/>
    <hyperlink ref="K13" r:id="rId7" display="https://us3.assetplanner.com/service_request?ID=099639" xr:uid="{5946A77D-AB61-453B-97DA-ECFE736D198F}"/>
    <hyperlink ref="K14" r:id="rId8" display="https://us3.assetplanner.com/service_request?ID=097804" xr:uid="{287F1806-BA86-4A91-BB72-1B11DAC0484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M328"/>
  <sheetViews>
    <sheetView zoomScale="80" zoomScaleNormal="80" workbookViewId="0">
      <pane ySplit="2" topLeftCell="A3" activePane="bottomLeft" state="frozen"/>
      <selection pane="bottomLeft" activeCell="J14" sqref="J14"/>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90" t="str" cm="1">
        <f t="array" ref="A1">portfolio</f>
        <v>Pardee (ENCAP)</v>
      </c>
      <c r="B1" s="90"/>
      <c r="C1" s="90"/>
      <c r="D1" s="91" t="s">
        <v>45</v>
      </c>
      <c r="E1" s="91"/>
      <c r="F1" s="91"/>
      <c r="G1" s="89" t="s">
        <v>46</v>
      </c>
      <c r="H1" s="89"/>
      <c r="I1" s="89"/>
      <c r="J1" s="4"/>
      <c r="K1" s="4"/>
    </row>
    <row r="2" spans="1:13" ht="19.5" customHeight="1">
      <c r="A2" s="92" t="s">
        <v>2</v>
      </c>
      <c r="B2" s="92"/>
      <c r="C2" s="5">
        <f>SUM(C4:C86)</f>
        <v>383764.18206787109</v>
      </c>
      <c r="D2" s="5">
        <f>SUM(D4:D86)</f>
        <v>433651.85400000011</v>
      </c>
      <c r="E2" s="5">
        <f>C2-D2</f>
        <v>-49887.671932129015</v>
      </c>
      <c r="F2" s="6">
        <f>IFERROR(E2/D2, 0)</f>
        <v>-0.11504083626523363</v>
      </c>
      <c r="G2" s="5">
        <f>SUM(G4:G86)</f>
        <v>451424.61900000006</v>
      </c>
      <c r="H2" s="7">
        <f>C2-G2</f>
        <v>-67660.436932128971</v>
      </c>
      <c r="I2" s="6">
        <f>IFERROR(H2/G2, 0)</f>
        <v>-0.14988202699713407</v>
      </c>
      <c r="J2" s="27" t="str">
        <f ca="1">IF(AND(TODAY()&gt;DATE(2024, 3, 1), COUNTA(Sites[Site])&lt;&gt;(COUNT(C:C)-1)), "Some sites are missing actual data; if new sites were added, make sure they are aligned correctly (including prior months!)", "")</f>
        <v/>
      </c>
      <c r="K2" s="4"/>
    </row>
    <row r="3" spans="1:13" ht="14.25" customHeight="1">
      <c r="A3" s="8" t="s">
        <v>3</v>
      </c>
      <c r="B3" s="8" t="s">
        <v>4</v>
      </c>
      <c r="C3" s="24" t="s">
        <v>5</v>
      </c>
      <c r="D3" s="36" t="s">
        <v>6</v>
      </c>
      <c r="E3" s="36" t="s">
        <v>7</v>
      </c>
      <c r="F3" s="37" t="s">
        <v>8</v>
      </c>
      <c r="G3" s="38" t="s">
        <v>9</v>
      </c>
      <c r="H3" s="39" t="s">
        <v>7</v>
      </c>
      <c r="I3" s="40" t="s">
        <v>8</v>
      </c>
      <c r="J3" s="26" t="s">
        <v>20</v>
      </c>
      <c r="K3" s="26" t="s">
        <v>21</v>
      </c>
    </row>
    <row r="4" spans="1:13" ht="15.6">
      <c r="A4" s="33" t="str" cm="1">
        <f t="array" ref="A4:A14">Sites[Site]</f>
        <v>AZ: ASU - Pardee - Discovery Hall</v>
      </c>
      <c r="B4" s="30" t="str" cm="1">
        <f t="array" ref="B4:B14">Sites[State]</f>
        <v>AZ</v>
      </c>
      <c r="C4" s="25">
        <v>8782.5</v>
      </c>
      <c r="D4" s="13">
        <v>7595.152</v>
      </c>
      <c r="E4" s="13">
        <f>IF(AND(ISNUMBER(C4),ISNUMBER(D4)), C4-D4, "")</f>
        <v>1187.348</v>
      </c>
      <c r="F4" s="14">
        <f>IFERROR(E4/D4, "")</f>
        <v>0.15632972190681635</v>
      </c>
      <c r="G4" s="15">
        <v>9666.9110000000001</v>
      </c>
      <c r="H4" s="15">
        <f>IF(AND(ISNUMBER(C4),ISNUMBER(G4)), C4-G4, "")</f>
        <v>-884.41100000000006</v>
      </c>
      <c r="I4" s="16">
        <f>IFERROR(H4/G4, "")</f>
        <v>-9.1488480653230397E-2</v>
      </c>
      <c r="J4" s="17"/>
      <c r="K4" s="17"/>
      <c r="L4" s="53"/>
      <c r="M4" s="53"/>
    </row>
    <row r="5" spans="1:13" ht="15.6">
      <c r="A5" s="31" t="str">
        <v>AZ: ASU - Pardee - Farrington</v>
      </c>
      <c r="B5" s="32" t="str">
        <v>AZ</v>
      </c>
      <c r="C5" s="11">
        <v>42038.494567871101</v>
      </c>
      <c r="D5" s="19">
        <v>34677.96</v>
      </c>
      <c r="E5" s="19">
        <f t="shared" ref="E5:E14" si="0">IF(AND(ISNUMBER(C5),ISNUMBER(D5)), C5-D5, "")</f>
        <v>7360.5345678711019</v>
      </c>
      <c r="F5" s="20">
        <f>IFERROR(E5/D5, "")</f>
        <v>0.21225396672327618</v>
      </c>
      <c r="G5" s="21">
        <v>36204.6</v>
      </c>
      <c r="H5" s="21">
        <f t="shared" ref="H5:H14" si="1">IF(AND(ISNUMBER(C5),ISNUMBER(G5)), C5-G5, "")</f>
        <v>5833.8945678711025</v>
      </c>
      <c r="I5" s="20">
        <f t="shared" ref="I5:I14" si="2">IFERROR(H5/G5, "")</f>
        <v>0.16113683255362862</v>
      </c>
      <c r="J5" s="10"/>
      <c r="K5" s="18"/>
      <c r="L5" s="53"/>
      <c r="M5" s="53"/>
    </row>
    <row r="6" spans="1:13" ht="132.75" customHeight="1">
      <c r="A6" s="29" t="str">
        <v>AZ: ASU - Pardee - Macro Tech.</v>
      </c>
      <c r="B6" s="30" t="str">
        <v>AZ</v>
      </c>
      <c r="C6" s="25">
        <v>65281.875</v>
      </c>
      <c r="D6" s="13">
        <v>130478.6</v>
      </c>
      <c r="E6" s="13">
        <f t="shared" si="0"/>
        <v>-65196.725000000006</v>
      </c>
      <c r="F6" s="14">
        <f t="shared" ref="F6:F14" si="3">IFERROR(E6/D6, "")</f>
        <v>-0.49967370128128291</v>
      </c>
      <c r="G6" s="15">
        <v>132118.29999999999</v>
      </c>
      <c r="H6" s="15">
        <f t="shared" si="1"/>
        <v>-66836.424999999988</v>
      </c>
      <c r="I6" s="16">
        <f t="shared" si="2"/>
        <v>-0.50588317439749064</v>
      </c>
      <c r="J6" s="17" t="s">
        <v>47</v>
      </c>
      <c r="K6" s="57" t="s">
        <v>48</v>
      </c>
      <c r="L6" s="61" t="s">
        <v>38</v>
      </c>
      <c r="M6" s="61" t="s">
        <v>40</v>
      </c>
    </row>
    <row r="7" spans="1:13" ht="15.6">
      <c r="A7" s="31" t="str">
        <v>AZ: ASU - Pardee - McCord Hall</v>
      </c>
      <c r="B7" s="32" t="str">
        <v>AZ</v>
      </c>
      <c r="C7" s="11">
        <v>11958.875</v>
      </c>
      <c r="D7" s="19">
        <v>9976.8379999999997</v>
      </c>
      <c r="E7" s="19">
        <f t="shared" si="0"/>
        <v>1982.0370000000003</v>
      </c>
      <c r="F7" s="20">
        <f t="shared" si="3"/>
        <v>0.1986638451982482</v>
      </c>
      <c r="G7" s="21">
        <v>13050.47</v>
      </c>
      <c r="H7" s="21">
        <f t="shared" si="1"/>
        <v>-1091.5949999999993</v>
      </c>
      <c r="I7" s="20">
        <f t="shared" si="2"/>
        <v>-8.3644113966776623E-2</v>
      </c>
      <c r="J7" s="10"/>
      <c r="K7" s="18"/>
      <c r="L7" s="53"/>
      <c r="M7" s="53"/>
    </row>
    <row r="8" spans="1:13" ht="15.6">
      <c r="A8" s="29" t="str">
        <v>AZ: NAU - SF Garage</v>
      </c>
      <c r="B8" s="30" t="str">
        <v>AZ</v>
      </c>
      <c r="C8" s="25">
        <v>66881</v>
      </c>
      <c r="D8" s="13">
        <v>73331.983999999997</v>
      </c>
      <c r="E8" s="13">
        <f t="shared" si="0"/>
        <v>-6450.9839999999967</v>
      </c>
      <c r="F8" s="14">
        <f t="shared" si="3"/>
        <v>-8.7969582276677491E-2</v>
      </c>
      <c r="G8" s="15">
        <v>70919.217999999993</v>
      </c>
      <c r="H8" s="15">
        <f t="shared" si="1"/>
        <v>-4038.2179999999935</v>
      </c>
      <c r="I8" s="16">
        <f t="shared" si="2"/>
        <v>-5.694109599460042E-2</v>
      </c>
      <c r="J8" s="17"/>
      <c r="K8" s="17"/>
      <c r="L8" s="53"/>
      <c r="M8" s="53"/>
    </row>
    <row r="9" spans="1:13" ht="15.6">
      <c r="A9" s="31" t="str">
        <v>AZ: ASU - Pardee - Parking Lot 11</v>
      </c>
      <c r="B9" s="32" t="str">
        <v>AZ</v>
      </c>
      <c r="C9" s="11">
        <v>26029.9375</v>
      </c>
      <c r="D9" s="19">
        <v>24088.83</v>
      </c>
      <c r="E9" s="19">
        <f t="shared" si="0"/>
        <v>1941.1074999999983</v>
      </c>
      <c r="F9" s="20">
        <f t="shared" si="3"/>
        <v>8.0581227896913132E-2</v>
      </c>
      <c r="G9" s="21">
        <v>20241.87</v>
      </c>
      <c r="H9" s="21">
        <f t="shared" si="1"/>
        <v>5788.067500000001</v>
      </c>
      <c r="I9" s="20">
        <f t="shared" si="2"/>
        <v>0.28594529556804787</v>
      </c>
      <c r="J9" s="55"/>
      <c r="K9" s="56"/>
      <c r="L9" s="53"/>
      <c r="M9" s="53"/>
    </row>
    <row r="10" spans="1:13" ht="15.6">
      <c r="A10" s="29" t="str">
        <v>AZ: ASU - Pardee - Parking Lot 19</v>
      </c>
      <c r="B10" s="30" t="str">
        <v>AZ</v>
      </c>
      <c r="C10" s="25">
        <v>37359.125</v>
      </c>
      <c r="D10" s="13">
        <v>33798.339999999997</v>
      </c>
      <c r="E10" s="13">
        <f t="shared" si="0"/>
        <v>3560.7850000000035</v>
      </c>
      <c r="F10" s="14">
        <f t="shared" si="3"/>
        <v>0.10535384282186651</v>
      </c>
      <c r="G10" s="15">
        <v>29973.09</v>
      </c>
      <c r="H10" s="15">
        <f t="shared" si="1"/>
        <v>7386.0349999999999</v>
      </c>
      <c r="I10" s="16">
        <f t="shared" si="2"/>
        <v>0.24642220738669252</v>
      </c>
      <c r="J10" s="17"/>
      <c r="K10" s="17"/>
      <c r="L10" s="53"/>
      <c r="M10" s="53"/>
    </row>
    <row r="11" spans="1:13" ht="28.9">
      <c r="A11" s="31" t="str">
        <v>AZ: ASU - Pardee - Parking Lot 41</v>
      </c>
      <c r="B11" s="32" t="str">
        <v>AZ</v>
      </c>
      <c r="C11" s="11">
        <v>31821.125</v>
      </c>
      <c r="D11" s="19">
        <v>28864.959999999999</v>
      </c>
      <c r="E11" s="19">
        <f t="shared" si="0"/>
        <v>2956.1650000000009</v>
      </c>
      <c r="F11" s="20">
        <f t="shared" si="3"/>
        <v>0.10241361844949728</v>
      </c>
      <c r="G11" s="21">
        <v>32424.61</v>
      </c>
      <c r="H11" s="21">
        <f t="shared" si="1"/>
        <v>-603.48500000000058</v>
      </c>
      <c r="I11" s="20">
        <f t="shared" si="2"/>
        <v>-1.8611943212269957E-2</v>
      </c>
      <c r="J11" s="46" t="s">
        <v>49</v>
      </c>
      <c r="K11" s="60" t="s">
        <v>50</v>
      </c>
      <c r="L11" s="53"/>
      <c r="M11" s="53"/>
    </row>
    <row r="12" spans="1:13" ht="48" customHeight="1">
      <c r="A12" s="29" t="str">
        <v>AZ: ASU - Pardee - Parking Lot 58</v>
      </c>
      <c r="B12" s="30" t="str">
        <v>AZ</v>
      </c>
      <c r="C12" s="25">
        <v>36932.5</v>
      </c>
      <c r="D12" s="13">
        <v>30847.34</v>
      </c>
      <c r="E12" s="13">
        <f t="shared" si="0"/>
        <v>6085.16</v>
      </c>
      <c r="F12" s="14">
        <f t="shared" si="3"/>
        <v>0.19726692803982449</v>
      </c>
      <c r="G12" s="15">
        <v>33745.4</v>
      </c>
      <c r="H12" s="15">
        <f t="shared" si="1"/>
        <v>3187.0999999999985</v>
      </c>
      <c r="I12" s="16">
        <f t="shared" si="2"/>
        <v>9.4445465159695791E-2</v>
      </c>
      <c r="J12" s="17" t="s">
        <v>51</v>
      </c>
      <c r="K12" s="57" t="s">
        <v>52</v>
      </c>
      <c r="L12" s="53"/>
      <c r="M12" s="53"/>
    </row>
    <row r="13" spans="1:13" ht="28.9">
      <c r="A13" s="31" t="str">
        <v>AZ: ASU - Pardee - Parking Lot 59S</v>
      </c>
      <c r="B13" s="32" t="str">
        <v>AZ</v>
      </c>
      <c r="C13" s="11">
        <v>32097.25</v>
      </c>
      <c r="D13" s="19">
        <v>28231.83</v>
      </c>
      <c r="E13" s="19">
        <f t="shared" si="0"/>
        <v>3865.4199999999983</v>
      </c>
      <c r="F13" s="20">
        <f t="shared" si="3"/>
        <v>0.13691708968210697</v>
      </c>
      <c r="G13" s="21">
        <v>36909.15</v>
      </c>
      <c r="H13" s="21">
        <f t="shared" si="1"/>
        <v>-4811.9000000000015</v>
      </c>
      <c r="I13" s="20">
        <f t="shared" si="2"/>
        <v>-0.13037146615405668</v>
      </c>
      <c r="J13" s="46" t="s">
        <v>30</v>
      </c>
      <c r="K13" s="59" t="s">
        <v>31</v>
      </c>
      <c r="L13" s="53"/>
      <c r="M13" s="53"/>
    </row>
    <row r="14" spans="1:13" ht="135.75" customHeight="1">
      <c r="A14" s="29" t="str">
        <v>AZ: ASU - Pardee - Sun Devil Complex</v>
      </c>
      <c r="B14" s="30" t="str">
        <v>AZ</v>
      </c>
      <c r="C14" s="25">
        <v>24581.5</v>
      </c>
      <c r="D14" s="13">
        <v>31760.02</v>
      </c>
      <c r="E14" s="13">
        <f t="shared" si="0"/>
        <v>-7178.52</v>
      </c>
      <c r="F14" s="14">
        <f t="shared" si="3"/>
        <v>-0.2260237871386731</v>
      </c>
      <c r="G14" s="15">
        <v>36171</v>
      </c>
      <c r="H14" s="15">
        <f t="shared" si="1"/>
        <v>-11589.5</v>
      </c>
      <c r="I14" s="16">
        <f t="shared" si="2"/>
        <v>-0.32040861463603437</v>
      </c>
      <c r="J14" s="17" t="s">
        <v>53</v>
      </c>
      <c r="K14" s="57" t="s">
        <v>54</v>
      </c>
      <c r="L14" s="61" t="s">
        <v>55</v>
      </c>
      <c r="M14" s="61" t="s">
        <v>56</v>
      </c>
    </row>
    <row r="15" spans="1:13" ht="14.45">
      <c r="A15" s="22"/>
      <c r="B15" s="34"/>
      <c r="C15" s="22"/>
      <c r="D15" s="22"/>
      <c r="E15" s="22"/>
      <c r="F15" s="22"/>
      <c r="G15" s="22"/>
      <c r="H15" s="22"/>
      <c r="I15" s="22"/>
      <c r="J15" s="22"/>
      <c r="K15" s="22"/>
    </row>
    <row r="16" spans="1:13"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22" priority="1" stopIfTrue="1" operator="lessThanOrEqual">
      <formula>-0.1</formula>
    </cfRule>
    <cfRule type="expression" dxfId="21" priority="2">
      <formula>AND(ISNUMBER(F2), F2&gt;=0.1)</formula>
    </cfRule>
  </conditionalFormatting>
  <hyperlinks>
    <hyperlink ref="K6" r:id="rId1" display="https://us3.assetplanner.com/service_request?ID=096012" xr:uid="{B49359C8-70B9-4835-AD9A-8DE7C73402B4}"/>
    <hyperlink ref="L6" r:id="rId2" display="https://us3.assetplanner.com/service_request?ID=096160" xr:uid="{268CF8B6-2356-4CAD-A902-7EDB052E6EB5}"/>
    <hyperlink ref="M6" r:id="rId3" display="https://us3.assetplanner.com/service_request?ID=097592" xr:uid="{210BA1F0-9949-4471-8C50-F70200AB8952}"/>
    <hyperlink ref="K11" r:id="rId4" display="https://us3.assetplanner.com/service_request?ID=096743" xr:uid="{04BC7E3C-3EB3-40E9-B9D3-F31732D500F4}"/>
    <hyperlink ref="K12" r:id="rId5" display="https://us3.assetplanner.com/service_request?ID=095815" xr:uid="{1D254F19-CEA5-4A1B-9D95-605BB99D4246}"/>
    <hyperlink ref="K13" r:id="rId6" display="https://us3.assetplanner.com/service_request?ID=099639" xr:uid="{7519AE13-699A-4CBB-B942-BC43144DBAFE}"/>
    <hyperlink ref="K14" r:id="rId7" display="https://us3.assetplanner.com/service_request?ID=097804" xr:uid="{389CF7A1-90FF-40A1-88A3-CCD3E883C5BA}"/>
    <hyperlink ref="L14" r:id="rId8" display="https://us3.assetplanner.com/service_request?ID=098900" xr:uid="{779F4B4B-AF46-409C-AFF1-E729E582B0C3}"/>
    <hyperlink ref="M14" r:id="rId9" display="https://us3.assetplanner.com/service_request?ID=098620" xr:uid="{9C7FC7A2-52B2-412A-89A1-D75391AFEBC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Q328"/>
  <sheetViews>
    <sheetView zoomScale="70" zoomScaleNormal="70" workbookViewId="0">
      <pane ySplit="2" topLeftCell="A3" activePane="bottomLeft" state="frozen"/>
      <selection pane="bottomLeft" activeCell="L1" sqref="L1"/>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8.85546875" style="53"/>
  </cols>
  <sheetData>
    <row r="1" spans="1:16" ht="19.5" customHeight="1">
      <c r="A1" s="90" t="str" cm="1">
        <f t="array" ref="A1">portfolio</f>
        <v>Pardee (ENCAP)</v>
      </c>
      <c r="B1" s="90"/>
      <c r="C1" s="90"/>
      <c r="D1" s="91" t="s">
        <v>57</v>
      </c>
      <c r="E1" s="91"/>
      <c r="F1" s="91"/>
      <c r="G1" s="89" t="s">
        <v>58</v>
      </c>
      <c r="H1" s="89"/>
      <c r="I1" s="89"/>
      <c r="J1" s="4"/>
      <c r="K1" s="4"/>
    </row>
    <row r="2" spans="1:16" ht="19.5" customHeight="1">
      <c r="A2" s="92" t="s">
        <v>2</v>
      </c>
      <c r="B2" s="92"/>
      <c r="C2" s="5">
        <f>SUM(C4:C86)</f>
        <v>431830.98651123047</v>
      </c>
      <c r="D2" s="5">
        <f>SUM(D4:D86)</f>
        <v>489908.58899999998</v>
      </c>
      <c r="E2" s="5">
        <f>C2-D2</f>
        <v>-58077.602488769509</v>
      </c>
      <c r="F2" s="6">
        <f>IFERROR(E2/D2, 0)</f>
        <v>-0.11854783482632412</v>
      </c>
      <c r="G2" s="5">
        <f>SUM(G4:G86)</f>
        <v>544650.23999999999</v>
      </c>
      <c r="H2" s="7">
        <f>C2-G2</f>
        <v>-112819.25348876952</v>
      </c>
      <c r="I2" s="6">
        <f>IFERROR(H2/G2, 0)</f>
        <v>-0.20714073951159834</v>
      </c>
      <c r="J2" s="27" t="str">
        <f ca="1">IF(AND(TODAY()&gt;DATE(2024, 4, 1), COUNTA(Sites[Site])&lt;&gt;(COUNT(C:C)-1)), "Some sites are missing actual data; if new sites were added, make sure they are aligned correctly (including prior months!)", "")</f>
        <v/>
      </c>
      <c r="K2" s="4"/>
    </row>
    <row r="3" spans="1:16" ht="14.25" customHeight="1">
      <c r="A3" s="8" t="s">
        <v>3</v>
      </c>
      <c r="B3" s="8" t="s">
        <v>4</v>
      </c>
      <c r="C3" s="24" t="s">
        <v>5</v>
      </c>
      <c r="D3" s="36" t="s">
        <v>6</v>
      </c>
      <c r="E3" s="36" t="s">
        <v>7</v>
      </c>
      <c r="F3" s="37" t="s">
        <v>8</v>
      </c>
      <c r="G3" s="38" t="s">
        <v>9</v>
      </c>
      <c r="H3" s="39" t="s">
        <v>7</v>
      </c>
      <c r="I3" s="40" t="s">
        <v>8</v>
      </c>
      <c r="J3" s="26" t="s">
        <v>20</v>
      </c>
      <c r="K3" s="26" t="s">
        <v>21</v>
      </c>
    </row>
    <row r="4" spans="1:16" ht="15.6">
      <c r="A4" s="33" t="str" cm="1">
        <f t="array" ref="A4:A14">Sites[Site]</f>
        <v>AZ: ASU - Pardee - Discovery Hall</v>
      </c>
      <c r="B4" s="30" t="str" cm="1">
        <f t="array" ref="B4:B14">Sites[State]</f>
        <v>AZ</v>
      </c>
      <c r="C4" s="25">
        <v>9782.375</v>
      </c>
      <c r="D4" s="13">
        <v>8774.7479999999996</v>
      </c>
      <c r="E4" s="13">
        <f>IF(AND(ISNUMBER(C4),ISNUMBER(D4)), C4-D4, "")</f>
        <v>1007.6270000000004</v>
      </c>
      <c r="F4" s="14">
        <f>IFERROR(E4/D4, "")</f>
        <v>0.1148325855055895</v>
      </c>
      <c r="G4" s="15">
        <v>11388.88</v>
      </c>
      <c r="H4" s="15">
        <f>IF(AND(ISNUMBER(C4),ISNUMBER(G4)), C4-G4, "")</f>
        <v>-1606.5049999999992</v>
      </c>
      <c r="I4" s="16">
        <f>IFERROR(H4/G4, "")</f>
        <v>-0.1410590857046522</v>
      </c>
      <c r="J4" s="17" t="s">
        <v>59</v>
      </c>
      <c r="K4" s="17"/>
    </row>
    <row r="5" spans="1:16" ht="15.6">
      <c r="A5" s="31" t="str">
        <v>AZ: ASU - Pardee - Farrington</v>
      </c>
      <c r="B5" s="32" t="str">
        <v>AZ</v>
      </c>
      <c r="C5" s="11">
        <v>46470.174011230498</v>
      </c>
      <c r="D5" s="19">
        <v>38869.660000000003</v>
      </c>
      <c r="E5" s="19">
        <f t="shared" ref="E5:E14" si="0">IF(AND(ISNUMBER(C5),ISNUMBER(D5)), C5-D5, "")</f>
        <v>7600.5140112304944</v>
      </c>
      <c r="F5" s="20">
        <f>IFERROR(E5/D5, "")</f>
        <v>0.19553847425551171</v>
      </c>
      <c r="G5" s="21">
        <v>43012.94</v>
      </c>
      <c r="H5" s="21">
        <f t="shared" ref="H5:H14" si="1">IF(AND(ISNUMBER(C5),ISNUMBER(G5)), C5-G5, "")</f>
        <v>3457.2340112304955</v>
      </c>
      <c r="I5" s="20">
        <f t="shared" ref="I5:I14" si="2">IFERROR(H5/G5, "")</f>
        <v>8.0376603208952832E-2</v>
      </c>
      <c r="J5" s="42"/>
      <c r="K5" s="42"/>
    </row>
    <row r="6" spans="1:16" ht="158.44999999999999">
      <c r="A6" s="29" t="str">
        <v>AZ: ASU - Pardee - Macro Tech.</v>
      </c>
      <c r="B6" s="30" t="str">
        <v>AZ</v>
      </c>
      <c r="C6" s="25">
        <v>67915.125</v>
      </c>
      <c r="D6" s="13">
        <v>144722.4</v>
      </c>
      <c r="E6" s="13">
        <f t="shared" si="0"/>
        <v>-76807.274999999994</v>
      </c>
      <c r="F6" s="14">
        <f t="shared" ref="F6:F14" si="3">IFERROR(E6/D6, "")</f>
        <v>-0.53072140180096516</v>
      </c>
      <c r="G6" s="15">
        <v>157794.1</v>
      </c>
      <c r="H6" s="15">
        <f t="shared" si="1"/>
        <v>-89878.975000000006</v>
      </c>
      <c r="I6" s="16">
        <f t="shared" si="2"/>
        <v>-0.56959655018787148</v>
      </c>
      <c r="J6" s="17" t="s">
        <v>60</v>
      </c>
      <c r="K6" s="57" t="s">
        <v>61</v>
      </c>
      <c r="L6" s="61" t="s">
        <v>39</v>
      </c>
      <c r="M6" s="61" t="s">
        <v>38</v>
      </c>
      <c r="N6" s="61" t="s">
        <v>40</v>
      </c>
    </row>
    <row r="7" spans="1:16" ht="15.6">
      <c r="A7" s="31" t="str">
        <v>AZ: ASU - Pardee - McCord Hall</v>
      </c>
      <c r="B7" s="32" t="str">
        <v>AZ</v>
      </c>
      <c r="C7" s="11">
        <v>13171.5</v>
      </c>
      <c r="D7" s="19">
        <v>11671.52</v>
      </c>
      <c r="E7" s="19">
        <f t="shared" si="0"/>
        <v>1499.9799999999996</v>
      </c>
      <c r="F7" s="20">
        <f t="shared" si="3"/>
        <v>0.12851625152507981</v>
      </c>
      <c r="G7" s="21">
        <v>15375.47</v>
      </c>
      <c r="H7" s="21">
        <f t="shared" si="1"/>
        <v>-2203.9699999999993</v>
      </c>
      <c r="I7" s="20">
        <f t="shared" si="2"/>
        <v>-0.14334326040114542</v>
      </c>
      <c r="J7" s="42" t="s">
        <v>59</v>
      </c>
      <c r="K7" s="43"/>
    </row>
    <row r="8" spans="1:16" ht="15.6">
      <c r="A8" s="29" t="str">
        <v>AZ: NAU - SF Garage</v>
      </c>
      <c r="B8" s="30" t="str">
        <v>AZ</v>
      </c>
      <c r="C8" s="25">
        <v>89072</v>
      </c>
      <c r="D8" s="13">
        <v>89135.320999999996</v>
      </c>
      <c r="E8" s="13">
        <f t="shared" si="0"/>
        <v>-63.320999999996275</v>
      </c>
      <c r="F8" s="14">
        <f t="shared" si="3"/>
        <v>-7.1039178733642836E-4</v>
      </c>
      <c r="G8" s="15">
        <v>87478.27</v>
      </c>
      <c r="H8" s="15">
        <f t="shared" si="1"/>
        <v>1593.7299999999959</v>
      </c>
      <c r="I8" s="16">
        <f t="shared" si="2"/>
        <v>1.82185815974641E-2</v>
      </c>
      <c r="J8" s="17" t="s">
        <v>62</v>
      </c>
      <c r="K8" s="57" t="s">
        <v>63</v>
      </c>
    </row>
    <row r="9" spans="1:16" ht="43.15">
      <c r="A9" s="31" t="str">
        <v>AZ: ASU - Pardee - Parking Lot 11</v>
      </c>
      <c r="B9" s="32" t="str">
        <v>AZ</v>
      </c>
      <c r="C9" s="11">
        <v>28647.6875</v>
      </c>
      <c r="D9" s="19">
        <v>27500.1</v>
      </c>
      <c r="E9" s="19">
        <f t="shared" si="0"/>
        <v>1147.5875000000015</v>
      </c>
      <c r="F9" s="20">
        <f t="shared" si="3"/>
        <v>4.1730302798898972E-2</v>
      </c>
      <c r="G9" s="21">
        <v>26607.96</v>
      </c>
      <c r="H9" s="21">
        <f t="shared" si="1"/>
        <v>2039.7275000000009</v>
      </c>
      <c r="I9" s="20">
        <f t="shared" si="2"/>
        <v>7.665854503689877E-2</v>
      </c>
      <c r="J9" s="46" t="s">
        <v>64</v>
      </c>
      <c r="K9" s="59" t="s">
        <v>65</v>
      </c>
      <c r="L9" s="61" t="s">
        <v>66</v>
      </c>
      <c r="M9" s="61" t="s">
        <v>67</v>
      </c>
    </row>
    <row r="10" spans="1:16" ht="15.6">
      <c r="A10" s="29" t="str">
        <v>AZ: ASU - Pardee - Parking Lot 19</v>
      </c>
      <c r="B10" s="30" t="str">
        <v>AZ</v>
      </c>
      <c r="C10" s="25">
        <v>41390.5</v>
      </c>
      <c r="D10" s="13">
        <v>35772.43</v>
      </c>
      <c r="E10" s="13">
        <f t="shared" si="0"/>
        <v>5618.07</v>
      </c>
      <c r="F10" s="14">
        <f t="shared" si="3"/>
        <v>0.15705027586887443</v>
      </c>
      <c r="G10" s="15">
        <v>39398.620000000003</v>
      </c>
      <c r="H10" s="15">
        <f t="shared" si="1"/>
        <v>1991.8799999999974</v>
      </c>
      <c r="I10" s="16">
        <f t="shared" si="2"/>
        <v>5.055710073093924E-2</v>
      </c>
      <c r="J10" s="17"/>
      <c r="K10" s="17"/>
    </row>
    <row r="11" spans="1:16" ht="15.6">
      <c r="A11" s="31" t="str">
        <v>AZ: ASU - Pardee - Parking Lot 41</v>
      </c>
      <c r="B11" s="32" t="str">
        <v>AZ</v>
      </c>
      <c r="C11" s="11">
        <v>35712.125</v>
      </c>
      <c r="D11" s="19">
        <v>32036.25</v>
      </c>
      <c r="E11" s="19">
        <f t="shared" si="0"/>
        <v>3675.875</v>
      </c>
      <c r="F11" s="20">
        <f t="shared" si="3"/>
        <v>0.11474111358227009</v>
      </c>
      <c r="G11" s="21">
        <v>38522.629999999997</v>
      </c>
      <c r="H11" s="21">
        <f t="shared" si="1"/>
        <v>-2810.5049999999974</v>
      </c>
      <c r="I11" s="20">
        <f t="shared" si="2"/>
        <v>-7.2957246169329498E-2</v>
      </c>
      <c r="J11" s="42" t="s">
        <v>68</v>
      </c>
      <c r="K11" s="58" t="s">
        <v>69</v>
      </c>
    </row>
    <row r="12" spans="1:16" ht="43.15">
      <c r="A12" s="29" t="str">
        <v>AZ: ASU - Pardee - Parking Lot 58</v>
      </c>
      <c r="B12" s="30" t="str">
        <v>AZ</v>
      </c>
      <c r="C12" s="25">
        <v>36448</v>
      </c>
      <c r="D12" s="13">
        <v>31437.97</v>
      </c>
      <c r="E12" s="13">
        <f t="shared" si="0"/>
        <v>5010.0299999999988</v>
      </c>
      <c r="F12" s="14">
        <f t="shared" si="3"/>
        <v>0.15936238885653237</v>
      </c>
      <c r="G12" s="15">
        <v>43485.95</v>
      </c>
      <c r="H12" s="15">
        <f t="shared" si="1"/>
        <v>-7037.9499999999971</v>
      </c>
      <c r="I12" s="16">
        <f t="shared" si="2"/>
        <v>-0.16184422784830496</v>
      </c>
      <c r="J12" s="17" t="s">
        <v>51</v>
      </c>
      <c r="K12" s="57" t="s">
        <v>70</v>
      </c>
    </row>
    <row r="13" spans="1:16" ht="28.9">
      <c r="A13" s="31" t="str">
        <v>AZ: ASU - Pardee - Parking Lot 59S</v>
      </c>
      <c r="B13" s="32" t="str">
        <v>AZ</v>
      </c>
      <c r="C13" s="11">
        <v>40972.5</v>
      </c>
      <c r="D13" s="19">
        <v>34352.71</v>
      </c>
      <c r="E13" s="19">
        <f t="shared" si="0"/>
        <v>6619.7900000000009</v>
      </c>
      <c r="F13" s="20">
        <f t="shared" si="3"/>
        <v>0.19270066320823018</v>
      </c>
      <c r="G13" s="21">
        <v>39758.42</v>
      </c>
      <c r="H13" s="21">
        <f t="shared" si="1"/>
        <v>1214.0800000000017</v>
      </c>
      <c r="I13" s="20">
        <f t="shared" si="2"/>
        <v>3.0536424737200366E-2</v>
      </c>
      <c r="J13" s="62" t="s">
        <v>71</v>
      </c>
      <c r="K13" s="69" t="s">
        <v>31</v>
      </c>
    </row>
    <row r="14" spans="1:16" ht="273.60000000000002">
      <c r="A14" s="29" t="str">
        <v>AZ: ASU - Pardee - Sun Devil Complex</v>
      </c>
      <c r="B14" s="30" t="str">
        <v>AZ</v>
      </c>
      <c r="C14" s="25">
        <v>22249</v>
      </c>
      <c r="D14" s="13">
        <v>35635.480000000003</v>
      </c>
      <c r="E14" s="13">
        <f t="shared" si="0"/>
        <v>-13386.480000000003</v>
      </c>
      <c r="F14" s="14">
        <f t="shared" si="3"/>
        <v>-0.37565033500320472</v>
      </c>
      <c r="G14" s="15">
        <v>41827</v>
      </c>
      <c r="H14" s="15">
        <f t="shared" si="1"/>
        <v>-19578</v>
      </c>
      <c r="I14" s="16">
        <f t="shared" si="2"/>
        <v>-0.4680708633179525</v>
      </c>
      <c r="J14" s="17" t="s">
        <v>72</v>
      </c>
      <c r="K14" s="57" t="s">
        <v>73</v>
      </c>
      <c r="L14" s="61" t="s">
        <v>74</v>
      </c>
      <c r="M14" s="70" t="s">
        <v>75</v>
      </c>
      <c r="N14" s="61" t="s">
        <v>76</v>
      </c>
      <c r="O14" s="61" t="s">
        <v>77</v>
      </c>
      <c r="P14" s="61" t="s">
        <v>78</v>
      </c>
    </row>
    <row r="15" spans="1:16" ht="14.45">
      <c r="A15" s="22"/>
      <c r="B15" s="34"/>
      <c r="C15" s="22"/>
      <c r="D15" s="22"/>
      <c r="E15" s="22"/>
      <c r="F15" s="22"/>
      <c r="G15" s="22"/>
      <c r="H15" s="22"/>
      <c r="I15" s="22"/>
      <c r="J15" s="22"/>
      <c r="K15" s="22"/>
    </row>
    <row r="16" spans="1:16"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20" priority="1" stopIfTrue="1" operator="lessThanOrEqual">
      <formula>-0.1</formula>
    </cfRule>
    <cfRule type="expression" dxfId="19" priority="2">
      <formula>AND(ISNUMBER(F2), F2&gt;=0.1)</formula>
    </cfRule>
  </conditionalFormatting>
  <hyperlinks>
    <hyperlink ref="K6" r:id="rId1" display="https://us3.assetplanner.com/service_request?ID=099674" xr:uid="{A684CBF7-45ED-46EE-A83F-96AE57681465}"/>
    <hyperlink ref="L6" r:id="rId2" display="https://us3.assetplanner.com/service_request?ID=096012" xr:uid="{033439AA-4640-4F65-B8CA-1DB4E520A1F4}"/>
    <hyperlink ref="M6" r:id="rId3" display="https://us3.assetplanner.com/service_request?ID=096160" xr:uid="{59C3B4AE-1E24-447B-BA6D-22B7F6BE0063}"/>
    <hyperlink ref="N6" r:id="rId4" display="https://us3.assetplanner.com/service_request?ID=097592" xr:uid="{B373E678-0CE5-4EB1-8DF8-5B39DEEC2FC7}"/>
    <hyperlink ref="K8" r:id="rId5" display="https://us3.assetplanner.com/service_request?ID=100105" xr:uid="{A65DA532-3D8D-4328-95C0-0C1CAA452CC8}"/>
    <hyperlink ref="K9" r:id="rId6" display="https://us3.assetplanner.com/service_request?ID=100774" xr:uid="{55B5C879-5EE0-4EEF-9799-28B11E923907}"/>
    <hyperlink ref="L9" r:id="rId7" display="https://us3.assetplanner.com/service_request?ID=100778" xr:uid="{068F6C05-D044-4CBD-A445-E3B789BAD54C}"/>
    <hyperlink ref="M9" r:id="rId8" display="https://us3.assetplanner.com/service_request?ID=099610" xr:uid="{99194D96-C3CE-4A9A-AEB5-D733FC57B826}"/>
    <hyperlink ref="K11" r:id="rId9" display="https://us3.assetplanner.com/service_request?ID=100174" xr:uid="{282D132D-79E7-4ACE-8C66-77510261D374}"/>
    <hyperlink ref="K12" r:id="rId10" display="https://us3.assetplanner.com/service_request?ID=095815" xr:uid="{6E0B84C0-7F85-41F1-814B-DBA4D435195F}"/>
    <hyperlink ref="K13" r:id="rId11" display="https://us3.assetplanner.com/service_request?ID=099639" xr:uid="{7936029D-4231-4936-8FF9-7ECDECFB7520}"/>
    <hyperlink ref="K14" r:id="rId12" display="https://us3.assetplanner.com/service_request?ID=098620" xr:uid="{AF887CEE-D09A-4A2A-A7A0-86D05C4DD794}"/>
    <hyperlink ref="L14" r:id="rId13" display="https://us3.assetplanner.com/service_request?ID=100058" xr:uid="{19099FE4-69D1-462C-95F2-43AED01F119E}"/>
    <hyperlink ref="M14" r:id="rId14" display="https://us3.assetplanner.com/service_request?ID=98620" xr:uid="{4D07DC5D-B43D-4239-A17E-498DB460C3D1}"/>
    <hyperlink ref="N14" r:id="rId15" display="https://us3.assetplanner.com/service_request?ID=099782" xr:uid="{8FA9BCAF-7294-4A22-86E2-FD738A177EA8}"/>
    <hyperlink ref="O14" r:id="rId16" display="https://us3.assetplanner.com/service_request?ID=100047" xr:uid="{9611108F-0F7C-470B-801A-A65367C1061E}"/>
    <hyperlink ref="P14" r:id="rId17" display="https://us3.assetplanner.com/service_request?ID=100349" xr:uid="{0C9F74FD-6F4A-41D6-89D9-6D4C005F2245}"/>
  </hyperlinks>
  <pageMargins left="0.4" right="0.7" top="0.25" bottom="0.25" header="0.3" footer="0.3"/>
  <pageSetup fitToHeight="99" orientation="landscape" r:id="rId1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V328"/>
  <sheetViews>
    <sheetView zoomScale="60" zoomScaleNormal="60" workbookViewId="0">
      <pane ySplit="2" topLeftCell="A3" activePane="bottomLeft" state="frozen"/>
      <selection pane="bottomLeft" activeCell="J10" sqref="J10"/>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2" width="8.85546875" style="53"/>
  </cols>
  <sheetData>
    <row r="1" spans="1:19" ht="19.5" customHeight="1">
      <c r="A1" s="90" t="str" cm="1">
        <f t="array" ref="A1">portfolio</f>
        <v>Pardee (ENCAP)</v>
      </c>
      <c r="B1" s="90"/>
      <c r="C1" s="90"/>
      <c r="D1" s="91" t="s">
        <v>79</v>
      </c>
      <c r="E1" s="91"/>
      <c r="F1" s="91"/>
      <c r="G1" s="89" t="s">
        <v>80</v>
      </c>
      <c r="H1" s="89"/>
      <c r="I1" s="89"/>
      <c r="J1" s="4"/>
      <c r="K1" s="4"/>
    </row>
    <row r="2" spans="1:19" ht="19.5" customHeight="1">
      <c r="A2" s="92" t="s">
        <v>2</v>
      </c>
      <c r="B2" s="92"/>
      <c r="C2" s="5">
        <f>SUM(C4:C86)</f>
        <v>501084.60626000003</v>
      </c>
      <c r="D2" s="5">
        <f>SUM(D4:D86)</f>
        <v>514814.12899999996</v>
      </c>
      <c r="E2" s="5">
        <f>C2-D2</f>
        <v>-13729.522739999928</v>
      </c>
      <c r="F2" s="6">
        <f>IFERROR(E2/D2, 0)</f>
        <v>-2.6668892648049156E-2</v>
      </c>
      <c r="G2" s="5">
        <f>SUM(G4:G86)</f>
        <v>611602.75899999996</v>
      </c>
      <c r="H2" s="7">
        <f>C2-G2</f>
        <v>-110518.15273999993</v>
      </c>
      <c r="I2" s="6">
        <f>IFERROR(H2/G2, 0)</f>
        <v>-0.18070250847249683</v>
      </c>
      <c r="J2" s="27" t="str">
        <f ca="1">IF(AND(TODAY()&gt;DATE(2024, 5, 1), COUNTA(Sites[Site])&lt;&gt;(COUNT(C:C)-1)), "Some sites are missing actual data; if new sites were added, make sure they are aligned correctly (including prior months!)", "")</f>
        <v/>
      </c>
      <c r="K2" s="4"/>
    </row>
    <row r="3" spans="1:19" ht="14.25" customHeight="1">
      <c r="A3" s="8" t="s">
        <v>3</v>
      </c>
      <c r="B3" s="8" t="s">
        <v>4</v>
      </c>
      <c r="C3" s="24" t="s">
        <v>5</v>
      </c>
      <c r="D3" s="36" t="s">
        <v>6</v>
      </c>
      <c r="E3" s="36" t="s">
        <v>7</v>
      </c>
      <c r="F3" s="37" t="s">
        <v>8</v>
      </c>
      <c r="G3" s="38" t="s">
        <v>9</v>
      </c>
      <c r="H3" s="39" t="s">
        <v>7</v>
      </c>
      <c r="I3" s="40" t="s">
        <v>8</v>
      </c>
      <c r="J3" s="26" t="s">
        <v>20</v>
      </c>
      <c r="K3" s="26" t="s">
        <v>21</v>
      </c>
    </row>
    <row r="4" spans="1:19" ht="100.9">
      <c r="A4" s="33" t="str" cm="1">
        <f t="array" ref="A4:A14">Sites[Site]</f>
        <v>AZ: ASU - Pardee - Discovery Hall</v>
      </c>
      <c r="B4" s="30" t="str" cm="1">
        <f t="array" ref="B4:B14">Sites[State]</f>
        <v>AZ</v>
      </c>
      <c r="C4" s="25">
        <v>10488.875</v>
      </c>
      <c r="D4" s="13">
        <v>9328.8850000000002</v>
      </c>
      <c r="E4" s="13">
        <f>IF(AND(ISNUMBER(C4),ISNUMBER(D4)), C4-D4, "")</f>
        <v>1159.9899999999998</v>
      </c>
      <c r="F4" s="14">
        <f>IFERROR(E4/D4, "")</f>
        <v>0.12434390605093747</v>
      </c>
      <c r="G4" s="15">
        <v>12503.43</v>
      </c>
      <c r="H4" s="15">
        <f>IF(AND(ISNUMBER(C4),ISNUMBER(G4)), C4-G4, "")</f>
        <v>-2014.5550000000003</v>
      </c>
      <c r="I4" s="16">
        <f>IFERROR(H4/G4, "")</f>
        <v>-0.16112018862024263</v>
      </c>
      <c r="J4" s="17" t="s">
        <v>81</v>
      </c>
      <c r="K4" s="17"/>
    </row>
    <row r="5" spans="1:19" ht="15.6">
      <c r="A5" s="31" t="str">
        <v>AZ: ASU - Pardee - Farrington</v>
      </c>
      <c r="B5" s="32" t="str">
        <v>AZ</v>
      </c>
      <c r="C5" s="11">
        <v>50567.73126</v>
      </c>
      <c r="D5" s="19">
        <v>41070.699999999997</v>
      </c>
      <c r="E5" s="19">
        <f t="shared" ref="E5:E14" si="0">IF(AND(ISNUMBER(C5),ISNUMBER(D5)), C5-D5, "")</f>
        <v>9497.0312600000034</v>
      </c>
      <c r="F5" s="20">
        <f>IFERROR(E5/D5, "")</f>
        <v>0.23123616738940422</v>
      </c>
      <c r="G5" s="21">
        <v>47556.58</v>
      </c>
      <c r="H5" s="21">
        <f t="shared" ref="H5:H14" si="1">IF(AND(ISNUMBER(C5),ISNUMBER(G5)), C5-G5, "")</f>
        <v>3011.1512599999987</v>
      </c>
      <c r="I5" s="20">
        <f t="shared" ref="I5:I14" si="2">IFERROR(H5/G5, "")</f>
        <v>6.3317237278206262E-2</v>
      </c>
      <c r="J5" s="47"/>
      <c r="K5" s="49"/>
    </row>
    <row r="6" spans="1:19" ht="187.15">
      <c r="A6" s="29" t="str">
        <v>AZ: ASU - Pardee - Macro Tech.</v>
      </c>
      <c r="B6" s="30" t="str">
        <v>AZ</v>
      </c>
      <c r="C6" s="25">
        <v>113365.125</v>
      </c>
      <c r="D6" s="13">
        <v>148776.29999999999</v>
      </c>
      <c r="E6" s="13">
        <f t="shared" si="0"/>
        <v>-35411.174999999988</v>
      </c>
      <c r="F6" s="14">
        <f t="shared" ref="F6:F14" si="3">IFERROR(E6/D6, "")</f>
        <v>-0.23801623645701628</v>
      </c>
      <c r="G6" s="15">
        <v>171785.3</v>
      </c>
      <c r="H6" s="15">
        <f t="shared" si="1"/>
        <v>-58420.174999999988</v>
      </c>
      <c r="I6" s="16">
        <f t="shared" si="2"/>
        <v>-0.3400766829292145</v>
      </c>
      <c r="J6" s="17" t="s">
        <v>82</v>
      </c>
      <c r="K6" s="57" t="s">
        <v>83</v>
      </c>
      <c r="L6" s="61" t="s">
        <v>84</v>
      </c>
      <c r="M6" s="61" t="s">
        <v>38</v>
      </c>
      <c r="N6" s="61" t="s">
        <v>85</v>
      </c>
      <c r="O6" s="61" t="s">
        <v>86</v>
      </c>
      <c r="P6" s="61" t="s">
        <v>84</v>
      </c>
      <c r="Q6" s="61" t="s">
        <v>87</v>
      </c>
      <c r="R6" s="61" t="s">
        <v>88</v>
      </c>
      <c r="S6" s="61" t="s">
        <v>40</v>
      </c>
    </row>
    <row r="7" spans="1:19" ht="75" customHeight="1">
      <c r="A7" s="31" t="str">
        <v>AZ: ASU - Pardee - McCord Hall</v>
      </c>
      <c r="B7" s="32" t="str">
        <v>AZ</v>
      </c>
      <c r="C7" s="11">
        <v>13858</v>
      </c>
      <c r="D7" s="19">
        <v>12984.95</v>
      </c>
      <c r="E7" s="19">
        <f t="shared" si="0"/>
        <v>873.04999999999927</v>
      </c>
      <c r="F7" s="20">
        <f t="shared" si="3"/>
        <v>6.7235530363998264E-2</v>
      </c>
      <c r="G7" s="21">
        <v>16879.68</v>
      </c>
      <c r="H7" s="21">
        <f t="shared" si="1"/>
        <v>-3021.6800000000003</v>
      </c>
      <c r="I7" s="20">
        <f t="shared" si="2"/>
        <v>-0.17901287228193902</v>
      </c>
      <c r="J7" s="46" t="s">
        <v>89</v>
      </c>
      <c r="K7" s="60" t="s">
        <v>90</v>
      </c>
    </row>
    <row r="8" spans="1:19" ht="43.15">
      <c r="A8" s="29" t="str">
        <v>AZ: NAU - SF Garage</v>
      </c>
      <c r="B8" s="30" t="str">
        <v>AZ</v>
      </c>
      <c r="C8" s="25">
        <v>106384</v>
      </c>
      <c r="D8" s="13">
        <v>98956.114000000001</v>
      </c>
      <c r="E8" s="13">
        <f t="shared" si="0"/>
        <v>7427.8859999999986</v>
      </c>
      <c r="F8" s="14">
        <f t="shared" si="3"/>
        <v>7.5062426157922885E-2</v>
      </c>
      <c r="G8" s="15">
        <v>104975.109</v>
      </c>
      <c r="H8" s="15">
        <f t="shared" si="1"/>
        <v>1408.8910000000033</v>
      </c>
      <c r="I8" s="16">
        <f t="shared" si="2"/>
        <v>1.3421191113028549E-2</v>
      </c>
      <c r="J8" s="17" t="s">
        <v>91</v>
      </c>
      <c r="K8" s="57" t="s">
        <v>92</v>
      </c>
      <c r="L8" s="61" t="s">
        <v>93</v>
      </c>
    </row>
    <row r="9" spans="1:19" ht="144">
      <c r="A9" s="31" t="str">
        <v>AZ: ASU - Pardee - Parking Lot 11</v>
      </c>
      <c r="B9" s="32" t="str">
        <v>AZ</v>
      </c>
      <c r="C9" s="11">
        <v>23313.75</v>
      </c>
      <c r="D9" s="19">
        <v>29914.1</v>
      </c>
      <c r="E9" s="19">
        <f t="shared" si="0"/>
        <v>-6600.3499999999985</v>
      </c>
      <c r="F9" s="20">
        <f t="shared" si="3"/>
        <v>-0.22064344239004346</v>
      </c>
      <c r="G9" s="21">
        <v>31776</v>
      </c>
      <c r="H9" s="21">
        <f t="shared" si="1"/>
        <v>-8462.25</v>
      </c>
      <c r="I9" s="20">
        <f t="shared" si="2"/>
        <v>-0.26630947885196377</v>
      </c>
      <c r="J9" s="46" t="s">
        <v>94</v>
      </c>
      <c r="K9" s="64" t="s">
        <v>95</v>
      </c>
      <c r="L9" s="61" t="s">
        <v>66</v>
      </c>
      <c r="M9" s="61" t="s">
        <v>96</v>
      </c>
    </row>
    <row r="10" spans="1:19" ht="101.25" customHeight="1">
      <c r="A10" s="29" t="str">
        <v>AZ: ASU - Pardee - Parking Lot 19</v>
      </c>
      <c r="B10" s="30" t="str">
        <v>AZ</v>
      </c>
      <c r="C10" s="25">
        <v>42888.875</v>
      </c>
      <c r="D10" s="13">
        <v>35841.24</v>
      </c>
      <c r="E10" s="13">
        <f t="shared" si="0"/>
        <v>7047.635000000002</v>
      </c>
      <c r="F10" s="14">
        <f t="shared" si="3"/>
        <v>0.19663479834961073</v>
      </c>
      <c r="G10" s="15">
        <v>47053.07</v>
      </c>
      <c r="H10" s="15">
        <f t="shared" si="1"/>
        <v>-4164.1949999999997</v>
      </c>
      <c r="I10" s="16">
        <f t="shared" si="2"/>
        <v>-8.8499963976845716E-2</v>
      </c>
      <c r="J10" s="17" t="s">
        <v>97</v>
      </c>
      <c r="K10" s="57" t="s">
        <v>98</v>
      </c>
      <c r="L10" s="61" t="s">
        <v>99</v>
      </c>
      <c r="M10" s="61" t="s">
        <v>100</v>
      </c>
    </row>
    <row r="11" spans="1:19" ht="43.15">
      <c r="A11" s="31" t="str">
        <v>AZ: ASU - Pardee - Parking Lot 41</v>
      </c>
      <c r="B11" s="32" t="str">
        <v>AZ</v>
      </c>
      <c r="C11" s="11">
        <v>38351.25</v>
      </c>
      <c r="D11" s="19">
        <v>33576.230000000003</v>
      </c>
      <c r="E11" s="19">
        <f t="shared" si="0"/>
        <v>4775.0199999999968</v>
      </c>
      <c r="F11" s="20">
        <f t="shared" si="3"/>
        <v>0.14221429862733237</v>
      </c>
      <c r="G11" s="21">
        <v>42592.42</v>
      </c>
      <c r="H11" s="21">
        <f t="shared" si="1"/>
        <v>-4241.1699999999983</v>
      </c>
      <c r="I11" s="20">
        <f t="shared" si="2"/>
        <v>-9.957569915022435E-2</v>
      </c>
      <c r="J11" s="46" t="s">
        <v>101</v>
      </c>
      <c r="K11" s="59" t="s">
        <v>102</v>
      </c>
      <c r="L11" s="61" t="s">
        <v>103</v>
      </c>
    </row>
    <row r="12" spans="1:19" ht="86.45">
      <c r="A12" s="29" t="str">
        <v>AZ: ASU - Pardee - Parking Lot 58</v>
      </c>
      <c r="B12" s="30" t="str">
        <v>AZ</v>
      </c>
      <c r="C12" s="25">
        <v>23218.75</v>
      </c>
      <c r="D12" s="13">
        <v>31718.46</v>
      </c>
      <c r="E12" s="13">
        <f t="shared" si="0"/>
        <v>-8499.7099999999991</v>
      </c>
      <c r="F12" s="14">
        <f t="shared" si="3"/>
        <v>-0.26797360275372761</v>
      </c>
      <c r="G12" s="15">
        <v>47739.77</v>
      </c>
      <c r="H12" s="15">
        <f t="shared" si="1"/>
        <v>-24521.019999999997</v>
      </c>
      <c r="I12" s="16">
        <f t="shared" si="2"/>
        <v>-0.5136392571644145</v>
      </c>
      <c r="J12" s="17" t="s">
        <v>104</v>
      </c>
      <c r="K12" s="57" t="s">
        <v>105</v>
      </c>
      <c r="L12" s="65" t="s">
        <v>106</v>
      </c>
    </row>
    <row r="13" spans="1:19" ht="15.6">
      <c r="A13" s="31" t="str">
        <v>AZ: ASU - Pardee - Parking Lot 59S</v>
      </c>
      <c r="B13" s="32" t="str">
        <v>AZ</v>
      </c>
      <c r="C13" s="11">
        <v>43614.75</v>
      </c>
      <c r="D13" s="19">
        <v>34664.03</v>
      </c>
      <c r="E13" s="19">
        <f t="shared" si="0"/>
        <v>8950.7200000000012</v>
      </c>
      <c r="F13" s="20">
        <f t="shared" si="3"/>
        <v>0.25821348527565902</v>
      </c>
      <c r="G13" s="21">
        <v>43647.4</v>
      </c>
      <c r="H13" s="21">
        <f t="shared" si="1"/>
        <v>-32.650000000001455</v>
      </c>
      <c r="I13" s="20">
        <f t="shared" si="2"/>
        <v>-7.4803997488971749E-4</v>
      </c>
      <c r="J13" s="46"/>
      <c r="K13" s="52"/>
      <c r="L13" s="66"/>
    </row>
    <row r="14" spans="1:19" ht="28.9">
      <c r="A14" s="29" t="str">
        <v>AZ: ASU - Pardee - Sun Devil Complex</v>
      </c>
      <c r="B14" s="30" t="str">
        <v>AZ</v>
      </c>
      <c r="C14" s="25">
        <v>35033.5</v>
      </c>
      <c r="D14" s="13">
        <v>37983.120000000003</v>
      </c>
      <c r="E14" s="13">
        <f t="shared" si="0"/>
        <v>-2949.6200000000026</v>
      </c>
      <c r="F14" s="14">
        <f t="shared" si="3"/>
        <v>-7.7656074593135116E-2</v>
      </c>
      <c r="G14" s="15">
        <v>45094</v>
      </c>
      <c r="H14" s="15">
        <f t="shared" si="1"/>
        <v>-10060.5</v>
      </c>
      <c r="I14" s="16">
        <f t="shared" si="2"/>
        <v>-0.22310063423071805</v>
      </c>
      <c r="J14" s="17" t="s">
        <v>107</v>
      </c>
      <c r="K14" s="57" t="s">
        <v>108</v>
      </c>
      <c r="L14" s="61" t="s">
        <v>78</v>
      </c>
    </row>
    <row r="15" spans="1:19" ht="14.45">
      <c r="A15" s="22"/>
      <c r="B15" s="34"/>
      <c r="C15" s="22"/>
      <c r="D15" s="22"/>
      <c r="E15" s="22"/>
      <c r="F15" s="22"/>
      <c r="G15" s="22"/>
      <c r="H15" s="22"/>
      <c r="I15" s="22"/>
      <c r="J15" s="22"/>
      <c r="K15" s="22"/>
    </row>
    <row r="16" spans="1:19"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18" priority="1" stopIfTrue="1" operator="lessThanOrEqual">
      <formula>-0.1</formula>
    </cfRule>
    <cfRule type="expression" dxfId="17" priority="2">
      <formula>AND(ISNUMBER(F2), F2&gt;=0.1)</formula>
    </cfRule>
  </conditionalFormatting>
  <hyperlinks>
    <hyperlink ref="K6" r:id="rId1" display="https://us3.assetplanner.com/service_request?ID=101060" xr:uid="{EF230120-48B8-4A8F-95DB-66E8C2464A69}"/>
    <hyperlink ref="L6" r:id="rId2" display="https://us3.assetplanner.com/service_request?ID=101332" xr:uid="{3B5539F2-1CCC-4191-8BF9-61393839B516}"/>
    <hyperlink ref="M6" r:id="rId3" display="https://us3.assetplanner.com/service_request?ID=096160" xr:uid="{901E440F-9A4E-4CC4-9DF9-FF7AE5679F22}"/>
    <hyperlink ref="N6" r:id="rId4" display="https://us3.assetplanner.com/service_request?ID=102080" xr:uid="{A371AF3A-5AB3-4801-B3FB-79D150E66568}"/>
    <hyperlink ref="O6" r:id="rId5" display="https://us3.assetplanner.com/service_request?ID=101060" xr:uid="{2619CB8B-79B2-40A5-848A-E6E53F4F3170}"/>
    <hyperlink ref="P6" r:id="rId6" display="https://us3.assetplanner.com/service_request?ID=101332" xr:uid="{C2603377-DF1F-478B-BE9F-05CD79731FA5}"/>
    <hyperlink ref="Q6" r:id="rId7" display="https://us3.assetplanner.com/service_request?ID=101859" xr:uid="{250E2F72-1BCC-404C-AC62-81D77A9DABE6}"/>
    <hyperlink ref="R6" r:id="rId8" display="https://us3.assetplanner.com/service_request?ID=102524" xr:uid="{01228266-2456-4A2F-85B0-277540D142C4}"/>
    <hyperlink ref="S6" r:id="rId9" display="https://us3.assetplanner.com/service_request?ID=097592" xr:uid="{3042C2D6-6F16-4D13-B91B-E0A379E7CF21}"/>
    <hyperlink ref="K7" r:id="rId10" display="https://us3.assetplanner.com/service_request?ID=102079" xr:uid="{EFA9A42C-0A34-42EA-8EA7-49B7E1E1E159}"/>
    <hyperlink ref="K8" r:id="rId11" display="https://us3.assetplanner.com/service_request?ID=101409" xr:uid="{2F6411E8-21F1-4C5F-98A7-764D98E3E195}"/>
    <hyperlink ref="L8" r:id="rId12" display="https://us3.assetplanner.com/service_request?ID=100105" xr:uid="{DE519BA2-DFF4-4125-96D5-8FBBF5F7F879}"/>
    <hyperlink ref="K9" r:id="rId13" display="https://us3.assetplanner.com/service_request?ID=100774" xr:uid="{2D235180-C440-47D4-947C-4B048A7ABC6C}"/>
    <hyperlink ref="L9" r:id="rId14" display="https://us3.assetplanner.com/service_request?ID=100778" xr:uid="{F4C7AB11-D4C3-4FC9-927F-6C457799D61F}"/>
    <hyperlink ref="M9" r:id="rId15" display="https://us3.assetplanner.com/service_request?ID=101850" xr:uid="{46A8AF4F-FECA-4048-B7DA-3F8193343627}"/>
    <hyperlink ref="K10" r:id="rId16" display="https://us3.assetplanner.com/service_request?ID=099846" xr:uid="{1AAF99C7-CAB0-4B7B-9198-CDB5FECE4763}"/>
    <hyperlink ref="L10" r:id="rId17" display="https://us3.assetplanner.com/service_request?ID=101951" xr:uid="{279BE12E-BFA2-4E49-BC8F-F7C4DD5E5026}"/>
    <hyperlink ref="M10" r:id="rId18" display="https://us3.assetplanner.com/service_request?ID=102330" xr:uid="{3126ED92-C7B8-470E-A803-199B26F35D41}"/>
    <hyperlink ref="K11" r:id="rId19" display="https://us3.assetplanner.com/service_request?ID=100174" xr:uid="{B9B38441-F693-48E9-A10D-A57441704D2F}"/>
    <hyperlink ref="L11" r:id="rId20" display="https://us3.assetplanner.com/service_request?ID=099847" xr:uid="{56C00C07-E873-49BC-946B-C8E243FBCC19}"/>
    <hyperlink ref="K12" r:id="rId21" display="https://us3.assetplanner.com/service_request?ID=101590" xr:uid="{CDFB7CC4-B50F-4197-AD55-E104886D6F83}"/>
    <hyperlink ref="L12" r:id="rId22" display="https://us3.assetplanner.com/service_request?ID=101591" xr:uid="{352D0698-6B53-41D3-A6F8-2A7C3260A526}"/>
    <hyperlink ref="K14" r:id="rId23" display="https://us3.assetplanner.com/service_request?ID=100047" xr:uid="{01A25D6D-9007-4E07-9AE0-C192DAE887FF}"/>
    <hyperlink ref="L14" r:id="rId24" display="https://us3.assetplanner.com/service_request?ID=100349" xr:uid="{285330FA-394C-49CE-90C9-E5D3A88E711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28"/>
  <sheetViews>
    <sheetView zoomScale="70" zoomScaleNormal="70" zoomScaleSheetLayoutView="100" workbookViewId="0">
      <pane ySplit="2" topLeftCell="A3" activePane="bottomLeft" state="frozen"/>
      <selection pane="bottomLeft" activeCell="J12" sqref="J12"/>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53"/>
  </cols>
  <sheetData>
    <row r="1" spans="1:14" ht="19.5" customHeight="1">
      <c r="A1" s="90" t="str" cm="1">
        <f t="array" ref="A1">portfolio</f>
        <v>Pardee (ENCAP)</v>
      </c>
      <c r="B1" s="90"/>
      <c r="C1" s="90"/>
      <c r="D1" s="91" t="s">
        <v>109</v>
      </c>
      <c r="E1" s="91"/>
      <c r="F1" s="91"/>
      <c r="G1" s="89" t="s">
        <v>110</v>
      </c>
      <c r="H1" s="89"/>
      <c r="I1" s="89"/>
      <c r="J1" s="4"/>
      <c r="K1" s="4"/>
    </row>
    <row r="2" spans="1:14" ht="19.5" customHeight="1">
      <c r="A2" s="92" t="s">
        <v>2</v>
      </c>
      <c r="B2" s="92"/>
      <c r="C2" s="5">
        <f>SUM(C4:C86)</f>
        <v>523643.97687000001</v>
      </c>
      <c r="D2" s="5">
        <f>SUM(D4:D86)</f>
        <v>506569.91900000005</v>
      </c>
      <c r="E2" s="5">
        <f>C2-D2</f>
        <v>17074.057869999961</v>
      </c>
      <c r="F2" s="6">
        <f>IFERROR(E2/D2, 0)</f>
        <v>3.3705234419969497E-2</v>
      </c>
      <c r="G2" s="5">
        <f>SUM(G4:G86)</f>
        <v>590452.65399999998</v>
      </c>
      <c r="H2" s="7">
        <f>C2-G2</f>
        <v>-66808.677129999967</v>
      </c>
      <c r="I2" s="6">
        <f>IFERROR(H2/G2, 0)</f>
        <v>-0.11314823750457724</v>
      </c>
      <c r="J2" s="27"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4" t="s">
        <v>5</v>
      </c>
      <c r="D3" s="36" t="s">
        <v>6</v>
      </c>
      <c r="E3" s="36" t="s">
        <v>7</v>
      </c>
      <c r="F3" s="37" t="s">
        <v>8</v>
      </c>
      <c r="G3" s="38" t="s">
        <v>9</v>
      </c>
      <c r="H3" s="39" t="s">
        <v>7</v>
      </c>
      <c r="I3" s="40" t="s">
        <v>8</v>
      </c>
      <c r="J3" s="26" t="s">
        <v>20</v>
      </c>
      <c r="K3" s="26" t="s">
        <v>21</v>
      </c>
    </row>
    <row r="4" spans="1:14" ht="100.9">
      <c r="A4" s="33" t="str" cm="1">
        <f t="array" ref="A4:A14">Sites[Site]</f>
        <v>AZ: ASU - Pardee - Discovery Hall</v>
      </c>
      <c r="B4" s="30" t="str" cm="1">
        <f t="array" ref="B4:B14">Sites[State]</f>
        <v>AZ</v>
      </c>
      <c r="C4" s="25">
        <v>10345.125</v>
      </c>
      <c r="D4" s="13">
        <v>9148.1959999999999</v>
      </c>
      <c r="E4" s="13">
        <f>IF(AND(ISNUMBER(C4),ISNUMBER(D4)), C4-D4, "")</f>
        <v>1196.9290000000001</v>
      </c>
      <c r="F4" s="14">
        <f>IFERROR(E4/D4, "")</f>
        <v>0.13083770833069167</v>
      </c>
      <c r="G4" s="15">
        <v>11850.06</v>
      </c>
      <c r="H4" s="15">
        <f>IF(AND(ISNUMBER(C4),ISNUMBER(G4)), C4-G4, "")</f>
        <v>-1504.9349999999995</v>
      </c>
      <c r="I4" s="16">
        <f>IFERROR(H4/G4, "")</f>
        <v>-0.12699809114890553</v>
      </c>
      <c r="J4" s="63" t="s">
        <v>111</v>
      </c>
      <c r="K4" s="50"/>
    </row>
    <row r="5" spans="1:14" ht="15.6">
      <c r="A5" s="31" t="str">
        <v>AZ: ASU - Pardee - Farrington</v>
      </c>
      <c r="B5" s="32" t="str">
        <v>AZ</v>
      </c>
      <c r="C5" s="11">
        <v>50179.851869999999</v>
      </c>
      <c r="D5" s="19">
        <v>40332</v>
      </c>
      <c r="E5" s="19">
        <f t="shared" ref="E5:E14" si="0">IF(AND(ISNUMBER(C5),ISNUMBER(D5)), C5-D5, "")</f>
        <v>9847.8518699999986</v>
      </c>
      <c r="F5" s="20">
        <f>IFERROR(E5/D5, "")</f>
        <v>0.2441696883368045</v>
      </c>
      <c r="G5" s="21">
        <v>45206.8</v>
      </c>
      <c r="H5" s="21">
        <f t="shared" ref="H5:H14" si="1">IF(AND(ISNUMBER(C5),ISNUMBER(G5)), C5-G5, "")</f>
        <v>4973.0518699999957</v>
      </c>
      <c r="I5" s="20">
        <f t="shared" ref="I5:I14" si="2">IFERROR(H5/G5, "")</f>
        <v>0.11000672177636982</v>
      </c>
      <c r="J5" s="49"/>
      <c r="K5" s="49"/>
    </row>
    <row r="6" spans="1:14" ht="144">
      <c r="A6" s="29" t="str">
        <v>AZ: ASU - Pardee - Macro Tech.</v>
      </c>
      <c r="B6" s="30" t="str">
        <v>AZ</v>
      </c>
      <c r="C6" s="25">
        <v>133399.25</v>
      </c>
      <c r="D6" s="13">
        <v>147385.5</v>
      </c>
      <c r="E6" s="13">
        <f t="shared" si="0"/>
        <v>-13986.25</v>
      </c>
      <c r="F6" s="14">
        <f t="shared" ref="F6:F14" si="3">IFERROR(E6/D6, "")</f>
        <v>-9.4895698694919109E-2</v>
      </c>
      <c r="G6" s="15">
        <v>167910.1</v>
      </c>
      <c r="H6" s="15">
        <f t="shared" si="1"/>
        <v>-34510.850000000006</v>
      </c>
      <c r="I6" s="16">
        <f t="shared" si="2"/>
        <v>-0.205531710123453</v>
      </c>
      <c r="J6" s="50" t="s">
        <v>112</v>
      </c>
      <c r="K6" s="67" t="s">
        <v>113</v>
      </c>
      <c r="L6" s="61" t="s">
        <v>40</v>
      </c>
      <c r="M6" s="61" t="s">
        <v>87</v>
      </c>
      <c r="N6" s="61" t="s">
        <v>114</v>
      </c>
    </row>
    <row r="7" spans="1:14" ht="100.9">
      <c r="A7" s="31" t="str">
        <v>AZ: ASU - Pardee - McCord Hall</v>
      </c>
      <c r="B7" s="32" t="str">
        <v>AZ</v>
      </c>
      <c r="C7" s="11">
        <v>13637.875</v>
      </c>
      <c r="D7" s="19">
        <v>13138.94</v>
      </c>
      <c r="E7" s="19">
        <f t="shared" si="0"/>
        <v>498.93499999999949</v>
      </c>
      <c r="F7" s="20">
        <f t="shared" si="3"/>
        <v>3.7973763484725517E-2</v>
      </c>
      <c r="G7" s="21">
        <v>15997.24</v>
      </c>
      <c r="H7" s="21">
        <f t="shared" si="1"/>
        <v>-2359.3649999999998</v>
      </c>
      <c r="I7" s="20">
        <f t="shared" si="2"/>
        <v>-0.14748575379252921</v>
      </c>
      <c r="J7" s="47" t="s">
        <v>111</v>
      </c>
      <c r="K7" s="48"/>
    </row>
    <row r="8" spans="1:14" ht="15.6">
      <c r="A8" s="29" t="str">
        <v>AZ: NAU - SF Garage</v>
      </c>
      <c r="B8" s="30" t="str">
        <v>AZ</v>
      </c>
      <c r="C8" s="25">
        <v>108852</v>
      </c>
      <c r="D8" s="13">
        <v>98636.103000000003</v>
      </c>
      <c r="E8" s="13">
        <f t="shared" si="0"/>
        <v>10215.896999999997</v>
      </c>
      <c r="F8" s="14">
        <f t="shared" si="3"/>
        <v>0.10357157966794367</v>
      </c>
      <c r="G8" s="15">
        <v>101147.694</v>
      </c>
      <c r="H8" s="15">
        <f t="shared" si="1"/>
        <v>7704.3059999999969</v>
      </c>
      <c r="I8" s="16">
        <f t="shared" si="2"/>
        <v>7.616887439865902E-2</v>
      </c>
      <c r="J8" s="50"/>
      <c r="K8" s="50"/>
    </row>
    <row r="9" spans="1:14" ht="116.25" customHeight="1">
      <c r="A9" s="31" t="str">
        <v>AZ: ASU - Pardee - Parking Lot 11</v>
      </c>
      <c r="B9" s="32" t="str">
        <v>AZ</v>
      </c>
      <c r="C9" s="11">
        <v>22331.125</v>
      </c>
      <c r="D9" s="19">
        <v>29270.46</v>
      </c>
      <c r="E9" s="19">
        <f t="shared" si="0"/>
        <v>-6939.3349999999991</v>
      </c>
      <c r="F9" s="20">
        <f t="shared" si="3"/>
        <v>-0.23707639032662961</v>
      </c>
      <c r="G9" s="21">
        <v>31150.86</v>
      </c>
      <c r="H9" s="21">
        <f t="shared" si="1"/>
        <v>-8819.7350000000006</v>
      </c>
      <c r="I9" s="20">
        <f t="shared" si="2"/>
        <v>-0.28312974344849551</v>
      </c>
      <c r="J9" s="47" t="s">
        <v>115</v>
      </c>
      <c r="K9" s="64" t="s">
        <v>116</v>
      </c>
      <c r="L9" s="61" t="s">
        <v>117</v>
      </c>
      <c r="M9" s="61" t="s">
        <v>96</v>
      </c>
    </row>
    <row r="10" spans="1:14" ht="72">
      <c r="A10" s="29" t="str">
        <v>AZ: ASU - Pardee - Parking Lot 19</v>
      </c>
      <c r="B10" s="30" t="str">
        <v>AZ</v>
      </c>
      <c r="C10" s="25">
        <v>38050.25</v>
      </c>
      <c r="D10" s="13">
        <v>34221.9</v>
      </c>
      <c r="E10" s="13">
        <f t="shared" si="0"/>
        <v>3828.3499999999985</v>
      </c>
      <c r="F10" s="14">
        <f t="shared" si="3"/>
        <v>0.11186842343645438</v>
      </c>
      <c r="G10" s="15">
        <v>46127.12</v>
      </c>
      <c r="H10" s="15">
        <f t="shared" si="1"/>
        <v>-8076.8700000000026</v>
      </c>
      <c r="I10" s="16">
        <f t="shared" si="2"/>
        <v>-0.17510024471503971</v>
      </c>
      <c r="J10" s="63" t="s">
        <v>118</v>
      </c>
      <c r="K10" s="67" t="s">
        <v>119</v>
      </c>
      <c r="L10" s="61" t="s">
        <v>100</v>
      </c>
    </row>
    <row r="11" spans="1:14" ht="15.6">
      <c r="A11" s="31" t="str">
        <v>AZ: ASU - Pardee - Parking Lot 41</v>
      </c>
      <c r="B11" s="32" t="str">
        <v>AZ</v>
      </c>
      <c r="C11" s="11">
        <v>38114.125</v>
      </c>
      <c r="D11" s="19">
        <v>32755.27</v>
      </c>
      <c r="E11" s="19">
        <f t="shared" si="0"/>
        <v>5358.8549999999996</v>
      </c>
      <c r="F11" s="20">
        <f t="shared" si="3"/>
        <v>0.16360283398671419</v>
      </c>
      <c r="G11" s="21">
        <v>40488.25</v>
      </c>
      <c r="H11" s="21">
        <f t="shared" si="1"/>
        <v>-2374.125</v>
      </c>
      <c r="I11" s="20">
        <f t="shared" si="2"/>
        <v>-5.8637382450464022E-2</v>
      </c>
      <c r="J11" s="49" t="s">
        <v>120</v>
      </c>
      <c r="K11" s="68" t="s">
        <v>69</v>
      </c>
    </row>
    <row r="12" spans="1:14" ht="28.9">
      <c r="A12" s="29" t="str">
        <v>AZ: ASU - Pardee - Parking Lot 58</v>
      </c>
      <c r="B12" s="30" t="str">
        <v>AZ</v>
      </c>
      <c r="C12" s="25">
        <v>23721</v>
      </c>
      <c r="D12" s="13">
        <v>30682.33</v>
      </c>
      <c r="E12" s="13">
        <f t="shared" si="0"/>
        <v>-6961.3300000000017</v>
      </c>
      <c r="F12" s="14">
        <f t="shared" si="3"/>
        <v>-0.22688400783121757</v>
      </c>
      <c r="G12" s="15">
        <v>45245.14</v>
      </c>
      <c r="H12" s="15">
        <f t="shared" si="1"/>
        <v>-21524.14</v>
      </c>
      <c r="I12" s="16">
        <f t="shared" si="2"/>
        <v>-0.47572269640451992</v>
      </c>
      <c r="J12" s="63" t="s">
        <v>121</v>
      </c>
      <c r="K12" s="67" t="s">
        <v>122</v>
      </c>
      <c r="L12" s="61" t="s">
        <v>106</v>
      </c>
      <c r="M12" s="61" t="s">
        <v>123</v>
      </c>
    </row>
    <row r="13" spans="1:14" ht="15.6">
      <c r="A13" s="31" t="str">
        <v>AZ: ASU - Pardee - Parking Lot 59S</v>
      </c>
      <c r="B13" s="32" t="str">
        <v>AZ</v>
      </c>
      <c r="C13" s="11">
        <v>43008.375</v>
      </c>
      <c r="D13" s="19">
        <v>33535.230000000003</v>
      </c>
      <c r="E13" s="19">
        <f t="shared" si="0"/>
        <v>9473.1449999999968</v>
      </c>
      <c r="F13" s="20">
        <f t="shared" si="3"/>
        <v>0.28248337643725707</v>
      </c>
      <c r="G13" s="21">
        <v>41366.39</v>
      </c>
      <c r="H13" s="21">
        <f t="shared" si="1"/>
        <v>1641.9850000000006</v>
      </c>
      <c r="I13" s="20">
        <f t="shared" si="2"/>
        <v>3.9693698193146672E-2</v>
      </c>
      <c r="J13" s="49"/>
      <c r="K13" s="49"/>
    </row>
    <row r="14" spans="1:14" ht="15.6">
      <c r="A14" s="29" t="str">
        <v>AZ: ASU - Pardee - Sun Devil Complex</v>
      </c>
      <c r="B14" s="30" t="str">
        <v>AZ</v>
      </c>
      <c r="C14" s="25">
        <v>42005</v>
      </c>
      <c r="D14" s="13">
        <v>37463.99</v>
      </c>
      <c r="E14" s="13">
        <f t="shared" si="0"/>
        <v>4541.010000000002</v>
      </c>
      <c r="F14" s="14">
        <f t="shared" si="3"/>
        <v>0.12120999391682526</v>
      </c>
      <c r="G14" s="15">
        <v>43963</v>
      </c>
      <c r="H14" s="15">
        <f t="shared" si="1"/>
        <v>-1958</v>
      </c>
      <c r="I14" s="16">
        <f t="shared" si="2"/>
        <v>-4.4537451948229195E-2</v>
      </c>
      <c r="J14" s="63"/>
      <c r="K14" s="50"/>
    </row>
    <row r="15" spans="1:14" ht="14.45">
      <c r="A15" s="22"/>
      <c r="B15" s="34"/>
      <c r="C15" s="22"/>
      <c r="D15" s="22"/>
      <c r="E15" s="22"/>
      <c r="F15" s="22"/>
      <c r="G15" s="22"/>
      <c r="H15" s="22"/>
      <c r="I15" s="22"/>
      <c r="J15" s="22"/>
      <c r="K15" s="22"/>
    </row>
    <row r="16" spans="1:14"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16" priority="1" stopIfTrue="1" operator="lessThanOrEqual">
      <formula>-0.1</formula>
    </cfRule>
    <cfRule type="expression" dxfId="15" priority="2">
      <formula>AND(ISNUMBER(F2), F2&gt;=0.1)</formula>
    </cfRule>
  </conditionalFormatting>
  <hyperlinks>
    <hyperlink ref="K6" r:id="rId1" display="https://us3.assetplanner.com/service_request?ID=102524" xr:uid="{6D32912D-8B88-46D1-80F4-BAB15DA88D00}"/>
    <hyperlink ref="L6" r:id="rId2" display="https://us3.assetplanner.com/service_request?ID=097592" xr:uid="{7637252F-1D81-4A9B-BB0C-87E2BC57F990}"/>
    <hyperlink ref="M6" r:id="rId3" display="https://us3.assetplanner.com/service_request?ID=101859" xr:uid="{F4A19C6F-9341-4C5F-A1E5-2C39A8908A06}"/>
    <hyperlink ref="N6" r:id="rId4" display="https://us3.assetplanner.com/service_request?ID=103044" xr:uid="{9DE8C2A3-ACA8-416E-88D6-340073507807}"/>
    <hyperlink ref="K9" r:id="rId5" display="https://us3.assetplanner.com/service_request?ID=100774" xr:uid="{C1308EFC-17B3-4C08-84F1-756CB1FC4401}"/>
    <hyperlink ref="L9" r:id="rId6" display="https://us3.assetplanner.com/service_request?ID=103110" xr:uid="{50E80F19-7C8E-497B-A19C-C5DA39916C5E}"/>
    <hyperlink ref="M9" r:id="rId7" display="https://us3.assetplanner.com/service_request?ID=101850" xr:uid="{B82D8C80-4D79-4145-9AF0-36A082FD833F}"/>
    <hyperlink ref="K10" r:id="rId8" display="https://us3.assetplanner.com/service_request?ID=101951" xr:uid="{E62AC7DA-F001-461D-98AE-875F7E7984B9}"/>
    <hyperlink ref="L10" r:id="rId9" display="https://us3.assetplanner.com/service_request?ID=102330" xr:uid="{A63E3CD6-F0F8-4302-8490-4583DE7BC715}"/>
    <hyperlink ref="K11" r:id="rId10" display="https://us3.assetplanner.com/service_request?ID=100174" xr:uid="{B0BC2C24-C7C0-4D84-A9C5-4DC71EAB8321}"/>
    <hyperlink ref="K12" r:id="rId11" display="https://us3.assetplanner.com/service_request?ID=101590" xr:uid="{D869DA08-7F32-4B7F-B402-9CE282582A3C}"/>
    <hyperlink ref="L12" r:id="rId12" display="https://us3.assetplanner.com/service_request?ID=101591" xr:uid="{1FDFF1EA-F107-477B-87EF-52AAA6487CC7}"/>
    <hyperlink ref="M12" r:id="rId13" display="https://us3.assetplanner.com/service_request?ID=101406" xr:uid="{E86AFCD6-73E9-4A9B-B263-7AA0E4D38F86}"/>
  </hyperlinks>
  <pageMargins left="0.4" right="0.7" top="0.25" bottom="0.25" header="0.3" footer="0.3"/>
  <pageSetup scale="56" fitToHeight="99" orientation="landscape" r:id="rId1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R328"/>
  <sheetViews>
    <sheetView topLeftCell="H1" workbookViewId="0">
      <pane ySplit="2" topLeftCell="A3" activePane="bottomLeft" state="frozen"/>
      <selection pane="bottomLeft" activeCell="J16" sqref="J16"/>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style="53" customWidth="1"/>
    <col min="11" max="11" width="20.5703125" style="53" bestFit="1" customWidth="1"/>
    <col min="12" max="18" width="9.140625" style="53"/>
  </cols>
  <sheetData>
    <row r="1" spans="1:14" ht="19.5" customHeight="1">
      <c r="A1" s="90" t="str" cm="1">
        <f t="array" ref="A1">portfolio</f>
        <v>Pardee (ENCAP)</v>
      </c>
      <c r="B1" s="90"/>
      <c r="C1" s="90"/>
      <c r="D1" s="91" t="s">
        <v>124</v>
      </c>
      <c r="E1" s="91"/>
      <c r="F1" s="91"/>
      <c r="G1" s="89" t="s">
        <v>125</v>
      </c>
      <c r="H1" s="89"/>
      <c r="I1" s="89"/>
      <c r="J1" s="71"/>
      <c r="K1" s="71"/>
    </row>
    <row r="2" spans="1:14" ht="19.5" customHeight="1">
      <c r="A2" s="92" t="s">
        <v>2</v>
      </c>
      <c r="B2" s="92"/>
      <c r="C2" s="5">
        <f>SUM(C4:C86)</f>
        <v>506977.25567626953</v>
      </c>
      <c r="D2" s="5">
        <f>SUM(D4:D86)</f>
        <v>480905.77099999995</v>
      </c>
      <c r="E2" s="5">
        <f>C2-D2</f>
        <v>26071.484676269582</v>
      </c>
      <c r="F2" s="6">
        <f>IFERROR(E2/D2, 0)</f>
        <v>5.4213291352391745E-2</v>
      </c>
      <c r="G2" s="5">
        <f>SUM(G4:G86)</f>
        <v>570025.37900000007</v>
      </c>
      <c r="H2" s="7">
        <f>C2-G2</f>
        <v>-63048.123323730542</v>
      </c>
      <c r="I2" s="6">
        <f>IFERROR(H2/G2, 0)</f>
        <v>-0.11060581799767644</v>
      </c>
      <c r="J2" s="72" t="str">
        <f ca="1">IF(AND(TODAY()&gt;DATE(2024, 7, 1), COUNTA(Sites[Site])&lt;&gt;(COUNT(C:C)-1)), "Some sites are missing actual data; if new sites were added, make sure they are aligned correctly (including prior months!)", "")</f>
        <v/>
      </c>
      <c r="K2" s="71"/>
    </row>
    <row r="3" spans="1:14" ht="14.25" customHeight="1">
      <c r="A3" s="8" t="s">
        <v>3</v>
      </c>
      <c r="B3" s="8" t="s">
        <v>4</v>
      </c>
      <c r="C3" s="24" t="s">
        <v>5</v>
      </c>
      <c r="D3" s="36" t="s">
        <v>6</v>
      </c>
      <c r="E3" s="36" t="s">
        <v>7</v>
      </c>
      <c r="F3" s="37" t="s">
        <v>8</v>
      </c>
      <c r="G3" s="38" t="s">
        <v>9</v>
      </c>
      <c r="H3" s="39" t="s">
        <v>7</v>
      </c>
      <c r="I3" s="40" t="s">
        <v>8</v>
      </c>
      <c r="J3" s="73" t="s">
        <v>20</v>
      </c>
      <c r="K3" s="73" t="s">
        <v>21</v>
      </c>
    </row>
    <row r="4" spans="1:14" ht="72">
      <c r="A4" s="33" t="str" cm="1">
        <f t="array" ref="A4:A14">Sites[Site]</f>
        <v>AZ: ASU - Pardee - Discovery Hall</v>
      </c>
      <c r="B4" s="30" t="str" cm="1">
        <f t="array" ref="B4:B14">Sites[State]</f>
        <v>AZ</v>
      </c>
      <c r="C4" s="25">
        <v>9950</v>
      </c>
      <c r="D4" s="13">
        <v>8718.8140000000003</v>
      </c>
      <c r="E4" s="13">
        <f>IF(AND(ISNUMBER(C4),ISNUMBER(D4)), C4-D4, "")</f>
        <v>1231.1859999999997</v>
      </c>
      <c r="F4" s="14">
        <f>IFERROR(E4/D4, "")</f>
        <v>0.14121026093686592</v>
      </c>
      <c r="G4" s="15">
        <v>11732.1</v>
      </c>
      <c r="H4" s="15">
        <f>IF(AND(ISNUMBER(C4),ISNUMBER(G4)), C4-G4, "")</f>
        <v>-1782.1000000000004</v>
      </c>
      <c r="I4" s="16">
        <f>IFERROR(H4/G4, "")</f>
        <v>-0.15189948943496903</v>
      </c>
      <c r="J4" s="17" t="s">
        <v>126</v>
      </c>
      <c r="K4" s="17"/>
    </row>
    <row r="5" spans="1:14" ht="28.9">
      <c r="A5" s="31" t="str">
        <v>AZ: ASU - Pardee - Farrington</v>
      </c>
      <c r="B5" s="32" t="str">
        <v>AZ</v>
      </c>
      <c r="C5" s="11">
        <v>44751.130676269502</v>
      </c>
      <c r="D5" s="19">
        <v>38829.949999999997</v>
      </c>
      <c r="E5" s="19">
        <f t="shared" ref="E5:E14" si="0">IF(AND(ISNUMBER(C5),ISNUMBER(D5)), C5-D5, "")</f>
        <v>5921.1806762695051</v>
      </c>
      <c r="F5" s="20">
        <f>IFERROR(E5/D5, "")</f>
        <v>0.15249004122512405</v>
      </c>
      <c r="G5" s="21">
        <v>44653.48</v>
      </c>
      <c r="H5" s="21">
        <f t="shared" ref="H5:H14" si="1">IF(AND(ISNUMBER(C5),ISNUMBER(G5)), C5-G5, "")</f>
        <v>97.650676269498945</v>
      </c>
      <c r="I5" s="20">
        <f t="shared" ref="I5:I14" si="2">IFERROR(H5/G5, "")</f>
        <v>2.1868547819676974E-3</v>
      </c>
      <c r="J5" s="46" t="s">
        <v>127</v>
      </c>
      <c r="K5" s="60" t="s">
        <v>128</v>
      </c>
    </row>
    <row r="6" spans="1:14" ht="129.6">
      <c r="A6" s="29" t="str">
        <v>AZ: ASU - Pardee - Macro Tech.</v>
      </c>
      <c r="B6" s="30" t="str">
        <v>AZ</v>
      </c>
      <c r="C6" s="25">
        <v>126220.625</v>
      </c>
      <c r="D6" s="13">
        <v>140850.20000000001</v>
      </c>
      <c r="E6" s="13">
        <f t="shared" si="0"/>
        <v>-14629.575000000012</v>
      </c>
      <c r="F6" s="14">
        <f t="shared" ref="F6:F14" si="3">IFERROR(E6/D6, "")</f>
        <v>-0.10386619969300726</v>
      </c>
      <c r="G6" s="15">
        <v>159433.20000000001</v>
      </c>
      <c r="H6" s="15">
        <f t="shared" si="1"/>
        <v>-33212.575000000012</v>
      </c>
      <c r="I6" s="16">
        <f t="shared" si="2"/>
        <v>-0.20831655514660691</v>
      </c>
      <c r="J6" s="17" t="s">
        <v>129</v>
      </c>
      <c r="K6" s="57" t="s">
        <v>130</v>
      </c>
      <c r="L6" s="61" t="s">
        <v>40</v>
      </c>
      <c r="M6" s="61" t="s">
        <v>87</v>
      </c>
      <c r="N6" s="61" t="s">
        <v>114</v>
      </c>
    </row>
    <row r="7" spans="1:14" ht="86.45">
      <c r="A7" s="31" t="str">
        <v>AZ: ASU - Pardee - McCord Hall</v>
      </c>
      <c r="B7" s="32" t="str">
        <v>AZ</v>
      </c>
      <c r="C7" s="11">
        <v>13121.625</v>
      </c>
      <c r="D7" s="19">
        <v>12266.52</v>
      </c>
      <c r="E7" s="19">
        <f t="shared" si="0"/>
        <v>855.10499999999956</v>
      </c>
      <c r="F7" s="20">
        <f t="shared" si="3"/>
        <v>6.9710480234002753E-2</v>
      </c>
      <c r="G7" s="21">
        <v>15838.29</v>
      </c>
      <c r="H7" s="21">
        <f t="shared" si="1"/>
        <v>-2716.6650000000009</v>
      </c>
      <c r="I7" s="20">
        <f t="shared" si="2"/>
        <v>-0.17152514570701766</v>
      </c>
      <c r="J7" s="46" t="s">
        <v>131</v>
      </c>
      <c r="K7" s="43"/>
    </row>
    <row r="8" spans="1:14" ht="15.6">
      <c r="A8" s="29" t="str">
        <v>AZ: NAU - SF Garage</v>
      </c>
      <c r="B8" s="30" t="str">
        <v>AZ</v>
      </c>
      <c r="C8" s="25">
        <v>98488</v>
      </c>
      <c r="D8" s="13">
        <v>89225.146999999997</v>
      </c>
      <c r="E8" s="13">
        <f t="shared" si="0"/>
        <v>9262.8530000000028</v>
      </c>
      <c r="F8" s="14">
        <f t="shared" si="3"/>
        <v>0.10381437645600072</v>
      </c>
      <c r="G8" s="15">
        <v>96029.729000000007</v>
      </c>
      <c r="H8" s="15">
        <f t="shared" si="1"/>
        <v>2458.2709999999934</v>
      </c>
      <c r="I8" s="16">
        <f t="shared" si="2"/>
        <v>2.5599062140433546E-2</v>
      </c>
      <c r="J8" s="17"/>
      <c r="K8" s="17"/>
    </row>
    <row r="9" spans="1:14" ht="43.15">
      <c r="A9" s="31" t="str">
        <v>AZ: ASU - Pardee - Parking Lot 11</v>
      </c>
      <c r="B9" s="32" t="str">
        <v>AZ</v>
      </c>
      <c r="C9" s="11">
        <v>25610.125</v>
      </c>
      <c r="D9" s="19">
        <v>28286.26</v>
      </c>
      <c r="E9" s="19">
        <f t="shared" si="0"/>
        <v>-2676.1349999999984</v>
      </c>
      <c r="F9" s="20">
        <f t="shared" si="3"/>
        <v>-9.4609008048430532E-2</v>
      </c>
      <c r="G9" s="21">
        <v>30101.18</v>
      </c>
      <c r="H9" s="21">
        <f t="shared" si="1"/>
        <v>-4491.0550000000003</v>
      </c>
      <c r="I9" s="20">
        <f t="shared" si="2"/>
        <v>-0.14919863606675884</v>
      </c>
      <c r="J9" s="46" t="s">
        <v>132</v>
      </c>
      <c r="K9" s="59" t="s">
        <v>133</v>
      </c>
      <c r="L9" s="61" t="s">
        <v>117</v>
      </c>
    </row>
    <row r="10" spans="1:14" ht="28.9">
      <c r="A10" s="29" t="str">
        <v>AZ: ASU - Pardee - Parking Lot 19</v>
      </c>
      <c r="B10" s="30" t="str">
        <v>AZ</v>
      </c>
      <c r="C10" s="25">
        <v>36672.25</v>
      </c>
      <c r="D10" s="13">
        <v>32884.04</v>
      </c>
      <c r="E10" s="13">
        <f t="shared" si="0"/>
        <v>3788.2099999999991</v>
      </c>
      <c r="F10" s="14">
        <f t="shared" si="3"/>
        <v>0.11519904488621224</v>
      </c>
      <c r="G10" s="15">
        <v>44571.06</v>
      </c>
      <c r="H10" s="15">
        <f t="shared" si="1"/>
        <v>-7898.8099999999977</v>
      </c>
      <c r="I10" s="16">
        <f t="shared" si="2"/>
        <v>-0.17721835648512729</v>
      </c>
      <c r="J10" s="17" t="s">
        <v>134</v>
      </c>
      <c r="K10" s="57" t="s">
        <v>135</v>
      </c>
      <c r="L10" s="61" t="s">
        <v>100</v>
      </c>
    </row>
    <row r="11" spans="1:14" ht="28.9">
      <c r="A11" s="31" t="str">
        <v>AZ: ASU - Pardee - Parking Lot 41</v>
      </c>
      <c r="B11" s="32" t="str">
        <v>AZ</v>
      </c>
      <c r="C11" s="11">
        <v>37092.875</v>
      </c>
      <c r="D11" s="19">
        <v>31161.19</v>
      </c>
      <c r="E11" s="19">
        <f t="shared" si="0"/>
        <v>5931.6850000000013</v>
      </c>
      <c r="F11" s="20">
        <f t="shared" si="3"/>
        <v>0.19035489337859055</v>
      </c>
      <c r="G11" s="21">
        <v>39992.449999999997</v>
      </c>
      <c r="H11" s="21">
        <f t="shared" si="1"/>
        <v>-2899.5749999999971</v>
      </c>
      <c r="I11" s="20">
        <f t="shared" si="2"/>
        <v>-7.2503059952565979E-2</v>
      </c>
      <c r="J11" s="46" t="s">
        <v>136</v>
      </c>
      <c r="K11" s="60" t="s">
        <v>137</v>
      </c>
    </row>
    <row r="12" spans="1:14" ht="28.9">
      <c r="A12" s="29" t="str">
        <v>AZ: ASU - Pardee - Parking Lot 58</v>
      </c>
      <c r="B12" s="30" t="str">
        <v>AZ</v>
      </c>
      <c r="C12" s="25">
        <v>36468</v>
      </c>
      <c r="D12" s="13">
        <v>30051.52</v>
      </c>
      <c r="E12" s="13">
        <f t="shared" si="0"/>
        <v>6416.48</v>
      </c>
      <c r="F12" s="14">
        <f t="shared" si="3"/>
        <v>0.21351598854234327</v>
      </c>
      <c r="G12" s="15">
        <v>44794.34</v>
      </c>
      <c r="H12" s="15">
        <f t="shared" si="1"/>
        <v>-8326.3399999999965</v>
      </c>
      <c r="I12" s="16">
        <f t="shared" si="2"/>
        <v>-0.18587928742783122</v>
      </c>
      <c r="J12" s="17" t="s">
        <v>138</v>
      </c>
      <c r="K12" s="17"/>
    </row>
    <row r="13" spans="1:14" ht="43.15">
      <c r="A13" s="31" t="str">
        <v>AZ: ASU - Pardee - Parking Lot 59S</v>
      </c>
      <c r="B13" s="32" t="str">
        <v>AZ</v>
      </c>
      <c r="C13" s="11">
        <v>37934.125</v>
      </c>
      <c r="D13" s="19">
        <v>32844.78</v>
      </c>
      <c r="E13" s="19">
        <f t="shared" si="0"/>
        <v>5089.3450000000012</v>
      </c>
      <c r="F13" s="20">
        <f t="shared" si="3"/>
        <v>0.15495141084823832</v>
      </c>
      <c r="G13" s="21">
        <v>40954.550000000003</v>
      </c>
      <c r="H13" s="21">
        <f t="shared" si="1"/>
        <v>-3020.4250000000029</v>
      </c>
      <c r="I13" s="20">
        <f t="shared" si="2"/>
        <v>-7.3750657741325512E-2</v>
      </c>
      <c r="J13" s="46" t="s">
        <v>139</v>
      </c>
      <c r="K13" s="60" t="s">
        <v>140</v>
      </c>
    </row>
    <row r="14" spans="1:14" ht="28.9">
      <c r="A14" s="29" t="str">
        <v>AZ: ASU - Pardee - Sun Devil Complex</v>
      </c>
      <c r="B14" s="30" t="str">
        <v>AZ</v>
      </c>
      <c r="C14" s="25">
        <v>40668.5</v>
      </c>
      <c r="D14" s="13">
        <v>35787.35</v>
      </c>
      <c r="E14" s="13">
        <f t="shared" si="0"/>
        <v>4881.1500000000015</v>
      </c>
      <c r="F14" s="14">
        <f t="shared" si="3"/>
        <v>0.13639316685923941</v>
      </c>
      <c r="G14" s="15">
        <v>41925</v>
      </c>
      <c r="H14" s="15">
        <f t="shared" si="1"/>
        <v>-1256.5</v>
      </c>
      <c r="I14" s="16">
        <f t="shared" si="2"/>
        <v>-2.9970184853905783E-2</v>
      </c>
      <c r="J14" s="17" t="s">
        <v>141</v>
      </c>
      <c r="K14" s="17"/>
    </row>
    <row r="15" spans="1:14" ht="14.45">
      <c r="A15" s="22"/>
      <c r="B15" s="34"/>
      <c r="C15" s="22"/>
      <c r="D15" s="22"/>
      <c r="E15" s="22"/>
      <c r="F15" s="22"/>
      <c r="G15" s="22"/>
      <c r="H15" s="22"/>
      <c r="I15" s="22"/>
      <c r="J15" s="74"/>
      <c r="K15" s="74"/>
    </row>
    <row r="16" spans="1:14" ht="14.45">
      <c r="A16" s="22"/>
      <c r="B16" s="34"/>
      <c r="C16" s="22"/>
      <c r="D16" s="22"/>
      <c r="E16" s="22"/>
      <c r="F16" s="22"/>
      <c r="G16" s="22"/>
      <c r="H16" s="22"/>
      <c r="I16" s="22"/>
      <c r="J16" s="74"/>
      <c r="K16" s="74"/>
    </row>
    <row r="17" spans="1:11" ht="14.45">
      <c r="A17" s="22"/>
      <c r="B17" s="34"/>
      <c r="C17" s="22"/>
      <c r="D17" s="22"/>
      <c r="E17" s="22"/>
      <c r="F17" s="22"/>
      <c r="G17" s="22"/>
      <c r="H17" s="22"/>
      <c r="I17" s="22"/>
      <c r="J17" s="74"/>
      <c r="K17" s="74"/>
    </row>
    <row r="18" spans="1:11" ht="14.45">
      <c r="A18" s="22"/>
      <c r="B18" s="34"/>
      <c r="C18" s="22"/>
      <c r="D18" s="22"/>
      <c r="E18" s="22"/>
      <c r="F18" s="22"/>
      <c r="G18" s="22"/>
      <c r="H18" s="22"/>
      <c r="I18" s="22"/>
      <c r="J18" s="74"/>
      <c r="K18" s="74"/>
    </row>
    <row r="19" spans="1:11" ht="14.45">
      <c r="A19" s="22"/>
      <c r="B19" s="34"/>
      <c r="C19" s="22"/>
      <c r="D19" s="22"/>
      <c r="E19" s="22"/>
      <c r="F19" s="23"/>
      <c r="G19" s="22"/>
      <c r="H19" s="22"/>
      <c r="I19" s="23"/>
      <c r="J19" s="74"/>
      <c r="K19" s="74"/>
    </row>
    <row r="20" spans="1:11" ht="14.45">
      <c r="A20" s="22"/>
      <c r="B20" s="34"/>
      <c r="C20" s="22"/>
      <c r="D20" s="22"/>
      <c r="E20" s="22"/>
      <c r="F20" s="23"/>
      <c r="G20" s="22"/>
      <c r="H20" s="22"/>
      <c r="I20" s="23"/>
      <c r="J20" s="74"/>
      <c r="K20" s="74"/>
    </row>
    <row r="21" spans="1:11" ht="14.45">
      <c r="A21" s="22"/>
      <c r="B21" s="34"/>
      <c r="C21" s="22"/>
      <c r="D21" s="22"/>
      <c r="E21" s="22"/>
      <c r="F21" s="23"/>
      <c r="G21" s="22"/>
      <c r="H21" s="22"/>
      <c r="I21" s="23"/>
      <c r="J21" s="74"/>
      <c r="K21" s="74"/>
    </row>
    <row r="22" spans="1:11" ht="14.45">
      <c r="A22" s="22"/>
      <c r="B22" s="34"/>
      <c r="C22" s="22"/>
      <c r="D22" s="22"/>
      <c r="E22" s="22"/>
      <c r="F22" s="23"/>
      <c r="G22" s="22"/>
      <c r="H22" s="22"/>
      <c r="I22" s="23"/>
      <c r="J22" s="74"/>
      <c r="K22" s="74"/>
    </row>
    <row r="23" spans="1:11" ht="14.45">
      <c r="A23" s="22"/>
      <c r="B23" s="34"/>
      <c r="C23" s="22"/>
      <c r="D23" s="22"/>
      <c r="E23" s="22"/>
      <c r="F23" s="23"/>
      <c r="G23" s="22"/>
      <c r="H23" s="22"/>
      <c r="I23" s="23"/>
      <c r="J23" s="74"/>
      <c r="K23" s="74"/>
    </row>
    <row r="24" spans="1:11" ht="14.45">
      <c r="A24" s="22"/>
      <c r="B24" s="34"/>
      <c r="C24" s="22"/>
      <c r="D24" s="22"/>
      <c r="E24" s="22"/>
      <c r="F24" s="23"/>
      <c r="G24" s="22"/>
      <c r="H24" s="22"/>
      <c r="I24" s="23"/>
      <c r="J24" s="74"/>
      <c r="K24" s="74"/>
    </row>
    <row r="25" spans="1:11" ht="14.45">
      <c r="A25" s="22"/>
      <c r="B25" s="34"/>
      <c r="C25" s="22"/>
      <c r="D25" s="22"/>
      <c r="E25" s="22"/>
      <c r="F25" s="23"/>
      <c r="G25" s="22"/>
      <c r="H25" s="22"/>
      <c r="I25" s="23"/>
      <c r="J25" s="74"/>
      <c r="K25" s="74"/>
    </row>
    <row r="26" spans="1:11" ht="14.45">
      <c r="A26" s="22"/>
      <c r="B26" s="34"/>
      <c r="C26" s="22"/>
      <c r="D26" s="22"/>
      <c r="E26" s="22"/>
      <c r="F26" s="23"/>
      <c r="G26" s="22"/>
      <c r="H26" s="22"/>
      <c r="I26" s="23"/>
      <c r="J26" s="74"/>
      <c r="K26" s="74"/>
    </row>
    <row r="27" spans="1:11" ht="14.45">
      <c r="A27" s="22"/>
      <c r="B27" s="34"/>
      <c r="C27" s="22"/>
      <c r="D27" s="22"/>
      <c r="E27" s="22"/>
      <c r="F27" s="23"/>
      <c r="G27" s="22"/>
      <c r="H27" s="22"/>
      <c r="I27" s="23"/>
      <c r="J27" s="74"/>
      <c r="K27" s="74"/>
    </row>
    <row r="28" spans="1:11" ht="14.45">
      <c r="A28" s="22"/>
      <c r="B28" s="34"/>
      <c r="C28" s="22"/>
      <c r="D28" s="22"/>
      <c r="E28" s="22"/>
      <c r="F28" s="23"/>
      <c r="G28" s="22"/>
      <c r="H28" s="22"/>
      <c r="I28" s="23"/>
      <c r="J28" s="74"/>
      <c r="K28" s="74"/>
    </row>
    <row r="29" spans="1:11" ht="14.45">
      <c r="A29" s="22"/>
      <c r="B29" s="34"/>
      <c r="C29" s="22"/>
      <c r="D29" s="22"/>
      <c r="E29" s="22"/>
      <c r="F29" s="23"/>
      <c r="G29" s="22"/>
      <c r="H29" s="22"/>
      <c r="I29" s="23"/>
      <c r="J29" s="74"/>
      <c r="K29" s="74"/>
    </row>
    <row r="30" spans="1:11" ht="14.45">
      <c r="A30" s="22"/>
      <c r="B30" s="34"/>
      <c r="C30" s="22"/>
      <c r="D30" s="22"/>
      <c r="E30" s="22"/>
      <c r="F30" s="23"/>
      <c r="G30" s="22"/>
      <c r="H30" s="22"/>
      <c r="I30" s="23"/>
      <c r="J30" s="74"/>
      <c r="K30" s="74"/>
    </row>
    <row r="31" spans="1:11" ht="14.45">
      <c r="A31" s="22"/>
      <c r="B31" s="34"/>
      <c r="C31" s="22"/>
      <c r="D31" s="22"/>
      <c r="E31" s="22"/>
      <c r="F31" s="23"/>
      <c r="G31" s="22"/>
      <c r="H31" s="22"/>
      <c r="I31" s="23"/>
      <c r="J31" s="74"/>
      <c r="K31" s="74"/>
    </row>
    <row r="32" spans="1:11" ht="14.45">
      <c r="A32" s="22"/>
      <c r="B32" s="34"/>
      <c r="C32" s="22"/>
      <c r="D32" s="22"/>
      <c r="E32" s="22"/>
      <c r="F32" s="23"/>
      <c r="G32" s="22"/>
      <c r="H32" s="22"/>
      <c r="I32" s="23"/>
      <c r="J32" s="74"/>
      <c r="K32" s="74"/>
    </row>
    <row r="33" spans="1:11" ht="14.45">
      <c r="A33" s="22"/>
      <c r="B33" s="34"/>
      <c r="C33" s="22"/>
      <c r="D33" s="22"/>
      <c r="E33" s="22"/>
      <c r="F33" s="23"/>
      <c r="G33" s="22"/>
      <c r="H33" s="22"/>
      <c r="I33" s="23"/>
      <c r="J33" s="74"/>
      <c r="K33" s="74"/>
    </row>
    <row r="34" spans="1:11" ht="14.45">
      <c r="A34" s="22"/>
      <c r="B34" s="34"/>
      <c r="C34" s="22"/>
      <c r="D34" s="22"/>
      <c r="E34" s="22"/>
      <c r="F34" s="23"/>
      <c r="G34" s="22"/>
      <c r="H34" s="22"/>
      <c r="I34" s="23"/>
      <c r="J34" s="74"/>
      <c r="K34" s="74"/>
    </row>
    <row r="35" spans="1:11" ht="14.45">
      <c r="A35" s="22"/>
      <c r="B35" s="34"/>
      <c r="C35" s="22"/>
      <c r="D35" s="22"/>
      <c r="E35" s="22"/>
      <c r="F35" s="23"/>
      <c r="G35" s="22"/>
      <c r="H35" s="22"/>
      <c r="I35" s="23"/>
      <c r="J35" s="74"/>
      <c r="K35" s="74"/>
    </row>
    <row r="36" spans="1:11" ht="14.45">
      <c r="A36" s="22"/>
      <c r="B36" s="34"/>
      <c r="C36" s="22"/>
      <c r="D36" s="22"/>
      <c r="E36" s="22"/>
      <c r="F36" s="23"/>
      <c r="G36" s="22"/>
      <c r="H36" s="22"/>
      <c r="I36" s="23"/>
      <c r="J36" s="74"/>
      <c r="K36" s="74"/>
    </row>
    <row r="37" spans="1:11" ht="14.45">
      <c r="A37" s="22"/>
      <c r="B37" s="34"/>
      <c r="C37" s="22"/>
      <c r="D37" s="22"/>
      <c r="E37" s="22"/>
      <c r="F37" s="23"/>
      <c r="G37" s="22"/>
      <c r="H37" s="22"/>
      <c r="I37" s="23"/>
      <c r="J37" s="74"/>
      <c r="K37" s="74"/>
    </row>
    <row r="38" spans="1:11" ht="14.45">
      <c r="A38" s="22"/>
      <c r="B38" s="34"/>
      <c r="C38" s="22"/>
      <c r="D38" s="22"/>
      <c r="E38" s="22"/>
      <c r="F38" s="23"/>
      <c r="G38" s="22"/>
      <c r="H38" s="22"/>
      <c r="I38" s="23"/>
      <c r="J38" s="74"/>
      <c r="K38" s="74"/>
    </row>
    <row r="39" spans="1:11" ht="14.45">
      <c r="A39" s="22"/>
      <c r="B39" s="34"/>
      <c r="C39" s="22"/>
      <c r="D39" s="22"/>
      <c r="E39" s="22"/>
      <c r="F39" s="23"/>
      <c r="G39" s="22"/>
      <c r="H39" s="22"/>
      <c r="I39" s="23"/>
      <c r="J39" s="74"/>
      <c r="K39" s="74"/>
    </row>
    <row r="40" spans="1:11" ht="14.45">
      <c r="A40" s="22"/>
      <c r="B40" s="34"/>
      <c r="C40" s="22"/>
      <c r="D40" s="22"/>
      <c r="E40" s="22"/>
      <c r="F40" s="23"/>
      <c r="G40" s="22"/>
      <c r="H40" s="22"/>
      <c r="I40" s="23"/>
      <c r="J40" s="74"/>
      <c r="K40" s="74"/>
    </row>
    <row r="41" spans="1:11" ht="14.45">
      <c r="A41" s="22"/>
      <c r="B41" s="34"/>
      <c r="C41" s="22"/>
      <c r="D41" s="22"/>
      <c r="E41" s="22"/>
      <c r="F41" s="23"/>
      <c r="G41" s="22"/>
      <c r="H41" s="22"/>
      <c r="I41" s="23"/>
      <c r="J41" s="74"/>
      <c r="K41" s="74"/>
    </row>
    <row r="42" spans="1:11" ht="14.45">
      <c r="A42" s="22"/>
      <c r="B42" s="34"/>
      <c r="C42" s="22"/>
      <c r="D42" s="22"/>
      <c r="E42" s="22"/>
      <c r="F42" s="23"/>
      <c r="G42" s="22"/>
      <c r="H42" s="22"/>
      <c r="I42" s="23"/>
      <c r="J42" s="74"/>
      <c r="K42" s="74"/>
    </row>
    <row r="43" spans="1:11" ht="14.45">
      <c r="A43" s="22"/>
      <c r="B43" s="34"/>
      <c r="C43" s="22"/>
      <c r="D43" s="22"/>
      <c r="E43" s="22"/>
      <c r="F43" s="23"/>
      <c r="G43" s="22"/>
      <c r="H43" s="22"/>
      <c r="I43" s="23"/>
      <c r="J43" s="74"/>
      <c r="K43" s="74"/>
    </row>
    <row r="44" spans="1:11" ht="14.45">
      <c r="A44" s="22"/>
      <c r="B44" s="34"/>
      <c r="C44" s="22"/>
      <c r="D44" s="22"/>
      <c r="E44" s="22"/>
      <c r="F44" s="23"/>
      <c r="G44" s="22"/>
      <c r="H44" s="22"/>
      <c r="I44" s="23"/>
      <c r="J44" s="74"/>
      <c r="K44" s="74"/>
    </row>
    <row r="45" spans="1:11" ht="14.45">
      <c r="A45" s="22"/>
      <c r="B45" s="34"/>
      <c r="C45" s="22"/>
      <c r="D45" s="22"/>
      <c r="E45" s="22"/>
      <c r="F45" s="23"/>
      <c r="G45" s="22"/>
      <c r="H45" s="22"/>
      <c r="I45" s="23"/>
      <c r="J45" s="74"/>
      <c r="K45" s="74"/>
    </row>
    <row r="46" spans="1:11" ht="14.45">
      <c r="A46" s="22"/>
      <c r="B46" s="34"/>
      <c r="C46" s="22"/>
      <c r="D46" s="22"/>
      <c r="E46" s="22"/>
      <c r="F46" s="23"/>
      <c r="G46" s="22"/>
      <c r="H46" s="22"/>
      <c r="I46" s="23"/>
      <c r="J46" s="74"/>
      <c r="K46" s="74"/>
    </row>
    <row r="47" spans="1:11" ht="14.45">
      <c r="A47" s="22"/>
      <c r="B47" s="34"/>
      <c r="C47" s="22"/>
      <c r="D47" s="22"/>
      <c r="E47" s="22"/>
      <c r="F47" s="23"/>
      <c r="G47" s="22"/>
      <c r="H47" s="22"/>
      <c r="I47" s="23"/>
      <c r="J47" s="74"/>
      <c r="K47" s="74"/>
    </row>
    <row r="48" spans="1:11" ht="14.45">
      <c r="A48" s="22"/>
      <c r="B48" s="34"/>
      <c r="C48" s="22"/>
      <c r="D48" s="22"/>
      <c r="E48" s="22"/>
      <c r="F48" s="23"/>
      <c r="G48" s="22"/>
      <c r="H48" s="22"/>
      <c r="I48" s="23"/>
      <c r="J48" s="74"/>
      <c r="K48" s="74"/>
    </row>
    <row r="49" spans="1:11" ht="14.45">
      <c r="A49" s="22"/>
      <c r="B49" s="34"/>
      <c r="C49" s="22"/>
      <c r="D49" s="22"/>
      <c r="E49" s="22"/>
      <c r="F49" s="23"/>
      <c r="G49" s="22"/>
      <c r="H49" s="22"/>
      <c r="I49" s="23"/>
      <c r="J49" s="74"/>
      <c r="K49" s="74"/>
    </row>
    <row r="50" spans="1:11" ht="14.45">
      <c r="A50" s="22"/>
      <c r="B50" s="34"/>
      <c r="C50" s="22"/>
      <c r="D50" s="22"/>
      <c r="E50" s="22"/>
      <c r="F50" s="23"/>
      <c r="G50" s="22"/>
      <c r="H50" s="22"/>
      <c r="I50" s="23"/>
      <c r="J50" s="74"/>
      <c r="K50" s="74"/>
    </row>
    <row r="51" spans="1:11" ht="14.45">
      <c r="A51" s="22"/>
      <c r="B51" s="34"/>
      <c r="C51" s="22"/>
      <c r="D51" s="22"/>
      <c r="E51" s="22"/>
      <c r="F51" s="23"/>
      <c r="G51" s="22"/>
      <c r="H51" s="22"/>
      <c r="I51" s="23"/>
      <c r="J51" s="74"/>
      <c r="K51" s="74"/>
    </row>
    <row r="52" spans="1:11" ht="14.45">
      <c r="A52" s="22"/>
      <c r="B52" s="34"/>
      <c r="C52" s="22"/>
      <c r="D52" s="22"/>
      <c r="E52" s="22"/>
      <c r="F52" s="23"/>
      <c r="G52" s="22"/>
      <c r="H52" s="22"/>
      <c r="I52" s="23"/>
      <c r="J52" s="74"/>
      <c r="K52" s="74"/>
    </row>
    <row r="53" spans="1:11" ht="14.45">
      <c r="A53" s="22"/>
      <c r="B53" s="34"/>
      <c r="C53" s="22"/>
      <c r="D53" s="22"/>
      <c r="E53" s="22"/>
      <c r="F53" s="23"/>
      <c r="G53" s="22"/>
      <c r="H53" s="22"/>
      <c r="I53" s="23"/>
      <c r="J53" s="74"/>
      <c r="K53" s="74"/>
    </row>
    <row r="54" spans="1:11" ht="14.45">
      <c r="A54" s="22"/>
      <c r="B54" s="34"/>
      <c r="C54" s="22"/>
      <c r="D54" s="22"/>
      <c r="E54" s="22"/>
      <c r="F54" s="23"/>
      <c r="G54" s="22"/>
      <c r="H54" s="22"/>
      <c r="I54" s="23"/>
      <c r="J54" s="74"/>
      <c r="K54" s="74"/>
    </row>
    <row r="55" spans="1:11" ht="14.45">
      <c r="A55" s="22"/>
      <c r="B55" s="34"/>
      <c r="C55" s="22"/>
      <c r="D55" s="22"/>
      <c r="E55" s="22"/>
      <c r="F55" s="23"/>
      <c r="G55" s="22"/>
      <c r="H55" s="22"/>
      <c r="I55" s="23"/>
      <c r="J55" s="74"/>
      <c r="K55" s="74"/>
    </row>
    <row r="56" spans="1:11" ht="14.45">
      <c r="A56" s="22"/>
      <c r="B56" s="34"/>
      <c r="C56" s="22"/>
      <c r="D56" s="22"/>
      <c r="E56" s="22"/>
      <c r="F56" s="23"/>
      <c r="G56" s="22"/>
      <c r="H56" s="22"/>
      <c r="I56" s="23"/>
      <c r="J56" s="74"/>
      <c r="K56" s="74"/>
    </row>
    <row r="57" spans="1:11" ht="14.45">
      <c r="A57" s="22"/>
      <c r="B57" s="34"/>
      <c r="C57" s="22"/>
      <c r="D57" s="22"/>
      <c r="E57" s="22"/>
      <c r="F57" s="23"/>
      <c r="G57" s="22"/>
      <c r="H57" s="22"/>
      <c r="I57" s="23"/>
      <c r="J57" s="74"/>
      <c r="K57" s="74"/>
    </row>
    <row r="58" spans="1:11" ht="14.45">
      <c r="A58" s="22"/>
      <c r="B58" s="34"/>
      <c r="C58" s="22"/>
      <c r="D58" s="22"/>
      <c r="E58" s="22"/>
      <c r="F58" s="23"/>
      <c r="G58" s="22"/>
      <c r="H58" s="22"/>
      <c r="I58" s="23"/>
      <c r="J58" s="74"/>
      <c r="K58" s="74"/>
    </row>
    <row r="59" spans="1:11" ht="14.45">
      <c r="A59" s="22"/>
      <c r="B59" s="34"/>
      <c r="C59" s="22"/>
      <c r="D59" s="22"/>
      <c r="E59" s="22"/>
      <c r="F59" s="23"/>
      <c r="G59" s="22"/>
      <c r="H59" s="22"/>
      <c r="I59" s="23"/>
      <c r="J59" s="74"/>
      <c r="K59" s="74"/>
    </row>
    <row r="60" spans="1:11" ht="14.45">
      <c r="A60" s="22"/>
      <c r="B60" s="34"/>
      <c r="C60" s="22"/>
      <c r="D60" s="22"/>
      <c r="E60" s="22"/>
      <c r="F60" s="23"/>
      <c r="G60" s="22"/>
      <c r="H60" s="22"/>
      <c r="I60" s="23"/>
      <c r="J60" s="74"/>
      <c r="K60" s="74"/>
    </row>
    <row r="61" spans="1:11" ht="14.45">
      <c r="A61" s="22"/>
      <c r="B61" s="34"/>
      <c r="C61" s="22"/>
      <c r="D61" s="22"/>
      <c r="E61" s="22"/>
      <c r="F61" s="23"/>
      <c r="G61" s="22"/>
      <c r="H61" s="22"/>
      <c r="I61" s="23"/>
      <c r="J61" s="74"/>
      <c r="K61" s="74"/>
    </row>
    <row r="62" spans="1:11" ht="14.45">
      <c r="A62" s="22"/>
      <c r="B62" s="34"/>
      <c r="C62" s="22"/>
      <c r="D62" s="22"/>
      <c r="E62" s="22"/>
      <c r="F62" s="23"/>
      <c r="G62" s="22"/>
      <c r="H62" s="22"/>
      <c r="I62" s="23"/>
      <c r="J62" s="74"/>
      <c r="K62" s="74"/>
    </row>
    <row r="63" spans="1:11" ht="14.45">
      <c r="A63" s="22"/>
      <c r="B63" s="34"/>
      <c r="C63" s="22"/>
      <c r="D63" s="22"/>
      <c r="E63" s="22"/>
      <c r="F63" s="23"/>
      <c r="G63" s="22"/>
      <c r="H63" s="22"/>
      <c r="I63" s="23"/>
      <c r="J63" s="74"/>
      <c r="K63" s="74"/>
    </row>
    <row r="64" spans="1:11" ht="14.45">
      <c r="A64" s="22"/>
      <c r="B64" s="34"/>
      <c r="C64" s="22"/>
      <c r="D64" s="22"/>
      <c r="E64" s="22"/>
      <c r="F64" s="23"/>
      <c r="G64" s="22"/>
      <c r="H64" s="22"/>
      <c r="I64" s="23"/>
      <c r="J64" s="74"/>
      <c r="K64" s="74"/>
    </row>
    <row r="65" spans="1:11" ht="14.45">
      <c r="A65" s="22"/>
      <c r="B65" s="34"/>
      <c r="C65" s="22"/>
      <c r="D65" s="22"/>
      <c r="E65" s="22"/>
      <c r="F65" s="23"/>
      <c r="G65" s="22"/>
      <c r="H65" s="22"/>
      <c r="I65" s="23"/>
      <c r="J65" s="74"/>
      <c r="K65" s="74"/>
    </row>
    <row r="66" spans="1:11" ht="14.45">
      <c r="A66" s="22"/>
      <c r="B66" s="34"/>
      <c r="C66" s="22"/>
      <c r="D66" s="22"/>
      <c r="E66" s="22"/>
      <c r="F66" s="23"/>
      <c r="G66" s="22"/>
      <c r="H66" s="22"/>
      <c r="I66" s="23"/>
      <c r="J66" s="74"/>
      <c r="K66" s="74"/>
    </row>
    <row r="67" spans="1:11" ht="14.45">
      <c r="A67" s="22"/>
      <c r="B67" s="34"/>
      <c r="C67" s="22"/>
      <c r="D67" s="22"/>
      <c r="E67" s="22"/>
      <c r="F67" s="23"/>
      <c r="G67" s="22"/>
      <c r="H67" s="22"/>
      <c r="I67" s="23"/>
      <c r="J67" s="74"/>
      <c r="K67" s="74"/>
    </row>
    <row r="68" spans="1:11" ht="14.45">
      <c r="A68" s="22"/>
      <c r="B68" s="34"/>
      <c r="C68" s="22"/>
      <c r="D68" s="22"/>
      <c r="E68" s="22"/>
      <c r="F68" s="23"/>
      <c r="G68" s="22"/>
      <c r="H68" s="22"/>
      <c r="I68" s="23"/>
      <c r="J68" s="74"/>
      <c r="K68" s="74"/>
    </row>
    <row r="69" spans="1:11" ht="14.45">
      <c r="A69" s="22"/>
      <c r="B69" s="34"/>
      <c r="C69" s="22"/>
      <c r="D69" s="22"/>
      <c r="E69" s="22"/>
      <c r="F69" s="23"/>
      <c r="G69" s="22"/>
      <c r="H69" s="22"/>
      <c r="I69" s="23"/>
      <c r="J69" s="74"/>
      <c r="K69" s="74"/>
    </row>
    <row r="70" spans="1:11" ht="14.45">
      <c r="A70" s="22"/>
      <c r="B70" s="34"/>
      <c r="C70" s="22"/>
      <c r="D70" s="22"/>
      <c r="E70" s="22"/>
      <c r="F70" s="23"/>
      <c r="G70" s="22"/>
      <c r="H70" s="22"/>
      <c r="I70" s="23"/>
      <c r="J70" s="74"/>
      <c r="K70" s="74"/>
    </row>
    <row r="71" spans="1:11" ht="14.45">
      <c r="A71" s="22"/>
      <c r="B71" s="34"/>
      <c r="C71" s="22"/>
      <c r="D71" s="22"/>
      <c r="E71" s="22"/>
      <c r="F71" s="23"/>
      <c r="G71" s="22"/>
      <c r="H71" s="22"/>
      <c r="I71" s="23"/>
      <c r="J71" s="74"/>
      <c r="K71" s="74"/>
    </row>
    <row r="72" spans="1:11" ht="14.45">
      <c r="A72" s="22"/>
      <c r="B72" s="34"/>
      <c r="C72" s="22"/>
      <c r="D72" s="22"/>
      <c r="E72" s="22"/>
      <c r="F72" s="23"/>
      <c r="G72" s="22"/>
      <c r="H72" s="22"/>
      <c r="I72" s="23"/>
      <c r="J72" s="74"/>
      <c r="K72" s="74"/>
    </row>
    <row r="73" spans="1:11" ht="14.45">
      <c r="A73" s="22"/>
      <c r="B73" s="34"/>
      <c r="C73" s="22"/>
      <c r="D73" s="22"/>
      <c r="E73" s="22"/>
      <c r="F73" s="23"/>
      <c r="G73" s="22"/>
      <c r="H73" s="22"/>
      <c r="I73" s="23"/>
      <c r="J73" s="74"/>
      <c r="K73" s="74"/>
    </row>
    <row r="74" spans="1:11" ht="14.45">
      <c r="A74" s="22"/>
      <c r="B74" s="34"/>
      <c r="C74" s="22"/>
      <c r="D74" s="22"/>
      <c r="E74" s="22"/>
      <c r="F74" s="23"/>
      <c r="G74" s="22"/>
      <c r="H74" s="22"/>
      <c r="I74" s="23"/>
      <c r="J74" s="74"/>
      <c r="K74" s="74"/>
    </row>
    <row r="75" spans="1:11" ht="14.45">
      <c r="A75" s="22"/>
      <c r="B75" s="34"/>
      <c r="C75" s="22"/>
      <c r="D75" s="22"/>
      <c r="E75" s="22"/>
      <c r="F75" s="23"/>
      <c r="G75" s="22"/>
      <c r="H75" s="22"/>
      <c r="I75" s="23"/>
      <c r="J75" s="74"/>
      <c r="K75" s="74"/>
    </row>
    <row r="76" spans="1:11" ht="14.45">
      <c r="A76" s="22"/>
      <c r="B76" s="34"/>
      <c r="C76" s="22"/>
      <c r="D76" s="22"/>
      <c r="E76" s="22"/>
      <c r="F76" s="23"/>
      <c r="G76" s="22"/>
      <c r="H76" s="22"/>
      <c r="I76" s="23"/>
      <c r="J76" s="74"/>
      <c r="K76" s="74"/>
    </row>
    <row r="77" spans="1:11" ht="14.45">
      <c r="A77" s="22"/>
      <c r="B77" s="34"/>
      <c r="C77" s="22"/>
      <c r="D77" s="22"/>
      <c r="E77" s="22"/>
      <c r="F77" s="23"/>
      <c r="G77" s="22"/>
      <c r="H77" s="22"/>
      <c r="I77" s="23"/>
      <c r="J77" s="74"/>
      <c r="K77" s="74"/>
    </row>
    <row r="78" spans="1:11" ht="14.45">
      <c r="A78" s="22"/>
      <c r="B78" s="34"/>
      <c r="C78" s="22"/>
      <c r="D78" s="22"/>
      <c r="E78" s="22"/>
      <c r="F78" s="23"/>
      <c r="G78" s="22"/>
      <c r="H78" s="22"/>
      <c r="I78" s="23"/>
      <c r="J78" s="74"/>
      <c r="K78" s="74"/>
    </row>
    <row r="79" spans="1:11" ht="14.45">
      <c r="A79" s="22"/>
      <c r="B79" s="34"/>
      <c r="C79" s="22"/>
      <c r="D79" s="22"/>
      <c r="E79" s="22"/>
      <c r="F79" s="23"/>
      <c r="G79" s="22"/>
      <c r="H79" s="22"/>
      <c r="I79" s="23"/>
      <c r="J79" s="74"/>
      <c r="K79" s="74"/>
    </row>
    <row r="80" spans="1:11" ht="14.45">
      <c r="A80" s="22"/>
      <c r="B80" s="34"/>
      <c r="C80" s="22"/>
      <c r="D80" s="22"/>
      <c r="E80" s="22"/>
      <c r="F80" s="23"/>
      <c r="G80" s="22"/>
      <c r="H80" s="22"/>
      <c r="I80" s="23"/>
      <c r="J80" s="74"/>
      <c r="K80" s="74"/>
    </row>
    <row r="81" spans="1:11" ht="14.45">
      <c r="A81" s="22"/>
      <c r="B81" s="34"/>
      <c r="C81" s="22"/>
      <c r="D81" s="22"/>
      <c r="E81" s="22"/>
      <c r="F81" s="23"/>
      <c r="G81" s="22"/>
      <c r="H81" s="22"/>
      <c r="I81" s="23"/>
      <c r="J81" s="74"/>
      <c r="K81" s="74"/>
    </row>
    <row r="82" spans="1:11" ht="14.45">
      <c r="A82" s="22"/>
      <c r="B82" s="34"/>
      <c r="C82" s="22"/>
      <c r="D82" s="22"/>
      <c r="E82" s="22"/>
      <c r="F82" s="23"/>
      <c r="G82" s="22"/>
      <c r="H82" s="22"/>
      <c r="I82" s="23"/>
      <c r="J82" s="74"/>
      <c r="K82" s="74"/>
    </row>
    <row r="83" spans="1:11" ht="14.45">
      <c r="A83" s="22"/>
      <c r="B83" s="34"/>
      <c r="C83" s="22"/>
      <c r="D83" s="22"/>
      <c r="E83" s="22"/>
      <c r="F83" s="23"/>
      <c r="G83" s="22"/>
      <c r="H83" s="22"/>
      <c r="I83" s="23"/>
      <c r="J83" s="74"/>
      <c r="K83" s="74"/>
    </row>
    <row r="84" spans="1:11" ht="14.45">
      <c r="A84" s="22"/>
      <c r="B84" s="34"/>
      <c r="C84" s="22"/>
      <c r="D84" s="22"/>
      <c r="E84" s="22"/>
      <c r="F84" s="23"/>
      <c r="G84" s="22"/>
      <c r="H84" s="22"/>
      <c r="I84" s="23"/>
      <c r="J84" s="74"/>
      <c r="K84" s="74"/>
    </row>
    <row r="85" spans="1:11" ht="14.45">
      <c r="A85" s="22"/>
      <c r="B85" s="34"/>
      <c r="C85" s="22"/>
      <c r="D85" s="22"/>
      <c r="E85" s="22"/>
      <c r="F85" s="23"/>
      <c r="G85" s="22"/>
      <c r="H85" s="22"/>
      <c r="I85" s="23"/>
      <c r="J85" s="74"/>
      <c r="K85" s="74"/>
    </row>
    <row r="86" spans="1:11" ht="14.45">
      <c r="A86" s="22"/>
      <c r="B86" s="34"/>
      <c r="C86" s="22"/>
      <c r="D86" s="22"/>
      <c r="E86" s="22"/>
      <c r="F86" s="23"/>
      <c r="G86" s="22"/>
      <c r="H86" s="22"/>
      <c r="I86" s="23"/>
      <c r="J86" s="74"/>
      <c r="K86" s="74"/>
    </row>
    <row r="87" spans="1:11" ht="14.45">
      <c r="A87" s="22"/>
      <c r="B87" s="34"/>
      <c r="C87" s="22"/>
      <c r="D87" s="22"/>
      <c r="E87" s="22"/>
      <c r="F87" s="23"/>
      <c r="G87" s="22"/>
      <c r="H87" s="22"/>
      <c r="I87" s="23"/>
      <c r="J87" s="74"/>
      <c r="K87" s="74"/>
    </row>
    <row r="88" spans="1:11" ht="14.45">
      <c r="A88" s="22"/>
      <c r="B88" s="34"/>
      <c r="C88" s="22"/>
      <c r="D88" s="22"/>
      <c r="E88" s="22"/>
      <c r="F88" s="23"/>
      <c r="G88" s="22"/>
      <c r="H88" s="22"/>
      <c r="I88" s="23"/>
      <c r="J88" s="74"/>
      <c r="K88" s="74"/>
    </row>
    <row r="89" spans="1:11" ht="14.45">
      <c r="A89" s="22"/>
      <c r="B89" s="34"/>
      <c r="C89" s="22"/>
      <c r="D89" s="22"/>
      <c r="E89" s="22"/>
      <c r="F89" s="23"/>
      <c r="G89" s="22"/>
      <c r="H89" s="22"/>
      <c r="I89" s="23"/>
      <c r="J89" s="74"/>
      <c r="K89" s="74"/>
    </row>
    <row r="90" spans="1:11" ht="14.45">
      <c r="A90" s="22"/>
      <c r="B90" s="34"/>
      <c r="C90" s="22"/>
      <c r="D90" s="22"/>
      <c r="E90" s="22"/>
      <c r="F90" s="23"/>
      <c r="G90" s="22"/>
      <c r="H90" s="22"/>
      <c r="I90" s="23"/>
      <c r="J90" s="74"/>
      <c r="K90" s="74"/>
    </row>
    <row r="91" spans="1:11" ht="14.45">
      <c r="A91" s="22"/>
      <c r="B91" s="34"/>
      <c r="C91" s="22"/>
      <c r="D91" s="22"/>
      <c r="E91" s="22"/>
      <c r="F91" s="23"/>
      <c r="G91" s="22"/>
      <c r="H91" s="22"/>
      <c r="I91" s="23"/>
      <c r="J91" s="74"/>
      <c r="K91" s="74"/>
    </row>
    <row r="92" spans="1:11" ht="14.45">
      <c r="A92" s="22"/>
      <c r="B92" s="34"/>
      <c r="C92" s="22"/>
      <c r="D92" s="22"/>
      <c r="E92" s="22"/>
      <c r="F92" s="23"/>
      <c r="G92" s="22"/>
      <c r="H92" s="22"/>
      <c r="I92" s="23"/>
      <c r="J92" s="74"/>
      <c r="K92" s="74"/>
    </row>
    <row r="93" spans="1:11" ht="14.45">
      <c r="A93" s="22"/>
      <c r="B93" s="34"/>
      <c r="C93" s="22"/>
      <c r="D93" s="22"/>
      <c r="E93" s="22"/>
      <c r="F93" s="23"/>
      <c r="G93" s="22"/>
      <c r="H93" s="22"/>
      <c r="I93" s="23"/>
      <c r="J93" s="74"/>
      <c r="K93" s="74"/>
    </row>
    <row r="94" spans="1:11" ht="14.45">
      <c r="A94" s="22"/>
      <c r="B94" s="34"/>
      <c r="C94" s="22"/>
      <c r="D94" s="22"/>
      <c r="E94" s="22"/>
      <c r="F94" s="23"/>
      <c r="G94" s="22"/>
      <c r="H94" s="22"/>
      <c r="I94" s="23"/>
      <c r="J94" s="74"/>
      <c r="K94" s="74"/>
    </row>
    <row r="95" spans="1:11" ht="14.45">
      <c r="A95" s="22"/>
      <c r="B95" s="34"/>
      <c r="C95" s="22"/>
      <c r="D95" s="22"/>
      <c r="E95" s="22"/>
      <c r="F95" s="23"/>
      <c r="G95" s="22"/>
      <c r="H95" s="22"/>
      <c r="I95" s="23"/>
      <c r="J95" s="74"/>
      <c r="K95" s="74"/>
    </row>
    <row r="96" spans="1:11" ht="14.45">
      <c r="A96" s="22"/>
      <c r="B96" s="34"/>
      <c r="C96" s="22"/>
      <c r="D96" s="22"/>
      <c r="E96" s="22"/>
      <c r="F96" s="23"/>
      <c r="G96" s="22"/>
      <c r="H96" s="22"/>
      <c r="I96" s="23"/>
      <c r="J96" s="74"/>
      <c r="K96" s="74"/>
    </row>
    <row r="97" spans="1:11" ht="14.45">
      <c r="A97" s="22"/>
      <c r="B97" s="34"/>
      <c r="C97" s="22"/>
      <c r="D97" s="22"/>
      <c r="E97" s="22"/>
      <c r="F97" s="23"/>
      <c r="G97" s="22"/>
      <c r="H97" s="22"/>
      <c r="I97" s="23"/>
      <c r="J97" s="74"/>
      <c r="K97" s="74"/>
    </row>
    <row r="98" spans="1:11" ht="14.45">
      <c r="A98" s="22"/>
      <c r="B98" s="34"/>
      <c r="C98" s="22"/>
      <c r="D98" s="22"/>
      <c r="E98" s="22"/>
      <c r="F98" s="23"/>
      <c r="G98" s="22"/>
      <c r="H98" s="22"/>
      <c r="I98" s="23"/>
      <c r="J98" s="74"/>
      <c r="K98" s="74"/>
    </row>
    <row r="99" spans="1:11" ht="14.45">
      <c r="A99" s="22"/>
      <c r="B99" s="34"/>
      <c r="C99" s="22"/>
      <c r="D99" s="22"/>
      <c r="E99" s="22"/>
      <c r="F99" s="23"/>
      <c r="G99" s="22"/>
      <c r="H99" s="22"/>
      <c r="I99" s="23"/>
      <c r="J99" s="74"/>
      <c r="K99" s="74"/>
    </row>
    <row r="100" spans="1:11" ht="14.45">
      <c r="A100" s="22"/>
      <c r="B100" s="34"/>
      <c r="C100" s="22"/>
      <c r="D100" s="22"/>
      <c r="E100" s="22"/>
      <c r="F100" s="23"/>
      <c r="G100" s="22"/>
      <c r="H100" s="22"/>
      <c r="I100" s="23"/>
      <c r="J100" s="74"/>
      <c r="K100" s="74"/>
    </row>
    <row r="101" spans="1:11" ht="14.45">
      <c r="A101" s="22"/>
      <c r="B101" s="34"/>
      <c r="C101" s="22"/>
      <c r="D101" s="22"/>
      <c r="E101" s="22"/>
      <c r="F101" s="23"/>
      <c r="G101" s="22"/>
      <c r="H101" s="22"/>
      <c r="I101" s="23"/>
      <c r="J101" s="74"/>
      <c r="K101" s="74"/>
    </row>
    <row r="102" spans="1:11" ht="14.45">
      <c r="A102" s="22"/>
      <c r="B102" s="34"/>
      <c r="C102" s="22"/>
      <c r="D102" s="22"/>
      <c r="E102" s="22"/>
      <c r="F102" s="23"/>
      <c r="G102" s="22"/>
      <c r="H102" s="22"/>
      <c r="I102" s="23"/>
      <c r="J102" s="74"/>
      <c r="K102" s="74"/>
    </row>
    <row r="103" spans="1:11" ht="14.45">
      <c r="A103" s="22"/>
      <c r="B103" s="34"/>
      <c r="C103" s="22"/>
      <c r="D103" s="22"/>
      <c r="E103" s="22"/>
      <c r="F103" s="23"/>
      <c r="G103" s="22"/>
      <c r="H103" s="22"/>
      <c r="I103" s="23"/>
      <c r="J103" s="74"/>
      <c r="K103" s="74"/>
    </row>
    <row r="104" spans="1:11" ht="14.45">
      <c r="A104" s="22"/>
      <c r="B104" s="34"/>
      <c r="C104" s="22"/>
      <c r="D104" s="22"/>
      <c r="E104" s="22"/>
      <c r="F104" s="23"/>
      <c r="G104" s="22"/>
      <c r="H104" s="22"/>
      <c r="I104" s="23"/>
      <c r="J104" s="74"/>
      <c r="K104" s="74"/>
    </row>
    <row r="105" spans="1:11" ht="14.45">
      <c r="A105" s="22"/>
      <c r="B105" s="34"/>
      <c r="C105" s="22"/>
      <c r="D105" s="22"/>
      <c r="E105" s="22"/>
      <c r="F105" s="23"/>
      <c r="G105" s="22"/>
      <c r="H105" s="22"/>
      <c r="I105" s="23"/>
      <c r="J105" s="74"/>
      <c r="K105" s="74"/>
    </row>
    <row r="106" spans="1:11" ht="14.45">
      <c r="A106" s="22"/>
      <c r="B106" s="34"/>
      <c r="C106" s="22"/>
      <c r="D106" s="22"/>
      <c r="E106" s="22"/>
      <c r="F106" s="23"/>
      <c r="G106" s="22"/>
      <c r="H106" s="22"/>
      <c r="I106" s="23"/>
      <c r="J106" s="74"/>
      <c r="K106" s="74"/>
    </row>
    <row r="107" spans="1:11" ht="14.45">
      <c r="A107" s="22"/>
      <c r="B107" s="34"/>
      <c r="C107" s="22"/>
      <c r="D107" s="22"/>
      <c r="E107" s="22"/>
      <c r="F107" s="23"/>
      <c r="G107" s="22"/>
      <c r="H107" s="22"/>
      <c r="I107" s="23"/>
      <c r="J107" s="74"/>
      <c r="K107" s="74"/>
    </row>
    <row r="108" spans="1:11" ht="14.45">
      <c r="A108" s="22"/>
      <c r="B108" s="34"/>
      <c r="C108" s="22"/>
      <c r="D108" s="22"/>
      <c r="E108" s="22"/>
      <c r="F108" s="23"/>
      <c r="G108" s="22"/>
      <c r="H108" s="22"/>
      <c r="I108" s="23"/>
      <c r="J108" s="74"/>
      <c r="K108" s="74"/>
    </row>
    <row r="109" spans="1:11" ht="14.45">
      <c r="A109" s="22"/>
      <c r="B109" s="34"/>
      <c r="C109" s="22"/>
      <c r="D109" s="22"/>
      <c r="E109" s="22"/>
      <c r="F109" s="23"/>
      <c r="G109" s="22"/>
      <c r="H109" s="22"/>
      <c r="I109" s="23"/>
      <c r="J109" s="74"/>
      <c r="K109" s="74"/>
    </row>
    <row r="110" spans="1:11" ht="14.45">
      <c r="A110" s="22"/>
      <c r="B110" s="34"/>
      <c r="C110" s="22"/>
      <c r="D110" s="22"/>
      <c r="E110" s="22"/>
      <c r="F110" s="23"/>
      <c r="G110" s="22"/>
      <c r="H110" s="22"/>
      <c r="I110" s="23"/>
      <c r="J110" s="74"/>
      <c r="K110" s="74"/>
    </row>
    <row r="111" spans="1:11" ht="14.45">
      <c r="A111" s="22"/>
      <c r="B111" s="34"/>
      <c r="C111" s="22"/>
      <c r="D111" s="22"/>
      <c r="E111" s="22"/>
      <c r="F111" s="23"/>
      <c r="G111" s="22"/>
      <c r="H111" s="22"/>
      <c r="I111" s="23"/>
      <c r="J111" s="74"/>
      <c r="K111" s="74"/>
    </row>
    <row r="112" spans="1:11" ht="14.45">
      <c r="A112" s="22"/>
      <c r="B112" s="34"/>
      <c r="C112" s="22"/>
      <c r="D112" s="22"/>
      <c r="E112" s="22"/>
      <c r="F112" s="23"/>
      <c r="G112" s="22"/>
      <c r="H112" s="22"/>
      <c r="I112" s="23"/>
      <c r="J112" s="74"/>
      <c r="K112" s="74"/>
    </row>
    <row r="113" spans="1:11" ht="14.45">
      <c r="A113" s="22"/>
      <c r="B113" s="34"/>
      <c r="C113" s="22"/>
      <c r="D113" s="22"/>
      <c r="E113" s="22"/>
      <c r="F113" s="23"/>
      <c r="G113" s="22"/>
      <c r="H113" s="22"/>
      <c r="I113" s="23"/>
      <c r="J113" s="74"/>
      <c r="K113" s="74"/>
    </row>
    <row r="114" spans="1:11" ht="14.45">
      <c r="A114" s="22"/>
      <c r="B114" s="34"/>
      <c r="C114" s="22"/>
      <c r="D114" s="22"/>
      <c r="E114" s="22"/>
      <c r="F114" s="23"/>
      <c r="G114" s="22"/>
      <c r="H114" s="22"/>
      <c r="I114" s="23"/>
      <c r="J114" s="74"/>
      <c r="K114" s="74"/>
    </row>
    <row r="115" spans="1:11" ht="14.45">
      <c r="A115" s="22"/>
      <c r="B115" s="34"/>
      <c r="C115" s="22"/>
      <c r="D115" s="22"/>
      <c r="E115" s="22"/>
      <c r="F115" s="23"/>
      <c r="G115" s="22"/>
      <c r="H115" s="22"/>
      <c r="I115" s="23"/>
      <c r="J115" s="74"/>
      <c r="K115" s="74"/>
    </row>
    <row r="116" spans="1:11" ht="14.45">
      <c r="A116" s="22"/>
      <c r="B116" s="34"/>
      <c r="C116" s="22"/>
      <c r="D116" s="22"/>
      <c r="E116" s="22"/>
      <c r="F116" s="23"/>
      <c r="G116" s="22"/>
      <c r="H116" s="22"/>
      <c r="I116" s="23"/>
      <c r="J116" s="74"/>
      <c r="K116" s="74"/>
    </row>
    <row r="117" spans="1:11" ht="14.45">
      <c r="A117" s="22"/>
      <c r="B117" s="34"/>
      <c r="C117" s="22"/>
      <c r="D117" s="22"/>
      <c r="E117" s="22"/>
      <c r="F117" s="23"/>
      <c r="G117" s="22"/>
      <c r="H117" s="22"/>
      <c r="I117" s="23"/>
      <c r="J117" s="74"/>
      <c r="K117" s="74"/>
    </row>
    <row r="118" spans="1:11" ht="14.45">
      <c r="A118" s="22"/>
      <c r="B118" s="34"/>
      <c r="C118" s="22"/>
      <c r="D118" s="22"/>
      <c r="E118" s="22"/>
      <c r="F118" s="23"/>
      <c r="G118" s="22"/>
      <c r="H118" s="22"/>
      <c r="I118" s="23"/>
      <c r="J118" s="74"/>
      <c r="K118" s="74"/>
    </row>
    <row r="119" spans="1:11" ht="14.45">
      <c r="A119" s="22"/>
      <c r="B119" s="34"/>
      <c r="C119" s="22"/>
      <c r="D119" s="22"/>
      <c r="E119" s="22"/>
      <c r="F119" s="23"/>
      <c r="G119" s="22"/>
      <c r="H119" s="22"/>
      <c r="I119" s="23"/>
      <c r="J119" s="74"/>
      <c r="K119" s="74"/>
    </row>
    <row r="120" spans="1:11" ht="14.45">
      <c r="A120" s="22"/>
      <c r="B120" s="34"/>
      <c r="C120" s="22"/>
      <c r="D120" s="22"/>
      <c r="E120" s="22"/>
      <c r="F120" s="23"/>
      <c r="G120" s="22"/>
      <c r="H120" s="22"/>
      <c r="I120" s="23"/>
      <c r="J120" s="74"/>
      <c r="K120" s="74"/>
    </row>
    <row r="121" spans="1:11" ht="14.45">
      <c r="A121" s="22"/>
      <c r="B121" s="34"/>
      <c r="C121" s="22"/>
      <c r="D121" s="22"/>
      <c r="E121" s="22"/>
      <c r="F121" s="23"/>
      <c r="G121" s="22"/>
      <c r="H121" s="22"/>
      <c r="I121" s="23"/>
      <c r="J121" s="74"/>
      <c r="K121" s="74"/>
    </row>
    <row r="122" spans="1:11" ht="14.45">
      <c r="A122" s="22"/>
      <c r="B122" s="34"/>
      <c r="C122" s="22"/>
      <c r="D122" s="22"/>
      <c r="E122" s="22"/>
      <c r="F122" s="23"/>
      <c r="G122" s="22"/>
      <c r="H122" s="22"/>
      <c r="I122" s="23"/>
      <c r="J122" s="74"/>
      <c r="K122" s="74"/>
    </row>
    <row r="123" spans="1:11" ht="14.45">
      <c r="A123" s="22"/>
      <c r="B123" s="34"/>
      <c r="C123" s="22"/>
      <c r="D123" s="22"/>
      <c r="E123" s="22"/>
      <c r="F123" s="23"/>
      <c r="G123" s="22"/>
      <c r="H123" s="22"/>
      <c r="I123" s="23"/>
      <c r="J123" s="74"/>
      <c r="K123" s="74"/>
    </row>
    <row r="124" spans="1:11" ht="14.45">
      <c r="A124" s="22"/>
      <c r="B124" s="34"/>
      <c r="C124" s="22"/>
      <c r="D124" s="22"/>
      <c r="E124" s="22"/>
      <c r="F124" s="23"/>
      <c r="G124" s="22"/>
      <c r="H124" s="22"/>
      <c r="I124" s="23"/>
      <c r="J124" s="74"/>
      <c r="K124" s="74"/>
    </row>
    <row r="125" spans="1:11" ht="14.45">
      <c r="A125" s="22"/>
      <c r="B125" s="34"/>
      <c r="C125" s="22"/>
      <c r="D125" s="22"/>
      <c r="E125" s="22"/>
      <c r="F125" s="23"/>
      <c r="G125" s="22"/>
      <c r="H125" s="22"/>
      <c r="I125" s="23"/>
      <c r="J125" s="74"/>
      <c r="K125" s="74"/>
    </row>
    <row r="126" spans="1:11" ht="14.45">
      <c r="A126" s="22"/>
      <c r="B126" s="34"/>
      <c r="C126" s="22"/>
      <c r="D126" s="22"/>
      <c r="E126" s="22"/>
      <c r="F126" s="23"/>
      <c r="G126" s="22"/>
      <c r="H126" s="22"/>
      <c r="I126" s="23"/>
      <c r="J126" s="74"/>
      <c r="K126" s="74"/>
    </row>
    <row r="127" spans="1:11" ht="14.45">
      <c r="A127" s="22"/>
      <c r="B127" s="34"/>
      <c r="C127" s="22"/>
      <c r="D127" s="22"/>
      <c r="E127" s="22"/>
      <c r="F127" s="23"/>
      <c r="G127" s="22"/>
      <c r="H127" s="22"/>
      <c r="I127" s="23"/>
      <c r="J127" s="74"/>
      <c r="K127" s="74"/>
    </row>
    <row r="128" spans="1:11" ht="14.45">
      <c r="A128" s="22"/>
      <c r="B128" s="34"/>
      <c r="C128" s="22"/>
      <c r="D128" s="22"/>
      <c r="E128" s="22"/>
      <c r="F128" s="23"/>
      <c r="G128" s="22"/>
      <c r="H128" s="22"/>
      <c r="I128" s="23"/>
      <c r="J128" s="74"/>
      <c r="K128" s="74"/>
    </row>
    <row r="129" spans="1:11" ht="14.45">
      <c r="A129" s="22"/>
      <c r="B129" s="34"/>
      <c r="C129" s="22"/>
      <c r="D129" s="22"/>
      <c r="E129" s="22"/>
      <c r="F129" s="23"/>
      <c r="G129" s="22"/>
      <c r="H129" s="22"/>
      <c r="I129" s="23"/>
      <c r="J129" s="74"/>
      <c r="K129" s="74"/>
    </row>
    <row r="130" spans="1:11" ht="14.45">
      <c r="A130" s="22"/>
      <c r="B130" s="34"/>
      <c r="C130" s="22"/>
      <c r="D130" s="22"/>
      <c r="E130" s="22"/>
      <c r="F130" s="23"/>
      <c r="G130" s="22"/>
      <c r="H130" s="22"/>
      <c r="I130" s="23"/>
      <c r="J130" s="74"/>
      <c r="K130" s="74"/>
    </row>
    <row r="131" spans="1:11" ht="14.45">
      <c r="A131" s="22"/>
      <c r="B131" s="34"/>
      <c r="C131" s="22"/>
      <c r="D131" s="22"/>
      <c r="E131" s="22"/>
      <c r="F131" s="23"/>
      <c r="G131" s="22"/>
      <c r="H131" s="22"/>
      <c r="I131" s="23"/>
      <c r="J131" s="74"/>
      <c r="K131" s="74"/>
    </row>
    <row r="132" spans="1:11" ht="14.45">
      <c r="A132" s="22"/>
      <c r="B132" s="34"/>
      <c r="C132" s="22"/>
      <c r="D132" s="22"/>
      <c r="E132" s="22"/>
      <c r="F132" s="23"/>
      <c r="G132" s="22"/>
      <c r="H132" s="22"/>
      <c r="I132" s="23"/>
      <c r="J132" s="74"/>
      <c r="K132" s="74"/>
    </row>
    <row r="133" spans="1:11" ht="14.45">
      <c r="A133" s="22"/>
      <c r="B133" s="34"/>
      <c r="C133" s="22"/>
      <c r="D133" s="22"/>
      <c r="E133" s="22"/>
      <c r="F133" s="23"/>
      <c r="G133" s="22"/>
      <c r="H133" s="22"/>
      <c r="I133" s="23"/>
      <c r="J133" s="74"/>
      <c r="K133" s="74"/>
    </row>
    <row r="134" spans="1:11" ht="14.45">
      <c r="A134" s="22"/>
      <c r="B134" s="34"/>
      <c r="C134" s="22"/>
      <c r="D134" s="22"/>
      <c r="E134" s="22"/>
      <c r="F134" s="23"/>
      <c r="G134" s="22"/>
      <c r="H134" s="22"/>
      <c r="I134" s="23"/>
      <c r="J134" s="74"/>
      <c r="K134" s="74"/>
    </row>
    <row r="135" spans="1:11" ht="14.45">
      <c r="A135" s="22"/>
      <c r="B135" s="34"/>
      <c r="C135" s="22"/>
      <c r="D135" s="22"/>
      <c r="E135" s="22"/>
      <c r="F135" s="23"/>
      <c r="G135" s="22"/>
      <c r="H135" s="22"/>
      <c r="I135" s="23"/>
      <c r="J135" s="74"/>
      <c r="K135" s="74"/>
    </row>
    <row r="136" spans="1:11" ht="14.45">
      <c r="A136" s="22"/>
      <c r="B136" s="34"/>
      <c r="C136" s="22"/>
      <c r="D136" s="22"/>
      <c r="E136" s="22"/>
      <c r="F136" s="23"/>
      <c r="G136" s="22"/>
      <c r="H136" s="22"/>
      <c r="I136" s="23"/>
      <c r="J136" s="74"/>
      <c r="K136" s="74"/>
    </row>
    <row r="137" spans="1:11" ht="14.45">
      <c r="A137" s="22"/>
      <c r="B137" s="34"/>
      <c r="C137" s="22"/>
      <c r="D137" s="22"/>
      <c r="E137" s="22"/>
      <c r="F137" s="23"/>
      <c r="G137" s="22"/>
      <c r="H137" s="22"/>
      <c r="I137" s="23"/>
      <c r="J137" s="74"/>
      <c r="K137" s="74"/>
    </row>
    <row r="138" spans="1:11" ht="14.45">
      <c r="A138" s="22"/>
      <c r="B138" s="34"/>
      <c r="C138" s="22"/>
      <c r="D138" s="22"/>
      <c r="E138" s="22"/>
      <c r="F138" s="23"/>
      <c r="G138" s="22"/>
      <c r="H138" s="22"/>
      <c r="I138" s="23"/>
      <c r="J138" s="74"/>
      <c r="K138" s="74"/>
    </row>
    <row r="139" spans="1:11" ht="14.45">
      <c r="A139" s="22"/>
      <c r="B139" s="34"/>
      <c r="C139" s="22"/>
      <c r="D139" s="22"/>
      <c r="E139" s="22"/>
      <c r="F139" s="23"/>
      <c r="G139" s="22"/>
      <c r="H139" s="22"/>
      <c r="I139" s="23"/>
      <c r="J139" s="74"/>
      <c r="K139" s="74"/>
    </row>
    <row r="140" spans="1:11" ht="14.45">
      <c r="A140" s="22"/>
      <c r="B140" s="34"/>
      <c r="C140" s="22"/>
      <c r="D140" s="22"/>
      <c r="E140" s="22"/>
      <c r="F140" s="23"/>
      <c r="G140" s="22"/>
      <c r="H140" s="22"/>
      <c r="I140" s="23"/>
      <c r="J140" s="74"/>
      <c r="K140" s="74"/>
    </row>
    <row r="141" spans="1:11" ht="14.45">
      <c r="A141" s="22"/>
      <c r="B141" s="34"/>
      <c r="C141" s="22"/>
      <c r="D141" s="22"/>
      <c r="E141" s="22"/>
      <c r="F141" s="23"/>
      <c r="G141" s="22"/>
      <c r="H141" s="22"/>
      <c r="I141" s="23"/>
      <c r="J141" s="74"/>
      <c r="K141" s="74"/>
    </row>
    <row r="142" spans="1:11" ht="14.45">
      <c r="A142" s="22"/>
      <c r="B142" s="34"/>
      <c r="C142" s="22"/>
      <c r="D142" s="22"/>
      <c r="E142" s="22"/>
      <c r="F142" s="23"/>
      <c r="G142" s="22"/>
      <c r="H142" s="22"/>
      <c r="I142" s="23"/>
      <c r="J142" s="74"/>
      <c r="K142" s="74"/>
    </row>
    <row r="143" spans="1:11" ht="14.45">
      <c r="A143" s="22"/>
      <c r="B143" s="34"/>
      <c r="C143" s="22"/>
      <c r="D143" s="22"/>
      <c r="E143" s="22"/>
      <c r="F143" s="23"/>
      <c r="G143" s="22"/>
      <c r="H143" s="22"/>
      <c r="I143" s="23"/>
      <c r="J143" s="74"/>
      <c r="K143" s="74"/>
    </row>
    <row r="144" spans="1:11" ht="14.45">
      <c r="A144" s="22"/>
      <c r="B144" s="34"/>
      <c r="C144" s="22"/>
      <c r="D144" s="22"/>
      <c r="E144" s="22"/>
      <c r="F144" s="23"/>
      <c r="G144" s="22"/>
      <c r="H144" s="22"/>
      <c r="I144" s="23"/>
      <c r="J144" s="74"/>
      <c r="K144" s="74"/>
    </row>
    <row r="145" spans="1:11" ht="14.45">
      <c r="A145" s="22"/>
      <c r="B145" s="34"/>
      <c r="C145" s="22"/>
      <c r="D145" s="22"/>
      <c r="E145" s="22"/>
      <c r="F145" s="23"/>
      <c r="G145" s="22"/>
      <c r="H145" s="22"/>
      <c r="I145" s="23"/>
      <c r="J145" s="74"/>
      <c r="K145" s="74"/>
    </row>
    <row r="146" spans="1:11" ht="14.45">
      <c r="A146" s="22"/>
      <c r="B146" s="34"/>
      <c r="C146" s="22"/>
      <c r="D146" s="22"/>
      <c r="E146" s="22"/>
      <c r="F146" s="23"/>
      <c r="G146" s="22"/>
      <c r="H146" s="22"/>
      <c r="I146" s="23"/>
      <c r="J146" s="74"/>
      <c r="K146" s="74"/>
    </row>
    <row r="147" spans="1:11" ht="14.45">
      <c r="A147" s="22"/>
      <c r="B147" s="34"/>
      <c r="C147" s="22"/>
      <c r="D147" s="22"/>
      <c r="E147" s="22"/>
      <c r="F147" s="23"/>
      <c r="G147" s="22"/>
      <c r="H147" s="22"/>
      <c r="I147" s="23"/>
      <c r="J147" s="74"/>
      <c r="K147" s="74"/>
    </row>
    <row r="148" spans="1:11" ht="14.45">
      <c r="A148" s="22"/>
      <c r="B148" s="34"/>
      <c r="C148" s="22"/>
      <c r="D148" s="22"/>
      <c r="E148" s="22"/>
      <c r="F148" s="23"/>
      <c r="G148" s="22"/>
      <c r="H148" s="22"/>
      <c r="I148" s="23"/>
      <c r="J148" s="74"/>
      <c r="K148" s="74"/>
    </row>
    <row r="149" spans="1:11" ht="14.45">
      <c r="A149" s="22"/>
      <c r="B149" s="34"/>
      <c r="C149" s="22"/>
      <c r="D149" s="22"/>
      <c r="E149" s="22"/>
      <c r="F149" s="23"/>
      <c r="G149" s="22"/>
      <c r="H149" s="22"/>
      <c r="I149" s="23"/>
      <c r="J149" s="74"/>
      <c r="K149" s="74"/>
    </row>
    <row r="150" spans="1:11" ht="14.45">
      <c r="A150" s="22"/>
      <c r="B150" s="34"/>
      <c r="C150" s="22"/>
      <c r="D150" s="22"/>
      <c r="E150" s="22"/>
      <c r="F150" s="23"/>
      <c r="G150" s="22"/>
      <c r="H150" s="22"/>
      <c r="I150" s="23"/>
      <c r="J150" s="74"/>
      <c r="K150" s="74"/>
    </row>
    <row r="151" spans="1:11" ht="14.45">
      <c r="A151" s="22"/>
      <c r="B151" s="34"/>
      <c r="C151" s="22"/>
      <c r="D151" s="22"/>
      <c r="E151" s="22"/>
      <c r="F151" s="23"/>
      <c r="G151" s="22"/>
      <c r="H151" s="22"/>
      <c r="I151" s="23"/>
      <c r="J151" s="74"/>
      <c r="K151" s="74"/>
    </row>
    <row r="152" spans="1:11" ht="14.45">
      <c r="A152" s="22"/>
      <c r="B152" s="34"/>
      <c r="C152" s="22"/>
      <c r="D152" s="22"/>
      <c r="E152" s="22"/>
      <c r="F152" s="23"/>
      <c r="G152" s="22"/>
      <c r="H152" s="22"/>
      <c r="I152" s="23"/>
      <c r="J152" s="74"/>
      <c r="K152" s="74"/>
    </row>
    <row r="153" spans="1:11" ht="14.45">
      <c r="A153" s="22"/>
      <c r="B153" s="34"/>
      <c r="C153" s="22"/>
      <c r="D153" s="22"/>
      <c r="E153" s="22"/>
      <c r="F153" s="23"/>
      <c r="G153" s="22"/>
      <c r="H153" s="22"/>
      <c r="I153" s="23"/>
      <c r="J153" s="74"/>
      <c r="K153" s="74"/>
    </row>
    <row r="154" spans="1:11" ht="14.45">
      <c r="A154" s="22"/>
      <c r="B154" s="34"/>
      <c r="C154" s="22"/>
      <c r="D154" s="22"/>
      <c r="E154" s="22"/>
      <c r="F154" s="23"/>
      <c r="G154" s="22"/>
      <c r="H154" s="22"/>
      <c r="I154" s="23"/>
      <c r="J154" s="74"/>
      <c r="K154" s="74"/>
    </row>
    <row r="155" spans="1:11" ht="14.45">
      <c r="A155" s="22"/>
      <c r="B155" s="34"/>
      <c r="C155" s="22"/>
      <c r="D155" s="22"/>
      <c r="E155" s="22"/>
      <c r="F155" s="23"/>
      <c r="G155" s="22"/>
      <c r="H155" s="22"/>
      <c r="I155" s="23"/>
      <c r="J155" s="74"/>
      <c r="K155" s="74"/>
    </row>
    <row r="156" spans="1:11" ht="14.45">
      <c r="A156" s="22"/>
      <c r="B156" s="34"/>
      <c r="C156" s="22"/>
      <c r="D156" s="22"/>
      <c r="E156" s="22"/>
      <c r="F156" s="23"/>
      <c r="G156" s="22"/>
      <c r="H156" s="22"/>
      <c r="I156" s="23"/>
      <c r="J156" s="74"/>
      <c r="K156" s="74"/>
    </row>
    <row r="157" spans="1:11" ht="14.45">
      <c r="A157" s="22"/>
      <c r="B157" s="34"/>
      <c r="C157" s="22"/>
      <c r="D157" s="22"/>
      <c r="E157" s="22"/>
      <c r="F157" s="23"/>
      <c r="G157" s="22"/>
      <c r="H157" s="22"/>
      <c r="I157" s="23"/>
      <c r="J157" s="74"/>
      <c r="K157" s="74"/>
    </row>
    <row r="158" spans="1:11" ht="14.45">
      <c r="A158" s="22"/>
      <c r="B158" s="34"/>
      <c r="C158" s="22"/>
      <c r="D158" s="22"/>
      <c r="E158" s="22"/>
      <c r="F158" s="23"/>
      <c r="G158" s="22"/>
      <c r="H158" s="22"/>
      <c r="I158" s="23"/>
      <c r="J158" s="74"/>
      <c r="K158" s="74"/>
    </row>
    <row r="159" spans="1:11" ht="14.45">
      <c r="A159" s="22"/>
      <c r="B159" s="34"/>
      <c r="C159" s="22"/>
      <c r="D159" s="22"/>
      <c r="E159" s="22"/>
      <c r="F159" s="23"/>
      <c r="G159" s="22"/>
      <c r="H159" s="22"/>
      <c r="I159" s="23"/>
      <c r="J159" s="74"/>
      <c r="K159" s="74"/>
    </row>
    <row r="160" spans="1:11" ht="14.45">
      <c r="A160" s="22"/>
      <c r="B160" s="34"/>
      <c r="C160" s="22"/>
      <c r="D160" s="22"/>
      <c r="E160" s="22"/>
      <c r="F160" s="23"/>
      <c r="G160" s="22"/>
      <c r="H160" s="22"/>
      <c r="I160" s="23"/>
      <c r="J160" s="74"/>
      <c r="K160" s="74"/>
    </row>
    <row r="161" spans="1:11" ht="14.45">
      <c r="A161" s="22"/>
      <c r="B161" s="34"/>
      <c r="C161" s="22"/>
      <c r="D161" s="22"/>
      <c r="E161" s="22"/>
      <c r="F161" s="23"/>
      <c r="G161" s="22"/>
      <c r="H161" s="22"/>
      <c r="I161" s="23"/>
      <c r="J161" s="74"/>
      <c r="K161" s="74"/>
    </row>
    <row r="162" spans="1:11" ht="14.45">
      <c r="A162" s="22"/>
      <c r="B162" s="34"/>
      <c r="C162" s="22"/>
      <c r="D162" s="22"/>
      <c r="E162" s="22"/>
      <c r="F162" s="23"/>
      <c r="G162" s="22"/>
      <c r="H162" s="22"/>
      <c r="I162" s="23"/>
      <c r="J162" s="74"/>
      <c r="K162" s="74"/>
    </row>
    <row r="163" spans="1:11" ht="14.45">
      <c r="A163" s="22"/>
      <c r="B163" s="34"/>
      <c r="C163" s="22"/>
      <c r="D163" s="22"/>
      <c r="E163" s="22"/>
      <c r="F163" s="23"/>
      <c r="G163" s="22"/>
      <c r="H163" s="22"/>
      <c r="I163" s="23"/>
      <c r="J163" s="74"/>
      <c r="K163" s="74"/>
    </row>
    <row r="164" spans="1:11" ht="14.45">
      <c r="A164" s="22"/>
      <c r="B164" s="34"/>
      <c r="C164" s="22"/>
      <c r="D164" s="22"/>
      <c r="E164" s="22"/>
      <c r="F164" s="23"/>
      <c r="G164" s="22"/>
      <c r="H164" s="22"/>
      <c r="I164" s="23"/>
      <c r="J164" s="74"/>
      <c r="K164" s="74"/>
    </row>
    <row r="165" spans="1:11" ht="14.45">
      <c r="A165" s="22"/>
      <c r="B165" s="34"/>
      <c r="C165" s="22"/>
      <c r="D165" s="22"/>
      <c r="E165" s="22"/>
      <c r="F165" s="23"/>
      <c r="G165" s="22"/>
      <c r="H165" s="22"/>
      <c r="I165" s="23"/>
      <c r="J165" s="74"/>
      <c r="K165" s="74"/>
    </row>
    <row r="166" spans="1:11" ht="14.45">
      <c r="A166" s="22"/>
      <c r="B166" s="34"/>
      <c r="C166" s="22"/>
      <c r="D166" s="22"/>
      <c r="E166" s="22"/>
      <c r="F166" s="23"/>
      <c r="G166" s="22"/>
      <c r="H166" s="22"/>
      <c r="I166" s="23"/>
      <c r="J166" s="74"/>
      <c r="K166" s="74"/>
    </row>
    <row r="167" spans="1:11" ht="14.45">
      <c r="A167" s="22"/>
      <c r="B167" s="34"/>
      <c r="C167" s="22"/>
      <c r="D167" s="22"/>
      <c r="E167" s="22"/>
      <c r="F167" s="23"/>
      <c r="G167" s="22"/>
      <c r="H167" s="22"/>
      <c r="I167" s="23"/>
      <c r="J167" s="74"/>
      <c r="K167" s="74"/>
    </row>
    <row r="168" spans="1:11" ht="14.45">
      <c r="A168" s="22"/>
      <c r="B168" s="34"/>
      <c r="C168" s="22"/>
      <c r="D168" s="22"/>
      <c r="E168" s="22"/>
      <c r="F168" s="23"/>
      <c r="G168" s="22"/>
      <c r="H168" s="22"/>
      <c r="I168" s="23"/>
      <c r="J168" s="74"/>
      <c r="K168" s="74"/>
    </row>
    <row r="169" spans="1:11" ht="14.45">
      <c r="A169" s="22"/>
      <c r="B169" s="34"/>
      <c r="C169" s="22"/>
      <c r="D169" s="22"/>
      <c r="E169" s="22"/>
      <c r="F169" s="23"/>
      <c r="G169" s="22"/>
      <c r="H169" s="22"/>
      <c r="I169" s="23"/>
      <c r="J169" s="74"/>
      <c r="K169" s="74"/>
    </row>
    <row r="170" spans="1:11" ht="14.45">
      <c r="A170" s="22"/>
      <c r="B170" s="34"/>
      <c r="C170" s="22"/>
      <c r="D170" s="22"/>
      <c r="E170" s="22"/>
      <c r="F170" s="23"/>
      <c r="G170" s="22"/>
      <c r="H170" s="22"/>
      <c r="I170" s="23"/>
      <c r="J170" s="74"/>
      <c r="K170" s="74"/>
    </row>
    <row r="171" spans="1:11" ht="14.45">
      <c r="A171" s="22"/>
      <c r="B171" s="34"/>
      <c r="C171" s="22"/>
      <c r="D171" s="22"/>
      <c r="E171" s="22"/>
      <c r="F171" s="23"/>
      <c r="G171" s="22"/>
      <c r="H171" s="22"/>
      <c r="I171" s="23"/>
      <c r="J171" s="74"/>
      <c r="K171" s="74"/>
    </row>
    <row r="172" spans="1:11" ht="14.45">
      <c r="A172" s="22"/>
      <c r="B172" s="34"/>
      <c r="C172" s="22"/>
      <c r="D172" s="22"/>
      <c r="E172" s="22"/>
      <c r="F172" s="23"/>
      <c r="G172" s="22"/>
      <c r="H172" s="22"/>
      <c r="I172" s="23"/>
      <c r="J172" s="74"/>
      <c r="K172" s="74"/>
    </row>
    <row r="173" spans="1:11" ht="14.45">
      <c r="A173" s="22"/>
      <c r="B173" s="34"/>
      <c r="C173" s="22"/>
      <c r="D173" s="22"/>
      <c r="E173" s="22"/>
      <c r="F173" s="23"/>
      <c r="G173" s="22"/>
      <c r="H173" s="22"/>
      <c r="I173" s="23"/>
      <c r="J173" s="74"/>
      <c r="K173" s="74"/>
    </row>
    <row r="174" spans="1:11" ht="14.45">
      <c r="A174" s="22"/>
      <c r="B174" s="34"/>
      <c r="C174" s="22"/>
      <c r="D174" s="22"/>
      <c r="E174" s="22"/>
      <c r="F174" s="23"/>
      <c r="G174" s="22"/>
      <c r="H174" s="22"/>
      <c r="I174" s="23"/>
      <c r="J174" s="74"/>
      <c r="K174" s="74"/>
    </row>
    <row r="175" spans="1:11" ht="14.45">
      <c r="A175" s="22"/>
      <c r="B175" s="34"/>
      <c r="C175" s="22"/>
      <c r="D175" s="22"/>
      <c r="E175" s="22"/>
      <c r="F175" s="23"/>
      <c r="G175" s="22"/>
      <c r="H175" s="22"/>
      <c r="I175" s="23"/>
      <c r="J175" s="74"/>
      <c r="K175" s="74"/>
    </row>
    <row r="176" spans="1:11" ht="14.45">
      <c r="A176" s="22"/>
      <c r="B176" s="34"/>
      <c r="C176" s="22"/>
      <c r="D176" s="22"/>
      <c r="E176" s="22"/>
      <c r="F176" s="23"/>
      <c r="G176" s="22"/>
      <c r="H176" s="22"/>
      <c r="I176" s="23"/>
      <c r="J176" s="74"/>
      <c r="K176" s="74"/>
    </row>
    <row r="177" spans="1:11" ht="14.45">
      <c r="A177" s="22"/>
      <c r="B177" s="34"/>
      <c r="C177" s="22"/>
      <c r="D177" s="22"/>
      <c r="E177" s="22"/>
      <c r="F177" s="23"/>
      <c r="G177" s="22"/>
      <c r="H177" s="22"/>
      <c r="I177" s="23"/>
      <c r="J177" s="74"/>
      <c r="K177" s="74"/>
    </row>
    <row r="178" spans="1:11" ht="14.45">
      <c r="A178" s="22"/>
      <c r="B178" s="34"/>
      <c r="C178" s="22"/>
      <c r="D178" s="22"/>
      <c r="E178" s="22"/>
      <c r="F178" s="23"/>
      <c r="G178" s="22"/>
      <c r="H178" s="22"/>
      <c r="I178" s="23"/>
      <c r="J178" s="74"/>
      <c r="K178" s="74"/>
    </row>
    <row r="179" spans="1:11" ht="14.45">
      <c r="A179" s="22"/>
      <c r="B179" s="34"/>
      <c r="C179" s="22"/>
      <c r="D179" s="22"/>
      <c r="E179" s="22"/>
      <c r="F179" s="23"/>
      <c r="G179" s="22"/>
      <c r="H179" s="22"/>
      <c r="I179" s="23"/>
      <c r="J179" s="74"/>
      <c r="K179" s="74"/>
    </row>
    <row r="180" spans="1:11" ht="14.45">
      <c r="A180" s="22"/>
      <c r="B180" s="34"/>
      <c r="C180" s="22"/>
      <c r="D180" s="22"/>
      <c r="E180" s="22"/>
      <c r="F180" s="23"/>
      <c r="G180" s="22"/>
      <c r="H180" s="22"/>
      <c r="I180" s="23"/>
      <c r="J180" s="74"/>
      <c r="K180" s="74"/>
    </row>
    <row r="181" spans="1:11" ht="14.45">
      <c r="A181" s="22"/>
      <c r="B181" s="34"/>
      <c r="C181" s="22"/>
      <c r="D181" s="22"/>
      <c r="E181" s="22"/>
      <c r="F181" s="23"/>
      <c r="G181" s="22"/>
      <c r="H181" s="22"/>
      <c r="I181" s="23"/>
      <c r="J181" s="74"/>
      <c r="K181" s="74"/>
    </row>
    <row r="182" spans="1:11" ht="14.45">
      <c r="A182" s="22"/>
      <c r="B182" s="34"/>
      <c r="C182" s="22"/>
      <c r="D182" s="22"/>
      <c r="E182" s="22"/>
      <c r="F182" s="23"/>
      <c r="G182" s="22"/>
      <c r="H182" s="22"/>
      <c r="I182" s="23"/>
      <c r="J182" s="74"/>
      <c r="K182" s="74"/>
    </row>
    <row r="183" spans="1:11" ht="14.45">
      <c r="A183" s="22"/>
      <c r="B183" s="34"/>
      <c r="C183" s="22"/>
      <c r="D183" s="22"/>
      <c r="E183" s="22"/>
      <c r="F183" s="23"/>
      <c r="G183" s="22"/>
      <c r="H183" s="22"/>
      <c r="I183" s="23"/>
      <c r="J183" s="74"/>
      <c r="K183" s="74"/>
    </row>
    <row r="184" spans="1:11" ht="14.45">
      <c r="A184" s="22"/>
      <c r="B184" s="34"/>
      <c r="C184" s="22"/>
      <c r="D184" s="22"/>
      <c r="E184" s="22"/>
      <c r="F184" s="23"/>
      <c r="G184" s="22"/>
      <c r="H184" s="22"/>
      <c r="I184" s="23"/>
      <c r="J184" s="74"/>
      <c r="K184" s="74"/>
    </row>
    <row r="185" spans="1:11" ht="14.45">
      <c r="A185" s="22"/>
      <c r="B185" s="34"/>
      <c r="C185" s="22"/>
      <c r="D185" s="22"/>
      <c r="E185" s="22"/>
      <c r="F185" s="23"/>
      <c r="G185" s="22"/>
      <c r="H185" s="22"/>
      <c r="I185" s="23"/>
      <c r="J185" s="74"/>
      <c r="K185" s="74"/>
    </row>
    <row r="186" spans="1:11" ht="14.45">
      <c r="A186" s="22"/>
      <c r="B186" s="34"/>
      <c r="C186" s="22"/>
      <c r="D186" s="22"/>
      <c r="E186" s="22"/>
      <c r="F186" s="23"/>
      <c r="G186" s="22"/>
      <c r="H186" s="22"/>
      <c r="I186" s="23"/>
      <c r="J186" s="74"/>
      <c r="K186" s="74"/>
    </row>
    <row r="187" spans="1:11" ht="14.45">
      <c r="A187" s="22"/>
      <c r="B187" s="34"/>
      <c r="C187" s="22"/>
      <c r="D187" s="22"/>
      <c r="E187" s="22"/>
      <c r="F187" s="23"/>
      <c r="G187" s="22"/>
      <c r="H187" s="22"/>
      <c r="I187" s="23"/>
      <c r="J187" s="74"/>
      <c r="K187" s="74"/>
    </row>
    <row r="188" spans="1:11" ht="14.45">
      <c r="A188" s="22"/>
      <c r="B188" s="34"/>
      <c r="C188" s="22"/>
      <c r="D188" s="22"/>
      <c r="E188" s="22"/>
      <c r="F188" s="23"/>
      <c r="G188" s="22"/>
      <c r="H188" s="22"/>
      <c r="I188" s="23"/>
      <c r="J188" s="74"/>
      <c r="K188" s="74"/>
    </row>
    <row r="189" spans="1:11" ht="14.45">
      <c r="A189" s="22"/>
      <c r="B189" s="34"/>
      <c r="C189" s="22"/>
      <c r="D189" s="22"/>
      <c r="E189" s="22"/>
      <c r="F189" s="23"/>
      <c r="G189" s="22"/>
      <c r="H189" s="22"/>
      <c r="I189" s="23"/>
      <c r="J189" s="74"/>
      <c r="K189" s="74"/>
    </row>
    <row r="190" spans="1:11" ht="14.45">
      <c r="A190" s="22"/>
      <c r="B190" s="34"/>
      <c r="C190" s="22"/>
      <c r="D190" s="22"/>
      <c r="E190" s="22"/>
      <c r="F190" s="23"/>
      <c r="G190" s="22"/>
      <c r="H190" s="22"/>
      <c r="I190" s="23"/>
      <c r="J190" s="74"/>
      <c r="K190" s="74"/>
    </row>
    <row r="191" spans="1:11" ht="14.45">
      <c r="A191" s="22"/>
      <c r="B191" s="34"/>
      <c r="C191" s="22"/>
      <c r="D191" s="22"/>
      <c r="E191" s="22"/>
      <c r="F191" s="23"/>
      <c r="G191" s="22"/>
      <c r="H191" s="22"/>
      <c r="I191" s="23"/>
      <c r="J191" s="74"/>
      <c r="K191" s="74"/>
    </row>
    <row r="192" spans="1:11" ht="14.45">
      <c r="A192" s="22"/>
      <c r="B192" s="34"/>
      <c r="C192" s="22"/>
      <c r="D192" s="22"/>
      <c r="E192" s="22"/>
      <c r="F192" s="23"/>
      <c r="G192" s="22"/>
      <c r="H192" s="22"/>
      <c r="I192" s="23"/>
      <c r="J192" s="74"/>
      <c r="K192" s="74"/>
    </row>
    <row r="193" spans="1:11" ht="14.45">
      <c r="A193" s="22"/>
      <c r="B193" s="34"/>
      <c r="C193" s="22"/>
      <c r="D193" s="22"/>
      <c r="E193" s="22"/>
      <c r="F193" s="23"/>
      <c r="G193" s="22"/>
      <c r="H193" s="22"/>
      <c r="I193" s="23"/>
      <c r="J193" s="74"/>
      <c r="K193" s="74"/>
    </row>
    <row r="194" spans="1:11" ht="14.45">
      <c r="A194" s="22"/>
      <c r="B194" s="34"/>
      <c r="C194" s="22"/>
      <c r="D194" s="22"/>
      <c r="E194" s="22"/>
      <c r="F194" s="23"/>
      <c r="G194" s="22"/>
      <c r="H194" s="22"/>
      <c r="I194" s="23"/>
      <c r="J194" s="74"/>
      <c r="K194" s="74"/>
    </row>
    <row r="195" spans="1:11" ht="14.45">
      <c r="A195" s="22"/>
      <c r="B195" s="34"/>
      <c r="C195" s="22"/>
      <c r="D195" s="22"/>
      <c r="E195" s="22"/>
      <c r="F195" s="23"/>
      <c r="G195" s="22"/>
      <c r="H195" s="22"/>
      <c r="I195" s="23"/>
      <c r="J195" s="74"/>
      <c r="K195" s="74"/>
    </row>
    <row r="196" spans="1:11" ht="14.45">
      <c r="A196" s="22"/>
      <c r="B196" s="34"/>
      <c r="C196" s="22"/>
      <c r="D196" s="22"/>
      <c r="E196" s="22"/>
      <c r="F196" s="23"/>
      <c r="G196" s="22"/>
      <c r="H196" s="22"/>
      <c r="I196" s="23"/>
      <c r="J196" s="74"/>
      <c r="K196" s="74"/>
    </row>
    <row r="197" spans="1:11" ht="14.45">
      <c r="A197" s="22"/>
      <c r="B197" s="34"/>
      <c r="C197" s="22"/>
      <c r="D197" s="22"/>
      <c r="E197" s="22"/>
      <c r="F197" s="23"/>
      <c r="G197" s="22"/>
      <c r="H197" s="22"/>
      <c r="I197" s="23"/>
      <c r="J197" s="74"/>
      <c r="K197" s="74"/>
    </row>
    <row r="198" spans="1:11" ht="14.45">
      <c r="A198" s="22"/>
      <c r="B198" s="34"/>
      <c r="C198" s="22"/>
      <c r="D198" s="22"/>
      <c r="E198" s="22"/>
      <c r="F198" s="23"/>
      <c r="G198" s="22"/>
      <c r="H198" s="22"/>
      <c r="I198" s="23"/>
      <c r="J198" s="74"/>
      <c r="K198" s="74"/>
    </row>
    <row r="199" spans="1:11" ht="14.45">
      <c r="A199" s="22"/>
      <c r="B199" s="34"/>
      <c r="C199" s="22"/>
      <c r="D199" s="22"/>
      <c r="E199" s="22"/>
      <c r="F199" s="23"/>
      <c r="G199" s="22"/>
      <c r="H199" s="22"/>
      <c r="I199" s="23"/>
      <c r="J199" s="74"/>
      <c r="K199" s="74"/>
    </row>
    <row r="200" spans="1:11" ht="14.45">
      <c r="A200" s="22"/>
      <c r="B200" s="34"/>
      <c r="C200" s="22"/>
      <c r="D200" s="22"/>
      <c r="E200" s="22"/>
      <c r="F200" s="23"/>
      <c r="G200" s="22"/>
      <c r="H200" s="22"/>
      <c r="I200" s="23"/>
      <c r="J200" s="74"/>
      <c r="K200" s="74"/>
    </row>
    <row r="201" spans="1:11" ht="14.45">
      <c r="A201" s="22"/>
      <c r="B201" s="34"/>
      <c r="C201" s="22"/>
      <c r="D201" s="22"/>
      <c r="E201" s="22"/>
      <c r="F201" s="23"/>
      <c r="G201" s="22"/>
      <c r="H201" s="22"/>
      <c r="I201" s="23"/>
      <c r="J201" s="74"/>
      <c r="K201" s="74"/>
    </row>
    <row r="202" spans="1:11" ht="14.45">
      <c r="A202" s="22"/>
      <c r="B202" s="34"/>
      <c r="C202" s="22"/>
      <c r="D202" s="22"/>
      <c r="E202" s="22"/>
      <c r="F202" s="23"/>
      <c r="G202" s="22"/>
      <c r="H202" s="22"/>
      <c r="I202" s="23"/>
      <c r="J202" s="74"/>
      <c r="K202" s="74"/>
    </row>
    <row r="203" spans="1:11" ht="14.45">
      <c r="A203" s="22"/>
      <c r="B203" s="34"/>
      <c r="C203" s="22"/>
      <c r="D203" s="22"/>
      <c r="E203" s="22"/>
      <c r="F203" s="23"/>
      <c r="G203" s="22"/>
      <c r="H203" s="22"/>
      <c r="I203" s="23"/>
      <c r="J203" s="74"/>
      <c r="K203" s="74"/>
    </row>
    <row r="204" spans="1:11" ht="14.45">
      <c r="A204" s="22"/>
      <c r="B204" s="34"/>
      <c r="C204" s="22"/>
      <c r="D204" s="22"/>
      <c r="E204" s="22"/>
      <c r="F204" s="23"/>
      <c r="G204" s="22"/>
      <c r="H204" s="22"/>
      <c r="I204" s="23"/>
      <c r="J204" s="74"/>
      <c r="K204" s="74"/>
    </row>
    <row r="205" spans="1:11" ht="14.45">
      <c r="A205" s="22"/>
      <c r="B205" s="34"/>
      <c r="C205" s="22"/>
      <c r="D205" s="22"/>
      <c r="E205" s="22"/>
      <c r="F205" s="23"/>
      <c r="G205" s="22"/>
      <c r="H205" s="22"/>
      <c r="I205" s="23"/>
      <c r="J205" s="74"/>
      <c r="K205" s="74"/>
    </row>
    <row r="206" spans="1:11" ht="14.45">
      <c r="A206" s="22"/>
      <c r="B206" s="34"/>
      <c r="C206" s="22"/>
      <c r="D206" s="22"/>
      <c r="E206" s="22"/>
      <c r="F206" s="23"/>
      <c r="G206" s="22"/>
      <c r="H206" s="22"/>
      <c r="I206" s="23"/>
      <c r="J206" s="74"/>
      <c r="K206" s="74"/>
    </row>
    <row r="207" spans="1:11" ht="14.45">
      <c r="A207" s="22"/>
      <c r="B207" s="34"/>
      <c r="C207" s="22"/>
      <c r="D207" s="22"/>
      <c r="E207" s="22"/>
      <c r="F207" s="23"/>
      <c r="G207" s="22"/>
      <c r="H207" s="22"/>
      <c r="I207" s="23"/>
      <c r="J207" s="74"/>
      <c r="K207" s="74"/>
    </row>
    <row r="208" spans="1:11" ht="14.45">
      <c r="A208" s="22"/>
      <c r="B208" s="34"/>
      <c r="C208" s="22"/>
      <c r="D208" s="22"/>
      <c r="E208" s="22"/>
      <c r="F208" s="23"/>
      <c r="G208" s="22"/>
      <c r="H208" s="22"/>
      <c r="I208" s="23"/>
      <c r="J208" s="74"/>
      <c r="K208" s="74"/>
    </row>
    <row r="209" spans="1:11" ht="14.45">
      <c r="A209" s="22"/>
      <c r="B209" s="34"/>
      <c r="C209" s="22"/>
      <c r="D209" s="22"/>
      <c r="E209" s="22"/>
      <c r="F209" s="23"/>
      <c r="G209" s="22"/>
      <c r="H209" s="22"/>
      <c r="I209" s="23"/>
      <c r="J209" s="74"/>
      <c r="K209" s="74"/>
    </row>
    <row r="210" spans="1:11" ht="14.45">
      <c r="A210" s="22"/>
      <c r="B210" s="34"/>
      <c r="C210" s="22"/>
      <c r="D210" s="22"/>
      <c r="E210" s="22"/>
      <c r="F210" s="23"/>
      <c r="G210" s="22"/>
      <c r="H210" s="22"/>
      <c r="I210" s="23"/>
      <c r="J210" s="74"/>
      <c r="K210" s="74"/>
    </row>
    <row r="211" spans="1:11" ht="14.45">
      <c r="A211" s="22"/>
      <c r="B211" s="34"/>
      <c r="C211" s="22"/>
      <c r="D211" s="22"/>
      <c r="E211" s="22"/>
      <c r="F211" s="23"/>
      <c r="G211" s="22"/>
      <c r="H211" s="22"/>
      <c r="I211" s="23"/>
      <c r="J211" s="74"/>
      <c r="K211" s="74"/>
    </row>
    <row r="212" spans="1:11" ht="14.45">
      <c r="A212" s="22"/>
      <c r="B212" s="34"/>
      <c r="C212" s="22"/>
      <c r="D212" s="22"/>
      <c r="E212" s="22"/>
      <c r="F212" s="23"/>
      <c r="G212" s="22"/>
      <c r="H212" s="22"/>
      <c r="I212" s="23"/>
      <c r="J212" s="74"/>
      <c r="K212" s="74"/>
    </row>
    <row r="213" spans="1:11" ht="14.45">
      <c r="A213" s="22"/>
      <c r="B213" s="34"/>
      <c r="C213" s="22"/>
      <c r="D213" s="22"/>
      <c r="E213" s="22"/>
      <c r="F213" s="23"/>
      <c r="G213" s="22"/>
      <c r="H213" s="22"/>
      <c r="I213" s="23"/>
      <c r="J213" s="74"/>
      <c r="K213" s="74"/>
    </row>
    <row r="214" spans="1:11" ht="14.45">
      <c r="A214" s="22"/>
      <c r="B214" s="34"/>
      <c r="C214" s="22"/>
      <c r="D214" s="22"/>
      <c r="E214" s="22"/>
      <c r="F214" s="23"/>
      <c r="G214" s="22"/>
      <c r="H214" s="22"/>
      <c r="I214" s="23"/>
      <c r="J214" s="74"/>
      <c r="K214" s="74"/>
    </row>
    <row r="215" spans="1:11" ht="14.45">
      <c r="A215" s="22"/>
      <c r="B215" s="34"/>
      <c r="C215" s="22"/>
      <c r="D215" s="22"/>
      <c r="E215" s="22"/>
      <c r="F215" s="23"/>
      <c r="G215" s="22"/>
      <c r="H215" s="22"/>
      <c r="I215" s="23"/>
      <c r="J215" s="74"/>
      <c r="K215" s="74"/>
    </row>
    <row r="216" spans="1:11" ht="14.45">
      <c r="A216" s="22"/>
      <c r="B216" s="34"/>
      <c r="C216" s="22"/>
      <c r="D216" s="22"/>
      <c r="E216" s="22"/>
      <c r="F216" s="23"/>
      <c r="G216" s="22"/>
      <c r="H216" s="22"/>
      <c r="I216" s="23"/>
      <c r="J216" s="74"/>
      <c r="K216" s="74"/>
    </row>
    <row r="217" spans="1:11" ht="14.45">
      <c r="A217" s="22"/>
      <c r="B217" s="34"/>
      <c r="C217" s="22"/>
      <c r="D217" s="22"/>
      <c r="E217" s="22"/>
      <c r="F217" s="23"/>
      <c r="G217" s="22"/>
      <c r="H217" s="22"/>
      <c r="I217" s="23"/>
      <c r="J217" s="74"/>
      <c r="K217" s="74"/>
    </row>
    <row r="218" spans="1:11" ht="14.45">
      <c r="A218" s="22"/>
      <c r="B218" s="34"/>
      <c r="C218" s="22"/>
      <c r="D218" s="22"/>
      <c r="E218" s="22"/>
      <c r="F218" s="23"/>
      <c r="G218" s="22"/>
      <c r="H218" s="22"/>
      <c r="I218" s="23"/>
      <c r="J218" s="74"/>
      <c r="K218" s="74"/>
    </row>
    <row r="219" spans="1:11" ht="14.45">
      <c r="A219" s="22"/>
      <c r="B219" s="34"/>
      <c r="C219" s="22"/>
      <c r="D219" s="22"/>
      <c r="E219" s="22"/>
      <c r="F219" s="23"/>
      <c r="G219" s="22"/>
      <c r="H219" s="22"/>
      <c r="I219" s="23"/>
      <c r="J219" s="74"/>
      <c r="K219" s="74"/>
    </row>
    <row r="220" spans="1:11" ht="14.45">
      <c r="A220" s="22"/>
      <c r="B220" s="34"/>
      <c r="C220" s="22"/>
      <c r="D220" s="22"/>
      <c r="E220" s="22"/>
      <c r="F220" s="23"/>
      <c r="G220" s="22"/>
      <c r="H220" s="22"/>
      <c r="I220" s="23"/>
      <c r="J220" s="74"/>
      <c r="K220" s="74"/>
    </row>
    <row r="221" spans="1:11" ht="14.45">
      <c r="A221" s="22"/>
      <c r="B221" s="34"/>
      <c r="C221" s="22"/>
      <c r="D221" s="22"/>
      <c r="E221" s="22"/>
      <c r="F221" s="23"/>
      <c r="G221" s="22"/>
      <c r="H221" s="22"/>
      <c r="I221" s="23"/>
      <c r="J221" s="74"/>
      <c r="K221" s="74"/>
    </row>
    <row r="222" spans="1:11" ht="14.45">
      <c r="A222" s="22"/>
      <c r="B222" s="34"/>
      <c r="C222" s="22"/>
      <c r="D222" s="22"/>
      <c r="E222" s="22"/>
      <c r="F222" s="23"/>
      <c r="G222" s="22"/>
      <c r="H222" s="22"/>
      <c r="I222" s="23"/>
      <c r="J222" s="74"/>
      <c r="K222" s="74"/>
    </row>
    <row r="223" spans="1:11" ht="14.45">
      <c r="A223" s="22"/>
      <c r="B223" s="34"/>
      <c r="C223" s="22"/>
      <c r="D223" s="22"/>
      <c r="E223" s="22"/>
      <c r="F223" s="23"/>
      <c r="G223" s="22"/>
      <c r="H223" s="22"/>
      <c r="I223" s="23"/>
      <c r="J223" s="74"/>
      <c r="K223" s="74"/>
    </row>
    <row r="224" spans="1:11" ht="14.45">
      <c r="A224" s="22"/>
      <c r="B224" s="34"/>
      <c r="C224" s="22"/>
      <c r="D224" s="22"/>
      <c r="E224" s="22"/>
      <c r="F224" s="23"/>
      <c r="G224" s="22"/>
      <c r="H224" s="22"/>
      <c r="I224" s="23"/>
      <c r="J224" s="74"/>
      <c r="K224" s="74"/>
    </row>
    <row r="225" spans="1:11" ht="14.45">
      <c r="A225" s="22"/>
      <c r="B225" s="34"/>
      <c r="C225" s="22"/>
      <c r="D225" s="22"/>
      <c r="E225" s="22"/>
      <c r="F225" s="23"/>
      <c r="G225" s="22"/>
      <c r="H225" s="22"/>
      <c r="I225" s="23"/>
      <c r="J225" s="74"/>
      <c r="K225" s="74"/>
    </row>
    <row r="226" spans="1:11" ht="14.45">
      <c r="A226" s="22"/>
      <c r="B226" s="34"/>
      <c r="C226" s="22"/>
      <c r="D226" s="22"/>
      <c r="E226" s="22"/>
      <c r="F226" s="23"/>
      <c r="G226" s="22"/>
      <c r="H226" s="22"/>
      <c r="I226" s="23"/>
      <c r="J226" s="74"/>
      <c r="K226" s="74"/>
    </row>
    <row r="227" spans="1:11" ht="14.45">
      <c r="A227" s="22"/>
      <c r="B227" s="34"/>
      <c r="C227" s="22"/>
      <c r="D227" s="22"/>
      <c r="E227" s="22"/>
      <c r="F227" s="23"/>
      <c r="G227" s="22"/>
      <c r="H227" s="22"/>
      <c r="I227" s="23"/>
      <c r="J227" s="74"/>
      <c r="K227" s="74"/>
    </row>
    <row r="228" spans="1:11" ht="14.45">
      <c r="A228" s="22"/>
      <c r="B228" s="34"/>
      <c r="C228" s="22"/>
      <c r="D228" s="22"/>
      <c r="E228" s="22"/>
      <c r="F228" s="23"/>
      <c r="G228" s="22"/>
      <c r="H228" s="22"/>
      <c r="I228" s="23"/>
      <c r="J228" s="74"/>
      <c r="K228" s="74"/>
    </row>
    <row r="229" spans="1:11" ht="14.45">
      <c r="A229" s="22"/>
      <c r="B229" s="34"/>
      <c r="C229" s="22"/>
      <c r="D229" s="22"/>
      <c r="E229" s="22"/>
      <c r="F229" s="23"/>
      <c r="G229" s="22"/>
      <c r="H229" s="22"/>
      <c r="I229" s="23"/>
      <c r="J229" s="74"/>
      <c r="K229" s="74"/>
    </row>
    <row r="230" spans="1:11" ht="14.45">
      <c r="A230" s="22"/>
      <c r="B230" s="34"/>
      <c r="C230" s="22"/>
      <c r="D230" s="22"/>
      <c r="E230" s="22"/>
      <c r="F230" s="23"/>
      <c r="G230" s="22"/>
      <c r="H230" s="22"/>
      <c r="I230" s="23"/>
      <c r="J230" s="74"/>
      <c r="K230" s="74"/>
    </row>
    <row r="231" spans="1:11" ht="14.45">
      <c r="A231" s="22"/>
      <c r="B231" s="34"/>
      <c r="C231" s="22"/>
      <c r="D231" s="22"/>
      <c r="E231" s="22"/>
      <c r="F231" s="23"/>
      <c r="G231" s="22"/>
      <c r="H231" s="22"/>
      <c r="I231" s="23"/>
      <c r="J231" s="74"/>
      <c r="K231" s="74"/>
    </row>
    <row r="232" spans="1:11" ht="14.45">
      <c r="A232" s="22"/>
      <c r="B232" s="34"/>
      <c r="C232" s="22"/>
      <c r="D232" s="22"/>
      <c r="E232" s="22"/>
      <c r="F232" s="23"/>
      <c r="G232" s="22"/>
      <c r="H232" s="22"/>
      <c r="I232" s="23"/>
      <c r="J232" s="74"/>
      <c r="K232" s="74"/>
    </row>
    <row r="233" spans="1:11" ht="14.45">
      <c r="A233" s="22"/>
      <c r="B233" s="34"/>
      <c r="C233" s="22"/>
      <c r="D233" s="22"/>
      <c r="E233" s="22"/>
      <c r="F233" s="23"/>
      <c r="G233" s="22"/>
      <c r="H233" s="22"/>
      <c r="I233" s="23"/>
      <c r="J233" s="74"/>
      <c r="K233" s="74"/>
    </row>
    <row r="234" spans="1:11" ht="14.45">
      <c r="A234" s="22"/>
      <c r="B234" s="34"/>
      <c r="C234" s="22"/>
      <c r="D234" s="22"/>
      <c r="E234" s="22"/>
      <c r="F234" s="23"/>
      <c r="G234" s="22"/>
      <c r="H234" s="22"/>
      <c r="I234" s="23"/>
      <c r="J234" s="74"/>
      <c r="K234" s="74"/>
    </row>
    <row r="235" spans="1:11" ht="14.45">
      <c r="A235" s="22"/>
      <c r="B235" s="34"/>
      <c r="C235" s="22"/>
      <c r="D235" s="22"/>
      <c r="E235" s="22"/>
      <c r="F235" s="23"/>
      <c r="G235" s="22"/>
      <c r="H235" s="22"/>
      <c r="I235" s="23"/>
      <c r="J235" s="74"/>
      <c r="K235" s="74"/>
    </row>
    <row r="236" spans="1:11" ht="14.45">
      <c r="A236" s="22"/>
      <c r="B236" s="34"/>
      <c r="C236" s="22"/>
      <c r="D236" s="22"/>
      <c r="E236" s="22"/>
      <c r="F236" s="23"/>
      <c r="G236" s="22"/>
      <c r="H236" s="22"/>
      <c r="I236" s="23"/>
      <c r="J236" s="74"/>
      <c r="K236" s="74"/>
    </row>
    <row r="237" spans="1:11" ht="14.45">
      <c r="A237" s="22"/>
      <c r="B237" s="34"/>
      <c r="C237" s="22"/>
      <c r="D237" s="22"/>
      <c r="E237" s="22"/>
      <c r="F237" s="23"/>
      <c r="G237" s="22"/>
      <c r="H237" s="22"/>
      <c r="I237" s="23"/>
      <c r="J237" s="74"/>
      <c r="K237" s="74"/>
    </row>
    <row r="238" spans="1:11" ht="14.45">
      <c r="A238" s="22"/>
      <c r="B238" s="34"/>
      <c r="C238" s="22"/>
      <c r="D238" s="22"/>
      <c r="E238" s="22"/>
      <c r="F238" s="23"/>
      <c r="G238" s="22"/>
      <c r="H238" s="22"/>
      <c r="I238" s="23"/>
      <c r="J238" s="74"/>
      <c r="K238" s="74"/>
    </row>
    <row r="239" spans="1:11" ht="14.45">
      <c r="A239" s="22"/>
      <c r="B239" s="34"/>
      <c r="C239" s="22"/>
      <c r="D239" s="22"/>
      <c r="E239" s="22"/>
      <c r="F239" s="23"/>
      <c r="G239" s="22"/>
      <c r="H239" s="22"/>
      <c r="I239" s="23"/>
      <c r="J239" s="74"/>
      <c r="K239" s="74"/>
    </row>
    <row r="240" spans="1:11" ht="14.45">
      <c r="A240" s="22"/>
      <c r="B240" s="34"/>
      <c r="C240" s="22"/>
      <c r="D240" s="22"/>
      <c r="E240" s="22"/>
      <c r="F240" s="23"/>
      <c r="G240" s="22"/>
      <c r="H240" s="22"/>
      <c r="I240" s="23"/>
      <c r="J240" s="74"/>
      <c r="K240" s="74"/>
    </row>
    <row r="241" spans="1:11" ht="14.45">
      <c r="A241" s="22"/>
      <c r="B241" s="34"/>
      <c r="C241" s="22"/>
      <c r="D241" s="22"/>
      <c r="E241" s="22"/>
      <c r="F241" s="23"/>
      <c r="G241" s="22"/>
      <c r="H241" s="22"/>
      <c r="I241" s="23"/>
      <c r="J241" s="74"/>
      <c r="K241" s="74"/>
    </row>
    <row r="242" spans="1:11" ht="14.45">
      <c r="A242" s="22"/>
      <c r="B242" s="34"/>
      <c r="C242" s="22"/>
      <c r="D242" s="22"/>
      <c r="E242" s="22"/>
      <c r="F242" s="23"/>
      <c r="G242" s="22"/>
      <c r="H242" s="22"/>
      <c r="I242" s="23"/>
      <c r="J242" s="74"/>
      <c r="K242" s="74"/>
    </row>
    <row r="243" spans="1:11" ht="14.45">
      <c r="A243" s="22"/>
      <c r="B243" s="34"/>
      <c r="C243" s="22"/>
      <c r="D243" s="22"/>
      <c r="E243" s="22"/>
      <c r="F243" s="23"/>
      <c r="G243" s="22"/>
      <c r="H243" s="22"/>
      <c r="I243" s="23"/>
      <c r="J243" s="74"/>
      <c r="K243" s="74"/>
    </row>
    <row r="244" spans="1:11" ht="14.45">
      <c r="A244" s="22"/>
      <c r="B244" s="34"/>
      <c r="C244" s="22"/>
      <c r="D244" s="22"/>
      <c r="E244" s="22"/>
      <c r="F244" s="23"/>
      <c r="G244" s="22"/>
      <c r="H244" s="22"/>
      <c r="I244" s="23"/>
      <c r="J244" s="74"/>
      <c r="K244" s="74"/>
    </row>
    <row r="245" spans="1:11" ht="14.45">
      <c r="A245" s="22"/>
      <c r="B245" s="34"/>
      <c r="C245" s="22"/>
      <c r="D245" s="22"/>
      <c r="E245" s="22"/>
      <c r="F245" s="23"/>
      <c r="G245" s="22"/>
      <c r="H245" s="22"/>
      <c r="I245" s="23"/>
      <c r="J245" s="74"/>
      <c r="K245" s="74"/>
    </row>
    <row r="246" spans="1:11" ht="14.45">
      <c r="A246" s="22"/>
      <c r="B246" s="34"/>
      <c r="C246" s="22"/>
      <c r="D246" s="22"/>
      <c r="E246" s="22"/>
      <c r="F246" s="23"/>
      <c r="G246" s="22"/>
      <c r="H246" s="22"/>
      <c r="I246" s="23"/>
      <c r="J246" s="74"/>
      <c r="K246" s="74"/>
    </row>
    <row r="247" spans="1:11" ht="14.45">
      <c r="A247" s="22"/>
      <c r="B247" s="34"/>
      <c r="C247" s="22"/>
      <c r="D247" s="22"/>
      <c r="E247" s="22"/>
      <c r="F247" s="23"/>
      <c r="G247" s="22"/>
      <c r="H247" s="22"/>
      <c r="I247" s="23"/>
      <c r="J247" s="74"/>
      <c r="K247" s="74"/>
    </row>
    <row r="248" spans="1:11" ht="14.45">
      <c r="A248" s="22"/>
      <c r="B248" s="34"/>
      <c r="C248" s="22"/>
      <c r="D248" s="22"/>
      <c r="E248" s="22"/>
      <c r="F248" s="23"/>
      <c r="G248" s="22"/>
      <c r="H248" s="22"/>
      <c r="I248" s="23"/>
      <c r="J248" s="74"/>
      <c r="K248" s="74"/>
    </row>
    <row r="249" spans="1:11" ht="14.45">
      <c r="A249" s="22"/>
      <c r="B249" s="34"/>
      <c r="C249" s="22"/>
      <c r="D249" s="22"/>
      <c r="E249" s="22"/>
      <c r="F249" s="23"/>
      <c r="G249" s="22"/>
      <c r="H249" s="22"/>
      <c r="I249" s="23"/>
      <c r="J249" s="74"/>
      <c r="K249" s="74"/>
    </row>
    <row r="250" spans="1:11" ht="14.45">
      <c r="A250" s="22"/>
      <c r="B250" s="34"/>
      <c r="C250" s="22"/>
      <c r="D250" s="22"/>
      <c r="E250" s="22"/>
      <c r="F250" s="23"/>
      <c r="G250" s="22"/>
      <c r="H250" s="22"/>
      <c r="I250" s="23"/>
      <c r="J250" s="74"/>
      <c r="K250" s="74"/>
    </row>
    <row r="251" spans="1:11" ht="14.45">
      <c r="A251" s="22"/>
      <c r="B251" s="34"/>
      <c r="C251" s="22"/>
      <c r="D251" s="22"/>
      <c r="E251" s="22"/>
      <c r="F251" s="23"/>
      <c r="G251" s="22"/>
      <c r="H251" s="22"/>
      <c r="I251" s="23"/>
      <c r="J251" s="74"/>
      <c r="K251" s="74"/>
    </row>
    <row r="252" spans="1:11" ht="14.45">
      <c r="A252" s="22"/>
      <c r="B252" s="34"/>
      <c r="C252" s="22"/>
      <c r="D252" s="22"/>
      <c r="E252" s="22"/>
      <c r="F252" s="23"/>
      <c r="G252" s="22"/>
      <c r="H252" s="22"/>
      <c r="I252" s="23"/>
      <c r="J252" s="74"/>
      <c r="K252" s="74"/>
    </row>
    <row r="253" spans="1:11" ht="14.45">
      <c r="A253" s="22"/>
      <c r="B253" s="34"/>
      <c r="C253" s="22"/>
      <c r="D253" s="22"/>
      <c r="E253" s="22"/>
      <c r="F253" s="23"/>
      <c r="G253" s="22"/>
      <c r="H253" s="22"/>
      <c r="I253" s="23"/>
      <c r="J253" s="74"/>
      <c r="K253" s="74"/>
    </row>
    <row r="254" spans="1:11" ht="14.45">
      <c r="A254" s="22"/>
      <c r="B254" s="34"/>
      <c r="C254" s="22"/>
      <c r="D254" s="22"/>
      <c r="E254" s="22"/>
      <c r="F254" s="23"/>
      <c r="G254" s="22"/>
      <c r="H254" s="22"/>
      <c r="I254" s="23"/>
      <c r="J254" s="74"/>
      <c r="K254" s="74"/>
    </row>
    <row r="255" spans="1:11" ht="14.45">
      <c r="A255" s="22"/>
      <c r="B255" s="34"/>
      <c r="C255" s="22"/>
      <c r="D255" s="22"/>
      <c r="E255" s="22"/>
      <c r="F255" s="23"/>
      <c r="G255" s="22"/>
      <c r="H255" s="22"/>
      <c r="I255" s="23"/>
      <c r="J255" s="74"/>
      <c r="K255" s="74"/>
    </row>
    <row r="256" spans="1:11" ht="14.45">
      <c r="A256" s="22"/>
      <c r="B256" s="34"/>
      <c r="C256" s="22"/>
      <c r="D256" s="22"/>
      <c r="E256" s="22"/>
      <c r="F256" s="23"/>
      <c r="G256" s="22"/>
      <c r="H256" s="22"/>
      <c r="I256" s="23"/>
      <c r="J256" s="74"/>
      <c r="K256" s="74"/>
    </row>
    <row r="257" spans="1:11" ht="14.45">
      <c r="A257" s="22"/>
      <c r="B257" s="34"/>
      <c r="C257" s="22"/>
      <c r="D257" s="22"/>
      <c r="E257" s="22"/>
      <c r="F257" s="23"/>
      <c r="G257" s="22"/>
      <c r="H257" s="22"/>
      <c r="I257" s="23"/>
      <c r="J257" s="74"/>
      <c r="K257" s="74"/>
    </row>
    <row r="258" spans="1:11" ht="14.45">
      <c r="A258" s="22"/>
      <c r="B258" s="34"/>
      <c r="C258" s="22"/>
      <c r="D258" s="22"/>
      <c r="E258" s="22"/>
      <c r="F258" s="23"/>
      <c r="G258" s="22"/>
      <c r="H258" s="22"/>
      <c r="I258" s="23"/>
      <c r="J258" s="74"/>
      <c r="K258" s="74"/>
    </row>
    <row r="259" spans="1:11" ht="14.45">
      <c r="A259" s="22"/>
      <c r="B259" s="34"/>
      <c r="C259" s="22"/>
      <c r="D259" s="22"/>
      <c r="E259" s="22"/>
      <c r="F259" s="23"/>
      <c r="G259" s="22"/>
      <c r="H259" s="22"/>
      <c r="I259" s="23"/>
      <c r="J259" s="74"/>
      <c r="K259" s="74"/>
    </row>
    <row r="260" spans="1:11" ht="14.45">
      <c r="A260" s="22"/>
      <c r="B260" s="34"/>
      <c r="C260" s="22"/>
      <c r="D260" s="22"/>
      <c r="E260" s="22"/>
      <c r="F260" s="23"/>
      <c r="G260" s="22"/>
      <c r="H260" s="22"/>
      <c r="I260" s="23"/>
      <c r="J260" s="74"/>
      <c r="K260" s="74"/>
    </row>
    <row r="261" spans="1:11" ht="14.45">
      <c r="A261" s="22"/>
      <c r="B261" s="34"/>
      <c r="C261" s="22"/>
      <c r="D261" s="22"/>
      <c r="E261" s="22"/>
      <c r="F261" s="23"/>
      <c r="G261" s="22"/>
      <c r="H261" s="22"/>
      <c r="I261" s="23"/>
      <c r="J261" s="74"/>
      <c r="K261" s="74"/>
    </row>
    <row r="262" spans="1:11" ht="14.45">
      <c r="A262" s="22"/>
      <c r="B262" s="34"/>
      <c r="C262" s="22"/>
      <c r="D262" s="22"/>
      <c r="E262" s="22"/>
      <c r="F262" s="23"/>
      <c r="G262" s="22"/>
      <c r="H262" s="22"/>
      <c r="I262" s="23"/>
      <c r="J262" s="74"/>
      <c r="K262" s="74"/>
    </row>
    <row r="263" spans="1:11" ht="14.45">
      <c r="A263" s="22"/>
      <c r="B263" s="34"/>
      <c r="C263" s="22"/>
      <c r="D263" s="22"/>
      <c r="E263" s="22"/>
      <c r="F263" s="23"/>
      <c r="G263" s="22"/>
      <c r="H263" s="22"/>
      <c r="I263" s="23"/>
      <c r="J263" s="74"/>
      <c r="K263" s="74"/>
    </row>
    <row r="264" spans="1:11" ht="14.45">
      <c r="A264" s="22"/>
      <c r="B264" s="34"/>
      <c r="C264" s="22"/>
      <c r="D264" s="22"/>
      <c r="E264" s="22"/>
      <c r="F264" s="23"/>
      <c r="G264" s="22"/>
      <c r="H264" s="22"/>
      <c r="I264" s="23"/>
      <c r="J264" s="74"/>
      <c r="K264" s="74"/>
    </row>
    <row r="265" spans="1:11" ht="14.45">
      <c r="A265" s="22"/>
      <c r="B265" s="34"/>
      <c r="C265" s="22"/>
      <c r="D265" s="22"/>
      <c r="E265" s="22"/>
      <c r="F265" s="23"/>
      <c r="G265" s="22"/>
      <c r="H265" s="22"/>
      <c r="I265" s="23"/>
      <c r="J265" s="74"/>
      <c r="K265" s="74"/>
    </row>
    <row r="266" spans="1:11" ht="14.45">
      <c r="A266" s="22"/>
      <c r="B266" s="34"/>
      <c r="C266" s="22"/>
      <c r="D266" s="22"/>
      <c r="E266" s="22"/>
      <c r="F266" s="23"/>
      <c r="G266" s="22"/>
      <c r="H266" s="22"/>
      <c r="I266" s="23"/>
      <c r="J266" s="74"/>
      <c r="K266" s="74"/>
    </row>
    <row r="267" spans="1:11" ht="14.45">
      <c r="A267" s="22"/>
      <c r="B267" s="34"/>
      <c r="C267" s="22"/>
      <c r="D267" s="22"/>
      <c r="E267" s="22"/>
      <c r="F267" s="23"/>
      <c r="G267" s="22"/>
      <c r="H267" s="22"/>
      <c r="I267" s="23"/>
      <c r="J267" s="74"/>
      <c r="K267" s="74"/>
    </row>
    <row r="268" spans="1:11" ht="14.45">
      <c r="A268" s="22"/>
      <c r="B268" s="34"/>
      <c r="C268" s="22"/>
      <c r="D268" s="22"/>
      <c r="E268" s="22"/>
      <c r="F268" s="23"/>
      <c r="G268" s="22"/>
      <c r="H268" s="22"/>
      <c r="I268" s="23"/>
      <c r="J268" s="74"/>
      <c r="K268" s="74"/>
    </row>
    <row r="269" spans="1:11" ht="14.45">
      <c r="A269" s="22"/>
      <c r="B269" s="34"/>
      <c r="C269" s="22"/>
      <c r="D269" s="22"/>
      <c r="E269" s="22"/>
      <c r="F269" s="23"/>
      <c r="G269" s="22"/>
      <c r="H269" s="22"/>
      <c r="I269" s="23"/>
      <c r="J269" s="74"/>
      <c r="K269" s="74"/>
    </row>
    <row r="270" spans="1:11" ht="14.45">
      <c r="A270" s="22"/>
      <c r="B270" s="34"/>
      <c r="C270" s="22"/>
      <c r="D270" s="22"/>
      <c r="E270" s="22"/>
      <c r="F270" s="23"/>
      <c r="G270" s="22"/>
      <c r="H270" s="22"/>
      <c r="I270" s="23"/>
      <c r="J270" s="74"/>
      <c r="K270" s="74"/>
    </row>
    <row r="271" spans="1:11" ht="14.45">
      <c r="A271" s="22"/>
      <c r="B271" s="34"/>
      <c r="C271" s="22"/>
      <c r="D271" s="22"/>
      <c r="E271" s="22"/>
      <c r="F271" s="23"/>
      <c r="G271" s="22"/>
      <c r="H271" s="22"/>
      <c r="I271" s="23"/>
      <c r="J271" s="74"/>
      <c r="K271" s="74"/>
    </row>
    <row r="272" spans="1:11" ht="14.45">
      <c r="A272" s="22"/>
      <c r="B272" s="34"/>
      <c r="C272" s="22"/>
      <c r="D272" s="22"/>
      <c r="E272" s="22"/>
      <c r="F272" s="23"/>
      <c r="G272" s="22"/>
      <c r="H272" s="22"/>
      <c r="I272" s="23"/>
      <c r="J272" s="74"/>
      <c r="K272" s="74"/>
    </row>
    <row r="273" spans="1:11" ht="14.45">
      <c r="A273" s="22"/>
      <c r="B273" s="34"/>
      <c r="C273" s="22"/>
      <c r="D273" s="22"/>
      <c r="E273" s="22"/>
      <c r="F273" s="23"/>
      <c r="G273" s="22"/>
      <c r="H273" s="22"/>
      <c r="I273" s="23"/>
      <c r="J273" s="74"/>
      <c r="K273" s="74"/>
    </row>
    <row r="274" spans="1:11" ht="14.45">
      <c r="A274" s="22"/>
      <c r="B274" s="34"/>
      <c r="C274" s="22"/>
      <c r="D274" s="22"/>
      <c r="E274" s="22"/>
      <c r="F274" s="23"/>
      <c r="G274" s="22"/>
      <c r="H274" s="22"/>
      <c r="I274" s="23"/>
      <c r="J274" s="74"/>
      <c r="K274" s="74"/>
    </row>
    <row r="275" spans="1:11" ht="14.45">
      <c r="A275" s="22"/>
      <c r="B275" s="34"/>
      <c r="C275" s="22"/>
      <c r="D275" s="22"/>
      <c r="E275" s="22"/>
      <c r="F275" s="23"/>
      <c r="G275" s="22"/>
      <c r="H275" s="22"/>
      <c r="I275" s="23"/>
      <c r="J275" s="74"/>
      <c r="K275" s="74"/>
    </row>
    <row r="276" spans="1:11" ht="14.45">
      <c r="A276" s="22"/>
      <c r="B276" s="34"/>
      <c r="C276" s="22"/>
      <c r="D276" s="22"/>
      <c r="E276" s="22"/>
      <c r="F276" s="23"/>
      <c r="G276" s="22"/>
      <c r="H276" s="22"/>
      <c r="I276" s="23"/>
      <c r="J276" s="74"/>
      <c r="K276" s="74"/>
    </row>
    <row r="277" spans="1:11" ht="14.45">
      <c r="A277" s="22"/>
      <c r="B277" s="34"/>
      <c r="C277" s="22"/>
      <c r="D277" s="22"/>
      <c r="E277" s="22"/>
      <c r="F277" s="23"/>
      <c r="G277" s="22"/>
      <c r="H277" s="22"/>
      <c r="I277" s="23"/>
      <c r="J277" s="74"/>
      <c r="K277" s="74"/>
    </row>
    <row r="278" spans="1:11" ht="14.45">
      <c r="A278" s="22"/>
      <c r="B278" s="34"/>
      <c r="C278" s="22"/>
      <c r="D278" s="22"/>
      <c r="E278" s="22"/>
      <c r="F278" s="23"/>
      <c r="G278" s="22"/>
      <c r="H278" s="22"/>
      <c r="I278" s="23"/>
      <c r="J278" s="74"/>
      <c r="K278" s="74"/>
    </row>
    <row r="279" spans="1:11" ht="14.45">
      <c r="A279" s="22"/>
      <c r="B279" s="34"/>
      <c r="C279" s="22"/>
      <c r="D279" s="22"/>
      <c r="E279" s="22"/>
      <c r="F279" s="23"/>
      <c r="G279" s="22"/>
      <c r="H279" s="22"/>
      <c r="I279" s="23"/>
      <c r="J279" s="74"/>
      <c r="K279" s="74"/>
    </row>
    <row r="280" spans="1:11" ht="14.45">
      <c r="A280" s="22"/>
      <c r="B280" s="34"/>
      <c r="C280" s="22"/>
      <c r="D280" s="22"/>
      <c r="E280" s="22"/>
      <c r="F280" s="23"/>
      <c r="G280" s="22"/>
      <c r="H280" s="22"/>
      <c r="I280" s="23"/>
      <c r="J280" s="74"/>
      <c r="K280" s="74"/>
    </row>
    <row r="281" spans="1:11" ht="14.45">
      <c r="A281" s="22"/>
      <c r="B281" s="34"/>
      <c r="C281" s="22"/>
      <c r="D281" s="22"/>
      <c r="E281" s="22"/>
      <c r="F281" s="23"/>
      <c r="G281" s="22"/>
      <c r="H281" s="22"/>
      <c r="I281" s="23"/>
      <c r="J281" s="74"/>
      <c r="K281" s="74"/>
    </row>
    <row r="282" spans="1:11" ht="14.45">
      <c r="A282" s="22"/>
      <c r="B282" s="34"/>
      <c r="C282" s="22"/>
      <c r="D282" s="22"/>
      <c r="E282" s="22"/>
      <c r="F282" s="23"/>
      <c r="G282" s="22"/>
      <c r="H282" s="22"/>
      <c r="I282" s="23"/>
      <c r="J282" s="74"/>
      <c r="K282" s="74"/>
    </row>
    <row r="283" spans="1:11" ht="14.45">
      <c r="A283" s="22"/>
      <c r="B283" s="34"/>
      <c r="C283" s="22"/>
      <c r="D283" s="22"/>
      <c r="E283" s="22"/>
      <c r="F283" s="23"/>
      <c r="G283" s="22"/>
      <c r="H283" s="22"/>
      <c r="I283" s="23"/>
      <c r="J283" s="74"/>
      <c r="K283" s="74"/>
    </row>
    <row r="284" spans="1:11" ht="14.45">
      <c r="A284" s="22"/>
      <c r="B284" s="34"/>
      <c r="C284" s="22"/>
      <c r="D284" s="22"/>
      <c r="E284" s="22"/>
      <c r="F284" s="23"/>
      <c r="G284" s="22"/>
      <c r="H284" s="22"/>
      <c r="I284" s="23"/>
      <c r="J284" s="74"/>
      <c r="K284" s="74"/>
    </row>
    <row r="285" spans="1:11" ht="14.45">
      <c r="A285" s="22"/>
      <c r="B285" s="34"/>
      <c r="C285" s="22"/>
      <c r="D285" s="22"/>
      <c r="E285" s="22"/>
      <c r="F285" s="23"/>
      <c r="G285" s="22"/>
      <c r="H285" s="22"/>
      <c r="I285" s="23"/>
      <c r="J285" s="74"/>
      <c r="K285" s="74"/>
    </row>
    <row r="286" spans="1:11" ht="14.45">
      <c r="A286" s="22"/>
      <c r="B286" s="34"/>
      <c r="C286" s="22"/>
      <c r="D286" s="22"/>
      <c r="E286" s="22"/>
      <c r="F286" s="23"/>
      <c r="G286" s="22"/>
      <c r="H286" s="22"/>
      <c r="I286" s="23"/>
      <c r="J286" s="74"/>
      <c r="K286" s="74"/>
    </row>
    <row r="287" spans="1:11" ht="14.45">
      <c r="A287" s="22"/>
      <c r="B287" s="34"/>
      <c r="C287" s="22"/>
      <c r="D287" s="22"/>
      <c r="E287" s="22"/>
      <c r="F287" s="23"/>
      <c r="G287" s="22"/>
      <c r="H287" s="22"/>
      <c r="I287" s="23"/>
      <c r="J287" s="74"/>
      <c r="K287" s="74"/>
    </row>
    <row r="288" spans="1:11" ht="14.45">
      <c r="A288" s="22"/>
      <c r="B288" s="34"/>
      <c r="C288" s="22"/>
      <c r="D288" s="22"/>
      <c r="E288" s="22"/>
      <c r="F288" s="23"/>
      <c r="G288" s="22"/>
      <c r="H288" s="22"/>
      <c r="I288" s="23"/>
      <c r="J288" s="74"/>
      <c r="K288" s="74"/>
    </row>
    <row r="289" spans="1:11" ht="14.45">
      <c r="A289" s="22"/>
      <c r="B289" s="34"/>
      <c r="C289" s="22"/>
      <c r="D289" s="22"/>
      <c r="E289" s="22"/>
      <c r="F289" s="23"/>
      <c r="G289" s="22"/>
      <c r="H289" s="22"/>
      <c r="I289" s="23"/>
      <c r="J289" s="74"/>
      <c r="K289" s="74"/>
    </row>
    <row r="290" spans="1:11" ht="14.45">
      <c r="A290" s="22"/>
      <c r="B290" s="34"/>
      <c r="C290" s="22"/>
      <c r="D290" s="22"/>
      <c r="E290" s="22"/>
      <c r="F290" s="23"/>
      <c r="G290" s="22"/>
      <c r="H290" s="22"/>
      <c r="I290" s="23"/>
      <c r="J290" s="74"/>
      <c r="K290" s="74"/>
    </row>
    <row r="291" spans="1:11" ht="14.45">
      <c r="A291" s="22"/>
      <c r="B291" s="34"/>
      <c r="C291" s="22"/>
      <c r="D291" s="22"/>
      <c r="E291" s="22"/>
      <c r="F291" s="23"/>
      <c r="G291" s="22"/>
      <c r="H291" s="22"/>
      <c r="I291" s="23"/>
      <c r="J291" s="74"/>
      <c r="K291" s="74"/>
    </row>
    <row r="292" spans="1:11" ht="14.45">
      <c r="A292" s="22"/>
      <c r="B292" s="34"/>
      <c r="C292" s="22"/>
      <c r="D292" s="22"/>
      <c r="E292" s="22"/>
      <c r="F292" s="23"/>
      <c r="G292" s="22"/>
      <c r="H292" s="22"/>
      <c r="I292" s="23"/>
      <c r="J292" s="74"/>
      <c r="K292" s="74"/>
    </row>
    <row r="293" spans="1:11" ht="14.45">
      <c r="A293" s="22"/>
      <c r="B293" s="34"/>
      <c r="C293" s="22"/>
      <c r="D293" s="22"/>
      <c r="E293" s="22"/>
      <c r="F293" s="23"/>
      <c r="G293" s="22"/>
      <c r="H293" s="22"/>
      <c r="I293" s="23"/>
      <c r="J293" s="74"/>
      <c r="K293" s="74"/>
    </row>
    <row r="294" spans="1:11" ht="14.45">
      <c r="A294" s="22"/>
      <c r="B294" s="34"/>
      <c r="C294" s="22"/>
      <c r="D294" s="22"/>
      <c r="E294" s="22"/>
      <c r="F294" s="23"/>
      <c r="G294" s="22"/>
      <c r="H294" s="22"/>
      <c r="I294" s="23"/>
      <c r="J294" s="74"/>
      <c r="K294" s="74"/>
    </row>
    <row r="295" spans="1:11" ht="14.45">
      <c r="A295" s="22"/>
      <c r="B295" s="34"/>
      <c r="C295" s="22"/>
      <c r="D295" s="22"/>
      <c r="E295" s="22"/>
      <c r="F295" s="23"/>
      <c r="G295" s="22"/>
      <c r="H295" s="22"/>
      <c r="I295" s="23"/>
      <c r="J295" s="74"/>
      <c r="K295" s="74"/>
    </row>
    <row r="296" spans="1:11" ht="14.45">
      <c r="A296" s="22"/>
      <c r="B296" s="34"/>
      <c r="C296" s="22"/>
      <c r="D296" s="22"/>
      <c r="E296" s="22"/>
      <c r="F296" s="23"/>
      <c r="G296" s="22"/>
      <c r="H296" s="22"/>
      <c r="I296" s="23"/>
      <c r="J296" s="74"/>
      <c r="K296" s="74"/>
    </row>
    <row r="297" spans="1:11" ht="14.45">
      <c r="A297" s="22"/>
      <c r="B297" s="34"/>
      <c r="C297" s="22"/>
      <c r="D297" s="22"/>
      <c r="E297" s="22"/>
      <c r="F297" s="23"/>
      <c r="G297" s="22"/>
      <c r="H297" s="22"/>
      <c r="I297" s="23"/>
      <c r="J297" s="74"/>
      <c r="K297" s="74"/>
    </row>
    <row r="298" spans="1:11" ht="14.45">
      <c r="A298" s="22"/>
      <c r="B298" s="34"/>
      <c r="C298" s="22"/>
      <c r="D298" s="22"/>
      <c r="E298" s="22"/>
      <c r="F298" s="23"/>
      <c r="G298" s="22"/>
      <c r="H298" s="22"/>
      <c r="I298" s="23"/>
      <c r="J298" s="74"/>
      <c r="K298" s="74"/>
    </row>
    <row r="299" spans="1:11" ht="14.45">
      <c r="A299" s="22"/>
      <c r="B299" s="34"/>
      <c r="C299" s="22"/>
      <c r="D299" s="22"/>
      <c r="E299" s="22"/>
      <c r="F299" s="23"/>
      <c r="G299" s="22"/>
      <c r="H299" s="22"/>
      <c r="I299" s="23"/>
      <c r="J299" s="74"/>
      <c r="K299" s="74"/>
    </row>
    <row r="300" spans="1:11" ht="14.45">
      <c r="A300" s="22"/>
      <c r="B300" s="34"/>
      <c r="C300" s="22"/>
      <c r="D300" s="22"/>
      <c r="E300" s="22"/>
      <c r="F300" s="23"/>
      <c r="G300" s="22"/>
      <c r="H300" s="22"/>
      <c r="I300" s="23"/>
      <c r="J300" s="74"/>
      <c r="K300" s="74"/>
    </row>
    <row r="301" spans="1:11" ht="14.45">
      <c r="A301" s="22"/>
      <c r="B301" s="34"/>
      <c r="C301" s="22"/>
      <c r="D301" s="22"/>
      <c r="E301" s="22"/>
      <c r="F301" s="23"/>
      <c r="G301" s="22"/>
      <c r="H301" s="22"/>
      <c r="I301" s="23"/>
      <c r="J301" s="74"/>
      <c r="K301" s="74"/>
    </row>
    <row r="302" spans="1:11" ht="14.45">
      <c r="A302" s="22"/>
      <c r="B302" s="34"/>
      <c r="C302" s="22"/>
      <c r="D302" s="22"/>
      <c r="E302" s="22"/>
      <c r="F302" s="23"/>
      <c r="G302" s="22"/>
      <c r="H302" s="22"/>
      <c r="I302" s="23"/>
      <c r="J302" s="74"/>
      <c r="K302" s="74"/>
    </row>
    <row r="303" spans="1:11" ht="14.45">
      <c r="A303" s="22"/>
      <c r="B303" s="34"/>
      <c r="C303" s="22"/>
      <c r="D303" s="22"/>
      <c r="E303" s="22"/>
      <c r="F303" s="23"/>
      <c r="G303" s="22"/>
      <c r="H303" s="22"/>
      <c r="I303" s="23"/>
      <c r="J303" s="74"/>
      <c r="K303" s="74"/>
    </row>
    <row r="304" spans="1:11" ht="14.45">
      <c r="A304" s="22"/>
      <c r="B304" s="34"/>
      <c r="C304" s="22"/>
      <c r="D304" s="22"/>
      <c r="E304" s="22"/>
      <c r="F304" s="23"/>
      <c r="G304" s="22"/>
      <c r="H304" s="22"/>
      <c r="I304" s="23"/>
      <c r="J304" s="74"/>
      <c r="K304" s="74"/>
    </row>
    <row r="305" spans="1:11" ht="14.45">
      <c r="A305" s="22"/>
      <c r="B305" s="34"/>
      <c r="C305" s="22"/>
      <c r="D305" s="22"/>
      <c r="E305" s="22"/>
      <c r="F305" s="23"/>
      <c r="G305" s="22"/>
      <c r="H305" s="22"/>
      <c r="I305" s="23"/>
      <c r="J305" s="74"/>
      <c r="K305" s="74"/>
    </row>
    <row r="306" spans="1:11" ht="14.45">
      <c r="A306" s="22"/>
      <c r="B306" s="34"/>
      <c r="C306" s="22"/>
      <c r="D306" s="22"/>
      <c r="E306" s="22"/>
      <c r="F306" s="23"/>
      <c r="G306" s="22"/>
      <c r="H306" s="22"/>
      <c r="I306" s="23"/>
      <c r="J306" s="74"/>
      <c r="K306" s="74"/>
    </row>
    <row r="307" spans="1:11" ht="14.45">
      <c r="A307" s="22"/>
      <c r="B307" s="34"/>
      <c r="C307" s="22"/>
      <c r="D307" s="22"/>
      <c r="E307" s="22"/>
      <c r="F307" s="23"/>
      <c r="G307" s="22"/>
      <c r="H307" s="22"/>
      <c r="I307" s="23"/>
      <c r="J307" s="74"/>
      <c r="K307" s="74"/>
    </row>
    <row r="308" spans="1:11" ht="14.45">
      <c r="A308" s="22"/>
      <c r="B308" s="34"/>
      <c r="C308" s="22"/>
      <c r="D308" s="22"/>
      <c r="E308" s="22"/>
      <c r="F308" s="23"/>
      <c r="G308" s="22"/>
      <c r="H308" s="22"/>
      <c r="I308" s="23"/>
      <c r="J308" s="74"/>
      <c r="K308" s="74"/>
    </row>
    <row r="309" spans="1:11" ht="14.45">
      <c r="A309" s="22"/>
      <c r="B309" s="34"/>
      <c r="C309" s="22"/>
      <c r="D309" s="22"/>
      <c r="E309" s="22"/>
      <c r="F309" s="23"/>
      <c r="G309" s="22"/>
      <c r="H309" s="22"/>
      <c r="I309" s="23"/>
      <c r="J309" s="74"/>
      <c r="K309" s="74"/>
    </row>
    <row r="310" spans="1:11" ht="14.45">
      <c r="A310" s="22"/>
      <c r="B310" s="34"/>
      <c r="C310" s="22"/>
      <c r="D310" s="22"/>
      <c r="E310" s="22"/>
      <c r="F310" s="23"/>
      <c r="G310" s="22"/>
      <c r="H310" s="22"/>
      <c r="I310" s="23"/>
      <c r="J310" s="74"/>
      <c r="K310" s="74"/>
    </row>
    <row r="311" spans="1:11" ht="14.45">
      <c r="A311" s="22"/>
      <c r="B311" s="34"/>
      <c r="C311" s="22"/>
      <c r="D311" s="22"/>
      <c r="E311" s="22"/>
      <c r="F311" s="23"/>
      <c r="G311" s="22"/>
      <c r="H311" s="22"/>
      <c r="I311" s="23"/>
      <c r="J311" s="74"/>
      <c r="K311" s="74"/>
    </row>
    <row r="312" spans="1:11" ht="14.45">
      <c r="A312" s="22"/>
      <c r="B312" s="34"/>
      <c r="C312" s="22"/>
      <c r="D312" s="22"/>
      <c r="E312" s="22"/>
      <c r="F312" s="23"/>
      <c r="G312" s="22"/>
      <c r="H312" s="22"/>
      <c r="I312" s="23"/>
      <c r="J312" s="74"/>
      <c r="K312" s="74"/>
    </row>
    <row r="313" spans="1:11" ht="14.45">
      <c r="A313" s="22"/>
      <c r="B313" s="34"/>
      <c r="C313" s="22"/>
      <c r="D313" s="22"/>
      <c r="E313" s="22"/>
      <c r="F313" s="23"/>
      <c r="G313" s="22"/>
      <c r="H313" s="22"/>
      <c r="I313" s="23"/>
      <c r="J313" s="74"/>
      <c r="K313" s="74"/>
    </row>
    <row r="314" spans="1:11" ht="14.45">
      <c r="A314" s="22"/>
      <c r="B314" s="34"/>
      <c r="C314" s="22"/>
      <c r="D314" s="22"/>
      <c r="E314" s="22"/>
      <c r="F314" s="23"/>
      <c r="G314" s="22"/>
      <c r="H314" s="22"/>
      <c r="I314" s="23"/>
      <c r="J314" s="74"/>
      <c r="K314" s="74"/>
    </row>
    <row r="315" spans="1:11" ht="14.45">
      <c r="A315" s="22"/>
      <c r="B315" s="34"/>
      <c r="C315" s="22"/>
      <c r="D315" s="22"/>
      <c r="E315" s="22"/>
      <c r="F315" s="23"/>
      <c r="G315" s="22"/>
      <c r="H315" s="22"/>
      <c r="I315" s="23"/>
      <c r="J315" s="74"/>
      <c r="K315" s="74"/>
    </row>
    <row r="316" spans="1:11" ht="14.45">
      <c r="A316" s="22"/>
      <c r="B316" s="34"/>
      <c r="C316" s="22"/>
      <c r="D316" s="22"/>
      <c r="E316" s="22"/>
      <c r="F316" s="23"/>
      <c r="G316" s="22"/>
      <c r="H316" s="22"/>
      <c r="I316" s="23"/>
      <c r="J316" s="74"/>
      <c r="K316" s="74"/>
    </row>
    <row r="317" spans="1:11" ht="14.45">
      <c r="A317" s="22"/>
      <c r="B317" s="34"/>
      <c r="C317" s="22"/>
      <c r="D317" s="22"/>
      <c r="E317" s="22"/>
      <c r="F317" s="23"/>
      <c r="G317" s="22"/>
      <c r="H317" s="22"/>
      <c r="I317" s="23"/>
      <c r="J317" s="74"/>
      <c r="K317" s="74"/>
    </row>
    <row r="318" spans="1:11" ht="14.45">
      <c r="A318" s="22"/>
      <c r="B318" s="34"/>
      <c r="C318" s="22"/>
      <c r="D318" s="22"/>
      <c r="E318" s="22"/>
      <c r="F318" s="23"/>
      <c r="G318" s="22"/>
      <c r="H318" s="22"/>
      <c r="I318" s="23"/>
      <c r="J318" s="74"/>
      <c r="K318" s="74"/>
    </row>
    <row r="319" spans="1:11" ht="14.45">
      <c r="A319" s="22"/>
      <c r="B319" s="34"/>
      <c r="C319" s="22"/>
      <c r="D319" s="22"/>
      <c r="E319" s="22"/>
      <c r="F319" s="23"/>
      <c r="G319" s="22"/>
      <c r="H319" s="22"/>
      <c r="I319" s="23"/>
      <c r="J319" s="74"/>
      <c r="K319" s="74"/>
    </row>
    <row r="320" spans="1:11" ht="14.45">
      <c r="A320" s="22"/>
      <c r="B320" s="34"/>
      <c r="C320" s="22"/>
      <c r="D320" s="22"/>
      <c r="E320" s="22"/>
      <c r="F320" s="23"/>
      <c r="G320" s="22"/>
      <c r="H320" s="22"/>
      <c r="I320" s="23"/>
      <c r="J320" s="74"/>
      <c r="K320" s="74"/>
    </row>
    <row r="321" spans="1:11" ht="14.45">
      <c r="A321" s="22"/>
      <c r="B321" s="34"/>
      <c r="C321" s="22"/>
      <c r="D321" s="22"/>
      <c r="E321" s="22"/>
      <c r="F321" s="23"/>
      <c r="G321" s="22"/>
      <c r="H321" s="22"/>
      <c r="I321" s="23"/>
      <c r="J321" s="74"/>
      <c r="K321" s="74"/>
    </row>
    <row r="322" spans="1:11" ht="14.45">
      <c r="A322" s="22"/>
      <c r="B322" s="34"/>
      <c r="C322" s="22"/>
      <c r="D322" s="22"/>
      <c r="E322" s="22"/>
      <c r="F322" s="23"/>
      <c r="G322" s="22"/>
      <c r="H322" s="22"/>
      <c r="I322" s="23"/>
      <c r="J322" s="74"/>
      <c r="K322" s="74"/>
    </row>
    <row r="323" spans="1:11" ht="14.45">
      <c r="A323" s="22"/>
      <c r="B323" s="34"/>
      <c r="C323" s="22"/>
      <c r="D323" s="22"/>
      <c r="E323" s="22"/>
      <c r="F323" s="23"/>
      <c r="G323" s="22"/>
      <c r="H323" s="22"/>
      <c r="I323" s="23"/>
      <c r="J323" s="74"/>
      <c r="K323" s="74"/>
    </row>
    <row r="324" spans="1:11" ht="14.45">
      <c r="A324" s="22"/>
      <c r="B324" s="34"/>
      <c r="C324" s="22"/>
      <c r="D324" s="22"/>
      <c r="E324" s="22"/>
      <c r="F324" s="23"/>
      <c r="G324" s="22"/>
      <c r="H324" s="22"/>
      <c r="I324" s="23"/>
      <c r="J324" s="74"/>
      <c r="K324" s="74"/>
    </row>
    <row r="325" spans="1:11" ht="14.45">
      <c r="A325" s="22"/>
      <c r="B325" s="34"/>
      <c r="C325" s="22"/>
      <c r="D325" s="22"/>
      <c r="E325" s="22"/>
      <c r="F325" s="23"/>
      <c r="G325" s="22"/>
      <c r="H325" s="22"/>
      <c r="I325" s="23"/>
      <c r="J325" s="74"/>
      <c r="K325" s="74"/>
    </row>
    <row r="326" spans="1:11" ht="14.45">
      <c r="A326" s="22"/>
      <c r="B326" s="34"/>
      <c r="C326" s="22"/>
      <c r="D326" s="22"/>
      <c r="E326" s="22"/>
      <c r="F326" s="23"/>
      <c r="G326" s="22"/>
      <c r="H326" s="22"/>
      <c r="I326" s="23"/>
      <c r="J326" s="74"/>
      <c r="K326" s="74"/>
    </row>
    <row r="327" spans="1:11" ht="14.45">
      <c r="A327" s="22"/>
      <c r="B327" s="34"/>
      <c r="C327" s="22"/>
      <c r="D327" s="22"/>
      <c r="E327" s="22"/>
      <c r="F327" s="23"/>
      <c r="G327" s="22"/>
      <c r="H327" s="22"/>
      <c r="I327" s="23"/>
      <c r="J327" s="74"/>
      <c r="K327" s="74"/>
    </row>
    <row r="328" spans="1:11" ht="14.45">
      <c r="C328" s="22"/>
      <c r="D328" s="22"/>
      <c r="E328" s="22"/>
      <c r="F328" s="23"/>
      <c r="G328" s="22"/>
      <c r="H328" s="22"/>
      <c r="I328" s="23"/>
      <c r="J328" s="74"/>
      <c r="K328" s="74"/>
    </row>
  </sheetData>
  <sortState xmlns:xlrd2="http://schemas.microsoft.com/office/spreadsheetml/2017/richdata2" ref="A3:K14">
    <sortCondition ref="A3:A14"/>
  </sortState>
  <mergeCells count="4">
    <mergeCell ref="G1:I1"/>
    <mergeCell ref="A1:C1"/>
    <mergeCell ref="D1:F1"/>
    <mergeCell ref="A2:B2"/>
  </mergeCells>
  <conditionalFormatting sqref="F2 I2 F4:F86 I4:I86">
    <cfRule type="cellIs" dxfId="14" priority="1" stopIfTrue="1" operator="lessThanOrEqual">
      <formula>-0.1</formula>
    </cfRule>
    <cfRule type="expression" dxfId="13" priority="2">
      <formula>AND(ISNUMBER(F2), F2&gt;=0.1)</formula>
    </cfRule>
  </conditionalFormatting>
  <hyperlinks>
    <hyperlink ref="K5" r:id="rId1" display="https://us3.assetplanner.com/service_request?ID=104412" xr:uid="{FB802D8D-F4E0-49EE-8D91-F9428A45EFDD}"/>
    <hyperlink ref="K6" r:id="rId2" display="https://us3.assetplanner.com/service_request?ID=102524" xr:uid="{0A50B734-522E-406A-A39A-CCF00224B4B6}"/>
    <hyperlink ref="L6" r:id="rId3" display="https://us3.assetplanner.com/service_request?ID=097592" xr:uid="{81E57A0F-44BC-4264-8AED-EE90F009C6D6}"/>
    <hyperlink ref="M6" r:id="rId4" display="https://us3.assetplanner.com/service_request?ID=101859" xr:uid="{19B8BB6E-AC1F-46A0-9D8A-4A6DCCB4A065}"/>
    <hyperlink ref="N6" r:id="rId5" display="https://us3.assetplanner.com/service_request?ID=103044" xr:uid="{A580ED92-B408-4200-81EB-CC4D61CA1E94}"/>
    <hyperlink ref="K9" r:id="rId6" display="https://us3.assetplanner.com/service_request?ID=100774" xr:uid="{3055EE84-15B0-495A-9FBD-EDCA92578482}"/>
    <hyperlink ref="L9" r:id="rId7" display="https://us3.assetplanner.com/service_request?ID=103110" xr:uid="{46F05A5A-ABE9-4740-BA66-02B5BDCB92A5}"/>
    <hyperlink ref="K10" r:id="rId8" display="https://us3.assetplanner.com/service_request?ID=101951" xr:uid="{0DBBAF98-EE6A-44B0-B5DF-3CB266C18051}"/>
    <hyperlink ref="L10" r:id="rId9" display="https://us3.assetplanner.com/service_request?ID=102330" xr:uid="{8A636C2A-7646-4326-9926-139F460A831D}"/>
    <hyperlink ref="K11" r:id="rId10" display="https://us3.assetplanner.com/service_request?ID=100174" xr:uid="{7E42A1C8-6905-4979-BAF9-5B37FC85A714}"/>
    <hyperlink ref="K13" r:id="rId11" display="https://us3.assetplanner.com/service_request?ID=104247" xr:uid="{3BF2448B-3F94-4F60-86A2-AE95A2F34632}"/>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T328"/>
  <sheetViews>
    <sheetView topLeftCell="E1" workbookViewId="0">
      <pane ySplit="2" topLeftCell="A3" activePane="bottomLeft" state="frozen"/>
      <selection pane="bottomLeft" activeCell="K15" sqref="K15"/>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style="53" customWidth="1"/>
    <col min="11" max="11" width="20.5703125" style="53" bestFit="1" customWidth="1"/>
    <col min="12" max="20" width="9.140625" style="53"/>
  </cols>
  <sheetData>
    <row r="1" spans="1:14" ht="19.5" customHeight="1">
      <c r="A1" s="90" t="str" cm="1">
        <f t="array" ref="A1">portfolio</f>
        <v>Pardee (ENCAP)</v>
      </c>
      <c r="B1" s="90"/>
      <c r="C1" s="90"/>
      <c r="D1" s="91" t="s">
        <v>142</v>
      </c>
      <c r="E1" s="91"/>
      <c r="F1" s="91"/>
      <c r="G1" s="89" t="s">
        <v>143</v>
      </c>
      <c r="H1" s="89"/>
      <c r="I1" s="89"/>
      <c r="J1" s="71"/>
      <c r="K1" s="71"/>
    </row>
    <row r="2" spans="1:14" ht="19.5" customHeight="1">
      <c r="A2" s="92" t="s">
        <v>2</v>
      </c>
      <c r="B2" s="92"/>
      <c r="C2" s="5">
        <f>SUM(C4:C86)</f>
        <v>464109.41248</v>
      </c>
      <c r="D2" s="5">
        <f>SUM(D4:D86)</f>
        <v>457706.28599999991</v>
      </c>
      <c r="E2" s="5">
        <f>C2-D2</f>
        <v>6403.1264800000936</v>
      </c>
      <c r="F2" s="6">
        <f>IFERROR(E2/D2, 0)</f>
        <v>1.3989596987969038E-2</v>
      </c>
      <c r="G2" s="5">
        <f>SUM(G4:G86)</f>
        <v>542806.12699999998</v>
      </c>
      <c r="H2" s="7">
        <f>C2-G2</f>
        <v>-78696.71451999998</v>
      </c>
      <c r="I2" s="6">
        <f>IFERROR(H2/G2, 0)</f>
        <v>-0.14498125685305682</v>
      </c>
      <c r="J2" s="72" t="str">
        <f ca="1">IF(AND(TODAY()&gt;DATE(2024, 8, 1), COUNTA(Sites[Site])&lt;&gt;(COUNT(C:C)-1)), "Some sites are missing actual data; if new sites were added, make sure they are aligned correctly (including prior months!)", "")</f>
        <v/>
      </c>
      <c r="K2" s="71"/>
    </row>
    <row r="3" spans="1:14" ht="14.25" customHeight="1">
      <c r="A3" s="8" t="s">
        <v>3</v>
      </c>
      <c r="B3" s="8" t="s">
        <v>4</v>
      </c>
      <c r="C3" s="24" t="s">
        <v>5</v>
      </c>
      <c r="D3" s="36" t="s">
        <v>6</v>
      </c>
      <c r="E3" s="36" t="s">
        <v>7</v>
      </c>
      <c r="F3" s="37" t="s">
        <v>8</v>
      </c>
      <c r="G3" s="38" t="s">
        <v>9</v>
      </c>
      <c r="H3" s="39" t="s">
        <v>7</v>
      </c>
      <c r="I3" s="40" t="s">
        <v>8</v>
      </c>
      <c r="J3" s="73" t="s">
        <v>20</v>
      </c>
      <c r="K3" s="73" t="s">
        <v>21</v>
      </c>
    </row>
    <row r="4" spans="1:14" ht="72">
      <c r="A4" s="33" t="str" cm="1">
        <f t="array" ref="A4:A14">Sites[Site]</f>
        <v>AZ: ASU - Pardee - Discovery Hall</v>
      </c>
      <c r="B4" s="30" t="str" cm="1">
        <f t="array" ref="B4:B14">Sites[State]</f>
        <v>AZ</v>
      </c>
      <c r="C4" s="25">
        <v>9555.25</v>
      </c>
      <c r="D4" s="13">
        <v>8346.0849999999991</v>
      </c>
      <c r="E4" s="13">
        <f>IF(AND(ISNUMBER(C4),ISNUMBER(D4)), C4-D4, "")</f>
        <v>1209.1650000000009</v>
      </c>
      <c r="F4" s="14">
        <f>IFERROR(E4/D4, "")</f>
        <v>0.14487810751987321</v>
      </c>
      <c r="G4" s="15">
        <v>11165.8</v>
      </c>
      <c r="H4" s="15">
        <f>IF(AND(ISNUMBER(C4),ISNUMBER(G4)), C4-G4, "")</f>
        <v>-1610.5499999999993</v>
      </c>
      <c r="I4" s="16">
        <f>IFERROR(H4/G4, "")</f>
        <v>-0.14423955292052512</v>
      </c>
      <c r="J4" s="17" t="s">
        <v>126</v>
      </c>
      <c r="K4" s="17"/>
    </row>
    <row r="5" spans="1:14" ht="72">
      <c r="A5" s="31" t="str">
        <v>AZ: ASU - Pardee - Farrington</v>
      </c>
      <c r="B5" s="32" t="str">
        <v>AZ</v>
      </c>
      <c r="C5" s="11">
        <v>36409.412479999999</v>
      </c>
      <c r="D5" s="19">
        <v>37004.11</v>
      </c>
      <c r="E5" s="19">
        <f t="shared" ref="E5:E14" si="0">IF(AND(ISNUMBER(C5),ISNUMBER(D5)), C5-D5, "")</f>
        <v>-594.69752000000153</v>
      </c>
      <c r="F5" s="20">
        <f>IFERROR(E5/D5, "")</f>
        <v>-1.6071120748479061E-2</v>
      </c>
      <c r="G5" s="21">
        <v>42283.89</v>
      </c>
      <c r="H5" s="21">
        <f t="shared" ref="H5:H14" si="1">IF(AND(ISNUMBER(C5),ISNUMBER(G5)), C5-G5, "")</f>
        <v>-5874.4775200000004</v>
      </c>
      <c r="I5" s="20">
        <f t="shared" ref="I5:I14" si="2">IFERROR(H5/G5, "")</f>
        <v>-0.13892944854411457</v>
      </c>
      <c r="J5" s="46" t="s">
        <v>126</v>
      </c>
      <c r="K5" s="45"/>
    </row>
    <row r="6" spans="1:14" ht="86.45">
      <c r="A6" s="29" t="str">
        <v>AZ: ASU - Pardee - Macro Tech.</v>
      </c>
      <c r="B6" s="30" t="str">
        <v>AZ</v>
      </c>
      <c r="C6" s="25">
        <v>120049</v>
      </c>
      <c r="D6" s="13">
        <v>134167.4</v>
      </c>
      <c r="E6" s="13">
        <f t="shared" si="0"/>
        <v>-14118.399999999994</v>
      </c>
      <c r="F6" s="14">
        <f t="shared" ref="F6:F14" si="3">IFERROR(E6/D6, "")</f>
        <v>-0.10522973539026616</v>
      </c>
      <c r="G6" s="15">
        <v>155574.1</v>
      </c>
      <c r="H6" s="15">
        <f t="shared" si="1"/>
        <v>-35525.100000000006</v>
      </c>
      <c r="I6" s="16">
        <f t="shared" si="2"/>
        <v>-0.22834842046330336</v>
      </c>
      <c r="J6" s="17" t="s">
        <v>144</v>
      </c>
      <c r="K6" s="57" t="s">
        <v>145</v>
      </c>
      <c r="L6" s="61" t="s">
        <v>40</v>
      </c>
      <c r="M6" s="61" t="s">
        <v>87</v>
      </c>
      <c r="N6" s="61" t="s">
        <v>114</v>
      </c>
    </row>
    <row r="7" spans="1:14" ht="72">
      <c r="A7" s="31" t="str">
        <v>AZ: ASU - Pardee - McCord Hall</v>
      </c>
      <c r="B7" s="32" t="str">
        <v>AZ</v>
      </c>
      <c r="C7" s="11">
        <v>12762.75</v>
      </c>
      <c r="D7" s="19">
        <v>11337.39</v>
      </c>
      <c r="E7" s="19">
        <f t="shared" si="0"/>
        <v>1425.3600000000006</v>
      </c>
      <c r="F7" s="20">
        <f t="shared" si="3"/>
        <v>0.12572205772228007</v>
      </c>
      <c r="G7" s="21">
        <v>15074.84</v>
      </c>
      <c r="H7" s="21">
        <f t="shared" si="1"/>
        <v>-2312.09</v>
      </c>
      <c r="I7" s="20">
        <f t="shared" si="2"/>
        <v>-0.15337409882957298</v>
      </c>
      <c r="J7" s="46" t="s">
        <v>126</v>
      </c>
      <c r="K7" s="43"/>
    </row>
    <row r="8" spans="1:14" ht="15.6">
      <c r="A8" s="29" t="str">
        <v>AZ: NAU - SF Garage</v>
      </c>
      <c r="B8" s="30" t="str">
        <v>AZ</v>
      </c>
      <c r="C8" s="25">
        <v>89816</v>
      </c>
      <c r="D8" s="13">
        <v>82037.061000000002</v>
      </c>
      <c r="E8" s="13">
        <f t="shared" si="0"/>
        <v>7778.9389999999985</v>
      </c>
      <c r="F8" s="14">
        <f t="shared" si="3"/>
        <v>9.4822253566592282E-2</v>
      </c>
      <c r="G8" s="15">
        <v>91373.876999999993</v>
      </c>
      <c r="H8" s="15">
        <f t="shared" si="1"/>
        <v>-1557.8769999999931</v>
      </c>
      <c r="I8" s="16">
        <f t="shared" si="2"/>
        <v>-1.7049479032174516E-2</v>
      </c>
      <c r="J8" s="17"/>
      <c r="K8" s="17"/>
    </row>
    <row r="9" spans="1:14" ht="15.6">
      <c r="A9" s="31" t="str">
        <v>AZ: ASU - Pardee - Parking Lot 11</v>
      </c>
      <c r="B9" s="32" t="str">
        <v>AZ</v>
      </c>
      <c r="C9" s="11">
        <v>26604.875</v>
      </c>
      <c r="D9" s="19">
        <v>26201.040000000001</v>
      </c>
      <c r="E9" s="19">
        <f t="shared" si="0"/>
        <v>403.83499999999913</v>
      </c>
      <c r="F9" s="20">
        <f t="shared" si="3"/>
        <v>1.5412937807048846E-2</v>
      </c>
      <c r="G9" s="21">
        <v>26960</v>
      </c>
      <c r="H9" s="21">
        <f t="shared" si="1"/>
        <v>-355.125</v>
      </c>
      <c r="I9" s="20">
        <f t="shared" si="2"/>
        <v>-1.3172292284866469E-2</v>
      </c>
      <c r="J9" s="42"/>
      <c r="K9" s="43"/>
    </row>
    <row r="10" spans="1:14" ht="28.9">
      <c r="A10" s="29" t="str">
        <v>AZ: ASU - Pardee - Parking Lot 19</v>
      </c>
      <c r="B10" s="30" t="str">
        <v>AZ</v>
      </c>
      <c r="C10" s="25">
        <v>35234.75</v>
      </c>
      <c r="D10" s="13">
        <v>32716.68</v>
      </c>
      <c r="E10" s="13">
        <f t="shared" si="0"/>
        <v>2518.0699999999997</v>
      </c>
      <c r="F10" s="14">
        <f t="shared" si="3"/>
        <v>7.6965939086728843E-2</v>
      </c>
      <c r="G10" s="15">
        <v>39920.839999999997</v>
      </c>
      <c r="H10" s="15">
        <f t="shared" si="1"/>
        <v>-4686.0899999999965</v>
      </c>
      <c r="I10" s="16">
        <f t="shared" si="2"/>
        <v>-0.1173845540324301</v>
      </c>
      <c r="J10" s="17" t="s">
        <v>134</v>
      </c>
      <c r="K10" s="57" t="s">
        <v>135</v>
      </c>
      <c r="L10" s="61" t="s">
        <v>100</v>
      </c>
    </row>
    <row r="11" spans="1:14" ht="28.9">
      <c r="A11" s="31" t="str">
        <v>AZ: ASU - Pardee - Parking Lot 41</v>
      </c>
      <c r="B11" s="32" t="str">
        <v>AZ</v>
      </c>
      <c r="C11" s="11">
        <v>28444.875</v>
      </c>
      <c r="D11" s="19">
        <v>30159.58</v>
      </c>
      <c r="E11" s="19">
        <f t="shared" si="0"/>
        <v>-1714.7050000000017</v>
      </c>
      <c r="F11" s="20">
        <f t="shared" si="3"/>
        <v>-5.6854405797428266E-2</v>
      </c>
      <c r="G11" s="21">
        <v>37868.14</v>
      </c>
      <c r="H11" s="21">
        <f t="shared" si="1"/>
        <v>-9423.2649999999994</v>
      </c>
      <c r="I11" s="20">
        <f t="shared" si="2"/>
        <v>-0.2488441470851222</v>
      </c>
      <c r="J11" s="46" t="s">
        <v>146</v>
      </c>
      <c r="K11" s="59" t="s">
        <v>147</v>
      </c>
    </row>
    <row r="12" spans="1:14" ht="43.15">
      <c r="A12" s="29" t="str">
        <v>AZ: ASU - Pardee - Parking Lot 58</v>
      </c>
      <c r="B12" s="30" t="str">
        <v>AZ</v>
      </c>
      <c r="C12" s="25">
        <v>30617</v>
      </c>
      <c r="D12" s="13">
        <v>29470.73</v>
      </c>
      <c r="E12" s="13">
        <f t="shared" si="0"/>
        <v>1146.2700000000004</v>
      </c>
      <c r="F12" s="14">
        <f t="shared" si="3"/>
        <v>3.8895202120884022E-2</v>
      </c>
      <c r="G12" s="15">
        <v>42634.46</v>
      </c>
      <c r="H12" s="15">
        <f t="shared" si="1"/>
        <v>-12017.46</v>
      </c>
      <c r="I12" s="16">
        <f t="shared" si="2"/>
        <v>-0.28187198805848601</v>
      </c>
      <c r="J12" s="17" t="s">
        <v>148</v>
      </c>
      <c r="K12" s="57" t="s">
        <v>149</v>
      </c>
      <c r="L12" s="61" t="s">
        <v>150</v>
      </c>
    </row>
    <row r="13" spans="1:14" ht="57.6">
      <c r="A13" s="31" t="str">
        <v>AZ: ASU - Pardee - Parking Lot 59S</v>
      </c>
      <c r="B13" s="32" t="str">
        <v>AZ</v>
      </c>
      <c r="C13" s="11">
        <v>35391.5</v>
      </c>
      <c r="D13" s="19">
        <v>32205.29</v>
      </c>
      <c r="E13" s="19">
        <f t="shared" si="0"/>
        <v>3186.2099999999991</v>
      </c>
      <c r="F13" s="20">
        <f t="shared" si="3"/>
        <v>9.893436761476139E-2</v>
      </c>
      <c r="G13" s="21">
        <v>38981.18</v>
      </c>
      <c r="H13" s="21">
        <f t="shared" si="1"/>
        <v>-3589.6800000000003</v>
      </c>
      <c r="I13" s="20">
        <f t="shared" si="2"/>
        <v>-9.2087515052135416E-2</v>
      </c>
      <c r="J13" s="46" t="s">
        <v>151</v>
      </c>
      <c r="K13" s="60" t="s">
        <v>152</v>
      </c>
      <c r="L13" s="61" t="s">
        <v>153</v>
      </c>
    </row>
    <row r="14" spans="1:14" ht="28.9">
      <c r="A14" s="29" t="str">
        <v>AZ: ASU - Pardee - Sun Devil Complex</v>
      </c>
      <c r="B14" s="30" t="str">
        <v>AZ</v>
      </c>
      <c r="C14" s="25">
        <v>39224</v>
      </c>
      <c r="D14" s="13">
        <v>34060.92</v>
      </c>
      <c r="E14" s="13">
        <f t="shared" si="0"/>
        <v>5163.0800000000017</v>
      </c>
      <c r="F14" s="14">
        <f t="shared" si="3"/>
        <v>0.15158369180867698</v>
      </c>
      <c r="G14" s="15">
        <v>40969</v>
      </c>
      <c r="H14" s="15">
        <f t="shared" si="1"/>
        <v>-1745</v>
      </c>
      <c r="I14" s="16">
        <f t="shared" si="2"/>
        <v>-4.2593180209426637E-2</v>
      </c>
      <c r="J14" s="17" t="s">
        <v>154</v>
      </c>
      <c r="K14" s="17"/>
    </row>
    <row r="15" spans="1:14" ht="14.45">
      <c r="A15" s="22"/>
      <c r="B15" s="34"/>
      <c r="C15" s="22"/>
      <c r="D15" s="22"/>
      <c r="E15" s="22"/>
      <c r="F15" s="22"/>
      <c r="G15" s="22"/>
      <c r="H15" s="22"/>
      <c r="I15" s="22"/>
      <c r="J15" s="74"/>
      <c r="K15" s="74"/>
    </row>
    <row r="16" spans="1:14" ht="14.45">
      <c r="A16" s="22"/>
      <c r="B16" s="34"/>
      <c r="C16" s="22"/>
      <c r="D16" s="22"/>
      <c r="E16" s="22"/>
      <c r="F16" s="22"/>
      <c r="G16" s="22"/>
      <c r="H16" s="22"/>
      <c r="I16" s="22"/>
      <c r="J16" s="74"/>
      <c r="K16" s="74"/>
    </row>
    <row r="17" spans="1:11" ht="14.45">
      <c r="A17" s="22"/>
      <c r="B17" s="34"/>
      <c r="C17" s="22"/>
      <c r="D17" s="22"/>
      <c r="E17" s="22"/>
      <c r="F17" s="22"/>
      <c r="G17" s="22"/>
      <c r="H17" s="22"/>
      <c r="I17" s="22"/>
      <c r="J17" s="74"/>
      <c r="K17" s="74"/>
    </row>
    <row r="18" spans="1:11" ht="14.45">
      <c r="A18" s="22"/>
      <c r="B18" s="34"/>
      <c r="C18" s="22"/>
      <c r="D18" s="22"/>
      <c r="E18" s="22"/>
      <c r="F18" s="22"/>
      <c r="G18" s="22"/>
      <c r="H18" s="22"/>
      <c r="I18" s="22"/>
      <c r="J18" s="74"/>
      <c r="K18" s="74"/>
    </row>
    <row r="19" spans="1:11" ht="14.45">
      <c r="A19" s="22"/>
      <c r="B19" s="34"/>
      <c r="C19" s="22"/>
      <c r="D19" s="22"/>
      <c r="E19" s="22"/>
      <c r="F19" s="23"/>
      <c r="G19" s="22"/>
      <c r="H19" s="22"/>
      <c r="I19" s="23"/>
      <c r="J19" s="74"/>
      <c r="K19" s="74"/>
    </row>
    <row r="20" spans="1:11" ht="14.45">
      <c r="A20" s="22"/>
      <c r="B20" s="34"/>
      <c r="C20" s="22"/>
      <c r="D20" s="22"/>
      <c r="E20" s="22"/>
      <c r="F20" s="23"/>
      <c r="G20" s="22"/>
      <c r="H20" s="22"/>
      <c r="I20" s="23"/>
      <c r="J20" s="74"/>
      <c r="K20" s="74"/>
    </row>
    <row r="21" spans="1:11" ht="14.45">
      <c r="A21" s="22"/>
      <c r="B21" s="34"/>
      <c r="C21" s="22"/>
      <c r="D21" s="22"/>
      <c r="E21" s="22"/>
      <c r="F21" s="23"/>
      <c r="G21" s="22"/>
      <c r="H21" s="22"/>
      <c r="I21" s="23"/>
      <c r="J21" s="74"/>
      <c r="K21" s="74"/>
    </row>
    <row r="22" spans="1:11" ht="14.45">
      <c r="A22" s="22"/>
      <c r="B22" s="34"/>
      <c r="C22" s="22"/>
      <c r="D22" s="22"/>
      <c r="E22" s="22"/>
      <c r="F22" s="23"/>
      <c r="G22" s="22"/>
      <c r="H22" s="22"/>
      <c r="I22" s="23"/>
      <c r="J22" s="74"/>
      <c r="K22" s="74"/>
    </row>
    <row r="23" spans="1:11" ht="14.45">
      <c r="A23" s="22"/>
      <c r="B23" s="34"/>
      <c r="C23" s="22"/>
      <c r="D23" s="22"/>
      <c r="E23" s="22"/>
      <c r="F23" s="23"/>
      <c r="G23" s="22"/>
      <c r="H23" s="22"/>
      <c r="I23" s="23"/>
      <c r="J23" s="74"/>
      <c r="K23" s="74"/>
    </row>
    <row r="24" spans="1:11" ht="14.45">
      <c r="A24" s="22"/>
      <c r="B24" s="34"/>
      <c r="C24" s="22"/>
      <c r="D24" s="22"/>
      <c r="E24" s="22"/>
      <c r="F24" s="23"/>
      <c r="G24" s="22"/>
      <c r="H24" s="22"/>
      <c r="I24" s="23"/>
      <c r="J24" s="74"/>
      <c r="K24" s="74"/>
    </row>
    <row r="25" spans="1:11" ht="14.45">
      <c r="A25" s="22"/>
      <c r="B25" s="34"/>
      <c r="C25" s="22"/>
      <c r="D25" s="22"/>
      <c r="E25" s="22"/>
      <c r="F25" s="23"/>
      <c r="G25" s="22"/>
      <c r="H25" s="22"/>
      <c r="I25" s="23"/>
      <c r="J25" s="74"/>
      <c r="K25" s="74"/>
    </row>
    <row r="26" spans="1:11" ht="14.45">
      <c r="A26" s="22"/>
      <c r="B26" s="34"/>
      <c r="C26" s="22"/>
      <c r="D26" s="22"/>
      <c r="E26" s="22"/>
      <c r="F26" s="23"/>
      <c r="G26" s="22"/>
      <c r="H26" s="22"/>
      <c r="I26" s="23"/>
      <c r="J26" s="74"/>
      <c r="K26" s="74"/>
    </row>
    <row r="27" spans="1:11" ht="14.45">
      <c r="A27" s="22"/>
      <c r="B27" s="34"/>
      <c r="C27" s="22"/>
      <c r="D27" s="22"/>
      <c r="E27" s="22"/>
      <c r="F27" s="23"/>
      <c r="G27" s="22"/>
      <c r="H27" s="22"/>
      <c r="I27" s="23"/>
      <c r="J27" s="74"/>
      <c r="K27" s="74"/>
    </row>
    <row r="28" spans="1:11" ht="14.45">
      <c r="A28" s="22"/>
      <c r="B28" s="34"/>
      <c r="C28" s="22"/>
      <c r="D28" s="22"/>
      <c r="E28" s="22"/>
      <c r="F28" s="23"/>
      <c r="G28" s="22"/>
      <c r="H28" s="22"/>
      <c r="I28" s="23"/>
      <c r="J28" s="74"/>
      <c r="K28" s="74"/>
    </row>
    <row r="29" spans="1:11" ht="14.45">
      <c r="A29" s="22"/>
      <c r="B29" s="34"/>
      <c r="C29" s="22"/>
      <c r="D29" s="22"/>
      <c r="E29" s="22"/>
      <c r="F29" s="23"/>
      <c r="G29" s="22"/>
      <c r="H29" s="22"/>
      <c r="I29" s="23"/>
      <c r="J29" s="74"/>
      <c r="K29" s="74"/>
    </row>
    <row r="30" spans="1:11" ht="14.45">
      <c r="A30" s="22"/>
      <c r="B30" s="34"/>
      <c r="C30" s="22"/>
      <c r="D30" s="22"/>
      <c r="E30" s="22"/>
      <c r="F30" s="23"/>
      <c r="G30" s="22"/>
      <c r="H30" s="22"/>
      <c r="I30" s="23"/>
      <c r="J30" s="74"/>
      <c r="K30" s="74"/>
    </row>
    <row r="31" spans="1:11" ht="14.45">
      <c r="A31" s="22"/>
      <c r="B31" s="34"/>
      <c r="C31" s="22"/>
      <c r="D31" s="22"/>
      <c r="E31" s="22"/>
      <c r="F31" s="23"/>
      <c r="G31" s="22"/>
      <c r="H31" s="22"/>
      <c r="I31" s="23"/>
      <c r="J31" s="74"/>
      <c r="K31" s="74"/>
    </row>
    <row r="32" spans="1:11" ht="14.45">
      <c r="A32" s="22"/>
      <c r="B32" s="34"/>
      <c r="C32" s="22"/>
      <c r="D32" s="22"/>
      <c r="E32" s="22"/>
      <c r="F32" s="23"/>
      <c r="G32" s="22"/>
      <c r="H32" s="22"/>
      <c r="I32" s="23"/>
      <c r="J32" s="74"/>
      <c r="K32" s="74"/>
    </row>
    <row r="33" spans="1:11" ht="14.45">
      <c r="A33" s="22"/>
      <c r="B33" s="34"/>
      <c r="C33" s="22"/>
      <c r="D33" s="22"/>
      <c r="E33" s="22"/>
      <c r="F33" s="23"/>
      <c r="G33" s="22"/>
      <c r="H33" s="22"/>
      <c r="I33" s="23"/>
      <c r="J33" s="74"/>
      <c r="K33" s="74"/>
    </row>
    <row r="34" spans="1:11" ht="14.45">
      <c r="A34" s="22"/>
      <c r="B34" s="34"/>
      <c r="C34" s="22"/>
      <c r="D34" s="22"/>
      <c r="E34" s="22"/>
      <c r="F34" s="23"/>
      <c r="G34" s="22"/>
      <c r="H34" s="22"/>
      <c r="I34" s="23"/>
      <c r="J34" s="74"/>
      <c r="K34" s="74"/>
    </row>
    <row r="35" spans="1:11" ht="14.45">
      <c r="A35" s="22"/>
      <c r="B35" s="34"/>
      <c r="C35" s="22"/>
      <c r="D35" s="22"/>
      <c r="E35" s="22"/>
      <c r="F35" s="23"/>
      <c r="G35" s="22"/>
      <c r="H35" s="22"/>
      <c r="I35" s="23"/>
      <c r="J35" s="74"/>
      <c r="K35" s="74"/>
    </row>
    <row r="36" spans="1:11" ht="14.45">
      <c r="A36" s="22"/>
      <c r="B36" s="34"/>
      <c r="C36" s="22"/>
      <c r="D36" s="22"/>
      <c r="E36" s="22"/>
      <c r="F36" s="23"/>
      <c r="G36" s="22"/>
      <c r="H36" s="22"/>
      <c r="I36" s="23"/>
      <c r="J36" s="74"/>
      <c r="K36" s="74"/>
    </row>
    <row r="37" spans="1:11" ht="14.45">
      <c r="A37" s="22"/>
      <c r="B37" s="34"/>
      <c r="C37" s="22"/>
      <c r="D37" s="22"/>
      <c r="E37" s="22"/>
      <c r="F37" s="23"/>
      <c r="G37" s="22"/>
      <c r="H37" s="22"/>
      <c r="I37" s="23"/>
      <c r="J37" s="74"/>
      <c r="K37" s="74"/>
    </row>
    <row r="38" spans="1:11" ht="14.45">
      <c r="A38" s="22"/>
      <c r="B38" s="34"/>
      <c r="C38" s="22"/>
      <c r="D38" s="22"/>
      <c r="E38" s="22"/>
      <c r="F38" s="23"/>
      <c r="G38" s="22"/>
      <c r="H38" s="22"/>
      <c r="I38" s="23"/>
      <c r="J38" s="74"/>
      <c r="K38" s="74"/>
    </row>
    <row r="39" spans="1:11" ht="14.45">
      <c r="A39" s="22"/>
      <c r="B39" s="34"/>
      <c r="C39" s="22"/>
      <c r="D39" s="22"/>
      <c r="E39" s="22"/>
      <c r="F39" s="23"/>
      <c r="G39" s="22"/>
      <c r="H39" s="22"/>
      <c r="I39" s="23"/>
      <c r="J39" s="74"/>
      <c r="K39" s="74"/>
    </row>
    <row r="40" spans="1:11" ht="14.45">
      <c r="A40" s="22"/>
      <c r="B40" s="34"/>
      <c r="C40" s="22"/>
      <c r="D40" s="22"/>
      <c r="E40" s="22"/>
      <c r="F40" s="23"/>
      <c r="G40" s="22"/>
      <c r="H40" s="22"/>
      <c r="I40" s="23"/>
      <c r="J40" s="74"/>
      <c r="K40" s="74"/>
    </row>
    <row r="41" spans="1:11" ht="14.45">
      <c r="A41" s="22"/>
      <c r="B41" s="34"/>
      <c r="C41" s="22"/>
      <c r="D41" s="22"/>
      <c r="E41" s="22"/>
      <c r="F41" s="23"/>
      <c r="G41" s="22"/>
      <c r="H41" s="22"/>
      <c r="I41" s="23"/>
      <c r="J41" s="74"/>
      <c r="K41" s="74"/>
    </row>
    <row r="42" spans="1:11" ht="14.45">
      <c r="A42" s="22"/>
      <c r="B42" s="34"/>
      <c r="C42" s="22"/>
      <c r="D42" s="22"/>
      <c r="E42" s="22"/>
      <c r="F42" s="23"/>
      <c r="G42" s="22"/>
      <c r="H42" s="22"/>
      <c r="I42" s="23"/>
      <c r="J42" s="74"/>
      <c r="K42" s="74"/>
    </row>
    <row r="43" spans="1:11" ht="14.45">
      <c r="A43" s="22"/>
      <c r="B43" s="34"/>
      <c r="C43" s="22"/>
      <c r="D43" s="22"/>
      <c r="E43" s="22"/>
      <c r="F43" s="23"/>
      <c r="G43" s="22"/>
      <c r="H43" s="22"/>
      <c r="I43" s="23"/>
      <c r="J43" s="74"/>
      <c r="K43" s="74"/>
    </row>
    <row r="44" spans="1:11" ht="14.45">
      <c r="A44" s="22"/>
      <c r="B44" s="34"/>
      <c r="C44" s="22"/>
      <c r="D44" s="22"/>
      <c r="E44" s="22"/>
      <c r="F44" s="23"/>
      <c r="G44" s="22"/>
      <c r="H44" s="22"/>
      <c r="I44" s="23"/>
      <c r="J44" s="74"/>
      <c r="K44" s="74"/>
    </row>
    <row r="45" spans="1:11" ht="14.45">
      <c r="A45" s="22"/>
      <c r="B45" s="34"/>
      <c r="C45" s="22"/>
      <c r="D45" s="22"/>
      <c r="E45" s="22"/>
      <c r="F45" s="23"/>
      <c r="G45" s="22"/>
      <c r="H45" s="22"/>
      <c r="I45" s="23"/>
      <c r="J45" s="74"/>
      <c r="K45" s="74"/>
    </row>
    <row r="46" spans="1:11" ht="14.45">
      <c r="A46" s="22"/>
      <c r="B46" s="34"/>
      <c r="C46" s="22"/>
      <c r="D46" s="22"/>
      <c r="E46" s="22"/>
      <c r="F46" s="23"/>
      <c r="G46" s="22"/>
      <c r="H46" s="22"/>
      <c r="I46" s="23"/>
      <c r="J46" s="74"/>
      <c r="K46" s="74"/>
    </row>
    <row r="47" spans="1:11" ht="14.45">
      <c r="A47" s="22"/>
      <c r="B47" s="34"/>
      <c r="C47" s="22"/>
      <c r="D47" s="22"/>
      <c r="E47" s="22"/>
      <c r="F47" s="23"/>
      <c r="G47" s="22"/>
      <c r="H47" s="22"/>
      <c r="I47" s="23"/>
      <c r="J47" s="74"/>
      <c r="K47" s="74"/>
    </row>
    <row r="48" spans="1:11" ht="14.45">
      <c r="A48" s="22"/>
      <c r="B48" s="34"/>
      <c r="C48" s="22"/>
      <c r="D48" s="22"/>
      <c r="E48" s="22"/>
      <c r="F48" s="23"/>
      <c r="G48" s="22"/>
      <c r="H48" s="22"/>
      <c r="I48" s="23"/>
      <c r="J48" s="74"/>
      <c r="K48" s="74"/>
    </row>
    <row r="49" spans="1:11" ht="14.45">
      <c r="A49" s="22"/>
      <c r="B49" s="34"/>
      <c r="C49" s="22"/>
      <c r="D49" s="22"/>
      <c r="E49" s="22"/>
      <c r="F49" s="23"/>
      <c r="G49" s="22"/>
      <c r="H49" s="22"/>
      <c r="I49" s="23"/>
      <c r="J49" s="74"/>
      <c r="K49" s="74"/>
    </row>
    <row r="50" spans="1:11" ht="14.45">
      <c r="A50" s="22"/>
      <c r="B50" s="34"/>
      <c r="C50" s="22"/>
      <c r="D50" s="22"/>
      <c r="E50" s="22"/>
      <c r="F50" s="23"/>
      <c r="G50" s="22"/>
      <c r="H50" s="22"/>
      <c r="I50" s="23"/>
      <c r="J50" s="74"/>
      <c r="K50" s="74"/>
    </row>
    <row r="51" spans="1:11" ht="14.45">
      <c r="A51" s="22"/>
      <c r="B51" s="34"/>
      <c r="C51" s="22"/>
      <c r="D51" s="22"/>
      <c r="E51" s="22"/>
      <c r="F51" s="23"/>
      <c r="G51" s="22"/>
      <c r="H51" s="22"/>
      <c r="I51" s="23"/>
      <c r="J51" s="74"/>
      <c r="K51" s="74"/>
    </row>
    <row r="52" spans="1:11" ht="14.45">
      <c r="A52" s="22"/>
      <c r="B52" s="34"/>
      <c r="C52" s="22"/>
      <c r="D52" s="22"/>
      <c r="E52" s="22"/>
      <c r="F52" s="23"/>
      <c r="G52" s="22"/>
      <c r="H52" s="22"/>
      <c r="I52" s="23"/>
      <c r="J52" s="74"/>
      <c r="K52" s="74"/>
    </row>
    <row r="53" spans="1:11" ht="14.45">
      <c r="A53" s="22"/>
      <c r="B53" s="34"/>
      <c r="C53" s="22"/>
      <c r="D53" s="22"/>
      <c r="E53" s="22"/>
      <c r="F53" s="23"/>
      <c r="G53" s="22"/>
      <c r="H53" s="22"/>
      <c r="I53" s="23"/>
      <c r="J53" s="74"/>
      <c r="K53" s="74"/>
    </row>
    <row r="54" spans="1:11" ht="14.45">
      <c r="A54" s="22"/>
      <c r="B54" s="34"/>
      <c r="C54" s="22"/>
      <c r="D54" s="22"/>
      <c r="E54" s="22"/>
      <c r="F54" s="23"/>
      <c r="G54" s="22"/>
      <c r="H54" s="22"/>
      <c r="I54" s="23"/>
      <c r="J54" s="74"/>
      <c r="K54" s="74"/>
    </row>
    <row r="55" spans="1:11" ht="14.45">
      <c r="A55" s="22"/>
      <c r="B55" s="34"/>
      <c r="C55" s="22"/>
      <c r="D55" s="22"/>
      <c r="E55" s="22"/>
      <c r="F55" s="23"/>
      <c r="G55" s="22"/>
      <c r="H55" s="22"/>
      <c r="I55" s="23"/>
      <c r="J55" s="74"/>
      <c r="K55" s="74"/>
    </row>
    <row r="56" spans="1:11" ht="14.45">
      <c r="A56" s="22"/>
      <c r="B56" s="34"/>
      <c r="C56" s="22"/>
      <c r="D56" s="22"/>
      <c r="E56" s="22"/>
      <c r="F56" s="23"/>
      <c r="G56" s="22"/>
      <c r="H56" s="22"/>
      <c r="I56" s="23"/>
      <c r="J56" s="74"/>
      <c r="K56" s="74"/>
    </row>
    <row r="57" spans="1:11" ht="14.45">
      <c r="A57" s="22"/>
      <c r="B57" s="34"/>
      <c r="C57" s="22"/>
      <c r="D57" s="22"/>
      <c r="E57" s="22"/>
      <c r="F57" s="23"/>
      <c r="G57" s="22"/>
      <c r="H57" s="22"/>
      <c r="I57" s="23"/>
      <c r="J57" s="74"/>
      <c r="K57" s="74"/>
    </row>
    <row r="58" spans="1:11" ht="14.45">
      <c r="A58" s="22"/>
      <c r="B58" s="34"/>
      <c r="C58" s="22"/>
      <c r="D58" s="22"/>
      <c r="E58" s="22"/>
      <c r="F58" s="23"/>
      <c r="G58" s="22"/>
      <c r="H58" s="22"/>
      <c r="I58" s="23"/>
      <c r="J58" s="74"/>
      <c r="K58" s="74"/>
    </row>
    <row r="59" spans="1:11" ht="14.45">
      <c r="A59" s="22"/>
      <c r="B59" s="34"/>
      <c r="C59" s="22"/>
      <c r="D59" s="22"/>
      <c r="E59" s="22"/>
      <c r="F59" s="23"/>
      <c r="G59" s="22"/>
      <c r="H59" s="22"/>
      <c r="I59" s="23"/>
      <c r="J59" s="74"/>
      <c r="K59" s="74"/>
    </row>
    <row r="60" spans="1:11" ht="14.45">
      <c r="A60" s="22"/>
      <c r="B60" s="34"/>
      <c r="C60" s="22"/>
      <c r="D60" s="22"/>
      <c r="E60" s="22"/>
      <c r="F60" s="23"/>
      <c r="G60" s="22"/>
      <c r="H60" s="22"/>
      <c r="I60" s="23"/>
      <c r="J60" s="74"/>
      <c r="K60" s="74"/>
    </row>
    <row r="61" spans="1:11" ht="14.45">
      <c r="A61" s="22"/>
      <c r="B61" s="34"/>
      <c r="C61" s="22"/>
      <c r="D61" s="22"/>
      <c r="E61" s="22"/>
      <c r="F61" s="23"/>
      <c r="G61" s="22"/>
      <c r="H61" s="22"/>
      <c r="I61" s="23"/>
      <c r="J61" s="74"/>
      <c r="K61" s="74"/>
    </row>
    <row r="62" spans="1:11" ht="14.45">
      <c r="A62" s="22"/>
      <c r="B62" s="34"/>
      <c r="C62" s="22"/>
      <c r="D62" s="22"/>
      <c r="E62" s="22"/>
      <c r="F62" s="23"/>
      <c r="G62" s="22"/>
      <c r="H62" s="22"/>
      <c r="I62" s="23"/>
      <c r="J62" s="74"/>
      <c r="K62" s="74"/>
    </row>
    <row r="63" spans="1:11" ht="14.45">
      <c r="A63" s="22"/>
      <c r="B63" s="34"/>
      <c r="C63" s="22"/>
      <c r="D63" s="22"/>
      <c r="E63" s="22"/>
      <c r="F63" s="23"/>
      <c r="G63" s="22"/>
      <c r="H63" s="22"/>
      <c r="I63" s="23"/>
      <c r="J63" s="74"/>
      <c r="K63" s="74"/>
    </row>
    <row r="64" spans="1:11" ht="14.45">
      <c r="A64" s="22"/>
      <c r="B64" s="34"/>
      <c r="C64" s="22"/>
      <c r="D64" s="22"/>
      <c r="E64" s="22"/>
      <c r="F64" s="23"/>
      <c r="G64" s="22"/>
      <c r="H64" s="22"/>
      <c r="I64" s="23"/>
      <c r="J64" s="74"/>
      <c r="K64" s="74"/>
    </row>
    <row r="65" spans="1:11" ht="14.45">
      <c r="A65" s="22"/>
      <c r="B65" s="34"/>
      <c r="C65" s="22"/>
      <c r="D65" s="22"/>
      <c r="E65" s="22"/>
      <c r="F65" s="23"/>
      <c r="G65" s="22"/>
      <c r="H65" s="22"/>
      <c r="I65" s="23"/>
      <c r="J65" s="74"/>
      <c r="K65" s="74"/>
    </row>
    <row r="66" spans="1:11" ht="14.45">
      <c r="A66" s="22"/>
      <c r="B66" s="34"/>
      <c r="C66" s="22"/>
      <c r="D66" s="22"/>
      <c r="E66" s="22"/>
      <c r="F66" s="23"/>
      <c r="G66" s="22"/>
      <c r="H66" s="22"/>
      <c r="I66" s="23"/>
      <c r="J66" s="74"/>
      <c r="K66" s="74"/>
    </row>
    <row r="67" spans="1:11" ht="14.45">
      <c r="A67" s="22"/>
      <c r="B67" s="34"/>
      <c r="C67" s="22"/>
      <c r="D67" s="22"/>
      <c r="E67" s="22"/>
      <c r="F67" s="23"/>
      <c r="G67" s="22"/>
      <c r="H67" s="22"/>
      <c r="I67" s="23"/>
      <c r="J67" s="74"/>
      <c r="K67" s="74"/>
    </row>
    <row r="68" spans="1:11" ht="14.45">
      <c r="A68" s="22"/>
      <c r="B68" s="34"/>
      <c r="C68" s="22"/>
      <c r="D68" s="22"/>
      <c r="E68" s="22"/>
      <c r="F68" s="23"/>
      <c r="G68" s="22"/>
      <c r="H68" s="22"/>
      <c r="I68" s="23"/>
      <c r="J68" s="74"/>
      <c r="K68" s="74"/>
    </row>
    <row r="69" spans="1:11" ht="14.45">
      <c r="A69" s="22"/>
      <c r="B69" s="34"/>
      <c r="C69" s="22"/>
      <c r="D69" s="22"/>
      <c r="E69" s="22"/>
      <c r="F69" s="23"/>
      <c r="G69" s="22"/>
      <c r="H69" s="22"/>
      <c r="I69" s="23"/>
      <c r="J69" s="74"/>
      <c r="K69" s="74"/>
    </row>
    <row r="70" spans="1:11" ht="14.45">
      <c r="A70" s="22"/>
      <c r="B70" s="34"/>
      <c r="C70" s="22"/>
      <c r="D70" s="22"/>
      <c r="E70" s="22"/>
      <c r="F70" s="23"/>
      <c r="G70" s="22"/>
      <c r="H70" s="22"/>
      <c r="I70" s="23"/>
      <c r="J70" s="74"/>
      <c r="K70" s="74"/>
    </row>
    <row r="71" spans="1:11" ht="14.45">
      <c r="A71" s="22"/>
      <c r="B71" s="34"/>
      <c r="C71" s="22"/>
      <c r="D71" s="22"/>
      <c r="E71" s="22"/>
      <c r="F71" s="23"/>
      <c r="G71" s="22"/>
      <c r="H71" s="22"/>
      <c r="I71" s="23"/>
      <c r="J71" s="74"/>
      <c r="K71" s="74"/>
    </row>
    <row r="72" spans="1:11" ht="14.45">
      <c r="A72" s="22"/>
      <c r="B72" s="34"/>
      <c r="C72" s="22"/>
      <c r="D72" s="22"/>
      <c r="E72" s="22"/>
      <c r="F72" s="23"/>
      <c r="G72" s="22"/>
      <c r="H72" s="22"/>
      <c r="I72" s="23"/>
      <c r="J72" s="74"/>
      <c r="K72" s="74"/>
    </row>
    <row r="73" spans="1:11" ht="14.45">
      <c r="A73" s="22"/>
      <c r="B73" s="34"/>
      <c r="C73" s="22"/>
      <c r="D73" s="22"/>
      <c r="E73" s="22"/>
      <c r="F73" s="23"/>
      <c r="G73" s="22"/>
      <c r="H73" s="22"/>
      <c r="I73" s="23"/>
      <c r="J73" s="74"/>
      <c r="K73" s="74"/>
    </row>
    <row r="74" spans="1:11" ht="14.45">
      <c r="A74" s="22"/>
      <c r="B74" s="34"/>
      <c r="C74" s="22"/>
      <c r="D74" s="22"/>
      <c r="E74" s="22"/>
      <c r="F74" s="23"/>
      <c r="G74" s="22"/>
      <c r="H74" s="22"/>
      <c r="I74" s="23"/>
      <c r="J74" s="74"/>
      <c r="K74" s="74"/>
    </row>
    <row r="75" spans="1:11" ht="14.45">
      <c r="A75" s="22"/>
      <c r="B75" s="34"/>
      <c r="C75" s="22"/>
      <c r="D75" s="22"/>
      <c r="E75" s="22"/>
      <c r="F75" s="23"/>
      <c r="G75" s="22"/>
      <c r="H75" s="22"/>
      <c r="I75" s="23"/>
      <c r="J75" s="74"/>
      <c r="K75" s="74"/>
    </row>
    <row r="76" spans="1:11" ht="14.45">
      <c r="A76" s="22"/>
      <c r="B76" s="34"/>
      <c r="C76" s="22"/>
      <c r="D76" s="22"/>
      <c r="E76" s="22"/>
      <c r="F76" s="23"/>
      <c r="G76" s="22"/>
      <c r="H76" s="22"/>
      <c r="I76" s="23"/>
      <c r="J76" s="74"/>
      <c r="K76" s="74"/>
    </row>
    <row r="77" spans="1:11" ht="14.45">
      <c r="A77" s="22"/>
      <c r="B77" s="34"/>
      <c r="C77" s="22"/>
      <c r="D77" s="22"/>
      <c r="E77" s="22"/>
      <c r="F77" s="23"/>
      <c r="G77" s="22"/>
      <c r="H77" s="22"/>
      <c r="I77" s="23"/>
      <c r="J77" s="74"/>
      <c r="K77" s="74"/>
    </row>
    <row r="78" spans="1:11" ht="14.45">
      <c r="A78" s="22"/>
      <c r="B78" s="34"/>
      <c r="C78" s="22"/>
      <c r="D78" s="22"/>
      <c r="E78" s="22"/>
      <c r="F78" s="23"/>
      <c r="G78" s="22"/>
      <c r="H78" s="22"/>
      <c r="I78" s="23"/>
      <c r="J78" s="74"/>
      <c r="K78" s="74"/>
    </row>
    <row r="79" spans="1:11" ht="14.45">
      <c r="A79" s="22"/>
      <c r="B79" s="34"/>
      <c r="C79" s="22"/>
      <c r="D79" s="22"/>
      <c r="E79" s="22"/>
      <c r="F79" s="23"/>
      <c r="G79" s="22"/>
      <c r="H79" s="22"/>
      <c r="I79" s="23"/>
      <c r="J79" s="74"/>
      <c r="K79" s="74"/>
    </row>
    <row r="80" spans="1:11" ht="14.45">
      <c r="A80" s="22"/>
      <c r="B80" s="34"/>
      <c r="C80" s="22"/>
      <c r="D80" s="22"/>
      <c r="E80" s="22"/>
      <c r="F80" s="23"/>
      <c r="G80" s="22"/>
      <c r="H80" s="22"/>
      <c r="I80" s="23"/>
      <c r="J80" s="74"/>
      <c r="K80" s="74"/>
    </row>
    <row r="81" spans="1:11" ht="14.45">
      <c r="A81" s="22"/>
      <c r="B81" s="34"/>
      <c r="C81" s="22"/>
      <c r="D81" s="22"/>
      <c r="E81" s="22"/>
      <c r="F81" s="23"/>
      <c r="G81" s="22"/>
      <c r="H81" s="22"/>
      <c r="I81" s="23"/>
      <c r="J81" s="74"/>
      <c r="K81" s="74"/>
    </row>
    <row r="82" spans="1:11" ht="14.45">
      <c r="A82" s="22"/>
      <c r="B82" s="34"/>
      <c r="C82" s="22"/>
      <c r="D82" s="22"/>
      <c r="E82" s="22"/>
      <c r="F82" s="23"/>
      <c r="G82" s="22"/>
      <c r="H82" s="22"/>
      <c r="I82" s="23"/>
      <c r="J82" s="74"/>
      <c r="K82" s="74"/>
    </row>
    <row r="83" spans="1:11" ht="14.45">
      <c r="A83" s="22"/>
      <c r="B83" s="34"/>
      <c r="C83" s="22"/>
      <c r="D83" s="22"/>
      <c r="E83" s="22"/>
      <c r="F83" s="23"/>
      <c r="G83" s="22"/>
      <c r="H83" s="22"/>
      <c r="I83" s="23"/>
      <c r="J83" s="74"/>
      <c r="K83" s="74"/>
    </row>
    <row r="84" spans="1:11" ht="14.45">
      <c r="A84" s="22"/>
      <c r="B84" s="34"/>
      <c r="C84" s="22"/>
      <c r="D84" s="22"/>
      <c r="E84" s="22"/>
      <c r="F84" s="23"/>
      <c r="G84" s="22"/>
      <c r="H84" s="22"/>
      <c r="I84" s="23"/>
      <c r="J84" s="74"/>
      <c r="K84" s="74"/>
    </row>
    <row r="85" spans="1:11" ht="14.45">
      <c r="A85" s="22"/>
      <c r="B85" s="34"/>
      <c r="C85" s="22"/>
      <c r="D85" s="22"/>
      <c r="E85" s="22"/>
      <c r="F85" s="23"/>
      <c r="G85" s="22"/>
      <c r="H85" s="22"/>
      <c r="I85" s="23"/>
      <c r="J85" s="74"/>
      <c r="K85" s="74"/>
    </row>
    <row r="86" spans="1:11" ht="14.45">
      <c r="A86" s="22"/>
      <c r="B86" s="34"/>
      <c r="C86" s="22"/>
      <c r="D86" s="22"/>
      <c r="E86" s="22"/>
      <c r="F86" s="23"/>
      <c r="G86" s="22"/>
      <c r="H86" s="22"/>
      <c r="I86" s="23"/>
      <c r="J86" s="74"/>
      <c r="K86" s="74"/>
    </row>
    <row r="87" spans="1:11" ht="14.45">
      <c r="A87" s="22"/>
      <c r="B87" s="34"/>
      <c r="C87" s="22"/>
      <c r="D87" s="22"/>
      <c r="E87" s="22"/>
      <c r="F87" s="23"/>
      <c r="G87" s="22"/>
      <c r="H87" s="22"/>
      <c r="I87" s="23"/>
      <c r="J87" s="74"/>
      <c r="K87" s="74"/>
    </row>
    <row r="88" spans="1:11" ht="14.45">
      <c r="A88" s="22"/>
      <c r="B88" s="34"/>
      <c r="C88" s="22"/>
      <c r="D88" s="22"/>
      <c r="E88" s="22"/>
      <c r="F88" s="23"/>
      <c r="G88" s="22"/>
      <c r="H88" s="22"/>
      <c r="I88" s="23"/>
      <c r="J88" s="74"/>
      <c r="K88" s="74"/>
    </row>
    <row r="89" spans="1:11" ht="14.45">
      <c r="A89" s="22"/>
      <c r="B89" s="34"/>
      <c r="C89" s="22"/>
      <c r="D89" s="22"/>
      <c r="E89" s="22"/>
      <c r="F89" s="23"/>
      <c r="G89" s="22"/>
      <c r="H89" s="22"/>
      <c r="I89" s="23"/>
      <c r="J89" s="74"/>
      <c r="K89" s="74"/>
    </row>
    <row r="90" spans="1:11" ht="14.45">
      <c r="A90" s="22"/>
      <c r="B90" s="34"/>
      <c r="C90" s="22"/>
      <c r="D90" s="22"/>
      <c r="E90" s="22"/>
      <c r="F90" s="23"/>
      <c r="G90" s="22"/>
      <c r="H90" s="22"/>
      <c r="I90" s="23"/>
      <c r="J90" s="74"/>
      <c r="K90" s="74"/>
    </row>
    <row r="91" spans="1:11" ht="14.45">
      <c r="A91" s="22"/>
      <c r="B91" s="34"/>
      <c r="C91" s="22"/>
      <c r="D91" s="22"/>
      <c r="E91" s="22"/>
      <c r="F91" s="23"/>
      <c r="G91" s="22"/>
      <c r="H91" s="22"/>
      <c r="I91" s="23"/>
      <c r="J91" s="74"/>
      <c r="K91" s="74"/>
    </row>
    <row r="92" spans="1:11" ht="14.45">
      <c r="A92" s="22"/>
      <c r="B92" s="34"/>
      <c r="C92" s="22"/>
      <c r="D92" s="22"/>
      <c r="E92" s="22"/>
      <c r="F92" s="23"/>
      <c r="G92" s="22"/>
      <c r="H92" s="22"/>
      <c r="I92" s="23"/>
      <c r="J92" s="74"/>
      <c r="K92" s="74"/>
    </row>
    <row r="93" spans="1:11" ht="14.45">
      <c r="A93" s="22"/>
      <c r="B93" s="34"/>
      <c r="C93" s="22"/>
      <c r="D93" s="22"/>
      <c r="E93" s="22"/>
      <c r="F93" s="23"/>
      <c r="G93" s="22"/>
      <c r="H93" s="22"/>
      <c r="I93" s="23"/>
      <c r="J93" s="74"/>
      <c r="K93" s="74"/>
    </row>
    <row r="94" spans="1:11" ht="14.45">
      <c r="A94" s="22"/>
      <c r="B94" s="34"/>
      <c r="C94" s="22"/>
      <c r="D94" s="22"/>
      <c r="E94" s="22"/>
      <c r="F94" s="23"/>
      <c r="G94" s="22"/>
      <c r="H94" s="22"/>
      <c r="I94" s="23"/>
      <c r="J94" s="74"/>
      <c r="K94" s="74"/>
    </row>
    <row r="95" spans="1:11" ht="14.45">
      <c r="A95" s="22"/>
      <c r="B95" s="34"/>
      <c r="C95" s="22"/>
      <c r="D95" s="22"/>
      <c r="E95" s="22"/>
      <c r="F95" s="23"/>
      <c r="G95" s="22"/>
      <c r="H95" s="22"/>
      <c r="I95" s="23"/>
      <c r="J95" s="74"/>
      <c r="K95" s="74"/>
    </row>
    <row r="96" spans="1:11" ht="14.45">
      <c r="A96" s="22"/>
      <c r="B96" s="34"/>
      <c r="C96" s="22"/>
      <c r="D96" s="22"/>
      <c r="E96" s="22"/>
      <c r="F96" s="23"/>
      <c r="G96" s="22"/>
      <c r="H96" s="22"/>
      <c r="I96" s="23"/>
      <c r="J96" s="74"/>
      <c r="K96" s="74"/>
    </row>
    <row r="97" spans="1:11" ht="14.45">
      <c r="A97" s="22"/>
      <c r="B97" s="34"/>
      <c r="C97" s="22"/>
      <c r="D97" s="22"/>
      <c r="E97" s="22"/>
      <c r="F97" s="23"/>
      <c r="G97" s="22"/>
      <c r="H97" s="22"/>
      <c r="I97" s="23"/>
      <c r="J97" s="74"/>
      <c r="K97" s="74"/>
    </row>
    <row r="98" spans="1:11" ht="14.45">
      <c r="A98" s="22"/>
      <c r="B98" s="34"/>
      <c r="C98" s="22"/>
      <c r="D98" s="22"/>
      <c r="E98" s="22"/>
      <c r="F98" s="23"/>
      <c r="G98" s="22"/>
      <c r="H98" s="22"/>
      <c r="I98" s="23"/>
      <c r="J98" s="74"/>
      <c r="K98" s="74"/>
    </row>
    <row r="99" spans="1:11" ht="14.45">
      <c r="A99" s="22"/>
      <c r="B99" s="34"/>
      <c r="C99" s="22"/>
      <c r="D99" s="22"/>
      <c r="E99" s="22"/>
      <c r="F99" s="23"/>
      <c r="G99" s="22"/>
      <c r="H99" s="22"/>
      <c r="I99" s="23"/>
      <c r="J99" s="74"/>
      <c r="K99" s="74"/>
    </row>
    <row r="100" spans="1:11" ht="14.45">
      <c r="A100" s="22"/>
      <c r="B100" s="34"/>
      <c r="C100" s="22"/>
      <c r="D100" s="22"/>
      <c r="E100" s="22"/>
      <c r="F100" s="23"/>
      <c r="G100" s="22"/>
      <c r="H100" s="22"/>
      <c r="I100" s="23"/>
      <c r="J100" s="74"/>
      <c r="K100" s="74"/>
    </row>
    <row r="101" spans="1:11" ht="14.45">
      <c r="A101" s="22"/>
      <c r="B101" s="34"/>
      <c r="C101" s="22"/>
      <c r="D101" s="22"/>
      <c r="E101" s="22"/>
      <c r="F101" s="23"/>
      <c r="G101" s="22"/>
      <c r="H101" s="22"/>
      <c r="I101" s="23"/>
      <c r="J101" s="74"/>
      <c r="K101" s="74"/>
    </row>
    <row r="102" spans="1:11" ht="14.45">
      <c r="A102" s="22"/>
      <c r="B102" s="34"/>
      <c r="C102" s="22"/>
      <c r="D102" s="22"/>
      <c r="E102" s="22"/>
      <c r="F102" s="23"/>
      <c r="G102" s="22"/>
      <c r="H102" s="22"/>
      <c r="I102" s="23"/>
      <c r="J102" s="74"/>
      <c r="K102" s="74"/>
    </row>
    <row r="103" spans="1:11" ht="14.45">
      <c r="A103" s="22"/>
      <c r="B103" s="34"/>
      <c r="C103" s="22"/>
      <c r="D103" s="22"/>
      <c r="E103" s="22"/>
      <c r="F103" s="23"/>
      <c r="G103" s="22"/>
      <c r="H103" s="22"/>
      <c r="I103" s="23"/>
      <c r="J103" s="74"/>
      <c r="K103" s="74"/>
    </row>
    <row r="104" spans="1:11" ht="14.45">
      <c r="A104" s="22"/>
      <c r="B104" s="34"/>
      <c r="C104" s="22"/>
      <c r="D104" s="22"/>
      <c r="E104" s="22"/>
      <c r="F104" s="23"/>
      <c r="G104" s="22"/>
      <c r="H104" s="22"/>
      <c r="I104" s="23"/>
      <c r="J104" s="74"/>
      <c r="K104" s="74"/>
    </row>
    <row r="105" spans="1:11" ht="14.45">
      <c r="A105" s="22"/>
      <c r="B105" s="34"/>
      <c r="C105" s="22"/>
      <c r="D105" s="22"/>
      <c r="E105" s="22"/>
      <c r="F105" s="23"/>
      <c r="G105" s="22"/>
      <c r="H105" s="22"/>
      <c r="I105" s="23"/>
      <c r="J105" s="74"/>
      <c r="K105" s="74"/>
    </row>
    <row r="106" spans="1:11" ht="14.45">
      <c r="A106" s="22"/>
      <c r="B106" s="34"/>
      <c r="C106" s="22"/>
      <c r="D106" s="22"/>
      <c r="E106" s="22"/>
      <c r="F106" s="23"/>
      <c r="G106" s="22"/>
      <c r="H106" s="22"/>
      <c r="I106" s="23"/>
      <c r="J106" s="74"/>
      <c r="K106" s="74"/>
    </row>
    <row r="107" spans="1:11" ht="14.45">
      <c r="A107" s="22"/>
      <c r="B107" s="34"/>
      <c r="C107" s="22"/>
      <c r="D107" s="22"/>
      <c r="E107" s="22"/>
      <c r="F107" s="23"/>
      <c r="G107" s="22"/>
      <c r="H107" s="22"/>
      <c r="I107" s="23"/>
      <c r="J107" s="74"/>
      <c r="K107" s="74"/>
    </row>
    <row r="108" spans="1:11" ht="14.45">
      <c r="A108" s="22"/>
      <c r="B108" s="34"/>
      <c r="C108" s="22"/>
      <c r="D108" s="22"/>
      <c r="E108" s="22"/>
      <c r="F108" s="23"/>
      <c r="G108" s="22"/>
      <c r="H108" s="22"/>
      <c r="I108" s="23"/>
      <c r="J108" s="74"/>
      <c r="K108" s="74"/>
    </row>
    <row r="109" spans="1:11" ht="14.45">
      <c r="A109" s="22"/>
      <c r="B109" s="34"/>
      <c r="C109" s="22"/>
      <c r="D109" s="22"/>
      <c r="E109" s="22"/>
      <c r="F109" s="23"/>
      <c r="G109" s="22"/>
      <c r="H109" s="22"/>
      <c r="I109" s="23"/>
      <c r="J109" s="74"/>
      <c r="K109" s="74"/>
    </row>
    <row r="110" spans="1:11" ht="14.45">
      <c r="A110" s="22"/>
      <c r="B110" s="34"/>
      <c r="C110" s="22"/>
      <c r="D110" s="22"/>
      <c r="E110" s="22"/>
      <c r="F110" s="23"/>
      <c r="G110" s="22"/>
      <c r="H110" s="22"/>
      <c r="I110" s="23"/>
      <c r="J110" s="74"/>
      <c r="K110" s="74"/>
    </row>
    <row r="111" spans="1:11" ht="14.45">
      <c r="A111" s="22"/>
      <c r="B111" s="34"/>
      <c r="C111" s="22"/>
      <c r="D111" s="22"/>
      <c r="E111" s="22"/>
      <c r="F111" s="23"/>
      <c r="G111" s="22"/>
      <c r="H111" s="22"/>
      <c r="I111" s="23"/>
      <c r="J111" s="74"/>
      <c r="K111" s="74"/>
    </row>
    <row r="112" spans="1:11" ht="14.45">
      <c r="A112" s="22"/>
      <c r="B112" s="34"/>
      <c r="C112" s="22"/>
      <c r="D112" s="22"/>
      <c r="E112" s="22"/>
      <c r="F112" s="23"/>
      <c r="G112" s="22"/>
      <c r="H112" s="22"/>
      <c r="I112" s="23"/>
      <c r="J112" s="74"/>
      <c r="K112" s="74"/>
    </row>
    <row r="113" spans="1:11" ht="14.45">
      <c r="A113" s="22"/>
      <c r="B113" s="34"/>
      <c r="C113" s="22"/>
      <c r="D113" s="22"/>
      <c r="E113" s="22"/>
      <c r="F113" s="23"/>
      <c r="G113" s="22"/>
      <c r="H113" s="22"/>
      <c r="I113" s="23"/>
      <c r="J113" s="74"/>
      <c r="K113" s="74"/>
    </row>
    <row r="114" spans="1:11" ht="14.45">
      <c r="A114" s="22"/>
      <c r="B114" s="34"/>
      <c r="C114" s="22"/>
      <c r="D114" s="22"/>
      <c r="E114" s="22"/>
      <c r="F114" s="23"/>
      <c r="G114" s="22"/>
      <c r="H114" s="22"/>
      <c r="I114" s="23"/>
      <c r="J114" s="74"/>
      <c r="K114" s="74"/>
    </row>
    <row r="115" spans="1:11" ht="14.45">
      <c r="A115" s="22"/>
      <c r="B115" s="34"/>
      <c r="C115" s="22"/>
      <c r="D115" s="22"/>
      <c r="E115" s="22"/>
      <c r="F115" s="23"/>
      <c r="G115" s="22"/>
      <c r="H115" s="22"/>
      <c r="I115" s="23"/>
      <c r="J115" s="74"/>
      <c r="K115" s="74"/>
    </row>
    <row r="116" spans="1:11" ht="14.45">
      <c r="A116" s="22"/>
      <c r="B116" s="34"/>
      <c r="C116" s="22"/>
      <c r="D116" s="22"/>
      <c r="E116" s="22"/>
      <c r="F116" s="23"/>
      <c r="G116" s="22"/>
      <c r="H116" s="22"/>
      <c r="I116" s="23"/>
      <c r="J116" s="74"/>
      <c r="K116" s="74"/>
    </row>
    <row r="117" spans="1:11" ht="14.45">
      <c r="A117" s="22"/>
      <c r="B117" s="34"/>
      <c r="C117" s="22"/>
      <c r="D117" s="22"/>
      <c r="E117" s="22"/>
      <c r="F117" s="23"/>
      <c r="G117" s="22"/>
      <c r="H117" s="22"/>
      <c r="I117" s="23"/>
      <c r="J117" s="74"/>
      <c r="K117" s="74"/>
    </row>
    <row r="118" spans="1:11" ht="14.45">
      <c r="A118" s="22"/>
      <c r="B118" s="34"/>
      <c r="C118" s="22"/>
      <c r="D118" s="22"/>
      <c r="E118" s="22"/>
      <c r="F118" s="23"/>
      <c r="G118" s="22"/>
      <c r="H118" s="22"/>
      <c r="I118" s="23"/>
      <c r="J118" s="74"/>
      <c r="K118" s="74"/>
    </row>
    <row r="119" spans="1:11" ht="14.45">
      <c r="A119" s="22"/>
      <c r="B119" s="34"/>
      <c r="C119" s="22"/>
      <c r="D119" s="22"/>
      <c r="E119" s="22"/>
      <c r="F119" s="23"/>
      <c r="G119" s="22"/>
      <c r="H119" s="22"/>
      <c r="I119" s="23"/>
      <c r="J119" s="74"/>
      <c r="K119" s="74"/>
    </row>
    <row r="120" spans="1:11" ht="14.45">
      <c r="A120" s="22"/>
      <c r="B120" s="34"/>
      <c r="C120" s="22"/>
      <c r="D120" s="22"/>
      <c r="E120" s="22"/>
      <c r="F120" s="23"/>
      <c r="G120" s="22"/>
      <c r="H120" s="22"/>
      <c r="I120" s="23"/>
      <c r="J120" s="74"/>
      <c r="K120" s="74"/>
    </row>
    <row r="121" spans="1:11" ht="14.45">
      <c r="A121" s="22"/>
      <c r="B121" s="34"/>
      <c r="C121" s="22"/>
      <c r="D121" s="22"/>
      <c r="E121" s="22"/>
      <c r="F121" s="23"/>
      <c r="G121" s="22"/>
      <c r="H121" s="22"/>
      <c r="I121" s="23"/>
      <c r="J121" s="74"/>
      <c r="K121" s="74"/>
    </row>
    <row r="122" spans="1:11" ht="14.45">
      <c r="A122" s="22"/>
      <c r="B122" s="34"/>
      <c r="C122" s="22"/>
      <c r="D122" s="22"/>
      <c r="E122" s="22"/>
      <c r="F122" s="23"/>
      <c r="G122" s="22"/>
      <c r="H122" s="22"/>
      <c r="I122" s="23"/>
      <c r="J122" s="74"/>
      <c r="K122" s="74"/>
    </row>
    <row r="123" spans="1:11" ht="14.45">
      <c r="A123" s="22"/>
      <c r="B123" s="34"/>
      <c r="C123" s="22"/>
      <c r="D123" s="22"/>
      <c r="E123" s="22"/>
      <c r="F123" s="23"/>
      <c r="G123" s="22"/>
      <c r="H123" s="22"/>
      <c r="I123" s="23"/>
      <c r="J123" s="74"/>
      <c r="K123" s="74"/>
    </row>
    <row r="124" spans="1:11" ht="14.45">
      <c r="A124" s="22"/>
      <c r="B124" s="34"/>
      <c r="C124" s="22"/>
      <c r="D124" s="22"/>
      <c r="E124" s="22"/>
      <c r="F124" s="23"/>
      <c r="G124" s="22"/>
      <c r="H124" s="22"/>
      <c r="I124" s="23"/>
      <c r="J124" s="74"/>
      <c r="K124" s="74"/>
    </row>
    <row r="125" spans="1:11" ht="14.45">
      <c r="A125" s="22"/>
      <c r="B125" s="34"/>
      <c r="C125" s="22"/>
      <c r="D125" s="22"/>
      <c r="E125" s="22"/>
      <c r="F125" s="23"/>
      <c r="G125" s="22"/>
      <c r="H125" s="22"/>
      <c r="I125" s="23"/>
      <c r="J125" s="74"/>
      <c r="K125" s="74"/>
    </row>
    <row r="126" spans="1:11" ht="14.45">
      <c r="A126" s="22"/>
      <c r="B126" s="34"/>
      <c r="C126" s="22"/>
      <c r="D126" s="22"/>
      <c r="E126" s="22"/>
      <c r="F126" s="23"/>
      <c r="G126" s="22"/>
      <c r="H126" s="22"/>
      <c r="I126" s="23"/>
      <c r="J126" s="74"/>
      <c r="K126" s="74"/>
    </row>
    <row r="127" spans="1:11" ht="14.45">
      <c r="A127" s="22"/>
      <c r="B127" s="34"/>
      <c r="C127" s="22"/>
      <c r="D127" s="22"/>
      <c r="E127" s="22"/>
      <c r="F127" s="23"/>
      <c r="G127" s="22"/>
      <c r="H127" s="22"/>
      <c r="I127" s="23"/>
      <c r="J127" s="74"/>
      <c r="K127" s="74"/>
    </row>
    <row r="128" spans="1:11" ht="14.45">
      <c r="A128" s="22"/>
      <c r="B128" s="34"/>
      <c r="C128" s="22"/>
      <c r="D128" s="22"/>
      <c r="E128" s="22"/>
      <c r="F128" s="23"/>
      <c r="G128" s="22"/>
      <c r="H128" s="22"/>
      <c r="I128" s="23"/>
      <c r="J128" s="74"/>
      <c r="K128" s="74"/>
    </row>
    <row r="129" spans="1:11" ht="14.45">
      <c r="A129" s="22"/>
      <c r="B129" s="34"/>
      <c r="C129" s="22"/>
      <c r="D129" s="22"/>
      <c r="E129" s="22"/>
      <c r="F129" s="23"/>
      <c r="G129" s="22"/>
      <c r="H129" s="22"/>
      <c r="I129" s="23"/>
      <c r="J129" s="74"/>
      <c r="K129" s="74"/>
    </row>
    <row r="130" spans="1:11" ht="14.45">
      <c r="A130" s="22"/>
      <c r="B130" s="34"/>
      <c r="C130" s="22"/>
      <c r="D130" s="22"/>
      <c r="E130" s="22"/>
      <c r="F130" s="23"/>
      <c r="G130" s="22"/>
      <c r="H130" s="22"/>
      <c r="I130" s="23"/>
      <c r="J130" s="74"/>
      <c r="K130" s="74"/>
    </row>
    <row r="131" spans="1:11" ht="14.45">
      <c r="A131" s="22"/>
      <c r="B131" s="34"/>
      <c r="C131" s="22"/>
      <c r="D131" s="22"/>
      <c r="E131" s="22"/>
      <c r="F131" s="23"/>
      <c r="G131" s="22"/>
      <c r="H131" s="22"/>
      <c r="I131" s="23"/>
      <c r="J131" s="74"/>
      <c r="K131" s="74"/>
    </row>
    <row r="132" spans="1:11" ht="14.45">
      <c r="A132" s="22"/>
      <c r="B132" s="34"/>
      <c r="C132" s="22"/>
      <c r="D132" s="22"/>
      <c r="E132" s="22"/>
      <c r="F132" s="23"/>
      <c r="G132" s="22"/>
      <c r="H132" s="22"/>
      <c r="I132" s="23"/>
      <c r="J132" s="74"/>
      <c r="K132" s="74"/>
    </row>
    <row r="133" spans="1:11" ht="14.45">
      <c r="A133" s="22"/>
      <c r="B133" s="34"/>
      <c r="C133" s="22"/>
      <c r="D133" s="22"/>
      <c r="E133" s="22"/>
      <c r="F133" s="23"/>
      <c r="G133" s="22"/>
      <c r="H133" s="22"/>
      <c r="I133" s="23"/>
      <c r="J133" s="74"/>
      <c r="K133" s="74"/>
    </row>
    <row r="134" spans="1:11" ht="14.45">
      <c r="A134" s="22"/>
      <c r="B134" s="34"/>
      <c r="C134" s="22"/>
      <c r="D134" s="22"/>
      <c r="E134" s="22"/>
      <c r="F134" s="23"/>
      <c r="G134" s="22"/>
      <c r="H134" s="22"/>
      <c r="I134" s="23"/>
      <c r="J134" s="74"/>
      <c r="K134" s="74"/>
    </row>
    <row r="135" spans="1:11" ht="14.45">
      <c r="A135" s="22"/>
      <c r="B135" s="34"/>
      <c r="C135" s="22"/>
      <c r="D135" s="22"/>
      <c r="E135" s="22"/>
      <c r="F135" s="23"/>
      <c r="G135" s="22"/>
      <c r="H135" s="22"/>
      <c r="I135" s="23"/>
      <c r="J135" s="74"/>
      <c r="K135" s="74"/>
    </row>
    <row r="136" spans="1:11" ht="14.45">
      <c r="A136" s="22"/>
      <c r="B136" s="34"/>
      <c r="C136" s="22"/>
      <c r="D136" s="22"/>
      <c r="E136" s="22"/>
      <c r="F136" s="23"/>
      <c r="G136" s="22"/>
      <c r="H136" s="22"/>
      <c r="I136" s="23"/>
      <c r="J136" s="74"/>
      <c r="K136" s="74"/>
    </row>
    <row r="137" spans="1:11" ht="14.45">
      <c r="A137" s="22"/>
      <c r="B137" s="34"/>
      <c r="C137" s="22"/>
      <c r="D137" s="22"/>
      <c r="E137" s="22"/>
      <c r="F137" s="23"/>
      <c r="G137" s="22"/>
      <c r="H137" s="22"/>
      <c r="I137" s="23"/>
      <c r="J137" s="74"/>
      <c r="K137" s="74"/>
    </row>
    <row r="138" spans="1:11" ht="14.45">
      <c r="A138" s="22"/>
      <c r="B138" s="34"/>
      <c r="C138" s="22"/>
      <c r="D138" s="22"/>
      <c r="E138" s="22"/>
      <c r="F138" s="23"/>
      <c r="G138" s="22"/>
      <c r="H138" s="22"/>
      <c r="I138" s="23"/>
      <c r="J138" s="74"/>
      <c r="K138" s="74"/>
    </row>
    <row r="139" spans="1:11" ht="14.45">
      <c r="A139" s="22"/>
      <c r="B139" s="34"/>
      <c r="C139" s="22"/>
      <c r="D139" s="22"/>
      <c r="E139" s="22"/>
      <c r="F139" s="23"/>
      <c r="G139" s="22"/>
      <c r="H139" s="22"/>
      <c r="I139" s="23"/>
      <c r="J139" s="74"/>
      <c r="K139" s="74"/>
    </row>
    <row r="140" spans="1:11" ht="14.45">
      <c r="A140" s="22"/>
      <c r="B140" s="34"/>
      <c r="C140" s="22"/>
      <c r="D140" s="22"/>
      <c r="E140" s="22"/>
      <c r="F140" s="23"/>
      <c r="G140" s="22"/>
      <c r="H140" s="22"/>
      <c r="I140" s="23"/>
      <c r="J140" s="74"/>
      <c r="K140" s="74"/>
    </row>
    <row r="141" spans="1:11" ht="14.45">
      <c r="A141" s="22"/>
      <c r="B141" s="34"/>
      <c r="C141" s="22"/>
      <c r="D141" s="22"/>
      <c r="E141" s="22"/>
      <c r="F141" s="23"/>
      <c r="G141" s="22"/>
      <c r="H141" s="22"/>
      <c r="I141" s="23"/>
      <c r="J141" s="74"/>
      <c r="K141" s="74"/>
    </row>
    <row r="142" spans="1:11" ht="14.45">
      <c r="A142" s="22"/>
      <c r="B142" s="34"/>
      <c r="C142" s="22"/>
      <c r="D142" s="22"/>
      <c r="E142" s="22"/>
      <c r="F142" s="23"/>
      <c r="G142" s="22"/>
      <c r="H142" s="22"/>
      <c r="I142" s="23"/>
      <c r="J142" s="74"/>
      <c r="K142" s="74"/>
    </row>
    <row r="143" spans="1:11" ht="14.45">
      <c r="A143" s="22"/>
      <c r="B143" s="34"/>
      <c r="C143" s="22"/>
      <c r="D143" s="22"/>
      <c r="E143" s="22"/>
      <c r="F143" s="23"/>
      <c r="G143" s="22"/>
      <c r="H143" s="22"/>
      <c r="I143" s="23"/>
      <c r="J143" s="74"/>
      <c r="K143" s="74"/>
    </row>
    <row r="144" spans="1:11" ht="14.45">
      <c r="A144" s="22"/>
      <c r="B144" s="34"/>
      <c r="C144" s="22"/>
      <c r="D144" s="22"/>
      <c r="E144" s="22"/>
      <c r="F144" s="23"/>
      <c r="G144" s="22"/>
      <c r="H144" s="22"/>
      <c r="I144" s="23"/>
      <c r="J144" s="74"/>
      <c r="K144" s="74"/>
    </row>
    <row r="145" spans="1:11" ht="14.45">
      <c r="A145" s="22"/>
      <c r="B145" s="34"/>
      <c r="C145" s="22"/>
      <c r="D145" s="22"/>
      <c r="E145" s="22"/>
      <c r="F145" s="23"/>
      <c r="G145" s="22"/>
      <c r="H145" s="22"/>
      <c r="I145" s="23"/>
      <c r="J145" s="74"/>
      <c r="K145" s="74"/>
    </row>
    <row r="146" spans="1:11" ht="14.45">
      <c r="A146" s="22"/>
      <c r="B146" s="34"/>
      <c r="C146" s="22"/>
      <c r="D146" s="22"/>
      <c r="E146" s="22"/>
      <c r="F146" s="23"/>
      <c r="G146" s="22"/>
      <c r="H146" s="22"/>
      <c r="I146" s="23"/>
      <c r="J146" s="74"/>
      <c r="K146" s="74"/>
    </row>
    <row r="147" spans="1:11" ht="14.45">
      <c r="A147" s="22"/>
      <c r="B147" s="34"/>
      <c r="C147" s="22"/>
      <c r="D147" s="22"/>
      <c r="E147" s="22"/>
      <c r="F147" s="23"/>
      <c r="G147" s="22"/>
      <c r="H147" s="22"/>
      <c r="I147" s="23"/>
      <c r="J147" s="74"/>
      <c r="K147" s="74"/>
    </row>
    <row r="148" spans="1:11" ht="14.45">
      <c r="A148" s="22"/>
      <c r="B148" s="34"/>
      <c r="C148" s="22"/>
      <c r="D148" s="22"/>
      <c r="E148" s="22"/>
      <c r="F148" s="23"/>
      <c r="G148" s="22"/>
      <c r="H148" s="22"/>
      <c r="I148" s="23"/>
      <c r="J148" s="74"/>
      <c r="K148" s="74"/>
    </row>
    <row r="149" spans="1:11" ht="14.45">
      <c r="A149" s="22"/>
      <c r="B149" s="34"/>
      <c r="C149" s="22"/>
      <c r="D149" s="22"/>
      <c r="E149" s="22"/>
      <c r="F149" s="23"/>
      <c r="G149" s="22"/>
      <c r="H149" s="22"/>
      <c r="I149" s="23"/>
      <c r="J149" s="74"/>
      <c r="K149" s="74"/>
    </row>
    <row r="150" spans="1:11" ht="14.45">
      <c r="A150" s="22"/>
      <c r="B150" s="34"/>
      <c r="C150" s="22"/>
      <c r="D150" s="22"/>
      <c r="E150" s="22"/>
      <c r="F150" s="23"/>
      <c r="G150" s="22"/>
      <c r="H150" s="22"/>
      <c r="I150" s="23"/>
      <c r="J150" s="74"/>
      <c r="K150" s="74"/>
    </row>
    <row r="151" spans="1:11" ht="14.45">
      <c r="A151" s="22"/>
      <c r="B151" s="34"/>
      <c r="C151" s="22"/>
      <c r="D151" s="22"/>
      <c r="E151" s="22"/>
      <c r="F151" s="23"/>
      <c r="G151" s="22"/>
      <c r="H151" s="22"/>
      <c r="I151" s="23"/>
      <c r="J151" s="74"/>
      <c r="K151" s="74"/>
    </row>
    <row r="152" spans="1:11" ht="14.45">
      <c r="A152" s="22"/>
      <c r="B152" s="34"/>
      <c r="C152" s="22"/>
      <c r="D152" s="22"/>
      <c r="E152" s="22"/>
      <c r="F152" s="23"/>
      <c r="G152" s="22"/>
      <c r="H152" s="22"/>
      <c r="I152" s="23"/>
      <c r="J152" s="74"/>
      <c r="K152" s="74"/>
    </row>
    <row r="153" spans="1:11" ht="14.45">
      <c r="A153" s="22"/>
      <c r="B153" s="34"/>
      <c r="C153" s="22"/>
      <c r="D153" s="22"/>
      <c r="E153" s="22"/>
      <c r="F153" s="23"/>
      <c r="G153" s="22"/>
      <c r="H153" s="22"/>
      <c r="I153" s="23"/>
      <c r="J153" s="74"/>
      <c r="K153" s="74"/>
    </row>
    <row r="154" spans="1:11" ht="14.45">
      <c r="A154" s="22"/>
      <c r="B154" s="34"/>
      <c r="C154" s="22"/>
      <c r="D154" s="22"/>
      <c r="E154" s="22"/>
      <c r="F154" s="23"/>
      <c r="G154" s="22"/>
      <c r="H154" s="22"/>
      <c r="I154" s="23"/>
      <c r="J154" s="74"/>
      <c r="K154" s="74"/>
    </row>
    <row r="155" spans="1:11" ht="14.45">
      <c r="A155" s="22"/>
      <c r="B155" s="34"/>
      <c r="C155" s="22"/>
      <c r="D155" s="22"/>
      <c r="E155" s="22"/>
      <c r="F155" s="23"/>
      <c r="G155" s="22"/>
      <c r="H155" s="22"/>
      <c r="I155" s="23"/>
      <c r="J155" s="74"/>
      <c r="K155" s="74"/>
    </row>
    <row r="156" spans="1:11" ht="14.45">
      <c r="A156" s="22"/>
      <c r="B156" s="34"/>
      <c r="C156" s="22"/>
      <c r="D156" s="22"/>
      <c r="E156" s="22"/>
      <c r="F156" s="23"/>
      <c r="G156" s="22"/>
      <c r="H156" s="22"/>
      <c r="I156" s="23"/>
      <c r="J156" s="74"/>
      <c r="K156" s="74"/>
    </row>
    <row r="157" spans="1:11" ht="14.45">
      <c r="A157" s="22"/>
      <c r="B157" s="34"/>
      <c r="C157" s="22"/>
      <c r="D157" s="22"/>
      <c r="E157" s="22"/>
      <c r="F157" s="23"/>
      <c r="G157" s="22"/>
      <c r="H157" s="22"/>
      <c r="I157" s="23"/>
      <c r="J157" s="74"/>
      <c r="K157" s="74"/>
    </row>
    <row r="158" spans="1:11" ht="14.45">
      <c r="A158" s="22"/>
      <c r="B158" s="34"/>
      <c r="C158" s="22"/>
      <c r="D158" s="22"/>
      <c r="E158" s="22"/>
      <c r="F158" s="23"/>
      <c r="G158" s="22"/>
      <c r="H158" s="22"/>
      <c r="I158" s="23"/>
      <c r="J158" s="74"/>
      <c r="K158" s="74"/>
    </row>
    <row r="159" spans="1:11" ht="14.45">
      <c r="A159" s="22"/>
      <c r="B159" s="34"/>
      <c r="C159" s="22"/>
      <c r="D159" s="22"/>
      <c r="E159" s="22"/>
      <c r="F159" s="23"/>
      <c r="G159" s="22"/>
      <c r="H159" s="22"/>
      <c r="I159" s="23"/>
      <c r="J159" s="74"/>
      <c r="K159" s="74"/>
    </row>
    <row r="160" spans="1:11" ht="14.45">
      <c r="A160" s="22"/>
      <c r="B160" s="34"/>
      <c r="C160" s="22"/>
      <c r="D160" s="22"/>
      <c r="E160" s="22"/>
      <c r="F160" s="23"/>
      <c r="G160" s="22"/>
      <c r="H160" s="22"/>
      <c r="I160" s="23"/>
      <c r="J160" s="74"/>
      <c r="K160" s="74"/>
    </row>
    <row r="161" spans="1:11" ht="14.45">
      <c r="A161" s="22"/>
      <c r="B161" s="34"/>
      <c r="C161" s="22"/>
      <c r="D161" s="22"/>
      <c r="E161" s="22"/>
      <c r="F161" s="23"/>
      <c r="G161" s="22"/>
      <c r="H161" s="22"/>
      <c r="I161" s="23"/>
      <c r="J161" s="74"/>
      <c r="K161" s="74"/>
    </row>
    <row r="162" spans="1:11" ht="14.45">
      <c r="A162" s="22"/>
      <c r="B162" s="34"/>
      <c r="C162" s="22"/>
      <c r="D162" s="22"/>
      <c r="E162" s="22"/>
      <c r="F162" s="23"/>
      <c r="G162" s="22"/>
      <c r="H162" s="22"/>
      <c r="I162" s="23"/>
      <c r="J162" s="74"/>
      <c r="K162" s="74"/>
    </row>
    <row r="163" spans="1:11" ht="14.45">
      <c r="A163" s="22"/>
      <c r="B163" s="34"/>
      <c r="C163" s="22"/>
      <c r="D163" s="22"/>
      <c r="E163" s="22"/>
      <c r="F163" s="23"/>
      <c r="G163" s="22"/>
      <c r="H163" s="22"/>
      <c r="I163" s="23"/>
      <c r="J163" s="74"/>
      <c r="K163" s="74"/>
    </row>
    <row r="164" spans="1:11" ht="14.45">
      <c r="A164" s="22"/>
      <c r="B164" s="34"/>
      <c r="C164" s="22"/>
      <c r="D164" s="22"/>
      <c r="E164" s="22"/>
      <c r="F164" s="23"/>
      <c r="G164" s="22"/>
      <c r="H164" s="22"/>
      <c r="I164" s="23"/>
      <c r="J164" s="74"/>
      <c r="K164" s="74"/>
    </row>
    <row r="165" spans="1:11" ht="14.45">
      <c r="A165" s="22"/>
      <c r="B165" s="34"/>
      <c r="C165" s="22"/>
      <c r="D165" s="22"/>
      <c r="E165" s="22"/>
      <c r="F165" s="23"/>
      <c r="G165" s="22"/>
      <c r="H165" s="22"/>
      <c r="I165" s="23"/>
      <c r="J165" s="74"/>
      <c r="K165" s="74"/>
    </row>
    <row r="166" spans="1:11" ht="14.45">
      <c r="A166" s="22"/>
      <c r="B166" s="34"/>
      <c r="C166" s="22"/>
      <c r="D166" s="22"/>
      <c r="E166" s="22"/>
      <c r="F166" s="23"/>
      <c r="G166" s="22"/>
      <c r="H166" s="22"/>
      <c r="I166" s="23"/>
      <c r="J166" s="74"/>
      <c r="K166" s="74"/>
    </row>
    <row r="167" spans="1:11" ht="14.45">
      <c r="A167" s="22"/>
      <c r="B167" s="34"/>
      <c r="C167" s="22"/>
      <c r="D167" s="22"/>
      <c r="E167" s="22"/>
      <c r="F167" s="23"/>
      <c r="G167" s="22"/>
      <c r="H167" s="22"/>
      <c r="I167" s="23"/>
      <c r="J167" s="74"/>
      <c r="K167" s="74"/>
    </row>
    <row r="168" spans="1:11" ht="14.45">
      <c r="A168" s="22"/>
      <c r="B168" s="34"/>
      <c r="C168" s="22"/>
      <c r="D168" s="22"/>
      <c r="E168" s="22"/>
      <c r="F168" s="23"/>
      <c r="G168" s="22"/>
      <c r="H168" s="22"/>
      <c r="I168" s="23"/>
      <c r="J168" s="74"/>
      <c r="K168" s="74"/>
    </row>
    <row r="169" spans="1:11" ht="14.45">
      <c r="A169" s="22"/>
      <c r="B169" s="34"/>
      <c r="C169" s="22"/>
      <c r="D169" s="22"/>
      <c r="E169" s="22"/>
      <c r="F169" s="23"/>
      <c r="G169" s="22"/>
      <c r="H169" s="22"/>
      <c r="I169" s="23"/>
      <c r="J169" s="74"/>
      <c r="K169" s="74"/>
    </row>
    <row r="170" spans="1:11" ht="14.45">
      <c r="A170" s="22"/>
      <c r="B170" s="34"/>
      <c r="C170" s="22"/>
      <c r="D170" s="22"/>
      <c r="E170" s="22"/>
      <c r="F170" s="23"/>
      <c r="G170" s="22"/>
      <c r="H170" s="22"/>
      <c r="I170" s="23"/>
      <c r="J170" s="74"/>
      <c r="K170" s="74"/>
    </row>
    <row r="171" spans="1:11" ht="14.45">
      <c r="A171" s="22"/>
      <c r="B171" s="34"/>
      <c r="C171" s="22"/>
      <c r="D171" s="22"/>
      <c r="E171" s="22"/>
      <c r="F171" s="23"/>
      <c r="G171" s="22"/>
      <c r="H171" s="22"/>
      <c r="I171" s="23"/>
      <c r="J171" s="74"/>
      <c r="K171" s="74"/>
    </row>
    <row r="172" spans="1:11" ht="14.45">
      <c r="A172" s="22"/>
      <c r="B172" s="34"/>
      <c r="C172" s="22"/>
      <c r="D172" s="22"/>
      <c r="E172" s="22"/>
      <c r="F172" s="23"/>
      <c r="G172" s="22"/>
      <c r="H172" s="22"/>
      <c r="I172" s="23"/>
      <c r="J172" s="74"/>
      <c r="K172" s="74"/>
    </row>
    <row r="173" spans="1:11" ht="14.45">
      <c r="A173" s="22"/>
      <c r="B173" s="34"/>
      <c r="C173" s="22"/>
      <c r="D173" s="22"/>
      <c r="E173" s="22"/>
      <c r="F173" s="23"/>
      <c r="G173" s="22"/>
      <c r="H173" s="22"/>
      <c r="I173" s="23"/>
      <c r="J173" s="74"/>
      <c r="K173" s="74"/>
    </row>
    <row r="174" spans="1:11" ht="14.45">
      <c r="A174" s="22"/>
      <c r="B174" s="34"/>
      <c r="C174" s="22"/>
      <c r="D174" s="22"/>
      <c r="E174" s="22"/>
      <c r="F174" s="23"/>
      <c r="G174" s="22"/>
      <c r="H174" s="22"/>
      <c r="I174" s="23"/>
      <c r="J174" s="74"/>
      <c r="K174" s="74"/>
    </row>
    <row r="175" spans="1:11" ht="14.45">
      <c r="A175" s="22"/>
      <c r="B175" s="34"/>
      <c r="C175" s="22"/>
      <c r="D175" s="22"/>
      <c r="E175" s="22"/>
      <c r="F175" s="23"/>
      <c r="G175" s="22"/>
      <c r="H175" s="22"/>
      <c r="I175" s="23"/>
      <c r="J175" s="74"/>
      <c r="K175" s="74"/>
    </row>
    <row r="176" spans="1:11" ht="14.45">
      <c r="A176" s="22"/>
      <c r="B176" s="34"/>
      <c r="C176" s="22"/>
      <c r="D176" s="22"/>
      <c r="E176" s="22"/>
      <c r="F176" s="23"/>
      <c r="G176" s="22"/>
      <c r="H176" s="22"/>
      <c r="I176" s="23"/>
      <c r="J176" s="74"/>
      <c r="K176" s="74"/>
    </row>
    <row r="177" spans="1:11" ht="14.45">
      <c r="A177" s="22"/>
      <c r="B177" s="34"/>
      <c r="C177" s="22"/>
      <c r="D177" s="22"/>
      <c r="E177" s="22"/>
      <c r="F177" s="23"/>
      <c r="G177" s="22"/>
      <c r="H177" s="22"/>
      <c r="I177" s="23"/>
      <c r="J177" s="74"/>
      <c r="K177" s="74"/>
    </row>
    <row r="178" spans="1:11" ht="14.45">
      <c r="A178" s="22"/>
      <c r="B178" s="34"/>
      <c r="C178" s="22"/>
      <c r="D178" s="22"/>
      <c r="E178" s="22"/>
      <c r="F178" s="23"/>
      <c r="G178" s="22"/>
      <c r="H178" s="22"/>
      <c r="I178" s="23"/>
      <c r="J178" s="74"/>
      <c r="K178" s="74"/>
    </row>
    <row r="179" spans="1:11" ht="14.45">
      <c r="A179" s="22"/>
      <c r="B179" s="34"/>
      <c r="C179" s="22"/>
      <c r="D179" s="22"/>
      <c r="E179" s="22"/>
      <c r="F179" s="23"/>
      <c r="G179" s="22"/>
      <c r="H179" s="22"/>
      <c r="I179" s="23"/>
      <c r="J179" s="74"/>
      <c r="K179" s="74"/>
    </row>
    <row r="180" spans="1:11" ht="14.45">
      <c r="A180" s="22"/>
      <c r="B180" s="34"/>
      <c r="C180" s="22"/>
      <c r="D180" s="22"/>
      <c r="E180" s="22"/>
      <c r="F180" s="23"/>
      <c r="G180" s="22"/>
      <c r="H180" s="22"/>
      <c r="I180" s="23"/>
      <c r="J180" s="74"/>
      <c r="K180" s="74"/>
    </row>
    <row r="181" spans="1:11" ht="14.45">
      <c r="A181" s="22"/>
      <c r="B181" s="34"/>
      <c r="C181" s="22"/>
      <c r="D181" s="22"/>
      <c r="E181" s="22"/>
      <c r="F181" s="23"/>
      <c r="G181" s="22"/>
      <c r="H181" s="22"/>
      <c r="I181" s="23"/>
      <c r="J181" s="74"/>
      <c r="K181" s="74"/>
    </row>
    <row r="182" spans="1:11" ht="14.45">
      <c r="A182" s="22"/>
      <c r="B182" s="34"/>
      <c r="C182" s="22"/>
      <c r="D182" s="22"/>
      <c r="E182" s="22"/>
      <c r="F182" s="23"/>
      <c r="G182" s="22"/>
      <c r="H182" s="22"/>
      <c r="I182" s="23"/>
      <c r="J182" s="74"/>
      <c r="K182" s="74"/>
    </row>
    <row r="183" spans="1:11" ht="14.45">
      <c r="A183" s="22"/>
      <c r="B183" s="34"/>
      <c r="C183" s="22"/>
      <c r="D183" s="22"/>
      <c r="E183" s="22"/>
      <c r="F183" s="23"/>
      <c r="G183" s="22"/>
      <c r="H183" s="22"/>
      <c r="I183" s="23"/>
      <c r="J183" s="74"/>
      <c r="K183" s="74"/>
    </row>
    <row r="184" spans="1:11" ht="14.45">
      <c r="A184" s="22"/>
      <c r="B184" s="34"/>
      <c r="C184" s="22"/>
      <c r="D184" s="22"/>
      <c r="E184" s="22"/>
      <c r="F184" s="23"/>
      <c r="G184" s="22"/>
      <c r="H184" s="22"/>
      <c r="I184" s="23"/>
      <c r="J184" s="74"/>
      <c r="K184" s="74"/>
    </row>
    <row r="185" spans="1:11" ht="14.45">
      <c r="A185" s="22"/>
      <c r="B185" s="34"/>
      <c r="C185" s="22"/>
      <c r="D185" s="22"/>
      <c r="E185" s="22"/>
      <c r="F185" s="23"/>
      <c r="G185" s="22"/>
      <c r="H185" s="22"/>
      <c r="I185" s="23"/>
      <c r="J185" s="74"/>
      <c r="K185" s="74"/>
    </row>
    <row r="186" spans="1:11" ht="14.45">
      <c r="A186" s="22"/>
      <c r="B186" s="34"/>
      <c r="C186" s="22"/>
      <c r="D186" s="22"/>
      <c r="E186" s="22"/>
      <c r="F186" s="23"/>
      <c r="G186" s="22"/>
      <c r="H186" s="22"/>
      <c r="I186" s="23"/>
      <c r="J186" s="74"/>
      <c r="K186" s="74"/>
    </row>
    <row r="187" spans="1:11" ht="14.45">
      <c r="A187" s="22"/>
      <c r="B187" s="34"/>
      <c r="C187" s="22"/>
      <c r="D187" s="22"/>
      <c r="E187" s="22"/>
      <c r="F187" s="23"/>
      <c r="G187" s="22"/>
      <c r="H187" s="22"/>
      <c r="I187" s="23"/>
      <c r="J187" s="74"/>
      <c r="K187" s="74"/>
    </row>
    <row r="188" spans="1:11" ht="14.45">
      <c r="A188" s="22"/>
      <c r="B188" s="34"/>
      <c r="C188" s="22"/>
      <c r="D188" s="22"/>
      <c r="E188" s="22"/>
      <c r="F188" s="23"/>
      <c r="G188" s="22"/>
      <c r="H188" s="22"/>
      <c r="I188" s="23"/>
      <c r="J188" s="74"/>
      <c r="K188" s="74"/>
    </row>
    <row r="189" spans="1:11" ht="14.45">
      <c r="A189" s="22"/>
      <c r="B189" s="34"/>
      <c r="C189" s="22"/>
      <c r="D189" s="22"/>
      <c r="E189" s="22"/>
      <c r="F189" s="23"/>
      <c r="G189" s="22"/>
      <c r="H189" s="22"/>
      <c r="I189" s="23"/>
      <c r="J189" s="74"/>
      <c r="K189" s="74"/>
    </row>
    <row r="190" spans="1:11" ht="14.45">
      <c r="A190" s="22"/>
      <c r="B190" s="34"/>
      <c r="C190" s="22"/>
      <c r="D190" s="22"/>
      <c r="E190" s="22"/>
      <c r="F190" s="23"/>
      <c r="G190" s="22"/>
      <c r="H190" s="22"/>
      <c r="I190" s="23"/>
      <c r="J190" s="74"/>
      <c r="K190" s="74"/>
    </row>
    <row r="191" spans="1:11" ht="14.45">
      <c r="A191" s="22"/>
      <c r="B191" s="34"/>
      <c r="C191" s="22"/>
      <c r="D191" s="22"/>
      <c r="E191" s="22"/>
      <c r="F191" s="23"/>
      <c r="G191" s="22"/>
      <c r="H191" s="22"/>
      <c r="I191" s="23"/>
      <c r="J191" s="74"/>
      <c r="K191" s="74"/>
    </row>
    <row r="192" spans="1:11" ht="14.45">
      <c r="A192" s="22"/>
      <c r="B192" s="34"/>
      <c r="C192" s="22"/>
      <c r="D192" s="22"/>
      <c r="E192" s="22"/>
      <c r="F192" s="23"/>
      <c r="G192" s="22"/>
      <c r="H192" s="22"/>
      <c r="I192" s="23"/>
      <c r="J192" s="74"/>
      <c r="K192" s="74"/>
    </row>
    <row r="193" spans="1:11" ht="14.45">
      <c r="A193" s="22"/>
      <c r="B193" s="34"/>
      <c r="C193" s="22"/>
      <c r="D193" s="22"/>
      <c r="E193" s="22"/>
      <c r="F193" s="23"/>
      <c r="G193" s="22"/>
      <c r="H193" s="22"/>
      <c r="I193" s="23"/>
      <c r="J193" s="74"/>
      <c r="K193" s="74"/>
    </row>
    <row r="194" spans="1:11" ht="14.45">
      <c r="A194" s="22"/>
      <c r="B194" s="34"/>
      <c r="C194" s="22"/>
      <c r="D194" s="22"/>
      <c r="E194" s="22"/>
      <c r="F194" s="23"/>
      <c r="G194" s="22"/>
      <c r="H194" s="22"/>
      <c r="I194" s="23"/>
      <c r="J194" s="74"/>
      <c r="K194" s="74"/>
    </row>
    <row r="195" spans="1:11" ht="14.45">
      <c r="A195" s="22"/>
      <c r="B195" s="34"/>
      <c r="C195" s="22"/>
      <c r="D195" s="22"/>
      <c r="E195" s="22"/>
      <c r="F195" s="23"/>
      <c r="G195" s="22"/>
      <c r="H195" s="22"/>
      <c r="I195" s="23"/>
      <c r="J195" s="74"/>
      <c r="K195" s="74"/>
    </row>
    <row r="196" spans="1:11" ht="14.45">
      <c r="A196" s="22"/>
      <c r="B196" s="34"/>
      <c r="C196" s="22"/>
      <c r="D196" s="22"/>
      <c r="E196" s="22"/>
      <c r="F196" s="23"/>
      <c r="G196" s="22"/>
      <c r="H196" s="22"/>
      <c r="I196" s="23"/>
      <c r="J196" s="74"/>
      <c r="K196" s="74"/>
    </row>
    <row r="197" spans="1:11" ht="14.45">
      <c r="A197" s="22"/>
      <c r="B197" s="34"/>
      <c r="C197" s="22"/>
      <c r="D197" s="22"/>
      <c r="E197" s="22"/>
      <c r="F197" s="23"/>
      <c r="G197" s="22"/>
      <c r="H197" s="22"/>
      <c r="I197" s="23"/>
      <c r="J197" s="74"/>
      <c r="K197" s="74"/>
    </row>
    <row r="198" spans="1:11" ht="14.45">
      <c r="A198" s="22"/>
      <c r="B198" s="34"/>
      <c r="C198" s="22"/>
      <c r="D198" s="22"/>
      <c r="E198" s="22"/>
      <c r="F198" s="23"/>
      <c r="G198" s="22"/>
      <c r="H198" s="22"/>
      <c r="I198" s="23"/>
      <c r="J198" s="74"/>
      <c r="K198" s="74"/>
    </row>
    <row r="199" spans="1:11" ht="14.45">
      <c r="A199" s="22"/>
      <c r="B199" s="34"/>
      <c r="C199" s="22"/>
      <c r="D199" s="22"/>
      <c r="E199" s="22"/>
      <c r="F199" s="23"/>
      <c r="G199" s="22"/>
      <c r="H199" s="22"/>
      <c r="I199" s="23"/>
      <c r="J199" s="74"/>
      <c r="K199" s="74"/>
    </row>
    <row r="200" spans="1:11" ht="14.45">
      <c r="A200" s="22"/>
      <c r="B200" s="34"/>
      <c r="C200" s="22"/>
      <c r="D200" s="22"/>
      <c r="E200" s="22"/>
      <c r="F200" s="23"/>
      <c r="G200" s="22"/>
      <c r="H200" s="22"/>
      <c r="I200" s="23"/>
      <c r="J200" s="74"/>
      <c r="K200" s="74"/>
    </row>
    <row r="201" spans="1:11" ht="14.45">
      <c r="A201" s="22"/>
      <c r="B201" s="34"/>
      <c r="C201" s="22"/>
      <c r="D201" s="22"/>
      <c r="E201" s="22"/>
      <c r="F201" s="23"/>
      <c r="G201" s="22"/>
      <c r="H201" s="22"/>
      <c r="I201" s="23"/>
      <c r="J201" s="74"/>
      <c r="K201" s="74"/>
    </row>
    <row r="202" spans="1:11" ht="14.45">
      <c r="A202" s="22"/>
      <c r="B202" s="34"/>
      <c r="C202" s="22"/>
      <c r="D202" s="22"/>
      <c r="E202" s="22"/>
      <c r="F202" s="23"/>
      <c r="G202" s="22"/>
      <c r="H202" s="22"/>
      <c r="I202" s="23"/>
      <c r="J202" s="74"/>
      <c r="K202" s="74"/>
    </row>
    <row r="203" spans="1:11" ht="14.45">
      <c r="A203" s="22"/>
      <c r="B203" s="34"/>
      <c r="C203" s="22"/>
      <c r="D203" s="22"/>
      <c r="E203" s="22"/>
      <c r="F203" s="23"/>
      <c r="G203" s="22"/>
      <c r="H203" s="22"/>
      <c r="I203" s="23"/>
      <c r="J203" s="74"/>
      <c r="K203" s="74"/>
    </row>
    <row r="204" spans="1:11" ht="14.45">
      <c r="A204" s="22"/>
      <c r="B204" s="34"/>
      <c r="C204" s="22"/>
      <c r="D204" s="22"/>
      <c r="E204" s="22"/>
      <c r="F204" s="23"/>
      <c r="G204" s="22"/>
      <c r="H204" s="22"/>
      <c r="I204" s="23"/>
      <c r="J204" s="74"/>
      <c r="K204" s="74"/>
    </row>
    <row r="205" spans="1:11" ht="14.45">
      <c r="A205" s="22"/>
      <c r="B205" s="34"/>
      <c r="C205" s="22"/>
      <c r="D205" s="22"/>
      <c r="E205" s="22"/>
      <c r="F205" s="23"/>
      <c r="G205" s="22"/>
      <c r="H205" s="22"/>
      <c r="I205" s="23"/>
      <c r="J205" s="74"/>
      <c r="K205" s="74"/>
    </row>
    <row r="206" spans="1:11" ht="14.45">
      <c r="A206" s="22"/>
      <c r="B206" s="34"/>
      <c r="C206" s="22"/>
      <c r="D206" s="22"/>
      <c r="E206" s="22"/>
      <c r="F206" s="23"/>
      <c r="G206" s="22"/>
      <c r="H206" s="22"/>
      <c r="I206" s="23"/>
      <c r="J206" s="74"/>
      <c r="K206" s="74"/>
    </row>
    <row r="207" spans="1:11" ht="14.45">
      <c r="A207" s="22"/>
      <c r="B207" s="34"/>
      <c r="C207" s="22"/>
      <c r="D207" s="22"/>
      <c r="E207" s="22"/>
      <c r="F207" s="23"/>
      <c r="G207" s="22"/>
      <c r="H207" s="22"/>
      <c r="I207" s="23"/>
      <c r="J207" s="74"/>
      <c r="K207" s="74"/>
    </row>
    <row r="208" spans="1:11" ht="14.45">
      <c r="A208" s="22"/>
      <c r="B208" s="34"/>
      <c r="C208" s="22"/>
      <c r="D208" s="22"/>
      <c r="E208" s="22"/>
      <c r="F208" s="23"/>
      <c r="G208" s="22"/>
      <c r="H208" s="22"/>
      <c r="I208" s="23"/>
      <c r="J208" s="74"/>
      <c r="K208" s="74"/>
    </row>
    <row r="209" spans="1:11" ht="14.45">
      <c r="A209" s="22"/>
      <c r="B209" s="34"/>
      <c r="C209" s="22"/>
      <c r="D209" s="22"/>
      <c r="E209" s="22"/>
      <c r="F209" s="23"/>
      <c r="G209" s="22"/>
      <c r="H209" s="22"/>
      <c r="I209" s="23"/>
      <c r="J209" s="74"/>
      <c r="K209" s="74"/>
    </row>
    <row r="210" spans="1:11" ht="14.45">
      <c r="A210" s="22"/>
      <c r="B210" s="34"/>
      <c r="C210" s="22"/>
      <c r="D210" s="22"/>
      <c r="E210" s="22"/>
      <c r="F210" s="23"/>
      <c r="G210" s="22"/>
      <c r="H210" s="22"/>
      <c r="I210" s="23"/>
      <c r="J210" s="74"/>
      <c r="K210" s="74"/>
    </row>
    <row r="211" spans="1:11" ht="14.45">
      <c r="A211" s="22"/>
      <c r="B211" s="34"/>
      <c r="C211" s="22"/>
      <c r="D211" s="22"/>
      <c r="E211" s="22"/>
      <c r="F211" s="23"/>
      <c r="G211" s="22"/>
      <c r="H211" s="22"/>
      <c r="I211" s="23"/>
      <c r="J211" s="74"/>
      <c r="K211" s="74"/>
    </row>
    <row r="212" spans="1:11" ht="14.45">
      <c r="A212" s="22"/>
      <c r="B212" s="34"/>
      <c r="C212" s="22"/>
      <c r="D212" s="22"/>
      <c r="E212" s="22"/>
      <c r="F212" s="23"/>
      <c r="G212" s="22"/>
      <c r="H212" s="22"/>
      <c r="I212" s="23"/>
      <c r="J212" s="74"/>
      <c r="K212" s="74"/>
    </row>
    <row r="213" spans="1:11" ht="14.45">
      <c r="A213" s="22"/>
      <c r="B213" s="34"/>
      <c r="C213" s="22"/>
      <c r="D213" s="22"/>
      <c r="E213" s="22"/>
      <c r="F213" s="23"/>
      <c r="G213" s="22"/>
      <c r="H213" s="22"/>
      <c r="I213" s="23"/>
      <c r="J213" s="74"/>
      <c r="K213" s="74"/>
    </row>
    <row r="214" spans="1:11" ht="14.45">
      <c r="A214" s="22"/>
      <c r="B214" s="34"/>
      <c r="C214" s="22"/>
      <c r="D214" s="22"/>
      <c r="E214" s="22"/>
      <c r="F214" s="23"/>
      <c r="G214" s="22"/>
      <c r="H214" s="22"/>
      <c r="I214" s="23"/>
      <c r="J214" s="74"/>
      <c r="K214" s="74"/>
    </row>
    <row r="215" spans="1:11" ht="14.45">
      <c r="A215" s="22"/>
      <c r="B215" s="34"/>
      <c r="C215" s="22"/>
      <c r="D215" s="22"/>
      <c r="E215" s="22"/>
      <c r="F215" s="23"/>
      <c r="G215" s="22"/>
      <c r="H215" s="22"/>
      <c r="I215" s="23"/>
      <c r="J215" s="74"/>
      <c r="K215" s="74"/>
    </row>
    <row r="216" spans="1:11" ht="14.45">
      <c r="A216" s="22"/>
      <c r="B216" s="34"/>
      <c r="C216" s="22"/>
      <c r="D216" s="22"/>
      <c r="E216" s="22"/>
      <c r="F216" s="23"/>
      <c r="G216" s="22"/>
      <c r="H216" s="22"/>
      <c r="I216" s="23"/>
      <c r="J216" s="74"/>
      <c r="K216" s="74"/>
    </row>
    <row r="217" spans="1:11" ht="14.45">
      <c r="A217" s="22"/>
      <c r="B217" s="34"/>
      <c r="C217" s="22"/>
      <c r="D217" s="22"/>
      <c r="E217" s="22"/>
      <c r="F217" s="23"/>
      <c r="G217" s="22"/>
      <c r="H217" s="22"/>
      <c r="I217" s="23"/>
      <c r="J217" s="74"/>
      <c r="K217" s="74"/>
    </row>
    <row r="218" spans="1:11" ht="14.45">
      <c r="A218" s="22"/>
      <c r="B218" s="34"/>
      <c r="C218" s="22"/>
      <c r="D218" s="22"/>
      <c r="E218" s="22"/>
      <c r="F218" s="23"/>
      <c r="G218" s="22"/>
      <c r="H218" s="22"/>
      <c r="I218" s="23"/>
      <c r="J218" s="74"/>
      <c r="K218" s="74"/>
    </row>
    <row r="219" spans="1:11" ht="14.45">
      <c r="A219" s="22"/>
      <c r="B219" s="34"/>
      <c r="C219" s="22"/>
      <c r="D219" s="22"/>
      <c r="E219" s="22"/>
      <c r="F219" s="23"/>
      <c r="G219" s="22"/>
      <c r="H219" s="22"/>
      <c r="I219" s="23"/>
      <c r="J219" s="74"/>
      <c r="K219" s="74"/>
    </row>
    <row r="220" spans="1:11" ht="14.45">
      <c r="A220" s="22"/>
      <c r="B220" s="34"/>
      <c r="C220" s="22"/>
      <c r="D220" s="22"/>
      <c r="E220" s="22"/>
      <c r="F220" s="23"/>
      <c r="G220" s="22"/>
      <c r="H220" s="22"/>
      <c r="I220" s="23"/>
      <c r="J220" s="74"/>
      <c r="K220" s="74"/>
    </row>
    <row r="221" spans="1:11" ht="14.45">
      <c r="A221" s="22"/>
      <c r="B221" s="34"/>
      <c r="C221" s="22"/>
      <c r="D221" s="22"/>
      <c r="E221" s="22"/>
      <c r="F221" s="23"/>
      <c r="G221" s="22"/>
      <c r="H221" s="22"/>
      <c r="I221" s="23"/>
      <c r="J221" s="74"/>
      <c r="K221" s="74"/>
    </row>
    <row r="222" spans="1:11" ht="14.45">
      <c r="A222" s="22"/>
      <c r="B222" s="34"/>
      <c r="C222" s="22"/>
      <c r="D222" s="22"/>
      <c r="E222" s="22"/>
      <c r="F222" s="23"/>
      <c r="G222" s="22"/>
      <c r="H222" s="22"/>
      <c r="I222" s="23"/>
      <c r="J222" s="74"/>
      <c r="K222" s="74"/>
    </row>
    <row r="223" spans="1:11" ht="14.45">
      <c r="A223" s="22"/>
      <c r="B223" s="34"/>
      <c r="C223" s="22"/>
      <c r="D223" s="22"/>
      <c r="E223" s="22"/>
      <c r="F223" s="23"/>
      <c r="G223" s="22"/>
      <c r="H223" s="22"/>
      <c r="I223" s="23"/>
      <c r="J223" s="74"/>
      <c r="K223" s="74"/>
    </row>
    <row r="224" spans="1:11" ht="14.45">
      <c r="A224" s="22"/>
      <c r="B224" s="34"/>
      <c r="C224" s="22"/>
      <c r="D224" s="22"/>
      <c r="E224" s="22"/>
      <c r="F224" s="23"/>
      <c r="G224" s="22"/>
      <c r="H224" s="22"/>
      <c r="I224" s="23"/>
      <c r="J224" s="74"/>
      <c r="K224" s="74"/>
    </row>
    <row r="225" spans="1:11" ht="14.45">
      <c r="A225" s="22"/>
      <c r="B225" s="34"/>
      <c r="C225" s="22"/>
      <c r="D225" s="22"/>
      <c r="E225" s="22"/>
      <c r="F225" s="23"/>
      <c r="G225" s="22"/>
      <c r="H225" s="22"/>
      <c r="I225" s="23"/>
      <c r="J225" s="74"/>
      <c r="K225" s="74"/>
    </row>
    <row r="226" spans="1:11" ht="14.45">
      <c r="A226" s="22"/>
      <c r="B226" s="34"/>
      <c r="C226" s="22"/>
      <c r="D226" s="22"/>
      <c r="E226" s="22"/>
      <c r="F226" s="23"/>
      <c r="G226" s="22"/>
      <c r="H226" s="22"/>
      <c r="I226" s="23"/>
      <c r="J226" s="74"/>
      <c r="K226" s="74"/>
    </row>
    <row r="227" spans="1:11" ht="14.45">
      <c r="A227" s="22"/>
      <c r="B227" s="34"/>
      <c r="C227" s="22"/>
      <c r="D227" s="22"/>
      <c r="E227" s="22"/>
      <c r="F227" s="23"/>
      <c r="G227" s="22"/>
      <c r="H227" s="22"/>
      <c r="I227" s="23"/>
      <c r="J227" s="74"/>
      <c r="K227" s="74"/>
    </row>
    <row r="228" spans="1:11" ht="14.45">
      <c r="A228" s="22"/>
      <c r="B228" s="34"/>
      <c r="C228" s="22"/>
      <c r="D228" s="22"/>
      <c r="E228" s="22"/>
      <c r="F228" s="23"/>
      <c r="G228" s="22"/>
      <c r="H228" s="22"/>
      <c r="I228" s="23"/>
      <c r="J228" s="74"/>
      <c r="K228" s="74"/>
    </row>
    <row r="229" spans="1:11" ht="14.45">
      <c r="A229" s="22"/>
      <c r="B229" s="34"/>
      <c r="C229" s="22"/>
      <c r="D229" s="22"/>
      <c r="E229" s="22"/>
      <c r="F229" s="23"/>
      <c r="G229" s="22"/>
      <c r="H229" s="22"/>
      <c r="I229" s="23"/>
      <c r="J229" s="74"/>
      <c r="K229" s="74"/>
    </row>
    <row r="230" spans="1:11" ht="14.45">
      <c r="A230" s="22"/>
      <c r="B230" s="34"/>
      <c r="C230" s="22"/>
      <c r="D230" s="22"/>
      <c r="E230" s="22"/>
      <c r="F230" s="23"/>
      <c r="G230" s="22"/>
      <c r="H230" s="22"/>
      <c r="I230" s="23"/>
      <c r="J230" s="74"/>
      <c r="K230" s="74"/>
    </row>
    <row r="231" spans="1:11" ht="14.45">
      <c r="A231" s="22"/>
      <c r="B231" s="34"/>
      <c r="C231" s="22"/>
      <c r="D231" s="22"/>
      <c r="E231" s="22"/>
      <c r="F231" s="23"/>
      <c r="G231" s="22"/>
      <c r="H231" s="22"/>
      <c r="I231" s="23"/>
      <c r="J231" s="74"/>
      <c r="K231" s="74"/>
    </row>
    <row r="232" spans="1:11" ht="14.45">
      <c r="A232" s="22"/>
      <c r="B232" s="34"/>
      <c r="C232" s="22"/>
      <c r="D232" s="22"/>
      <c r="E232" s="22"/>
      <c r="F232" s="23"/>
      <c r="G232" s="22"/>
      <c r="H232" s="22"/>
      <c r="I232" s="23"/>
      <c r="J232" s="74"/>
      <c r="K232" s="74"/>
    </row>
    <row r="233" spans="1:11" ht="14.45">
      <c r="A233" s="22"/>
      <c r="B233" s="34"/>
      <c r="C233" s="22"/>
      <c r="D233" s="22"/>
      <c r="E233" s="22"/>
      <c r="F233" s="23"/>
      <c r="G233" s="22"/>
      <c r="H233" s="22"/>
      <c r="I233" s="23"/>
      <c r="J233" s="74"/>
      <c r="K233" s="74"/>
    </row>
    <row r="234" spans="1:11" ht="14.45">
      <c r="A234" s="22"/>
      <c r="B234" s="34"/>
      <c r="C234" s="22"/>
      <c r="D234" s="22"/>
      <c r="E234" s="22"/>
      <c r="F234" s="23"/>
      <c r="G234" s="22"/>
      <c r="H234" s="22"/>
      <c r="I234" s="23"/>
      <c r="J234" s="74"/>
      <c r="K234" s="74"/>
    </row>
    <row r="235" spans="1:11" ht="14.45">
      <c r="A235" s="22"/>
      <c r="B235" s="34"/>
      <c r="C235" s="22"/>
      <c r="D235" s="22"/>
      <c r="E235" s="22"/>
      <c r="F235" s="23"/>
      <c r="G235" s="22"/>
      <c r="H235" s="22"/>
      <c r="I235" s="23"/>
      <c r="J235" s="74"/>
      <c r="K235" s="74"/>
    </row>
    <row r="236" spans="1:11" ht="14.45">
      <c r="A236" s="22"/>
      <c r="B236" s="34"/>
      <c r="C236" s="22"/>
      <c r="D236" s="22"/>
      <c r="E236" s="22"/>
      <c r="F236" s="23"/>
      <c r="G236" s="22"/>
      <c r="H236" s="22"/>
      <c r="I236" s="23"/>
      <c r="J236" s="74"/>
      <c r="K236" s="74"/>
    </row>
    <row r="237" spans="1:11" ht="14.45">
      <c r="A237" s="22"/>
      <c r="B237" s="34"/>
      <c r="C237" s="22"/>
      <c r="D237" s="22"/>
      <c r="E237" s="22"/>
      <c r="F237" s="23"/>
      <c r="G237" s="22"/>
      <c r="H237" s="22"/>
      <c r="I237" s="23"/>
      <c r="J237" s="74"/>
      <c r="K237" s="74"/>
    </row>
    <row r="238" spans="1:11" ht="14.45">
      <c r="A238" s="22"/>
      <c r="B238" s="34"/>
      <c r="C238" s="22"/>
      <c r="D238" s="22"/>
      <c r="E238" s="22"/>
      <c r="F238" s="23"/>
      <c r="G238" s="22"/>
      <c r="H238" s="22"/>
      <c r="I238" s="23"/>
      <c r="J238" s="74"/>
      <c r="K238" s="74"/>
    </row>
    <row r="239" spans="1:11" ht="14.45">
      <c r="A239" s="22"/>
      <c r="B239" s="34"/>
      <c r="C239" s="22"/>
      <c r="D239" s="22"/>
      <c r="E239" s="22"/>
      <c r="F239" s="23"/>
      <c r="G239" s="22"/>
      <c r="H239" s="22"/>
      <c r="I239" s="23"/>
      <c r="J239" s="74"/>
      <c r="K239" s="74"/>
    </row>
    <row r="240" spans="1:11" ht="14.45">
      <c r="A240" s="22"/>
      <c r="B240" s="34"/>
      <c r="C240" s="22"/>
      <c r="D240" s="22"/>
      <c r="E240" s="22"/>
      <c r="F240" s="23"/>
      <c r="G240" s="22"/>
      <c r="H240" s="22"/>
      <c r="I240" s="23"/>
      <c r="J240" s="74"/>
      <c r="K240" s="74"/>
    </row>
    <row r="241" spans="1:11" ht="14.45">
      <c r="A241" s="22"/>
      <c r="B241" s="34"/>
      <c r="C241" s="22"/>
      <c r="D241" s="22"/>
      <c r="E241" s="22"/>
      <c r="F241" s="23"/>
      <c r="G241" s="22"/>
      <c r="H241" s="22"/>
      <c r="I241" s="23"/>
      <c r="J241" s="74"/>
      <c r="K241" s="74"/>
    </row>
    <row r="242" spans="1:11" ht="14.45">
      <c r="A242" s="22"/>
      <c r="B242" s="34"/>
      <c r="C242" s="22"/>
      <c r="D242" s="22"/>
      <c r="E242" s="22"/>
      <c r="F242" s="23"/>
      <c r="G242" s="22"/>
      <c r="H242" s="22"/>
      <c r="I242" s="23"/>
      <c r="J242" s="74"/>
      <c r="K242" s="74"/>
    </row>
    <row r="243" spans="1:11" ht="14.45">
      <c r="A243" s="22"/>
      <c r="B243" s="34"/>
      <c r="C243" s="22"/>
      <c r="D243" s="22"/>
      <c r="E243" s="22"/>
      <c r="F243" s="23"/>
      <c r="G243" s="22"/>
      <c r="H243" s="22"/>
      <c r="I243" s="23"/>
      <c r="J243" s="74"/>
      <c r="K243" s="74"/>
    </row>
    <row r="244" spans="1:11" ht="14.45">
      <c r="A244" s="22"/>
      <c r="B244" s="34"/>
      <c r="C244" s="22"/>
      <c r="D244" s="22"/>
      <c r="E244" s="22"/>
      <c r="F244" s="23"/>
      <c r="G244" s="22"/>
      <c r="H244" s="22"/>
      <c r="I244" s="23"/>
      <c r="J244" s="74"/>
      <c r="K244" s="74"/>
    </row>
    <row r="245" spans="1:11" ht="14.45">
      <c r="A245" s="22"/>
      <c r="B245" s="34"/>
      <c r="C245" s="22"/>
      <c r="D245" s="22"/>
      <c r="E245" s="22"/>
      <c r="F245" s="23"/>
      <c r="G245" s="22"/>
      <c r="H245" s="22"/>
      <c r="I245" s="23"/>
      <c r="J245" s="74"/>
      <c r="K245" s="74"/>
    </row>
    <row r="246" spans="1:11" ht="14.45">
      <c r="A246" s="22"/>
      <c r="B246" s="34"/>
      <c r="C246" s="22"/>
      <c r="D246" s="22"/>
      <c r="E246" s="22"/>
      <c r="F246" s="23"/>
      <c r="G246" s="22"/>
      <c r="H246" s="22"/>
      <c r="I246" s="23"/>
      <c r="J246" s="74"/>
      <c r="K246" s="74"/>
    </row>
    <row r="247" spans="1:11" ht="14.45">
      <c r="A247" s="22"/>
      <c r="B247" s="34"/>
      <c r="C247" s="22"/>
      <c r="D247" s="22"/>
      <c r="E247" s="22"/>
      <c r="F247" s="23"/>
      <c r="G247" s="22"/>
      <c r="H247" s="22"/>
      <c r="I247" s="23"/>
      <c r="J247" s="74"/>
      <c r="K247" s="74"/>
    </row>
    <row r="248" spans="1:11" ht="14.45">
      <c r="A248" s="22"/>
      <c r="B248" s="34"/>
      <c r="C248" s="22"/>
      <c r="D248" s="22"/>
      <c r="E248" s="22"/>
      <c r="F248" s="23"/>
      <c r="G248" s="22"/>
      <c r="H248" s="22"/>
      <c r="I248" s="23"/>
      <c r="J248" s="74"/>
      <c r="K248" s="74"/>
    </row>
    <row r="249" spans="1:11" ht="14.45">
      <c r="A249" s="22"/>
      <c r="B249" s="34"/>
      <c r="C249" s="22"/>
      <c r="D249" s="22"/>
      <c r="E249" s="22"/>
      <c r="F249" s="23"/>
      <c r="G249" s="22"/>
      <c r="H249" s="22"/>
      <c r="I249" s="23"/>
      <c r="J249" s="74"/>
      <c r="K249" s="74"/>
    </row>
    <row r="250" spans="1:11" ht="14.45">
      <c r="A250" s="22"/>
      <c r="B250" s="34"/>
      <c r="C250" s="22"/>
      <c r="D250" s="22"/>
      <c r="E250" s="22"/>
      <c r="F250" s="23"/>
      <c r="G250" s="22"/>
      <c r="H250" s="22"/>
      <c r="I250" s="23"/>
      <c r="J250" s="74"/>
      <c r="K250" s="74"/>
    </row>
    <row r="251" spans="1:11" ht="14.45">
      <c r="A251" s="22"/>
      <c r="B251" s="34"/>
      <c r="C251" s="22"/>
      <c r="D251" s="22"/>
      <c r="E251" s="22"/>
      <c r="F251" s="23"/>
      <c r="G251" s="22"/>
      <c r="H251" s="22"/>
      <c r="I251" s="23"/>
      <c r="J251" s="74"/>
      <c r="K251" s="74"/>
    </row>
    <row r="252" spans="1:11" ht="14.45">
      <c r="A252" s="22"/>
      <c r="B252" s="34"/>
      <c r="C252" s="22"/>
      <c r="D252" s="22"/>
      <c r="E252" s="22"/>
      <c r="F252" s="23"/>
      <c r="G252" s="22"/>
      <c r="H252" s="22"/>
      <c r="I252" s="23"/>
      <c r="J252" s="74"/>
      <c r="K252" s="74"/>
    </row>
    <row r="253" spans="1:11" ht="14.45">
      <c r="A253" s="22"/>
      <c r="B253" s="34"/>
      <c r="C253" s="22"/>
      <c r="D253" s="22"/>
      <c r="E253" s="22"/>
      <c r="F253" s="23"/>
      <c r="G253" s="22"/>
      <c r="H253" s="22"/>
      <c r="I253" s="23"/>
      <c r="J253" s="74"/>
      <c r="K253" s="74"/>
    </row>
    <row r="254" spans="1:11" ht="14.45">
      <c r="A254" s="22"/>
      <c r="B254" s="34"/>
      <c r="C254" s="22"/>
      <c r="D254" s="22"/>
      <c r="E254" s="22"/>
      <c r="F254" s="23"/>
      <c r="G254" s="22"/>
      <c r="H254" s="22"/>
      <c r="I254" s="23"/>
      <c r="J254" s="74"/>
      <c r="K254" s="74"/>
    </row>
    <row r="255" spans="1:11" ht="14.45">
      <c r="A255" s="22"/>
      <c r="B255" s="34"/>
      <c r="C255" s="22"/>
      <c r="D255" s="22"/>
      <c r="E255" s="22"/>
      <c r="F255" s="23"/>
      <c r="G255" s="22"/>
      <c r="H255" s="22"/>
      <c r="I255" s="23"/>
      <c r="J255" s="74"/>
      <c r="K255" s="74"/>
    </row>
    <row r="256" spans="1:11" ht="14.45">
      <c r="A256" s="22"/>
      <c r="B256" s="34"/>
      <c r="C256" s="22"/>
      <c r="D256" s="22"/>
      <c r="E256" s="22"/>
      <c r="F256" s="23"/>
      <c r="G256" s="22"/>
      <c r="H256" s="22"/>
      <c r="I256" s="23"/>
      <c r="J256" s="74"/>
      <c r="K256" s="74"/>
    </row>
    <row r="257" spans="1:11" ht="14.45">
      <c r="A257" s="22"/>
      <c r="B257" s="34"/>
      <c r="C257" s="22"/>
      <c r="D257" s="22"/>
      <c r="E257" s="22"/>
      <c r="F257" s="23"/>
      <c r="G257" s="22"/>
      <c r="H257" s="22"/>
      <c r="I257" s="23"/>
      <c r="J257" s="74"/>
      <c r="K257" s="74"/>
    </row>
    <row r="258" spans="1:11" ht="14.45">
      <c r="A258" s="22"/>
      <c r="B258" s="34"/>
      <c r="C258" s="22"/>
      <c r="D258" s="22"/>
      <c r="E258" s="22"/>
      <c r="F258" s="23"/>
      <c r="G258" s="22"/>
      <c r="H258" s="22"/>
      <c r="I258" s="23"/>
      <c r="J258" s="74"/>
      <c r="K258" s="74"/>
    </row>
    <row r="259" spans="1:11" ht="14.45">
      <c r="A259" s="22"/>
      <c r="B259" s="34"/>
      <c r="C259" s="22"/>
      <c r="D259" s="22"/>
      <c r="E259" s="22"/>
      <c r="F259" s="23"/>
      <c r="G259" s="22"/>
      <c r="H259" s="22"/>
      <c r="I259" s="23"/>
      <c r="J259" s="74"/>
      <c r="K259" s="74"/>
    </row>
    <row r="260" spans="1:11" ht="14.45">
      <c r="A260" s="22"/>
      <c r="B260" s="34"/>
      <c r="C260" s="22"/>
      <c r="D260" s="22"/>
      <c r="E260" s="22"/>
      <c r="F260" s="23"/>
      <c r="G260" s="22"/>
      <c r="H260" s="22"/>
      <c r="I260" s="23"/>
      <c r="J260" s="74"/>
      <c r="K260" s="74"/>
    </row>
    <row r="261" spans="1:11" ht="14.45">
      <c r="A261" s="22"/>
      <c r="B261" s="34"/>
      <c r="C261" s="22"/>
      <c r="D261" s="22"/>
      <c r="E261" s="22"/>
      <c r="F261" s="23"/>
      <c r="G261" s="22"/>
      <c r="H261" s="22"/>
      <c r="I261" s="23"/>
      <c r="J261" s="74"/>
      <c r="K261" s="74"/>
    </row>
    <row r="262" spans="1:11" ht="14.45">
      <c r="A262" s="22"/>
      <c r="B262" s="34"/>
      <c r="C262" s="22"/>
      <c r="D262" s="22"/>
      <c r="E262" s="22"/>
      <c r="F262" s="23"/>
      <c r="G262" s="22"/>
      <c r="H262" s="22"/>
      <c r="I262" s="23"/>
      <c r="J262" s="74"/>
      <c r="K262" s="74"/>
    </row>
    <row r="263" spans="1:11" ht="14.45">
      <c r="A263" s="22"/>
      <c r="B263" s="34"/>
      <c r="C263" s="22"/>
      <c r="D263" s="22"/>
      <c r="E263" s="22"/>
      <c r="F263" s="23"/>
      <c r="G263" s="22"/>
      <c r="H263" s="22"/>
      <c r="I263" s="23"/>
      <c r="J263" s="74"/>
      <c r="K263" s="74"/>
    </row>
    <row r="264" spans="1:11" ht="14.45">
      <c r="A264" s="22"/>
      <c r="B264" s="34"/>
      <c r="C264" s="22"/>
      <c r="D264" s="22"/>
      <c r="E264" s="22"/>
      <c r="F264" s="23"/>
      <c r="G264" s="22"/>
      <c r="H264" s="22"/>
      <c r="I264" s="23"/>
      <c r="J264" s="74"/>
      <c r="K264" s="74"/>
    </row>
    <row r="265" spans="1:11" ht="14.45">
      <c r="A265" s="22"/>
      <c r="B265" s="34"/>
      <c r="C265" s="22"/>
      <c r="D265" s="22"/>
      <c r="E265" s="22"/>
      <c r="F265" s="23"/>
      <c r="G265" s="22"/>
      <c r="H265" s="22"/>
      <c r="I265" s="23"/>
      <c r="J265" s="74"/>
      <c r="K265" s="74"/>
    </row>
    <row r="266" spans="1:11" ht="14.45">
      <c r="A266" s="22"/>
      <c r="B266" s="34"/>
      <c r="C266" s="22"/>
      <c r="D266" s="22"/>
      <c r="E266" s="22"/>
      <c r="F266" s="23"/>
      <c r="G266" s="22"/>
      <c r="H266" s="22"/>
      <c r="I266" s="23"/>
      <c r="J266" s="74"/>
      <c r="K266" s="74"/>
    </row>
    <row r="267" spans="1:11" ht="14.45">
      <c r="A267" s="22"/>
      <c r="B267" s="34"/>
      <c r="C267" s="22"/>
      <c r="D267" s="22"/>
      <c r="E267" s="22"/>
      <c r="F267" s="23"/>
      <c r="G267" s="22"/>
      <c r="H267" s="22"/>
      <c r="I267" s="23"/>
      <c r="J267" s="74"/>
      <c r="K267" s="74"/>
    </row>
    <row r="268" spans="1:11" ht="14.45">
      <c r="A268" s="22"/>
      <c r="B268" s="34"/>
      <c r="C268" s="22"/>
      <c r="D268" s="22"/>
      <c r="E268" s="22"/>
      <c r="F268" s="23"/>
      <c r="G268" s="22"/>
      <c r="H268" s="22"/>
      <c r="I268" s="23"/>
      <c r="J268" s="74"/>
      <c r="K268" s="74"/>
    </row>
    <row r="269" spans="1:11" ht="14.45">
      <c r="A269" s="22"/>
      <c r="B269" s="34"/>
      <c r="C269" s="22"/>
      <c r="D269" s="22"/>
      <c r="E269" s="22"/>
      <c r="F269" s="23"/>
      <c r="G269" s="22"/>
      <c r="H269" s="22"/>
      <c r="I269" s="23"/>
      <c r="J269" s="74"/>
      <c r="K269" s="74"/>
    </row>
    <row r="270" spans="1:11" ht="14.45">
      <c r="A270" s="22"/>
      <c r="B270" s="34"/>
      <c r="C270" s="22"/>
      <c r="D270" s="22"/>
      <c r="E270" s="22"/>
      <c r="F270" s="23"/>
      <c r="G270" s="22"/>
      <c r="H270" s="22"/>
      <c r="I270" s="23"/>
      <c r="J270" s="74"/>
      <c r="K270" s="74"/>
    </row>
    <row r="271" spans="1:11" ht="14.45">
      <c r="A271" s="22"/>
      <c r="B271" s="34"/>
      <c r="C271" s="22"/>
      <c r="D271" s="22"/>
      <c r="E271" s="22"/>
      <c r="F271" s="23"/>
      <c r="G271" s="22"/>
      <c r="H271" s="22"/>
      <c r="I271" s="23"/>
      <c r="J271" s="74"/>
      <c r="K271" s="74"/>
    </row>
    <row r="272" spans="1:11" ht="14.45">
      <c r="A272" s="22"/>
      <c r="B272" s="34"/>
      <c r="C272" s="22"/>
      <c r="D272" s="22"/>
      <c r="E272" s="22"/>
      <c r="F272" s="23"/>
      <c r="G272" s="22"/>
      <c r="H272" s="22"/>
      <c r="I272" s="23"/>
      <c r="J272" s="74"/>
      <c r="K272" s="74"/>
    </row>
    <row r="273" spans="1:11" ht="14.45">
      <c r="A273" s="22"/>
      <c r="B273" s="34"/>
      <c r="C273" s="22"/>
      <c r="D273" s="22"/>
      <c r="E273" s="22"/>
      <c r="F273" s="23"/>
      <c r="G273" s="22"/>
      <c r="H273" s="22"/>
      <c r="I273" s="23"/>
      <c r="J273" s="74"/>
      <c r="K273" s="74"/>
    </row>
    <row r="274" spans="1:11" ht="14.45">
      <c r="A274" s="22"/>
      <c r="B274" s="34"/>
      <c r="C274" s="22"/>
      <c r="D274" s="22"/>
      <c r="E274" s="22"/>
      <c r="F274" s="23"/>
      <c r="G274" s="22"/>
      <c r="H274" s="22"/>
      <c r="I274" s="23"/>
      <c r="J274" s="74"/>
      <c r="K274" s="74"/>
    </row>
    <row r="275" spans="1:11" ht="14.45">
      <c r="A275" s="22"/>
      <c r="B275" s="34"/>
      <c r="C275" s="22"/>
      <c r="D275" s="22"/>
      <c r="E275" s="22"/>
      <c r="F275" s="23"/>
      <c r="G275" s="22"/>
      <c r="H275" s="22"/>
      <c r="I275" s="23"/>
      <c r="J275" s="74"/>
      <c r="K275" s="74"/>
    </row>
    <row r="276" spans="1:11" ht="14.45">
      <c r="A276" s="22"/>
      <c r="B276" s="34"/>
      <c r="C276" s="22"/>
      <c r="D276" s="22"/>
      <c r="E276" s="22"/>
      <c r="F276" s="23"/>
      <c r="G276" s="22"/>
      <c r="H276" s="22"/>
      <c r="I276" s="23"/>
      <c r="J276" s="74"/>
      <c r="K276" s="74"/>
    </row>
    <row r="277" spans="1:11" ht="14.45">
      <c r="A277" s="22"/>
      <c r="B277" s="34"/>
      <c r="C277" s="22"/>
      <c r="D277" s="22"/>
      <c r="E277" s="22"/>
      <c r="F277" s="23"/>
      <c r="G277" s="22"/>
      <c r="H277" s="22"/>
      <c r="I277" s="23"/>
      <c r="J277" s="74"/>
      <c r="K277" s="74"/>
    </row>
    <row r="278" spans="1:11" ht="14.45">
      <c r="A278" s="22"/>
      <c r="B278" s="34"/>
      <c r="C278" s="22"/>
      <c r="D278" s="22"/>
      <c r="E278" s="22"/>
      <c r="F278" s="23"/>
      <c r="G278" s="22"/>
      <c r="H278" s="22"/>
      <c r="I278" s="23"/>
      <c r="J278" s="74"/>
      <c r="K278" s="74"/>
    </row>
    <row r="279" spans="1:11" ht="14.45">
      <c r="A279" s="22"/>
      <c r="B279" s="34"/>
      <c r="C279" s="22"/>
      <c r="D279" s="22"/>
      <c r="E279" s="22"/>
      <c r="F279" s="23"/>
      <c r="G279" s="22"/>
      <c r="H279" s="22"/>
      <c r="I279" s="23"/>
      <c r="J279" s="74"/>
      <c r="K279" s="74"/>
    </row>
    <row r="280" spans="1:11" ht="14.45">
      <c r="A280" s="22"/>
      <c r="B280" s="34"/>
      <c r="C280" s="22"/>
      <c r="D280" s="22"/>
      <c r="E280" s="22"/>
      <c r="F280" s="23"/>
      <c r="G280" s="22"/>
      <c r="H280" s="22"/>
      <c r="I280" s="23"/>
      <c r="J280" s="74"/>
      <c r="K280" s="74"/>
    </row>
    <row r="281" spans="1:11" ht="14.45">
      <c r="A281" s="22"/>
      <c r="B281" s="34"/>
      <c r="C281" s="22"/>
      <c r="D281" s="22"/>
      <c r="E281" s="22"/>
      <c r="F281" s="23"/>
      <c r="G281" s="22"/>
      <c r="H281" s="22"/>
      <c r="I281" s="23"/>
      <c r="J281" s="74"/>
      <c r="K281" s="74"/>
    </row>
    <row r="282" spans="1:11" ht="14.45">
      <c r="A282" s="22"/>
      <c r="B282" s="34"/>
      <c r="C282" s="22"/>
      <c r="D282" s="22"/>
      <c r="E282" s="22"/>
      <c r="F282" s="23"/>
      <c r="G282" s="22"/>
      <c r="H282" s="22"/>
      <c r="I282" s="23"/>
      <c r="J282" s="74"/>
      <c r="K282" s="74"/>
    </row>
    <row r="283" spans="1:11" ht="14.45">
      <c r="A283" s="22"/>
      <c r="B283" s="34"/>
      <c r="C283" s="22"/>
      <c r="D283" s="22"/>
      <c r="E283" s="22"/>
      <c r="F283" s="23"/>
      <c r="G283" s="22"/>
      <c r="H283" s="22"/>
      <c r="I283" s="23"/>
      <c r="J283" s="74"/>
      <c r="K283" s="74"/>
    </row>
    <row r="284" spans="1:11" ht="14.45">
      <c r="A284" s="22"/>
      <c r="B284" s="34"/>
      <c r="C284" s="22"/>
      <c r="D284" s="22"/>
      <c r="E284" s="22"/>
      <c r="F284" s="23"/>
      <c r="G284" s="22"/>
      <c r="H284" s="22"/>
      <c r="I284" s="23"/>
      <c r="J284" s="74"/>
      <c r="K284" s="74"/>
    </row>
    <row r="285" spans="1:11" ht="14.45">
      <c r="A285" s="22"/>
      <c r="B285" s="34"/>
      <c r="C285" s="22"/>
      <c r="D285" s="22"/>
      <c r="E285" s="22"/>
      <c r="F285" s="23"/>
      <c r="G285" s="22"/>
      <c r="H285" s="22"/>
      <c r="I285" s="23"/>
      <c r="J285" s="74"/>
      <c r="K285" s="74"/>
    </row>
    <row r="286" spans="1:11" ht="14.45">
      <c r="A286" s="22"/>
      <c r="B286" s="34"/>
      <c r="C286" s="22"/>
      <c r="D286" s="22"/>
      <c r="E286" s="22"/>
      <c r="F286" s="23"/>
      <c r="G286" s="22"/>
      <c r="H286" s="22"/>
      <c r="I286" s="23"/>
      <c r="J286" s="74"/>
      <c r="K286" s="74"/>
    </row>
    <row r="287" spans="1:11" ht="14.45">
      <c r="A287" s="22"/>
      <c r="B287" s="34"/>
      <c r="C287" s="22"/>
      <c r="D287" s="22"/>
      <c r="E287" s="22"/>
      <c r="F287" s="23"/>
      <c r="G287" s="22"/>
      <c r="H287" s="22"/>
      <c r="I287" s="23"/>
      <c r="J287" s="74"/>
      <c r="K287" s="74"/>
    </row>
    <row r="288" spans="1:11" ht="14.45">
      <c r="A288" s="22"/>
      <c r="B288" s="34"/>
      <c r="C288" s="22"/>
      <c r="D288" s="22"/>
      <c r="E288" s="22"/>
      <c r="F288" s="23"/>
      <c r="G288" s="22"/>
      <c r="H288" s="22"/>
      <c r="I288" s="23"/>
      <c r="J288" s="74"/>
      <c r="K288" s="74"/>
    </row>
    <row r="289" spans="1:11" ht="14.45">
      <c r="A289" s="22"/>
      <c r="B289" s="34"/>
      <c r="C289" s="22"/>
      <c r="D289" s="22"/>
      <c r="E289" s="22"/>
      <c r="F289" s="23"/>
      <c r="G289" s="22"/>
      <c r="H289" s="22"/>
      <c r="I289" s="23"/>
      <c r="J289" s="74"/>
      <c r="K289" s="74"/>
    </row>
    <row r="290" spans="1:11" ht="14.45">
      <c r="A290" s="22"/>
      <c r="B290" s="34"/>
      <c r="C290" s="22"/>
      <c r="D290" s="22"/>
      <c r="E290" s="22"/>
      <c r="F290" s="23"/>
      <c r="G290" s="22"/>
      <c r="H290" s="22"/>
      <c r="I290" s="23"/>
      <c r="J290" s="74"/>
      <c r="K290" s="74"/>
    </row>
    <row r="291" spans="1:11" ht="14.45">
      <c r="A291" s="22"/>
      <c r="B291" s="34"/>
      <c r="C291" s="22"/>
      <c r="D291" s="22"/>
      <c r="E291" s="22"/>
      <c r="F291" s="23"/>
      <c r="G291" s="22"/>
      <c r="H291" s="22"/>
      <c r="I291" s="23"/>
      <c r="J291" s="74"/>
      <c r="K291" s="74"/>
    </row>
    <row r="292" spans="1:11" ht="14.45">
      <c r="A292" s="22"/>
      <c r="B292" s="34"/>
      <c r="C292" s="22"/>
      <c r="D292" s="22"/>
      <c r="E292" s="22"/>
      <c r="F292" s="23"/>
      <c r="G292" s="22"/>
      <c r="H292" s="22"/>
      <c r="I292" s="23"/>
      <c r="J292" s="74"/>
      <c r="K292" s="74"/>
    </row>
    <row r="293" spans="1:11" ht="14.45">
      <c r="A293" s="22"/>
      <c r="B293" s="34"/>
      <c r="C293" s="22"/>
      <c r="D293" s="22"/>
      <c r="E293" s="22"/>
      <c r="F293" s="23"/>
      <c r="G293" s="22"/>
      <c r="H293" s="22"/>
      <c r="I293" s="23"/>
      <c r="J293" s="74"/>
      <c r="K293" s="74"/>
    </row>
    <row r="294" spans="1:11" ht="14.45">
      <c r="A294" s="22"/>
      <c r="B294" s="34"/>
      <c r="C294" s="22"/>
      <c r="D294" s="22"/>
      <c r="E294" s="22"/>
      <c r="F294" s="23"/>
      <c r="G294" s="22"/>
      <c r="H294" s="22"/>
      <c r="I294" s="23"/>
      <c r="J294" s="74"/>
      <c r="K294" s="74"/>
    </row>
    <row r="295" spans="1:11" ht="14.45">
      <c r="A295" s="22"/>
      <c r="B295" s="34"/>
      <c r="C295" s="22"/>
      <c r="D295" s="22"/>
      <c r="E295" s="22"/>
      <c r="F295" s="23"/>
      <c r="G295" s="22"/>
      <c r="H295" s="22"/>
      <c r="I295" s="23"/>
      <c r="J295" s="74"/>
      <c r="K295" s="74"/>
    </row>
    <row r="296" spans="1:11" ht="14.45">
      <c r="A296" s="22"/>
      <c r="B296" s="34"/>
      <c r="C296" s="22"/>
      <c r="D296" s="22"/>
      <c r="E296" s="22"/>
      <c r="F296" s="23"/>
      <c r="G296" s="22"/>
      <c r="H296" s="22"/>
      <c r="I296" s="23"/>
      <c r="J296" s="74"/>
      <c r="K296" s="74"/>
    </row>
    <row r="297" spans="1:11" ht="14.45">
      <c r="A297" s="22"/>
      <c r="B297" s="34"/>
      <c r="C297" s="22"/>
      <c r="D297" s="22"/>
      <c r="E297" s="22"/>
      <c r="F297" s="23"/>
      <c r="G297" s="22"/>
      <c r="H297" s="22"/>
      <c r="I297" s="23"/>
      <c r="J297" s="74"/>
      <c r="K297" s="74"/>
    </row>
    <row r="298" spans="1:11" ht="14.45">
      <c r="A298" s="22"/>
      <c r="B298" s="34"/>
      <c r="C298" s="22"/>
      <c r="D298" s="22"/>
      <c r="E298" s="22"/>
      <c r="F298" s="23"/>
      <c r="G298" s="22"/>
      <c r="H298" s="22"/>
      <c r="I298" s="23"/>
      <c r="J298" s="74"/>
      <c r="K298" s="74"/>
    </row>
    <row r="299" spans="1:11" ht="14.45">
      <c r="A299" s="22"/>
      <c r="B299" s="34"/>
      <c r="C299" s="22"/>
      <c r="D299" s="22"/>
      <c r="E299" s="22"/>
      <c r="F299" s="23"/>
      <c r="G299" s="22"/>
      <c r="H299" s="22"/>
      <c r="I299" s="23"/>
      <c r="J299" s="74"/>
      <c r="K299" s="74"/>
    </row>
    <row r="300" spans="1:11" ht="14.45">
      <c r="A300" s="22"/>
      <c r="B300" s="34"/>
      <c r="C300" s="22"/>
      <c r="D300" s="22"/>
      <c r="E300" s="22"/>
      <c r="F300" s="23"/>
      <c r="G300" s="22"/>
      <c r="H300" s="22"/>
      <c r="I300" s="23"/>
      <c r="J300" s="74"/>
      <c r="K300" s="74"/>
    </row>
    <row r="301" spans="1:11" ht="14.45">
      <c r="A301" s="22"/>
      <c r="B301" s="34"/>
      <c r="C301" s="22"/>
      <c r="D301" s="22"/>
      <c r="E301" s="22"/>
      <c r="F301" s="23"/>
      <c r="G301" s="22"/>
      <c r="H301" s="22"/>
      <c r="I301" s="23"/>
      <c r="J301" s="74"/>
      <c r="K301" s="74"/>
    </row>
    <row r="302" spans="1:11" ht="14.45">
      <c r="A302" s="22"/>
      <c r="B302" s="34"/>
      <c r="C302" s="22"/>
      <c r="D302" s="22"/>
      <c r="E302" s="22"/>
      <c r="F302" s="23"/>
      <c r="G302" s="22"/>
      <c r="H302" s="22"/>
      <c r="I302" s="23"/>
      <c r="J302" s="74"/>
      <c r="K302" s="74"/>
    </row>
    <row r="303" spans="1:11" ht="14.45">
      <c r="A303" s="22"/>
      <c r="B303" s="34"/>
      <c r="C303" s="22"/>
      <c r="D303" s="22"/>
      <c r="E303" s="22"/>
      <c r="F303" s="23"/>
      <c r="G303" s="22"/>
      <c r="H303" s="22"/>
      <c r="I303" s="23"/>
      <c r="J303" s="74"/>
      <c r="K303" s="74"/>
    </row>
    <row r="304" spans="1:11" ht="14.45">
      <c r="A304" s="22"/>
      <c r="B304" s="34"/>
      <c r="C304" s="22"/>
      <c r="D304" s="22"/>
      <c r="E304" s="22"/>
      <c r="F304" s="23"/>
      <c r="G304" s="22"/>
      <c r="H304" s="22"/>
      <c r="I304" s="23"/>
      <c r="J304" s="74"/>
      <c r="K304" s="74"/>
    </row>
    <row r="305" spans="1:11" ht="14.45">
      <c r="A305" s="22"/>
      <c r="B305" s="34"/>
      <c r="C305" s="22"/>
      <c r="D305" s="22"/>
      <c r="E305" s="22"/>
      <c r="F305" s="23"/>
      <c r="G305" s="22"/>
      <c r="H305" s="22"/>
      <c r="I305" s="23"/>
      <c r="J305" s="74"/>
      <c r="K305" s="74"/>
    </row>
    <row r="306" spans="1:11" ht="14.45">
      <c r="A306" s="22"/>
      <c r="B306" s="34"/>
      <c r="C306" s="22"/>
      <c r="D306" s="22"/>
      <c r="E306" s="22"/>
      <c r="F306" s="23"/>
      <c r="G306" s="22"/>
      <c r="H306" s="22"/>
      <c r="I306" s="23"/>
      <c r="J306" s="74"/>
      <c r="K306" s="74"/>
    </row>
    <row r="307" spans="1:11" ht="14.45">
      <c r="A307" s="22"/>
      <c r="B307" s="34"/>
      <c r="C307" s="22"/>
      <c r="D307" s="22"/>
      <c r="E307" s="22"/>
      <c r="F307" s="23"/>
      <c r="G307" s="22"/>
      <c r="H307" s="22"/>
      <c r="I307" s="23"/>
      <c r="J307" s="74"/>
      <c r="K307" s="74"/>
    </row>
    <row r="308" spans="1:11" ht="14.45">
      <c r="A308" s="22"/>
      <c r="B308" s="34"/>
      <c r="C308" s="22"/>
      <c r="D308" s="22"/>
      <c r="E308" s="22"/>
      <c r="F308" s="23"/>
      <c r="G308" s="22"/>
      <c r="H308" s="22"/>
      <c r="I308" s="23"/>
      <c r="J308" s="74"/>
      <c r="K308" s="74"/>
    </row>
    <row r="309" spans="1:11" ht="14.45">
      <c r="A309" s="22"/>
      <c r="B309" s="34"/>
      <c r="C309" s="22"/>
      <c r="D309" s="22"/>
      <c r="E309" s="22"/>
      <c r="F309" s="23"/>
      <c r="G309" s="22"/>
      <c r="H309" s="22"/>
      <c r="I309" s="23"/>
      <c r="J309" s="74"/>
      <c r="K309" s="74"/>
    </row>
    <row r="310" spans="1:11" ht="14.45">
      <c r="A310" s="22"/>
      <c r="B310" s="34"/>
      <c r="C310" s="22"/>
      <c r="D310" s="22"/>
      <c r="E310" s="22"/>
      <c r="F310" s="23"/>
      <c r="G310" s="22"/>
      <c r="H310" s="22"/>
      <c r="I310" s="23"/>
      <c r="J310" s="74"/>
      <c r="K310" s="74"/>
    </row>
    <row r="311" spans="1:11" ht="14.45">
      <c r="A311" s="22"/>
      <c r="B311" s="34"/>
      <c r="C311" s="22"/>
      <c r="D311" s="22"/>
      <c r="E311" s="22"/>
      <c r="F311" s="23"/>
      <c r="G311" s="22"/>
      <c r="H311" s="22"/>
      <c r="I311" s="23"/>
      <c r="J311" s="74"/>
      <c r="K311" s="74"/>
    </row>
    <row r="312" spans="1:11" ht="14.45">
      <c r="A312" s="22"/>
      <c r="B312" s="34"/>
      <c r="C312" s="22"/>
      <c r="D312" s="22"/>
      <c r="E312" s="22"/>
      <c r="F312" s="23"/>
      <c r="G312" s="22"/>
      <c r="H312" s="22"/>
      <c r="I312" s="23"/>
      <c r="J312" s="74"/>
      <c r="K312" s="74"/>
    </row>
    <row r="313" spans="1:11" ht="14.45">
      <c r="A313" s="22"/>
      <c r="B313" s="34"/>
      <c r="C313" s="22"/>
      <c r="D313" s="22"/>
      <c r="E313" s="22"/>
      <c r="F313" s="23"/>
      <c r="G313" s="22"/>
      <c r="H313" s="22"/>
      <c r="I313" s="23"/>
      <c r="J313" s="74"/>
      <c r="K313" s="74"/>
    </row>
    <row r="314" spans="1:11" ht="14.45">
      <c r="A314" s="22"/>
      <c r="B314" s="34"/>
      <c r="C314" s="22"/>
      <c r="D314" s="22"/>
      <c r="E314" s="22"/>
      <c r="F314" s="23"/>
      <c r="G314" s="22"/>
      <c r="H314" s="22"/>
      <c r="I314" s="23"/>
      <c r="J314" s="74"/>
      <c r="K314" s="74"/>
    </row>
    <row r="315" spans="1:11" ht="14.45">
      <c r="A315" s="22"/>
      <c r="B315" s="34"/>
      <c r="C315" s="22"/>
      <c r="D315" s="22"/>
      <c r="E315" s="22"/>
      <c r="F315" s="23"/>
      <c r="G315" s="22"/>
      <c r="H315" s="22"/>
      <c r="I315" s="23"/>
      <c r="J315" s="74"/>
      <c r="K315" s="74"/>
    </row>
    <row r="316" spans="1:11" ht="14.45">
      <c r="A316" s="22"/>
      <c r="B316" s="34"/>
      <c r="C316" s="22"/>
      <c r="D316" s="22"/>
      <c r="E316" s="22"/>
      <c r="F316" s="23"/>
      <c r="G316" s="22"/>
      <c r="H316" s="22"/>
      <c r="I316" s="23"/>
      <c r="J316" s="74"/>
      <c r="K316" s="74"/>
    </row>
    <row r="317" spans="1:11" ht="14.45">
      <c r="A317" s="22"/>
      <c r="B317" s="34"/>
      <c r="C317" s="22"/>
      <c r="D317" s="22"/>
      <c r="E317" s="22"/>
      <c r="F317" s="23"/>
      <c r="G317" s="22"/>
      <c r="H317" s="22"/>
      <c r="I317" s="23"/>
      <c r="J317" s="74"/>
      <c r="K317" s="74"/>
    </row>
    <row r="318" spans="1:11" ht="14.45">
      <c r="A318" s="22"/>
      <c r="B318" s="34"/>
      <c r="C318" s="22"/>
      <c r="D318" s="22"/>
      <c r="E318" s="22"/>
      <c r="F318" s="23"/>
      <c r="G318" s="22"/>
      <c r="H318" s="22"/>
      <c r="I318" s="23"/>
      <c r="J318" s="74"/>
      <c r="K318" s="74"/>
    </row>
    <row r="319" spans="1:11" ht="14.45">
      <c r="A319" s="22"/>
      <c r="B319" s="34"/>
      <c r="C319" s="22"/>
      <c r="D319" s="22"/>
      <c r="E319" s="22"/>
      <c r="F319" s="23"/>
      <c r="G319" s="22"/>
      <c r="H319" s="22"/>
      <c r="I319" s="23"/>
      <c r="J319" s="74"/>
      <c r="K319" s="74"/>
    </row>
    <row r="320" spans="1:11" ht="14.45">
      <c r="A320" s="22"/>
      <c r="B320" s="34"/>
      <c r="C320" s="22"/>
      <c r="D320" s="22"/>
      <c r="E320" s="22"/>
      <c r="F320" s="23"/>
      <c r="G320" s="22"/>
      <c r="H320" s="22"/>
      <c r="I320" s="23"/>
      <c r="J320" s="74"/>
      <c r="K320" s="74"/>
    </row>
    <row r="321" spans="1:11" ht="14.45">
      <c r="A321" s="22"/>
      <c r="B321" s="34"/>
      <c r="C321" s="22"/>
      <c r="D321" s="22"/>
      <c r="E321" s="22"/>
      <c r="F321" s="23"/>
      <c r="G321" s="22"/>
      <c r="H321" s="22"/>
      <c r="I321" s="23"/>
      <c r="J321" s="74"/>
      <c r="K321" s="74"/>
    </row>
    <row r="322" spans="1:11" ht="14.45">
      <c r="A322" s="22"/>
      <c r="B322" s="34"/>
      <c r="C322" s="22"/>
      <c r="D322" s="22"/>
      <c r="E322" s="22"/>
      <c r="F322" s="23"/>
      <c r="G322" s="22"/>
      <c r="H322" s="22"/>
      <c r="I322" s="23"/>
      <c r="J322" s="74"/>
      <c r="K322" s="74"/>
    </row>
    <row r="323" spans="1:11" ht="14.45">
      <c r="A323" s="22"/>
      <c r="B323" s="34"/>
      <c r="C323" s="22"/>
      <c r="D323" s="22"/>
      <c r="E323" s="22"/>
      <c r="F323" s="23"/>
      <c r="G323" s="22"/>
      <c r="H323" s="22"/>
      <c r="I323" s="23"/>
      <c r="J323" s="74"/>
      <c r="K323" s="74"/>
    </row>
    <row r="324" spans="1:11" ht="14.45">
      <c r="A324" s="22"/>
      <c r="B324" s="34"/>
      <c r="C324" s="22"/>
      <c r="D324" s="22"/>
      <c r="E324" s="22"/>
      <c r="F324" s="23"/>
      <c r="G324" s="22"/>
      <c r="H324" s="22"/>
      <c r="I324" s="23"/>
      <c r="J324" s="74"/>
      <c r="K324" s="74"/>
    </row>
    <row r="325" spans="1:11" ht="14.45">
      <c r="A325" s="22"/>
      <c r="B325" s="34"/>
      <c r="C325" s="22"/>
      <c r="D325" s="22"/>
      <c r="E325" s="22"/>
      <c r="F325" s="23"/>
      <c r="G325" s="22"/>
      <c r="H325" s="22"/>
      <c r="I325" s="23"/>
      <c r="J325" s="74"/>
      <c r="K325" s="74"/>
    </row>
    <row r="326" spans="1:11" ht="14.45">
      <c r="A326" s="22"/>
      <c r="B326" s="34"/>
      <c r="C326" s="22"/>
      <c r="D326" s="22"/>
      <c r="E326" s="22"/>
      <c r="F326" s="23"/>
      <c r="G326" s="22"/>
      <c r="H326" s="22"/>
      <c r="I326" s="23"/>
      <c r="J326" s="74"/>
      <c r="K326" s="74"/>
    </row>
    <row r="327" spans="1:11" ht="14.45">
      <c r="A327" s="22"/>
      <c r="B327" s="34"/>
      <c r="C327" s="22"/>
      <c r="D327" s="22"/>
      <c r="E327" s="22"/>
      <c r="F327" s="23"/>
      <c r="G327" s="22"/>
      <c r="H327" s="22"/>
      <c r="I327" s="23"/>
      <c r="J327" s="74"/>
      <c r="K327" s="74"/>
    </row>
    <row r="328" spans="1:11" ht="14.45">
      <c r="C328" s="22"/>
      <c r="D328" s="22"/>
      <c r="E328" s="22"/>
      <c r="F328" s="23"/>
      <c r="G328" s="22"/>
      <c r="H328" s="22"/>
      <c r="I328" s="23"/>
      <c r="J328" s="74"/>
      <c r="K328" s="74"/>
    </row>
  </sheetData>
  <mergeCells count="4">
    <mergeCell ref="G1:I1"/>
    <mergeCell ref="A1:C1"/>
    <mergeCell ref="D1:F1"/>
    <mergeCell ref="A2:B2"/>
  </mergeCells>
  <conditionalFormatting sqref="F2 I2 F4:F86 I4:I86">
    <cfRule type="cellIs" dxfId="12" priority="1" stopIfTrue="1" operator="lessThanOrEqual">
      <formula>-0.1</formula>
    </cfRule>
    <cfRule type="expression" dxfId="11" priority="2">
      <formula>AND(ISNUMBER(F2), F2&gt;=0.1)</formula>
    </cfRule>
  </conditionalFormatting>
  <hyperlinks>
    <hyperlink ref="K6" r:id="rId1" display="https://us3.assetplanner.com/service_request?ID=102524" xr:uid="{E2F0EDAF-F9ED-4B29-981D-B6C7F3662E68}"/>
    <hyperlink ref="L6" r:id="rId2" display="https://us3.assetplanner.com/service_request?ID=097592" xr:uid="{C692DD55-EBD3-4A51-85A1-69DC824D486F}"/>
    <hyperlink ref="M6" r:id="rId3" display="https://us3.assetplanner.com/service_request?ID=101859" xr:uid="{70452B96-A30B-4027-9923-EBF25E7EDF2A}"/>
    <hyperlink ref="N6" r:id="rId4" display="https://us3.assetplanner.com/service_request?ID=103044" xr:uid="{02C8223E-762D-4EF8-9F24-18422F64659F}"/>
    <hyperlink ref="K10" r:id="rId5" display="https://us3.assetplanner.com/service_request?ID=101951" xr:uid="{A36C00E8-34C9-4A74-93E4-4C990D05421B}"/>
    <hyperlink ref="L10" r:id="rId6" display="https://us3.assetplanner.com/service_request?ID=102330" xr:uid="{3C0D248E-4DE3-448C-A8B8-315A52A39D74}"/>
    <hyperlink ref="K11" r:id="rId7" display="https://us3.assetplanner.com/service_request?ID=106132" xr:uid="{86FEBA1B-ED4E-4163-BE7A-F199523ECAD5}"/>
    <hyperlink ref="K12" r:id="rId8" display="https://us3.assetplanner.com/service_request?ID=105632" xr:uid="{9362A9BC-5336-4303-A352-EFAC43920616}"/>
    <hyperlink ref="L12" r:id="rId9" display="https://us3.assetplanner.com/service_request?ID=106162" xr:uid="{D4150485-2885-432A-9B28-E42C57FD1BA5}"/>
    <hyperlink ref="K13" r:id="rId10" display="https://us3.assetplanner.com/service_request?ID=106360" xr:uid="{00D85AD5-25AC-4A98-84EC-444AF0E1C2D9}"/>
    <hyperlink ref="L13" r:id="rId11" display="https://us3.assetplanner.com/service_request?ID=106131" xr:uid="{0732081C-53B4-4E7F-BB0D-1FFAD5697162}"/>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T328"/>
  <sheetViews>
    <sheetView topLeftCell="H1" workbookViewId="0">
      <pane ySplit="2" topLeftCell="A3" activePane="bottomLeft" state="frozen"/>
      <selection pane="bottomLeft" activeCell="A4" sqref="A4:A14"/>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style="53" customWidth="1"/>
    <col min="11" max="11" width="20.5703125" style="53" bestFit="1" customWidth="1"/>
    <col min="12" max="14" width="9.5703125" style="53" bestFit="1" customWidth="1"/>
    <col min="15" max="20" width="9.140625" style="53"/>
  </cols>
  <sheetData>
    <row r="1" spans="1:14" ht="19.5" customHeight="1">
      <c r="A1" s="90" t="str" cm="1">
        <f t="array" ref="A1">portfolio</f>
        <v>Pardee (ENCAP)</v>
      </c>
      <c r="B1" s="90"/>
      <c r="C1" s="90"/>
      <c r="D1" s="91" t="s">
        <v>155</v>
      </c>
      <c r="E1" s="91"/>
      <c r="F1" s="91"/>
      <c r="G1" s="89" t="s">
        <v>156</v>
      </c>
      <c r="H1" s="89"/>
      <c r="I1" s="89"/>
      <c r="J1" s="71"/>
      <c r="K1" s="71"/>
    </row>
    <row r="2" spans="1:14" ht="19.5" customHeight="1">
      <c r="A2" s="92" t="s">
        <v>2</v>
      </c>
      <c r="B2" s="92"/>
      <c r="C2" s="5">
        <f>SUM(C4:C86)</f>
        <v>515079.8406</v>
      </c>
      <c r="D2" s="5">
        <f>SUM(D4:D86)</f>
        <v>393476.38899999997</v>
      </c>
      <c r="E2" s="5">
        <f>C2-D2</f>
        <v>121603.45160000003</v>
      </c>
      <c r="F2" s="6">
        <f>IFERROR(E2/D2, 0)</f>
        <v>0.30904891627436387</v>
      </c>
      <c r="G2" s="5">
        <f>SUM(G4:G86)</f>
        <v>479826.88199999998</v>
      </c>
      <c r="H2" s="7">
        <f>C2-G2</f>
        <v>35252.958600000013</v>
      </c>
      <c r="I2" s="6">
        <f>IFERROR(H2/G2, 0)</f>
        <v>7.3470161682187729E-2</v>
      </c>
      <c r="J2" s="72" t="str">
        <f ca="1">IF(AND(TODAY()&gt;DATE(2024, 9, 1), COUNTA(Sites[Site])&lt;&gt;(COUNT(C:C)-1)), "Some sites are missing actual data; if new sites were added, make sure they are aligned correctly (including prior months!)", "")</f>
        <v/>
      </c>
      <c r="K2" s="71"/>
    </row>
    <row r="3" spans="1:14" ht="14.25" customHeight="1">
      <c r="A3" s="8" t="s">
        <v>3</v>
      </c>
      <c r="B3" s="8" t="s">
        <v>4</v>
      </c>
      <c r="C3" s="24" t="s">
        <v>5</v>
      </c>
      <c r="D3" s="36" t="s">
        <v>6</v>
      </c>
      <c r="E3" s="36" t="s">
        <v>7</v>
      </c>
      <c r="F3" s="37" t="s">
        <v>8</v>
      </c>
      <c r="G3" s="38" t="s">
        <v>9</v>
      </c>
      <c r="H3" s="39" t="s">
        <v>7</v>
      </c>
      <c r="I3" s="40" t="s">
        <v>8</v>
      </c>
      <c r="J3" s="73" t="s">
        <v>20</v>
      </c>
      <c r="K3" s="73" t="s">
        <v>21</v>
      </c>
    </row>
    <row r="4" spans="1:14" ht="72">
      <c r="A4" s="33" t="str" cm="1">
        <f t="array" ref="A4:A14">Sites[Site]</f>
        <v>AZ: ASU - Pardee - Discovery Hall</v>
      </c>
      <c r="B4" s="30" t="str" cm="1">
        <f t="array" ref="B4:B14">Sites[State]</f>
        <v>AZ</v>
      </c>
      <c r="C4" s="25">
        <v>8069.75</v>
      </c>
      <c r="D4" s="13">
        <v>7092.5870000000004</v>
      </c>
      <c r="E4" s="13">
        <f>IF(AND(ISNUMBER(C4),ISNUMBER(D4)), C4-D4, "")</f>
        <v>977.16299999999956</v>
      </c>
      <c r="F4" s="14">
        <f>IFERROR(E4/D4, "")</f>
        <v>0.13777243761690897</v>
      </c>
      <c r="G4" s="15">
        <v>9748.6</v>
      </c>
      <c r="H4" s="15">
        <f>IF(AND(ISNUMBER(C4),ISNUMBER(G4)), C4-G4, "")</f>
        <v>-1678.8500000000004</v>
      </c>
      <c r="I4" s="16">
        <f>IFERROR(H4/G4, "")</f>
        <v>-0.17221447182159494</v>
      </c>
      <c r="J4" s="17" t="s">
        <v>126</v>
      </c>
      <c r="K4" s="17"/>
    </row>
    <row r="5" spans="1:14" ht="72">
      <c r="A5" s="31" t="str">
        <v>AZ: ASU - Pardee - Farrington</v>
      </c>
      <c r="B5" s="32" t="str">
        <v>AZ</v>
      </c>
      <c r="C5" s="11">
        <v>30785</v>
      </c>
      <c r="D5" s="19">
        <v>31480</v>
      </c>
      <c r="E5" s="19">
        <f t="shared" ref="E5:E14" si="0">IF(AND(ISNUMBER(C5),ISNUMBER(D5)), C5-D5, "")</f>
        <v>-695</v>
      </c>
      <c r="F5" s="20">
        <f>IFERROR(E5/D5, "")</f>
        <v>-2.2077509529860227E-2</v>
      </c>
      <c r="G5" s="21">
        <v>36614.949999999997</v>
      </c>
      <c r="H5" s="21">
        <f t="shared" ref="H5:H14" si="1">IF(AND(ISNUMBER(C5),ISNUMBER(G5)), C5-G5, "")</f>
        <v>-5829.9499999999971</v>
      </c>
      <c r="I5" s="20">
        <f t="shared" ref="I5:I14" si="2">IFERROR(H5/G5, "")</f>
        <v>-0.15922321346881527</v>
      </c>
      <c r="J5" s="46" t="s">
        <v>126</v>
      </c>
      <c r="K5" s="46"/>
    </row>
    <row r="6" spans="1:14" ht="86.45">
      <c r="A6" s="29" t="str">
        <v>AZ: ASU - Pardee - Macro Tech.</v>
      </c>
      <c r="B6" s="30" t="str">
        <v>AZ</v>
      </c>
      <c r="C6" s="25">
        <v>219626.8406</v>
      </c>
      <c r="D6" s="13">
        <v>116037.9</v>
      </c>
      <c r="E6" s="13">
        <f t="shared" si="0"/>
        <v>103588.9406</v>
      </c>
      <c r="F6" s="14">
        <f t="shared" ref="F6:F14" si="3">IFERROR(E6/D6, "")</f>
        <v>0.89271643661252065</v>
      </c>
      <c r="G6" s="15">
        <v>149153.29999999999</v>
      </c>
      <c r="H6" s="15">
        <f t="shared" si="1"/>
        <v>70473.540600000008</v>
      </c>
      <c r="I6" s="16">
        <f t="shared" si="2"/>
        <v>0.47249065625768932</v>
      </c>
      <c r="J6" s="17" t="s">
        <v>144</v>
      </c>
      <c r="K6" s="57" t="s">
        <v>145</v>
      </c>
      <c r="L6" s="61" t="s">
        <v>40</v>
      </c>
      <c r="M6" s="61" t="s">
        <v>87</v>
      </c>
      <c r="N6" s="61" t="s">
        <v>114</v>
      </c>
    </row>
    <row r="7" spans="1:14" ht="72">
      <c r="A7" s="31" t="str">
        <v>AZ: ASU - Pardee - McCord Hall</v>
      </c>
      <c r="B7" s="32" t="str">
        <v>AZ</v>
      </c>
      <c r="C7" s="11">
        <v>10886.875</v>
      </c>
      <c r="D7" s="19">
        <v>9044</v>
      </c>
      <c r="E7" s="19">
        <f t="shared" si="0"/>
        <v>1842.875</v>
      </c>
      <c r="F7" s="20">
        <f t="shared" si="3"/>
        <v>0.20376769128704114</v>
      </c>
      <c r="G7" s="21">
        <v>13378.81</v>
      </c>
      <c r="H7" s="21">
        <f t="shared" si="1"/>
        <v>-2491.9349999999995</v>
      </c>
      <c r="I7" s="20">
        <f t="shared" si="2"/>
        <v>-0.18625983925326689</v>
      </c>
      <c r="J7" s="46" t="s">
        <v>126</v>
      </c>
      <c r="K7" s="43"/>
    </row>
    <row r="8" spans="1:14" ht="15.6">
      <c r="A8" s="29" t="str">
        <v>AZ: NAU - SF Garage</v>
      </c>
      <c r="B8" s="30" t="str">
        <v>AZ</v>
      </c>
      <c r="C8" s="25">
        <v>74375</v>
      </c>
      <c r="D8" s="13">
        <v>69600.896999999997</v>
      </c>
      <c r="E8" s="13">
        <f t="shared" si="0"/>
        <v>4774.1030000000028</v>
      </c>
      <c r="F8" s="14">
        <f t="shared" si="3"/>
        <v>6.8592549891993537E-2</v>
      </c>
      <c r="G8" s="15">
        <v>76051.297000000006</v>
      </c>
      <c r="H8" s="15">
        <f t="shared" si="1"/>
        <v>-1676.2970000000059</v>
      </c>
      <c r="I8" s="16">
        <f t="shared" si="2"/>
        <v>-2.2041662221750219E-2</v>
      </c>
      <c r="J8" s="17"/>
      <c r="K8" s="17"/>
    </row>
    <row r="9" spans="1:14" ht="15.6">
      <c r="A9" s="31" t="str">
        <v>AZ: ASU - Pardee - Parking Lot 11</v>
      </c>
      <c r="B9" s="32" t="str">
        <v>AZ</v>
      </c>
      <c r="C9" s="11">
        <v>23736.125</v>
      </c>
      <c r="D9" s="19">
        <v>21521.996999999999</v>
      </c>
      <c r="E9" s="19">
        <f t="shared" si="0"/>
        <v>2214.1280000000006</v>
      </c>
      <c r="F9" s="20">
        <f t="shared" si="3"/>
        <v>0.10287744208866866</v>
      </c>
      <c r="G9" s="21">
        <v>21273.508000000002</v>
      </c>
      <c r="H9" s="21">
        <f t="shared" si="1"/>
        <v>2462.6169999999984</v>
      </c>
      <c r="I9" s="20">
        <f t="shared" si="2"/>
        <v>0.11575979852500105</v>
      </c>
      <c r="J9" s="42"/>
      <c r="K9" s="43"/>
    </row>
    <row r="10" spans="1:14" ht="15.6">
      <c r="A10" s="29" t="str">
        <v>AZ: ASU - Pardee - Parking Lot 19</v>
      </c>
      <c r="B10" s="30" t="str">
        <v>AZ</v>
      </c>
      <c r="C10" s="25">
        <v>29990.5</v>
      </c>
      <c r="D10" s="13">
        <v>30200.746999999999</v>
      </c>
      <c r="E10" s="13">
        <f t="shared" si="0"/>
        <v>-210.24699999999939</v>
      </c>
      <c r="F10" s="14">
        <f t="shared" si="3"/>
        <v>-6.961648994973515E-3</v>
      </c>
      <c r="G10" s="15">
        <v>31499.048999999999</v>
      </c>
      <c r="H10" s="15">
        <f t="shared" si="1"/>
        <v>-1508.5489999999991</v>
      </c>
      <c r="I10" s="16">
        <f t="shared" si="2"/>
        <v>-4.7891890323418944E-2</v>
      </c>
      <c r="J10" s="17" t="s">
        <v>157</v>
      </c>
      <c r="K10" s="57" t="s">
        <v>158</v>
      </c>
    </row>
    <row r="11" spans="1:14" ht="15.6">
      <c r="A11" s="31" t="str">
        <v>AZ: ASU - Pardee - Parking Lot 41</v>
      </c>
      <c r="B11" s="32" t="str">
        <v>AZ</v>
      </c>
      <c r="C11" s="11">
        <v>27427.125</v>
      </c>
      <c r="D11" s="19">
        <v>25896.350999999999</v>
      </c>
      <c r="E11" s="19">
        <f t="shared" si="0"/>
        <v>1530.7740000000013</v>
      </c>
      <c r="F11" s="20">
        <f t="shared" si="3"/>
        <v>5.911157135613436E-2</v>
      </c>
      <c r="G11" s="21">
        <v>33098.517</v>
      </c>
      <c r="H11" s="21">
        <f t="shared" si="1"/>
        <v>-5671.3919999999998</v>
      </c>
      <c r="I11" s="20">
        <f t="shared" si="2"/>
        <v>-0.17134882508482177</v>
      </c>
      <c r="J11" s="42" t="s">
        <v>159</v>
      </c>
      <c r="K11" s="60" t="s">
        <v>160</v>
      </c>
    </row>
    <row r="12" spans="1:14" ht="43.15">
      <c r="A12" s="29" t="str">
        <v>AZ: ASU - Pardee - Parking Lot 58</v>
      </c>
      <c r="B12" s="30" t="str">
        <v>AZ</v>
      </c>
      <c r="C12" s="25">
        <v>22147.75</v>
      </c>
      <c r="D12" s="13">
        <v>25842.539000000001</v>
      </c>
      <c r="E12" s="13">
        <f t="shared" si="0"/>
        <v>-3694.7890000000007</v>
      </c>
      <c r="F12" s="14">
        <f t="shared" si="3"/>
        <v>-0.14297314207400444</v>
      </c>
      <c r="G12" s="15">
        <v>37608.194000000003</v>
      </c>
      <c r="H12" s="15">
        <f t="shared" si="1"/>
        <v>-15460.444000000003</v>
      </c>
      <c r="I12" s="16">
        <f t="shared" si="2"/>
        <v>-0.41109243373930698</v>
      </c>
      <c r="J12" s="17" t="s">
        <v>161</v>
      </c>
      <c r="K12" s="57" t="s">
        <v>162</v>
      </c>
      <c r="L12" s="61" t="s">
        <v>163</v>
      </c>
    </row>
    <row r="13" spans="1:14" ht="28.9">
      <c r="A13" s="31" t="str">
        <v>AZ: ASU - Pardee - Parking Lot 59S</v>
      </c>
      <c r="B13" s="32" t="str">
        <v>AZ</v>
      </c>
      <c r="C13" s="11">
        <v>34108.875</v>
      </c>
      <c r="D13" s="19">
        <v>28238.231</v>
      </c>
      <c r="E13" s="19">
        <f t="shared" si="0"/>
        <v>5870.6440000000002</v>
      </c>
      <c r="F13" s="20">
        <f t="shared" si="3"/>
        <v>0.2078970173450313</v>
      </c>
      <c r="G13" s="21">
        <v>34383.156999999999</v>
      </c>
      <c r="H13" s="21">
        <f t="shared" si="1"/>
        <v>-274.28199999999924</v>
      </c>
      <c r="I13" s="20">
        <f t="shared" si="2"/>
        <v>-7.977219776531843E-3</v>
      </c>
      <c r="J13" s="46" t="s">
        <v>138</v>
      </c>
      <c r="K13" s="43"/>
    </row>
    <row r="14" spans="1:14" ht="28.9">
      <c r="A14" s="29" t="str">
        <v>AZ: ASU - Pardee - Sun Devil Complex</v>
      </c>
      <c r="B14" s="30" t="str">
        <v>AZ</v>
      </c>
      <c r="C14" s="25">
        <v>33926</v>
      </c>
      <c r="D14" s="13">
        <v>28521.14</v>
      </c>
      <c r="E14" s="13">
        <f t="shared" si="0"/>
        <v>5404.8600000000006</v>
      </c>
      <c r="F14" s="14">
        <f t="shared" si="3"/>
        <v>0.18950364536620909</v>
      </c>
      <c r="G14" s="15">
        <v>37017.5</v>
      </c>
      <c r="H14" s="15">
        <f t="shared" si="1"/>
        <v>-3091.5</v>
      </c>
      <c r="I14" s="16">
        <f t="shared" si="2"/>
        <v>-8.3514553927196603E-2</v>
      </c>
      <c r="J14" s="17" t="s">
        <v>164</v>
      </c>
      <c r="K14" s="17"/>
    </row>
    <row r="15" spans="1:14" ht="14.45">
      <c r="A15" s="22"/>
      <c r="B15" s="34"/>
      <c r="C15" s="22"/>
      <c r="D15" s="22"/>
      <c r="E15" s="22"/>
      <c r="F15" s="22"/>
      <c r="G15" s="22"/>
      <c r="H15" s="22"/>
      <c r="I15" s="22"/>
      <c r="J15" s="74"/>
      <c r="K15" s="74"/>
    </row>
    <row r="16" spans="1:14" ht="14.45">
      <c r="A16" s="22"/>
      <c r="B16" s="34"/>
      <c r="C16" s="22"/>
      <c r="D16" s="22"/>
      <c r="E16" s="22"/>
      <c r="F16" s="22"/>
      <c r="G16" s="22"/>
      <c r="H16" s="22"/>
      <c r="I16" s="22"/>
      <c r="J16" s="74"/>
      <c r="K16" s="74"/>
    </row>
    <row r="17" spans="1:11" ht="14.45">
      <c r="A17" s="22"/>
      <c r="B17" s="34"/>
      <c r="C17" s="22"/>
      <c r="D17" s="22"/>
      <c r="E17" s="22"/>
      <c r="F17" s="22"/>
      <c r="G17" s="22"/>
      <c r="H17" s="22"/>
      <c r="I17" s="22"/>
      <c r="J17" s="74"/>
      <c r="K17" s="74"/>
    </row>
    <row r="18" spans="1:11" ht="14.45">
      <c r="A18" s="22"/>
      <c r="B18" s="34"/>
      <c r="C18" s="22"/>
      <c r="D18" s="22"/>
      <c r="E18" s="22"/>
      <c r="F18" s="22"/>
      <c r="G18" s="22"/>
      <c r="H18" s="22"/>
      <c r="I18" s="22"/>
      <c r="J18" s="74"/>
      <c r="K18" s="74"/>
    </row>
    <row r="19" spans="1:11" ht="14.45">
      <c r="A19" s="22"/>
      <c r="B19" s="34"/>
      <c r="C19" s="22"/>
      <c r="D19" s="22"/>
      <c r="E19" s="22"/>
      <c r="F19" s="23"/>
      <c r="G19" s="22"/>
      <c r="H19" s="22"/>
      <c r="I19" s="23"/>
      <c r="J19" s="74"/>
      <c r="K19" s="74"/>
    </row>
    <row r="20" spans="1:11" ht="14.45">
      <c r="A20" s="22"/>
      <c r="B20" s="34"/>
      <c r="C20" s="22"/>
      <c r="D20" s="22"/>
      <c r="E20" s="22"/>
      <c r="F20" s="23"/>
      <c r="G20" s="22"/>
      <c r="H20" s="22"/>
      <c r="I20" s="23"/>
      <c r="J20" s="74"/>
      <c r="K20" s="74"/>
    </row>
    <row r="21" spans="1:11" ht="14.45">
      <c r="A21" s="22"/>
      <c r="B21" s="34"/>
      <c r="C21" s="22"/>
      <c r="D21" s="22"/>
      <c r="E21" s="22"/>
      <c r="F21" s="23"/>
      <c r="G21" s="22"/>
      <c r="H21" s="22"/>
      <c r="I21" s="23"/>
      <c r="J21" s="74"/>
      <c r="K21" s="74"/>
    </row>
    <row r="22" spans="1:11" ht="14.45">
      <c r="A22" s="22"/>
      <c r="B22" s="34"/>
      <c r="C22" s="22"/>
      <c r="D22" s="22"/>
      <c r="E22" s="22"/>
      <c r="F22" s="23"/>
      <c r="G22" s="22"/>
      <c r="H22" s="22"/>
      <c r="I22" s="23"/>
      <c r="J22" s="74"/>
      <c r="K22" s="74"/>
    </row>
    <row r="23" spans="1:11" ht="14.45">
      <c r="A23" s="22"/>
      <c r="B23" s="34"/>
      <c r="C23" s="22"/>
      <c r="D23" s="22"/>
      <c r="E23" s="22"/>
      <c r="F23" s="23"/>
      <c r="G23" s="22"/>
      <c r="H23" s="22"/>
      <c r="I23" s="23"/>
      <c r="J23" s="74"/>
      <c r="K23" s="74"/>
    </row>
    <row r="24" spans="1:11" ht="14.45">
      <c r="A24" s="22"/>
      <c r="B24" s="34"/>
      <c r="C24" s="22"/>
      <c r="D24" s="22"/>
      <c r="E24" s="22"/>
      <c r="F24" s="23"/>
      <c r="G24" s="22"/>
      <c r="H24" s="22"/>
      <c r="I24" s="23"/>
      <c r="J24" s="74"/>
      <c r="K24" s="74"/>
    </row>
    <row r="25" spans="1:11" ht="14.45">
      <c r="A25" s="22"/>
      <c r="B25" s="34"/>
      <c r="C25" s="22"/>
      <c r="D25" s="22"/>
      <c r="E25" s="22"/>
      <c r="F25" s="23"/>
      <c r="G25" s="22"/>
      <c r="H25" s="22"/>
      <c r="I25" s="23"/>
      <c r="J25" s="74"/>
      <c r="K25" s="74"/>
    </row>
    <row r="26" spans="1:11" ht="14.45">
      <c r="A26" s="22"/>
      <c r="B26" s="34"/>
      <c r="C26" s="22"/>
      <c r="D26" s="22"/>
      <c r="E26" s="22"/>
      <c r="F26" s="23"/>
      <c r="G26" s="22"/>
      <c r="H26" s="22"/>
      <c r="I26" s="23"/>
      <c r="J26" s="74"/>
      <c r="K26" s="74"/>
    </row>
    <row r="27" spans="1:11" ht="14.45">
      <c r="A27" s="22"/>
      <c r="B27" s="34"/>
      <c r="C27" s="22"/>
      <c r="D27" s="22"/>
      <c r="E27" s="22"/>
      <c r="F27" s="23"/>
      <c r="G27" s="22"/>
      <c r="H27" s="22"/>
      <c r="I27" s="23"/>
      <c r="J27" s="74"/>
      <c r="K27" s="74"/>
    </row>
    <row r="28" spans="1:11" ht="14.45">
      <c r="A28" s="22"/>
      <c r="B28" s="34"/>
      <c r="C28" s="22"/>
      <c r="D28" s="22"/>
      <c r="E28" s="22"/>
      <c r="F28" s="23"/>
      <c r="G28" s="22"/>
      <c r="H28" s="22"/>
      <c r="I28" s="23"/>
      <c r="J28" s="74"/>
      <c r="K28" s="74"/>
    </row>
    <row r="29" spans="1:11" ht="14.45">
      <c r="A29" s="22"/>
      <c r="B29" s="34"/>
      <c r="C29" s="22"/>
      <c r="D29" s="22"/>
      <c r="E29" s="22"/>
      <c r="F29" s="23"/>
      <c r="G29" s="22"/>
      <c r="H29" s="22"/>
      <c r="I29" s="23"/>
      <c r="J29" s="74"/>
      <c r="K29" s="74"/>
    </row>
    <row r="30" spans="1:11" ht="14.45">
      <c r="A30" s="22"/>
      <c r="B30" s="34"/>
      <c r="C30" s="22"/>
      <c r="D30" s="22"/>
      <c r="E30" s="22"/>
      <c r="F30" s="23"/>
      <c r="G30" s="22"/>
      <c r="H30" s="22"/>
      <c r="I30" s="23"/>
      <c r="J30" s="74"/>
      <c r="K30" s="74"/>
    </row>
    <row r="31" spans="1:11" ht="14.45">
      <c r="A31" s="22"/>
      <c r="B31" s="34"/>
      <c r="C31" s="22"/>
      <c r="D31" s="22"/>
      <c r="E31" s="22"/>
      <c r="F31" s="23"/>
      <c r="G31" s="22"/>
      <c r="H31" s="22"/>
      <c r="I31" s="23"/>
      <c r="J31" s="74"/>
      <c r="K31" s="74"/>
    </row>
    <row r="32" spans="1:11" ht="14.45">
      <c r="A32" s="22"/>
      <c r="B32" s="34"/>
      <c r="C32" s="22"/>
      <c r="D32" s="22"/>
      <c r="E32" s="22"/>
      <c r="F32" s="23"/>
      <c r="G32" s="22"/>
      <c r="H32" s="22"/>
      <c r="I32" s="23"/>
      <c r="J32" s="74"/>
      <c r="K32" s="74"/>
    </row>
    <row r="33" spans="1:11" ht="14.45">
      <c r="A33" s="22"/>
      <c r="B33" s="34"/>
      <c r="C33" s="22"/>
      <c r="D33" s="22"/>
      <c r="E33" s="22"/>
      <c r="F33" s="23"/>
      <c r="G33" s="22"/>
      <c r="H33" s="22"/>
      <c r="I33" s="23"/>
      <c r="J33" s="74"/>
      <c r="K33" s="74"/>
    </row>
    <row r="34" spans="1:11" ht="14.45">
      <c r="A34" s="22"/>
      <c r="B34" s="34"/>
      <c r="C34" s="22"/>
      <c r="D34" s="22"/>
      <c r="E34" s="22"/>
      <c r="F34" s="23"/>
      <c r="G34" s="22"/>
      <c r="H34" s="22"/>
      <c r="I34" s="23"/>
      <c r="J34" s="74"/>
      <c r="K34" s="74"/>
    </row>
    <row r="35" spans="1:11" ht="14.45">
      <c r="A35" s="22"/>
      <c r="B35" s="34"/>
      <c r="C35" s="22"/>
      <c r="D35" s="22"/>
      <c r="E35" s="22"/>
      <c r="F35" s="23"/>
      <c r="G35" s="22"/>
      <c r="H35" s="22"/>
      <c r="I35" s="23"/>
      <c r="J35" s="74"/>
      <c r="K35" s="74"/>
    </row>
    <row r="36" spans="1:11" ht="14.45">
      <c r="A36" s="22"/>
      <c r="B36" s="34"/>
      <c r="C36" s="22"/>
      <c r="D36" s="22"/>
      <c r="E36" s="22"/>
      <c r="F36" s="23"/>
      <c r="G36" s="22"/>
      <c r="H36" s="22"/>
      <c r="I36" s="23"/>
      <c r="J36" s="74"/>
      <c r="K36" s="74"/>
    </row>
    <row r="37" spans="1:11" ht="14.45">
      <c r="A37" s="22"/>
      <c r="B37" s="34"/>
      <c r="C37" s="22"/>
      <c r="D37" s="22"/>
      <c r="E37" s="22"/>
      <c r="F37" s="23"/>
      <c r="G37" s="22"/>
      <c r="H37" s="22"/>
      <c r="I37" s="23"/>
      <c r="J37" s="74"/>
      <c r="K37" s="74"/>
    </row>
    <row r="38" spans="1:11" ht="14.45">
      <c r="A38" s="22"/>
      <c r="B38" s="34"/>
      <c r="C38" s="22"/>
      <c r="D38" s="22"/>
      <c r="E38" s="22"/>
      <c r="F38" s="23"/>
      <c r="G38" s="22"/>
      <c r="H38" s="22"/>
      <c r="I38" s="23"/>
      <c r="J38" s="74"/>
      <c r="K38" s="74"/>
    </row>
    <row r="39" spans="1:11" ht="14.45">
      <c r="A39" s="22"/>
      <c r="B39" s="34"/>
      <c r="C39" s="22"/>
      <c r="D39" s="22"/>
      <c r="E39" s="22"/>
      <c r="F39" s="23"/>
      <c r="G39" s="22"/>
      <c r="H39" s="22"/>
      <c r="I39" s="23"/>
      <c r="J39" s="74"/>
      <c r="K39" s="74"/>
    </row>
    <row r="40" spans="1:11" ht="14.45">
      <c r="A40" s="22"/>
      <c r="B40" s="34"/>
      <c r="C40" s="22"/>
      <c r="D40" s="22"/>
      <c r="E40" s="22"/>
      <c r="F40" s="23"/>
      <c r="G40" s="22"/>
      <c r="H40" s="22"/>
      <c r="I40" s="23"/>
      <c r="J40" s="74"/>
      <c r="K40" s="74"/>
    </row>
    <row r="41" spans="1:11" ht="14.45">
      <c r="A41" s="22"/>
      <c r="B41" s="34"/>
      <c r="C41" s="22"/>
      <c r="D41" s="22"/>
      <c r="E41" s="22"/>
      <c r="F41" s="23"/>
      <c r="G41" s="22"/>
      <c r="H41" s="22"/>
      <c r="I41" s="23"/>
      <c r="J41" s="74"/>
      <c r="K41" s="74"/>
    </row>
    <row r="42" spans="1:11" ht="14.45">
      <c r="A42" s="22"/>
      <c r="B42" s="34"/>
      <c r="C42" s="22"/>
      <c r="D42" s="22"/>
      <c r="E42" s="22"/>
      <c r="F42" s="23"/>
      <c r="G42" s="22"/>
      <c r="H42" s="22"/>
      <c r="I42" s="23"/>
      <c r="J42" s="74"/>
      <c r="K42" s="74"/>
    </row>
    <row r="43" spans="1:11" ht="14.45">
      <c r="A43" s="22"/>
      <c r="B43" s="34"/>
      <c r="C43" s="22"/>
      <c r="D43" s="22"/>
      <c r="E43" s="22"/>
      <c r="F43" s="23"/>
      <c r="G43" s="22"/>
      <c r="H43" s="22"/>
      <c r="I43" s="23"/>
      <c r="J43" s="74"/>
      <c r="K43" s="74"/>
    </row>
    <row r="44" spans="1:11" ht="14.45">
      <c r="A44" s="22"/>
      <c r="B44" s="34"/>
      <c r="C44" s="22"/>
      <c r="D44" s="22"/>
      <c r="E44" s="22"/>
      <c r="F44" s="23"/>
      <c r="G44" s="22"/>
      <c r="H44" s="22"/>
      <c r="I44" s="23"/>
      <c r="J44" s="74"/>
      <c r="K44" s="74"/>
    </row>
    <row r="45" spans="1:11" ht="14.45">
      <c r="A45" s="22"/>
      <c r="B45" s="34"/>
      <c r="C45" s="22"/>
      <c r="D45" s="22"/>
      <c r="E45" s="22"/>
      <c r="F45" s="23"/>
      <c r="G45" s="22"/>
      <c r="H45" s="22"/>
      <c r="I45" s="23"/>
      <c r="J45" s="74"/>
      <c r="K45" s="74"/>
    </row>
    <row r="46" spans="1:11" ht="14.45">
      <c r="A46" s="22"/>
      <c r="B46" s="34"/>
      <c r="C46" s="22"/>
      <c r="D46" s="22"/>
      <c r="E46" s="22"/>
      <c r="F46" s="23"/>
      <c r="G46" s="22"/>
      <c r="H46" s="22"/>
      <c r="I46" s="23"/>
      <c r="J46" s="74"/>
      <c r="K46" s="74"/>
    </row>
    <row r="47" spans="1:11" ht="14.45">
      <c r="A47" s="22"/>
      <c r="B47" s="34"/>
      <c r="C47" s="22"/>
      <c r="D47" s="22"/>
      <c r="E47" s="22"/>
      <c r="F47" s="23"/>
      <c r="G47" s="22"/>
      <c r="H47" s="22"/>
      <c r="I47" s="23"/>
      <c r="J47" s="74"/>
      <c r="K47" s="74"/>
    </row>
    <row r="48" spans="1:11" ht="14.45">
      <c r="A48" s="22"/>
      <c r="B48" s="34"/>
      <c r="C48" s="22"/>
      <c r="D48" s="22"/>
      <c r="E48" s="22"/>
      <c r="F48" s="23"/>
      <c r="G48" s="22"/>
      <c r="H48" s="22"/>
      <c r="I48" s="23"/>
      <c r="J48" s="74"/>
      <c r="K48" s="74"/>
    </row>
    <row r="49" spans="1:11" ht="14.45">
      <c r="A49" s="22"/>
      <c r="B49" s="34"/>
      <c r="C49" s="22"/>
      <c r="D49" s="22"/>
      <c r="E49" s="22"/>
      <c r="F49" s="23"/>
      <c r="G49" s="22"/>
      <c r="H49" s="22"/>
      <c r="I49" s="23"/>
      <c r="J49" s="74"/>
      <c r="K49" s="74"/>
    </row>
    <row r="50" spans="1:11" ht="14.45">
      <c r="A50" s="22"/>
      <c r="B50" s="34"/>
      <c r="C50" s="22"/>
      <c r="D50" s="22"/>
      <c r="E50" s="22"/>
      <c r="F50" s="23"/>
      <c r="G50" s="22"/>
      <c r="H50" s="22"/>
      <c r="I50" s="23"/>
      <c r="J50" s="74"/>
      <c r="K50" s="74"/>
    </row>
    <row r="51" spans="1:11" ht="14.45">
      <c r="A51" s="22"/>
      <c r="B51" s="34"/>
      <c r="C51" s="22"/>
      <c r="D51" s="22"/>
      <c r="E51" s="22"/>
      <c r="F51" s="23"/>
      <c r="G51" s="22"/>
      <c r="H51" s="22"/>
      <c r="I51" s="23"/>
      <c r="J51" s="74"/>
      <c r="K51" s="74"/>
    </row>
    <row r="52" spans="1:11" ht="14.45">
      <c r="A52" s="22"/>
      <c r="B52" s="34"/>
      <c r="C52" s="22"/>
      <c r="D52" s="22"/>
      <c r="E52" s="22"/>
      <c r="F52" s="23"/>
      <c r="G52" s="22"/>
      <c r="H52" s="22"/>
      <c r="I52" s="23"/>
      <c r="J52" s="74"/>
      <c r="K52" s="74"/>
    </row>
    <row r="53" spans="1:11" ht="14.45">
      <c r="A53" s="22"/>
      <c r="B53" s="34"/>
      <c r="C53" s="22"/>
      <c r="D53" s="22"/>
      <c r="E53" s="22"/>
      <c r="F53" s="23"/>
      <c r="G53" s="22"/>
      <c r="H53" s="22"/>
      <c r="I53" s="23"/>
      <c r="J53" s="74"/>
      <c r="K53" s="74"/>
    </row>
    <row r="54" spans="1:11" ht="14.45">
      <c r="A54" s="22"/>
      <c r="B54" s="34"/>
      <c r="C54" s="22"/>
      <c r="D54" s="22"/>
      <c r="E54" s="22"/>
      <c r="F54" s="23"/>
      <c r="G54" s="22"/>
      <c r="H54" s="22"/>
      <c r="I54" s="23"/>
      <c r="J54" s="74"/>
      <c r="K54" s="74"/>
    </row>
    <row r="55" spans="1:11" ht="14.45">
      <c r="A55" s="22"/>
      <c r="B55" s="34"/>
      <c r="C55" s="22"/>
      <c r="D55" s="22"/>
      <c r="E55" s="22"/>
      <c r="F55" s="23"/>
      <c r="G55" s="22"/>
      <c r="H55" s="22"/>
      <c r="I55" s="23"/>
      <c r="J55" s="74"/>
      <c r="K55" s="74"/>
    </row>
    <row r="56" spans="1:11" ht="14.45">
      <c r="A56" s="22"/>
      <c r="B56" s="34"/>
      <c r="C56" s="22"/>
      <c r="D56" s="22"/>
      <c r="E56" s="22"/>
      <c r="F56" s="23"/>
      <c r="G56" s="22"/>
      <c r="H56" s="22"/>
      <c r="I56" s="23"/>
      <c r="J56" s="74"/>
      <c r="K56" s="74"/>
    </row>
    <row r="57" spans="1:11" ht="14.45">
      <c r="A57" s="22"/>
      <c r="B57" s="34"/>
      <c r="C57" s="22"/>
      <c r="D57" s="22"/>
      <c r="E57" s="22"/>
      <c r="F57" s="23"/>
      <c r="G57" s="22"/>
      <c r="H57" s="22"/>
      <c r="I57" s="23"/>
      <c r="J57" s="74"/>
      <c r="K57" s="74"/>
    </row>
    <row r="58" spans="1:11" ht="14.45">
      <c r="A58" s="22"/>
      <c r="B58" s="34"/>
      <c r="C58" s="22"/>
      <c r="D58" s="22"/>
      <c r="E58" s="22"/>
      <c r="F58" s="23"/>
      <c r="G58" s="22"/>
      <c r="H58" s="22"/>
      <c r="I58" s="23"/>
      <c r="J58" s="74"/>
      <c r="K58" s="74"/>
    </row>
    <row r="59" spans="1:11" ht="14.45">
      <c r="A59" s="22"/>
      <c r="B59" s="34"/>
      <c r="C59" s="22"/>
      <c r="D59" s="22"/>
      <c r="E59" s="22"/>
      <c r="F59" s="23"/>
      <c r="G59" s="22"/>
      <c r="H59" s="22"/>
      <c r="I59" s="23"/>
      <c r="J59" s="74"/>
      <c r="K59" s="74"/>
    </row>
    <row r="60" spans="1:11" ht="14.45">
      <c r="A60" s="22"/>
      <c r="B60" s="34"/>
      <c r="C60" s="22"/>
      <c r="D60" s="22"/>
      <c r="E60" s="22"/>
      <c r="F60" s="23"/>
      <c r="G60" s="22"/>
      <c r="H60" s="22"/>
      <c r="I60" s="23"/>
      <c r="J60" s="74"/>
      <c r="K60" s="74"/>
    </row>
    <row r="61" spans="1:11" ht="14.45">
      <c r="A61" s="22"/>
      <c r="B61" s="34"/>
      <c r="C61" s="22"/>
      <c r="D61" s="22"/>
      <c r="E61" s="22"/>
      <c r="F61" s="23"/>
      <c r="G61" s="22"/>
      <c r="H61" s="22"/>
      <c r="I61" s="23"/>
      <c r="J61" s="74"/>
      <c r="K61" s="74"/>
    </row>
    <row r="62" spans="1:11" ht="14.45">
      <c r="A62" s="22"/>
      <c r="B62" s="34"/>
      <c r="C62" s="22"/>
      <c r="D62" s="22"/>
      <c r="E62" s="22"/>
      <c r="F62" s="23"/>
      <c r="G62" s="22"/>
      <c r="H62" s="22"/>
      <c r="I62" s="23"/>
      <c r="J62" s="74"/>
      <c r="K62" s="74"/>
    </row>
    <row r="63" spans="1:11" ht="14.45">
      <c r="A63" s="22"/>
      <c r="B63" s="34"/>
      <c r="C63" s="22"/>
      <c r="D63" s="22"/>
      <c r="E63" s="22"/>
      <c r="F63" s="23"/>
      <c r="G63" s="22"/>
      <c r="H63" s="22"/>
      <c r="I63" s="23"/>
      <c r="J63" s="74"/>
      <c r="K63" s="74"/>
    </row>
    <row r="64" spans="1:11" ht="14.45">
      <c r="A64" s="22"/>
      <c r="B64" s="34"/>
      <c r="C64" s="22"/>
      <c r="D64" s="22"/>
      <c r="E64" s="22"/>
      <c r="F64" s="23"/>
      <c r="G64" s="22"/>
      <c r="H64" s="22"/>
      <c r="I64" s="23"/>
      <c r="J64" s="74"/>
      <c r="K64" s="74"/>
    </row>
    <row r="65" spans="1:11" ht="14.45">
      <c r="A65" s="22"/>
      <c r="B65" s="34"/>
      <c r="C65" s="22"/>
      <c r="D65" s="22"/>
      <c r="E65" s="22"/>
      <c r="F65" s="23"/>
      <c r="G65" s="22"/>
      <c r="H65" s="22"/>
      <c r="I65" s="23"/>
      <c r="J65" s="74"/>
      <c r="K65" s="74"/>
    </row>
    <row r="66" spans="1:11" ht="14.45">
      <c r="A66" s="22"/>
      <c r="B66" s="34"/>
      <c r="C66" s="22"/>
      <c r="D66" s="22"/>
      <c r="E66" s="22"/>
      <c r="F66" s="23"/>
      <c r="G66" s="22"/>
      <c r="H66" s="22"/>
      <c r="I66" s="23"/>
      <c r="J66" s="74"/>
      <c r="K66" s="74"/>
    </row>
    <row r="67" spans="1:11" ht="14.45">
      <c r="A67" s="22"/>
      <c r="B67" s="34"/>
      <c r="C67" s="22"/>
      <c r="D67" s="22"/>
      <c r="E67" s="22"/>
      <c r="F67" s="23"/>
      <c r="G67" s="22"/>
      <c r="H67" s="22"/>
      <c r="I67" s="23"/>
      <c r="J67" s="74"/>
      <c r="K67" s="74"/>
    </row>
    <row r="68" spans="1:11" ht="14.45">
      <c r="A68" s="22"/>
      <c r="B68" s="34"/>
      <c r="C68" s="22"/>
      <c r="D68" s="22"/>
      <c r="E68" s="22"/>
      <c r="F68" s="23"/>
      <c r="G68" s="22"/>
      <c r="H68" s="22"/>
      <c r="I68" s="23"/>
      <c r="J68" s="74"/>
      <c r="K68" s="74"/>
    </row>
    <row r="69" spans="1:11" ht="14.45">
      <c r="A69" s="22"/>
      <c r="B69" s="34"/>
      <c r="C69" s="22"/>
      <c r="D69" s="22"/>
      <c r="E69" s="22"/>
      <c r="F69" s="23"/>
      <c r="G69" s="22"/>
      <c r="H69" s="22"/>
      <c r="I69" s="23"/>
      <c r="J69" s="74"/>
      <c r="K69" s="74"/>
    </row>
    <row r="70" spans="1:11" ht="14.45">
      <c r="A70" s="22"/>
      <c r="B70" s="34"/>
      <c r="C70" s="22"/>
      <c r="D70" s="22"/>
      <c r="E70" s="22"/>
      <c r="F70" s="23"/>
      <c r="G70" s="22"/>
      <c r="H70" s="22"/>
      <c r="I70" s="23"/>
      <c r="J70" s="74"/>
      <c r="K70" s="74"/>
    </row>
    <row r="71" spans="1:11" ht="14.45">
      <c r="A71" s="22"/>
      <c r="B71" s="34"/>
      <c r="C71" s="22"/>
      <c r="D71" s="22"/>
      <c r="E71" s="22"/>
      <c r="F71" s="23"/>
      <c r="G71" s="22"/>
      <c r="H71" s="22"/>
      <c r="I71" s="23"/>
      <c r="J71" s="74"/>
      <c r="K71" s="74"/>
    </row>
    <row r="72" spans="1:11" ht="14.45">
      <c r="A72" s="22"/>
      <c r="B72" s="34"/>
      <c r="C72" s="22"/>
      <c r="D72" s="22"/>
      <c r="E72" s="22"/>
      <c r="F72" s="23"/>
      <c r="G72" s="22"/>
      <c r="H72" s="22"/>
      <c r="I72" s="23"/>
      <c r="J72" s="74"/>
      <c r="K72" s="74"/>
    </row>
    <row r="73" spans="1:11" ht="14.45">
      <c r="A73" s="22"/>
      <c r="B73" s="34"/>
      <c r="C73" s="22"/>
      <c r="D73" s="22"/>
      <c r="E73" s="22"/>
      <c r="F73" s="23"/>
      <c r="G73" s="22"/>
      <c r="H73" s="22"/>
      <c r="I73" s="23"/>
      <c r="J73" s="74"/>
      <c r="K73" s="74"/>
    </row>
    <row r="74" spans="1:11" ht="14.45">
      <c r="A74" s="22"/>
      <c r="B74" s="34"/>
      <c r="C74" s="22"/>
      <c r="D74" s="22"/>
      <c r="E74" s="22"/>
      <c r="F74" s="23"/>
      <c r="G74" s="22"/>
      <c r="H74" s="22"/>
      <c r="I74" s="23"/>
      <c r="J74" s="74"/>
      <c r="K74" s="74"/>
    </row>
    <row r="75" spans="1:11" ht="14.45">
      <c r="A75" s="22"/>
      <c r="B75" s="34"/>
      <c r="C75" s="22"/>
      <c r="D75" s="22"/>
      <c r="E75" s="22"/>
      <c r="F75" s="23"/>
      <c r="G75" s="22"/>
      <c r="H75" s="22"/>
      <c r="I75" s="23"/>
      <c r="J75" s="74"/>
      <c r="K75" s="74"/>
    </row>
    <row r="76" spans="1:11" ht="14.45">
      <c r="A76" s="22"/>
      <c r="B76" s="34"/>
      <c r="C76" s="22"/>
      <c r="D76" s="22"/>
      <c r="E76" s="22"/>
      <c r="F76" s="23"/>
      <c r="G76" s="22"/>
      <c r="H76" s="22"/>
      <c r="I76" s="23"/>
      <c r="J76" s="74"/>
      <c r="K76" s="74"/>
    </row>
    <row r="77" spans="1:11" ht="14.45">
      <c r="A77" s="22"/>
      <c r="B77" s="34"/>
      <c r="C77" s="22"/>
      <c r="D77" s="22"/>
      <c r="E77" s="22"/>
      <c r="F77" s="23"/>
      <c r="G77" s="22"/>
      <c r="H77" s="22"/>
      <c r="I77" s="23"/>
      <c r="J77" s="74"/>
      <c r="K77" s="74"/>
    </row>
    <row r="78" spans="1:11" ht="14.45">
      <c r="A78" s="22"/>
      <c r="B78" s="34"/>
      <c r="C78" s="22"/>
      <c r="D78" s="22"/>
      <c r="E78" s="22"/>
      <c r="F78" s="23"/>
      <c r="G78" s="22"/>
      <c r="H78" s="22"/>
      <c r="I78" s="23"/>
      <c r="J78" s="74"/>
      <c r="K78" s="74"/>
    </row>
    <row r="79" spans="1:11" ht="14.45">
      <c r="A79" s="22"/>
      <c r="B79" s="34"/>
      <c r="C79" s="22"/>
      <c r="D79" s="22"/>
      <c r="E79" s="22"/>
      <c r="F79" s="23"/>
      <c r="G79" s="22"/>
      <c r="H79" s="22"/>
      <c r="I79" s="23"/>
      <c r="J79" s="74"/>
      <c r="K79" s="74"/>
    </row>
    <row r="80" spans="1:11" ht="14.45">
      <c r="A80" s="22"/>
      <c r="B80" s="34"/>
      <c r="C80" s="22"/>
      <c r="D80" s="22"/>
      <c r="E80" s="22"/>
      <c r="F80" s="23"/>
      <c r="G80" s="22"/>
      <c r="H80" s="22"/>
      <c r="I80" s="23"/>
      <c r="J80" s="74"/>
      <c r="K80" s="74"/>
    </row>
    <row r="81" spans="1:11" ht="14.45">
      <c r="A81" s="22"/>
      <c r="B81" s="34"/>
      <c r="C81" s="22"/>
      <c r="D81" s="22"/>
      <c r="E81" s="22"/>
      <c r="F81" s="23"/>
      <c r="G81" s="22"/>
      <c r="H81" s="22"/>
      <c r="I81" s="23"/>
      <c r="J81" s="74"/>
      <c r="K81" s="74"/>
    </row>
    <row r="82" spans="1:11" ht="14.45">
      <c r="A82" s="22"/>
      <c r="B82" s="34"/>
      <c r="C82" s="22"/>
      <c r="D82" s="22"/>
      <c r="E82" s="22"/>
      <c r="F82" s="23"/>
      <c r="G82" s="22"/>
      <c r="H82" s="22"/>
      <c r="I82" s="23"/>
      <c r="J82" s="74"/>
      <c r="K82" s="74"/>
    </row>
    <row r="83" spans="1:11" ht="14.45">
      <c r="A83" s="22"/>
      <c r="B83" s="34"/>
      <c r="C83" s="22"/>
      <c r="D83" s="22"/>
      <c r="E83" s="22"/>
      <c r="F83" s="23"/>
      <c r="G83" s="22"/>
      <c r="H83" s="22"/>
      <c r="I83" s="23"/>
      <c r="J83" s="74"/>
      <c r="K83" s="74"/>
    </row>
    <row r="84" spans="1:11" ht="14.45">
      <c r="A84" s="22"/>
      <c r="B84" s="34"/>
      <c r="C84" s="22"/>
      <c r="D84" s="22"/>
      <c r="E84" s="22"/>
      <c r="F84" s="23"/>
      <c r="G84" s="22"/>
      <c r="H84" s="22"/>
      <c r="I84" s="23"/>
      <c r="J84" s="74"/>
      <c r="K84" s="74"/>
    </row>
    <row r="85" spans="1:11" ht="14.45">
      <c r="A85" s="22"/>
      <c r="B85" s="34"/>
      <c r="C85" s="22"/>
      <c r="D85" s="22"/>
      <c r="E85" s="22"/>
      <c r="F85" s="23"/>
      <c r="G85" s="22"/>
      <c r="H85" s="22"/>
      <c r="I85" s="23"/>
      <c r="J85" s="74"/>
      <c r="K85" s="74"/>
    </row>
    <row r="86" spans="1:11" ht="14.45">
      <c r="A86" s="22"/>
      <c r="B86" s="34"/>
      <c r="C86" s="22"/>
      <c r="D86" s="22"/>
      <c r="E86" s="22"/>
      <c r="F86" s="23"/>
      <c r="G86" s="22"/>
      <c r="H86" s="22"/>
      <c r="I86" s="23"/>
      <c r="J86" s="74"/>
      <c r="K86" s="74"/>
    </row>
    <row r="87" spans="1:11" ht="14.45">
      <c r="A87" s="22"/>
      <c r="B87" s="34"/>
      <c r="C87" s="22"/>
      <c r="D87" s="22"/>
      <c r="E87" s="22"/>
      <c r="F87" s="23"/>
      <c r="G87" s="22"/>
      <c r="H87" s="22"/>
      <c r="I87" s="23"/>
      <c r="J87" s="74"/>
      <c r="K87" s="74"/>
    </row>
    <row r="88" spans="1:11" ht="14.45">
      <c r="A88" s="22"/>
      <c r="B88" s="34"/>
      <c r="C88" s="22"/>
      <c r="D88" s="22"/>
      <c r="E88" s="22"/>
      <c r="F88" s="23"/>
      <c r="G88" s="22"/>
      <c r="H88" s="22"/>
      <c r="I88" s="23"/>
      <c r="J88" s="74"/>
      <c r="K88" s="74"/>
    </row>
    <row r="89" spans="1:11" ht="14.45">
      <c r="A89" s="22"/>
      <c r="B89" s="34"/>
      <c r="C89" s="22"/>
      <c r="D89" s="22"/>
      <c r="E89" s="22"/>
      <c r="F89" s="23"/>
      <c r="G89" s="22"/>
      <c r="H89" s="22"/>
      <c r="I89" s="23"/>
      <c r="J89" s="74"/>
      <c r="K89" s="74"/>
    </row>
    <row r="90" spans="1:11" ht="14.45">
      <c r="A90" s="22"/>
      <c r="B90" s="34"/>
      <c r="C90" s="22"/>
      <c r="D90" s="22"/>
      <c r="E90" s="22"/>
      <c r="F90" s="23"/>
      <c r="G90" s="22"/>
      <c r="H90" s="22"/>
      <c r="I90" s="23"/>
      <c r="J90" s="74"/>
      <c r="K90" s="74"/>
    </row>
    <row r="91" spans="1:11" ht="14.45">
      <c r="A91" s="22"/>
      <c r="B91" s="34"/>
      <c r="C91" s="22"/>
      <c r="D91" s="22"/>
      <c r="E91" s="22"/>
      <c r="F91" s="23"/>
      <c r="G91" s="22"/>
      <c r="H91" s="22"/>
      <c r="I91" s="23"/>
      <c r="J91" s="74"/>
      <c r="K91" s="74"/>
    </row>
    <row r="92" spans="1:11" ht="14.45">
      <c r="A92" s="22"/>
      <c r="B92" s="34"/>
      <c r="C92" s="22"/>
      <c r="D92" s="22"/>
      <c r="E92" s="22"/>
      <c r="F92" s="23"/>
      <c r="G92" s="22"/>
      <c r="H92" s="22"/>
      <c r="I92" s="23"/>
      <c r="J92" s="74"/>
      <c r="K92" s="74"/>
    </row>
    <row r="93" spans="1:11" ht="14.45">
      <c r="A93" s="22"/>
      <c r="B93" s="34"/>
      <c r="C93" s="22"/>
      <c r="D93" s="22"/>
      <c r="E93" s="22"/>
      <c r="F93" s="23"/>
      <c r="G93" s="22"/>
      <c r="H93" s="22"/>
      <c r="I93" s="23"/>
      <c r="J93" s="74"/>
      <c r="K93" s="74"/>
    </row>
    <row r="94" spans="1:11" ht="14.45">
      <c r="A94" s="22"/>
      <c r="B94" s="34"/>
      <c r="C94" s="22"/>
      <c r="D94" s="22"/>
      <c r="E94" s="22"/>
      <c r="F94" s="23"/>
      <c r="G94" s="22"/>
      <c r="H94" s="22"/>
      <c r="I94" s="23"/>
      <c r="J94" s="74"/>
      <c r="K94" s="74"/>
    </row>
    <row r="95" spans="1:11" ht="14.45">
      <c r="A95" s="22"/>
      <c r="B95" s="34"/>
      <c r="C95" s="22"/>
      <c r="D95" s="22"/>
      <c r="E95" s="22"/>
      <c r="F95" s="23"/>
      <c r="G95" s="22"/>
      <c r="H95" s="22"/>
      <c r="I95" s="23"/>
      <c r="J95" s="74"/>
      <c r="K95" s="74"/>
    </row>
    <row r="96" spans="1:11" ht="14.45">
      <c r="A96" s="22"/>
      <c r="B96" s="34"/>
      <c r="C96" s="22"/>
      <c r="D96" s="22"/>
      <c r="E96" s="22"/>
      <c r="F96" s="23"/>
      <c r="G96" s="22"/>
      <c r="H96" s="22"/>
      <c r="I96" s="23"/>
      <c r="J96" s="74"/>
      <c r="K96" s="74"/>
    </row>
    <row r="97" spans="1:11" ht="14.45">
      <c r="A97" s="22"/>
      <c r="B97" s="34"/>
      <c r="C97" s="22"/>
      <c r="D97" s="22"/>
      <c r="E97" s="22"/>
      <c r="F97" s="23"/>
      <c r="G97" s="22"/>
      <c r="H97" s="22"/>
      <c r="I97" s="23"/>
      <c r="J97" s="74"/>
      <c r="K97" s="74"/>
    </row>
    <row r="98" spans="1:11" ht="14.45">
      <c r="A98" s="22"/>
      <c r="B98" s="34"/>
      <c r="C98" s="22"/>
      <c r="D98" s="22"/>
      <c r="E98" s="22"/>
      <c r="F98" s="23"/>
      <c r="G98" s="22"/>
      <c r="H98" s="22"/>
      <c r="I98" s="23"/>
      <c r="J98" s="74"/>
      <c r="K98" s="74"/>
    </row>
    <row r="99" spans="1:11" ht="14.45">
      <c r="A99" s="22"/>
      <c r="B99" s="34"/>
      <c r="C99" s="22"/>
      <c r="D99" s="22"/>
      <c r="E99" s="22"/>
      <c r="F99" s="23"/>
      <c r="G99" s="22"/>
      <c r="H99" s="22"/>
      <c r="I99" s="23"/>
      <c r="J99" s="74"/>
      <c r="K99" s="74"/>
    </row>
    <row r="100" spans="1:11" ht="14.45">
      <c r="A100" s="22"/>
      <c r="B100" s="34"/>
      <c r="C100" s="22"/>
      <c r="D100" s="22"/>
      <c r="E100" s="22"/>
      <c r="F100" s="23"/>
      <c r="G100" s="22"/>
      <c r="H100" s="22"/>
      <c r="I100" s="23"/>
      <c r="J100" s="74"/>
      <c r="K100" s="74"/>
    </row>
    <row r="101" spans="1:11" ht="14.45">
      <c r="A101" s="22"/>
      <c r="B101" s="34"/>
      <c r="C101" s="22"/>
      <c r="D101" s="22"/>
      <c r="E101" s="22"/>
      <c r="F101" s="23"/>
      <c r="G101" s="22"/>
      <c r="H101" s="22"/>
      <c r="I101" s="23"/>
      <c r="J101" s="74"/>
      <c r="K101" s="74"/>
    </row>
    <row r="102" spans="1:11" ht="14.45">
      <c r="A102" s="22"/>
      <c r="B102" s="34"/>
      <c r="C102" s="22"/>
      <c r="D102" s="22"/>
      <c r="E102" s="22"/>
      <c r="F102" s="23"/>
      <c r="G102" s="22"/>
      <c r="H102" s="22"/>
      <c r="I102" s="23"/>
      <c r="J102" s="74"/>
      <c r="K102" s="74"/>
    </row>
    <row r="103" spans="1:11" ht="14.45">
      <c r="A103" s="22"/>
      <c r="B103" s="34"/>
      <c r="C103" s="22"/>
      <c r="D103" s="22"/>
      <c r="E103" s="22"/>
      <c r="F103" s="23"/>
      <c r="G103" s="22"/>
      <c r="H103" s="22"/>
      <c r="I103" s="23"/>
      <c r="J103" s="74"/>
      <c r="K103" s="74"/>
    </row>
    <row r="104" spans="1:11" ht="14.45">
      <c r="A104" s="22"/>
      <c r="B104" s="34"/>
      <c r="C104" s="22"/>
      <c r="D104" s="22"/>
      <c r="E104" s="22"/>
      <c r="F104" s="23"/>
      <c r="G104" s="22"/>
      <c r="H104" s="22"/>
      <c r="I104" s="23"/>
      <c r="J104" s="74"/>
      <c r="K104" s="74"/>
    </row>
    <row r="105" spans="1:11" ht="14.45">
      <c r="A105" s="22"/>
      <c r="B105" s="34"/>
      <c r="C105" s="22"/>
      <c r="D105" s="22"/>
      <c r="E105" s="22"/>
      <c r="F105" s="23"/>
      <c r="G105" s="22"/>
      <c r="H105" s="22"/>
      <c r="I105" s="23"/>
      <c r="J105" s="74"/>
      <c r="K105" s="74"/>
    </row>
    <row r="106" spans="1:11" ht="14.45">
      <c r="A106" s="22"/>
      <c r="B106" s="34"/>
      <c r="C106" s="22"/>
      <c r="D106" s="22"/>
      <c r="E106" s="22"/>
      <c r="F106" s="23"/>
      <c r="G106" s="22"/>
      <c r="H106" s="22"/>
      <c r="I106" s="23"/>
      <c r="J106" s="74"/>
      <c r="K106" s="74"/>
    </row>
    <row r="107" spans="1:11" ht="14.45">
      <c r="A107" s="22"/>
      <c r="B107" s="34"/>
      <c r="C107" s="22"/>
      <c r="D107" s="22"/>
      <c r="E107" s="22"/>
      <c r="F107" s="23"/>
      <c r="G107" s="22"/>
      <c r="H107" s="22"/>
      <c r="I107" s="23"/>
      <c r="J107" s="74"/>
      <c r="K107" s="74"/>
    </row>
    <row r="108" spans="1:11" ht="14.45">
      <c r="A108" s="22"/>
      <c r="B108" s="34"/>
      <c r="C108" s="22"/>
      <c r="D108" s="22"/>
      <c r="E108" s="22"/>
      <c r="F108" s="23"/>
      <c r="G108" s="22"/>
      <c r="H108" s="22"/>
      <c r="I108" s="23"/>
      <c r="J108" s="74"/>
      <c r="K108" s="74"/>
    </row>
    <row r="109" spans="1:11" ht="14.45">
      <c r="A109" s="22"/>
      <c r="B109" s="34"/>
      <c r="C109" s="22"/>
      <c r="D109" s="22"/>
      <c r="E109" s="22"/>
      <c r="F109" s="23"/>
      <c r="G109" s="22"/>
      <c r="H109" s="22"/>
      <c r="I109" s="23"/>
      <c r="J109" s="74"/>
      <c r="K109" s="74"/>
    </row>
    <row r="110" spans="1:11" ht="14.45">
      <c r="A110" s="22"/>
      <c r="B110" s="34"/>
      <c r="C110" s="22"/>
      <c r="D110" s="22"/>
      <c r="E110" s="22"/>
      <c r="F110" s="23"/>
      <c r="G110" s="22"/>
      <c r="H110" s="22"/>
      <c r="I110" s="23"/>
      <c r="J110" s="74"/>
      <c r="K110" s="74"/>
    </row>
    <row r="111" spans="1:11" ht="14.45">
      <c r="A111" s="22"/>
      <c r="B111" s="34"/>
      <c r="C111" s="22"/>
      <c r="D111" s="22"/>
      <c r="E111" s="22"/>
      <c r="F111" s="23"/>
      <c r="G111" s="22"/>
      <c r="H111" s="22"/>
      <c r="I111" s="23"/>
      <c r="J111" s="74"/>
      <c r="K111" s="74"/>
    </row>
    <row r="112" spans="1:11" ht="14.45">
      <c r="A112" s="22"/>
      <c r="B112" s="34"/>
      <c r="C112" s="22"/>
      <c r="D112" s="22"/>
      <c r="E112" s="22"/>
      <c r="F112" s="23"/>
      <c r="G112" s="22"/>
      <c r="H112" s="22"/>
      <c r="I112" s="23"/>
      <c r="J112" s="74"/>
      <c r="K112" s="74"/>
    </row>
    <row r="113" spans="1:11" ht="14.45">
      <c r="A113" s="22"/>
      <c r="B113" s="34"/>
      <c r="C113" s="22"/>
      <c r="D113" s="22"/>
      <c r="E113" s="22"/>
      <c r="F113" s="23"/>
      <c r="G113" s="22"/>
      <c r="H113" s="22"/>
      <c r="I113" s="23"/>
      <c r="J113" s="74"/>
      <c r="K113" s="74"/>
    </row>
    <row r="114" spans="1:11" ht="14.45">
      <c r="A114" s="22"/>
      <c r="B114" s="34"/>
      <c r="C114" s="22"/>
      <c r="D114" s="22"/>
      <c r="E114" s="22"/>
      <c r="F114" s="23"/>
      <c r="G114" s="22"/>
      <c r="H114" s="22"/>
      <c r="I114" s="23"/>
      <c r="J114" s="74"/>
      <c r="K114" s="74"/>
    </row>
    <row r="115" spans="1:11" ht="14.45">
      <c r="A115" s="22"/>
      <c r="B115" s="34"/>
      <c r="C115" s="22"/>
      <c r="D115" s="22"/>
      <c r="E115" s="22"/>
      <c r="F115" s="23"/>
      <c r="G115" s="22"/>
      <c r="H115" s="22"/>
      <c r="I115" s="23"/>
      <c r="J115" s="74"/>
      <c r="K115" s="74"/>
    </row>
    <row r="116" spans="1:11" ht="14.45">
      <c r="A116" s="22"/>
      <c r="B116" s="34"/>
      <c r="C116" s="22"/>
      <c r="D116" s="22"/>
      <c r="E116" s="22"/>
      <c r="F116" s="23"/>
      <c r="G116" s="22"/>
      <c r="H116" s="22"/>
      <c r="I116" s="23"/>
      <c r="J116" s="74"/>
      <c r="K116" s="74"/>
    </row>
    <row r="117" spans="1:11" ht="14.45">
      <c r="A117" s="22"/>
      <c r="B117" s="34"/>
      <c r="C117" s="22"/>
      <c r="D117" s="22"/>
      <c r="E117" s="22"/>
      <c r="F117" s="23"/>
      <c r="G117" s="22"/>
      <c r="H117" s="22"/>
      <c r="I117" s="23"/>
      <c r="J117" s="74"/>
      <c r="K117" s="74"/>
    </row>
    <row r="118" spans="1:11" ht="14.45">
      <c r="A118" s="22"/>
      <c r="B118" s="34"/>
      <c r="C118" s="22"/>
      <c r="D118" s="22"/>
      <c r="E118" s="22"/>
      <c r="F118" s="23"/>
      <c r="G118" s="22"/>
      <c r="H118" s="22"/>
      <c r="I118" s="23"/>
      <c r="J118" s="74"/>
      <c r="K118" s="74"/>
    </row>
    <row r="119" spans="1:11" ht="14.45">
      <c r="A119" s="22"/>
      <c r="B119" s="34"/>
      <c r="C119" s="22"/>
      <c r="D119" s="22"/>
      <c r="E119" s="22"/>
      <c r="F119" s="23"/>
      <c r="G119" s="22"/>
      <c r="H119" s="22"/>
      <c r="I119" s="23"/>
      <c r="J119" s="74"/>
      <c r="K119" s="74"/>
    </row>
    <row r="120" spans="1:11" ht="14.45">
      <c r="A120" s="22"/>
      <c r="B120" s="34"/>
      <c r="C120" s="22"/>
      <c r="D120" s="22"/>
      <c r="E120" s="22"/>
      <c r="F120" s="23"/>
      <c r="G120" s="22"/>
      <c r="H120" s="22"/>
      <c r="I120" s="23"/>
      <c r="J120" s="74"/>
      <c r="K120" s="74"/>
    </row>
    <row r="121" spans="1:11" ht="14.45">
      <c r="A121" s="22"/>
      <c r="B121" s="34"/>
      <c r="C121" s="22"/>
      <c r="D121" s="22"/>
      <c r="E121" s="22"/>
      <c r="F121" s="23"/>
      <c r="G121" s="22"/>
      <c r="H121" s="22"/>
      <c r="I121" s="23"/>
      <c r="J121" s="74"/>
      <c r="K121" s="74"/>
    </row>
    <row r="122" spans="1:11" ht="14.45">
      <c r="A122" s="22"/>
      <c r="B122" s="34"/>
      <c r="C122" s="22"/>
      <c r="D122" s="22"/>
      <c r="E122" s="22"/>
      <c r="F122" s="23"/>
      <c r="G122" s="22"/>
      <c r="H122" s="22"/>
      <c r="I122" s="23"/>
      <c r="J122" s="74"/>
      <c r="K122" s="74"/>
    </row>
    <row r="123" spans="1:11" ht="14.45">
      <c r="A123" s="22"/>
      <c r="B123" s="34"/>
      <c r="C123" s="22"/>
      <c r="D123" s="22"/>
      <c r="E123" s="22"/>
      <c r="F123" s="23"/>
      <c r="G123" s="22"/>
      <c r="H123" s="22"/>
      <c r="I123" s="23"/>
      <c r="J123" s="74"/>
      <c r="K123" s="74"/>
    </row>
    <row r="124" spans="1:11" ht="14.45">
      <c r="A124" s="22"/>
      <c r="B124" s="34"/>
      <c r="C124" s="22"/>
      <c r="D124" s="22"/>
      <c r="E124" s="22"/>
      <c r="F124" s="23"/>
      <c r="G124" s="22"/>
      <c r="H124" s="22"/>
      <c r="I124" s="23"/>
      <c r="J124" s="74"/>
      <c r="K124" s="74"/>
    </row>
    <row r="125" spans="1:11" ht="14.45">
      <c r="A125" s="22"/>
      <c r="B125" s="34"/>
      <c r="C125" s="22"/>
      <c r="D125" s="22"/>
      <c r="E125" s="22"/>
      <c r="F125" s="23"/>
      <c r="G125" s="22"/>
      <c r="H125" s="22"/>
      <c r="I125" s="23"/>
      <c r="J125" s="74"/>
      <c r="K125" s="74"/>
    </row>
    <row r="126" spans="1:11" ht="14.45">
      <c r="A126" s="22"/>
      <c r="B126" s="34"/>
      <c r="C126" s="22"/>
      <c r="D126" s="22"/>
      <c r="E126" s="22"/>
      <c r="F126" s="23"/>
      <c r="G126" s="22"/>
      <c r="H126" s="22"/>
      <c r="I126" s="23"/>
      <c r="J126" s="74"/>
      <c r="K126" s="74"/>
    </row>
    <row r="127" spans="1:11" ht="14.45">
      <c r="A127" s="22"/>
      <c r="B127" s="34"/>
      <c r="C127" s="22"/>
      <c r="D127" s="22"/>
      <c r="E127" s="22"/>
      <c r="F127" s="23"/>
      <c r="G127" s="22"/>
      <c r="H127" s="22"/>
      <c r="I127" s="23"/>
      <c r="J127" s="74"/>
      <c r="K127" s="74"/>
    </row>
    <row r="128" spans="1:11" ht="14.45">
      <c r="A128" s="22"/>
      <c r="B128" s="34"/>
      <c r="C128" s="22"/>
      <c r="D128" s="22"/>
      <c r="E128" s="22"/>
      <c r="F128" s="23"/>
      <c r="G128" s="22"/>
      <c r="H128" s="22"/>
      <c r="I128" s="23"/>
      <c r="J128" s="74"/>
      <c r="K128" s="74"/>
    </row>
    <row r="129" spans="1:11" ht="14.45">
      <c r="A129" s="22"/>
      <c r="B129" s="34"/>
      <c r="C129" s="22"/>
      <c r="D129" s="22"/>
      <c r="E129" s="22"/>
      <c r="F129" s="23"/>
      <c r="G129" s="22"/>
      <c r="H129" s="22"/>
      <c r="I129" s="23"/>
      <c r="J129" s="74"/>
      <c r="K129" s="74"/>
    </row>
    <row r="130" spans="1:11" ht="14.45">
      <c r="A130" s="22"/>
      <c r="B130" s="34"/>
      <c r="C130" s="22"/>
      <c r="D130" s="22"/>
      <c r="E130" s="22"/>
      <c r="F130" s="23"/>
      <c r="G130" s="22"/>
      <c r="H130" s="22"/>
      <c r="I130" s="23"/>
      <c r="J130" s="74"/>
      <c r="K130" s="74"/>
    </row>
    <row r="131" spans="1:11" ht="14.45">
      <c r="A131" s="22"/>
      <c r="B131" s="34"/>
      <c r="C131" s="22"/>
      <c r="D131" s="22"/>
      <c r="E131" s="22"/>
      <c r="F131" s="23"/>
      <c r="G131" s="22"/>
      <c r="H131" s="22"/>
      <c r="I131" s="23"/>
      <c r="J131" s="74"/>
      <c r="K131" s="74"/>
    </row>
    <row r="132" spans="1:11" ht="14.45">
      <c r="A132" s="22"/>
      <c r="B132" s="34"/>
      <c r="C132" s="22"/>
      <c r="D132" s="22"/>
      <c r="E132" s="22"/>
      <c r="F132" s="23"/>
      <c r="G132" s="22"/>
      <c r="H132" s="22"/>
      <c r="I132" s="23"/>
      <c r="J132" s="74"/>
      <c r="K132" s="74"/>
    </row>
    <row r="133" spans="1:11" ht="14.45">
      <c r="A133" s="22"/>
      <c r="B133" s="34"/>
      <c r="C133" s="22"/>
      <c r="D133" s="22"/>
      <c r="E133" s="22"/>
      <c r="F133" s="23"/>
      <c r="G133" s="22"/>
      <c r="H133" s="22"/>
      <c r="I133" s="23"/>
      <c r="J133" s="74"/>
      <c r="K133" s="74"/>
    </row>
    <row r="134" spans="1:11" ht="14.45">
      <c r="A134" s="22"/>
      <c r="B134" s="34"/>
      <c r="C134" s="22"/>
      <c r="D134" s="22"/>
      <c r="E134" s="22"/>
      <c r="F134" s="23"/>
      <c r="G134" s="22"/>
      <c r="H134" s="22"/>
      <c r="I134" s="23"/>
      <c r="J134" s="74"/>
      <c r="K134" s="74"/>
    </row>
    <row r="135" spans="1:11" ht="14.45">
      <c r="A135" s="22"/>
      <c r="B135" s="34"/>
      <c r="C135" s="22"/>
      <c r="D135" s="22"/>
      <c r="E135" s="22"/>
      <c r="F135" s="23"/>
      <c r="G135" s="22"/>
      <c r="H135" s="22"/>
      <c r="I135" s="23"/>
      <c r="J135" s="74"/>
      <c r="K135" s="74"/>
    </row>
    <row r="136" spans="1:11" ht="14.45">
      <c r="A136" s="22"/>
      <c r="B136" s="34"/>
      <c r="C136" s="22"/>
      <c r="D136" s="22"/>
      <c r="E136" s="22"/>
      <c r="F136" s="23"/>
      <c r="G136" s="22"/>
      <c r="H136" s="22"/>
      <c r="I136" s="23"/>
      <c r="J136" s="74"/>
      <c r="K136" s="74"/>
    </row>
    <row r="137" spans="1:11" ht="14.45">
      <c r="A137" s="22"/>
      <c r="B137" s="34"/>
      <c r="C137" s="22"/>
      <c r="D137" s="22"/>
      <c r="E137" s="22"/>
      <c r="F137" s="23"/>
      <c r="G137" s="22"/>
      <c r="H137" s="22"/>
      <c r="I137" s="23"/>
      <c r="J137" s="74"/>
      <c r="K137" s="74"/>
    </row>
    <row r="138" spans="1:11" ht="14.45">
      <c r="A138" s="22"/>
      <c r="B138" s="34"/>
      <c r="C138" s="22"/>
      <c r="D138" s="22"/>
      <c r="E138" s="22"/>
      <c r="F138" s="23"/>
      <c r="G138" s="22"/>
      <c r="H138" s="22"/>
      <c r="I138" s="23"/>
      <c r="J138" s="74"/>
      <c r="K138" s="74"/>
    </row>
    <row r="139" spans="1:11" ht="14.45">
      <c r="A139" s="22"/>
      <c r="B139" s="34"/>
      <c r="C139" s="22"/>
      <c r="D139" s="22"/>
      <c r="E139" s="22"/>
      <c r="F139" s="23"/>
      <c r="G139" s="22"/>
      <c r="H139" s="22"/>
      <c r="I139" s="23"/>
      <c r="J139" s="74"/>
      <c r="K139" s="74"/>
    </row>
    <row r="140" spans="1:11" ht="14.45">
      <c r="A140" s="22"/>
      <c r="B140" s="34"/>
      <c r="C140" s="22"/>
      <c r="D140" s="22"/>
      <c r="E140" s="22"/>
      <c r="F140" s="23"/>
      <c r="G140" s="22"/>
      <c r="H140" s="22"/>
      <c r="I140" s="23"/>
      <c r="J140" s="74"/>
      <c r="K140" s="74"/>
    </row>
    <row r="141" spans="1:11" ht="14.45">
      <c r="A141" s="22"/>
      <c r="B141" s="34"/>
      <c r="C141" s="22"/>
      <c r="D141" s="22"/>
      <c r="E141" s="22"/>
      <c r="F141" s="23"/>
      <c r="G141" s="22"/>
      <c r="H141" s="22"/>
      <c r="I141" s="23"/>
      <c r="J141" s="74"/>
      <c r="K141" s="74"/>
    </row>
    <row r="142" spans="1:11" ht="14.45">
      <c r="A142" s="22"/>
      <c r="B142" s="34"/>
      <c r="C142" s="22"/>
      <c r="D142" s="22"/>
      <c r="E142" s="22"/>
      <c r="F142" s="23"/>
      <c r="G142" s="22"/>
      <c r="H142" s="22"/>
      <c r="I142" s="23"/>
      <c r="J142" s="74"/>
      <c r="K142" s="74"/>
    </row>
    <row r="143" spans="1:11" ht="14.45">
      <c r="A143" s="22"/>
      <c r="B143" s="34"/>
      <c r="C143" s="22"/>
      <c r="D143" s="22"/>
      <c r="E143" s="22"/>
      <c r="F143" s="23"/>
      <c r="G143" s="22"/>
      <c r="H143" s="22"/>
      <c r="I143" s="23"/>
      <c r="J143" s="74"/>
      <c r="K143" s="74"/>
    </row>
    <row r="144" spans="1:11" ht="14.45">
      <c r="A144" s="22"/>
      <c r="B144" s="34"/>
      <c r="C144" s="22"/>
      <c r="D144" s="22"/>
      <c r="E144" s="22"/>
      <c r="F144" s="23"/>
      <c r="G144" s="22"/>
      <c r="H144" s="22"/>
      <c r="I144" s="23"/>
      <c r="J144" s="74"/>
      <c r="K144" s="74"/>
    </row>
    <row r="145" spans="1:11" ht="14.45">
      <c r="A145" s="22"/>
      <c r="B145" s="34"/>
      <c r="C145" s="22"/>
      <c r="D145" s="22"/>
      <c r="E145" s="22"/>
      <c r="F145" s="23"/>
      <c r="G145" s="22"/>
      <c r="H145" s="22"/>
      <c r="I145" s="23"/>
      <c r="J145" s="74"/>
      <c r="K145" s="74"/>
    </row>
    <row r="146" spans="1:11" ht="14.45">
      <c r="A146" s="22"/>
      <c r="B146" s="34"/>
      <c r="C146" s="22"/>
      <c r="D146" s="22"/>
      <c r="E146" s="22"/>
      <c r="F146" s="23"/>
      <c r="G146" s="22"/>
      <c r="H146" s="22"/>
      <c r="I146" s="23"/>
      <c r="J146" s="74"/>
      <c r="K146" s="74"/>
    </row>
    <row r="147" spans="1:11" ht="14.45">
      <c r="A147" s="22"/>
      <c r="B147" s="34"/>
      <c r="C147" s="22"/>
      <c r="D147" s="22"/>
      <c r="E147" s="22"/>
      <c r="F147" s="23"/>
      <c r="G147" s="22"/>
      <c r="H147" s="22"/>
      <c r="I147" s="23"/>
      <c r="J147" s="74"/>
      <c r="K147" s="74"/>
    </row>
    <row r="148" spans="1:11" ht="14.45">
      <c r="A148" s="22"/>
      <c r="B148" s="34"/>
      <c r="C148" s="22"/>
      <c r="D148" s="22"/>
      <c r="E148" s="22"/>
      <c r="F148" s="23"/>
      <c r="G148" s="22"/>
      <c r="H148" s="22"/>
      <c r="I148" s="23"/>
      <c r="J148" s="74"/>
      <c r="K148" s="74"/>
    </row>
    <row r="149" spans="1:11" ht="14.45">
      <c r="A149" s="22"/>
      <c r="B149" s="34"/>
      <c r="C149" s="22"/>
      <c r="D149" s="22"/>
      <c r="E149" s="22"/>
      <c r="F149" s="23"/>
      <c r="G149" s="22"/>
      <c r="H149" s="22"/>
      <c r="I149" s="23"/>
      <c r="J149" s="74"/>
      <c r="K149" s="74"/>
    </row>
    <row r="150" spans="1:11" ht="14.45">
      <c r="A150" s="22"/>
      <c r="B150" s="34"/>
      <c r="C150" s="22"/>
      <c r="D150" s="22"/>
      <c r="E150" s="22"/>
      <c r="F150" s="23"/>
      <c r="G150" s="22"/>
      <c r="H150" s="22"/>
      <c r="I150" s="23"/>
      <c r="J150" s="74"/>
      <c r="K150" s="74"/>
    </row>
    <row r="151" spans="1:11" ht="14.45">
      <c r="A151" s="22"/>
      <c r="B151" s="34"/>
      <c r="C151" s="22"/>
      <c r="D151" s="22"/>
      <c r="E151" s="22"/>
      <c r="F151" s="23"/>
      <c r="G151" s="22"/>
      <c r="H151" s="22"/>
      <c r="I151" s="23"/>
      <c r="J151" s="74"/>
      <c r="K151" s="74"/>
    </row>
    <row r="152" spans="1:11" ht="14.45">
      <c r="A152" s="22"/>
      <c r="B152" s="34"/>
      <c r="C152" s="22"/>
      <c r="D152" s="22"/>
      <c r="E152" s="22"/>
      <c r="F152" s="23"/>
      <c r="G152" s="22"/>
      <c r="H152" s="22"/>
      <c r="I152" s="23"/>
      <c r="J152" s="74"/>
      <c r="K152" s="74"/>
    </row>
    <row r="153" spans="1:11" ht="14.45">
      <c r="A153" s="22"/>
      <c r="B153" s="34"/>
      <c r="C153" s="22"/>
      <c r="D153" s="22"/>
      <c r="E153" s="22"/>
      <c r="F153" s="23"/>
      <c r="G153" s="22"/>
      <c r="H153" s="22"/>
      <c r="I153" s="23"/>
      <c r="J153" s="74"/>
      <c r="K153" s="74"/>
    </row>
    <row r="154" spans="1:11" ht="14.45">
      <c r="A154" s="22"/>
      <c r="B154" s="34"/>
      <c r="C154" s="22"/>
      <c r="D154" s="22"/>
      <c r="E154" s="22"/>
      <c r="F154" s="23"/>
      <c r="G154" s="22"/>
      <c r="H154" s="22"/>
      <c r="I154" s="23"/>
      <c r="J154" s="74"/>
      <c r="K154" s="74"/>
    </row>
    <row r="155" spans="1:11" ht="14.45">
      <c r="A155" s="22"/>
      <c r="B155" s="34"/>
      <c r="C155" s="22"/>
      <c r="D155" s="22"/>
      <c r="E155" s="22"/>
      <c r="F155" s="23"/>
      <c r="G155" s="22"/>
      <c r="H155" s="22"/>
      <c r="I155" s="23"/>
      <c r="J155" s="74"/>
      <c r="K155" s="74"/>
    </row>
    <row r="156" spans="1:11" ht="14.45">
      <c r="A156" s="22"/>
      <c r="B156" s="34"/>
      <c r="C156" s="22"/>
      <c r="D156" s="22"/>
      <c r="E156" s="22"/>
      <c r="F156" s="23"/>
      <c r="G156" s="22"/>
      <c r="H156" s="22"/>
      <c r="I156" s="23"/>
      <c r="J156" s="74"/>
      <c r="K156" s="74"/>
    </row>
    <row r="157" spans="1:11" ht="14.45">
      <c r="A157" s="22"/>
      <c r="B157" s="34"/>
      <c r="C157" s="22"/>
      <c r="D157" s="22"/>
      <c r="E157" s="22"/>
      <c r="F157" s="23"/>
      <c r="G157" s="22"/>
      <c r="H157" s="22"/>
      <c r="I157" s="23"/>
      <c r="J157" s="74"/>
      <c r="K157" s="74"/>
    </row>
    <row r="158" spans="1:11" ht="14.45">
      <c r="A158" s="22"/>
      <c r="B158" s="34"/>
      <c r="C158" s="22"/>
      <c r="D158" s="22"/>
      <c r="E158" s="22"/>
      <c r="F158" s="23"/>
      <c r="G158" s="22"/>
      <c r="H158" s="22"/>
      <c r="I158" s="23"/>
      <c r="J158" s="74"/>
      <c r="K158" s="74"/>
    </row>
    <row r="159" spans="1:11" ht="14.45">
      <c r="A159" s="22"/>
      <c r="B159" s="34"/>
      <c r="C159" s="22"/>
      <c r="D159" s="22"/>
      <c r="E159" s="22"/>
      <c r="F159" s="23"/>
      <c r="G159" s="22"/>
      <c r="H159" s="22"/>
      <c r="I159" s="23"/>
      <c r="J159" s="74"/>
      <c r="K159" s="74"/>
    </row>
    <row r="160" spans="1:11" ht="14.45">
      <c r="A160" s="22"/>
      <c r="B160" s="34"/>
      <c r="C160" s="22"/>
      <c r="D160" s="22"/>
      <c r="E160" s="22"/>
      <c r="F160" s="23"/>
      <c r="G160" s="22"/>
      <c r="H160" s="22"/>
      <c r="I160" s="23"/>
      <c r="J160" s="74"/>
      <c r="K160" s="74"/>
    </row>
    <row r="161" spans="1:11" ht="14.45">
      <c r="A161" s="22"/>
      <c r="B161" s="34"/>
      <c r="C161" s="22"/>
      <c r="D161" s="22"/>
      <c r="E161" s="22"/>
      <c r="F161" s="23"/>
      <c r="G161" s="22"/>
      <c r="H161" s="22"/>
      <c r="I161" s="23"/>
      <c r="J161" s="74"/>
      <c r="K161" s="74"/>
    </row>
    <row r="162" spans="1:11" ht="14.45">
      <c r="A162" s="22"/>
      <c r="B162" s="34"/>
      <c r="C162" s="22"/>
      <c r="D162" s="22"/>
      <c r="E162" s="22"/>
      <c r="F162" s="23"/>
      <c r="G162" s="22"/>
      <c r="H162" s="22"/>
      <c r="I162" s="23"/>
      <c r="J162" s="74"/>
      <c r="K162" s="74"/>
    </row>
    <row r="163" spans="1:11" ht="14.45">
      <c r="A163" s="22"/>
      <c r="B163" s="34"/>
      <c r="C163" s="22"/>
      <c r="D163" s="22"/>
      <c r="E163" s="22"/>
      <c r="F163" s="23"/>
      <c r="G163" s="22"/>
      <c r="H163" s="22"/>
      <c r="I163" s="23"/>
      <c r="J163" s="74"/>
      <c r="K163" s="74"/>
    </row>
    <row r="164" spans="1:11" ht="14.45">
      <c r="A164" s="22"/>
      <c r="B164" s="34"/>
      <c r="C164" s="22"/>
      <c r="D164" s="22"/>
      <c r="E164" s="22"/>
      <c r="F164" s="23"/>
      <c r="G164" s="22"/>
      <c r="H164" s="22"/>
      <c r="I164" s="23"/>
      <c r="J164" s="74"/>
      <c r="K164" s="74"/>
    </row>
    <row r="165" spans="1:11" ht="14.45">
      <c r="A165" s="22"/>
      <c r="B165" s="34"/>
      <c r="C165" s="22"/>
      <c r="D165" s="22"/>
      <c r="E165" s="22"/>
      <c r="F165" s="23"/>
      <c r="G165" s="22"/>
      <c r="H165" s="22"/>
      <c r="I165" s="23"/>
      <c r="J165" s="74"/>
      <c r="K165" s="74"/>
    </row>
    <row r="166" spans="1:11" ht="14.45">
      <c r="A166" s="22"/>
      <c r="B166" s="34"/>
      <c r="C166" s="22"/>
      <c r="D166" s="22"/>
      <c r="E166" s="22"/>
      <c r="F166" s="23"/>
      <c r="G166" s="22"/>
      <c r="H166" s="22"/>
      <c r="I166" s="23"/>
      <c r="J166" s="74"/>
      <c r="K166" s="74"/>
    </row>
    <row r="167" spans="1:11" ht="14.45">
      <c r="A167" s="22"/>
      <c r="B167" s="34"/>
      <c r="C167" s="22"/>
      <c r="D167" s="22"/>
      <c r="E167" s="22"/>
      <c r="F167" s="23"/>
      <c r="G167" s="22"/>
      <c r="H167" s="22"/>
      <c r="I167" s="23"/>
      <c r="J167" s="74"/>
      <c r="K167" s="74"/>
    </row>
    <row r="168" spans="1:11" ht="14.45">
      <c r="A168" s="22"/>
      <c r="B168" s="34"/>
      <c r="C168" s="22"/>
      <c r="D168" s="22"/>
      <c r="E168" s="22"/>
      <c r="F168" s="23"/>
      <c r="G168" s="22"/>
      <c r="H168" s="22"/>
      <c r="I168" s="23"/>
      <c r="J168" s="74"/>
      <c r="K168" s="74"/>
    </row>
    <row r="169" spans="1:11" ht="14.45">
      <c r="A169" s="22"/>
      <c r="B169" s="34"/>
      <c r="C169" s="22"/>
      <c r="D169" s="22"/>
      <c r="E169" s="22"/>
      <c r="F169" s="23"/>
      <c r="G169" s="22"/>
      <c r="H169" s="22"/>
      <c r="I169" s="23"/>
      <c r="J169" s="74"/>
      <c r="K169" s="74"/>
    </row>
    <row r="170" spans="1:11" ht="14.45">
      <c r="A170" s="22"/>
      <c r="B170" s="34"/>
      <c r="C170" s="22"/>
      <c r="D170" s="22"/>
      <c r="E170" s="22"/>
      <c r="F170" s="23"/>
      <c r="G170" s="22"/>
      <c r="H170" s="22"/>
      <c r="I170" s="23"/>
      <c r="J170" s="74"/>
      <c r="K170" s="74"/>
    </row>
    <row r="171" spans="1:11" ht="14.45">
      <c r="A171" s="22"/>
      <c r="B171" s="34"/>
      <c r="C171" s="22"/>
      <c r="D171" s="22"/>
      <c r="E171" s="22"/>
      <c r="F171" s="23"/>
      <c r="G171" s="22"/>
      <c r="H171" s="22"/>
      <c r="I171" s="23"/>
      <c r="J171" s="74"/>
      <c r="K171" s="74"/>
    </row>
    <row r="172" spans="1:11" ht="14.45">
      <c r="A172" s="22"/>
      <c r="B172" s="34"/>
      <c r="C172" s="22"/>
      <c r="D172" s="22"/>
      <c r="E172" s="22"/>
      <c r="F172" s="23"/>
      <c r="G172" s="22"/>
      <c r="H172" s="22"/>
      <c r="I172" s="23"/>
      <c r="J172" s="74"/>
      <c r="K172" s="74"/>
    </row>
    <row r="173" spans="1:11" ht="14.45">
      <c r="A173" s="22"/>
      <c r="B173" s="34"/>
      <c r="C173" s="22"/>
      <c r="D173" s="22"/>
      <c r="E173" s="22"/>
      <c r="F173" s="23"/>
      <c r="G173" s="22"/>
      <c r="H173" s="22"/>
      <c r="I173" s="23"/>
      <c r="J173" s="74"/>
      <c r="K173" s="74"/>
    </row>
    <row r="174" spans="1:11" ht="14.45">
      <c r="A174" s="22"/>
      <c r="B174" s="34"/>
      <c r="C174" s="22"/>
      <c r="D174" s="22"/>
      <c r="E174" s="22"/>
      <c r="F174" s="23"/>
      <c r="G174" s="22"/>
      <c r="H174" s="22"/>
      <c r="I174" s="23"/>
      <c r="J174" s="74"/>
      <c r="K174" s="74"/>
    </row>
    <row r="175" spans="1:11" ht="14.45">
      <c r="A175" s="22"/>
      <c r="B175" s="34"/>
      <c r="C175" s="22"/>
      <c r="D175" s="22"/>
      <c r="E175" s="22"/>
      <c r="F175" s="23"/>
      <c r="G175" s="22"/>
      <c r="H175" s="22"/>
      <c r="I175" s="23"/>
      <c r="J175" s="74"/>
      <c r="K175" s="74"/>
    </row>
    <row r="176" spans="1:11" ht="14.45">
      <c r="A176" s="22"/>
      <c r="B176" s="34"/>
      <c r="C176" s="22"/>
      <c r="D176" s="22"/>
      <c r="E176" s="22"/>
      <c r="F176" s="23"/>
      <c r="G176" s="22"/>
      <c r="H176" s="22"/>
      <c r="I176" s="23"/>
      <c r="J176" s="74"/>
      <c r="K176" s="74"/>
    </row>
    <row r="177" spans="1:11" ht="14.45">
      <c r="A177" s="22"/>
      <c r="B177" s="34"/>
      <c r="C177" s="22"/>
      <c r="D177" s="22"/>
      <c r="E177" s="22"/>
      <c r="F177" s="23"/>
      <c r="G177" s="22"/>
      <c r="H177" s="22"/>
      <c r="I177" s="23"/>
      <c r="J177" s="74"/>
      <c r="K177" s="74"/>
    </row>
    <row r="178" spans="1:11" ht="14.45">
      <c r="A178" s="22"/>
      <c r="B178" s="34"/>
      <c r="C178" s="22"/>
      <c r="D178" s="22"/>
      <c r="E178" s="22"/>
      <c r="F178" s="23"/>
      <c r="G178" s="22"/>
      <c r="H178" s="22"/>
      <c r="I178" s="23"/>
      <c r="J178" s="74"/>
      <c r="K178" s="74"/>
    </row>
    <row r="179" spans="1:11" ht="14.45">
      <c r="A179" s="22"/>
      <c r="B179" s="34"/>
      <c r="C179" s="22"/>
      <c r="D179" s="22"/>
      <c r="E179" s="22"/>
      <c r="F179" s="23"/>
      <c r="G179" s="22"/>
      <c r="H179" s="22"/>
      <c r="I179" s="23"/>
      <c r="J179" s="74"/>
      <c r="K179" s="74"/>
    </row>
    <row r="180" spans="1:11" ht="14.45">
      <c r="A180" s="22"/>
      <c r="B180" s="34"/>
      <c r="C180" s="22"/>
      <c r="D180" s="22"/>
      <c r="E180" s="22"/>
      <c r="F180" s="23"/>
      <c r="G180" s="22"/>
      <c r="H180" s="22"/>
      <c r="I180" s="23"/>
      <c r="J180" s="74"/>
      <c r="K180" s="74"/>
    </row>
    <row r="181" spans="1:11" ht="14.45">
      <c r="A181" s="22"/>
      <c r="B181" s="34"/>
      <c r="C181" s="22"/>
      <c r="D181" s="22"/>
      <c r="E181" s="22"/>
      <c r="F181" s="23"/>
      <c r="G181" s="22"/>
      <c r="H181" s="22"/>
      <c r="I181" s="23"/>
      <c r="J181" s="74"/>
      <c r="K181" s="74"/>
    </row>
    <row r="182" spans="1:11" ht="14.45">
      <c r="A182" s="22"/>
      <c r="B182" s="34"/>
      <c r="C182" s="22"/>
      <c r="D182" s="22"/>
      <c r="E182" s="22"/>
      <c r="F182" s="23"/>
      <c r="G182" s="22"/>
      <c r="H182" s="22"/>
      <c r="I182" s="23"/>
      <c r="J182" s="74"/>
      <c r="K182" s="74"/>
    </row>
    <row r="183" spans="1:11" ht="14.45">
      <c r="A183" s="22"/>
      <c r="B183" s="34"/>
      <c r="C183" s="22"/>
      <c r="D183" s="22"/>
      <c r="E183" s="22"/>
      <c r="F183" s="23"/>
      <c r="G183" s="22"/>
      <c r="H183" s="22"/>
      <c r="I183" s="23"/>
      <c r="J183" s="74"/>
      <c r="K183" s="74"/>
    </row>
    <row r="184" spans="1:11" ht="14.45">
      <c r="A184" s="22"/>
      <c r="B184" s="34"/>
      <c r="C184" s="22"/>
      <c r="D184" s="22"/>
      <c r="E184" s="22"/>
      <c r="F184" s="23"/>
      <c r="G184" s="22"/>
      <c r="H184" s="22"/>
      <c r="I184" s="23"/>
      <c r="J184" s="74"/>
      <c r="K184" s="74"/>
    </row>
    <row r="185" spans="1:11" ht="14.45">
      <c r="A185" s="22"/>
      <c r="B185" s="34"/>
      <c r="C185" s="22"/>
      <c r="D185" s="22"/>
      <c r="E185" s="22"/>
      <c r="F185" s="23"/>
      <c r="G185" s="22"/>
      <c r="H185" s="22"/>
      <c r="I185" s="23"/>
      <c r="J185" s="74"/>
      <c r="K185" s="74"/>
    </row>
    <row r="186" spans="1:11" ht="14.45">
      <c r="A186" s="22"/>
      <c r="B186" s="34"/>
      <c r="C186" s="22"/>
      <c r="D186" s="22"/>
      <c r="E186" s="22"/>
      <c r="F186" s="23"/>
      <c r="G186" s="22"/>
      <c r="H186" s="22"/>
      <c r="I186" s="23"/>
      <c r="J186" s="74"/>
      <c r="K186" s="74"/>
    </row>
    <row r="187" spans="1:11" ht="14.45">
      <c r="A187" s="22"/>
      <c r="B187" s="34"/>
      <c r="C187" s="22"/>
      <c r="D187" s="22"/>
      <c r="E187" s="22"/>
      <c r="F187" s="23"/>
      <c r="G187" s="22"/>
      <c r="H187" s="22"/>
      <c r="I187" s="23"/>
      <c r="J187" s="74"/>
      <c r="K187" s="74"/>
    </row>
    <row r="188" spans="1:11" ht="14.45">
      <c r="A188" s="22"/>
      <c r="B188" s="34"/>
      <c r="C188" s="22"/>
      <c r="D188" s="22"/>
      <c r="E188" s="22"/>
      <c r="F188" s="23"/>
      <c r="G188" s="22"/>
      <c r="H188" s="22"/>
      <c r="I188" s="23"/>
      <c r="J188" s="74"/>
      <c r="K188" s="74"/>
    </row>
    <row r="189" spans="1:11" ht="14.45">
      <c r="A189" s="22"/>
      <c r="B189" s="34"/>
      <c r="C189" s="22"/>
      <c r="D189" s="22"/>
      <c r="E189" s="22"/>
      <c r="F189" s="23"/>
      <c r="G189" s="22"/>
      <c r="H189" s="22"/>
      <c r="I189" s="23"/>
      <c r="J189" s="74"/>
      <c r="K189" s="74"/>
    </row>
    <row r="190" spans="1:11" ht="14.45">
      <c r="A190" s="22"/>
      <c r="B190" s="34"/>
      <c r="C190" s="22"/>
      <c r="D190" s="22"/>
      <c r="E190" s="22"/>
      <c r="F190" s="23"/>
      <c r="G190" s="22"/>
      <c r="H190" s="22"/>
      <c r="I190" s="23"/>
      <c r="J190" s="74"/>
      <c r="K190" s="74"/>
    </row>
    <row r="191" spans="1:11" ht="14.45">
      <c r="A191" s="22"/>
      <c r="B191" s="34"/>
      <c r="C191" s="22"/>
      <c r="D191" s="22"/>
      <c r="E191" s="22"/>
      <c r="F191" s="23"/>
      <c r="G191" s="22"/>
      <c r="H191" s="22"/>
      <c r="I191" s="23"/>
      <c r="J191" s="74"/>
      <c r="K191" s="74"/>
    </row>
    <row r="192" spans="1:11" ht="14.45">
      <c r="A192" s="22"/>
      <c r="B192" s="34"/>
      <c r="C192" s="22"/>
      <c r="D192" s="22"/>
      <c r="E192" s="22"/>
      <c r="F192" s="23"/>
      <c r="G192" s="22"/>
      <c r="H192" s="22"/>
      <c r="I192" s="23"/>
      <c r="J192" s="74"/>
      <c r="K192" s="74"/>
    </row>
    <row r="193" spans="1:11" ht="14.45">
      <c r="A193" s="22"/>
      <c r="B193" s="34"/>
      <c r="C193" s="22"/>
      <c r="D193" s="22"/>
      <c r="E193" s="22"/>
      <c r="F193" s="23"/>
      <c r="G193" s="22"/>
      <c r="H193" s="22"/>
      <c r="I193" s="23"/>
      <c r="J193" s="74"/>
      <c r="K193" s="74"/>
    </row>
    <row r="194" spans="1:11" ht="14.45">
      <c r="A194" s="22"/>
      <c r="B194" s="34"/>
      <c r="C194" s="22"/>
      <c r="D194" s="22"/>
      <c r="E194" s="22"/>
      <c r="F194" s="23"/>
      <c r="G194" s="22"/>
      <c r="H194" s="22"/>
      <c r="I194" s="23"/>
      <c r="J194" s="74"/>
      <c r="K194" s="74"/>
    </row>
    <row r="195" spans="1:11" ht="14.45">
      <c r="A195" s="22"/>
      <c r="B195" s="34"/>
      <c r="C195" s="22"/>
      <c r="D195" s="22"/>
      <c r="E195" s="22"/>
      <c r="F195" s="23"/>
      <c r="G195" s="22"/>
      <c r="H195" s="22"/>
      <c r="I195" s="23"/>
      <c r="J195" s="74"/>
      <c r="K195" s="74"/>
    </row>
    <row r="196" spans="1:11" ht="14.45">
      <c r="A196" s="22"/>
      <c r="B196" s="34"/>
      <c r="C196" s="22"/>
      <c r="D196" s="22"/>
      <c r="E196" s="22"/>
      <c r="F196" s="23"/>
      <c r="G196" s="22"/>
      <c r="H196" s="22"/>
      <c r="I196" s="23"/>
      <c r="J196" s="74"/>
      <c r="K196" s="74"/>
    </row>
    <row r="197" spans="1:11" ht="14.45">
      <c r="A197" s="22"/>
      <c r="B197" s="34"/>
      <c r="C197" s="22"/>
      <c r="D197" s="22"/>
      <c r="E197" s="22"/>
      <c r="F197" s="23"/>
      <c r="G197" s="22"/>
      <c r="H197" s="22"/>
      <c r="I197" s="23"/>
      <c r="J197" s="74"/>
      <c r="K197" s="74"/>
    </row>
    <row r="198" spans="1:11" ht="14.45">
      <c r="A198" s="22"/>
      <c r="B198" s="34"/>
      <c r="C198" s="22"/>
      <c r="D198" s="22"/>
      <c r="E198" s="22"/>
      <c r="F198" s="23"/>
      <c r="G198" s="22"/>
      <c r="H198" s="22"/>
      <c r="I198" s="23"/>
      <c r="J198" s="74"/>
      <c r="K198" s="74"/>
    </row>
    <row r="199" spans="1:11" ht="14.45">
      <c r="A199" s="22"/>
      <c r="B199" s="34"/>
      <c r="C199" s="22"/>
      <c r="D199" s="22"/>
      <c r="E199" s="22"/>
      <c r="F199" s="23"/>
      <c r="G199" s="22"/>
      <c r="H199" s="22"/>
      <c r="I199" s="23"/>
      <c r="J199" s="74"/>
      <c r="K199" s="74"/>
    </row>
    <row r="200" spans="1:11" ht="14.45">
      <c r="A200" s="22"/>
      <c r="B200" s="34"/>
      <c r="C200" s="22"/>
      <c r="D200" s="22"/>
      <c r="E200" s="22"/>
      <c r="F200" s="23"/>
      <c r="G200" s="22"/>
      <c r="H200" s="22"/>
      <c r="I200" s="23"/>
      <c r="J200" s="74"/>
      <c r="K200" s="74"/>
    </row>
    <row r="201" spans="1:11" ht="14.45">
      <c r="A201" s="22"/>
      <c r="B201" s="34"/>
      <c r="C201" s="22"/>
      <c r="D201" s="22"/>
      <c r="E201" s="22"/>
      <c r="F201" s="23"/>
      <c r="G201" s="22"/>
      <c r="H201" s="22"/>
      <c r="I201" s="23"/>
      <c r="J201" s="74"/>
      <c r="K201" s="74"/>
    </row>
    <row r="202" spans="1:11" ht="14.45">
      <c r="A202" s="22"/>
      <c r="B202" s="34"/>
      <c r="C202" s="22"/>
      <c r="D202" s="22"/>
      <c r="E202" s="22"/>
      <c r="F202" s="23"/>
      <c r="G202" s="22"/>
      <c r="H202" s="22"/>
      <c r="I202" s="23"/>
      <c r="J202" s="74"/>
      <c r="K202" s="74"/>
    </row>
    <row r="203" spans="1:11" ht="14.45">
      <c r="A203" s="22"/>
      <c r="B203" s="34"/>
      <c r="C203" s="22"/>
      <c r="D203" s="22"/>
      <c r="E203" s="22"/>
      <c r="F203" s="23"/>
      <c r="G203" s="22"/>
      <c r="H203" s="22"/>
      <c r="I203" s="23"/>
      <c r="J203" s="74"/>
      <c r="K203" s="74"/>
    </row>
    <row r="204" spans="1:11" ht="14.45">
      <c r="A204" s="22"/>
      <c r="B204" s="34"/>
      <c r="C204" s="22"/>
      <c r="D204" s="22"/>
      <c r="E204" s="22"/>
      <c r="F204" s="23"/>
      <c r="G204" s="22"/>
      <c r="H204" s="22"/>
      <c r="I204" s="23"/>
      <c r="J204" s="74"/>
      <c r="K204" s="74"/>
    </row>
    <row r="205" spans="1:11" ht="14.45">
      <c r="A205" s="22"/>
      <c r="B205" s="34"/>
      <c r="C205" s="22"/>
      <c r="D205" s="22"/>
      <c r="E205" s="22"/>
      <c r="F205" s="23"/>
      <c r="G205" s="22"/>
      <c r="H205" s="22"/>
      <c r="I205" s="23"/>
      <c r="J205" s="74"/>
      <c r="K205" s="74"/>
    </row>
    <row r="206" spans="1:11" ht="14.45">
      <c r="A206" s="22"/>
      <c r="B206" s="34"/>
      <c r="C206" s="22"/>
      <c r="D206" s="22"/>
      <c r="E206" s="22"/>
      <c r="F206" s="23"/>
      <c r="G206" s="22"/>
      <c r="H206" s="22"/>
      <c r="I206" s="23"/>
      <c r="J206" s="74"/>
      <c r="K206" s="74"/>
    </row>
    <row r="207" spans="1:11" ht="14.45">
      <c r="A207" s="22"/>
      <c r="B207" s="34"/>
      <c r="C207" s="22"/>
      <c r="D207" s="22"/>
      <c r="E207" s="22"/>
      <c r="F207" s="23"/>
      <c r="G207" s="22"/>
      <c r="H207" s="22"/>
      <c r="I207" s="23"/>
      <c r="J207" s="74"/>
      <c r="K207" s="74"/>
    </row>
    <row r="208" spans="1:11" ht="14.45">
      <c r="A208" s="22"/>
      <c r="B208" s="34"/>
      <c r="C208" s="22"/>
      <c r="D208" s="22"/>
      <c r="E208" s="22"/>
      <c r="F208" s="23"/>
      <c r="G208" s="22"/>
      <c r="H208" s="22"/>
      <c r="I208" s="23"/>
      <c r="J208" s="74"/>
      <c r="K208" s="74"/>
    </row>
    <row r="209" spans="1:11" ht="14.45">
      <c r="A209" s="22"/>
      <c r="B209" s="34"/>
      <c r="C209" s="22"/>
      <c r="D209" s="22"/>
      <c r="E209" s="22"/>
      <c r="F209" s="23"/>
      <c r="G209" s="22"/>
      <c r="H209" s="22"/>
      <c r="I209" s="23"/>
      <c r="J209" s="74"/>
      <c r="K209" s="74"/>
    </row>
    <row r="210" spans="1:11" ht="14.45">
      <c r="A210" s="22"/>
      <c r="B210" s="34"/>
      <c r="C210" s="22"/>
      <c r="D210" s="22"/>
      <c r="E210" s="22"/>
      <c r="F210" s="23"/>
      <c r="G210" s="22"/>
      <c r="H210" s="22"/>
      <c r="I210" s="23"/>
      <c r="J210" s="74"/>
      <c r="K210" s="74"/>
    </row>
    <row r="211" spans="1:11" ht="14.45">
      <c r="A211" s="22"/>
      <c r="B211" s="34"/>
      <c r="C211" s="22"/>
      <c r="D211" s="22"/>
      <c r="E211" s="22"/>
      <c r="F211" s="23"/>
      <c r="G211" s="22"/>
      <c r="H211" s="22"/>
      <c r="I211" s="23"/>
      <c r="J211" s="74"/>
      <c r="K211" s="74"/>
    </row>
    <row r="212" spans="1:11" ht="14.45">
      <c r="A212" s="22"/>
      <c r="B212" s="34"/>
      <c r="C212" s="22"/>
      <c r="D212" s="22"/>
      <c r="E212" s="22"/>
      <c r="F212" s="23"/>
      <c r="G212" s="22"/>
      <c r="H212" s="22"/>
      <c r="I212" s="23"/>
      <c r="J212" s="74"/>
      <c r="K212" s="74"/>
    </row>
    <row r="213" spans="1:11" ht="14.45">
      <c r="A213" s="22"/>
      <c r="B213" s="34"/>
      <c r="C213" s="22"/>
      <c r="D213" s="22"/>
      <c r="E213" s="22"/>
      <c r="F213" s="23"/>
      <c r="G213" s="22"/>
      <c r="H213" s="22"/>
      <c r="I213" s="23"/>
      <c r="J213" s="74"/>
      <c r="K213" s="74"/>
    </row>
    <row r="214" spans="1:11" ht="14.45">
      <c r="A214" s="22"/>
      <c r="B214" s="34"/>
      <c r="C214" s="22"/>
      <c r="D214" s="22"/>
      <c r="E214" s="22"/>
      <c r="F214" s="23"/>
      <c r="G214" s="22"/>
      <c r="H214" s="22"/>
      <c r="I214" s="23"/>
      <c r="J214" s="74"/>
      <c r="K214" s="74"/>
    </row>
    <row r="215" spans="1:11" ht="14.45">
      <c r="A215" s="22"/>
      <c r="B215" s="34"/>
      <c r="C215" s="22"/>
      <c r="D215" s="22"/>
      <c r="E215" s="22"/>
      <c r="F215" s="23"/>
      <c r="G215" s="22"/>
      <c r="H215" s="22"/>
      <c r="I215" s="23"/>
      <c r="J215" s="74"/>
      <c r="K215" s="74"/>
    </row>
    <row r="216" spans="1:11" ht="14.45">
      <c r="A216" s="22"/>
      <c r="B216" s="34"/>
      <c r="C216" s="22"/>
      <c r="D216" s="22"/>
      <c r="E216" s="22"/>
      <c r="F216" s="23"/>
      <c r="G216" s="22"/>
      <c r="H216" s="22"/>
      <c r="I216" s="23"/>
      <c r="J216" s="74"/>
      <c r="K216" s="74"/>
    </row>
    <row r="217" spans="1:11" ht="14.45">
      <c r="A217" s="22"/>
      <c r="B217" s="34"/>
      <c r="C217" s="22"/>
      <c r="D217" s="22"/>
      <c r="E217" s="22"/>
      <c r="F217" s="23"/>
      <c r="G217" s="22"/>
      <c r="H217" s="22"/>
      <c r="I217" s="23"/>
      <c r="J217" s="74"/>
      <c r="K217" s="74"/>
    </row>
    <row r="218" spans="1:11" ht="14.45">
      <c r="A218" s="22"/>
      <c r="B218" s="34"/>
      <c r="C218" s="22"/>
      <c r="D218" s="22"/>
      <c r="E218" s="22"/>
      <c r="F218" s="23"/>
      <c r="G218" s="22"/>
      <c r="H218" s="22"/>
      <c r="I218" s="23"/>
      <c r="J218" s="74"/>
      <c r="K218" s="74"/>
    </row>
    <row r="219" spans="1:11" ht="14.45">
      <c r="A219" s="22"/>
      <c r="B219" s="34"/>
      <c r="C219" s="22"/>
      <c r="D219" s="22"/>
      <c r="E219" s="22"/>
      <c r="F219" s="23"/>
      <c r="G219" s="22"/>
      <c r="H219" s="22"/>
      <c r="I219" s="23"/>
      <c r="J219" s="74"/>
      <c r="K219" s="74"/>
    </row>
    <row r="220" spans="1:11" ht="14.45">
      <c r="A220" s="22"/>
      <c r="B220" s="34"/>
      <c r="C220" s="22"/>
      <c r="D220" s="22"/>
      <c r="E220" s="22"/>
      <c r="F220" s="23"/>
      <c r="G220" s="22"/>
      <c r="H220" s="22"/>
      <c r="I220" s="23"/>
      <c r="J220" s="74"/>
      <c r="K220" s="74"/>
    </row>
    <row r="221" spans="1:11" ht="14.45">
      <c r="A221" s="22"/>
      <c r="B221" s="34"/>
      <c r="C221" s="22"/>
      <c r="D221" s="22"/>
      <c r="E221" s="22"/>
      <c r="F221" s="23"/>
      <c r="G221" s="22"/>
      <c r="H221" s="22"/>
      <c r="I221" s="23"/>
      <c r="J221" s="74"/>
      <c r="K221" s="74"/>
    </row>
    <row r="222" spans="1:11" ht="14.45">
      <c r="A222" s="22"/>
      <c r="B222" s="34"/>
      <c r="C222" s="22"/>
      <c r="D222" s="22"/>
      <c r="E222" s="22"/>
      <c r="F222" s="23"/>
      <c r="G222" s="22"/>
      <c r="H222" s="22"/>
      <c r="I222" s="23"/>
      <c r="J222" s="74"/>
      <c r="K222" s="74"/>
    </row>
    <row r="223" spans="1:11" ht="14.45">
      <c r="A223" s="22"/>
      <c r="B223" s="34"/>
      <c r="C223" s="22"/>
      <c r="D223" s="22"/>
      <c r="E223" s="22"/>
      <c r="F223" s="23"/>
      <c r="G223" s="22"/>
      <c r="H223" s="22"/>
      <c r="I223" s="23"/>
      <c r="J223" s="74"/>
      <c r="K223" s="74"/>
    </row>
    <row r="224" spans="1:11" ht="14.45">
      <c r="A224" s="22"/>
      <c r="B224" s="34"/>
      <c r="C224" s="22"/>
      <c r="D224" s="22"/>
      <c r="E224" s="22"/>
      <c r="F224" s="23"/>
      <c r="G224" s="22"/>
      <c r="H224" s="22"/>
      <c r="I224" s="23"/>
      <c r="J224" s="74"/>
      <c r="K224" s="74"/>
    </row>
    <row r="225" spans="1:11" ht="14.45">
      <c r="A225" s="22"/>
      <c r="B225" s="34"/>
      <c r="C225" s="22"/>
      <c r="D225" s="22"/>
      <c r="E225" s="22"/>
      <c r="F225" s="23"/>
      <c r="G225" s="22"/>
      <c r="H225" s="22"/>
      <c r="I225" s="23"/>
      <c r="J225" s="74"/>
      <c r="K225" s="74"/>
    </row>
    <row r="226" spans="1:11" ht="14.45">
      <c r="A226" s="22"/>
      <c r="B226" s="34"/>
      <c r="C226" s="22"/>
      <c r="D226" s="22"/>
      <c r="E226" s="22"/>
      <c r="F226" s="23"/>
      <c r="G226" s="22"/>
      <c r="H226" s="22"/>
      <c r="I226" s="23"/>
      <c r="J226" s="74"/>
      <c r="K226" s="74"/>
    </row>
    <row r="227" spans="1:11" ht="14.45">
      <c r="A227" s="22"/>
      <c r="B227" s="34"/>
      <c r="C227" s="22"/>
      <c r="D227" s="22"/>
      <c r="E227" s="22"/>
      <c r="F227" s="23"/>
      <c r="G227" s="22"/>
      <c r="H227" s="22"/>
      <c r="I227" s="23"/>
      <c r="J227" s="74"/>
      <c r="K227" s="74"/>
    </row>
    <row r="228" spans="1:11" ht="14.45">
      <c r="A228" s="22"/>
      <c r="B228" s="34"/>
      <c r="C228" s="22"/>
      <c r="D228" s="22"/>
      <c r="E228" s="22"/>
      <c r="F228" s="23"/>
      <c r="G228" s="22"/>
      <c r="H228" s="22"/>
      <c r="I228" s="23"/>
      <c r="J228" s="74"/>
      <c r="K228" s="74"/>
    </row>
    <row r="229" spans="1:11" ht="14.45">
      <c r="A229" s="22"/>
      <c r="B229" s="34"/>
      <c r="C229" s="22"/>
      <c r="D229" s="22"/>
      <c r="E229" s="22"/>
      <c r="F229" s="23"/>
      <c r="G229" s="22"/>
      <c r="H229" s="22"/>
      <c r="I229" s="23"/>
      <c r="J229" s="74"/>
      <c r="K229" s="74"/>
    </row>
    <row r="230" spans="1:11" ht="14.45">
      <c r="A230" s="22"/>
      <c r="B230" s="34"/>
      <c r="C230" s="22"/>
      <c r="D230" s="22"/>
      <c r="E230" s="22"/>
      <c r="F230" s="23"/>
      <c r="G230" s="22"/>
      <c r="H230" s="22"/>
      <c r="I230" s="23"/>
      <c r="J230" s="74"/>
      <c r="K230" s="74"/>
    </row>
    <row r="231" spans="1:11" ht="14.45">
      <c r="A231" s="22"/>
      <c r="B231" s="34"/>
      <c r="C231" s="22"/>
      <c r="D231" s="22"/>
      <c r="E231" s="22"/>
      <c r="F231" s="23"/>
      <c r="G231" s="22"/>
      <c r="H231" s="22"/>
      <c r="I231" s="23"/>
      <c r="J231" s="74"/>
      <c r="K231" s="74"/>
    </row>
    <row r="232" spans="1:11" ht="14.45">
      <c r="A232" s="22"/>
      <c r="B232" s="34"/>
      <c r="C232" s="22"/>
      <c r="D232" s="22"/>
      <c r="E232" s="22"/>
      <c r="F232" s="23"/>
      <c r="G232" s="22"/>
      <c r="H232" s="22"/>
      <c r="I232" s="23"/>
      <c r="J232" s="74"/>
      <c r="K232" s="74"/>
    </row>
    <row r="233" spans="1:11" ht="14.45">
      <c r="A233" s="22"/>
      <c r="B233" s="34"/>
      <c r="C233" s="22"/>
      <c r="D233" s="22"/>
      <c r="E233" s="22"/>
      <c r="F233" s="23"/>
      <c r="G233" s="22"/>
      <c r="H233" s="22"/>
      <c r="I233" s="23"/>
      <c r="J233" s="74"/>
      <c r="K233" s="74"/>
    </row>
    <row r="234" spans="1:11" ht="14.45">
      <c r="A234" s="22"/>
      <c r="B234" s="34"/>
      <c r="C234" s="22"/>
      <c r="D234" s="22"/>
      <c r="E234" s="22"/>
      <c r="F234" s="23"/>
      <c r="G234" s="22"/>
      <c r="H234" s="22"/>
      <c r="I234" s="23"/>
      <c r="J234" s="74"/>
      <c r="K234" s="74"/>
    </row>
    <row r="235" spans="1:11" ht="14.45">
      <c r="A235" s="22"/>
      <c r="B235" s="34"/>
      <c r="C235" s="22"/>
      <c r="D235" s="22"/>
      <c r="E235" s="22"/>
      <c r="F235" s="23"/>
      <c r="G235" s="22"/>
      <c r="H235" s="22"/>
      <c r="I235" s="23"/>
      <c r="J235" s="74"/>
      <c r="K235" s="74"/>
    </row>
    <row r="236" spans="1:11" ht="14.45">
      <c r="A236" s="22"/>
      <c r="B236" s="34"/>
      <c r="C236" s="22"/>
      <c r="D236" s="22"/>
      <c r="E236" s="22"/>
      <c r="F236" s="23"/>
      <c r="G236" s="22"/>
      <c r="H236" s="22"/>
      <c r="I236" s="23"/>
      <c r="J236" s="74"/>
      <c r="K236" s="74"/>
    </row>
    <row r="237" spans="1:11" ht="14.45">
      <c r="A237" s="22"/>
      <c r="B237" s="34"/>
      <c r="C237" s="22"/>
      <c r="D237" s="22"/>
      <c r="E237" s="22"/>
      <c r="F237" s="23"/>
      <c r="G237" s="22"/>
      <c r="H237" s="22"/>
      <c r="I237" s="23"/>
      <c r="J237" s="74"/>
      <c r="K237" s="74"/>
    </row>
    <row r="238" spans="1:11" ht="14.45">
      <c r="A238" s="22"/>
      <c r="B238" s="34"/>
      <c r="C238" s="22"/>
      <c r="D238" s="22"/>
      <c r="E238" s="22"/>
      <c r="F238" s="23"/>
      <c r="G238" s="22"/>
      <c r="H238" s="22"/>
      <c r="I238" s="23"/>
      <c r="J238" s="74"/>
      <c r="K238" s="74"/>
    </row>
    <row r="239" spans="1:11" ht="14.45">
      <c r="A239" s="22"/>
      <c r="B239" s="34"/>
      <c r="C239" s="22"/>
      <c r="D239" s="22"/>
      <c r="E239" s="22"/>
      <c r="F239" s="23"/>
      <c r="G239" s="22"/>
      <c r="H239" s="22"/>
      <c r="I239" s="23"/>
      <c r="J239" s="74"/>
      <c r="K239" s="74"/>
    </row>
    <row r="240" spans="1:11" ht="14.45">
      <c r="A240" s="22"/>
      <c r="B240" s="34"/>
      <c r="C240" s="22"/>
      <c r="D240" s="22"/>
      <c r="E240" s="22"/>
      <c r="F240" s="23"/>
      <c r="G240" s="22"/>
      <c r="H240" s="22"/>
      <c r="I240" s="23"/>
      <c r="J240" s="74"/>
      <c r="K240" s="74"/>
    </row>
    <row r="241" spans="1:11" ht="14.45">
      <c r="A241" s="22"/>
      <c r="B241" s="34"/>
      <c r="C241" s="22"/>
      <c r="D241" s="22"/>
      <c r="E241" s="22"/>
      <c r="F241" s="23"/>
      <c r="G241" s="22"/>
      <c r="H241" s="22"/>
      <c r="I241" s="23"/>
      <c r="J241" s="74"/>
      <c r="K241" s="74"/>
    </row>
    <row r="242" spans="1:11" ht="14.45">
      <c r="A242" s="22"/>
      <c r="B242" s="34"/>
      <c r="C242" s="22"/>
      <c r="D242" s="22"/>
      <c r="E242" s="22"/>
      <c r="F242" s="23"/>
      <c r="G242" s="22"/>
      <c r="H242" s="22"/>
      <c r="I242" s="23"/>
      <c r="J242" s="74"/>
      <c r="K242" s="74"/>
    </row>
    <row r="243" spans="1:11" ht="14.45">
      <c r="A243" s="22"/>
      <c r="B243" s="34"/>
      <c r="C243" s="22"/>
      <c r="D243" s="22"/>
      <c r="E243" s="22"/>
      <c r="F243" s="23"/>
      <c r="G243" s="22"/>
      <c r="H243" s="22"/>
      <c r="I243" s="23"/>
      <c r="J243" s="74"/>
      <c r="K243" s="74"/>
    </row>
    <row r="244" spans="1:11" ht="14.45">
      <c r="A244" s="22"/>
      <c r="B244" s="34"/>
      <c r="C244" s="22"/>
      <c r="D244" s="22"/>
      <c r="E244" s="22"/>
      <c r="F244" s="23"/>
      <c r="G244" s="22"/>
      <c r="H244" s="22"/>
      <c r="I244" s="23"/>
      <c r="J244" s="74"/>
      <c r="K244" s="74"/>
    </row>
    <row r="245" spans="1:11" ht="14.45">
      <c r="A245" s="22"/>
      <c r="B245" s="34"/>
      <c r="C245" s="22"/>
      <c r="D245" s="22"/>
      <c r="E245" s="22"/>
      <c r="F245" s="23"/>
      <c r="G245" s="22"/>
      <c r="H245" s="22"/>
      <c r="I245" s="23"/>
      <c r="J245" s="74"/>
      <c r="K245" s="74"/>
    </row>
    <row r="246" spans="1:11" ht="14.45">
      <c r="A246" s="22"/>
      <c r="B246" s="34"/>
      <c r="C246" s="22"/>
      <c r="D246" s="22"/>
      <c r="E246" s="22"/>
      <c r="F246" s="23"/>
      <c r="G246" s="22"/>
      <c r="H246" s="22"/>
      <c r="I246" s="23"/>
      <c r="J246" s="74"/>
      <c r="K246" s="74"/>
    </row>
    <row r="247" spans="1:11" ht="14.45">
      <c r="A247" s="22"/>
      <c r="B247" s="34"/>
      <c r="C247" s="22"/>
      <c r="D247" s="22"/>
      <c r="E247" s="22"/>
      <c r="F247" s="23"/>
      <c r="G247" s="22"/>
      <c r="H247" s="22"/>
      <c r="I247" s="23"/>
      <c r="J247" s="74"/>
      <c r="K247" s="74"/>
    </row>
    <row r="248" spans="1:11" ht="14.45">
      <c r="A248" s="22"/>
      <c r="B248" s="34"/>
      <c r="C248" s="22"/>
      <c r="D248" s="22"/>
      <c r="E248" s="22"/>
      <c r="F248" s="23"/>
      <c r="G248" s="22"/>
      <c r="H248" s="22"/>
      <c r="I248" s="23"/>
      <c r="J248" s="74"/>
      <c r="K248" s="74"/>
    </row>
    <row r="249" spans="1:11" ht="14.45">
      <c r="A249" s="22"/>
      <c r="B249" s="34"/>
      <c r="C249" s="22"/>
      <c r="D249" s="22"/>
      <c r="E249" s="22"/>
      <c r="F249" s="23"/>
      <c r="G249" s="22"/>
      <c r="H249" s="22"/>
      <c r="I249" s="23"/>
      <c r="J249" s="74"/>
      <c r="K249" s="74"/>
    </row>
    <row r="250" spans="1:11" ht="14.45">
      <c r="A250" s="22"/>
      <c r="B250" s="34"/>
      <c r="C250" s="22"/>
      <c r="D250" s="22"/>
      <c r="E250" s="22"/>
      <c r="F250" s="23"/>
      <c r="G250" s="22"/>
      <c r="H250" s="22"/>
      <c r="I250" s="23"/>
      <c r="J250" s="74"/>
      <c r="K250" s="74"/>
    </row>
    <row r="251" spans="1:11" ht="14.45">
      <c r="A251" s="22"/>
      <c r="B251" s="34"/>
      <c r="C251" s="22"/>
      <c r="D251" s="22"/>
      <c r="E251" s="22"/>
      <c r="F251" s="23"/>
      <c r="G251" s="22"/>
      <c r="H251" s="22"/>
      <c r="I251" s="23"/>
      <c r="J251" s="74"/>
      <c r="K251" s="74"/>
    </row>
    <row r="252" spans="1:11" ht="14.45">
      <c r="A252" s="22"/>
      <c r="B252" s="34"/>
      <c r="C252" s="22"/>
      <c r="D252" s="22"/>
      <c r="E252" s="22"/>
      <c r="F252" s="23"/>
      <c r="G252" s="22"/>
      <c r="H252" s="22"/>
      <c r="I252" s="23"/>
      <c r="J252" s="74"/>
      <c r="K252" s="74"/>
    </row>
    <row r="253" spans="1:11" ht="14.45">
      <c r="A253" s="22"/>
      <c r="B253" s="34"/>
      <c r="C253" s="22"/>
      <c r="D253" s="22"/>
      <c r="E253" s="22"/>
      <c r="F253" s="23"/>
      <c r="G253" s="22"/>
      <c r="H253" s="22"/>
      <c r="I253" s="23"/>
      <c r="J253" s="74"/>
      <c r="K253" s="74"/>
    </row>
    <row r="254" spans="1:11" ht="14.45">
      <c r="A254" s="22"/>
      <c r="B254" s="34"/>
      <c r="C254" s="22"/>
      <c r="D254" s="22"/>
      <c r="E254" s="22"/>
      <c r="F254" s="23"/>
      <c r="G254" s="22"/>
      <c r="H254" s="22"/>
      <c r="I254" s="23"/>
      <c r="J254" s="74"/>
      <c r="K254" s="74"/>
    </row>
    <row r="255" spans="1:11" ht="14.45">
      <c r="A255" s="22"/>
      <c r="B255" s="34"/>
      <c r="C255" s="22"/>
      <c r="D255" s="22"/>
      <c r="E255" s="22"/>
      <c r="F255" s="23"/>
      <c r="G255" s="22"/>
      <c r="H255" s="22"/>
      <c r="I255" s="23"/>
      <c r="J255" s="74"/>
      <c r="K255" s="74"/>
    </row>
    <row r="256" spans="1:11" ht="14.45">
      <c r="A256" s="22"/>
      <c r="B256" s="34"/>
      <c r="C256" s="22"/>
      <c r="D256" s="22"/>
      <c r="E256" s="22"/>
      <c r="F256" s="23"/>
      <c r="G256" s="22"/>
      <c r="H256" s="22"/>
      <c r="I256" s="23"/>
      <c r="J256" s="74"/>
      <c r="K256" s="74"/>
    </row>
    <row r="257" spans="1:11" ht="14.45">
      <c r="A257" s="22"/>
      <c r="B257" s="34"/>
      <c r="C257" s="22"/>
      <c r="D257" s="22"/>
      <c r="E257" s="22"/>
      <c r="F257" s="23"/>
      <c r="G257" s="22"/>
      <c r="H257" s="22"/>
      <c r="I257" s="23"/>
      <c r="J257" s="74"/>
      <c r="K257" s="74"/>
    </row>
    <row r="258" spans="1:11" ht="14.45">
      <c r="A258" s="22"/>
      <c r="B258" s="34"/>
      <c r="C258" s="22"/>
      <c r="D258" s="22"/>
      <c r="E258" s="22"/>
      <c r="F258" s="23"/>
      <c r="G258" s="22"/>
      <c r="H258" s="22"/>
      <c r="I258" s="23"/>
      <c r="J258" s="74"/>
      <c r="K258" s="74"/>
    </row>
    <row r="259" spans="1:11" ht="14.45">
      <c r="A259" s="22"/>
      <c r="B259" s="34"/>
      <c r="C259" s="22"/>
      <c r="D259" s="22"/>
      <c r="E259" s="22"/>
      <c r="F259" s="23"/>
      <c r="G259" s="22"/>
      <c r="H259" s="22"/>
      <c r="I259" s="23"/>
      <c r="J259" s="74"/>
      <c r="K259" s="74"/>
    </row>
    <row r="260" spans="1:11" ht="14.45">
      <c r="A260" s="22"/>
      <c r="B260" s="34"/>
      <c r="C260" s="22"/>
      <c r="D260" s="22"/>
      <c r="E260" s="22"/>
      <c r="F260" s="23"/>
      <c r="G260" s="22"/>
      <c r="H260" s="22"/>
      <c r="I260" s="23"/>
      <c r="J260" s="74"/>
      <c r="K260" s="74"/>
    </row>
    <row r="261" spans="1:11" ht="14.45">
      <c r="A261" s="22"/>
      <c r="B261" s="34"/>
      <c r="C261" s="22"/>
      <c r="D261" s="22"/>
      <c r="E261" s="22"/>
      <c r="F261" s="23"/>
      <c r="G261" s="22"/>
      <c r="H261" s="22"/>
      <c r="I261" s="23"/>
      <c r="J261" s="74"/>
      <c r="K261" s="74"/>
    </row>
    <row r="262" spans="1:11" ht="14.45">
      <c r="A262" s="22"/>
      <c r="B262" s="34"/>
      <c r="C262" s="22"/>
      <c r="D262" s="22"/>
      <c r="E262" s="22"/>
      <c r="F262" s="23"/>
      <c r="G262" s="22"/>
      <c r="H262" s="22"/>
      <c r="I262" s="23"/>
      <c r="J262" s="74"/>
      <c r="K262" s="74"/>
    </row>
    <row r="263" spans="1:11" ht="14.45">
      <c r="A263" s="22"/>
      <c r="B263" s="34"/>
      <c r="C263" s="22"/>
      <c r="D263" s="22"/>
      <c r="E263" s="22"/>
      <c r="F263" s="23"/>
      <c r="G263" s="22"/>
      <c r="H263" s="22"/>
      <c r="I263" s="23"/>
      <c r="J263" s="74"/>
      <c r="K263" s="74"/>
    </row>
    <row r="264" spans="1:11" ht="14.45">
      <c r="A264" s="22"/>
      <c r="B264" s="34"/>
      <c r="C264" s="22"/>
      <c r="D264" s="22"/>
      <c r="E264" s="22"/>
      <c r="F264" s="23"/>
      <c r="G264" s="22"/>
      <c r="H264" s="22"/>
      <c r="I264" s="23"/>
      <c r="J264" s="74"/>
      <c r="K264" s="74"/>
    </row>
    <row r="265" spans="1:11" ht="14.45">
      <c r="A265" s="22"/>
      <c r="B265" s="34"/>
      <c r="C265" s="22"/>
      <c r="D265" s="22"/>
      <c r="E265" s="22"/>
      <c r="F265" s="23"/>
      <c r="G265" s="22"/>
      <c r="H265" s="22"/>
      <c r="I265" s="23"/>
      <c r="J265" s="74"/>
      <c r="K265" s="74"/>
    </row>
    <row r="266" spans="1:11" ht="14.45">
      <c r="A266" s="22"/>
      <c r="B266" s="34"/>
      <c r="C266" s="22"/>
      <c r="D266" s="22"/>
      <c r="E266" s="22"/>
      <c r="F266" s="23"/>
      <c r="G266" s="22"/>
      <c r="H266" s="22"/>
      <c r="I266" s="23"/>
      <c r="J266" s="74"/>
      <c r="K266" s="74"/>
    </row>
    <row r="267" spans="1:11" ht="14.45">
      <c r="A267" s="22"/>
      <c r="B267" s="34"/>
      <c r="C267" s="22"/>
      <c r="D267" s="22"/>
      <c r="E267" s="22"/>
      <c r="F267" s="23"/>
      <c r="G267" s="22"/>
      <c r="H267" s="22"/>
      <c r="I267" s="23"/>
      <c r="J267" s="74"/>
      <c r="K267" s="74"/>
    </row>
    <row r="268" spans="1:11" ht="14.45">
      <c r="A268" s="22"/>
      <c r="B268" s="34"/>
      <c r="C268" s="22"/>
      <c r="D268" s="22"/>
      <c r="E268" s="22"/>
      <c r="F268" s="23"/>
      <c r="G268" s="22"/>
      <c r="H268" s="22"/>
      <c r="I268" s="23"/>
      <c r="J268" s="74"/>
      <c r="K268" s="74"/>
    </row>
    <row r="269" spans="1:11" ht="14.45">
      <c r="A269" s="22"/>
      <c r="B269" s="34"/>
      <c r="C269" s="22"/>
      <c r="D269" s="22"/>
      <c r="E269" s="22"/>
      <c r="F269" s="23"/>
      <c r="G269" s="22"/>
      <c r="H269" s="22"/>
      <c r="I269" s="23"/>
      <c r="J269" s="74"/>
      <c r="K269" s="74"/>
    </row>
    <row r="270" spans="1:11" ht="14.45">
      <c r="A270" s="22"/>
      <c r="B270" s="34"/>
      <c r="C270" s="22"/>
      <c r="D270" s="22"/>
      <c r="E270" s="22"/>
      <c r="F270" s="23"/>
      <c r="G270" s="22"/>
      <c r="H270" s="22"/>
      <c r="I270" s="23"/>
      <c r="J270" s="74"/>
      <c r="K270" s="74"/>
    </row>
    <row r="271" spans="1:11" ht="14.45">
      <c r="A271" s="22"/>
      <c r="B271" s="34"/>
      <c r="C271" s="22"/>
      <c r="D271" s="22"/>
      <c r="E271" s="22"/>
      <c r="F271" s="23"/>
      <c r="G271" s="22"/>
      <c r="H271" s="22"/>
      <c r="I271" s="23"/>
      <c r="J271" s="74"/>
      <c r="K271" s="74"/>
    </row>
    <row r="272" spans="1:11" ht="14.45">
      <c r="A272" s="22"/>
      <c r="B272" s="34"/>
      <c r="C272" s="22"/>
      <c r="D272" s="22"/>
      <c r="E272" s="22"/>
      <c r="F272" s="23"/>
      <c r="G272" s="22"/>
      <c r="H272" s="22"/>
      <c r="I272" s="23"/>
      <c r="J272" s="74"/>
      <c r="K272" s="74"/>
    </row>
    <row r="273" spans="1:11" ht="14.45">
      <c r="A273" s="22"/>
      <c r="B273" s="34"/>
      <c r="C273" s="22"/>
      <c r="D273" s="22"/>
      <c r="E273" s="22"/>
      <c r="F273" s="23"/>
      <c r="G273" s="22"/>
      <c r="H273" s="22"/>
      <c r="I273" s="23"/>
      <c r="J273" s="74"/>
      <c r="K273" s="74"/>
    </row>
    <row r="274" spans="1:11" ht="14.45">
      <c r="A274" s="22"/>
      <c r="B274" s="34"/>
      <c r="C274" s="22"/>
      <c r="D274" s="22"/>
      <c r="E274" s="22"/>
      <c r="F274" s="23"/>
      <c r="G274" s="22"/>
      <c r="H274" s="22"/>
      <c r="I274" s="23"/>
      <c r="J274" s="74"/>
      <c r="K274" s="74"/>
    </row>
    <row r="275" spans="1:11" ht="14.45">
      <c r="A275" s="22"/>
      <c r="B275" s="34"/>
      <c r="C275" s="22"/>
      <c r="D275" s="22"/>
      <c r="E275" s="22"/>
      <c r="F275" s="23"/>
      <c r="G275" s="22"/>
      <c r="H275" s="22"/>
      <c r="I275" s="23"/>
      <c r="J275" s="74"/>
      <c r="K275" s="74"/>
    </row>
    <row r="276" spans="1:11" ht="14.45">
      <c r="A276" s="22"/>
      <c r="B276" s="34"/>
      <c r="C276" s="22"/>
      <c r="D276" s="22"/>
      <c r="E276" s="22"/>
      <c r="F276" s="23"/>
      <c r="G276" s="22"/>
      <c r="H276" s="22"/>
      <c r="I276" s="23"/>
      <c r="J276" s="74"/>
      <c r="K276" s="74"/>
    </row>
    <row r="277" spans="1:11" ht="14.45">
      <c r="A277" s="22"/>
      <c r="B277" s="34"/>
      <c r="C277" s="22"/>
      <c r="D277" s="22"/>
      <c r="E277" s="22"/>
      <c r="F277" s="23"/>
      <c r="G277" s="22"/>
      <c r="H277" s="22"/>
      <c r="I277" s="23"/>
      <c r="J277" s="74"/>
      <c r="K277" s="74"/>
    </row>
    <row r="278" spans="1:11" ht="14.45">
      <c r="A278" s="22"/>
      <c r="B278" s="34"/>
      <c r="C278" s="22"/>
      <c r="D278" s="22"/>
      <c r="E278" s="22"/>
      <c r="F278" s="23"/>
      <c r="G278" s="22"/>
      <c r="H278" s="22"/>
      <c r="I278" s="23"/>
      <c r="J278" s="74"/>
      <c r="K278" s="74"/>
    </row>
    <row r="279" spans="1:11" ht="14.45">
      <c r="A279" s="22"/>
      <c r="B279" s="34"/>
      <c r="C279" s="22"/>
      <c r="D279" s="22"/>
      <c r="E279" s="22"/>
      <c r="F279" s="23"/>
      <c r="G279" s="22"/>
      <c r="H279" s="22"/>
      <c r="I279" s="23"/>
      <c r="J279" s="74"/>
      <c r="K279" s="74"/>
    </row>
    <row r="280" spans="1:11" ht="14.45">
      <c r="A280" s="22"/>
      <c r="B280" s="34"/>
      <c r="C280" s="22"/>
      <c r="D280" s="22"/>
      <c r="E280" s="22"/>
      <c r="F280" s="23"/>
      <c r="G280" s="22"/>
      <c r="H280" s="22"/>
      <c r="I280" s="23"/>
      <c r="J280" s="74"/>
      <c r="K280" s="74"/>
    </row>
    <row r="281" spans="1:11" ht="14.45">
      <c r="A281" s="22"/>
      <c r="B281" s="34"/>
      <c r="C281" s="22"/>
      <c r="D281" s="22"/>
      <c r="E281" s="22"/>
      <c r="F281" s="23"/>
      <c r="G281" s="22"/>
      <c r="H281" s="22"/>
      <c r="I281" s="23"/>
      <c r="J281" s="74"/>
      <c r="K281" s="74"/>
    </row>
    <row r="282" spans="1:11" ht="14.45">
      <c r="A282" s="22"/>
      <c r="B282" s="34"/>
      <c r="C282" s="22"/>
      <c r="D282" s="22"/>
      <c r="E282" s="22"/>
      <c r="F282" s="23"/>
      <c r="G282" s="22"/>
      <c r="H282" s="22"/>
      <c r="I282" s="23"/>
      <c r="J282" s="74"/>
      <c r="K282" s="74"/>
    </row>
    <row r="283" spans="1:11" ht="14.45">
      <c r="A283" s="22"/>
      <c r="B283" s="34"/>
      <c r="C283" s="22"/>
      <c r="D283" s="22"/>
      <c r="E283" s="22"/>
      <c r="F283" s="23"/>
      <c r="G283" s="22"/>
      <c r="H283" s="22"/>
      <c r="I283" s="23"/>
      <c r="J283" s="74"/>
      <c r="K283" s="74"/>
    </row>
    <row r="284" spans="1:11" ht="14.45">
      <c r="A284" s="22"/>
      <c r="B284" s="34"/>
      <c r="C284" s="22"/>
      <c r="D284" s="22"/>
      <c r="E284" s="22"/>
      <c r="F284" s="23"/>
      <c r="G284" s="22"/>
      <c r="H284" s="22"/>
      <c r="I284" s="23"/>
      <c r="J284" s="74"/>
      <c r="K284" s="74"/>
    </row>
    <row r="285" spans="1:11" ht="14.45">
      <c r="A285" s="22"/>
      <c r="B285" s="34"/>
      <c r="C285" s="22"/>
      <c r="D285" s="22"/>
      <c r="E285" s="22"/>
      <c r="F285" s="23"/>
      <c r="G285" s="22"/>
      <c r="H285" s="22"/>
      <c r="I285" s="23"/>
      <c r="J285" s="74"/>
      <c r="K285" s="74"/>
    </row>
    <row r="286" spans="1:11" ht="14.45">
      <c r="A286" s="22"/>
      <c r="B286" s="34"/>
      <c r="C286" s="22"/>
      <c r="D286" s="22"/>
      <c r="E286" s="22"/>
      <c r="F286" s="23"/>
      <c r="G286" s="22"/>
      <c r="H286" s="22"/>
      <c r="I286" s="23"/>
      <c r="J286" s="74"/>
      <c r="K286" s="74"/>
    </row>
    <row r="287" spans="1:11" ht="14.45">
      <c r="A287" s="22"/>
      <c r="B287" s="34"/>
      <c r="C287" s="22"/>
      <c r="D287" s="22"/>
      <c r="E287" s="22"/>
      <c r="F287" s="23"/>
      <c r="G287" s="22"/>
      <c r="H287" s="22"/>
      <c r="I287" s="23"/>
      <c r="J287" s="74"/>
      <c r="K287" s="74"/>
    </row>
    <row r="288" spans="1:11" ht="14.45">
      <c r="A288" s="22"/>
      <c r="B288" s="34"/>
      <c r="C288" s="22"/>
      <c r="D288" s="22"/>
      <c r="E288" s="22"/>
      <c r="F288" s="23"/>
      <c r="G288" s="22"/>
      <c r="H288" s="22"/>
      <c r="I288" s="23"/>
      <c r="J288" s="74"/>
      <c r="K288" s="74"/>
    </row>
    <row r="289" spans="1:11" ht="14.45">
      <c r="A289" s="22"/>
      <c r="B289" s="34"/>
      <c r="C289" s="22"/>
      <c r="D289" s="22"/>
      <c r="E289" s="22"/>
      <c r="F289" s="23"/>
      <c r="G289" s="22"/>
      <c r="H289" s="22"/>
      <c r="I289" s="23"/>
      <c r="J289" s="74"/>
      <c r="K289" s="74"/>
    </row>
    <row r="290" spans="1:11" ht="14.45">
      <c r="A290" s="22"/>
      <c r="B290" s="34"/>
      <c r="C290" s="22"/>
      <c r="D290" s="22"/>
      <c r="E290" s="22"/>
      <c r="F290" s="23"/>
      <c r="G290" s="22"/>
      <c r="H290" s="22"/>
      <c r="I290" s="23"/>
      <c r="J290" s="74"/>
      <c r="K290" s="74"/>
    </row>
    <row r="291" spans="1:11" ht="14.45">
      <c r="A291" s="22"/>
      <c r="B291" s="34"/>
      <c r="C291" s="22"/>
      <c r="D291" s="22"/>
      <c r="E291" s="22"/>
      <c r="F291" s="23"/>
      <c r="G291" s="22"/>
      <c r="H291" s="22"/>
      <c r="I291" s="23"/>
      <c r="J291" s="74"/>
      <c r="K291" s="74"/>
    </row>
    <row r="292" spans="1:11" ht="14.45">
      <c r="A292" s="22"/>
      <c r="B292" s="34"/>
      <c r="C292" s="22"/>
      <c r="D292" s="22"/>
      <c r="E292" s="22"/>
      <c r="F292" s="23"/>
      <c r="G292" s="22"/>
      <c r="H292" s="22"/>
      <c r="I292" s="23"/>
      <c r="J292" s="74"/>
      <c r="K292" s="74"/>
    </row>
    <row r="293" spans="1:11" ht="14.45">
      <c r="A293" s="22"/>
      <c r="B293" s="34"/>
      <c r="C293" s="22"/>
      <c r="D293" s="22"/>
      <c r="E293" s="22"/>
      <c r="F293" s="23"/>
      <c r="G293" s="22"/>
      <c r="H293" s="22"/>
      <c r="I293" s="23"/>
      <c r="J293" s="74"/>
      <c r="K293" s="74"/>
    </row>
    <row r="294" spans="1:11" ht="14.45">
      <c r="A294" s="22"/>
      <c r="B294" s="34"/>
      <c r="C294" s="22"/>
      <c r="D294" s="22"/>
      <c r="E294" s="22"/>
      <c r="F294" s="23"/>
      <c r="G294" s="22"/>
      <c r="H294" s="22"/>
      <c r="I294" s="23"/>
      <c r="J294" s="74"/>
      <c r="K294" s="74"/>
    </row>
    <row r="295" spans="1:11" ht="14.45">
      <c r="A295" s="22"/>
      <c r="B295" s="34"/>
      <c r="C295" s="22"/>
      <c r="D295" s="22"/>
      <c r="E295" s="22"/>
      <c r="F295" s="23"/>
      <c r="G295" s="22"/>
      <c r="H295" s="22"/>
      <c r="I295" s="23"/>
      <c r="J295" s="74"/>
      <c r="K295" s="74"/>
    </row>
    <row r="296" spans="1:11" ht="14.45">
      <c r="A296" s="22"/>
      <c r="B296" s="34"/>
      <c r="C296" s="22"/>
      <c r="D296" s="22"/>
      <c r="E296" s="22"/>
      <c r="F296" s="23"/>
      <c r="G296" s="22"/>
      <c r="H296" s="22"/>
      <c r="I296" s="23"/>
      <c r="J296" s="74"/>
      <c r="K296" s="74"/>
    </row>
    <row r="297" spans="1:11" ht="14.45">
      <c r="A297" s="22"/>
      <c r="B297" s="34"/>
      <c r="C297" s="22"/>
      <c r="D297" s="22"/>
      <c r="E297" s="22"/>
      <c r="F297" s="23"/>
      <c r="G297" s="22"/>
      <c r="H297" s="22"/>
      <c r="I297" s="23"/>
      <c r="J297" s="74"/>
      <c r="K297" s="74"/>
    </row>
    <row r="298" spans="1:11" ht="14.45">
      <c r="A298" s="22"/>
      <c r="B298" s="34"/>
      <c r="C298" s="22"/>
      <c r="D298" s="22"/>
      <c r="E298" s="22"/>
      <c r="F298" s="23"/>
      <c r="G298" s="22"/>
      <c r="H298" s="22"/>
      <c r="I298" s="23"/>
      <c r="J298" s="74"/>
      <c r="K298" s="74"/>
    </row>
    <row r="299" spans="1:11" ht="14.45">
      <c r="A299" s="22"/>
      <c r="B299" s="34"/>
      <c r="C299" s="22"/>
      <c r="D299" s="22"/>
      <c r="E299" s="22"/>
      <c r="F299" s="23"/>
      <c r="G299" s="22"/>
      <c r="H299" s="22"/>
      <c r="I299" s="23"/>
      <c r="J299" s="74"/>
      <c r="K299" s="74"/>
    </row>
    <row r="300" spans="1:11" ht="14.45">
      <c r="A300" s="22"/>
      <c r="B300" s="34"/>
      <c r="C300" s="22"/>
      <c r="D300" s="22"/>
      <c r="E300" s="22"/>
      <c r="F300" s="23"/>
      <c r="G300" s="22"/>
      <c r="H300" s="22"/>
      <c r="I300" s="23"/>
      <c r="J300" s="74"/>
      <c r="K300" s="74"/>
    </row>
    <row r="301" spans="1:11" ht="14.45">
      <c r="A301" s="22"/>
      <c r="B301" s="34"/>
      <c r="C301" s="22"/>
      <c r="D301" s="22"/>
      <c r="E301" s="22"/>
      <c r="F301" s="23"/>
      <c r="G301" s="22"/>
      <c r="H301" s="22"/>
      <c r="I301" s="23"/>
      <c r="J301" s="74"/>
      <c r="K301" s="74"/>
    </row>
    <row r="302" spans="1:11" ht="14.45">
      <c r="A302" s="22"/>
      <c r="B302" s="34"/>
      <c r="C302" s="22"/>
      <c r="D302" s="22"/>
      <c r="E302" s="22"/>
      <c r="F302" s="23"/>
      <c r="G302" s="22"/>
      <c r="H302" s="22"/>
      <c r="I302" s="23"/>
      <c r="J302" s="74"/>
      <c r="K302" s="74"/>
    </row>
    <row r="303" spans="1:11" ht="14.45">
      <c r="A303" s="22"/>
      <c r="B303" s="34"/>
      <c r="C303" s="22"/>
      <c r="D303" s="22"/>
      <c r="E303" s="22"/>
      <c r="F303" s="23"/>
      <c r="G303" s="22"/>
      <c r="H303" s="22"/>
      <c r="I303" s="23"/>
      <c r="J303" s="74"/>
      <c r="K303" s="74"/>
    </row>
    <row r="304" spans="1:11" ht="14.45">
      <c r="A304" s="22"/>
      <c r="B304" s="34"/>
      <c r="C304" s="22"/>
      <c r="D304" s="22"/>
      <c r="E304" s="22"/>
      <c r="F304" s="23"/>
      <c r="G304" s="22"/>
      <c r="H304" s="22"/>
      <c r="I304" s="23"/>
      <c r="J304" s="74"/>
      <c r="K304" s="74"/>
    </row>
    <row r="305" spans="1:11" ht="14.45">
      <c r="A305" s="22"/>
      <c r="B305" s="34"/>
      <c r="C305" s="22"/>
      <c r="D305" s="22"/>
      <c r="E305" s="22"/>
      <c r="F305" s="23"/>
      <c r="G305" s="22"/>
      <c r="H305" s="22"/>
      <c r="I305" s="23"/>
      <c r="J305" s="74"/>
      <c r="K305" s="74"/>
    </row>
    <row r="306" spans="1:11" ht="14.45">
      <c r="A306" s="22"/>
      <c r="B306" s="34"/>
      <c r="C306" s="22"/>
      <c r="D306" s="22"/>
      <c r="E306" s="22"/>
      <c r="F306" s="23"/>
      <c r="G306" s="22"/>
      <c r="H306" s="22"/>
      <c r="I306" s="23"/>
      <c r="J306" s="74"/>
      <c r="K306" s="74"/>
    </row>
    <row r="307" spans="1:11" ht="14.45">
      <c r="A307" s="22"/>
      <c r="B307" s="34"/>
      <c r="C307" s="22"/>
      <c r="D307" s="22"/>
      <c r="E307" s="22"/>
      <c r="F307" s="23"/>
      <c r="G307" s="22"/>
      <c r="H307" s="22"/>
      <c r="I307" s="23"/>
      <c r="J307" s="74"/>
      <c r="K307" s="74"/>
    </row>
    <row r="308" spans="1:11" ht="14.45">
      <c r="A308" s="22"/>
      <c r="B308" s="34"/>
      <c r="C308" s="22"/>
      <c r="D308" s="22"/>
      <c r="E308" s="22"/>
      <c r="F308" s="23"/>
      <c r="G308" s="22"/>
      <c r="H308" s="22"/>
      <c r="I308" s="23"/>
      <c r="J308" s="74"/>
      <c r="K308" s="74"/>
    </row>
    <row r="309" spans="1:11" ht="14.45">
      <c r="A309" s="22"/>
      <c r="B309" s="34"/>
      <c r="C309" s="22"/>
      <c r="D309" s="22"/>
      <c r="E309" s="22"/>
      <c r="F309" s="23"/>
      <c r="G309" s="22"/>
      <c r="H309" s="22"/>
      <c r="I309" s="23"/>
      <c r="J309" s="74"/>
      <c r="K309" s="74"/>
    </row>
    <row r="310" spans="1:11" ht="14.45">
      <c r="A310" s="22"/>
      <c r="B310" s="34"/>
      <c r="C310" s="22"/>
      <c r="D310" s="22"/>
      <c r="E310" s="22"/>
      <c r="F310" s="23"/>
      <c r="G310" s="22"/>
      <c r="H310" s="22"/>
      <c r="I310" s="23"/>
      <c r="J310" s="74"/>
      <c r="K310" s="74"/>
    </row>
    <row r="311" spans="1:11" ht="14.45">
      <c r="A311" s="22"/>
      <c r="B311" s="34"/>
      <c r="C311" s="22"/>
      <c r="D311" s="22"/>
      <c r="E311" s="22"/>
      <c r="F311" s="23"/>
      <c r="G311" s="22"/>
      <c r="H311" s="22"/>
      <c r="I311" s="23"/>
      <c r="J311" s="74"/>
      <c r="K311" s="74"/>
    </row>
    <row r="312" spans="1:11" ht="14.45">
      <c r="A312" s="22"/>
      <c r="B312" s="34"/>
      <c r="C312" s="22"/>
      <c r="D312" s="22"/>
      <c r="E312" s="22"/>
      <c r="F312" s="23"/>
      <c r="G312" s="22"/>
      <c r="H312" s="22"/>
      <c r="I312" s="23"/>
      <c r="J312" s="74"/>
      <c r="K312" s="74"/>
    </row>
    <row r="313" spans="1:11" ht="14.45">
      <c r="A313" s="22"/>
      <c r="B313" s="34"/>
      <c r="C313" s="22"/>
      <c r="D313" s="22"/>
      <c r="E313" s="22"/>
      <c r="F313" s="23"/>
      <c r="G313" s="22"/>
      <c r="H313" s="22"/>
      <c r="I313" s="23"/>
      <c r="J313" s="74"/>
      <c r="K313" s="74"/>
    </row>
    <row r="314" spans="1:11" ht="14.45">
      <c r="A314" s="22"/>
      <c r="B314" s="34"/>
      <c r="C314" s="22"/>
      <c r="D314" s="22"/>
      <c r="E314" s="22"/>
      <c r="F314" s="23"/>
      <c r="G314" s="22"/>
      <c r="H314" s="22"/>
      <c r="I314" s="23"/>
      <c r="J314" s="74"/>
      <c r="K314" s="74"/>
    </row>
    <row r="315" spans="1:11" ht="14.45">
      <c r="A315" s="22"/>
      <c r="B315" s="34"/>
      <c r="C315" s="22"/>
      <c r="D315" s="22"/>
      <c r="E315" s="22"/>
      <c r="F315" s="23"/>
      <c r="G315" s="22"/>
      <c r="H315" s="22"/>
      <c r="I315" s="23"/>
      <c r="J315" s="74"/>
      <c r="K315" s="74"/>
    </row>
    <row r="316" spans="1:11" ht="14.45">
      <c r="A316" s="22"/>
      <c r="B316" s="34"/>
      <c r="C316" s="22"/>
      <c r="D316" s="22"/>
      <c r="E316" s="22"/>
      <c r="F316" s="23"/>
      <c r="G316" s="22"/>
      <c r="H316" s="22"/>
      <c r="I316" s="23"/>
      <c r="J316" s="74"/>
      <c r="K316" s="74"/>
    </row>
    <row r="317" spans="1:11" ht="14.45">
      <c r="A317" s="22"/>
      <c r="B317" s="34"/>
      <c r="C317" s="22"/>
      <c r="D317" s="22"/>
      <c r="E317" s="22"/>
      <c r="F317" s="23"/>
      <c r="G317" s="22"/>
      <c r="H317" s="22"/>
      <c r="I317" s="23"/>
      <c r="J317" s="74"/>
      <c r="K317" s="74"/>
    </row>
    <row r="318" spans="1:11" ht="14.45">
      <c r="A318" s="22"/>
      <c r="B318" s="34"/>
      <c r="C318" s="22"/>
      <c r="D318" s="22"/>
      <c r="E318" s="22"/>
      <c r="F318" s="23"/>
      <c r="G318" s="22"/>
      <c r="H318" s="22"/>
      <c r="I318" s="23"/>
      <c r="J318" s="74"/>
      <c r="K318" s="74"/>
    </row>
    <row r="319" spans="1:11" ht="14.45">
      <c r="A319" s="22"/>
      <c r="B319" s="34"/>
      <c r="C319" s="22"/>
      <c r="D319" s="22"/>
      <c r="E319" s="22"/>
      <c r="F319" s="23"/>
      <c r="G319" s="22"/>
      <c r="H319" s="22"/>
      <c r="I319" s="23"/>
      <c r="J319" s="74"/>
      <c r="K319" s="74"/>
    </row>
    <row r="320" spans="1:11" ht="14.45">
      <c r="A320" s="22"/>
      <c r="B320" s="34"/>
      <c r="C320" s="22"/>
      <c r="D320" s="22"/>
      <c r="E320" s="22"/>
      <c r="F320" s="23"/>
      <c r="G320" s="22"/>
      <c r="H320" s="22"/>
      <c r="I320" s="23"/>
      <c r="J320" s="74"/>
      <c r="K320" s="74"/>
    </row>
    <row r="321" spans="1:11" ht="14.45">
      <c r="A321" s="22"/>
      <c r="B321" s="34"/>
      <c r="C321" s="22"/>
      <c r="D321" s="22"/>
      <c r="E321" s="22"/>
      <c r="F321" s="23"/>
      <c r="G321" s="22"/>
      <c r="H321" s="22"/>
      <c r="I321" s="23"/>
      <c r="J321" s="74"/>
      <c r="K321" s="74"/>
    </row>
    <row r="322" spans="1:11" ht="14.45">
      <c r="A322" s="22"/>
      <c r="B322" s="34"/>
      <c r="C322" s="22"/>
      <c r="D322" s="22"/>
      <c r="E322" s="22"/>
      <c r="F322" s="23"/>
      <c r="G322" s="22"/>
      <c r="H322" s="22"/>
      <c r="I322" s="23"/>
      <c r="J322" s="74"/>
      <c r="K322" s="74"/>
    </row>
    <row r="323" spans="1:11" ht="14.45">
      <c r="A323" s="22"/>
      <c r="B323" s="34"/>
      <c r="C323" s="22"/>
      <c r="D323" s="22"/>
      <c r="E323" s="22"/>
      <c r="F323" s="23"/>
      <c r="G323" s="22"/>
      <c r="H323" s="22"/>
      <c r="I323" s="23"/>
      <c r="J323" s="74"/>
      <c r="K323" s="74"/>
    </row>
    <row r="324" spans="1:11" ht="14.45">
      <c r="A324" s="22"/>
      <c r="B324" s="34"/>
      <c r="C324" s="22"/>
      <c r="D324" s="22"/>
      <c r="E324" s="22"/>
      <c r="F324" s="23"/>
      <c r="G324" s="22"/>
      <c r="H324" s="22"/>
      <c r="I324" s="23"/>
      <c r="J324" s="74"/>
      <c r="K324" s="74"/>
    </row>
    <row r="325" spans="1:11" ht="14.45">
      <c r="A325" s="22"/>
      <c r="B325" s="34"/>
      <c r="C325" s="22"/>
      <c r="D325" s="22"/>
      <c r="E325" s="22"/>
      <c r="F325" s="23"/>
      <c r="G325" s="22"/>
      <c r="H325" s="22"/>
      <c r="I325" s="23"/>
      <c r="J325" s="74"/>
      <c r="K325" s="74"/>
    </row>
    <row r="326" spans="1:11" ht="14.45">
      <c r="A326" s="22"/>
      <c r="B326" s="34"/>
      <c r="C326" s="22"/>
      <c r="D326" s="22"/>
      <c r="E326" s="22"/>
      <c r="F326" s="23"/>
      <c r="G326" s="22"/>
      <c r="H326" s="22"/>
      <c r="I326" s="23"/>
      <c r="J326" s="74"/>
      <c r="K326" s="74"/>
    </row>
    <row r="327" spans="1:11" ht="14.45">
      <c r="A327" s="22"/>
      <c r="B327" s="34"/>
      <c r="C327" s="22"/>
      <c r="D327" s="22"/>
      <c r="E327" s="22"/>
      <c r="F327" s="23"/>
      <c r="G327" s="22"/>
      <c r="H327" s="22"/>
      <c r="I327" s="23"/>
      <c r="J327" s="74"/>
      <c r="K327" s="74"/>
    </row>
    <row r="328" spans="1:11" ht="14.45">
      <c r="C328" s="22"/>
      <c r="D328" s="22"/>
      <c r="E328" s="22"/>
      <c r="F328" s="23"/>
      <c r="G328" s="22"/>
      <c r="H328" s="22"/>
      <c r="I328" s="23"/>
      <c r="J328" s="74"/>
      <c r="K328" s="74"/>
    </row>
  </sheetData>
  <mergeCells count="4">
    <mergeCell ref="G1:I1"/>
    <mergeCell ref="A1:C1"/>
    <mergeCell ref="D1:F1"/>
    <mergeCell ref="A2:B2"/>
  </mergeCells>
  <conditionalFormatting sqref="F2 I2 F4:F86 I4:I86">
    <cfRule type="cellIs" dxfId="10" priority="1" stopIfTrue="1" operator="lessThanOrEqual">
      <formula>-0.1</formula>
    </cfRule>
    <cfRule type="expression" dxfId="9" priority="2">
      <formula>AND(ISNUMBER(F2), F2&gt;=0.1)</formula>
    </cfRule>
  </conditionalFormatting>
  <hyperlinks>
    <hyperlink ref="K6" r:id="rId1" display="https://us3.assetplanner.com/service_request?ID=102524" xr:uid="{0CCA7B45-8575-43E1-B16C-1A09F233A036}"/>
    <hyperlink ref="L6" r:id="rId2" display="https://us3.assetplanner.com/service_request?ID=097592" xr:uid="{49D4BE48-317C-4D77-A3E7-928DCD658C24}"/>
    <hyperlink ref="M6" r:id="rId3" display="https://us3.assetplanner.com/service_request?ID=101859" xr:uid="{7AD25B5E-743B-4E30-AE29-98E363D88385}"/>
    <hyperlink ref="N6" r:id="rId4" display="https://us3.assetplanner.com/service_request?ID=103044" xr:uid="{B10F3A8C-902F-4099-A774-4D8300425B26}"/>
    <hyperlink ref="K10" r:id="rId5" display="https://us3.assetplanner.com/service_request?ID=107465" xr:uid="{C5401A5E-88F5-4E88-BB2B-8F779E1066E2}"/>
    <hyperlink ref="K11" r:id="rId6" display="https://us3.assetplanner.com/service_request?ID=108017" xr:uid="{BF0678C9-3ABF-4208-B1C2-57E3A0D60E45}"/>
    <hyperlink ref="K12" r:id="rId7" display="https://us3.assetplanner.com/service_request?ID=106162" xr:uid="{333C54D3-E42B-4A5F-A7CD-05E29AE17FF1}"/>
    <hyperlink ref="L12" r:id="rId8" display="https://us3.assetplanner.com/service_request?ID=107692" xr:uid="{7BEF18A7-FBBC-42EC-9401-EC1905198FBC}"/>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S328"/>
  <sheetViews>
    <sheetView topLeftCell="E1" workbookViewId="0">
      <pane ySplit="2" topLeftCell="A3" activePane="bottomLeft" state="frozen"/>
      <selection pane="bottomLeft" activeCell="M5" sqref="M5"/>
      <selection activeCell="C21" sqref="C21"/>
    </sheetView>
  </sheetViews>
  <sheetFormatPr defaultRowHeight="14.4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style="80" customWidth="1"/>
    <col min="11" max="11" width="22.85546875" style="80" customWidth="1"/>
    <col min="12" max="12" width="13" style="82" customWidth="1"/>
  </cols>
  <sheetData>
    <row r="1" spans="1:19" ht="19.5" customHeight="1">
      <c r="A1" s="90" t="str" cm="1">
        <f t="array" ref="A1">portfolio</f>
        <v>Pardee (ENCAP)</v>
      </c>
      <c r="B1" s="90"/>
      <c r="C1" s="90"/>
      <c r="D1" s="91" t="s">
        <v>165</v>
      </c>
      <c r="E1" s="91"/>
      <c r="F1" s="91"/>
      <c r="G1" s="89" t="s">
        <v>166</v>
      </c>
      <c r="H1" s="89"/>
      <c r="I1" s="89"/>
      <c r="J1" s="77"/>
      <c r="K1" s="77"/>
    </row>
    <row r="2" spans="1:19" ht="19.5" customHeight="1">
      <c r="A2" s="92" t="s">
        <v>2</v>
      </c>
      <c r="B2" s="92"/>
      <c r="C2" s="5">
        <f>SUM(C4:C86)</f>
        <v>392715.88879</v>
      </c>
      <c r="D2" s="5">
        <f>SUM(D4:D86)</f>
        <v>370105.65500000009</v>
      </c>
      <c r="E2" s="5">
        <f>C2-D2</f>
        <v>22610.233789999911</v>
      </c>
      <c r="F2" s="6">
        <f>IFERROR(E2/D2, 0)</f>
        <v>6.1091295105987792E-2</v>
      </c>
      <c r="G2" s="5">
        <f>SUM(G4:G86)</f>
        <v>425821.87400000007</v>
      </c>
      <c r="H2" s="7">
        <f>C2-G2</f>
        <v>-33105.985210000072</v>
      </c>
      <c r="I2" s="6">
        <f>IFERROR(H2/G2, 0)</f>
        <v>-7.7746088755412474E-2</v>
      </c>
      <c r="J2" s="78" t="str">
        <f ca="1">IF(AND(TODAY()&gt;DATE(2024, 10, 1), COUNTA(Sites[Site])&lt;&gt;(COUNT(C:C)-1)), "Some sites are missing actual data; if new sites were added, make sure they are aligned correctly (including prior months!)", "")</f>
        <v/>
      </c>
      <c r="K2" s="77"/>
    </row>
    <row r="3" spans="1:19" ht="14.25" customHeight="1">
      <c r="A3" s="8" t="s">
        <v>3</v>
      </c>
      <c r="B3" s="8" t="s">
        <v>4</v>
      </c>
      <c r="C3" s="24" t="s">
        <v>5</v>
      </c>
      <c r="D3" s="36" t="s">
        <v>6</v>
      </c>
      <c r="E3" s="36" t="s">
        <v>7</v>
      </c>
      <c r="F3" s="37" t="s">
        <v>8</v>
      </c>
      <c r="G3" s="38" t="s">
        <v>9</v>
      </c>
      <c r="H3" s="39" t="s">
        <v>7</v>
      </c>
      <c r="I3" s="40" t="s">
        <v>8</v>
      </c>
      <c r="J3" s="79" t="s">
        <v>20</v>
      </c>
      <c r="K3" s="79" t="s">
        <v>21</v>
      </c>
      <c r="L3" s="83" t="s">
        <v>167</v>
      </c>
    </row>
    <row r="4" spans="1:19" ht="72">
      <c r="A4" s="33" t="str" cm="1">
        <f t="array" ref="A4:A14">Sites[Site]</f>
        <v>AZ: ASU - Pardee - Discovery Hall</v>
      </c>
      <c r="B4" s="30" t="str" cm="1">
        <f t="array" ref="B4:B14">Sites[State]</f>
        <v>AZ</v>
      </c>
      <c r="C4" s="84">
        <v>7447.875</v>
      </c>
      <c r="D4" s="85">
        <v>6664.9740000000002</v>
      </c>
      <c r="E4" s="13">
        <f>IF(AND(ISNUMBER(C4),ISNUMBER(D4)), C4-D4, "")</f>
        <v>782.90099999999984</v>
      </c>
      <c r="F4" s="14">
        <f>IFERROR(E4/D4, "")</f>
        <v>0.11746497435698922</v>
      </c>
      <c r="G4" s="86">
        <v>9003.0740000000005</v>
      </c>
      <c r="H4" s="15">
        <f>IF(AND(ISNUMBER(C4),ISNUMBER(G4)), C4-G4, "")</f>
        <v>-1555.1990000000005</v>
      </c>
      <c r="I4" s="16">
        <f>IFERROR(H4/G4, "")</f>
        <v>-0.17274088827882569</v>
      </c>
      <c r="J4" s="75" t="s">
        <v>126</v>
      </c>
      <c r="K4" s="75"/>
      <c r="L4" s="75"/>
    </row>
    <row r="5" spans="1:19" ht="72">
      <c r="A5" s="31" t="str">
        <v>AZ: ASU - Pardee - Farrington</v>
      </c>
      <c r="B5" s="32" t="str">
        <v>AZ</v>
      </c>
      <c r="C5" s="11">
        <v>28460.138790000001</v>
      </c>
      <c r="D5" s="87">
        <v>29784.69</v>
      </c>
      <c r="E5" s="19">
        <f t="shared" ref="E5:E14" si="0">IF(AND(ISNUMBER(C5),ISNUMBER(D5)), C5-D5, "")</f>
        <v>-1324.5512099999978</v>
      </c>
      <c r="F5" s="20">
        <f>IFERROR(E5/D5, "")</f>
        <v>-4.4470874466042719E-2</v>
      </c>
      <c r="G5" s="21">
        <v>34930</v>
      </c>
      <c r="H5" s="21">
        <f t="shared" ref="H5:H14" si="1">IF(AND(ISNUMBER(C5),ISNUMBER(G5)), C5-G5, "")</f>
        <v>-6469.8612099999991</v>
      </c>
      <c r="I5" s="20">
        <f t="shared" ref="I5:I14" si="2">IFERROR(H5/G5, "")</f>
        <v>-0.18522362467792725</v>
      </c>
      <c r="J5" s="93" t="s">
        <v>126</v>
      </c>
      <c r="K5" s="81"/>
      <c r="L5" s="81"/>
    </row>
    <row r="6" spans="1:19" ht="86.45">
      <c r="A6" s="33" t="str">
        <v>AZ: ASU - Pardee - Macro Tech.</v>
      </c>
      <c r="B6" s="30" t="str">
        <v>AZ</v>
      </c>
      <c r="C6" s="25">
        <v>113006.375</v>
      </c>
      <c r="D6" s="13">
        <v>108491.8</v>
      </c>
      <c r="E6" s="13">
        <f t="shared" si="0"/>
        <v>4514.5749999999971</v>
      </c>
      <c r="F6" s="14">
        <f t="shared" ref="F6:F14" si="3">IFERROR(E6/D6, "")</f>
        <v>4.1612131055065886E-2</v>
      </c>
      <c r="G6" s="86">
        <v>135924.70000000001</v>
      </c>
      <c r="H6" s="15">
        <f t="shared" si="1"/>
        <v>-22918.325000000012</v>
      </c>
      <c r="I6" s="16">
        <f t="shared" si="2"/>
        <v>-0.16861045122777546</v>
      </c>
      <c r="J6" s="75" t="s">
        <v>144</v>
      </c>
      <c r="K6" s="57" t="s">
        <v>168</v>
      </c>
      <c r="L6" s="75" t="s">
        <v>169</v>
      </c>
      <c r="M6" s="88" t="s">
        <v>40</v>
      </c>
      <c r="N6" s="88" t="s">
        <v>40</v>
      </c>
      <c r="O6" s="88" t="s">
        <v>40</v>
      </c>
      <c r="P6" s="88" t="s">
        <v>114</v>
      </c>
      <c r="Q6" s="88" t="s">
        <v>170</v>
      </c>
      <c r="R6" s="88" t="s">
        <v>87</v>
      </c>
      <c r="S6" s="88" t="s">
        <v>114</v>
      </c>
    </row>
    <row r="7" spans="1:19" ht="72">
      <c r="A7" s="31" t="str">
        <v>AZ: ASU - Pardee - McCord Hall</v>
      </c>
      <c r="B7" s="32" t="str">
        <v>AZ</v>
      </c>
      <c r="C7" s="11">
        <v>10209.875</v>
      </c>
      <c r="D7" s="87">
        <v>7957.8310000000001</v>
      </c>
      <c r="E7" s="19">
        <f t="shared" si="0"/>
        <v>2252.0439999999999</v>
      </c>
      <c r="F7" s="20">
        <f t="shared" si="3"/>
        <v>0.28299721368800113</v>
      </c>
      <c r="G7" s="21">
        <v>12153.72</v>
      </c>
      <c r="H7" s="21">
        <f t="shared" si="1"/>
        <v>-1943.8449999999993</v>
      </c>
      <c r="I7" s="20">
        <f t="shared" si="2"/>
        <v>-0.15993827404284444</v>
      </c>
      <c r="J7" s="76" t="s">
        <v>126</v>
      </c>
      <c r="K7" s="94"/>
    </row>
    <row r="8" spans="1:19" ht="43.15">
      <c r="A8" s="29" t="str">
        <v>AZ: NAU - SF Garage</v>
      </c>
      <c r="B8" s="30" t="str">
        <v>AZ</v>
      </c>
      <c r="C8" s="25">
        <v>70389</v>
      </c>
      <c r="D8" s="13">
        <v>69113.11</v>
      </c>
      <c r="E8" s="13">
        <f t="shared" si="0"/>
        <v>1275.8899999999994</v>
      </c>
      <c r="F8" s="14">
        <f t="shared" si="3"/>
        <v>1.846089692679145E-2</v>
      </c>
      <c r="G8" s="15">
        <v>64079.85</v>
      </c>
      <c r="H8" s="15">
        <f t="shared" si="1"/>
        <v>6309.1500000000015</v>
      </c>
      <c r="I8" s="16">
        <f t="shared" si="2"/>
        <v>9.8457627475719775E-2</v>
      </c>
      <c r="J8" s="75" t="s">
        <v>171</v>
      </c>
      <c r="K8" s="57" t="s">
        <v>172</v>
      </c>
      <c r="L8" s="75" t="s">
        <v>173</v>
      </c>
    </row>
    <row r="9" spans="1:19" ht="15.6">
      <c r="A9" s="31" t="str">
        <v>AZ: ASU - Pardee - Parking Lot 11</v>
      </c>
      <c r="B9" s="32" t="str">
        <v>AZ</v>
      </c>
      <c r="C9" s="11">
        <v>22499.5</v>
      </c>
      <c r="D9" s="19">
        <v>19779.25</v>
      </c>
      <c r="E9" s="19">
        <f t="shared" si="0"/>
        <v>2720.25</v>
      </c>
      <c r="F9" s="20">
        <f t="shared" si="3"/>
        <v>0.13753049281443938</v>
      </c>
      <c r="G9" s="21">
        <v>16620.32</v>
      </c>
      <c r="H9" s="21">
        <f t="shared" si="1"/>
        <v>5879.18</v>
      </c>
      <c r="I9" s="20">
        <f t="shared" si="2"/>
        <v>0.3537344647997151</v>
      </c>
      <c r="J9" s="94"/>
      <c r="K9" s="94"/>
    </row>
    <row r="10" spans="1:19" ht="26.45">
      <c r="A10" s="29" t="str">
        <v>AZ: ASU - Pardee - Parking Lot 19</v>
      </c>
      <c r="B10" s="30" t="str">
        <v>AZ</v>
      </c>
      <c r="C10" s="84">
        <v>27909.5</v>
      </c>
      <c r="D10" s="13">
        <v>28444.34</v>
      </c>
      <c r="E10" s="13">
        <f t="shared" si="0"/>
        <v>-534.84000000000015</v>
      </c>
      <c r="F10" s="14">
        <f t="shared" si="3"/>
        <v>-1.8803037792404401E-2</v>
      </c>
      <c r="G10" s="15">
        <v>24611.78</v>
      </c>
      <c r="H10" s="15">
        <f t="shared" si="1"/>
        <v>3297.7200000000012</v>
      </c>
      <c r="I10" s="16">
        <f t="shared" si="2"/>
        <v>0.13398949608683328</v>
      </c>
      <c r="J10" s="75" t="s">
        <v>174</v>
      </c>
      <c r="K10" s="57" t="s">
        <v>175</v>
      </c>
      <c r="L10" s="75" t="s">
        <v>176</v>
      </c>
      <c r="M10" s="88" t="s">
        <v>177</v>
      </c>
      <c r="N10" s="88" t="s">
        <v>100</v>
      </c>
    </row>
    <row r="11" spans="1:19" ht="15.6">
      <c r="A11" s="31" t="str">
        <v>AZ: ASU - Pardee - Parking Lot 41</v>
      </c>
      <c r="B11" s="32" t="str">
        <v>AZ</v>
      </c>
      <c r="C11" s="11">
        <v>27168.25</v>
      </c>
      <c r="D11" s="19">
        <v>24058.71</v>
      </c>
      <c r="E11" s="19">
        <f>IF(AND(ISNUMBER(C11),ISNUMBER(D11)), C11-D11, "")</f>
        <v>3109.5400000000009</v>
      </c>
      <c r="F11" s="20">
        <f t="shared" si="3"/>
        <v>0.12924799376192658</v>
      </c>
      <c r="G11" s="21">
        <v>29940.7</v>
      </c>
      <c r="H11" s="21">
        <f>IF(AND(ISNUMBER(C11),ISNUMBER(G11)), C11-G11, "")</f>
        <v>-2772.4500000000007</v>
      </c>
      <c r="I11" s="20">
        <f t="shared" si="2"/>
        <v>-9.2598035450073002E-2</v>
      </c>
      <c r="J11" s="95"/>
      <c r="K11" s="94"/>
    </row>
    <row r="12" spans="1:19" ht="28.9">
      <c r="A12" s="29" t="str">
        <v>AZ: ASU - Pardee - Parking Lot 58</v>
      </c>
      <c r="B12" s="30" t="str">
        <v>AZ</v>
      </c>
      <c r="C12" s="25">
        <v>25352.5</v>
      </c>
      <c r="D12" s="13">
        <v>23515.23</v>
      </c>
      <c r="E12" s="13">
        <f>IF(AND(ISNUMBER(C12),ISNUMBER(D12)), C12-D12, "")</f>
        <v>1837.2700000000004</v>
      </c>
      <c r="F12" s="14">
        <f t="shared" si="3"/>
        <v>7.8131066547084613E-2</v>
      </c>
      <c r="G12" s="15">
        <v>34374.76</v>
      </c>
      <c r="H12" s="15">
        <f>IF(AND(ISNUMBER(C12),ISNUMBER(G12)), C12-G12, "")</f>
        <v>-9022.260000000002</v>
      </c>
      <c r="I12" s="16">
        <f t="shared" si="2"/>
        <v>-0.26246757795545339</v>
      </c>
      <c r="J12" s="75" t="s">
        <v>178</v>
      </c>
      <c r="K12" s="57" t="s">
        <v>162</v>
      </c>
      <c r="L12" s="75" t="s">
        <v>179</v>
      </c>
      <c r="M12" s="88" t="s">
        <v>163</v>
      </c>
    </row>
    <row r="13" spans="1:19" ht="28.9">
      <c r="A13" s="31" t="str">
        <v>AZ: ASU - Pardee - Parking Lot 59S</v>
      </c>
      <c r="B13" s="32" t="str">
        <v>AZ</v>
      </c>
      <c r="C13" s="11">
        <v>31504.375</v>
      </c>
      <c r="D13" s="19">
        <v>25693.33</v>
      </c>
      <c r="E13" s="19">
        <f t="shared" si="0"/>
        <v>5811.0449999999983</v>
      </c>
      <c r="F13" s="20">
        <f t="shared" si="3"/>
        <v>0.22616939882841181</v>
      </c>
      <c r="G13" s="21">
        <v>31427.97</v>
      </c>
      <c r="H13" s="21">
        <f t="shared" si="1"/>
        <v>76.404999999998836</v>
      </c>
      <c r="I13" s="20">
        <f t="shared" si="2"/>
        <v>2.431114704513172E-3</v>
      </c>
      <c r="J13" s="93" t="s">
        <v>180</v>
      </c>
      <c r="K13" s="96"/>
    </row>
    <row r="14" spans="1:19" ht="15.6">
      <c r="A14" s="29" t="str">
        <v>AZ: ASU - Pardee - Sun Devil Complex</v>
      </c>
      <c r="B14" s="30" t="str">
        <v>AZ</v>
      </c>
      <c r="C14" s="84">
        <v>28768.5</v>
      </c>
      <c r="D14" s="13">
        <v>26602.39</v>
      </c>
      <c r="E14" s="13">
        <f t="shared" si="0"/>
        <v>2166.1100000000006</v>
      </c>
      <c r="F14" s="14">
        <f t="shared" si="3"/>
        <v>8.1425390726171623E-2</v>
      </c>
      <c r="G14" s="15">
        <v>32755</v>
      </c>
      <c r="H14" s="15">
        <f t="shared" si="1"/>
        <v>-3986.5</v>
      </c>
      <c r="I14" s="16">
        <f t="shared" si="2"/>
        <v>-0.12170660967791178</v>
      </c>
      <c r="J14" s="75" t="s">
        <v>181</v>
      </c>
      <c r="K14" s="57" t="s">
        <v>182</v>
      </c>
      <c r="L14" s="75" t="s">
        <v>179</v>
      </c>
    </row>
    <row r="15" spans="1:19">
      <c r="A15" s="22"/>
      <c r="B15" s="34"/>
      <c r="C15" s="22"/>
      <c r="D15" s="22"/>
      <c r="E15" s="22"/>
      <c r="F15" s="22"/>
      <c r="G15" s="22"/>
      <c r="H15" s="22"/>
      <c r="I15" s="22"/>
    </row>
    <row r="16" spans="1:19">
      <c r="A16" s="22"/>
      <c r="B16" s="34"/>
      <c r="C16" s="22"/>
      <c r="D16" s="22"/>
      <c r="E16" s="22"/>
      <c r="F16" s="22"/>
      <c r="G16" s="22"/>
      <c r="H16" s="22"/>
      <c r="I16" s="22"/>
    </row>
    <row r="17" spans="1:9">
      <c r="A17" s="22"/>
      <c r="B17" s="34"/>
      <c r="C17" s="22"/>
      <c r="D17" s="22"/>
      <c r="E17" s="22"/>
      <c r="F17" s="22"/>
      <c r="G17" s="22"/>
      <c r="H17" s="22"/>
      <c r="I17" s="22"/>
    </row>
    <row r="18" spans="1:9">
      <c r="A18" s="22"/>
      <c r="B18" s="34"/>
      <c r="C18" s="22"/>
      <c r="D18" s="22"/>
      <c r="E18" s="22"/>
      <c r="F18" s="22"/>
      <c r="G18" s="22"/>
      <c r="H18" s="22"/>
      <c r="I18" s="22"/>
    </row>
    <row r="19" spans="1:9">
      <c r="A19" s="22"/>
      <c r="B19" s="34"/>
      <c r="C19" s="22"/>
      <c r="D19" s="22"/>
      <c r="E19" s="22"/>
      <c r="F19" s="23"/>
      <c r="G19" s="22"/>
      <c r="H19" s="22"/>
      <c r="I19" s="23"/>
    </row>
    <row r="20" spans="1:9">
      <c r="A20" s="22"/>
      <c r="B20" s="34"/>
      <c r="C20" s="22"/>
      <c r="D20" s="22"/>
      <c r="E20" s="22"/>
      <c r="F20" s="23"/>
      <c r="G20" s="22"/>
      <c r="H20" s="22"/>
      <c r="I20" s="23"/>
    </row>
    <row r="21" spans="1:9">
      <c r="A21" s="22"/>
      <c r="B21" s="34"/>
      <c r="C21" s="22"/>
      <c r="D21" s="22"/>
      <c r="E21" s="22"/>
      <c r="F21" s="23"/>
      <c r="G21" s="22"/>
      <c r="H21" s="22"/>
      <c r="I21" s="23"/>
    </row>
    <row r="22" spans="1:9">
      <c r="A22" s="22"/>
      <c r="B22" s="34"/>
      <c r="C22" s="22"/>
      <c r="D22" s="22"/>
      <c r="E22" s="22"/>
      <c r="F22" s="23"/>
      <c r="G22" s="22"/>
      <c r="H22" s="22"/>
      <c r="I22" s="23"/>
    </row>
    <row r="23" spans="1:9">
      <c r="A23" s="22"/>
      <c r="B23" s="34"/>
      <c r="C23" s="22"/>
      <c r="D23" s="22"/>
      <c r="E23" s="22"/>
      <c r="F23" s="23"/>
      <c r="G23" s="22"/>
      <c r="H23" s="22"/>
      <c r="I23" s="23"/>
    </row>
    <row r="24" spans="1:9">
      <c r="A24" s="22"/>
      <c r="B24" s="34"/>
      <c r="C24" s="22"/>
      <c r="D24" s="22"/>
      <c r="E24" s="22"/>
      <c r="F24" s="23"/>
      <c r="G24" s="22"/>
      <c r="H24" s="22"/>
      <c r="I24" s="23"/>
    </row>
    <row r="25" spans="1:9">
      <c r="A25" s="22"/>
      <c r="B25" s="34"/>
      <c r="C25" s="22"/>
      <c r="D25" s="22"/>
      <c r="E25" s="22"/>
      <c r="F25" s="23"/>
      <c r="G25" s="22"/>
      <c r="H25" s="22"/>
      <c r="I25" s="23"/>
    </row>
    <row r="26" spans="1:9">
      <c r="A26" s="22"/>
      <c r="B26" s="34"/>
      <c r="C26" s="22"/>
      <c r="D26" s="22"/>
      <c r="E26" s="22"/>
      <c r="F26" s="23"/>
      <c r="G26" s="22"/>
      <c r="H26" s="22"/>
      <c r="I26" s="23"/>
    </row>
    <row r="27" spans="1:9">
      <c r="A27" s="22"/>
      <c r="B27" s="34"/>
      <c r="C27" s="22"/>
      <c r="D27" s="22"/>
      <c r="E27" s="22"/>
      <c r="F27" s="23"/>
      <c r="G27" s="22"/>
      <c r="H27" s="22"/>
      <c r="I27" s="23"/>
    </row>
    <row r="28" spans="1:9">
      <c r="A28" s="22"/>
      <c r="B28" s="34"/>
      <c r="C28" s="22"/>
      <c r="D28" s="22"/>
      <c r="E28" s="22"/>
      <c r="F28" s="23"/>
      <c r="G28" s="22"/>
      <c r="H28" s="22"/>
      <c r="I28" s="23"/>
    </row>
    <row r="29" spans="1:9">
      <c r="A29" s="22"/>
      <c r="B29" s="34"/>
      <c r="C29" s="22"/>
      <c r="D29" s="22"/>
      <c r="E29" s="22"/>
      <c r="F29" s="23"/>
      <c r="G29" s="22"/>
      <c r="H29" s="22"/>
      <c r="I29" s="23"/>
    </row>
    <row r="30" spans="1:9">
      <c r="A30" s="22"/>
      <c r="B30" s="34"/>
      <c r="C30" s="22"/>
      <c r="D30" s="22"/>
      <c r="E30" s="22"/>
      <c r="F30" s="23"/>
      <c r="G30" s="22"/>
      <c r="H30" s="22"/>
      <c r="I30" s="23"/>
    </row>
    <row r="31" spans="1:9">
      <c r="A31" s="22"/>
      <c r="B31" s="34"/>
      <c r="C31" s="22"/>
      <c r="D31" s="22"/>
      <c r="E31" s="22"/>
      <c r="F31" s="23"/>
      <c r="G31" s="22"/>
      <c r="H31" s="22"/>
      <c r="I31" s="23"/>
    </row>
    <row r="32" spans="1:9">
      <c r="A32" s="22"/>
      <c r="B32" s="34"/>
      <c r="C32" s="22"/>
      <c r="D32" s="22"/>
      <c r="E32" s="22"/>
      <c r="F32" s="23"/>
      <c r="G32" s="22"/>
      <c r="H32" s="22"/>
      <c r="I32" s="23"/>
    </row>
    <row r="33" spans="1:9">
      <c r="A33" s="22"/>
      <c r="B33" s="34"/>
      <c r="C33" s="22"/>
      <c r="D33" s="22"/>
      <c r="E33" s="22"/>
      <c r="F33" s="23"/>
      <c r="G33" s="22"/>
      <c r="H33" s="22"/>
      <c r="I33" s="23"/>
    </row>
    <row r="34" spans="1:9">
      <c r="A34" s="22"/>
      <c r="B34" s="34"/>
      <c r="C34" s="22"/>
      <c r="D34" s="22"/>
      <c r="E34" s="22"/>
      <c r="F34" s="23"/>
      <c r="G34" s="22"/>
      <c r="H34" s="22"/>
      <c r="I34" s="23"/>
    </row>
    <row r="35" spans="1:9">
      <c r="A35" s="22"/>
      <c r="B35" s="34"/>
      <c r="C35" s="22"/>
      <c r="D35" s="22"/>
      <c r="E35" s="22"/>
      <c r="F35" s="23"/>
      <c r="G35" s="22"/>
      <c r="H35" s="22"/>
      <c r="I35" s="23"/>
    </row>
    <row r="36" spans="1:9">
      <c r="A36" s="22"/>
      <c r="B36" s="34"/>
      <c r="C36" s="22"/>
      <c r="D36" s="22"/>
      <c r="E36" s="22"/>
      <c r="F36" s="23"/>
      <c r="G36" s="22"/>
      <c r="H36" s="22"/>
      <c r="I36" s="23"/>
    </row>
    <row r="37" spans="1:9">
      <c r="A37" s="22"/>
      <c r="B37" s="34"/>
      <c r="C37" s="22"/>
      <c r="D37" s="22"/>
      <c r="E37" s="22"/>
      <c r="F37" s="23"/>
      <c r="G37" s="22"/>
      <c r="H37" s="22"/>
      <c r="I37" s="23"/>
    </row>
    <row r="38" spans="1:9">
      <c r="A38" s="22"/>
      <c r="B38" s="34"/>
      <c r="C38" s="22"/>
      <c r="D38" s="22"/>
      <c r="E38" s="22"/>
      <c r="F38" s="23"/>
      <c r="G38" s="22"/>
      <c r="H38" s="22"/>
      <c r="I38" s="23"/>
    </row>
    <row r="39" spans="1:9">
      <c r="A39" s="22"/>
      <c r="B39" s="34"/>
      <c r="C39" s="22"/>
      <c r="D39" s="22"/>
      <c r="E39" s="22"/>
      <c r="F39" s="23"/>
      <c r="G39" s="22"/>
      <c r="H39" s="22"/>
      <c r="I39" s="23"/>
    </row>
    <row r="40" spans="1:9">
      <c r="A40" s="22"/>
      <c r="B40" s="34"/>
      <c r="C40" s="22"/>
      <c r="D40" s="22"/>
      <c r="E40" s="22"/>
      <c r="F40" s="23"/>
      <c r="G40" s="22"/>
      <c r="H40" s="22"/>
      <c r="I40" s="23"/>
    </row>
    <row r="41" spans="1:9">
      <c r="A41" s="22"/>
      <c r="B41" s="34"/>
      <c r="C41" s="22"/>
      <c r="D41" s="22"/>
      <c r="E41" s="22"/>
      <c r="F41" s="23"/>
      <c r="G41" s="22"/>
      <c r="H41" s="22"/>
      <c r="I41" s="23"/>
    </row>
    <row r="42" spans="1:9">
      <c r="A42" s="22"/>
      <c r="B42" s="34"/>
      <c r="C42" s="22"/>
      <c r="D42" s="22"/>
      <c r="E42" s="22"/>
      <c r="F42" s="23"/>
      <c r="G42" s="22"/>
      <c r="H42" s="22"/>
      <c r="I42" s="23"/>
    </row>
    <row r="43" spans="1:9">
      <c r="A43" s="22"/>
      <c r="B43" s="34"/>
      <c r="C43" s="22"/>
      <c r="D43" s="22"/>
      <c r="E43" s="22"/>
      <c r="F43" s="23"/>
      <c r="G43" s="22"/>
      <c r="H43" s="22"/>
      <c r="I43" s="23"/>
    </row>
    <row r="44" spans="1:9">
      <c r="A44" s="22"/>
      <c r="B44" s="34"/>
      <c r="C44" s="22"/>
      <c r="D44" s="22"/>
      <c r="E44" s="22"/>
      <c r="F44" s="23"/>
      <c r="G44" s="22"/>
      <c r="H44" s="22"/>
      <c r="I44" s="23"/>
    </row>
    <row r="45" spans="1:9">
      <c r="A45" s="22"/>
      <c r="B45" s="34"/>
      <c r="C45" s="22"/>
      <c r="D45" s="22"/>
      <c r="E45" s="22"/>
      <c r="F45" s="23"/>
      <c r="G45" s="22"/>
      <c r="H45" s="22"/>
      <c r="I45" s="23"/>
    </row>
    <row r="46" spans="1:9">
      <c r="A46" s="22"/>
      <c r="B46" s="34"/>
      <c r="C46" s="22"/>
      <c r="D46" s="22"/>
      <c r="E46" s="22"/>
      <c r="F46" s="23"/>
      <c r="G46" s="22"/>
      <c r="H46" s="22"/>
      <c r="I46" s="23"/>
    </row>
    <row r="47" spans="1:9">
      <c r="A47" s="22"/>
      <c r="B47" s="34"/>
      <c r="C47" s="22"/>
      <c r="D47" s="22"/>
      <c r="E47" s="22"/>
      <c r="F47" s="23"/>
      <c r="G47" s="22"/>
      <c r="H47" s="22"/>
      <c r="I47" s="23"/>
    </row>
    <row r="48" spans="1:9">
      <c r="A48" s="22"/>
      <c r="B48" s="34"/>
      <c r="C48" s="22"/>
      <c r="D48" s="22"/>
      <c r="E48" s="22"/>
      <c r="F48" s="23"/>
      <c r="G48" s="22"/>
      <c r="H48" s="22"/>
      <c r="I48" s="23"/>
    </row>
    <row r="49" spans="1:9">
      <c r="A49" s="22"/>
      <c r="B49" s="34"/>
      <c r="C49" s="22"/>
      <c r="D49" s="22"/>
      <c r="E49" s="22"/>
      <c r="F49" s="23"/>
      <c r="G49" s="22"/>
      <c r="H49" s="22"/>
      <c r="I49" s="23"/>
    </row>
    <row r="50" spans="1:9">
      <c r="A50" s="22"/>
      <c r="B50" s="34"/>
      <c r="C50" s="22"/>
      <c r="D50" s="22"/>
      <c r="E50" s="22"/>
      <c r="F50" s="23"/>
      <c r="G50" s="22"/>
      <c r="H50" s="22"/>
      <c r="I50" s="23"/>
    </row>
    <row r="51" spans="1:9">
      <c r="A51" s="22"/>
      <c r="B51" s="34"/>
      <c r="C51" s="22"/>
      <c r="D51" s="22"/>
      <c r="E51" s="22"/>
      <c r="F51" s="23"/>
      <c r="G51" s="22"/>
      <c r="H51" s="22"/>
      <c r="I51" s="23"/>
    </row>
    <row r="52" spans="1:9">
      <c r="A52" s="22"/>
      <c r="B52" s="34"/>
      <c r="C52" s="22"/>
      <c r="D52" s="22"/>
      <c r="E52" s="22"/>
      <c r="F52" s="23"/>
      <c r="G52" s="22"/>
      <c r="H52" s="22"/>
      <c r="I52" s="23"/>
    </row>
    <row r="53" spans="1:9">
      <c r="A53" s="22"/>
      <c r="B53" s="34"/>
      <c r="C53" s="22"/>
      <c r="D53" s="22"/>
      <c r="E53" s="22"/>
      <c r="F53" s="23"/>
      <c r="G53" s="22"/>
      <c r="H53" s="22"/>
      <c r="I53" s="23"/>
    </row>
    <row r="54" spans="1:9">
      <c r="A54" s="22"/>
      <c r="B54" s="34"/>
      <c r="C54" s="22"/>
      <c r="D54" s="22"/>
      <c r="E54" s="22"/>
      <c r="F54" s="23"/>
      <c r="G54" s="22"/>
      <c r="H54" s="22"/>
      <c r="I54" s="23"/>
    </row>
    <row r="55" spans="1:9">
      <c r="A55" s="22"/>
      <c r="B55" s="34"/>
      <c r="C55" s="22"/>
      <c r="D55" s="22"/>
      <c r="E55" s="22"/>
      <c r="F55" s="23"/>
      <c r="G55" s="22"/>
      <c r="H55" s="22"/>
      <c r="I55" s="23"/>
    </row>
    <row r="56" spans="1:9">
      <c r="A56" s="22"/>
      <c r="B56" s="34"/>
      <c r="C56" s="22"/>
      <c r="D56" s="22"/>
      <c r="E56" s="22"/>
      <c r="F56" s="23"/>
      <c r="G56" s="22"/>
      <c r="H56" s="22"/>
      <c r="I56" s="23"/>
    </row>
    <row r="57" spans="1:9">
      <c r="A57" s="22"/>
      <c r="B57" s="34"/>
      <c r="C57" s="22"/>
      <c r="D57" s="22"/>
      <c r="E57" s="22"/>
      <c r="F57" s="23"/>
      <c r="G57" s="22"/>
      <c r="H57" s="22"/>
      <c r="I57" s="23"/>
    </row>
    <row r="58" spans="1:9">
      <c r="A58" s="22"/>
      <c r="B58" s="34"/>
      <c r="C58" s="22"/>
      <c r="D58" s="22"/>
      <c r="E58" s="22"/>
      <c r="F58" s="23"/>
      <c r="G58" s="22"/>
      <c r="H58" s="22"/>
      <c r="I58" s="23"/>
    </row>
    <row r="59" spans="1:9">
      <c r="A59" s="22"/>
      <c r="B59" s="34"/>
      <c r="C59" s="22"/>
      <c r="D59" s="22"/>
      <c r="E59" s="22"/>
      <c r="F59" s="23"/>
      <c r="G59" s="22"/>
      <c r="H59" s="22"/>
      <c r="I59" s="23"/>
    </row>
    <row r="60" spans="1:9">
      <c r="A60" s="22"/>
      <c r="B60" s="34"/>
      <c r="C60" s="22"/>
      <c r="D60" s="22"/>
      <c r="E60" s="22"/>
      <c r="F60" s="23"/>
      <c r="G60" s="22"/>
      <c r="H60" s="22"/>
      <c r="I60" s="23"/>
    </row>
    <row r="61" spans="1:9">
      <c r="A61" s="22"/>
      <c r="B61" s="34"/>
      <c r="C61" s="22"/>
      <c r="D61" s="22"/>
      <c r="E61" s="22"/>
      <c r="F61" s="23"/>
      <c r="G61" s="22"/>
      <c r="H61" s="22"/>
      <c r="I61" s="23"/>
    </row>
    <row r="62" spans="1:9">
      <c r="A62" s="22"/>
      <c r="B62" s="34"/>
      <c r="C62" s="22"/>
      <c r="D62" s="22"/>
      <c r="E62" s="22"/>
      <c r="F62" s="23"/>
      <c r="G62" s="22"/>
      <c r="H62" s="22"/>
      <c r="I62" s="23"/>
    </row>
    <row r="63" spans="1:9">
      <c r="A63" s="22"/>
      <c r="B63" s="34"/>
      <c r="C63" s="22"/>
      <c r="D63" s="22"/>
      <c r="E63" s="22"/>
      <c r="F63" s="23"/>
      <c r="G63" s="22"/>
      <c r="H63" s="22"/>
      <c r="I63" s="23"/>
    </row>
    <row r="64" spans="1:9">
      <c r="A64" s="22"/>
      <c r="B64" s="34"/>
      <c r="C64" s="22"/>
      <c r="D64" s="22"/>
      <c r="E64" s="22"/>
      <c r="F64" s="23"/>
      <c r="G64" s="22"/>
      <c r="H64" s="22"/>
      <c r="I64" s="23"/>
    </row>
    <row r="65" spans="1:9">
      <c r="A65" s="22"/>
      <c r="B65" s="34"/>
      <c r="C65" s="22"/>
      <c r="D65" s="22"/>
      <c r="E65" s="22"/>
      <c r="F65" s="23"/>
      <c r="G65" s="22"/>
      <c r="H65" s="22"/>
      <c r="I65" s="23"/>
    </row>
    <row r="66" spans="1:9">
      <c r="A66" s="22"/>
      <c r="B66" s="34"/>
      <c r="C66" s="22"/>
      <c r="D66" s="22"/>
      <c r="E66" s="22"/>
      <c r="F66" s="23"/>
      <c r="G66" s="22"/>
      <c r="H66" s="22"/>
      <c r="I66" s="23"/>
    </row>
    <row r="67" spans="1:9">
      <c r="A67" s="22"/>
      <c r="B67" s="34"/>
      <c r="C67" s="22"/>
      <c r="D67" s="22"/>
      <c r="E67" s="22"/>
      <c r="F67" s="23"/>
      <c r="G67" s="22"/>
      <c r="H67" s="22"/>
      <c r="I67" s="23"/>
    </row>
    <row r="68" spans="1:9">
      <c r="A68" s="22"/>
      <c r="B68" s="34"/>
      <c r="C68" s="22"/>
      <c r="D68" s="22"/>
      <c r="E68" s="22"/>
      <c r="F68" s="23"/>
      <c r="G68" s="22"/>
      <c r="H68" s="22"/>
      <c r="I68" s="23"/>
    </row>
    <row r="69" spans="1:9">
      <c r="A69" s="22"/>
      <c r="B69" s="34"/>
      <c r="C69" s="22"/>
      <c r="D69" s="22"/>
      <c r="E69" s="22"/>
      <c r="F69" s="23"/>
      <c r="G69" s="22"/>
      <c r="H69" s="22"/>
      <c r="I69" s="23"/>
    </row>
    <row r="70" spans="1:9">
      <c r="A70" s="22"/>
      <c r="B70" s="34"/>
      <c r="C70" s="22"/>
      <c r="D70" s="22"/>
      <c r="E70" s="22"/>
      <c r="F70" s="23"/>
      <c r="G70" s="22"/>
      <c r="H70" s="22"/>
      <c r="I70" s="23"/>
    </row>
    <row r="71" spans="1:9">
      <c r="A71" s="22"/>
      <c r="B71" s="34"/>
      <c r="C71" s="22"/>
      <c r="D71" s="22"/>
      <c r="E71" s="22"/>
      <c r="F71" s="23"/>
      <c r="G71" s="22"/>
      <c r="H71" s="22"/>
      <c r="I71" s="23"/>
    </row>
    <row r="72" spans="1:9">
      <c r="A72" s="22"/>
      <c r="B72" s="34"/>
      <c r="C72" s="22"/>
      <c r="D72" s="22"/>
      <c r="E72" s="22"/>
      <c r="F72" s="23"/>
      <c r="G72" s="22"/>
      <c r="H72" s="22"/>
      <c r="I72" s="23"/>
    </row>
    <row r="73" spans="1:9">
      <c r="A73" s="22"/>
      <c r="B73" s="34"/>
      <c r="C73" s="22"/>
      <c r="D73" s="22"/>
      <c r="E73" s="22"/>
      <c r="F73" s="23"/>
      <c r="G73" s="22"/>
      <c r="H73" s="22"/>
      <c r="I73" s="23"/>
    </row>
    <row r="74" spans="1:9">
      <c r="A74" s="22"/>
      <c r="B74" s="34"/>
      <c r="C74" s="22"/>
      <c r="D74" s="22"/>
      <c r="E74" s="22"/>
      <c r="F74" s="23"/>
      <c r="G74" s="22"/>
      <c r="H74" s="22"/>
      <c r="I74" s="23"/>
    </row>
    <row r="75" spans="1:9">
      <c r="A75" s="22"/>
      <c r="B75" s="34"/>
      <c r="C75" s="22"/>
      <c r="D75" s="22"/>
      <c r="E75" s="22"/>
      <c r="F75" s="23"/>
      <c r="G75" s="22"/>
      <c r="H75" s="22"/>
      <c r="I75" s="23"/>
    </row>
    <row r="76" spans="1:9">
      <c r="A76" s="22"/>
      <c r="B76" s="34"/>
      <c r="C76" s="22"/>
      <c r="D76" s="22"/>
      <c r="E76" s="22"/>
      <c r="F76" s="23"/>
      <c r="G76" s="22"/>
      <c r="H76" s="22"/>
      <c r="I76" s="23"/>
    </row>
    <row r="77" spans="1:9">
      <c r="A77" s="22"/>
      <c r="B77" s="34"/>
      <c r="C77" s="22"/>
      <c r="D77" s="22"/>
      <c r="E77" s="22"/>
      <c r="F77" s="23"/>
      <c r="G77" s="22"/>
      <c r="H77" s="22"/>
      <c r="I77" s="23"/>
    </row>
    <row r="78" spans="1:9">
      <c r="A78" s="22"/>
      <c r="B78" s="34"/>
      <c r="C78" s="22"/>
      <c r="D78" s="22"/>
      <c r="E78" s="22"/>
      <c r="F78" s="23"/>
      <c r="G78" s="22"/>
      <c r="H78" s="22"/>
      <c r="I78" s="23"/>
    </row>
    <row r="79" spans="1:9">
      <c r="A79" s="22"/>
      <c r="B79" s="34"/>
      <c r="C79" s="22"/>
      <c r="D79" s="22"/>
      <c r="E79" s="22"/>
      <c r="F79" s="23"/>
      <c r="G79" s="22"/>
      <c r="H79" s="22"/>
      <c r="I79" s="23"/>
    </row>
    <row r="80" spans="1:9">
      <c r="A80" s="22"/>
      <c r="B80" s="34"/>
      <c r="C80" s="22"/>
      <c r="D80" s="22"/>
      <c r="E80" s="22"/>
      <c r="F80" s="23"/>
      <c r="G80" s="22"/>
      <c r="H80" s="22"/>
      <c r="I80" s="23"/>
    </row>
    <row r="81" spans="1:9">
      <c r="A81" s="22"/>
      <c r="B81" s="34"/>
      <c r="C81" s="22"/>
      <c r="D81" s="22"/>
      <c r="E81" s="22"/>
      <c r="F81" s="23"/>
      <c r="G81" s="22"/>
      <c r="H81" s="22"/>
      <c r="I81" s="23"/>
    </row>
    <row r="82" spans="1:9">
      <c r="A82" s="22"/>
      <c r="B82" s="34"/>
      <c r="C82" s="22"/>
      <c r="D82" s="22"/>
      <c r="E82" s="22"/>
      <c r="F82" s="23"/>
      <c r="G82" s="22"/>
      <c r="H82" s="22"/>
      <c r="I82" s="23"/>
    </row>
    <row r="83" spans="1:9">
      <c r="A83" s="22"/>
      <c r="B83" s="34"/>
      <c r="C83" s="22"/>
      <c r="D83" s="22"/>
      <c r="E83" s="22"/>
      <c r="F83" s="23"/>
      <c r="G83" s="22"/>
      <c r="H83" s="22"/>
      <c r="I83" s="23"/>
    </row>
    <row r="84" spans="1:9">
      <c r="A84" s="22"/>
      <c r="B84" s="34"/>
      <c r="C84" s="22"/>
      <c r="D84" s="22"/>
      <c r="E84" s="22"/>
      <c r="F84" s="23"/>
      <c r="G84" s="22"/>
      <c r="H84" s="22"/>
      <c r="I84" s="23"/>
    </row>
    <row r="85" spans="1:9">
      <c r="A85" s="22"/>
      <c r="B85" s="34"/>
      <c r="C85" s="22"/>
      <c r="D85" s="22"/>
      <c r="E85" s="22"/>
      <c r="F85" s="23"/>
      <c r="G85" s="22"/>
      <c r="H85" s="22"/>
      <c r="I85" s="23"/>
    </row>
    <row r="86" spans="1:9">
      <c r="A86" s="22"/>
      <c r="B86" s="34"/>
      <c r="C86" s="22"/>
      <c r="D86" s="22"/>
      <c r="E86" s="22"/>
      <c r="F86" s="23"/>
      <c r="G86" s="22"/>
      <c r="H86" s="22"/>
      <c r="I86" s="23"/>
    </row>
    <row r="87" spans="1:9">
      <c r="A87" s="22"/>
      <c r="B87" s="34"/>
      <c r="C87" s="22"/>
      <c r="D87" s="22"/>
      <c r="E87" s="22"/>
      <c r="F87" s="23"/>
      <c r="G87" s="22"/>
      <c r="H87" s="22"/>
      <c r="I87" s="23"/>
    </row>
    <row r="88" spans="1:9">
      <c r="A88" s="22"/>
      <c r="B88" s="34"/>
      <c r="C88" s="22"/>
      <c r="D88" s="22"/>
      <c r="E88" s="22"/>
      <c r="F88" s="23"/>
      <c r="G88" s="22"/>
      <c r="H88" s="22"/>
      <c r="I88" s="23"/>
    </row>
    <row r="89" spans="1:9">
      <c r="A89" s="22"/>
      <c r="B89" s="34"/>
      <c r="C89" s="22"/>
      <c r="D89" s="22"/>
      <c r="E89" s="22"/>
      <c r="F89" s="23"/>
      <c r="G89" s="22"/>
      <c r="H89" s="22"/>
      <c r="I89" s="23"/>
    </row>
    <row r="90" spans="1:9">
      <c r="A90" s="22"/>
      <c r="B90" s="34"/>
      <c r="C90" s="22"/>
      <c r="D90" s="22"/>
      <c r="E90" s="22"/>
      <c r="F90" s="23"/>
      <c r="G90" s="22"/>
      <c r="H90" s="22"/>
      <c r="I90" s="23"/>
    </row>
    <row r="91" spans="1:9">
      <c r="A91" s="22"/>
      <c r="B91" s="34"/>
      <c r="C91" s="22"/>
      <c r="D91" s="22"/>
      <c r="E91" s="22"/>
      <c r="F91" s="23"/>
      <c r="G91" s="22"/>
      <c r="H91" s="22"/>
      <c r="I91" s="23"/>
    </row>
    <row r="92" spans="1:9">
      <c r="A92" s="22"/>
      <c r="B92" s="34"/>
      <c r="C92" s="22"/>
      <c r="D92" s="22"/>
      <c r="E92" s="22"/>
      <c r="F92" s="23"/>
      <c r="G92" s="22"/>
      <c r="H92" s="22"/>
      <c r="I92" s="23"/>
    </row>
    <row r="93" spans="1:9">
      <c r="A93" s="22"/>
      <c r="B93" s="34"/>
      <c r="C93" s="22"/>
      <c r="D93" s="22"/>
      <c r="E93" s="22"/>
      <c r="F93" s="23"/>
      <c r="G93" s="22"/>
      <c r="H93" s="22"/>
      <c r="I93" s="23"/>
    </row>
    <row r="94" spans="1:9">
      <c r="A94" s="22"/>
      <c r="B94" s="34"/>
      <c r="C94" s="22"/>
      <c r="D94" s="22"/>
      <c r="E94" s="22"/>
      <c r="F94" s="23"/>
      <c r="G94" s="22"/>
      <c r="H94" s="22"/>
      <c r="I94" s="23"/>
    </row>
    <row r="95" spans="1:9">
      <c r="A95" s="22"/>
      <c r="B95" s="34"/>
      <c r="C95" s="22"/>
      <c r="D95" s="22"/>
      <c r="E95" s="22"/>
      <c r="F95" s="23"/>
      <c r="G95" s="22"/>
      <c r="H95" s="22"/>
      <c r="I95" s="23"/>
    </row>
    <row r="96" spans="1:9">
      <c r="A96" s="22"/>
      <c r="B96" s="34"/>
      <c r="C96" s="22"/>
      <c r="D96" s="22"/>
      <c r="E96" s="22"/>
      <c r="F96" s="23"/>
      <c r="G96" s="22"/>
      <c r="H96" s="22"/>
      <c r="I96" s="23"/>
    </row>
    <row r="97" spans="1:9">
      <c r="A97" s="22"/>
      <c r="B97" s="34"/>
      <c r="C97" s="22"/>
      <c r="D97" s="22"/>
      <c r="E97" s="22"/>
      <c r="F97" s="23"/>
      <c r="G97" s="22"/>
      <c r="H97" s="22"/>
      <c r="I97" s="23"/>
    </row>
    <row r="98" spans="1:9">
      <c r="A98" s="22"/>
      <c r="B98" s="34"/>
      <c r="C98" s="22"/>
      <c r="D98" s="22"/>
      <c r="E98" s="22"/>
      <c r="F98" s="23"/>
      <c r="G98" s="22"/>
      <c r="H98" s="22"/>
      <c r="I98" s="23"/>
    </row>
    <row r="99" spans="1:9">
      <c r="A99" s="22"/>
      <c r="B99" s="34"/>
      <c r="C99" s="22"/>
      <c r="D99" s="22"/>
      <c r="E99" s="22"/>
      <c r="F99" s="23"/>
      <c r="G99" s="22"/>
      <c r="H99" s="22"/>
      <c r="I99" s="23"/>
    </row>
    <row r="100" spans="1:9">
      <c r="A100" s="22"/>
      <c r="B100" s="34"/>
      <c r="C100" s="22"/>
      <c r="D100" s="22"/>
      <c r="E100" s="22"/>
      <c r="F100" s="23"/>
      <c r="G100" s="22"/>
      <c r="H100" s="22"/>
      <c r="I100" s="23"/>
    </row>
    <row r="101" spans="1:9">
      <c r="A101" s="22"/>
      <c r="B101" s="34"/>
      <c r="C101" s="22"/>
      <c r="D101" s="22"/>
      <c r="E101" s="22"/>
      <c r="F101" s="23"/>
      <c r="G101" s="22"/>
      <c r="H101" s="22"/>
      <c r="I101" s="23"/>
    </row>
    <row r="102" spans="1:9">
      <c r="A102" s="22"/>
      <c r="B102" s="34"/>
      <c r="C102" s="22"/>
      <c r="D102" s="22"/>
      <c r="E102" s="22"/>
      <c r="F102" s="23"/>
      <c r="G102" s="22"/>
      <c r="H102" s="22"/>
      <c r="I102" s="23"/>
    </row>
    <row r="103" spans="1:9">
      <c r="A103" s="22"/>
      <c r="B103" s="34"/>
      <c r="C103" s="22"/>
      <c r="D103" s="22"/>
      <c r="E103" s="22"/>
      <c r="F103" s="23"/>
      <c r="G103" s="22"/>
      <c r="H103" s="22"/>
      <c r="I103" s="23"/>
    </row>
    <row r="104" spans="1:9">
      <c r="A104" s="22"/>
      <c r="B104" s="34"/>
      <c r="C104" s="22"/>
      <c r="D104" s="22"/>
      <c r="E104" s="22"/>
      <c r="F104" s="23"/>
      <c r="G104" s="22"/>
      <c r="H104" s="22"/>
      <c r="I104" s="23"/>
    </row>
    <row r="105" spans="1:9">
      <c r="A105" s="22"/>
      <c r="B105" s="34"/>
      <c r="C105" s="22"/>
      <c r="D105" s="22"/>
      <c r="E105" s="22"/>
      <c r="F105" s="23"/>
      <c r="G105" s="22"/>
      <c r="H105" s="22"/>
      <c r="I105" s="23"/>
    </row>
    <row r="106" spans="1:9">
      <c r="A106" s="22"/>
      <c r="B106" s="34"/>
      <c r="C106" s="22"/>
      <c r="D106" s="22"/>
      <c r="E106" s="22"/>
      <c r="F106" s="23"/>
      <c r="G106" s="22"/>
      <c r="H106" s="22"/>
      <c r="I106" s="23"/>
    </row>
    <row r="107" spans="1:9">
      <c r="A107" s="22"/>
      <c r="B107" s="34"/>
      <c r="C107" s="22"/>
      <c r="D107" s="22"/>
      <c r="E107" s="22"/>
      <c r="F107" s="23"/>
      <c r="G107" s="22"/>
      <c r="H107" s="22"/>
      <c r="I107" s="23"/>
    </row>
    <row r="108" spans="1:9">
      <c r="A108" s="22"/>
      <c r="B108" s="34"/>
      <c r="C108" s="22"/>
      <c r="D108" s="22"/>
      <c r="E108" s="22"/>
      <c r="F108" s="23"/>
      <c r="G108" s="22"/>
      <c r="H108" s="22"/>
      <c r="I108" s="23"/>
    </row>
    <row r="109" spans="1:9">
      <c r="A109" s="22"/>
      <c r="B109" s="34"/>
      <c r="C109" s="22"/>
      <c r="D109" s="22"/>
      <c r="E109" s="22"/>
      <c r="F109" s="23"/>
      <c r="G109" s="22"/>
      <c r="H109" s="22"/>
      <c r="I109" s="23"/>
    </row>
    <row r="110" spans="1:9">
      <c r="A110" s="22"/>
      <c r="B110" s="34"/>
      <c r="C110" s="22"/>
      <c r="D110" s="22"/>
      <c r="E110" s="22"/>
      <c r="F110" s="23"/>
      <c r="G110" s="22"/>
      <c r="H110" s="22"/>
      <c r="I110" s="23"/>
    </row>
    <row r="111" spans="1:9">
      <c r="A111" s="22"/>
      <c r="B111" s="34"/>
      <c r="C111" s="22"/>
      <c r="D111" s="22"/>
      <c r="E111" s="22"/>
      <c r="F111" s="23"/>
      <c r="G111" s="22"/>
      <c r="H111" s="22"/>
      <c r="I111" s="23"/>
    </row>
    <row r="112" spans="1:9">
      <c r="A112" s="22"/>
      <c r="B112" s="34"/>
      <c r="C112" s="22"/>
      <c r="D112" s="22"/>
      <c r="E112" s="22"/>
      <c r="F112" s="23"/>
      <c r="G112" s="22"/>
      <c r="H112" s="22"/>
      <c r="I112" s="23"/>
    </row>
    <row r="113" spans="1:9">
      <c r="A113" s="22"/>
      <c r="B113" s="34"/>
      <c r="C113" s="22"/>
      <c r="D113" s="22"/>
      <c r="E113" s="22"/>
      <c r="F113" s="23"/>
      <c r="G113" s="22"/>
      <c r="H113" s="22"/>
      <c r="I113" s="23"/>
    </row>
    <row r="114" spans="1:9">
      <c r="A114" s="22"/>
      <c r="B114" s="34"/>
      <c r="C114" s="22"/>
      <c r="D114" s="22"/>
      <c r="E114" s="22"/>
      <c r="F114" s="23"/>
      <c r="G114" s="22"/>
      <c r="H114" s="22"/>
      <c r="I114" s="23"/>
    </row>
    <row r="115" spans="1:9">
      <c r="A115" s="22"/>
      <c r="B115" s="34"/>
      <c r="C115" s="22"/>
      <c r="D115" s="22"/>
      <c r="E115" s="22"/>
      <c r="F115" s="23"/>
      <c r="G115" s="22"/>
      <c r="H115" s="22"/>
      <c r="I115" s="23"/>
    </row>
    <row r="116" spans="1:9">
      <c r="A116" s="22"/>
      <c r="B116" s="34"/>
      <c r="C116" s="22"/>
      <c r="D116" s="22"/>
      <c r="E116" s="22"/>
      <c r="F116" s="23"/>
      <c r="G116" s="22"/>
      <c r="H116" s="22"/>
      <c r="I116" s="23"/>
    </row>
    <row r="117" spans="1:9">
      <c r="A117" s="22"/>
      <c r="B117" s="34"/>
      <c r="C117" s="22"/>
      <c r="D117" s="22"/>
      <c r="E117" s="22"/>
      <c r="F117" s="23"/>
      <c r="G117" s="22"/>
      <c r="H117" s="22"/>
      <c r="I117" s="23"/>
    </row>
    <row r="118" spans="1:9">
      <c r="A118" s="22"/>
      <c r="B118" s="34"/>
      <c r="C118" s="22"/>
      <c r="D118" s="22"/>
      <c r="E118" s="22"/>
      <c r="F118" s="23"/>
      <c r="G118" s="22"/>
      <c r="H118" s="22"/>
      <c r="I118" s="23"/>
    </row>
    <row r="119" spans="1:9">
      <c r="A119" s="22"/>
      <c r="B119" s="34"/>
      <c r="C119" s="22"/>
      <c r="D119" s="22"/>
      <c r="E119" s="22"/>
      <c r="F119" s="23"/>
      <c r="G119" s="22"/>
      <c r="H119" s="22"/>
      <c r="I119" s="23"/>
    </row>
    <row r="120" spans="1:9">
      <c r="A120" s="22"/>
      <c r="B120" s="34"/>
      <c r="C120" s="22"/>
      <c r="D120" s="22"/>
      <c r="E120" s="22"/>
      <c r="F120" s="23"/>
      <c r="G120" s="22"/>
      <c r="H120" s="22"/>
      <c r="I120" s="23"/>
    </row>
    <row r="121" spans="1:9">
      <c r="A121" s="22"/>
      <c r="B121" s="34"/>
      <c r="C121" s="22"/>
      <c r="D121" s="22"/>
      <c r="E121" s="22"/>
      <c r="F121" s="23"/>
      <c r="G121" s="22"/>
      <c r="H121" s="22"/>
      <c r="I121" s="23"/>
    </row>
    <row r="122" spans="1:9">
      <c r="A122" s="22"/>
      <c r="B122" s="34"/>
      <c r="C122" s="22"/>
      <c r="D122" s="22"/>
      <c r="E122" s="22"/>
      <c r="F122" s="23"/>
      <c r="G122" s="22"/>
      <c r="H122" s="22"/>
      <c r="I122" s="23"/>
    </row>
    <row r="123" spans="1:9">
      <c r="A123" s="22"/>
      <c r="B123" s="34"/>
      <c r="C123" s="22"/>
      <c r="D123" s="22"/>
      <c r="E123" s="22"/>
      <c r="F123" s="23"/>
      <c r="G123" s="22"/>
      <c r="H123" s="22"/>
      <c r="I123" s="23"/>
    </row>
    <row r="124" spans="1:9">
      <c r="A124" s="22"/>
      <c r="B124" s="34"/>
      <c r="C124" s="22"/>
      <c r="D124" s="22"/>
      <c r="E124" s="22"/>
      <c r="F124" s="23"/>
      <c r="G124" s="22"/>
      <c r="H124" s="22"/>
      <c r="I124" s="23"/>
    </row>
    <row r="125" spans="1:9">
      <c r="A125" s="22"/>
      <c r="B125" s="34"/>
      <c r="C125" s="22"/>
      <c r="D125" s="22"/>
      <c r="E125" s="22"/>
      <c r="F125" s="23"/>
      <c r="G125" s="22"/>
      <c r="H125" s="22"/>
      <c r="I125" s="23"/>
    </row>
    <row r="126" spans="1:9">
      <c r="A126" s="22"/>
      <c r="B126" s="34"/>
      <c r="C126" s="22"/>
      <c r="D126" s="22"/>
      <c r="E126" s="22"/>
      <c r="F126" s="23"/>
      <c r="G126" s="22"/>
      <c r="H126" s="22"/>
      <c r="I126" s="23"/>
    </row>
    <row r="127" spans="1:9">
      <c r="A127" s="22"/>
      <c r="B127" s="34"/>
      <c r="C127" s="22"/>
      <c r="D127" s="22"/>
      <c r="E127" s="22"/>
      <c r="F127" s="23"/>
      <c r="G127" s="22"/>
      <c r="H127" s="22"/>
      <c r="I127" s="23"/>
    </row>
    <row r="128" spans="1:9">
      <c r="A128" s="22"/>
      <c r="B128" s="34"/>
      <c r="C128" s="22"/>
      <c r="D128" s="22"/>
      <c r="E128" s="22"/>
      <c r="F128" s="23"/>
      <c r="G128" s="22"/>
      <c r="H128" s="22"/>
      <c r="I128" s="23"/>
    </row>
    <row r="129" spans="1:9">
      <c r="A129" s="22"/>
      <c r="B129" s="34"/>
      <c r="C129" s="22"/>
      <c r="D129" s="22"/>
      <c r="E129" s="22"/>
      <c r="F129" s="23"/>
      <c r="G129" s="22"/>
      <c r="H129" s="22"/>
      <c r="I129" s="23"/>
    </row>
    <row r="130" spans="1:9">
      <c r="A130" s="22"/>
      <c r="B130" s="34"/>
      <c r="C130" s="22"/>
      <c r="D130" s="22"/>
      <c r="E130" s="22"/>
      <c r="F130" s="23"/>
      <c r="G130" s="22"/>
      <c r="H130" s="22"/>
      <c r="I130" s="23"/>
    </row>
    <row r="131" spans="1:9">
      <c r="A131" s="22"/>
      <c r="B131" s="34"/>
      <c r="C131" s="22"/>
      <c r="D131" s="22"/>
      <c r="E131" s="22"/>
      <c r="F131" s="23"/>
      <c r="G131" s="22"/>
      <c r="H131" s="22"/>
      <c r="I131" s="23"/>
    </row>
    <row r="132" spans="1:9">
      <c r="A132" s="22"/>
      <c r="B132" s="34"/>
      <c r="C132" s="22"/>
      <c r="D132" s="22"/>
      <c r="E132" s="22"/>
      <c r="F132" s="23"/>
      <c r="G132" s="22"/>
      <c r="H132" s="22"/>
      <c r="I132" s="23"/>
    </row>
    <row r="133" spans="1:9">
      <c r="A133" s="22"/>
      <c r="B133" s="34"/>
      <c r="C133" s="22"/>
      <c r="D133" s="22"/>
      <c r="E133" s="22"/>
      <c r="F133" s="23"/>
      <c r="G133" s="22"/>
      <c r="H133" s="22"/>
      <c r="I133" s="23"/>
    </row>
    <row r="134" spans="1:9">
      <c r="A134" s="22"/>
      <c r="B134" s="34"/>
      <c r="C134" s="22"/>
      <c r="D134" s="22"/>
      <c r="E134" s="22"/>
      <c r="F134" s="23"/>
      <c r="G134" s="22"/>
      <c r="H134" s="22"/>
      <c r="I134" s="23"/>
    </row>
    <row r="135" spans="1:9">
      <c r="A135" s="22"/>
      <c r="B135" s="34"/>
      <c r="C135" s="22"/>
      <c r="D135" s="22"/>
      <c r="E135" s="22"/>
      <c r="F135" s="23"/>
      <c r="G135" s="22"/>
      <c r="H135" s="22"/>
      <c r="I135" s="23"/>
    </row>
    <row r="136" spans="1:9">
      <c r="A136" s="22"/>
      <c r="B136" s="34"/>
      <c r="C136" s="22"/>
      <c r="D136" s="22"/>
      <c r="E136" s="22"/>
      <c r="F136" s="23"/>
      <c r="G136" s="22"/>
      <c r="H136" s="22"/>
      <c r="I136" s="23"/>
    </row>
    <row r="137" spans="1:9">
      <c r="A137" s="22"/>
      <c r="B137" s="34"/>
      <c r="C137" s="22"/>
      <c r="D137" s="22"/>
      <c r="E137" s="22"/>
      <c r="F137" s="23"/>
      <c r="G137" s="22"/>
      <c r="H137" s="22"/>
      <c r="I137" s="23"/>
    </row>
    <row r="138" spans="1:9">
      <c r="A138" s="22"/>
      <c r="B138" s="34"/>
      <c r="C138" s="22"/>
      <c r="D138" s="22"/>
      <c r="E138" s="22"/>
      <c r="F138" s="23"/>
      <c r="G138" s="22"/>
      <c r="H138" s="22"/>
      <c r="I138" s="23"/>
    </row>
    <row r="139" spans="1:9">
      <c r="A139" s="22"/>
      <c r="B139" s="34"/>
      <c r="C139" s="22"/>
      <c r="D139" s="22"/>
      <c r="E139" s="22"/>
      <c r="F139" s="23"/>
      <c r="G139" s="22"/>
      <c r="H139" s="22"/>
      <c r="I139" s="23"/>
    </row>
    <row r="140" spans="1:9">
      <c r="A140" s="22"/>
      <c r="B140" s="34"/>
      <c r="C140" s="22"/>
      <c r="D140" s="22"/>
      <c r="E140" s="22"/>
      <c r="F140" s="23"/>
      <c r="G140" s="22"/>
      <c r="H140" s="22"/>
      <c r="I140" s="23"/>
    </row>
    <row r="141" spans="1:9">
      <c r="A141" s="22"/>
      <c r="B141" s="34"/>
      <c r="C141" s="22"/>
      <c r="D141" s="22"/>
      <c r="E141" s="22"/>
      <c r="F141" s="23"/>
      <c r="G141" s="22"/>
      <c r="H141" s="22"/>
      <c r="I141" s="23"/>
    </row>
    <row r="142" spans="1:9">
      <c r="A142" s="22"/>
      <c r="B142" s="34"/>
      <c r="C142" s="22"/>
      <c r="D142" s="22"/>
      <c r="E142" s="22"/>
      <c r="F142" s="23"/>
      <c r="G142" s="22"/>
      <c r="H142" s="22"/>
      <c r="I142" s="23"/>
    </row>
    <row r="143" spans="1:9">
      <c r="A143" s="22"/>
      <c r="B143" s="34"/>
      <c r="C143" s="22"/>
      <c r="D143" s="22"/>
      <c r="E143" s="22"/>
      <c r="F143" s="23"/>
      <c r="G143" s="22"/>
      <c r="H143" s="22"/>
      <c r="I143" s="23"/>
    </row>
    <row r="144" spans="1:9">
      <c r="A144" s="22"/>
      <c r="B144" s="34"/>
      <c r="C144" s="22"/>
      <c r="D144" s="22"/>
      <c r="E144" s="22"/>
      <c r="F144" s="23"/>
      <c r="G144" s="22"/>
      <c r="H144" s="22"/>
      <c r="I144" s="23"/>
    </row>
    <row r="145" spans="1:9">
      <c r="A145" s="22"/>
      <c r="B145" s="34"/>
      <c r="C145" s="22"/>
      <c r="D145" s="22"/>
      <c r="E145" s="22"/>
      <c r="F145" s="23"/>
      <c r="G145" s="22"/>
      <c r="H145" s="22"/>
      <c r="I145" s="23"/>
    </row>
    <row r="146" spans="1:9">
      <c r="A146" s="22"/>
      <c r="B146" s="34"/>
      <c r="C146" s="22"/>
      <c r="D146" s="22"/>
      <c r="E146" s="22"/>
      <c r="F146" s="23"/>
      <c r="G146" s="22"/>
      <c r="H146" s="22"/>
      <c r="I146" s="23"/>
    </row>
    <row r="147" spans="1:9">
      <c r="A147" s="22"/>
      <c r="B147" s="34"/>
      <c r="C147" s="22"/>
      <c r="D147" s="22"/>
      <c r="E147" s="22"/>
      <c r="F147" s="23"/>
      <c r="G147" s="22"/>
      <c r="H147" s="22"/>
      <c r="I147" s="23"/>
    </row>
    <row r="148" spans="1:9">
      <c r="A148" s="22"/>
      <c r="B148" s="34"/>
      <c r="C148" s="22"/>
      <c r="D148" s="22"/>
      <c r="E148" s="22"/>
      <c r="F148" s="23"/>
      <c r="G148" s="22"/>
      <c r="H148" s="22"/>
      <c r="I148" s="23"/>
    </row>
    <row r="149" spans="1:9">
      <c r="A149" s="22"/>
      <c r="B149" s="34"/>
      <c r="C149" s="22"/>
      <c r="D149" s="22"/>
      <c r="E149" s="22"/>
      <c r="F149" s="23"/>
      <c r="G149" s="22"/>
      <c r="H149" s="22"/>
      <c r="I149" s="23"/>
    </row>
    <row r="150" spans="1:9">
      <c r="A150" s="22"/>
      <c r="B150" s="34"/>
      <c r="C150" s="22"/>
      <c r="D150" s="22"/>
      <c r="E150" s="22"/>
      <c r="F150" s="23"/>
      <c r="G150" s="22"/>
      <c r="H150" s="22"/>
      <c r="I150" s="23"/>
    </row>
    <row r="151" spans="1:9">
      <c r="A151" s="22"/>
      <c r="B151" s="34"/>
      <c r="C151" s="22"/>
      <c r="D151" s="22"/>
      <c r="E151" s="22"/>
      <c r="F151" s="23"/>
      <c r="G151" s="22"/>
      <c r="H151" s="22"/>
      <c r="I151" s="23"/>
    </row>
    <row r="152" spans="1:9">
      <c r="A152" s="22"/>
      <c r="B152" s="34"/>
      <c r="C152" s="22"/>
      <c r="D152" s="22"/>
      <c r="E152" s="22"/>
      <c r="F152" s="23"/>
      <c r="G152" s="22"/>
      <c r="H152" s="22"/>
      <c r="I152" s="23"/>
    </row>
    <row r="153" spans="1:9">
      <c r="A153" s="22"/>
      <c r="B153" s="34"/>
      <c r="C153" s="22"/>
      <c r="D153" s="22"/>
      <c r="E153" s="22"/>
      <c r="F153" s="23"/>
      <c r="G153" s="22"/>
      <c r="H153" s="22"/>
      <c r="I153" s="23"/>
    </row>
    <row r="154" spans="1:9">
      <c r="A154" s="22"/>
      <c r="B154" s="34"/>
      <c r="C154" s="22"/>
      <c r="D154" s="22"/>
      <c r="E154" s="22"/>
      <c r="F154" s="23"/>
      <c r="G154" s="22"/>
      <c r="H154" s="22"/>
      <c r="I154" s="23"/>
    </row>
    <row r="155" spans="1:9">
      <c r="A155" s="22"/>
      <c r="B155" s="34"/>
      <c r="C155" s="22"/>
      <c r="D155" s="22"/>
      <c r="E155" s="22"/>
      <c r="F155" s="23"/>
      <c r="G155" s="22"/>
      <c r="H155" s="22"/>
      <c r="I155" s="23"/>
    </row>
    <row r="156" spans="1:9">
      <c r="A156" s="22"/>
      <c r="B156" s="34"/>
      <c r="C156" s="22"/>
      <c r="D156" s="22"/>
      <c r="E156" s="22"/>
      <c r="F156" s="23"/>
      <c r="G156" s="22"/>
      <c r="H156" s="22"/>
      <c r="I156" s="23"/>
    </row>
    <row r="157" spans="1:9">
      <c r="A157" s="22"/>
      <c r="B157" s="34"/>
      <c r="C157" s="22"/>
      <c r="D157" s="22"/>
      <c r="E157" s="22"/>
      <c r="F157" s="23"/>
      <c r="G157" s="22"/>
      <c r="H157" s="22"/>
      <c r="I157" s="23"/>
    </row>
    <row r="158" spans="1:9">
      <c r="A158" s="22"/>
      <c r="B158" s="34"/>
      <c r="C158" s="22"/>
      <c r="D158" s="22"/>
      <c r="E158" s="22"/>
      <c r="F158" s="23"/>
      <c r="G158" s="22"/>
      <c r="H158" s="22"/>
      <c r="I158" s="23"/>
    </row>
    <row r="159" spans="1:9">
      <c r="A159" s="22"/>
      <c r="B159" s="34"/>
      <c r="C159" s="22"/>
      <c r="D159" s="22"/>
      <c r="E159" s="22"/>
      <c r="F159" s="23"/>
      <c r="G159" s="22"/>
      <c r="H159" s="22"/>
      <c r="I159" s="23"/>
    </row>
    <row r="160" spans="1:9">
      <c r="A160" s="22"/>
      <c r="B160" s="34"/>
      <c r="C160" s="22"/>
      <c r="D160" s="22"/>
      <c r="E160" s="22"/>
      <c r="F160" s="23"/>
      <c r="G160" s="22"/>
      <c r="H160" s="22"/>
      <c r="I160" s="23"/>
    </row>
    <row r="161" spans="1:9">
      <c r="A161" s="22"/>
      <c r="B161" s="34"/>
      <c r="C161" s="22"/>
      <c r="D161" s="22"/>
      <c r="E161" s="22"/>
      <c r="F161" s="23"/>
      <c r="G161" s="22"/>
      <c r="H161" s="22"/>
      <c r="I161" s="23"/>
    </row>
    <row r="162" spans="1:9">
      <c r="A162" s="22"/>
      <c r="B162" s="34"/>
      <c r="C162" s="22"/>
      <c r="D162" s="22"/>
      <c r="E162" s="22"/>
      <c r="F162" s="23"/>
      <c r="G162" s="22"/>
      <c r="H162" s="22"/>
      <c r="I162" s="23"/>
    </row>
    <row r="163" spans="1:9">
      <c r="A163" s="22"/>
      <c r="B163" s="34"/>
      <c r="C163" s="22"/>
      <c r="D163" s="22"/>
      <c r="E163" s="22"/>
      <c r="F163" s="23"/>
      <c r="G163" s="22"/>
      <c r="H163" s="22"/>
      <c r="I163" s="23"/>
    </row>
    <row r="164" spans="1:9">
      <c r="A164" s="22"/>
      <c r="B164" s="34"/>
      <c r="C164" s="22"/>
      <c r="D164" s="22"/>
      <c r="E164" s="22"/>
      <c r="F164" s="23"/>
      <c r="G164" s="22"/>
      <c r="H164" s="22"/>
      <c r="I164" s="23"/>
    </row>
    <row r="165" spans="1:9">
      <c r="A165" s="22"/>
      <c r="B165" s="34"/>
      <c r="C165" s="22"/>
      <c r="D165" s="22"/>
      <c r="E165" s="22"/>
      <c r="F165" s="23"/>
      <c r="G165" s="22"/>
      <c r="H165" s="22"/>
      <c r="I165" s="23"/>
    </row>
    <row r="166" spans="1:9">
      <c r="A166" s="22"/>
      <c r="B166" s="34"/>
      <c r="C166" s="22"/>
      <c r="D166" s="22"/>
      <c r="E166" s="22"/>
      <c r="F166" s="23"/>
      <c r="G166" s="22"/>
      <c r="H166" s="22"/>
      <c r="I166" s="23"/>
    </row>
    <row r="167" spans="1:9">
      <c r="A167" s="22"/>
      <c r="B167" s="34"/>
      <c r="C167" s="22"/>
      <c r="D167" s="22"/>
      <c r="E167" s="22"/>
      <c r="F167" s="23"/>
      <c r="G167" s="22"/>
      <c r="H167" s="22"/>
      <c r="I167" s="23"/>
    </row>
    <row r="168" spans="1:9">
      <c r="A168" s="22"/>
      <c r="B168" s="34"/>
      <c r="C168" s="22"/>
      <c r="D168" s="22"/>
      <c r="E168" s="22"/>
      <c r="F168" s="23"/>
      <c r="G168" s="22"/>
      <c r="H168" s="22"/>
      <c r="I168" s="23"/>
    </row>
    <row r="169" spans="1:9">
      <c r="A169" s="22"/>
      <c r="B169" s="34"/>
      <c r="C169" s="22"/>
      <c r="D169" s="22"/>
      <c r="E169" s="22"/>
      <c r="F169" s="23"/>
      <c r="G169" s="22"/>
      <c r="H169" s="22"/>
      <c r="I169" s="23"/>
    </row>
    <row r="170" spans="1:9">
      <c r="A170" s="22"/>
      <c r="B170" s="34"/>
      <c r="C170" s="22"/>
      <c r="D170" s="22"/>
      <c r="E170" s="22"/>
      <c r="F170" s="23"/>
      <c r="G170" s="22"/>
      <c r="H170" s="22"/>
      <c r="I170" s="23"/>
    </row>
    <row r="171" spans="1:9">
      <c r="A171" s="22"/>
      <c r="B171" s="34"/>
      <c r="C171" s="22"/>
      <c r="D171" s="22"/>
      <c r="E171" s="22"/>
      <c r="F171" s="23"/>
      <c r="G171" s="22"/>
      <c r="H171" s="22"/>
      <c r="I171" s="23"/>
    </row>
    <row r="172" spans="1:9">
      <c r="A172" s="22"/>
      <c r="B172" s="34"/>
      <c r="C172" s="22"/>
      <c r="D172" s="22"/>
      <c r="E172" s="22"/>
      <c r="F172" s="23"/>
      <c r="G172" s="22"/>
      <c r="H172" s="22"/>
      <c r="I172" s="23"/>
    </row>
    <row r="173" spans="1:9">
      <c r="A173" s="22"/>
      <c r="B173" s="34"/>
      <c r="C173" s="22"/>
      <c r="D173" s="22"/>
      <c r="E173" s="22"/>
      <c r="F173" s="23"/>
      <c r="G173" s="22"/>
      <c r="H173" s="22"/>
      <c r="I173" s="23"/>
    </row>
    <row r="174" spans="1:9">
      <c r="A174" s="22"/>
      <c r="B174" s="34"/>
      <c r="C174" s="22"/>
      <c r="D174" s="22"/>
      <c r="E174" s="22"/>
      <c r="F174" s="23"/>
      <c r="G174" s="22"/>
      <c r="H174" s="22"/>
      <c r="I174" s="23"/>
    </row>
    <row r="175" spans="1:9">
      <c r="A175" s="22"/>
      <c r="B175" s="34"/>
      <c r="C175" s="22"/>
      <c r="D175" s="22"/>
      <c r="E175" s="22"/>
      <c r="F175" s="23"/>
      <c r="G175" s="22"/>
      <c r="H175" s="22"/>
      <c r="I175" s="23"/>
    </row>
    <row r="176" spans="1:9">
      <c r="A176" s="22"/>
      <c r="B176" s="34"/>
      <c r="C176" s="22"/>
      <c r="D176" s="22"/>
      <c r="E176" s="22"/>
      <c r="F176" s="23"/>
      <c r="G176" s="22"/>
      <c r="H176" s="22"/>
      <c r="I176" s="23"/>
    </row>
    <row r="177" spans="1:9">
      <c r="A177" s="22"/>
      <c r="B177" s="34"/>
      <c r="C177" s="22"/>
      <c r="D177" s="22"/>
      <c r="E177" s="22"/>
      <c r="F177" s="23"/>
      <c r="G177" s="22"/>
      <c r="H177" s="22"/>
      <c r="I177" s="23"/>
    </row>
    <row r="178" spans="1:9">
      <c r="A178" s="22"/>
      <c r="B178" s="34"/>
      <c r="C178" s="22"/>
      <c r="D178" s="22"/>
      <c r="E178" s="22"/>
      <c r="F178" s="23"/>
      <c r="G178" s="22"/>
      <c r="H178" s="22"/>
      <c r="I178" s="23"/>
    </row>
    <row r="179" spans="1:9">
      <c r="A179" s="22"/>
      <c r="B179" s="34"/>
      <c r="C179" s="22"/>
      <c r="D179" s="22"/>
      <c r="E179" s="22"/>
      <c r="F179" s="23"/>
      <c r="G179" s="22"/>
      <c r="H179" s="22"/>
      <c r="I179" s="23"/>
    </row>
    <row r="180" spans="1:9">
      <c r="A180" s="22"/>
      <c r="B180" s="34"/>
      <c r="C180" s="22"/>
      <c r="D180" s="22"/>
      <c r="E180" s="22"/>
      <c r="F180" s="23"/>
      <c r="G180" s="22"/>
      <c r="H180" s="22"/>
      <c r="I180" s="23"/>
    </row>
    <row r="181" spans="1:9">
      <c r="A181" s="22"/>
      <c r="B181" s="34"/>
      <c r="C181" s="22"/>
      <c r="D181" s="22"/>
      <c r="E181" s="22"/>
      <c r="F181" s="23"/>
      <c r="G181" s="22"/>
      <c r="H181" s="22"/>
      <c r="I181" s="23"/>
    </row>
    <row r="182" spans="1:9">
      <c r="A182" s="22"/>
      <c r="B182" s="34"/>
      <c r="C182" s="22"/>
      <c r="D182" s="22"/>
      <c r="E182" s="22"/>
      <c r="F182" s="23"/>
      <c r="G182" s="22"/>
      <c r="H182" s="22"/>
      <c r="I182" s="23"/>
    </row>
    <row r="183" spans="1:9">
      <c r="A183" s="22"/>
      <c r="B183" s="34"/>
      <c r="C183" s="22"/>
      <c r="D183" s="22"/>
      <c r="E183" s="22"/>
      <c r="F183" s="23"/>
      <c r="G183" s="22"/>
      <c r="H183" s="22"/>
      <c r="I183" s="23"/>
    </row>
    <row r="184" spans="1:9">
      <c r="A184" s="22"/>
      <c r="B184" s="34"/>
      <c r="C184" s="22"/>
      <c r="D184" s="22"/>
      <c r="E184" s="22"/>
      <c r="F184" s="23"/>
      <c r="G184" s="22"/>
      <c r="H184" s="22"/>
      <c r="I184" s="23"/>
    </row>
    <row r="185" spans="1:9">
      <c r="A185" s="22"/>
      <c r="B185" s="34"/>
      <c r="C185" s="22"/>
      <c r="D185" s="22"/>
      <c r="E185" s="22"/>
      <c r="F185" s="23"/>
      <c r="G185" s="22"/>
      <c r="H185" s="22"/>
      <c r="I185" s="23"/>
    </row>
    <row r="186" spans="1:9">
      <c r="A186" s="22"/>
      <c r="B186" s="34"/>
      <c r="C186" s="22"/>
      <c r="D186" s="22"/>
      <c r="E186" s="22"/>
      <c r="F186" s="23"/>
      <c r="G186" s="22"/>
      <c r="H186" s="22"/>
      <c r="I186" s="23"/>
    </row>
    <row r="187" spans="1:9">
      <c r="A187" s="22"/>
      <c r="B187" s="34"/>
      <c r="C187" s="22"/>
      <c r="D187" s="22"/>
      <c r="E187" s="22"/>
      <c r="F187" s="23"/>
      <c r="G187" s="22"/>
      <c r="H187" s="22"/>
      <c r="I187" s="23"/>
    </row>
    <row r="188" spans="1:9">
      <c r="A188" s="22"/>
      <c r="B188" s="34"/>
      <c r="C188" s="22"/>
      <c r="D188" s="22"/>
      <c r="E188" s="22"/>
      <c r="F188" s="23"/>
      <c r="G188" s="22"/>
      <c r="H188" s="22"/>
      <c r="I188" s="23"/>
    </row>
    <row r="189" spans="1:9">
      <c r="A189" s="22"/>
      <c r="B189" s="34"/>
      <c r="C189" s="22"/>
      <c r="D189" s="22"/>
      <c r="E189" s="22"/>
      <c r="F189" s="23"/>
      <c r="G189" s="22"/>
      <c r="H189" s="22"/>
      <c r="I189" s="23"/>
    </row>
    <row r="190" spans="1:9">
      <c r="A190" s="22"/>
      <c r="B190" s="34"/>
      <c r="C190" s="22"/>
      <c r="D190" s="22"/>
      <c r="E190" s="22"/>
      <c r="F190" s="23"/>
      <c r="G190" s="22"/>
      <c r="H190" s="22"/>
      <c r="I190" s="23"/>
    </row>
    <row r="191" spans="1:9">
      <c r="A191" s="22"/>
      <c r="B191" s="34"/>
      <c r="C191" s="22"/>
      <c r="D191" s="22"/>
      <c r="E191" s="22"/>
      <c r="F191" s="23"/>
      <c r="G191" s="22"/>
      <c r="H191" s="22"/>
      <c r="I191" s="23"/>
    </row>
    <row r="192" spans="1:9">
      <c r="A192" s="22"/>
      <c r="B192" s="34"/>
      <c r="C192" s="22"/>
      <c r="D192" s="22"/>
      <c r="E192" s="22"/>
      <c r="F192" s="23"/>
      <c r="G192" s="22"/>
      <c r="H192" s="22"/>
      <c r="I192" s="23"/>
    </row>
    <row r="193" spans="1:9">
      <c r="A193" s="22"/>
      <c r="B193" s="34"/>
      <c r="C193" s="22"/>
      <c r="D193" s="22"/>
      <c r="E193" s="22"/>
      <c r="F193" s="23"/>
      <c r="G193" s="22"/>
      <c r="H193" s="22"/>
      <c r="I193" s="23"/>
    </row>
    <row r="194" spans="1:9">
      <c r="A194" s="22"/>
      <c r="B194" s="34"/>
      <c r="C194" s="22"/>
      <c r="D194" s="22"/>
      <c r="E194" s="22"/>
      <c r="F194" s="23"/>
      <c r="G194" s="22"/>
      <c r="H194" s="22"/>
      <c r="I194" s="23"/>
    </row>
    <row r="195" spans="1:9">
      <c r="A195" s="22"/>
      <c r="B195" s="34"/>
      <c r="C195" s="22"/>
      <c r="D195" s="22"/>
      <c r="E195" s="22"/>
      <c r="F195" s="23"/>
      <c r="G195" s="22"/>
      <c r="H195" s="22"/>
      <c r="I195" s="23"/>
    </row>
    <row r="196" spans="1:9">
      <c r="A196" s="22"/>
      <c r="B196" s="34"/>
      <c r="C196" s="22"/>
      <c r="D196" s="22"/>
      <c r="E196" s="22"/>
      <c r="F196" s="23"/>
      <c r="G196" s="22"/>
      <c r="H196" s="22"/>
      <c r="I196" s="23"/>
    </row>
    <row r="197" spans="1:9">
      <c r="A197" s="22"/>
      <c r="B197" s="34"/>
      <c r="C197" s="22"/>
      <c r="D197" s="22"/>
      <c r="E197" s="22"/>
      <c r="F197" s="23"/>
      <c r="G197" s="22"/>
      <c r="H197" s="22"/>
      <c r="I197" s="23"/>
    </row>
    <row r="198" spans="1:9">
      <c r="A198" s="22"/>
      <c r="B198" s="34"/>
      <c r="C198" s="22"/>
      <c r="D198" s="22"/>
      <c r="E198" s="22"/>
      <c r="F198" s="23"/>
      <c r="G198" s="22"/>
      <c r="H198" s="22"/>
      <c r="I198" s="23"/>
    </row>
    <row r="199" spans="1:9">
      <c r="A199" s="22"/>
      <c r="B199" s="34"/>
      <c r="C199" s="22"/>
      <c r="D199" s="22"/>
      <c r="E199" s="22"/>
      <c r="F199" s="23"/>
      <c r="G199" s="22"/>
      <c r="H199" s="22"/>
      <c r="I199" s="23"/>
    </row>
    <row r="200" spans="1:9">
      <c r="A200" s="22"/>
      <c r="B200" s="34"/>
      <c r="C200" s="22"/>
      <c r="D200" s="22"/>
      <c r="E200" s="22"/>
      <c r="F200" s="23"/>
      <c r="G200" s="22"/>
      <c r="H200" s="22"/>
      <c r="I200" s="23"/>
    </row>
    <row r="201" spans="1:9">
      <c r="A201" s="22"/>
      <c r="B201" s="34"/>
      <c r="C201" s="22"/>
      <c r="D201" s="22"/>
      <c r="E201" s="22"/>
      <c r="F201" s="23"/>
      <c r="G201" s="22"/>
      <c r="H201" s="22"/>
      <c r="I201" s="23"/>
    </row>
    <row r="202" spans="1:9">
      <c r="A202" s="22"/>
      <c r="B202" s="34"/>
      <c r="C202" s="22"/>
      <c r="D202" s="22"/>
      <c r="E202" s="22"/>
      <c r="F202" s="23"/>
      <c r="G202" s="22"/>
      <c r="H202" s="22"/>
      <c r="I202" s="23"/>
    </row>
    <row r="203" spans="1:9">
      <c r="A203" s="22"/>
      <c r="B203" s="34"/>
      <c r="C203" s="22"/>
      <c r="D203" s="22"/>
      <c r="E203" s="22"/>
      <c r="F203" s="23"/>
      <c r="G203" s="22"/>
      <c r="H203" s="22"/>
      <c r="I203" s="23"/>
    </row>
    <row r="204" spans="1:9">
      <c r="A204" s="22"/>
      <c r="B204" s="34"/>
      <c r="C204" s="22"/>
      <c r="D204" s="22"/>
      <c r="E204" s="22"/>
      <c r="F204" s="23"/>
      <c r="G204" s="22"/>
      <c r="H204" s="22"/>
      <c r="I204" s="23"/>
    </row>
    <row r="205" spans="1:9">
      <c r="A205" s="22"/>
      <c r="B205" s="34"/>
      <c r="C205" s="22"/>
      <c r="D205" s="22"/>
      <c r="E205" s="22"/>
      <c r="F205" s="23"/>
      <c r="G205" s="22"/>
      <c r="H205" s="22"/>
      <c r="I205" s="23"/>
    </row>
    <row r="206" spans="1:9">
      <c r="A206" s="22"/>
      <c r="B206" s="34"/>
      <c r="C206" s="22"/>
      <c r="D206" s="22"/>
      <c r="E206" s="22"/>
      <c r="F206" s="23"/>
      <c r="G206" s="22"/>
      <c r="H206" s="22"/>
      <c r="I206" s="23"/>
    </row>
    <row r="207" spans="1:9">
      <c r="A207" s="22"/>
      <c r="B207" s="34"/>
      <c r="C207" s="22"/>
      <c r="D207" s="22"/>
      <c r="E207" s="22"/>
      <c r="F207" s="23"/>
      <c r="G207" s="22"/>
      <c r="H207" s="22"/>
      <c r="I207" s="23"/>
    </row>
    <row r="208" spans="1:9">
      <c r="A208" s="22"/>
      <c r="B208" s="34"/>
      <c r="C208" s="22"/>
      <c r="D208" s="22"/>
      <c r="E208" s="22"/>
      <c r="F208" s="23"/>
      <c r="G208" s="22"/>
      <c r="H208" s="22"/>
      <c r="I208" s="23"/>
    </row>
    <row r="209" spans="1:9">
      <c r="A209" s="22"/>
      <c r="B209" s="34"/>
      <c r="C209" s="22"/>
      <c r="D209" s="22"/>
      <c r="E209" s="22"/>
      <c r="F209" s="23"/>
      <c r="G209" s="22"/>
      <c r="H209" s="22"/>
      <c r="I209" s="23"/>
    </row>
    <row r="210" spans="1:9">
      <c r="A210" s="22"/>
      <c r="B210" s="34"/>
      <c r="C210" s="22"/>
      <c r="D210" s="22"/>
      <c r="E210" s="22"/>
      <c r="F210" s="23"/>
      <c r="G210" s="22"/>
      <c r="H210" s="22"/>
      <c r="I210" s="23"/>
    </row>
    <row r="211" spans="1:9">
      <c r="A211" s="22"/>
      <c r="B211" s="34"/>
      <c r="C211" s="22"/>
      <c r="D211" s="22"/>
      <c r="E211" s="22"/>
      <c r="F211" s="23"/>
      <c r="G211" s="22"/>
      <c r="H211" s="22"/>
      <c r="I211" s="23"/>
    </row>
    <row r="212" spans="1:9">
      <c r="A212" s="22"/>
      <c r="B212" s="34"/>
      <c r="C212" s="22"/>
      <c r="D212" s="22"/>
      <c r="E212" s="22"/>
      <c r="F212" s="23"/>
      <c r="G212" s="22"/>
      <c r="H212" s="22"/>
      <c r="I212" s="23"/>
    </row>
    <row r="213" spans="1:9">
      <c r="A213" s="22"/>
      <c r="B213" s="34"/>
      <c r="C213" s="22"/>
      <c r="D213" s="22"/>
      <c r="E213" s="22"/>
      <c r="F213" s="23"/>
      <c r="G213" s="22"/>
      <c r="H213" s="22"/>
      <c r="I213" s="23"/>
    </row>
    <row r="214" spans="1:9">
      <c r="A214" s="22"/>
      <c r="B214" s="34"/>
      <c r="C214" s="22"/>
      <c r="D214" s="22"/>
      <c r="E214" s="22"/>
      <c r="F214" s="23"/>
      <c r="G214" s="22"/>
      <c r="H214" s="22"/>
      <c r="I214" s="23"/>
    </row>
    <row r="215" spans="1:9">
      <c r="A215" s="22"/>
      <c r="B215" s="34"/>
      <c r="C215" s="22"/>
      <c r="D215" s="22"/>
      <c r="E215" s="22"/>
      <c r="F215" s="23"/>
      <c r="G215" s="22"/>
      <c r="H215" s="22"/>
      <c r="I215" s="23"/>
    </row>
    <row r="216" spans="1:9">
      <c r="A216" s="22"/>
      <c r="B216" s="34"/>
      <c r="C216" s="22"/>
      <c r="D216" s="22"/>
      <c r="E216" s="22"/>
      <c r="F216" s="23"/>
      <c r="G216" s="22"/>
      <c r="H216" s="22"/>
      <c r="I216" s="23"/>
    </row>
    <row r="217" spans="1:9">
      <c r="A217" s="22"/>
      <c r="B217" s="34"/>
      <c r="C217" s="22"/>
      <c r="D217" s="22"/>
      <c r="E217" s="22"/>
      <c r="F217" s="23"/>
      <c r="G217" s="22"/>
      <c r="H217" s="22"/>
      <c r="I217" s="23"/>
    </row>
    <row r="218" spans="1:9">
      <c r="A218" s="22"/>
      <c r="B218" s="34"/>
      <c r="C218" s="22"/>
      <c r="D218" s="22"/>
      <c r="E218" s="22"/>
      <c r="F218" s="23"/>
      <c r="G218" s="22"/>
      <c r="H218" s="22"/>
      <c r="I218" s="23"/>
    </row>
    <row r="219" spans="1:9">
      <c r="A219" s="22"/>
      <c r="B219" s="34"/>
      <c r="C219" s="22"/>
      <c r="D219" s="22"/>
      <c r="E219" s="22"/>
      <c r="F219" s="23"/>
      <c r="G219" s="22"/>
      <c r="H219" s="22"/>
      <c r="I219" s="23"/>
    </row>
    <row r="220" spans="1:9">
      <c r="A220" s="22"/>
      <c r="B220" s="34"/>
      <c r="C220" s="22"/>
      <c r="D220" s="22"/>
      <c r="E220" s="22"/>
      <c r="F220" s="23"/>
      <c r="G220" s="22"/>
      <c r="H220" s="22"/>
      <c r="I220" s="23"/>
    </row>
    <row r="221" spans="1:9">
      <c r="A221" s="22"/>
      <c r="B221" s="34"/>
      <c r="C221" s="22"/>
      <c r="D221" s="22"/>
      <c r="E221" s="22"/>
      <c r="F221" s="23"/>
      <c r="G221" s="22"/>
      <c r="H221" s="22"/>
      <c r="I221" s="23"/>
    </row>
    <row r="222" spans="1:9">
      <c r="A222" s="22"/>
      <c r="B222" s="34"/>
      <c r="C222" s="22"/>
      <c r="D222" s="22"/>
      <c r="E222" s="22"/>
      <c r="F222" s="23"/>
      <c r="G222" s="22"/>
      <c r="H222" s="22"/>
      <c r="I222" s="23"/>
    </row>
    <row r="223" spans="1:9">
      <c r="A223" s="22"/>
      <c r="B223" s="34"/>
      <c r="C223" s="22"/>
      <c r="D223" s="22"/>
      <c r="E223" s="22"/>
      <c r="F223" s="23"/>
      <c r="G223" s="22"/>
      <c r="H223" s="22"/>
      <c r="I223" s="23"/>
    </row>
    <row r="224" spans="1:9">
      <c r="A224" s="22"/>
      <c r="B224" s="34"/>
      <c r="C224" s="22"/>
      <c r="D224" s="22"/>
      <c r="E224" s="22"/>
      <c r="F224" s="23"/>
      <c r="G224" s="22"/>
      <c r="H224" s="22"/>
      <c r="I224" s="23"/>
    </row>
    <row r="225" spans="1:9">
      <c r="A225" s="22"/>
      <c r="B225" s="34"/>
      <c r="C225" s="22"/>
      <c r="D225" s="22"/>
      <c r="E225" s="22"/>
      <c r="F225" s="23"/>
      <c r="G225" s="22"/>
      <c r="H225" s="22"/>
      <c r="I225" s="23"/>
    </row>
    <row r="226" spans="1:9">
      <c r="A226" s="22"/>
      <c r="B226" s="34"/>
      <c r="C226" s="22"/>
      <c r="D226" s="22"/>
      <c r="E226" s="22"/>
      <c r="F226" s="23"/>
      <c r="G226" s="22"/>
      <c r="H226" s="22"/>
      <c r="I226" s="23"/>
    </row>
    <row r="227" spans="1:9">
      <c r="A227" s="22"/>
      <c r="B227" s="34"/>
      <c r="C227" s="22"/>
      <c r="D227" s="22"/>
      <c r="E227" s="22"/>
      <c r="F227" s="23"/>
      <c r="G227" s="22"/>
      <c r="H227" s="22"/>
      <c r="I227" s="23"/>
    </row>
    <row r="228" spans="1:9">
      <c r="A228" s="22"/>
      <c r="B228" s="34"/>
      <c r="C228" s="22"/>
      <c r="D228" s="22"/>
      <c r="E228" s="22"/>
      <c r="F228" s="23"/>
      <c r="G228" s="22"/>
      <c r="H228" s="22"/>
      <c r="I228" s="23"/>
    </row>
    <row r="229" spans="1:9">
      <c r="A229" s="22"/>
      <c r="B229" s="34"/>
      <c r="C229" s="22"/>
      <c r="D229" s="22"/>
      <c r="E229" s="22"/>
      <c r="F229" s="23"/>
      <c r="G229" s="22"/>
      <c r="H229" s="22"/>
      <c r="I229" s="23"/>
    </row>
    <row r="230" spans="1:9">
      <c r="A230" s="22"/>
      <c r="B230" s="34"/>
      <c r="C230" s="22"/>
      <c r="D230" s="22"/>
      <c r="E230" s="22"/>
      <c r="F230" s="23"/>
      <c r="G230" s="22"/>
      <c r="H230" s="22"/>
      <c r="I230" s="23"/>
    </row>
    <row r="231" spans="1:9">
      <c r="A231" s="22"/>
      <c r="B231" s="34"/>
      <c r="C231" s="22"/>
      <c r="D231" s="22"/>
      <c r="E231" s="22"/>
      <c r="F231" s="23"/>
      <c r="G231" s="22"/>
      <c r="H231" s="22"/>
      <c r="I231" s="23"/>
    </row>
    <row r="232" spans="1:9">
      <c r="A232" s="22"/>
      <c r="B232" s="34"/>
      <c r="C232" s="22"/>
      <c r="D232" s="22"/>
      <c r="E232" s="22"/>
      <c r="F232" s="23"/>
      <c r="G232" s="22"/>
      <c r="H232" s="22"/>
      <c r="I232" s="23"/>
    </row>
    <row r="233" spans="1:9">
      <c r="A233" s="22"/>
      <c r="B233" s="34"/>
      <c r="C233" s="22"/>
      <c r="D233" s="22"/>
      <c r="E233" s="22"/>
      <c r="F233" s="23"/>
      <c r="G233" s="22"/>
      <c r="H233" s="22"/>
      <c r="I233" s="23"/>
    </row>
    <row r="234" spans="1:9">
      <c r="A234" s="22"/>
      <c r="B234" s="34"/>
      <c r="C234" s="22"/>
      <c r="D234" s="22"/>
      <c r="E234" s="22"/>
      <c r="F234" s="23"/>
      <c r="G234" s="22"/>
      <c r="H234" s="22"/>
      <c r="I234" s="23"/>
    </row>
    <row r="235" spans="1:9">
      <c r="A235" s="22"/>
      <c r="B235" s="34"/>
      <c r="C235" s="22"/>
      <c r="D235" s="22"/>
      <c r="E235" s="22"/>
      <c r="F235" s="23"/>
      <c r="G235" s="22"/>
      <c r="H235" s="22"/>
      <c r="I235" s="23"/>
    </row>
    <row r="236" spans="1:9">
      <c r="A236" s="22"/>
      <c r="B236" s="34"/>
      <c r="C236" s="22"/>
      <c r="D236" s="22"/>
      <c r="E236" s="22"/>
      <c r="F236" s="23"/>
      <c r="G236" s="22"/>
      <c r="H236" s="22"/>
      <c r="I236" s="23"/>
    </row>
    <row r="237" spans="1:9">
      <c r="A237" s="22"/>
      <c r="B237" s="34"/>
      <c r="C237" s="22"/>
      <c r="D237" s="22"/>
      <c r="E237" s="22"/>
      <c r="F237" s="23"/>
      <c r="G237" s="22"/>
      <c r="H237" s="22"/>
      <c r="I237" s="23"/>
    </row>
    <row r="238" spans="1:9">
      <c r="A238" s="22"/>
      <c r="B238" s="34"/>
      <c r="C238" s="22"/>
      <c r="D238" s="22"/>
      <c r="E238" s="22"/>
      <c r="F238" s="23"/>
      <c r="G238" s="22"/>
      <c r="H238" s="22"/>
      <c r="I238" s="23"/>
    </row>
    <row r="239" spans="1:9">
      <c r="A239" s="22"/>
      <c r="B239" s="34"/>
      <c r="C239" s="22"/>
      <c r="D239" s="22"/>
      <c r="E239" s="22"/>
      <c r="F239" s="23"/>
      <c r="G239" s="22"/>
      <c r="H239" s="22"/>
      <c r="I239" s="23"/>
    </row>
    <row r="240" spans="1:9">
      <c r="A240" s="22"/>
      <c r="B240" s="34"/>
      <c r="C240" s="22"/>
      <c r="D240" s="22"/>
      <c r="E240" s="22"/>
      <c r="F240" s="23"/>
      <c r="G240" s="22"/>
      <c r="H240" s="22"/>
      <c r="I240" s="23"/>
    </row>
    <row r="241" spans="1:9">
      <c r="A241" s="22"/>
      <c r="B241" s="34"/>
      <c r="C241" s="22"/>
      <c r="D241" s="22"/>
      <c r="E241" s="22"/>
      <c r="F241" s="23"/>
      <c r="G241" s="22"/>
      <c r="H241" s="22"/>
      <c r="I241" s="23"/>
    </row>
    <row r="242" spans="1:9">
      <c r="A242" s="22"/>
      <c r="B242" s="34"/>
      <c r="C242" s="22"/>
      <c r="D242" s="22"/>
      <c r="E242" s="22"/>
      <c r="F242" s="23"/>
      <c r="G242" s="22"/>
      <c r="H242" s="22"/>
      <c r="I242" s="23"/>
    </row>
    <row r="243" spans="1:9">
      <c r="A243" s="22"/>
      <c r="B243" s="34"/>
      <c r="C243" s="22"/>
      <c r="D243" s="22"/>
      <c r="E243" s="22"/>
      <c r="F243" s="23"/>
      <c r="G243" s="22"/>
      <c r="H243" s="22"/>
      <c r="I243" s="23"/>
    </row>
    <row r="244" spans="1:9">
      <c r="A244" s="22"/>
      <c r="B244" s="34"/>
      <c r="C244" s="22"/>
      <c r="D244" s="22"/>
      <c r="E244" s="22"/>
      <c r="F244" s="23"/>
      <c r="G244" s="22"/>
      <c r="H244" s="22"/>
      <c r="I244" s="23"/>
    </row>
    <row r="245" spans="1:9">
      <c r="A245" s="22"/>
      <c r="B245" s="34"/>
      <c r="C245" s="22"/>
      <c r="D245" s="22"/>
      <c r="E245" s="22"/>
      <c r="F245" s="23"/>
      <c r="G245" s="22"/>
      <c r="H245" s="22"/>
      <c r="I245" s="23"/>
    </row>
    <row r="246" spans="1:9">
      <c r="A246" s="22"/>
      <c r="B246" s="34"/>
      <c r="C246" s="22"/>
      <c r="D246" s="22"/>
      <c r="E246" s="22"/>
      <c r="F246" s="23"/>
      <c r="G246" s="22"/>
      <c r="H246" s="22"/>
      <c r="I246" s="23"/>
    </row>
    <row r="247" spans="1:9">
      <c r="A247" s="22"/>
      <c r="B247" s="34"/>
      <c r="C247" s="22"/>
      <c r="D247" s="22"/>
      <c r="E247" s="22"/>
      <c r="F247" s="23"/>
      <c r="G247" s="22"/>
      <c r="H247" s="22"/>
      <c r="I247" s="23"/>
    </row>
    <row r="248" spans="1:9">
      <c r="A248" s="22"/>
      <c r="B248" s="34"/>
      <c r="C248" s="22"/>
      <c r="D248" s="22"/>
      <c r="E248" s="22"/>
      <c r="F248" s="23"/>
      <c r="G248" s="22"/>
      <c r="H248" s="22"/>
      <c r="I248" s="23"/>
    </row>
    <row r="249" spans="1:9">
      <c r="A249" s="22"/>
      <c r="B249" s="34"/>
      <c r="C249" s="22"/>
      <c r="D249" s="22"/>
      <c r="E249" s="22"/>
      <c r="F249" s="23"/>
      <c r="G249" s="22"/>
      <c r="H249" s="22"/>
      <c r="I249" s="23"/>
    </row>
    <row r="250" spans="1:9">
      <c r="A250" s="22"/>
      <c r="B250" s="34"/>
      <c r="C250" s="22"/>
      <c r="D250" s="22"/>
      <c r="E250" s="22"/>
      <c r="F250" s="23"/>
      <c r="G250" s="22"/>
      <c r="H250" s="22"/>
      <c r="I250" s="23"/>
    </row>
    <row r="251" spans="1:9">
      <c r="A251" s="22"/>
      <c r="B251" s="34"/>
      <c r="C251" s="22"/>
      <c r="D251" s="22"/>
      <c r="E251" s="22"/>
      <c r="F251" s="23"/>
      <c r="G251" s="22"/>
      <c r="H251" s="22"/>
      <c r="I251" s="23"/>
    </row>
    <row r="252" spans="1:9">
      <c r="A252" s="22"/>
      <c r="B252" s="34"/>
      <c r="C252" s="22"/>
      <c r="D252" s="22"/>
      <c r="E252" s="22"/>
      <c r="F252" s="23"/>
      <c r="G252" s="22"/>
      <c r="H252" s="22"/>
      <c r="I252" s="23"/>
    </row>
    <row r="253" spans="1:9">
      <c r="A253" s="22"/>
      <c r="B253" s="34"/>
      <c r="C253" s="22"/>
      <c r="D253" s="22"/>
      <c r="E253" s="22"/>
      <c r="F253" s="23"/>
      <c r="G253" s="22"/>
      <c r="H253" s="22"/>
      <c r="I253" s="23"/>
    </row>
    <row r="254" spans="1:9">
      <c r="A254" s="22"/>
      <c r="B254" s="34"/>
      <c r="C254" s="22"/>
      <c r="D254" s="22"/>
      <c r="E254" s="22"/>
      <c r="F254" s="23"/>
      <c r="G254" s="22"/>
      <c r="H254" s="22"/>
      <c r="I254" s="23"/>
    </row>
    <row r="255" spans="1:9">
      <c r="A255" s="22"/>
      <c r="B255" s="34"/>
      <c r="C255" s="22"/>
      <c r="D255" s="22"/>
      <c r="E255" s="22"/>
      <c r="F255" s="23"/>
      <c r="G255" s="22"/>
      <c r="H255" s="22"/>
      <c r="I255" s="23"/>
    </row>
    <row r="256" spans="1:9">
      <c r="A256" s="22"/>
      <c r="B256" s="34"/>
      <c r="C256" s="22"/>
      <c r="D256" s="22"/>
      <c r="E256" s="22"/>
      <c r="F256" s="23"/>
      <c r="G256" s="22"/>
      <c r="H256" s="22"/>
      <c r="I256" s="23"/>
    </row>
    <row r="257" spans="1:9">
      <c r="A257" s="22"/>
      <c r="B257" s="34"/>
      <c r="C257" s="22"/>
      <c r="D257" s="22"/>
      <c r="E257" s="22"/>
      <c r="F257" s="23"/>
      <c r="G257" s="22"/>
      <c r="H257" s="22"/>
      <c r="I257" s="23"/>
    </row>
    <row r="258" spans="1:9">
      <c r="A258" s="22"/>
      <c r="B258" s="34"/>
      <c r="C258" s="22"/>
      <c r="D258" s="22"/>
      <c r="E258" s="22"/>
      <c r="F258" s="23"/>
      <c r="G258" s="22"/>
      <c r="H258" s="22"/>
      <c r="I258" s="23"/>
    </row>
    <row r="259" spans="1:9">
      <c r="A259" s="22"/>
      <c r="B259" s="34"/>
      <c r="C259" s="22"/>
      <c r="D259" s="22"/>
      <c r="E259" s="22"/>
      <c r="F259" s="23"/>
      <c r="G259" s="22"/>
      <c r="H259" s="22"/>
      <c r="I259" s="23"/>
    </row>
    <row r="260" spans="1:9">
      <c r="A260" s="22"/>
      <c r="B260" s="34"/>
      <c r="C260" s="22"/>
      <c r="D260" s="22"/>
      <c r="E260" s="22"/>
      <c r="F260" s="23"/>
      <c r="G260" s="22"/>
      <c r="H260" s="22"/>
      <c r="I260" s="23"/>
    </row>
    <row r="261" spans="1:9">
      <c r="A261" s="22"/>
      <c r="B261" s="34"/>
      <c r="C261" s="22"/>
      <c r="D261" s="22"/>
      <c r="E261" s="22"/>
      <c r="F261" s="23"/>
      <c r="G261" s="22"/>
      <c r="H261" s="22"/>
      <c r="I261" s="23"/>
    </row>
    <row r="262" spans="1:9">
      <c r="A262" s="22"/>
      <c r="B262" s="34"/>
      <c r="C262" s="22"/>
      <c r="D262" s="22"/>
      <c r="E262" s="22"/>
      <c r="F262" s="23"/>
      <c r="G262" s="22"/>
      <c r="H262" s="22"/>
      <c r="I262" s="23"/>
    </row>
    <row r="263" spans="1:9">
      <c r="A263" s="22"/>
      <c r="B263" s="34"/>
      <c r="C263" s="22"/>
      <c r="D263" s="22"/>
      <c r="E263" s="22"/>
      <c r="F263" s="23"/>
      <c r="G263" s="22"/>
      <c r="H263" s="22"/>
      <c r="I263" s="23"/>
    </row>
    <row r="264" spans="1:9">
      <c r="A264" s="22"/>
      <c r="B264" s="34"/>
      <c r="C264" s="22"/>
      <c r="D264" s="22"/>
      <c r="E264" s="22"/>
      <c r="F264" s="23"/>
      <c r="G264" s="22"/>
      <c r="H264" s="22"/>
      <c r="I264" s="23"/>
    </row>
    <row r="265" spans="1:9">
      <c r="A265" s="22"/>
      <c r="B265" s="34"/>
      <c r="C265" s="22"/>
      <c r="D265" s="22"/>
      <c r="E265" s="22"/>
      <c r="F265" s="23"/>
      <c r="G265" s="22"/>
      <c r="H265" s="22"/>
      <c r="I265" s="23"/>
    </row>
    <row r="266" spans="1:9">
      <c r="A266" s="22"/>
      <c r="B266" s="34"/>
      <c r="C266" s="22"/>
      <c r="D266" s="22"/>
      <c r="E266" s="22"/>
      <c r="F266" s="23"/>
      <c r="G266" s="22"/>
      <c r="H266" s="22"/>
      <c r="I266" s="23"/>
    </row>
    <row r="267" spans="1:9">
      <c r="A267" s="22"/>
      <c r="B267" s="34"/>
      <c r="C267" s="22"/>
      <c r="D267" s="22"/>
      <c r="E267" s="22"/>
      <c r="F267" s="23"/>
      <c r="G267" s="22"/>
      <c r="H267" s="22"/>
      <c r="I267" s="23"/>
    </row>
    <row r="268" spans="1:9">
      <c r="A268" s="22"/>
      <c r="B268" s="34"/>
      <c r="C268" s="22"/>
      <c r="D268" s="22"/>
      <c r="E268" s="22"/>
      <c r="F268" s="23"/>
      <c r="G268" s="22"/>
      <c r="H268" s="22"/>
      <c r="I268" s="23"/>
    </row>
    <row r="269" spans="1:9">
      <c r="A269" s="22"/>
      <c r="B269" s="34"/>
      <c r="C269" s="22"/>
      <c r="D269" s="22"/>
      <c r="E269" s="22"/>
      <c r="F269" s="23"/>
      <c r="G269" s="22"/>
      <c r="H269" s="22"/>
      <c r="I269" s="23"/>
    </row>
    <row r="270" spans="1:9">
      <c r="A270" s="22"/>
      <c r="B270" s="34"/>
      <c r="C270" s="22"/>
      <c r="D270" s="22"/>
      <c r="E270" s="22"/>
      <c r="F270" s="23"/>
      <c r="G270" s="22"/>
      <c r="H270" s="22"/>
      <c r="I270" s="23"/>
    </row>
    <row r="271" spans="1:9">
      <c r="A271" s="22"/>
      <c r="B271" s="34"/>
      <c r="C271" s="22"/>
      <c r="D271" s="22"/>
      <c r="E271" s="22"/>
      <c r="F271" s="23"/>
      <c r="G271" s="22"/>
      <c r="H271" s="22"/>
      <c r="I271" s="23"/>
    </row>
    <row r="272" spans="1:9">
      <c r="A272" s="22"/>
      <c r="B272" s="34"/>
      <c r="C272" s="22"/>
      <c r="D272" s="22"/>
      <c r="E272" s="22"/>
      <c r="F272" s="23"/>
      <c r="G272" s="22"/>
      <c r="H272" s="22"/>
      <c r="I272" s="23"/>
    </row>
    <row r="273" spans="1:9">
      <c r="A273" s="22"/>
      <c r="B273" s="34"/>
      <c r="C273" s="22"/>
      <c r="D273" s="22"/>
      <c r="E273" s="22"/>
      <c r="F273" s="23"/>
      <c r="G273" s="22"/>
      <c r="H273" s="22"/>
      <c r="I273" s="23"/>
    </row>
    <row r="274" spans="1:9">
      <c r="A274" s="22"/>
      <c r="B274" s="34"/>
      <c r="C274" s="22"/>
      <c r="D274" s="22"/>
      <c r="E274" s="22"/>
      <c r="F274" s="23"/>
      <c r="G274" s="22"/>
      <c r="H274" s="22"/>
      <c r="I274" s="23"/>
    </row>
    <row r="275" spans="1:9">
      <c r="A275" s="22"/>
      <c r="B275" s="34"/>
      <c r="C275" s="22"/>
      <c r="D275" s="22"/>
      <c r="E275" s="22"/>
      <c r="F275" s="23"/>
      <c r="G275" s="22"/>
      <c r="H275" s="22"/>
      <c r="I275" s="23"/>
    </row>
    <row r="276" spans="1:9">
      <c r="A276" s="22"/>
      <c r="B276" s="34"/>
      <c r="C276" s="22"/>
      <c r="D276" s="22"/>
      <c r="E276" s="22"/>
      <c r="F276" s="23"/>
      <c r="G276" s="22"/>
      <c r="H276" s="22"/>
      <c r="I276" s="23"/>
    </row>
    <row r="277" spans="1:9">
      <c r="A277" s="22"/>
      <c r="B277" s="34"/>
      <c r="C277" s="22"/>
      <c r="D277" s="22"/>
      <c r="E277" s="22"/>
      <c r="F277" s="23"/>
      <c r="G277" s="22"/>
      <c r="H277" s="22"/>
      <c r="I277" s="23"/>
    </row>
    <row r="278" spans="1:9">
      <c r="A278" s="22"/>
      <c r="B278" s="34"/>
      <c r="C278" s="22"/>
      <c r="D278" s="22"/>
      <c r="E278" s="22"/>
      <c r="F278" s="23"/>
      <c r="G278" s="22"/>
      <c r="H278" s="22"/>
      <c r="I278" s="23"/>
    </row>
    <row r="279" spans="1:9">
      <c r="A279" s="22"/>
      <c r="B279" s="34"/>
      <c r="C279" s="22"/>
      <c r="D279" s="22"/>
      <c r="E279" s="22"/>
      <c r="F279" s="23"/>
      <c r="G279" s="22"/>
      <c r="H279" s="22"/>
      <c r="I279" s="23"/>
    </row>
    <row r="280" spans="1:9">
      <c r="A280" s="22"/>
      <c r="B280" s="34"/>
      <c r="C280" s="22"/>
      <c r="D280" s="22"/>
      <c r="E280" s="22"/>
      <c r="F280" s="23"/>
      <c r="G280" s="22"/>
      <c r="H280" s="22"/>
      <c r="I280" s="23"/>
    </row>
    <row r="281" spans="1:9">
      <c r="A281" s="22"/>
      <c r="B281" s="34"/>
      <c r="C281" s="22"/>
      <c r="D281" s="22"/>
      <c r="E281" s="22"/>
      <c r="F281" s="23"/>
      <c r="G281" s="22"/>
      <c r="H281" s="22"/>
      <c r="I281" s="23"/>
    </row>
    <row r="282" spans="1:9">
      <c r="A282" s="22"/>
      <c r="B282" s="34"/>
      <c r="C282" s="22"/>
      <c r="D282" s="22"/>
      <c r="E282" s="22"/>
      <c r="F282" s="23"/>
      <c r="G282" s="22"/>
      <c r="H282" s="22"/>
      <c r="I282" s="23"/>
    </row>
    <row r="283" spans="1:9">
      <c r="A283" s="22"/>
      <c r="B283" s="34"/>
      <c r="C283" s="22"/>
      <c r="D283" s="22"/>
      <c r="E283" s="22"/>
      <c r="F283" s="23"/>
      <c r="G283" s="22"/>
      <c r="H283" s="22"/>
      <c r="I283" s="23"/>
    </row>
    <row r="284" spans="1:9">
      <c r="A284" s="22"/>
      <c r="B284" s="34"/>
      <c r="C284" s="22"/>
      <c r="D284" s="22"/>
      <c r="E284" s="22"/>
      <c r="F284" s="23"/>
      <c r="G284" s="22"/>
      <c r="H284" s="22"/>
      <c r="I284" s="23"/>
    </row>
    <row r="285" spans="1:9">
      <c r="A285" s="22"/>
      <c r="B285" s="34"/>
      <c r="C285" s="22"/>
      <c r="D285" s="22"/>
      <c r="E285" s="22"/>
      <c r="F285" s="23"/>
      <c r="G285" s="22"/>
      <c r="H285" s="22"/>
      <c r="I285" s="23"/>
    </row>
    <row r="286" spans="1:9">
      <c r="A286" s="22"/>
      <c r="B286" s="34"/>
      <c r="C286" s="22"/>
      <c r="D286" s="22"/>
      <c r="E286" s="22"/>
      <c r="F286" s="23"/>
      <c r="G286" s="22"/>
      <c r="H286" s="22"/>
      <c r="I286" s="23"/>
    </row>
    <row r="287" spans="1:9">
      <c r="A287" s="22"/>
      <c r="B287" s="34"/>
      <c r="C287" s="22"/>
      <c r="D287" s="22"/>
      <c r="E287" s="22"/>
      <c r="F287" s="23"/>
      <c r="G287" s="22"/>
      <c r="H287" s="22"/>
      <c r="I287" s="23"/>
    </row>
    <row r="288" spans="1:9">
      <c r="A288" s="22"/>
      <c r="B288" s="34"/>
      <c r="C288" s="22"/>
      <c r="D288" s="22"/>
      <c r="E288" s="22"/>
      <c r="F288" s="23"/>
      <c r="G288" s="22"/>
      <c r="H288" s="22"/>
      <c r="I288" s="23"/>
    </row>
    <row r="289" spans="1:9">
      <c r="A289" s="22"/>
      <c r="B289" s="34"/>
      <c r="C289" s="22"/>
      <c r="D289" s="22"/>
      <c r="E289" s="22"/>
      <c r="F289" s="23"/>
      <c r="G289" s="22"/>
      <c r="H289" s="22"/>
      <c r="I289" s="23"/>
    </row>
    <row r="290" spans="1:9">
      <c r="A290" s="22"/>
      <c r="B290" s="34"/>
      <c r="C290" s="22"/>
      <c r="D290" s="22"/>
      <c r="E290" s="22"/>
      <c r="F290" s="23"/>
      <c r="G290" s="22"/>
      <c r="H290" s="22"/>
      <c r="I290" s="23"/>
    </row>
    <row r="291" spans="1:9">
      <c r="A291" s="22"/>
      <c r="B291" s="34"/>
      <c r="C291" s="22"/>
      <c r="D291" s="22"/>
      <c r="E291" s="22"/>
      <c r="F291" s="23"/>
      <c r="G291" s="22"/>
      <c r="H291" s="22"/>
      <c r="I291" s="23"/>
    </row>
    <row r="292" spans="1:9">
      <c r="A292" s="22"/>
      <c r="B292" s="34"/>
      <c r="C292" s="22"/>
      <c r="D292" s="22"/>
      <c r="E292" s="22"/>
      <c r="F292" s="23"/>
      <c r="G292" s="22"/>
      <c r="H292" s="22"/>
      <c r="I292" s="23"/>
    </row>
    <row r="293" spans="1:9">
      <c r="A293" s="22"/>
      <c r="B293" s="34"/>
      <c r="C293" s="22"/>
      <c r="D293" s="22"/>
      <c r="E293" s="22"/>
      <c r="F293" s="23"/>
      <c r="G293" s="22"/>
      <c r="H293" s="22"/>
      <c r="I293" s="23"/>
    </row>
    <row r="294" spans="1:9">
      <c r="A294" s="22"/>
      <c r="B294" s="34"/>
      <c r="C294" s="22"/>
      <c r="D294" s="22"/>
      <c r="E294" s="22"/>
      <c r="F294" s="23"/>
      <c r="G294" s="22"/>
      <c r="H294" s="22"/>
      <c r="I294" s="23"/>
    </row>
    <row r="295" spans="1:9">
      <c r="A295" s="22"/>
      <c r="B295" s="34"/>
      <c r="C295" s="22"/>
      <c r="D295" s="22"/>
      <c r="E295" s="22"/>
      <c r="F295" s="23"/>
      <c r="G295" s="22"/>
      <c r="H295" s="22"/>
      <c r="I295" s="23"/>
    </row>
    <row r="296" spans="1:9">
      <c r="A296" s="22"/>
      <c r="B296" s="34"/>
      <c r="C296" s="22"/>
      <c r="D296" s="22"/>
      <c r="E296" s="22"/>
      <c r="F296" s="23"/>
      <c r="G296" s="22"/>
      <c r="H296" s="22"/>
      <c r="I296" s="23"/>
    </row>
    <row r="297" spans="1:9">
      <c r="A297" s="22"/>
      <c r="B297" s="34"/>
      <c r="C297" s="22"/>
      <c r="D297" s="22"/>
      <c r="E297" s="22"/>
      <c r="F297" s="23"/>
      <c r="G297" s="22"/>
      <c r="H297" s="22"/>
      <c r="I297" s="23"/>
    </row>
    <row r="298" spans="1:9">
      <c r="A298" s="22"/>
      <c r="B298" s="34"/>
      <c r="C298" s="22"/>
      <c r="D298" s="22"/>
      <c r="E298" s="22"/>
      <c r="F298" s="23"/>
      <c r="G298" s="22"/>
      <c r="H298" s="22"/>
      <c r="I298" s="23"/>
    </row>
    <row r="299" spans="1:9">
      <c r="A299" s="22"/>
      <c r="B299" s="34"/>
      <c r="C299" s="22"/>
      <c r="D299" s="22"/>
      <c r="E299" s="22"/>
      <c r="F299" s="23"/>
      <c r="G299" s="22"/>
      <c r="H299" s="22"/>
      <c r="I299" s="23"/>
    </row>
    <row r="300" spans="1:9">
      <c r="A300" s="22"/>
      <c r="B300" s="34"/>
      <c r="C300" s="22"/>
      <c r="D300" s="22"/>
      <c r="E300" s="22"/>
      <c r="F300" s="23"/>
      <c r="G300" s="22"/>
      <c r="H300" s="22"/>
      <c r="I300" s="23"/>
    </row>
    <row r="301" spans="1:9">
      <c r="A301" s="22"/>
      <c r="B301" s="34"/>
      <c r="C301" s="22"/>
      <c r="D301" s="22"/>
      <c r="E301" s="22"/>
      <c r="F301" s="23"/>
      <c r="G301" s="22"/>
      <c r="H301" s="22"/>
      <c r="I301" s="23"/>
    </row>
    <row r="302" spans="1:9">
      <c r="A302" s="22"/>
      <c r="B302" s="34"/>
      <c r="C302" s="22"/>
      <c r="D302" s="22"/>
      <c r="E302" s="22"/>
      <c r="F302" s="23"/>
      <c r="G302" s="22"/>
      <c r="H302" s="22"/>
      <c r="I302" s="23"/>
    </row>
    <row r="303" spans="1:9">
      <c r="A303" s="22"/>
      <c r="B303" s="34"/>
      <c r="C303" s="22"/>
      <c r="D303" s="22"/>
      <c r="E303" s="22"/>
      <c r="F303" s="23"/>
      <c r="G303" s="22"/>
      <c r="H303" s="22"/>
      <c r="I303" s="23"/>
    </row>
    <row r="304" spans="1:9">
      <c r="A304" s="22"/>
      <c r="B304" s="34"/>
      <c r="C304" s="22"/>
      <c r="D304" s="22"/>
      <c r="E304" s="22"/>
      <c r="F304" s="23"/>
      <c r="G304" s="22"/>
      <c r="H304" s="22"/>
      <c r="I304" s="23"/>
    </row>
    <row r="305" spans="1:9">
      <c r="A305" s="22"/>
      <c r="B305" s="34"/>
      <c r="C305" s="22"/>
      <c r="D305" s="22"/>
      <c r="E305" s="22"/>
      <c r="F305" s="23"/>
      <c r="G305" s="22"/>
      <c r="H305" s="22"/>
      <c r="I305" s="23"/>
    </row>
    <row r="306" spans="1:9">
      <c r="A306" s="22"/>
      <c r="B306" s="34"/>
      <c r="C306" s="22"/>
      <c r="D306" s="22"/>
      <c r="E306" s="22"/>
      <c r="F306" s="23"/>
      <c r="G306" s="22"/>
      <c r="H306" s="22"/>
      <c r="I306" s="23"/>
    </row>
    <row r="307" spans="1:9">
      <c r="A307" s="22"/>
      <c r="B307" s="34"/>
      <c r="C307" s="22"/>
      <c r="D307" s="22"/>
      <c r="E307" s="22"/>
      <c r="F307" s="23"/>
      <c r="G307" s="22"/>
      <c r="H307" s="22"/>
      <c r="I307" s="23"/>
    </row>
    <row r="308" spans="1:9">
      <c r="A308" s="22"/>
      <c r="B308" s="34"/>
      <c r="C308" s="22"/>
      <c r="D308" s="22"/>
      <c r="E308" s="22"/>
      <c r="F308" s="23"/>
      <c r="G308" s="22"/>
      <c r="H308" s="22"/>
      <c r="I308" s="23"/>
    </row>
    <row r="309" spans="1:9">
      <c r="A309" s="22"/>
      <c r="B309" s="34"/>
      <c r="C309" s="22"/>
      <c r="D309" s="22"/>
      <c r="E309" s="22"/>
      <c r="F309" s="23"/>
      <c r="G309" s="22"/>
      <c r="H309" s="22"/>
      <c r="I309" s="23"/>
    </row>
    <row r="310" spans="1:9">
      <c r="A310" s="22"/>
      <c r="B310" s="34"/>
      <c r="C310" s="22"/>
      <c r="D310" s="22"/>
      <c r="E310" s="22"/>
      <c r="F310" s="23"/>
      <c r="G310" s="22"/>
      <c r="H310" s="22"/>
      <c r="I310" s="23"/>
    </row>
    <row r="311" spans="1:9">
      <c r="A311" s="22"/>
      <c r="B311" s="34"/>
      <c r="C311" s="22"/>
      <c r="D311" s="22"/>
      <c r="E311" s="22"/>
      <c r="F311" s="23"/>
      <c r="G311" s="22"/>
      <c r="H311" s="22"/>
      <c r="I311" s="23"/>
    </row>
    <row r="312" spans="1:9">
      <c r="A312" s="22"/>
      <c r="B312" s="34"/>
      <c r="C312" s="22"/>
      <c r="D312" s="22"/>
      <c r="E312" s="22"/>
      <c r="F312" s="23"/>
      <c r="G312" s="22"/>
      <c r="H312" s="22"/>
      <c r="I312" s="23"/>
    </row>
    <row r="313" spans="1:9">
      <c r="A313" s="22"/>
      <c r="B313" s="34"/>
      <c r="C313" s="22"/>
      <c r="D313" s="22"/>
      <c r="E313" s="22"/>
      <c r="F313" s="23"/>
      <c r="G313" s="22"/>
      <c r="H313" s="22"/>
      <c r="I313" s="23"/>
    </row>
    <row r="314" spans="1:9">
      <c r="A314" s="22"/>
      <c r="B314" s="34"/>
      <c r="C314" s="22"/>
      <c r="D314" s="22"/>
      <c r="E314" s="22"/>
      <c r="F314" s="23"/>
      <c r="G314" s="22"/>
      <c r="H314" s="22"/>
      <c r="I314" s="23"/>
    </row>
    <row r="315" spans="1:9">
      <c r="A315" s="22"/>
      <c r="B315" s="34"/>
      <c r="C315" s="22"/>
      <c r="D315" s="22"/>
      <c r="E315" s="22"/>
      <c r="F315" s="23"/>
      <c r="G315" s="22"/>
      <c r="H315" s="22"/>
      <c r="I315" s="23"/>
    </row>
    <row r="316" spans="1:9">
      <c r="A316" s="22"/>
      <c r="B316" s="34"/>
      <c r="C316" s="22"/>
      <c r="D316" s="22"/>
      <c r="E316" s="22"/>
      <c r="F316" s="23"/>
      <c r="G316" s="22"/>
      <c r="H316" s="22"/>
      <c r="I316" s="23"/>
    </row>
    <row r="317" spans="1:9">
      <c r="A317" s="22"/>
      <c r="B317" s="34"/>
      <c r="C317" s="22"/>
      <c r="D317" s="22"/>
      <c r="E317" s="22"/>
      <c r="F317" s="23"/>
      <c r="G317" s="22"/>
      <c r="H317" s="22"/>
      <c r="I317" s="23"/>
    </row>
    <row r="318" spans="1:9">
      <c r="A318" s="22"/>
      <c r="B318" s="34"/>
      <c r="C318" s="22"/>
      <c r="D318" s="22"/>
      <c r="E318" s="22"/>
      <c r="F318" s="23"/>
      <c r="G318" s="22"/>
      <c r="H318" s="22"/>
      <c r="I318" s="23"/>
    </row>
    <row r="319" spans="1:9">
      <c r="A319" s="22"/>
      <c r="B319" s="34"/>
      <c r="C319" s="22"/>
      <c r="D319" s="22"/>
      <c r="E319" s="22"/>
      <c r="F319" s="23"/>
      <c r="G319" s="22"/>
      <c r="H319" s="22"/>
      <c r="I319" s="23"/>
    </row>
    <row r="320" spans="1:9">
      <c r="A320" s="22"/>
      <c r="B320" s="34"/>
      <c r="C320" s="22"/>
      <c r="D320" s="22"/>
      <c r="E320" s="22"/>
      <c r="F320" s="23"/>
      <c r="G320" s="22"/>
      <c r="H320" s="22"/>
      <c r="I320" s="23"/>
    </row>
    <row r="321" spans="1:9">
      <c r="A321" s="22"/>
      <c r="B321" s="34"/>
      <c r="C321" s="22"/>
      <c r="D321" s="22"/>
      <c r="E321" s="22"/>
      <c r="F321" s="23"/>
      <c r="G321" s="22"/>
      <c r="H321" s="22"/>
      <c r="I321" s="23"/>
    </row>
    <row r="322" spans="1:9">
      <c r="A322" s="22"/>
      <c r="B322" s="34"/>
      <c r="C322" s="22"/>
      <c r="D322" s="22"/>
      <c r="E322" s="22"/>
      <c r="F322" s="23"/>
      <c r="G322" s="22"/>
      <c r="H322" s="22"/>
      <c r="I322" s="23"/>
    </row>
    <row r="323" spans="1:9">
      <c r="A323" s="22"/>
      <c r="B323" s="34"/>
      <c r="C323" s="22"/>
      <c r="D323" s="22"/>
      <c r="E323" s="22"/>
      <c r="F323" s="23"/>
      <c r="G323" s="22"/>
      <c r="H323" s="22"/>
      <c r="I323" s="23"/>
    </row>
    <row r="324" spans="1:9">
      <c r="A324" s="22"/>
      <c r="B324" s="34"/>
      <c r="C324" s="22"/>
      <c r="D324" s="22"/>
      <c r="E324" s="22"/>
      <c r="F324" s="23"/>
      <c r="G324" s="22"/>
      <c r="H324" s="22"/>
      <c r="I324" s="23"/>
    </row>
    <row r="325" spans="1:9">
      <c r="A325" s="22"/>
      <c r="B325" s="34"/>
      <c r="C325" s="22"/>
      <c r="D325" s="22"/>
      <c r="E325" s="22"/>
      <c r="F325" s="23"/>
      <c r="G325" s="22"/>
      <c r="H325" s="22"/>
      <c r="I325" s="23"/>
    </row>
    <row r="326" spans="1:9">
      <c r="A326" s="22"/>
      <c r="B326" s="34"/>
      <c r="C326" s="22"/>
      <c r="D326" s="22"/>
      <c r="E326" s="22"/>
      <c r="F326" s="23"/>
      <c r="G326" s="22"/>
      <c r="H326" s="22"/>
      <c r="I326" s="23"/>
    </row>
    <row r="327" spans="1:9">
      <c r="A327" s="22"/>
      <c r="B327" s="34"/>
      <c r="C327" s="22"/>
      <c r="D327" s="22"/>
      <c r="E327" s="22"/>
      <c r="F327" s="23"/>
      <c r="G327" s="22"/>
      <c r="H327" s="22"/>
      <c r="I327" s="23"/>
    </row>
    <row r="328" spans="1:9">
      <c r="C328" s="22"/>
      <c r="D328" s="22"/>
      <c r="E328" s="22"/>
      <c r="F328" s="23"/>
      <c r="G328" s="22"/>
      <c r="H328" s="22"/>
      <c r="I328" s="23"/>
    </row>
  </sheetData>
  <mergeCells count="4">
    <mergeCell ref="G1:I1"/>
    <mergeCell ref="A1:C1"/>
    <mergeCell ref="D1:F1"/>
    <mergeCell ref="A2:B2"/>
  </mergeCells>
  <conditionalFormatting sqref="F2 I2 F4:F86 I4:I86">
    <cfRule type="cellIs" dxfId="8" priority="1" stopIfTrue="1" operator="lessThanOrEqual">
      <formula>-0.1</formula>
    </cfRule>
    <cfRule type="expression" dxfId="7" priority="2">
      <formula>AND(ISNUMBER(F2), F2&gt;=0.1)</formula>
    </cfRule>
  </conditionalFormatting>
  <hyperlinks>
    <hyperlink ref="K6" r:id="rId1" display="https://us3.assetplanner.com/service_request?ID=102524" xr:uid="{EE308916-8116-4815-BA6C-7F90CD927FE9}"/>
    <hyperlink ref="M6" r:id="rId2" display="https://us3.assetplanner.com/service_request?ID=097592" xr:uid="{1E0B4420-3661-48F4-A919-147412F49EDC}"/>
    <hyperlink ref="N6" r:id="rId3" display="https://us3.assetplanner.com/service_request?ID=097592" xr:uid="{3A6F1153-4795-4718-97BF-D363E7D49D32}"/>
    <hyperlink ref="O6" r:id="rId4" display="https://us3.assetplanner.com/service_request?ID=097592" xr:uid="{0F267ECC-116D-46AB-A9D4-6BE330F355B7}"/>
    <hyperlink ref="P6" r:id="rId5" display="https://us3.assetplanner.com/service_request?ID=103044" xr:uid="{866C415C-6D6A-42DD-AE71-CB6BC64848F9}"/>
    <hyperlink ref="Q6" r:id="rId6" display="https://us3.assetplanner.com/service_request?ID=107293" xr:uid="{6F5BBC6B-F565-4DD5-8505-FA9ED4521FF6}"/>
    <hyperlink ref="R6" r:id="rId7" display="https://us3.assetplanner.com/service_request?ID=101859" xr:uid="{90701F30-7314-4074-9CF8-8F8FE2E6A373}"/>
    <hyperlink ref="S6" r:id="rId8" display="https://us3.assetplanner.com/service_request?ID=103044" xr:uid="{CD873CFB-7B75-436C-9ED3-A01F918C4591}"/>
    <hyperlink ref="K8" r:id="rId9" display="https://us3.assetplanner.com/service_request?ID=109067" xr:uid="{7ED64C14-5FD7-44FE-8E69-63EA9F5A35A2}"/>
    <hyperlink ref="K10" r:id="rId10" display="https://us3.assetplanner.com/service_request?ID=101951" xr:uid="{1CD1137D-8EC7-4358-8339-1395A2B759B9}"/>
    <hyperlink ref="M10" r:id="rId11" display="https://us3.assetplanner.com/service_request?ID=107465" xr:uid="{83D5E607-B7F7-4881-8A0C-734A064089E0}"/>
    <hyperlink ref="N10" r:id="rId12" display="https://us3.assetplanner.com/service_request?ID=102330" xr:uid="{F8E93E34-510D-4C86-9661-5CC9441BC346}"/>
    <hyperlink ref="K12" r:id="rId13" display="https://us3.assetplanner.com/service_request?ID=106162" xr:uid="{2E3FE490-C97C-4168-917F-F95FA2480FB1}"/>
    <hyperlink ref="M12" r:id="rId14" display="https://us3.assetplanner.com/service_request?ID=107692" xr:uid="{AC0CEFD2-754F-4B8B-9995-F4BF2800A8E9}"/>
    <hyperlink ref="K14" r:id="rId15" display="https://us3.assetplanner.com/service_request?ID=109471" xr:uid="{B41606BC-B206-4062-BF79-EA53B3085973}"/>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S328"/>
  <sheetViews>
    <sheetView topLeftCell="K1" workbookViewId="0">
      <pane ySplit="2" topLeftCell="A3" activePane="bottomLeft" state="frozen"/>
      <selection pane="bottomLeft" activeCell="L1" sqref="L1:L1048576"/>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6.85546875" customWidth="1"/>
  </cols>
  <sheetData>
    <row r="1" spans="1:19" ht="19.5" customHeight="1">
      <c r="A1" s="90" t="str" cm="1">
        <f t="array" ref="A1">portfolio</f>
        <v>Pardee (ENCAP)</v>
      </c>
      <c r="B1" s="90"/>
      <c r="C1" s="90"/>
      <c r="D1" s="91" t="s">
        <v>183</v>
      </c>
      <c r="E1" s="91"/>
      <c r="F1" s="91"/>
      <c r="G1" s="89" t="s">
        <v>184</v>
      </c>
      <c r="H1" s="89"/>
      <c r="I1" s="89"/>
      <c r="J1" s="4"/>
      <c r="K1" s="4"/>
      <c r="L1" s="4"/>
    </row>
    <row r="2" spans="1:19" ht="19.5" customHeight="1">
      <c r="A2" s="92" t="s">
        <v>2</v>
      </c>
      <c r="B2" s="92"/>
      <c r="C2" s="5">
        <f>SUM(C4:C86)</f>
        <v>284924.59500000003</v>
      </c>
      <c r="D2" s="5">
        <f>SUM(D4:D86)</f>
        <v>278482.2</v>
      </c>
      <c r="E2" s="5">
        <f>C2-D2</f>
        <v>6442.3950000000186</v>
      </c>
      <c r="F2" s="6">
        <f>IFERROR(E2/D2, 0)</f>
        <v>2.3133956137950714E-2</v>
      </c>
      <c r="G2" s="5">
        <f>SUM(G4:G86)</f>
        <v>329569</v>
      </c>
      <c r="H2" s="7">
        <f>C2-G2</f>
        <v>-44644.40499999997</v>
      </c>
      <c r="I2" s="6">
        <f>IFERROR(H2/G2, 0)</f>
        <v>-0.13546299864368302</v>
      </c>
      <c r="J2" s="27" t="str">
        <f ca="1">IF(AND(TODAY()&gt;DATE(2024, 11, 1), COUNTA(Sites[Site])&lt;&gt;(COUNT(C:C)-1)), "Some sites are missing actual data; if new sites were added, make sure they are aligned correctly (including prior months!)", "")</f>
        <v/>
      </c>
      <c r="K2" s="4"/>
      <c r="L2" s="4"/>
    </row>
    <row r="3" spans="1:19" ht="14.25" customHeight="1">
      <c r="A3" s="8" t="s">
        <v>3</v>
      </c>
      <c r="B3" s="8" t="s">
        <v>4</v>
      </c>
      <c r="C3" s="24" t="s">
        <v>5</v>
      </c>
      <c r="D3" s="36" t="s">
        <v>6</v>
      </c>
      <c r="E3" s="36" t="s">
        <v>7</v>
      </c>
      <c r="F3" s="37" t="s">
        <v>8</v>
      </c>
      <c r="G3" s="38" t="s">
        <v>9</v>
      </c>
      <c r="H3" s="39" t="s">
        <v>7</v>
      </c>
      <c r="I3" s="40" t="s">
        <v>8</v>
      </c>
      <c r="J3" s="26" t="s">
        <v>20</v>
      </c>
      <c r="K3" s="26" t="s">
        <v>21</v>
      </c>
      <c r="L3" s="26" t="s">
        <v>167</v>
      </c>
    </row>
    <row r="4" spans="1:19" ht="72">
      <c r="A4" s="33" t="str" cm="1">
        <f t="array" ref="A4:A14">Sites[Site]</f>
        <v>AZ: ASU - Pardee - Discovery Hall</v>
      </c>
      <c r="B4" s="30" t="str" cm="1">
        <f t="array" ref="B4:B14">Sites[State]</f>
        <v>AZ</v>
      </c>
      <c r="C4" s="25">
        <v>5599.12</v>
      </c>
      <c r="D4" s="13">
        <v>5089.9799999999996</v>
      </c>
      <c r="E4" s="13">
        <f>IF(AND(ISNUMBER(C4),ISNUMBER(D4)), C4-D4, "")</f>
        <v>509.14000000000033</v>
      </c>
      <c r="F4" s="14">
        <f>IFERROR(E4/D4, "")</f>
        <v>0.10002789794851853</v>
      </c>
      <c r="G4" s="15">
        <v>7217</v>
      </c>
      <c r="H4" s="15">
        <f>IF(AND(ISNUMBER(C4),ISNUMBER(G4)), C4-G4, "")</f>
        <v>-1617.88</v>
      </c>
      <c r="I4" s="16">
        <f>IFERROR(H4/G4, "")</f>
        <v>-0.22417625051960649</v>
      </c>
      <c r="J4" s="17" t="s">
        <v>126</v>
      </c>
      <c r="K4" s="17"/>
      <c r="L4" s="17"/>
    </row>
    <row r="5" spans="1:19" ht="72">
      <c r="A5" s="31" t="str">
        <v>AZ: ASU - Pardee - Farrington</v>
      </c>
      <c r="B5" s="32" t="str">
        <v>AZ</v>
      </c>
      <c r="C5" s="11">
        <v>21029</v>
      </c>
      <c r="D5" s="19">
        <v>22965.599999999999</v>
      </c>
      <c r="E5" s="19">
        <f t="shared" ref="E5:E14" si="0">IF(AND(ISNUMBER(C5),ISNUMBER(D5)), C5-D5, "")</f>
        <v>-1936.5999999999985</v>
      </c>
      <c r="F5" s="20">
        <f>IFERROR(E5/D5, "")</f>
        <v>-8.4326122548507271E-2</v>
      </c>
      <c r="G5" s="21">
        <v>26570</v>
      </c>
      <c r="H5" s="21">
        <f t="shared" ref="H5:H14" si="1">IF(AND(ISNUMBER(C5),ISNUMBER(G5)), C5-G5, "")</f>
        <v>-5541</v>
      </c>
      <c r="I5" s="20">
        <f t="shared" ref="I5:I14" si="2">IFERROR(H5/G5, "")</f>
        <v>-0.20854347007903651</v>
      </c>
      <c r="J5" s="46" t="s">
        <v>126</v>
      </c>
      <c r="K5" s="46"/>
      <c r="L5" s="46"/>
    </row>
    <row r="6" spans="1:19" ht="86.45">
      <c r="A6" s="29" t="str">
        <v>AZ: ASU - Pardee - Macro Tech.</v>
      </c>
      <c r="B6" s="30" t="str">
        <v>AZ</v>
      </c>
      <c r="C6" s="25">
        <v>85004.875</v>
      </c>
      <c r="D6" s="13">
        <v>85046.8</v>
      </c>
      <c r="E6" s="13">
        <f t="shared" si="0"/>
        <v>-41.92500000000291</v>
      </c>
      <c r="F6" s="14">
        <f t="shared" ref="F6:F14" si="3">IFERROR(E6/D6, "")</f>
        <v>-4.9296387400822735E-4</v>
      </c>
      <c r="G6" s="15">
        <v>100713</v>
      </c>
      <c r="H6" s="15">
        <f t="shared" si="1"/>
        <v>-15708.125</v>
      </c>
      <c r="I6" s="16">
        <f t="shared" si="2"/>
        <v>-0.15596918967759871</v>
      </c>
      <c r="J6" s="17" t="s">
        <v>144</v>
      </c>
      <c r="K6" s="57" t="s">
        <v>168</v>
      </c>
      <c r="L6" s="17" t="s">
        <v>169</v>
      </c>
      <c r="M6" s="88" t="s">
        <v>40</v>
      </c>
      <c r="N6" s="88" t="s">
        <v>40</v>
      </c>
      <c r="O6" s="88" t="s">
        <v>40</v>
      </c>
      <c r="P6" s="88" t="s">
        <v>114</v>
      </c>
      <c r="Q6" s="88" t="s">
        <v>170</v>
      </c>
      <c r="R6" s="88" t="s">
        <v>87</v>
      </c>
      <c r="S6" s="88" t="s">
        <v>114</v>
      </c>
    </row>
    <row r="7" spans="1:19" ht="84.75" customHeight="1">
      <c r="A7" s="31" t="str">
        <v>AZ: ASU - Pardee - McCord Hall</v>
      </c>
      <c r="B7" s="32" t="str">
        <v>AZ</v>
      </c>
      <c r="C7" s="11">
        <v>7733.5</v>
      </c>
      <c r="D7" s="19">
        <v>5770.5</v>
      </c>
      <c r="E7" s="19">
        <f t="shared" si="0"/>
        <v>1963</v>
      </c>
      <c r="F7" s="20">
        <f t="shared" si="3"/>
        <v>0.34017849406463913</v>
      </c>
      <c r="G7" s="21">
        <v>9743</v>
      </c>
      <c r="H7" s="21">
        <f t="shared" si="1"/>
        <v>-2009.5</v>
      </c>
      <c r="I7" s="20">
        <f t="shared" si="2"/>
        <v>-0.20625064148619521</v>
      </c>
      <c r="J7" s="46" t="s">
        <v>126</v>
      </c>
      <c r="K7" s="18"/>
      <c r="L7" s="18"/>
    </row>
    <row r="8" spans="1:19" ht="43.15">
      <c r="A8" s="29" t="str">
        <v>AZ: NAU - SF Garage</v>
      </c>
      <c r="B8" s="30" t="str">
        <v>AZ</v>
      </c>
      <c r="C8" s="25">
        <v>46240</v>
      </c>
      <c r="D8" s="13">
        <v>48852.5</v>
      </c>
      <c r="E8" s="13">
        <f t="shared" si="0"/>
        <v>-2612.5</v>
      </c>
      <c r="F8" s="14">
        <f t="shared" si="3"/>
        <v>-5.3477304129778414E-2</v>
      </c>
      <c r="G8" s="15">
        <v>52605</v>
      </c>
      <c r="H8" s="15">
        <f t="shared" si="1"/>
        <v>-6365</v>
      </c>
      <c r="I8" s="16">
        <f t="shared" si="2"/>
        <v>-0.12099610303203118</v>
      </c>
      <c r="J8" s="17" t="s">
        <v>171</v>
      </c>
      <c r="K8" s="57" t="s">
        <v>172</v>
      </c>
      <c r="L8" s="17" t="s">
        <v>179</v>
      </c>
    </row>
    <row r="9" spans="1:19" ht="15.6">
      <c r="A9" s="31" t="str">
        <v>AZ: ASU - Pardee - Parking Lot 11</v>
      </c>
      <c r="B9" s="32" t="str">
        <v>AZ</v>
      </c>
      <c r="C9" s="11">
        <v>17058.8</v>
      </c>
      <c r="D9" s="19">
        <v>15066.3</v>
      </c>
      <c r="E9" s="19">
        <f t="shared" si="0"/>
        <v>1992.5</v>
      </c>
      <c r="F9" s="20">
        <f t="shared" si="3"/>
        <v>0.13224879366533257</v>
      </c>
      <c r="G9" s="21">
        <v>11586</v>
      </c>
      <c r="H9" s="21">
        <f t="shared" si="1"/>
        <v>5472.7999999999993</v>
      </c>
      <c r="I9" s="20">
        <f t="shared" si="2"/>
        <v>0.47236319696185047</v>
      </c>
      <c r="J9" s="10"/>
      <c r="K9" s="18"/>
      <c r="L9" s="18"/>
    </row>
    <row r="10" spans="1:19" ht="26.45">
      <c r="A10" s="29" t="str">
        <v>AZ: ASU - Pardee - Parking Lot 19</v>
      </c>
      <c r="B10" s="30" t="str">
        <v>AZ</v>
      </c>
      <c r="C10" s="25">
        <v>20777.7</v>
      </c>
      <c r="D10" s="13">
        <v>22013.13</v>
      </c>
      <c r="E10" s="13">
        <f t="shared" si="0"/>
        <v>-1235.4300000000003</v>
      </c>
      <c r="F10" s="14">
        <f t="shared" si="3"/>
        <v>-5.6122414213698832E-2</v>
      </c>
      <c r="G10" s="15">
        <v>17156</v>
      </c>
      <c r="H10" s="15">
        <f t="shared" si="1"/>
        <v>3621.7000000000007</v>
      </c>
      <c r="I10" s="16">
        <f t="shared" si="2"/>
        <v>0.21110398694334348</v>
      </c>
      <c r="J10" s="17" t="s">
        <v>174</v>
      </c>
      <c r="K10" s="57" t="s">
        <v>175</v>
      </c>
      <c r="L10" s="17" t="s">
        <v>176</v>
      </c>
      <c r="M10" s="88" t="s">
        <v>177</v>
      </c>
      <c r="N10" s="88" t="s">
        <v>100</v>
      </c>
    </row>
    <row r="11" spans="1:19" ht="15.6">
      <c r="A11" s="31" t="str">
        <v>AZ: ASU - Pardee - Parking Lot 41</v>
      </c>
      <c r="B11" s="32" t="str">
        <v>AZ</v>
      </c>
      <c r="C11" s="11">
        <v>19179.7</v>
      </c>
      <c r="D11" s="19">
        <v>18416</v>
      </c>
      <c r="E11" s="19">
        <f t="shared" si="0"/>
        <v>763.70000000000073</v>
      </c>
      <c r="F11" s="20">
        <f t="shared" si="3"/>
        <v>4.146937445699396E-2</v>
      </c>
      <c r="G11" s="21">
        <v>23796</v>
      </c>
      <c r="H11" s="21">
        <f t="shared" si="1"/>
        <v>-4616.2999999999993</v>
      </c>
      <c r="I11" s="20">
        <f t="shared" si="2"/>
        <v>-0.19399478904017478</v>
      </c>
      <c r="J11" s="46" t="s">
        <v>185</v>
      </c>
      <c r="K11" s="18"/>
      <c r="L11" s="18"/>
    </row>
    <row r="12" spans="1:19" ht="15.6">
      <c r="A12" s="29" t="str">
        <v>AZ: ASU - Pardee - Parking Lot 58</v>
      </c>
      <c r="B12" s="30" t="str">
        <v>AZ</v>
      </c>
      <c r="C12" s="25">
        <v>19050.2</v>
      </c>
      <c r="D12" s="13">
        <v>16660.009999999998</v>
      </c>
      <c r="E12" s="13">
        <f t="shared" si="0"/>
        <v>2390.1900000000023</v>
      </c>
      <c r="F12" s="14">
        <f t="shared" si="3"/>
        <v>0.14346870139933904</v>
      </c>
      <c r="G12" s="15">
        <v>27556</v>
      </c>
      <c r="H12" s="15">
        <f t="shared" si="1"/>
        <v>-8505.7999999999993</v>
      </c>
      <c r="I12" s="16">
        <f t="shared" si="2"/>
        <v>-0.30867324720569023</v>
      </c>
      <c r="J12" s="17" t="s">
        <v>186</v>
      </c>
      <c r="K12" s="17"/>
      <c r="L12" s="17"/>
    </row>
    <row r="13" spans="1:19" ht="28.9">
      <c r="A13" s="31" t="str">
        <v>AZ: ASU - Pardee - Parking Lot 59S</v>
      </c>
      <c r="B13" s="32" t="str">
        <v>AZ</v>
      </c>
      <c r="C13" s="11">
        <v>23838.7</v>
      </c>
      <c r="D13" s="19">
        <v>18203.3</v>
      </c>
      <c r="E13" s="19">
        <f t="shared" si="0"/>
        <v>5635.4000000000015</v>
      </c>
      <c r="F13" s="20">
        <f t="shared" si="3"/>
        <v>0.30958122977701852</v>
      </c>
      <c r="G13">
        <v>25194</v>
      </c>
      <c r="H13" s="21">
        <f t="shared" si="1"/>
        <v>-1355.2999999999993</v>
      </c>
      <c r="I13" s="20">
        <f t="shared" si="2"/>
        <v>-5.3794554258950515E-2</v>
      </c>
      <c r="J13" s="46" t="s">
        <v>187</v>
      </c>
      <c r="K13" s="51"/>
      <c r="L13" s="51"/>
    </row>
    <row r="14" spans="1:19" ht="28.9">
      <c r="A14" s="29" t="str">
        <v>AZ: ASU - Pardee - Sun Devil Complex</v>
      </c>
      <c r="B14" s="30" t="str">
        <v>AZ</v>
      </c>
      <c r="C14" s="25">
        <v>19413</v>
      </c>
      <c r="D14" s="13">
        <v>20398.080000000002</v>
      </c>
      <c r="E14" s="13">
        <f t="shared" si="0"/>
        <v>-985.08000000000175</v>
      </c>
      <c r="F14" s="14">
        <f t="shared" si="3"/>
        <v>-4.8292780496988034E-2</v>
      </c>
      <c r="G14" s="15">
        <v>27433</v>
      </c>
      <c r="H14" s="15">
        <f t="shared" si="1"/>
        <v>-8020</v>
      </c>
      <c r="I14" s="16">
        <f t="shared" si="2"/>
        <v>-0.2923486312105858</v>
      </c>
      <c r="J14" s="17" t="s">
        <v>188</v>
      </c>
      <c r="K14" s="57" t="s">
        <v>189</v>
      </c>
      <c r="L14" s="17" t="s">
        <v>179</v>
      </c>
    </row>
    <row r="15" spans="1:19" ht="14.45">
      <c r="A15" s="22"/>
      <c r="B15" s="34"/>
      <c r="C15" s="22"/>
      <c r="D15" s="22"/>
      <c r="E15" s="22"/>
      <c r="F15" s="22"/>
      <c r="G15" s="22"/>
      <c r="H15" s="22"/>
      <c r="I15" s="22"/>
      <c r="J15" s="22"/>
      <c r="K15" s="22"/>
      <c r="L15" s="22"/>
    </row>
    <row r="16" spans="1:19" ht="14.45">
      <c r="A16" s="22"/>
      <c r="B16" s="34"/>
      <c r="C16" s="22"/>
      <c r="D16" s="22"/>
      <c r="E16" s="22"/>
      <c r="F16" s="22"/>
      <c r="G16" s="22"/>
      <c r="H16" s="22"/>
      <c r="I16" s="22"/>
      <c r="J16" s="22"/>
      <c r="K16" s="22"/>
      <c r="L16" s="22"/>
    </row>
    <row r="17" spans="1:12" ht="14.45">
      <c r="A17" s="22"/>
      <c r="B17" s="34"/>
      <c r="C17" s="22"/>
      <c r="D17" s="22"/>
      <c r="E17" s="22"/>
      <c r="F17" s="22"/>
      <c r="G17" s="22"/>
      <c r="H17" s="22"/>
      <c r="I17" s="22"/>
      <c r="J17" s="22"/>
      <c r="K17" s="22"/>
      <c r="L17" s="22"/>
    </row>
    <row r="18" spans="1:12" ht="14.45">
      <c r="A18" s="22"/>
      <c r="B18" s="34"/>
      <c r="C18" s="22"/>
      <c r="D18" s="22"/>
      <c r="E18" s="22"/>
      <c r="F18" s="22"/>
      <c r="G18" s="22"/>
      <c r="H18" s="22"/>
      <c r="I18" s="22"/>
      <c r="J18" s="22"/>
      <c r="K18" s="22"/>
      <c r="L18" s="22"/>
    </row>
    <row r="19" spans="1:12" ht="14.45">
      <c r="A19" s="22"/>
      <c r="B19" s="34"/>
      <c r="C19" s="22"/>
      <c r="D19" s="22"/>
      <c r="E19" s="22"/>
      <c r="F19" s="23"/>
      <c r="G19" s="22"/>
      <c r="H19" s="22"/>
      <c r="I19" s="23"/>
      <c r="J19" s="22"/>
      <c r="K19" s="22"/>
      <c r="L19" s="22"/>
    </row>
    <row r="20" spans="1:12" ht="14.45">
      <c r="A20" s="22"/>
      <c r="B20" s="34"/>
      <c r="C20" s="22"/>
      <c r="D20" s="22"/>
      <c r="E20" s="22"/>
      <c r="F20" s="23"/>
      <c r="G20" s="22"/>
      <c r="H20" s="22"/>
      <c r="I20" s="23"/>
      <c r="J20" s="22"/>
      <c r="K20" s="22"/>
      <c r="L20" s="22"/>
    </row>
    <row r="21" spans="1:12" ht="14.45">
      <c r="A21" s="22"/>
      <c r="B21" s="34"/>
      <c r="C21" s="22"/>
      <c r="D21" s="22"/>
      <c r="E21" s="22"/>
      <c r="F21" s="23"/>
      <c r="G21" s="22"/>
      <c r="H21" s="22"/>
      <c r="I21" s="23"/>
      <c r="J21" s="22"/>
      <c r="K21" s="22"/>
      <c r="L21" s="22"/>
    </row>
    <row r="22" spans="1:12" ht="14.45">
      <c r="A22" s="22"/>
      <c r="B22" s="34"/>
      <c r="C22" s="22"/>
      <c r="D22" s="22"/>
      <c r="E22" s="22"/>
      <c r="F22" s="23"/>
      <c r="G22" s="22"/>
      <c r="H22" s="22"/>
      <c r="I22" s="23"/>
      <c r="J22" s="22"/>
      <c r="K22" s="22"/>
      <c r="L22" s="22"/>
    </row>
    <row r="23" spans="1:12" ht="14.45">
      <c r="A23" s="22"/>
      <c r="B23" s="34"/>
      <c r="C23" s="22"/>
      <c r="D23" s="22"/>
      <c r="E23" s="22"/>
      <c r="F23" s="23"/>
      <c r="G23" s="22"/>
      <c r="H23" s="22"/>
      <c r="I23" s="23"/>
      <c r="J23" s="22"/>
      <c r="K23" s="22"/>
      <c r="L23" s="22"/>
    </row>
    <row r="24" spans="1:12" ht="14.45">
      <c r="A24" s="22"/>
      <c r="B24" s="34"/>
      <c r="C24" s="22"/>
      <c r="D24" s="22"/>
      <c r="E24" s="22"/>
      <c r="F24" s="23"/>
      <c r="G24" s="22"/>
      <c r="H24" s="22"/>
      <c r="I24" s="23"/>
      <c r="J24" s="22"/>
      <c r="K24" s="22"/>
      <c r="L24" s="22"/>
    </row>
    <row r="25" spans="1:12" ht="14.45">
      <c r="A25" s="22"/>
      <c r="B25" s="34"/>
      <c r="C25" s="22"/>
      <c r="D25" s="22"/>
      <c r="E25" s="22"/>
      <c r="F25" s="23"/>
      <c r="G25" s="22"/>
      <c r="H25" s="22"/>
      <c r="I25" s="23"/>
      <c r="J25" s="22"/>
      <c r="K25" s="22"/>
      <c r="L25" s="22"/>
    </row>
    <row r="26" spans="1:12" ht="14.45">
      <c r="A26" s="22"/>
      <c r="B26" s="34"/>
      <c r="C26" s="22"/>
      <c r="D26" s="22"/>
      <c r="E26" s="22"/>
      <c r="F26" s="23"/>
      <c r="G26" s="22"/>
      <c r="H26" s="22"/>
      <c r="I26" s="23"/>
      <c r="J26" s="22"/>
      <c r="K26" s="22"/>
      <c r="L26" s="22"/>
    </row>
    <row r="27" spans="1:12" ht="14.45">
      <c r="A27" s="22"/>
      <c r="B27" s="34"/>
      <c r="C27" s="22"/>
      <c r="D27" s="22"/>
      <c r="E27" s="22"/>
      <c r="F27" s="23"/>
      <c r="G27" s="22"/>
      <c r="H27" s="22"/>
      <c r="I27" s="23"/>
      <c r="J27" s="22"/>
      <c r="K27" s="22"/>
      <c r="L27" s="22"/>
    </row>
    <row r="28" spans="1:12" ht="14.45">
      <c r="A28" s="22"/>
      <c r="B28" s="34"/>
      <c r="C28" s="22"/>
      <c r="D28" s="22"/>
      <c r="E28" s="22"/>
      <c r="F28" s="23"/>
      <c r="G28" s="22"/>
      <c r="H28" s="22"/>
      <c r="I28" s="23"/>
      <c r="J28" s="22"/>
      <c r="K28" s="22"/>
      <c r="L28" s="22"/>
    </row>
    <row r="29" spans="1:12" ht="14.45">
      <c r="A29" s="22"/>
      <c r="B29" s="34"/>
      <c r="C29" s="22"/>
      <c r="D29" s="22"/>
      <c r="E29" s="22"/>
      <c r="F29" s="23"/>
      <c r="G29" s="22"/>
      <c r="H29" s="22"/>
      <c r="I29" s="23"/>
      <c r="J29" s="22"/>
      <c r="K29" s="22"/>
      <c r="L29" s="22"/>
    </row>
    <row r="30" spans="1:12" ht="14.45">
      <c r="A30" s="22"/>
      <c r="B30" s="34"/>
      <c r="C30" s="22"/>
      <c r="D30" s="22"/>
      <c r="E30" s="22"/>
      <c r="F30" s="23"/>
      <c r="G30" s="22"/>
      <c r="H30" s="22"/>
      <c r="I30" s="23"/>
      <c r="J30" s="22"/>
      <c r="K30" s="22"/>
      <c r="L30" s="22"/>
    </row>
    <row r="31" spans="1:12" ht="14.45">
      <c r="A31" s="22"/>
      <c r="B31" s="34"/>
      <c r="C31" s="22"/>
      <c r="D31" s="22"/>
      <c r="E31" s="22"/>
      <c r="F31" s="23"/>
      <c r="G31" s="22"/>
      <c r="H31" s="22"/>
      <c r="I31" s="23"/>
      <c r="J31" s="22"/>
      <c r="K31" s="22"/>
      <c r="L31" s="22"/>
    </row>
    <row r="32" spans="1:12" ht="14.45">
      <c r="A32" s="22"/>
      <c r="B32" s="34"/>
      <c r="C32" s="22"/>
      <c r="D32" s="22"/>
      <c r="E32" s="22"/>
      <c r="F32" s="23"/>
      <c r="G32" s="22"/>
      <c r="H32" s="22"/>
      <c r="I32" s="23"/>
      <c r="J32" s="22"/>
      <c r="K32" s="22"/>
      <c r="L32" s="22"/>
    </row>
    <row r="33" spans="1:12" ht="14.45">
      <c r="A33" s="22"/>
      <c r="B33" s="34"/>
      <c r="C33" s="22"/>
      <c r="D33" s="22"/>
      <c r="E33" s="22"/>
      <c r="F33" s="23"/>
      <c r="G33" s="22"/>
      <c r="H33" s="22"/>
      <c r="I33" s="23"/>
      <c r="J33" s="22"/>
      <c r="K33" s="22"/>
      <c r="L33" s="22"/>
    </row>
    <row r="34" spans="1:12" ht="14.45">
      <c r="A34" s="22"/>
      <c r="B34" s="34"/>
      <c r="C34" s="22"/>
      <c r="D34" s="22"/>
      <c r="E34" s="22"/>
      <c r="F34" s="23"/>
      <c r="G34" s="22"/>
      <c r="H34" s="22"/>
      <c r="I34" s="23"/>
      <c r="J34" s="22"/>
      <c r="K34" s="22"/>
      <c r="L34" s="22"/>
    </row>
    <row r="35" spans="1:12" ht="14.45">
      <c r="A35" s="22"/>
      <c r="B35" s="34"/>
      <c r="C35" s="22"/>
      <c r="D35" s="22"/>
      <c r="E35" s="22"/>
      <c r="F35" s="23"/>
      <c r="G35" s="22"/>
      <c r="H35" s="22"/>
      <c r="I35" s="23"/>
      <c r="J35" s="22"/>
      <c r="K35" s="22"/>
      <c r="L35" s="22"/>
    </row>
    <row r="36" spans="1:12" ht="14.45">
      <c r="A36" s="22"/>
      <c r="B36" s="34"/>
      <c r="C36" s="22"/>
      <c r="D36" s="22"/>
      <c r="E36" s="22"/>
      <c r="F36" s="23"/>
      <c r="G36" s="22"/>
      <c r="H36" s="22"/>
      <c r="I36" s="23"/>
      <c r="J36" s="22"/>
      <c r="K36" s="22"/>
      <c r="L36" s="22"/>
    </row>
    <row r="37" spans="1:12" ht="14.45">
      <c r="A37" s="22"/>
      <c r="B37" s="34"/>
      <c r="C37" s="22"/>
      <c r="D37" s="22"/>
      <c r="E37" s="22"/>
      <c r="F37" s="23"/>
      <c r="G37" s="22"/>
      <c r="H37" s="22"/>
      <c r="I37" s="23"/>
      <c r="J37" s="22"/>
      <c r="K37" s="22"/>
      <c r="L37" s="22"/>
    </row>
    <row r="38" spans="1:12" ht="14.45">
      <c r="A38" s="22"/>
      <c r="B38" s="34"/>
      <c r="C38" s="22"/>
      <c r="D38" s="22"/>
      <c r="E38" s="22"/>
      <c r="F38" s="23"/>
      <c r="G38" s="22"/>
      <c r="H38" s="22"/>
      <c r="I38" s="23"/>
      <c r="J38" s="22"/>
      <c r="K38" s="22"/>
      <c r="L38" s="22"/>
    </row>
    <row r="39" spans="1:12" ht="14.45">
      <c r="A39" s="22"/>
      <c r="B39" s="34"/>
      <c r="C39" s="22"/>
      <c r="D39" s="22"/>
      <c r="E39" s="22"/>
      <c r="F39" s="23"/>
      <c r="G39" s="22"/>
      <c r="H39" s="22"/>
      <c r="I39" s="23"/>
      <c r="J39" s="22"/>
      <c r="K39" s="22"/>
      <c r="L39" s="22"/>
    </row>
    <row r="40" spans="1:12" ht="14.45">
      <c r="A40" s="22"/>
      <c r="B40" s="34"/>
      <c r="C40" s="22"/>
      <c r="D40" s="22"/>
      <c r="E40" s="22"/>
      <c r="F40" s="23"/>
      <c r="G40" s="22"/>
      <c r="H40" s="22"/>
      <c r="I40" s="23"/>
      <c r="J40" s="22"/>
      <c r="K40" s="22"/>
      <c r="L40" s="22"/>
    </row>
    <row r="41" spans="1:12" ht="14.45">
      <c r="A41" s="22"/>
      <c r="B41" s="34"/>
      <c r="C41" s="22"/>
      <c r="D41" s="22"/>
      <c r="E41" s="22"/>
      <c r="F41" s="23"/>
      <c r="G41" s="22"/>
      <c r="H41" s="22"/>
      <c r="I41" s="23"/>
      <c r="J41" s="22"/>
      <c r="K41" s="22"/>
      <c r="L41" s="22"/>
    </row>
    <row r="42" spans="1:12" ht="14.45">
      <c r="A42" s="22"/>
      <c r="B42" s="34"/>
      <c r="C42" s="22"/>
      <c r="D42" s="22"/>
      <c r="E42" s="22"/>
      <c r="F42" s="23"/>
      <c r="G42" s="22"/>
      <c r="H42" s="22"/>
      <c r="I42" s="23"/>
      <c r="J42" s="22"/>
      <c r="K42" s="22"/>
      <c r="L42" s="22"/>
    </row>
    <row r="43" spans="1:12" ht="14.45">
      <c r="A43" s="22"/>
      <c r="B43" s="34"/>
      <c r="C43" s="22"/>
      <c r="D43" s="22"/>
      <c r="E43" s="22"/>
      <c r="F43" s="23"/>
      <c r="G43" s="22"/>
      <c r="H43" s="22"/>
      <c r="I43" s="23"/>
      <c r="J43" s="22"/>
      <c r="K43" s="22"/>
      <c r="L43" s="22"/>
    </row>
    <row r="44" spans="1:12" ht="14.45">
      <c r="A44" s="22"/>
      <c r="B44" s="34"/>
      <c r="C44" s="22"/>
      <c r="D44" s="22"/>
      <c r="E44" s="22"/>
      <c r="F44" s="23"/>
      <c r="G44" s="22"/>
      <c r="H44" s="22"/>
      <c r="I44" s="23"/>
      <c r="J44" s="22"/>
      <c r="K44" s="22"/>
      <c r="L44" s="22"/>
    </row>
    <row r="45" spans="1:12" ht="14.45">
      <c r="A45" s="22"/>
      <c r="B45" s="34"/>
      <c r="C45" s="22"/>
      <c r="D45" s="22"/>
      <c r="E45" s="22"/>
      <c r="F45" s="23"/>
      <c r="G45" s="22"/>
      <c r="H45" s="22"/>
      <c r="I45" s="23"/>
      <c r="J45" s="22"/>
      <c r="K45" s="22"/>
      <c r="L45" s="22"/>
    </row>
    <row r="46" spans="1:12" ht="14.45">
      <c r="A46" s="22"/>
      <c r="B46" s="34"/>
      <c r="C46" s="22"/>
      <c r="D46" s="22"/>
      <c r="E46" s="22"/>
      <c r="F46" s="23"/>
      <c r="G46" s="22"/>
      <c r="H46" s="22"/>
      <c r="I46" s="23"/>
      <c r="J46" s="22"/>
      <c r="K46" s="22"/>
      <c r="L46" s="22"/>
    </row>
    <row r="47" spans="1:12" ht="14.45">
      <c r="A47" s="22"/>
      <c r="B47" s="34"/>
      <c r="C47" s="22"/>
      <c r="D47" s="22"/>
      <c r="E47" s="22"/>
      <c r="F47" s="23"/>
      <c r="G47" s="22"/>
      <c r="H47" s="22"/>
      <c r="I47" s="23"/>
      <c r="J47" s="22"/>
      <c r="K47" s="22"/>
      <c r="L47" s="22"/>
    </row>
    <row r="48" spans="1:12" ht="14.45">
      <c r="A48" s="22"/>
      <c r="B48" s="34"/>
      <c r="C48" s="22"/>
      <c r="D48" s="22"/>
      <c r="E48" s="22"/>
      <c r="F48" s="23"/>
      <c r="G48" s="22"/>
      <c r="H48" s="22"/>
      <c r="I48" s="23"/>
      <c r="J48" s="22"/>
      <c r="K48" s="22"/>
      <c r="L48" s="22"/>
    </row>
    <row r="49" spans="1:12" ht="14.45">
      <c r="A49" s="22"/>
      <c r="B49" s="34"/>
      <c r="C49" s="22"/>
      <c r="D49" s="22"/>
      <c r="E49" s="22"/>
      <c r="F49" s="23"/>
      <c r="G49" s="22"/>
      <c r="H49" s="22"/>
      <c r="I49" s="23"/>
      <c r="J49" s="22"/>
      <c r="K49" s="22"/>
      <c r="L49" s="22"/>
    </row>
    <row r="50" spans="1:12" ht="14.45">
      <c r="A50" s="22"/>
      <c r="B50" s="34"/>
      <c r="C50" s="22"/>
      <c r="D50" s="22"/>
      <c r="E50" s="22"/>
      <c r="F50" s="23"/>
      <c r="G50" s="22"/>
      <c r="H50" s="22"/>
      <c r="I50" s="23"/>
      <c r="J50" s="22"/>
      <c r="K50" s="22"/>
      <c r="L50" s="22"/>
    </row>
    <row r="51" spans="1:12" ht="14.45">
      <c r="A51" s="22"/>
      <c r="B51" s="34"/>
      <c r="C51" s="22"/>
      <c r="D51" s="22"/>
      <c r="E51" s="22"/>
      <c r="F51" s="23"/>
      <c r="G51" s="22"/>
      <c r="H51" s="22"/>
      <c r="I51" s="23"/>
      <c r="J51" s="22"/>
      <c r="K51" s="22"/>
      <c r="L51" s="22"/>
    </row>
    <row r="52" spans="1:12" ht="14.45">
      <c r="A52" s="22"/>
      <c r="B52" s="34"/>
      <c r="C52" s="22"/>
      <c r="D52" s="22"/>
      <c r="E52" s="22"/>
      <c r="F52" s="23"/>
      <c r="G52" s="22"/>
      <c r="H52" s="22"/>
      <c r="I52" s="23"/>
      <c r="J52" s="22"/>
      <c r="K52" s="22"/>
      <c r="L52" s="22"/>
    </row>
    <row r="53" spans="1:12" ht="14.45">
      <c r="A53" s="22"/>
      <c r="B53" s="34"/>
      <c r="C53" s="22"/>
      <c r="D53" s="22"/>
      <c r="E53" s="22"/>
      <c r="F53" s="23"/>
      <c r="G53" s="22"/>
      <c r="H53" s="22"/>
      <c r="I53" s="23"/>
      <c r="J53" s="22"/>
      <c r="K53" s="22"/>
      <c r="L53" s="22"/>
    </row>
    <row r="54" spans="1:12" ht="14.45">
      <c r="A54" s="22"/>
      <c r="B54" s="34"/>
      <c r="C54" s="22"/>
      <c r="D54" s="22"/>
      <c r="E54" s="22"/>
      <c r="F54" s="23"/>
      <c r="G54" s="22"/>
      <c r="H54" s="22"/>
      <c r="I54" s="23"/>
      <c r="J54" s="22"/>
      <c r="K54" s="22"/>
      <c r="L54" s="22"/>
    </row>
    <row r="55" spans="1:12" ht="14.45">
      <c r="A55" s="22"/>
      <c r="B55" s="34"/>
      <c r="C55" s="22"/>
      <c r="D55" s="22"/>
      <c r="E55" s="22"/>
      <c r="F55" s="23"/>
      <c r="G55" s="22"/>
      <c r="H55" s="22"/>
      <c r="I55" s="23"/>
      <c r="J55" s="22"/>
      <c r="K55" s="22"/>
      <c r="L55" s="22"/>
    </row>
    <row r="56" spans="1:12" ht="14.45">
      <c r="A56" s="22"/>
      <c r="B56" s="34"/>
      <c r="C56" s="22"/>
      <c r="D56" s="22"/>
      <c r="E56" s="22"/>
      <c r="F56" s="23"/>
      <c r="G56" s="22"/>
      <c r="H56" s="22"/>
      <c r="I56" s="23"/>
      <c r="J56" s="22"/>
      <c r="K56" s="22"/>
      <c r="L56" s="22"/>
    </row>
    <row r="57" spans="1:12" ht="14.45">
      <c r="A57" s="22"/>
      <c r="B57" s="34"/>
      <c r="C57" s="22"/>
      <c r="D57" s="22"/>
      <c r="E57" s="22"/>
      <c r="F57" s="23"/>
      <c r="G57" s="22"/>
      <c r="H57" s="22"/>
      <c r="I57" s="23"/>
      <c r="J57" s="22"/>
      <c r="K57" s="22"/>
      <c r="L57" s="22"/>
    </row>
    <row r="58" spans="1:12" ht="14.45">
      <c r="A58" s="22"/>
      <c r="B58" s="34"/>
      <c r="C58" s="22"/>
      <c r="D58" s="22"/>
      <c r="E58" s="22"/>
      <c r="F58" s="23"/>
      <c r="G58" s="22"/>
      <c r="H58" s="22"/>
      <c r="I58" s="23"/>
      <c r="J58" s="22"/>
      <c r="K58" s="22"/>
      <c r="L58" s="22"/>
    </row>
    <row r="59" spans="1:12" ht="14.45">
      <c r="A59" s="22"/>
      <c r="B59" s="34"/>
      <c r="C59" s="22"/>
      <c r="D59" s="22"/>
      <c r="E59" s="22"/>
      <c r="F59" s="23"/>
      <c r="G59" s="22"/>
      <c r="H59" s="22"/>
      <c r="I59" s="23"/>
      <c r="J59" s="22"/>
      <c r="K59" s="22"/>
      <c r="L59" s="22"/>
    </row>
    <row r="60" spans="1:12" ht="14.45">
      <c r="A60" s="22"/>
      <c r="B60" s="34"/>
      <c r="C60" s="22"/>
      <c r="D60" s="22"/>
      <c r="E60" s="22"/>
      <c r="F60" s="23"/>
      <c r="G60" s="22"/>
      <c r="H60" s="22"/>
      <c r="I60" s="23"/>
      <c r="J60" s="22"/>
      <c r="K60" s="22"/>
      <c r="L60" s="22"/>
    </row>
    <row r="61" spans="1:12" ht="14.45">
      <c r="A61" s="22"/>
      <c r="B61" s="34"/>
      <c r="C61" s="22"/>
      <c r="D61" s="22"/>
      <c r="E61" s="22"/>
      <c r="F61" s="23"/>
      <c r="G61" s="22"/>
      <c r="H61" s="22"/>
      <c r="I61" s="23"/>
      <c r="J61" s="22"/>
      <c r="K61" s="22"/>
      <c r="L61" s="22"/>
    </row>
    <row r="62" spans="1:12" ht="14.45">
      <c r="A62" s="22"/>
      <c r="B62" s="34"/>
      <c r="C62" s="22"/>
      <c r="D62" s="22"/>
      <c r="E62" s="22"/>
      <c r="F62" s="23"/>
      <c r="G62" s="22"/>
      <c r="H62" s="22"/>
      <c r="I62" s="23"/>
      <c r="J62" s="22"/>
      <c r="K62" s="22"/>
      <c r="L62" s="22"/>
    </row>
    <row r="63" spans="1:12" ht="14.45">
      <c r="A63" s="22"/>
      <c r="B63" s="34"/>
      <c r="C63" s="22"/>
      <c r="D63" s="22"/>
      <c r="E63" s="22"/>
      <c r="F63" s="23"/>
      <c r="G63" s="22"/>
      <c r="H63" s="22"/>
      <c r="I63" s="23"/>
      <c r="J63" s="22"/>
      <c r="K63" s="22"/>
      <c r="L63" s="22"/>
    </row>
    <row r="64" spans="1:12" ht="14.45">
      <c r="A64" s="22"/>
      <c r="B64" s="34"/>
      <c r="C64" s="22"/>
      <c r="D64" s="22"/>
      <c r="E64" s="22"/>
      <c r="F64" s="23"/>
      <c r="G64" s="22"/>
      <c r="H64" s="22"/>
      <c r="I64" s="23"/>
      <c r="J64" s="22"/>
      <c r="K64" s="22"/>
      <c r="L64" s="22"/>
    </row>
    <row r="65" spans="1:12" ht="14.45">
      <c r="A65" s="22"/>
      <c r="B65" s="34"/>
      <c r="C65" s="22"/>
      <c r="D65" s="22"/>
      <c r="E65" s="22"/>
      <c r="F65" s="23"/>
      <c r="G65" s="22"/>
      <c r="H65" s="22"/>
      <c r="I65" s="23"/>
      <c r="J65" s="22"/>
      <c r="K65" s="22"/>
      <c r="L65" s="22"/>
    </row>
    <row r="66" spans="1:12" ht="14.45">
      <c r="A66" s="22"/>
      <c r="B66" s="34"/>
      <c r="C66" s="22"/>
      <c r="D66" s="22"/>
      <c r="E66" s="22"/>
      <c r="F66" s="23"/>
      <c r="G66" s="22"/>
      <c r="H66" s="22"/>
      <c r="I66" s="23"/>
      <c r="J66" s="22"/>
      <c r="K66" s="22"/>
      <c r="L66" s="22"/>
    </row>
    <row r="67" spans="1:12" ht="14.45">
      <c r="A67" s="22"/>
      <c r="B67" s="34"/>
      <c r="C67" s="22"/>
      <c r="D67" s="22"/>
      <c r="E67" s="22"/>
      <c r="F67" s="23"/>
      <c r="G67" s="22"/>
      <c r="H67" s="22"/>
      <c r="I67" s="23"/>
      <c r="J67" s="22"/>
      <c r="K67" s="22"/>
      <c r="L67" s="22"/>
    </row>
    <row r="68" spans="1:12" ht="14.45">
      <c r="A68" s="22"/>
      <c r="B68" s="34"/>
      <c r="C68" s="22"/>
      <c r="D68" s="22"/>
      <c r="E68" s="22"/>
      <c r="F68" s="23"/>
      <c r="G68" s="22"/>
      <c r="H68" s="22"/>
      <c r="I68" s="23"/>
      <c r="J68" s="22"/>
      <c r="K68" s="22"/>
      <c r="L68" s="22"/>
    </row>
    <row r="69" spans="1:12" ht="14.45">
      <c r="A69" s="22"/>
      <c r="B69" s="34"/>
      <c r="C69" s="22"/>
      <c r="D69" s="22"/>
      <c r="E69" s="22"/>
      <c r="F69" s="23"/>
      <c r="G69" s="22"/>
      <c r="H69" s="22"/>
      <c r="I69" s="23"/>
      <c r="J69" s="22"/>
      <c r="K69" s="22"/>
      <c r="L69" s="22"/>
    </row>
    <row r="70" spans="1:12" ht="14.45">
      <c r="A70" s="22"/>
      <c r="B70" s="34"/>
      <c r="C70" s="22"/>
      <c r="D70" s="22"/>
      <c r="E70" s="22"/>
      <c r="F70" s="23"/>
      <c r="G70" s="22"/>
      <c r="H70" s="22"/>
      <c r="I70" s="23"/>
      <c r="J70" s="22"/>
      <c r="K70" s="22"/>
      <c r="L70" s="22"/>
    </row>
    <row r="71" spans="1:12" ht="14.45">
      <c r="A71" s="22"/>
      <c r="B71" s="34"/>
      <c r="C71" s="22"/>
      <c r="D71" s="22"/>
      <c r="E71" s="22"/>
      <c r="F71" s="23"/>
      <c r="G71" s="22"/>
      <c r="H71" s="22"/>
      <c r="I71" s="23"/>
      <c r="J71" s="22"/>
      <c r="K71" s="22"/>
      <c r="L71" s="22"/>
    </row>
    <row r="72" spans="1:12" ht="14.45">
      <c r="A72" s="22"/>
      <c r="B72" s="34"/>
      <c r="C72" s="22"/>
      <c r="D72" s="22"/>
      <c r="E72" s="22"/>
      <c r="F72" s="23"/>
      <c r="G72" s="22"/>
      <c r="H72" s="22"/>
      <c r="I72" s="23"/>
      <c r="J72" s="22"/>
      <c r="K72" s="22"/>
      <c r="L72" s="22"/>
    </row>
    <row r="73" spans="1:12" ht="14.45">
      <c r="A73" s="22"/>
      <c r="B73" s="34"/>
      <c r="C73" s="22"/>
      <c r="D73" s="22"/>
      <c r="E73" s="22"/>
      <c r="F73" s="23"/>
      <c r="G73" s="22"/>
      <c r="H73" s="22"/>
      <c r="I73" s="23"/>
      <c r="J73" s="22"/>
      <c r="K73" s="22"/>
      <c r="L73" s="22"/>
    </row>
    <row r="74" spans="1:12" ht="14.45">
      <c r="A74" s="22"/>
      <c r="B74" s="34"/>
      <c r="C74" s="22"/>
      <c r="D74" s="22"/>
      <c r="E74" s="22"/>
      <c r="F74" s="23"/>
      <c r="G74" s="22"/>
      <c r="H74" s="22"/>
      <c r="I74" s="23"/>
      <c r="J74" s="22"/>
      <c r="K74" s="22"/>
      <c r="L74" s="22"/>
    </row>
    <row r="75" spans="1:12" ht="14.45">
      <c r="A75" s="22"/>
      <c r="B75" s="34"/>
      <c r="C75" s="22"/>
      <c r="D75" s="22"/>
      <c r="E75" s="22"/>
      <c r="F75" s="23"/>
      <c r="G75" s="22"/>
      <c r="H75" s="22"/>
      <c r="I75" s="23"/>
      <c r="J75" s="22"/>
      <c r="K75" s="22"/>
      <c r="L75" s="22"/>
    </row>
    <row r="76" spans="1:12" ht="14.45">
      <c r="A76" s="22"/>
      <c r="B76" s="34"/>
      <c r="C76" s="22"/>
      <c r="D76" s="22"/>
      <c r="E76" s="22"/>
      <c r="F76" s="23"/>
      <c r="G76" s="22"/>
      <c r="H76" s="22"/>
      <c r="I76" s="23"/>
      <c r="J76" s="22"/>
      <c r="K76" s="22"/>
      <c r="L76" s="22"/>
    </row>
    <row r="77" spans="1:12" ht="14.45">
      <c r="A77" s="22"/>
      <c r="B77" s="34"/>
      <c r="C77" s="22"/>
      <c r="D77" s="22"/>
      <c r="E77" s="22"/>
      <c r="F77" s="23"/>
      <c r="G77" s="22"/>
      <c r="H77" s="22"/>
      <c r="I77" s="23"/>
      <c r="J77" s="22"/>
      <c r="K77" s="22"/>
      <c r="L77" s="22"/>
    </row>
    <row r="78" spans="1:12" ht="14.45">
      <c r="A78" s="22"/>
      <c r="B78" s="34"/>
      <c r="C78" s="22"/>
      <c r="D78" s="22"/>
      <c r="E78" s="22"/>
      <c r="F78" s="23"/>
      <c r="G78" s="22"/>
      <c r="H78" s="22"/>
      <c r="I78" s="23"/>
      <c r="J78" s="22"/>
      <c r="K78" s="22"/>
      <c r="L78" s="22"/>
    </row>
    <row r="79" spans="1:12" ht="14.45">
      <c r="A79" s="22"/>
      <c r="B79" s="34"/>
      <c r="C79" s="22"/>
      <c r="D79" s="22"/>
      <c r="E79" s="22"/>
      <c r="F79" s="23"/>
      <c r="G79" s="22"/>
      <c r="H79" s="22"/>
      <c r="I79" s="23"/>
      <c r="J79" s="22"/>
      <c r="K79" s="22"/>
      <c r="L79" s="22"/>
    </row>
    <row r="80" spans="1:12" ht="14.45">
      <c r="A80" s="22"/>
      <c r="B80" s="34"/>
      <c r="C80" s="22"/>
      <c r="D80" s="22"/>
      <c r="E80" s="22"/>
      <c r="F80" s="23"/>
      <c r="G80" s="22"/>
      <c r="H80" s="22"/>
      <c r="I80" s="23"/>
      <c r="J80" s="22"/>
      <c r="K80" s="22"/>
      <c r="L80" s="22"/>
    </row>
    <row r="81" spans="1:12" ht="14.45">
      <c r="A81" s="22"/>
      <c r="B81" s="34"/>
      <c r="C81" s="22"/>
      <c r="D81" s="22"/>
      <c r="E81" s="22"/>
      <c r="F81" s="23"/>
      <c r="G81" s="22"/>
      <c r="H81" s="22"/>
      <c r="I81" s="23"/>
      <c r="J81" s="22"/>
      <c r="K81" s="22"/>
      <c r="L81" s="22"/>
    </row>
    <row r="82" spans="1:12" ht="14.45">
      <c r="A82" s="22"/>
      <c r="B82" s="34"/>
      <c r="C82" s="22"/>
      <c r="D82" s="22"/>
      <c r="E82" s="22"/>
      <c r="F82" s="23"/>
      <c r="G82" s="22"/>
      <c r="H82" s="22"/>
      <c r="I82" s="23"/>
      <c r="J82" s="22"/>
      <c r="K82" s="22"/>
      <c r="L82" s="22"/>
    </row>
    <row r="83" spans="1:12" ht="14.45">
      <c r="A83" s="22"/>
      <c r="B83" s="34"/>
      <c r="C83" s="22"/>
      <c r="D83" s="22"/>
      <c r="E83" s="22"/>
      <c r="F83" s="23"/>
      <c r="G83" s="22"/>
      <c r="H83" s="22"/>
      <c r="I83" s="23"/>
      <c r="J83" s="22"/>
      <c r="K83" s="22"/>
      <c r="L83" s="22"/>
    </row>
    <row r="84" spans="1:12" ht="14.45">
      <c r="A84" s="22"/>
      <c r="B84" s="34"/>
      <c r="C84" s="22"/>
      <c r="D84" s="22"/>
      <c r="E84" s="22"/>
      <c r="F84" s="23"/>
      <c r="G84" s="22"/>
      <c r="H84" s="22"/>
      <c r="I84" s="23"/>
      <c r="J84" s="22"/>
      <c r="K84" s="22"/>
      <c r="L84" s="22"/>
    </row>
    <row r="85" spans="1:12" ht="14.45">
      <c r="A85" s="22"/>
      <c r="B85" s="34"/>
      <c r="C85" s="22"/>
      <c r="D85" s="22"/>
      <c r="E85" s="22"/>
      <c r="F85" s="23"/>
      <c r="G85" s="22"/>
      <c r="H85" s="22"/>
      <c r="I85" s="23"/>
      <c r="J85" s="22"/>
      <c r="K85" s="22"/>
      <c r="L85" s="22"/>
    </row>
    <row r="86" spans="1:12" ht="14.45">
      <c r="A86" s="22"/>
      <c r="B86" s="34"/>
      <c r="C86" s="22"/>
      <c r="D86" s="22"/>
      <c r="E86" s="22"/>
      <c r="F86" s="23"/>
      <c r="G86" s="22"/>
      <c r="H86" s="22"/>
      <c r="I86" s="23"/>
      <c r="J86" s="22"/>
      <c r="K86" s="22"/>
      <c r="L86" s="22"/>
    </row>
    <row r="87" spans="1:12" ht="14.45">
      <c r="A87" s="22"/>
      <c r="B87" s="34"/>
      <c r="C87" s="22"/>
      <c r="D87" s="22"/>
      <c r="E87" s="22"/>
      <c r="F87" s="23"/>
      <c r="G87" s="22"/>
      <c r="H87" s="22"/>
      <c r="I87" s="23"/>
      <c r="J87" s="22"/>
      <c r="K87" s="22"/>
      <c r="L87" s="22"/>
    </row>
    <row r="88" spans="1:12" ht="14.45">
      <c r="A88" s="22"/>
      <c r="B88" s="34"/>
      <c r="C88" s="22"/>
      <c r="D88" s="22"/>
      <c r="E88" s="22"/>
      <c r="F88" s="23"/>
      <c r="G88" s="22"/>
      <c r="H88" s="22"/>
      <c r="I88" s="23"/>
      <c r="J88" s="22"/>
      <c r="K88" s="22"/>
      <c r="L88" s="22"/>
    </row>
    <row r="89" spans="1:12" ht="14.45">
      <c r="A89" s="22"/>
      <c r="B89" s="34"/>
      <c r="C89" s="22"/>
      <c r="D89" s="22"/>
      <c r="E89" s="22"/>
      <c r="F89" s="23"/>
      <c r="G89" s="22"/>
      <c r="H89" s="22"/>
      <c r="I89" s="23"/>
      <c r="J89" s="22"/>
      <c r="K89" s="22"/>
      <c r="L89" s="22"/>
    </row>
    <row r="90" spans="1:12" ht="14.45">
      <c r="A90" s="22"/>
      <c r="B90" s="34"/>
      <c r="C90" s="22"/>
      <c r="D90" s="22"/>
      <c r="E90" s="22"/>
      <c r="F90" s="23"/>
      <c r="G90" s="22"/>
      <c r="H90" s="22"/>
      <c r="I90" s="23"/>
      <c r="J90" s="22"/>
      <c r="K90" s="22"/>
      <c r="L90" s="22"/>
    </row>
    <row r="91" spans="1:12" ht="14.45">
      <c r="A91" s="22"/>
      <c r="B91" s="34"/>
      <c r="C91" s="22"/>
      <c r="D91" s="22"/>
      <c r="E91" s="22"/>
      <c r="F91" s="23"/>
      <c r="G91" s="22"/>
      <c r="H91" s="22"/>
      <c r="I91" s="23"/>
      <c r="J91" s="22"/>
      <c r="K91" s="22"/>
      <c r="L91" s="22"/>
    </row>
    <row r="92" spans="1:12" ht="14.45">
      <c r="A92" s="22"/>
      <c r="B92" s="34"/>
      <c r="C92" s="22"/>
      <c r="D92" s="22"/>
      <c r="E92" s="22"/>
      <c r="F92" s="23"/>
      <c r="G92" s="22"/>
      <c r="H92" s="22"/>
      <c r="I92" s="23"/>
      <c r="J92" s="22"/>
      <c r="K92" s="22"/>
      <c r="L92" s="22"/>
    </row>
    <row r="93" spans="1:12" ht="14.45">
      <c r="A93" s="22"/>
      <c r="B93" s="34"/>
      <c r="C93" s="22"/>
      <c r="D93" s="22"/>
      <c r="E93" s="22"/>
      <c r="F93" s="23"/>
      <c r="G93" s="22"/>
      <c r="H93" s="22"/>
      <c r="I93" s="23"/>
      <c r="J93" s="22"/>
      <c r="K93" s="22"/>
      <c r="L93" s="22"/>
    </row>
    <row r="94" spans="1:12" ht="14.45">
      <c r="A94" s="22"/>
      <c r="B94" s="34"/>
      <c r="C94" s="22"/>
      <c r="D94" s="22"/>
      <c r="E94" s="22"/>
      <c r="F94" s="23"/>
      <c r="G94" s="22"/>
      <c r="H94" s="22"/>
      <c r="I94" s="23"/>
      <c r="J94" s="22"/>
      <c r="K94" s="22"/>
      <c r="L94" s="22"/>
    </row>
    <row r="95" spans="1:12" ht="14.45">
      <c r="A95" s="22"/>
      <c r="B95" s="34"/>
      <c r="C95" s="22"/>
      <c r="D95" s="22"/>
      <c r="E95" s="22"/>
      <c r="F95" s="23"/>
      <c r="G95" s="22"/>
      <c r="H95" s="22"/>
      <c r="I95" s="23"/>
      <c r="J95" s="22"/>
      <c r="K95" s="22"/>
      <c r="L95" s="22"/>
    </row>
    <row r="96" spans="1:12" ht="14.45">
      <c r="A96" s="22"/>
      <c r="B96" s="34"/>
      <c r="C96" s="22"/>
      <c r="D96" s="22"/>
      <c r="E96" s="22"/>
      <c r="F96" s="23"/>
      <c r="G96" s="22"/>
      <c r="H96" s="22"/>
      <c r="I96" s="23"/>
      <c r="J96" s="22"/>
      <c r="K96" s="22"/>
      <c r="L96" s="22"/>
    </row>
    <row r="97" spans="1:12" ht="14.45">
      <c r="A97" s="22"/>
      <c r="B97" s="34"/>
      <c r="C97" s="22"/>
      <c r="D97" s="22"/>
      <c r="E97" s="22"/>
      <c r="F97" s="23"/>
      <c r="G97" s="22"/>
      <c r="H97" s="22"/>
      <c r="I97" s="23"/>
      <c r="J97" s="22"/>
      <c r="K97" s="22"/>
      <c r="L97" s="22"/>
    </row>
    <row r="98" spans="1:12" ht="14.45">
      <c r="A98" s="22"/>
      <c r="B98" s="34"/>
      <c r="C98" s="22"/>
      <c r="D98" s="22"/>
      <c r="E98" s="22"/>
      <c r="F98" s="23"/>
      <c r="G98" s="22"/>
      <c r="H98" s="22"/>
      <c r="I98" s="23"/>
      <c r="J98" s="22"/>
      <c r="K98" s="22"/>
      <c r="L98" s="22"/>
    </row>
    <row r="99" spans="1:12" ht="14.45">
      <c r="A99" s="22"/>
      <c r="B99" s="34"/>
      <c r="C99" s="22"/>
      <c r="D99" s="22"/>
      <c r="E99" s="22"/>
      <c r="F99" s="23"/>
      <c r="G99" s="22"/>
      <c r="H99" s="22"/>
      <c r="I99" s="23"/>
      <c r="J99" s="22"/>
      <c r="K99" s="22"/>
      <c r="L99" s="22"/>
    </row>
    <row r="100" spans="1:12" ht="14.45">
      <c r="A100" s="22"/>
      <c r="B100" s="34"/>
      <c r="C100" s="22"/>
      <c r="D100" s="22"/>
      <c r="E100" s="22"/>
      <c r="F100" s="23"/>
      <c r="G100" s="22"/>
      <c r="H100" s="22"/>
      <c r="I100" s="23"/>
      <c r="J100" s="22"/>
      <c r="K100" s="22"/>
      <c r="L100" s="22"/>
    </row>
    <row r="101" spans="1:12" ht="14.45">
      <c r="A101" s="22"/>
      <c r="B101" s="34"/>
      <c r="C101" s="22"/>
      <c r="D101" s="22"/>
      <c r="E101" s="22"/>
      <c r="F101" s="23"/>
      <c r="G101" s="22"/>
      <c r="H101" s="22"/>
      <c r="I101" s="23"/>
      <c r="J101" s="22"/>
      <c r="K101" s="22"/>
      <c r="L101" s="22"/>
    </row>
    <row r="102" spans="1:12" ht="14.45">
      <c r="A102" s="22"/>
      <c r="B102" s="34"/>
      <c r="C102" s="22"/>
      <c r="D102" s="22"/>
      <c r="E102" s="22"/>
      <c r="F102" s="23"/>
      <c r="G102" s="22"/>
      <c r="H102" s="22"/>
      <c r="I102" s="23"/>
      <c r="J102" s="22"/>
      <c r="K102" s="22"/>
      <c r="L102" s="22"/>
    </row>
    <row r="103" spans="1:12" ht="14.45">
      <c r="A103" s="22"/>
      <c r="B103" s="34"/>
      <c r="C103" s="22"/>
      <c r="D103" s="22"/>
      <c r="E103" s="22"/>
      <c r="F103" s="23"/>
      <c r="G103" s="22"/>
      <c r="H103" s="22"/>
      <c r="I103" s="23"/>
      <c r="J103" s="22"/>
      <c r="K103" s="22"/>
      <c r="L103" s="22"/>
    </row>
    <row r="104" spans="1:12" ht="14.45">
      <c r="A104" s="22"/>
      <c r="B104" s="34"/>
      <c r="C104" s="22"/>
      <c r="D104" s="22"/>
      <c r="E104" s="22"/>
      <c r="F104" s="23"/>
      <c r="G104" s="22"/>
      <c r="H104" s="22"/>
      <c r="I104" s="23"/>
      <c r="J104" s="22"/>
      <c r="K104" s="22"/>
      <c r="L104" s="22"/>
    </row>
    <row r="105" spans="1:12" ht="14.45">
      <c r="A105" s="22"/>
      <c r="B105" s="34"/>
      <c r="C105" s="22"/>
      <c r="D105" s="22"/>
      <c r="E105" s="22"/>
      <c r="F105" s="23"/>
      <c r="G105" s="22"/>
      <c r="H105" s="22"/>
      <c r="I105" s="23"/>
      <c r="J105" s="22"/>
      <c r="K105" s="22"/>
      <c r="L105" s="22"/>
    </row>
    <row r="106" spans="1:12" ht="14.45">
      <c r="A106" s="22"/>
      <c r="B106" s="34"/>
      <c r="C106" s="22"/>
      <c r="D106" s="22"/>
      <c r="E106" s="22"/>
      <c r="F106" s="23"/>
      <c r="G106" s="22"/>
      <c r="H106" s="22"/>
      <c r="I106" s="23"/>
      <c r="J106" s="22"/>
      <c r="K106" s="22"/>
      <c r="L106" s="22"/>
    </row>
    <row r="107" spans="1:12" ht="14.45">
      <c r="A107" s="22"/>
      <c r="B107" s="34"/>
      <c r="C107" s="22"/>
      <c r="D107" s="22"/>
      <c r="E107" s="22"/>
      <c r="F107" s="23"/>
      <c r="G107" s="22"/>
      <c r="H107" s="22"/>
      <c r="I107" s="23"/>
      <c r="J107" s="22"/>
      <c r="K107" s="22"/>
      <c r="L107" s="22"/>
    </row>
    <row r="108" spans="1:12" ht="14.45">
      <c r="A108" s="22"/>
      <c r="B108" s="34"/>
      <c r="C108" s="22"/>
      <c r="D108" s="22"/>
      <c r="E108" s="22"/>
      <c r="F108" s="23"/>
      <c r="G108" s="22"/>
      <c r="H108" s="22"/>
      <c r="I108" s="23"/>
      <c r="J108" s="22"/>
      <c r="K108" s="22"/>
      <c r="L108" s="22"/>
    </row>
    <row r="109" spans="1:12" ht="14.45">
      <c r="A109" s="22"/>
      <c r="B109" s="34"/>
      <c r="C109" s="22"/>
      <c r="D109" s="22"/>
      <c r="E109" s="22"/>
      <c r="F109" s="23"/>
      <c r="G109" s="22"/>
      <c r="H109" s="22"/>
      <c r="I109" s="23"/>
      <c r="J109" s="22"/>
      <c r="K109" s="22"/>
      <c r="L109" s="22"/>
    </row>
    <row r="110" spans="1:12" ht="14.45">
      <c r="A110" s="22"/>
      <c r="B110" s="34"/>
      <c r="C110" s="22"/>
      <c r="D110" s="22"/>
      <c r="E110" s="22"/>
      <c r="F110" s="23"/>
      <c r="G110" s="22"/>
      <c r="H110" s="22"/>
      <c r="I110" s="23"/>
      <c r="J110" s="22"/>
      <c r="K110" s="22"/>
      <c r="L110" s="22"/>
    </row>
    <row r="111" spans="1:12" ht="14.45">
      <c r="A111" s="22"/>
      <c r="B111" s="34"/>
      <c r="C111" s="22"/>
      <c r="D111" s="22"/>
      <c r="E111" s="22"/>
      <c r="F111" s="23"/>
      <c r="G111" s="22"/>
      <c r="H111" s="22"/>
      <c r="I111" s="23"/>
      <c r="J111" s="22"/>
      <c r="K111" s="22"/>
      <c r="L111" s="22"/>
    </row>
    <row r="112" spans="1:12" ht="14.45">
      <c r="A112" s="22"/>
      <c r="B112" s="34"/>
      <c r="C112" s="22"/>
      <c r="D112" s="22"/>
      <c r="E112" s="22"/>
      <c r="F112" s="23"/>
      <c r="G112" s="22"/>
      <c r="H112" s="22"/>
      <c r="I112" s="23"/>
      <c r="J112" s="22"/>
      <c r="K112" s="22"/>
      <c r="L112" s="22"/>
    </row>
    <row r="113" spans="1:12" ht="14.45">
      <c r="A113" s="22"/>
      <c r="B113" s="34"/>
      <c r="C113" s="22"/>
      <c r="D113" s="22"/>
      <c r="E113" s="22"/>
      <c r="F113" s="23"/>
      <c r="G113" s="22"/>
      <c r="H113" s="22"/>
      <c r="I113" s="23"/>
      <c r="J113" s="22"/>
      <c r="K113" s="22"/>
      <c r="L113" s="22"/>
    </row>
    <row r="114" spans="1:12" ht="14.45">
      <c r="A114" s="22"/>
      <c r="B114" s="34"/>
      <c r="C114" s="22"/>
      <c r="D114" s="22"/>
      <c r="E114" s="22"/>
      <c r="F114" s="23"/>
      <c r="G114" s="22"/>
      <c r="H114" s="22"/>
      <c r="I114" s="23"/>
      <c r="J114" s="22"/>
      <c r="K114" s="22"/>
      <c r="L114" s="22"/>
    </row>
    <row r="115" spans="1:12" ht="14.45">
      <c r="A115" s="22"/>
      <c r="B115" s="34"/>
      <c r="C115" s="22"/>
      <c r="D115" s="22"/>
      <c r="E115" s="22"/>
      <c r="F115" s="23"/>
      <c r="G115" s="22"/>
      <c r="H115" s="22"/>
      <c r="I115" s="23"/>
      <c r="J115" s="22"/>
      <c r="K115" s="22"/>
      <c r="L115" s="22"/>
    </row>
    <row r="116" spans="1:12" ht="14.45">
      <c r="A116" s="22"/>
      <c r="B116" s="34"/>
      <c r="C116" s="22"/>
      <c r="D116" s="22"/>
      <c r="E116" s="22"/>
      <c r="F116" s="23"/>
      <c r="G116" s="22"/>
      <c r="H116" s="22"/>
      <c r="I116" s="23"/>
      <c r="J116" s="22"/>
      <c r="K116" s="22"/>
      <c r="L116" s="22"/>
    </row>
    <row r="117" spans="1:12" ht="14.45">
      <c r="A117" s="22"/>
      <c r="B117" s="34"/>
      <c r="C117" s="22"/>
      <c r="D117" s="22"/>
      <c r="E117" s="22"/>
      <c r="F117" s="23"/>
      <c r="G117" s="22"/>
      <c r="H117" s="22"/>
      <c r="I117" s="23"/>
      <c r="J117" s="22"/>
      <c r="K117" s="22"/>
      <c r="L117" s="22"/>
    </row>
    <row r="118" spans="1:12" ht="14.45">
      <c r="A118" s="22"/>
      <c r="B118" s="34"/>
      <c r="C118" s="22"/>
      <c r="D118" s="22"/>
      <c r="E118" s="22"/>
      <c r="F118" s="23"/>
      <c r="G118" s="22"/>
      <c r="H118" s="22"/>
      <c r="I118" s="23"/>
      <c r="J118" s="22"/>
      <c r="K118" s="22"/>
      <c r="L118" s="22"/>
    </row>
    <row r="119" spans="1:12" ht="14.45">
      <c r="A119" s="22"/>
      <c r="B119" s="34"/>
      <c r="C119" s="22"/>
      <c r="D119" s="22"/>
      <c r="E119" s="22"/>
      <c r="F119" s="23"/>
      <c r="G119" s="22"/>
      <c r="H119" s="22"/>
      <c r="I119" s="23"/>
      <c r="J119" s="22"/>
      <c r="K119" s="22"/>
      <c r="L119" s="22"/>
    </row>
    <row r="120" spans="1:12" ht="14.45">
      <c r="A120" s="22"/>
      <c r="B120" s="34"/>
      <c r="C120" s="22"/>
      <c r="D120" s="22"/>
      <c r="E120" s="22"/>
      <c r="F120" s="23"/>
      <c r="G120" s="22"/>
      <c r="H120" s="22"/>
      <c r="I120" s="23"/>
      <c r="J120" s="22"/>
      <c r="K120" s="22"/>
      <c r="L120" s="22"/>
    </row>
    <row r="121" spans="1:12" ht="14.45">
      <c r="A121" s="22"/>
      <c r="B121" s="34"/>
      <c r="C121" s="22"/>
      <c r="D121" s="22"/>
      <c r="E121" s="22"/>
      <c r="F121" s="23"/>
      <c r="G121" s="22"/>
      <c r="H121" s="22"/>
      <c r="I121" s="23"/>
      <c r="J121" s="22"/>
      <c r="K121" s="22"/>
      <c r="L121" s="22"/>
    </row>
    <row r="122" spans="1:12" ht="14.45">
      <c r="A122" s="22"/>
      <c r="B122" s="34"/>
      <c r="C122" s="22"/>
      <c r="D122" s="22"/>
      <c r="E122" s="22"/>
      <c r="F122" s="23"/>
      <c r="G122" s="22"/>
      <c r="H122" s="22"/>
      <c r="I122" s="23"/>
      <c r="J122" s="22"/>
      <c r="K122" s="22"/>
      <c r="L122" s="22"/>
    </row>
    <row r="123" spans="1:12" ht="14.45">
      <c r="A123" s="22"/>
      <c r="B123" s="34"/>
      <c r="C123" s="22"/>
      <c r="D123" s="22"/>
      <c r="E123" s="22"/>
      <c r="F123" s="23"/>
      <c r="G123" s="22"/>
      <c r="H123" s="22"/>
      <c r="I123" s="23"/>
      <c r="J123" s="22"/>
      <c r="K123" s="22"/>
      <c r="L123" s="22"/>
    </row>
    <row r="124" spans="1:12" ht="14.45">
      <c r="A124" s="22"/>
      <c r="B124" s="34"/>
      <c r="C124" s="22"/>
      <c r="D124" s="22"/>
      <c r="E124" s="22"/>
      <c r="F124" s="23"/>
      <c r="G124" s="22"/>
      <c r="H124" s="22"/>
      <c r="I124" s="23"/>
      <c r="J124" s="22"/>
      <c r="K124" s="22"/>
      <c r="L124" s="22"/>
    </row>
    <row r="125" spans="1:12" ht="14.45">
      <c r="A125" s="22"/>
      <c r="B125" s="34"/>
      <c r="C125" s="22"/>
      <c r="D125" s="22"/>
      <c r="E125" s="22"/>
      <c r="F125" s="23"/>
      <c r="G125" s="22"/>
      <c r="H125" s="22"/>
      <c r="I125" s="23"/>
      <c r="J125" s="22"/>
      <c r="K125" s="22"/>
      <c r="L125" s="22"/>
    </row>
    <row r="126" spans="1:12" ht="14.45">
      <c r="A126" s="22"/>
      <c r="B126" s="34"/>
      <c r="C126" s="22"/>
      <c r="D126" s="22"/>
      <c r="E126" s="22"/>
      <c r="F126" s="23"/>
      <c r="G126" s="22"/>
      <c r="H126" s="22"/>
      <c r="I126" s="23"/>
      <c r="J126" s="22"/>
      <c r="K126" s="22"/>
      <c r="L126" s="22"/>
    </row>
    <row r="127" spans="1:12" ht="14.45">
      <c r="A127" s="22"/>
      <c r="B127" s="34"/>
      <c r="C127" s="22"/>
      <c r="D127" s="22"/>
      <c r="E127" s="22"/>
      <c r="F127" s="23"/>
      <c r="G127" s="22"/>
      <c r="H127" s="22"/>
      <c r="I127" s="23"/>
      <c r="J127" s="22"/>
      <c r="K127" s="22"/>
      <c r="L127" s="22"/>
    </row>
    <row r="128" spans="1:12" ht="14.45">
      <c r="A128" s="22"/>
      <c r="B128" s="34"/>
      <c r="C128" s="22"/>
      <c r="D128" s="22"/>
      <c r="E128" s="22"/>
      <c r="F128" s="23"/>
      <c r="G128" s="22"/>
      <c r="H128" s="22"/>
      <c r="I128" s="23"/>
      <c r="J128" s="22"/>
      <c r="K128" s="22"/>
      <c r="L128" s="22"/>
    </row>
    <row r="129" spans="1:12" ht="14.45">
      <c r="A129" s="22"/>
      <c r="B129" s="34"/>
      <c r="C129" s="22"/>
      <c r="D129" s="22"/>
      <c r="E129" s="22"/>
      <c r="F129" s="23"/>
      <c r="G129" s="22"/>
      <c r="H129" s="22"/>
      <c r="I129" s="23"/>
      <c r="J129" s="22"/>
      <c r="K129" s="22"/>
      <c r="L129" s="22"/>
    </row>
    <row r="130" spans="1:12" ht="14.45">
      <c r="A130" s="22"/>
      <c r="B130" s="34"/>
      <c r="C130" s="22"/>
      <c r="D130" s="22"/>
      <c r="E130" s="22"/>
      <c r="F130" s="23"/>
      <c r="G130" s="22"/>
      <c r="H130" s="22"/>
      <c r="I130" s="23"/>
      <c r="J130" s="22"/>
      <c r="K130" s="22"/>
      <c r="L130" s="22"/>
    </row>
    <row r="131" spans="1:12" ht="14.45">
      <c r="A131" s="22"/>
      <c r="B131" s="34"/>
      <c r="C131" s="22"/>
      <c r="D131" s="22"/>
      <c r="E131" s="22"/>
      <c r="F131" s="23"/>
      <c r="G131" s="22"/>
      <c r="H131" s="22"/>
      <c r="I131" s="23"/>
      <c r="J131" s="22"/>
      <c r="K131" s="22"/>
      <c r="L131" s="22"/>
    </row>
    <row r="132" spans="1:12" ht="14.45">
      <c r="A132" s="22"/>
      <c r="B132" s="34"/>
      <c r="C132" s="22"/>
      <c r="D132" s="22"/>
      <c r="E132" s="22"/>
      <c r="F132" s="23"/>
      <c r="G132" s="22"/>
      <c r="H132" s="22"/>
      <c r="I132" s="23"/>
      <c r="J132" s="22"/>
      <c r="K132" s="22"/>
      <c r="L132" s="22"/>
    </row>
    <row r="133" spans="1:12" ht="14.45">
      <c r="A133" s="22"/>
      <c r="B133" s="34"/>
      <c r="C133" s="22"/>
      <c r="D133" s="22"/>
      <c r="E133" s="22"/>
      <c r="F133" s="23"/>
      <c r="G133" s="22"/>
      <c r="H133" s="22"/>
      <c r="I133" s="23"/>
      <c r="J133" s="22"/>
      <c r="K133" s="22"/>
      <c r="L133" s="22"/>
    </row>
    <row r="134" spans="1:12" ht="14.45">
      <c r="A134" s="22"/>
      <c r="B134" s="34"/>
      <c r="C134" s="22"/>
      <c r="D134" s="22"/>
      <c r="E134" s="22"/>
      <c r="F134" s="23"/>
      <c r="G134" s="22"/>
      <c r="H134" s="22"/>
      <c r="I134" s="23"/>
      <c r="J134" s="22"/>
      <c r="K134" s="22"/>
      <c r="L134" s="22"/>
    </row>
    <row r="135" spans="1:12" ht="14.45">
      <c r="A135" s="22"/>
      <c r="B135" s="34"/>
      <c r="C135" s="22"/>
      <c r="D135" s="22"/>
      <c r="E135" s="22"/>
      <c r="F135" s="23"/>
      <c r="G135" s="22"/>
      <c r="H135" s="22"/>
      <c r="I135" s="23"/>
      <c r="J135" s="22"/>
      <c r="K135" s="22"/>
      <c r="L135" s="22"/>
    </row>
    <row r="136" spans="1:12" ht="14.45">
      <c r="A136" s="22"/>
      <c r="B136" s="34"/>
      <c r="C136" s="22"/>
      <c r="D136" s="22"/>
      <c r="E136" s="22"/>
      <c r="F136" s="23"/>
      <c r="G136" s="22"/>
      <c r="H136" s="22"/>
      <c r="I136" s="23"/>
      <c r="J136" s="22"/>
      <c r="K136" s="22"/>
      <c r="L136" s="22"/>
    </row>
    <row r="137" spans="1:12" ht="14.45">
      <c r="A137" s="22"/>
      <c r="B137" s="34"/>
      <c r="C137" s="22"/>
      <c r="D137" s="22"/>
      <c r="E137" s="22"/>
      <c r="F137" s="23"/>
      <c r="G137" s="22"/>
      <c r="H137" s="22"/>
      <c r="I137" s="23"/>
      <c r="J137" s="22"/>
      <c r="K137" s="22"/>
      <c r="L137" s="22"/>
    </row>
    <row r="138" spans="1:12" ht="14.45">
      <c r="A138" s="22"/>
      <c r="B138" s="34"/>
      <c r="C138" s="22"/>
      <c r="D138" s="22"/>
      <c r="E138" s="22"/>
      <c r="F138" s="23"/>
      <c r="G138" s="22"/>
      <c r="H138" s="22"/>
      <c r="I138" s="23"/>
      <c r="J138" s="22"/>
      <c r="K138" s="22"/>
      <c r="L138" s="22"/>
    </row>
    <row r="139" spans="1:12" ht="14.45">
      <c r="A139" s="22"/>
      <c r="B139" s="34"/>
      <c r="C139" s="22"/>
      <c r="D139" s="22"/>
      <c r="E139" s="22"/>
      <c r="F139" s="23"/>
      <c r="G139" s="22"/>
      <c r="H139" s="22"/>
      <c r="I139" s="23"/>
      <c r="J139" s="22"/>
      <c r="K139" s="22"/>
      <c r="L139" s="22"/>
    </row>
    <row r="140" spans="1:12" ht="14.45">
      <c r="A140" s="22"/>
      <c r="B140" s="34"/>
      <c r="C140" s="22"/>
      <c r="D140" s="22"/>
      <c r="E140" s="22"/>
      <c r="F140" s="23"/>
      <c r="G140" s="22"/>
      <c r="H140" s="22"/>
      <c r="I140" s="23"/>
      <c r="J140" s="22"/>
      <c r="K140" s="22"/>
      <c r="L140" s="22"/>
    </row>
    <row r="141" spans="1:12" ht="14.45">
      <c r="A141" s="22"/>
      <c r="B141" s="34"/>
      <c r="C141" s="22"/>
      <c r="D141" s="22"/>
      <c r="E141" s="22"/>
      <c r="F141" s="23"/>
      <c r="G141" s="22"/>
      <c r="H141" s="22"/>
      <c r="I141" s="23"/>
      <c r="J141" s="22"/>
      <c r="K141" s="22"/>
      <c r="L141" s="22"/>
    </row>
    <row r="142" spans="1:12" ht="14.45">
      <c r="A142" s="22"/>
      <c r="B142" s="34"/>
      <c r="C142" s="22"/>
      <c r="D142" s="22"/>
      <c r="E142" s="22"/>
      <c r="F142" s="23"/>
      <c r="G142" s="22"/>
      <c r="H142" s="22"/>
      <c r="I142" s="23"/>
      <c r="J142" s="22"/>
      <c r="K142" s="22"/>
      <c r="L142" s="22"/>
    </row>
    <row r="143" spans="1:12" ht="14.45">
      <c r="A143" s="22"/>
      <c r="B143" s="34"/>
      <c r="C143" s="22"/>
      <c r="D143" s="22"/>
      <c r="E143" s="22"/>
      <c r="F143" s="23"/>
      <c r="G143" s="22"/>
      <c r="H143" s="22"/>
      <c r="I143" s="23"/>
      <c r="J143" s="22"/>
      <c r="K143" s="22"/>
      <c r="L143" s="22"/>
    </row>
    <row r="144" spans="1:12" ht="14.45">
      <c r="A144" s="22"/>
      <c r="B144" s="34"/>
      <c r="C144" s="22"/>
      <c r="D144" s="22"/>
      <c r="E144" s="22"/>
      <c r="F144" s="23"/>
      <c r="G144" s="22"/>
      <c r="H144" s="22"/>
      <c r="I144" s="23"/>
      <c r="J144" s="22"/>
      <c r="K144" s="22"/>
      <c r="L144" s="22"/>
    </row>
    <row r="145" spans="1:12" ht="14.45">
      <c r="A145" s="22"/>
      <c r="B145" s="34"/>
      <c r="C145" s="22"/>
      <c r="D145" s="22"/>
      <c r="E145" s="22"/>
      <c r="F145" s="23"/>
      <c r="G145" s="22"/>
      <c r="H145" s="22"/>
      <c r="I145" s="23"/>
      <c r="J145" s="22"/>
      <c r="K145" s="22"/>
      <c r="L145" s="22"/>
    </row>
    <row r="146" spans="1:12" ht="14.45">
      <c r="A146" s="22"/>
      <c r="B146" s="34"/>
      <c r="C146" s="22"/>
      <c r="D146" s="22"/>
      <c r="E146" s="22"/>
      <c r="F146" s="23"/>
      <c r="G146" s="22"/>
      <c r="H146" s="22"/>
      <c r="I146" s="23"/>
      <c r="J146" s="22"/>
      <c r="K146" s="22"/>
      <c r="L146" s="22"/>
    </row>
    <row r="147" spans="1:12" ht="14.45">
      <c r="A147" s="22"/>
      <c r="B147" s="34"/>
      <c r="C147" s="22"/>
      <c r="D147" s="22"/>
      <c r="E147" s="22"/>
      <c r="F147" s="23"/>
      <c r="G147" s="22"/>
      <c r="H147" s="22"/>
      <c r="I147" s="23"/>
      <c r="J147" s="22"/>
      <c r="K147" s="22"/>
      <c r="L147" s="22"/>
    </row>
    <row r="148" spans="1:12" ht="14.45">
      <c r="A148" s="22"/>
      <c r="B148" s="34"/>
      <c r="C148" s="22"/>
      <c r="D148" s="22"/>
      <c r="E148" s="22"/>
      <c r="F148" s="23"/>
      <c r="G148" s="22"/>
      <c r="H148" s="22"/>
      <c r="I148" s="23"/>
      <c r="J148" s="22"/>
      <c r="K148" s="22"/>
      <c r="L148" s="22"/>
    </row>
    <row r="149" spans="1:12" ht="14.45">
      <c r="A149" s="22"/>
      <c r="B149" s="34"/>
      <c r="C149" s="22"/>
      <c r="D149" s="22"/>
      <c r="E149" s="22"/>
      <c r="F149" s="23"/>
      <c r="G149" s="22"/>
      <c r="H149" s="22"/>
      <c r="I149" s="23"/>
      <c r="J149" s="22"/>
      <c r="K149" s="22"/>
      <c r="L149" s="22"/>
    </row>
    <row r="150" spans="1:12" ht="14.45">
      <c r="A150" s="22"/>
      <c r="B150" s="34"/>
      <c r="C150" s="22"/>
      <c r="D150" s="22"/>
      <c r="E150" s="22"/>
      <c r="F150" s="23"/>
      <c r="G150" s="22"/>
      <c r="H150" s="22"/>
      <c r="I150" s="23"/>
      <c r="J150" s="22"/>
      <c r="K150" s="22"/>
      <c r="L150" s="22"/>
    </row>
    <row r="151" spans="1:12" ht="14.45">
      <c r="A151" s="22"/>
      <c r="B151" s="34"/>
      <c r="C151" s="22"/>
      <c r="D151" s="22"/>
      <c r="E151" s="22"/>
      <c r="F151" s="23"/>
      <c r="G151" s="22"/>
      <c r="H151" s="22"/>
      <c r="I151" s="23"/>
      <c r="J151" s="22"/>
      <c r="K151" s="22"/>
      <c r="L151" s="22"/>
    </row>
    <row r="152" spans="1:12" ht="14.45">
      <c r="A152" s="22"/>
      <c r="B152" s="34"/>
      <c r="C152" s="22"/>
      <c r="D152" s="22"/>
      <c r="E152" s="22"/>
      <c r="F152" s="23"/>
      <c r="G152" s="22"/>
      <c r="H152" s="22"/>
      <c r="I152" s="23"/>
      <c r="J152" s="22"/>
      <c r="K152" s="22"/>
      <c r="L152" s="22"/>
    </row>
    <row r="153" spans="1:12" ht="14.45">
      <c r="A153" s="22"/>
      <c r="B153" s="34"/>
      <c r="C153" s="22"/>
      <c r="D153" s="22"/>
      <c r="E153" s="22"/>
      <c r="F153" s="23"/>
      <c r="G153" s="22"/>
      <c r="H153" s="22"/>
      <c r="I153" s="23"/>
      <c r="J153" s="22"/>
      <c r="K153" s="22"/>
      <c r="L153" s="22"/>
    </row>
    <row r="154" spans="1:12" ht="14.45">
      <c r="A154" s="22"/>
      <c r="B154" s="34"/>
      <c r="C154" s="22"/>
      <c r="D154" s="22"/>
      <c r="E154" s="22"/>
      <c r="F154" s="23"/>
      <c r="G154" s="22"/>
      <c r="H154" s="22"/>
      <c r="I154" s="23"/>
      <c r="J154" s="22"/>
      <c r="K154" s="22"/>
      <c r="L154" s="22"/>
    </row>
    <row r="155" spans="1:12" ht="14.45">
      <c r="A155" s="22"/>
      <c r="B155" s="34"/>
      <c r="C155" s="22"/>
      <c r="D155" s="22"/>
      <c r="E155" s="22"/>
      <c r="F155" s="23"/>
      <c r="G155" s="22"/>
      <c r="H155" s="22"/>
      <c r="I155" s="23"/>
      <c r="J155" s="22"/>
      <c r="K155" s="22"/>
      <c r="L155" s="22"/>
    </row>
    <row r="156" spans="1:12" ht="14.45">
      <c r="A156" s="22"/>
      <c r="B156" s="34"/>
      <c r="C156" s="22"/>
      <c r="D156" s="22"/>
      <c r="E156" s="22"/>
      <c r="F156" s="23"/>
      <c r="G156" s="22"/>
      <c r="H156" s="22"/>
      <c r="I156" s="23"/>
      <c r="J156" s="22"/>
      <c r="K156" s="22"/>
      <c r="L156" s="22"/>
    </row>
    <row r="157" spans="1:12" ht="14.45">
      <c r="A157" s="22"/>
      <c r="B157" s="34"/>
      <c r="C157" s="22"/>
      <c r="D157" s="22"/>
      <c r="E157" s="22"/>
      <c r="F157" s="23"/>
      <c r="G157" s="22"/>
      <c r="H157" s="22"/>
      <c r="I157" s="23"/>
      <c r="J157" s="22"/>
      <c r="K157" s="22"/>
      <c r="L157" s="22"/>
    </row>
    <row r="158" spans="1:12" ht="14.45">
      <c r="A158" s="22"/>
      <c r="B158" s="34"/>
      <c r="C158" s="22"/>
      <c r="D158" s="22"/>
      <c r="E158" s="22"/>
      <c r="F158" s="23"/>
      <c r="G158" s="22"/>
      <c r="H158" s="22"/>
      <c r="I158" s="23"/>
      <c r="J158" s="22"/>
      <c r="K158" s="22"/>
      <c r="L158" s="22"/>
    </row>
    <row r="159" spans="1:12" ht="14.45">
      <c r="A159" s="22"/>
      <c r="B159" s="34"/>
      <c r="C159" s="22"/>
      <c r="D159" s="22"/>
      <c r="E159" s="22"/>
      <c r="F159" s="23"/>
      <c r="G159" s="22"/>
      <c r="H159" s="22"/>
      <c r="I159" s="23"/>
      <c r="J159" s="22"/>
      <c r="K159" s="22"/>
      <c r="L159" s="22"/>
    </row>
    <row r="160" spans="1:12" ht="14.45">
      <c r="A160" s="22"/>
      <c r="B160" s="34"/>
      <c r="C160" s="22"/>
      <c r="D160" s="22"/>
      <c r="E160" s="22"/>
      <c r="F160" s="23"/>
      <c r="G160" s="22"/>
      <c r="H160" s="22"/>
      <c r="I160" s="23"/>
      <c r="J160" s="22"/>
      <c r="K160" s="22"/>
      <c r="L160" s="22"/>
    </row>
    <row r="161" spans="1:12" ht="14.45">
      <c r="A161" s="22"/>
      <c r="B161" s="34"/>
      <c r="C161" s="22"/>
      <c r="D161" s="22"/>
      <c r="E161" s="22"/>
      <c r="F161" s="23"/>
      <c r="G161" s="22"/>
      <c r="H161" s="22"/>
      <c r="I161" s="23"/>
      <c r="J161" s="22"/>
      <c r="K161" s="22"/>
      <c r="L161" s="22"/>
    </row>
    <row r="162" spans="1:12" ht="14.45">
      <c r="A162" s="22"/>
      <c r="B162" s="34"/>
      <c r="C162" s="22"/>
      <c r="D162" s="22"/>
      <c r="E162" s="22"/>
      <c r="F162" s="23"/>
      <c r="G162" s="22"/>
      <c r="H162" s="22"/>
      <c r="I162" s="23"/>
      <c r="J162" s="22"/>
      <c r="K162" s="22"/>
      <c r="L162" s="22"/>
    </row>
    <row r="163" spans="1:12" ht="14.45">
      <c r="A163" s="22"/>
      <c r="B163" s="34"/>
      <c r="C163" s="22"/>
      <c r="D163" s="22"/>
      <c r="E163" s="22"/>
      <c r="F163" s="23"/>
      <c r="G163" s="22"/>
      <c r="H163" s="22"/>
      <c r="I163" s="23"/>
      <c r="J163" s="22"/>
      <c r="K163" s="22"/>
      <c r="L163" s="22"/>
    </row>
    <row r="164" spans="1:12" ht="14.45">
      <c r="A164" s="22"/>
      <c r="B164" s="34"/>
      <c r="C164" s="22"/>
      <c r="D164" s="22"/>
      <c r="E164" s="22"/>
      <c r="F164" s="23"/>
      <c r="G164" s="22"/>
      <c r="H164" s="22"/>
      <c r="I164" s="23"/>
      <c r="J164" s="22"/>
      <c r="K164" s="22"/>
      <c r="L164" s="22"/>
    </row>
    <row r="165" spans="1:12" ht="14.45">
      <c r="A165" s="22"/>
      <c r="B165" s="34"/>
      <c r="C165" s="22"/>
      <c r="D165" s="22"/>
      <c r="E165" s="22"/>
      <c r="F165" s="23"/>
      <c r="G165" s="22"/>
      <c r="H165" s="22"/>
      <c r="I165" s="23"/>
      <c r="J165" s="22"/>
      <c r="K165" s="22"/>
      <c r="L165" s="22"/>
    </row>
    <row r="166" spans="1:12" ht="14.45">
      <c r="A166" s="22"/>
      <c r="B166" s="34"/>
      <c r="C166" s="22"/>
      <c r="D166" s="22"/>
      <c r="E166" s="22"/>
      <c r="F166" s="23"/>
      <c r="G166" s="22"/>
      <c r="H166" s="22"/>
      <c r="I166" s="23"/>
      <c r="J166" s="22"/>
      <c r="K166" s="22"/>
      <c r="L166" s="22"/>
    </row>
    <row r="167" spans="1:12" ht="14.45">
      <c r="A167" s="22"/>
      <c r="B167" s="34"/>
      <c r="C167" s="22"/>
      <c r="D167" s="22"/>
      <c r="E167" s="22"/>
      <c r="F167" s="23"/>
      <c r="G167" s="22"/>
      <c r="H167" s="22"/>
      <c r="I167" s="23"/>
      <c r="J167" s="22"/>
      <c r="K167" s="22"/>
      <c r="L167" s="22"/>
    </row>
    <row r="168" spans="1:12" ht="14.45">
      <c r="A168" s="22"/>
      <c r="B168" s="34"/>
      <c r="C168" s="22"/>
      <c r="D168" s="22"/>
      <c r="E168" s="22"/>
      <c r="F168" s="23"/>
      <c r="G168" s="22"/>
      <c r="H168" s="22"/>
      <c r="I168" s="23"/>
      <c r="J168" s="22"/>
      <c r="K168" s="22"/>
      <c r="L168" s="22"/>
    </row>
    <row r="169" spans="1:12" ht="14.45">
      <c r="A169" s="22"/>
      <c r="B169" s="34"/>
      <c r="C169" s="22"/>
      <c r="D169" s="22"/>
      <c r="E169" s="22"/>
      <c r="F169" s="23"/>
      <c r="G169" s="22"/>
      <c r="H169" s="22"/>
      <c r="I169" s="23"/>
      <c r="J169" s="22"/>
      <c r="K169" s="22"/>
      <c r="L169" s="22"/>
    </row>
    <row r="170" spans="1:12" ht="14.45">
      <c r="A170" s="22"/>
      <c r="B170" s="34"/>
      <c r="C170" s="22"/>
      <c r="D170" s="22"/>
      <c r="E170" s="22"/>
      <c r="F170" s="23"/>
      <c r="G170" s="22"/>
      <c r="H170" s="22"/>
      <c r="I170" s="23"/>
      <c r="J170" s="22"/>
      <c r="K170" s="22"/>
      <c r="L170" s="22"/>
    </row>
    <row r="171" spans="1:12" ht="14.45">
      <c r="A171" s="22"/>
      <c r="B171" s="34"/>
      <c r="C171" s="22"/>
      <c r="D171" s="22"/>
      <c r="E171" s="22"/>
      <c r="F171" s="23"/>
      <c r="G171" s="22"/>
      <c r="H171" s="22"/>
      <c r="I171" s="23"/>
      <c r="J171" s="22"/>
      <c r="K171" s="22"/>
      <c r="L171" s="22"/>
    </row>
    <row r="172" spans="1:12" ht="14.45">
      <c r="A172" s="22"/>
      <c r="B172" s="34"/>
      <c r="C172" s="22"/>
      <c r="D172" s="22"/>
      <c r="E172" s="22"/>
      <c r="F172" s="23"/>
      <c r="G172" s="22"/>
      <c r="H172" s="22"/>
      <c r="I172" s="23"/>
      <c r="J172" s="22"/>
      <c r="K172" s="22"/>
      <c r="L172" s="22"/>
    </row>
    <row r="173" spans="1:12" ht="14.45">
      <c r="A173" s="22"/>
      <c r="B173" s="34"/>
      <c r="C173" s="22"/>
      <c r="D173" s="22"/>
      <c r="E173" s="22"/>
      <c r="F173" s="23"/>
      <c r="G173" s="22"/>
      <c r="H173" s="22"/>
      <c r="I173" s="23"/>
      <c r="J173" s="22"/>
      <c r="K173" s="22"/>
      <c r="L173" s="22"/>
    </row>
    <row r="174" spans="1:12" ht="14.45">
      <c r="A174" s="22"/>
      <c r="B174" s="34"/>
      <c r="C174" s="22"/>
      <c r="D174" s="22"/>
      <c r="E174" s="22"/>
      <c r="F174" s="23"/>
      <c r="G174" s="22"/>
      <c r="H174" s="22"/>
      <c r="I174" s="23"/>
      <c r="J174" s="22"/>
      <c r="K174" s="22"/>
      <c r="L174" s="22"/>
    </row>
    <row r="175" spans="1:12" ht="14.45">
      <c r="A175" s="22"/>
      <c r="B175" s="34"/>
      <c r="C175" s="22"/>
      <c r="D175" s="22"/>
      <c r="E175" s="22"/>
      <c r="F175" s="23"/>
      <c r="G175" s="22"/>
      <c r="H175" s="22"/>
      <c r="I175" s="23"/>
      <c r="J175" s="22"/>
      <c r="K175" s="22"/>
      <c r="L175" s="22"/>
    </row>
    <row r="176" spans="1:12" ht="14.45">
      <c r="A176" s="22"/>
      <c r="B176" s="34"/>
      <c r="C176" s="22"/>
      <c r="D176" s="22"/>
      <c r="E176" s="22"/>
      <c r="F176" s="23"/>
      <c r="G176" s="22"/>
      <c r="H176" s="22"/>
      <c r="I176" s="23"/>
      <c r="J176" s="22"/>
      <c r="K176" s="22"/>
      <c r="L176" s="22"/>
    </row>
    <row r="177" spans="1:12" ht="14.45">
      <c r="A177" s="22"/>
      <c r="B177" s="34"/>
      <c r="C177" s="22"/>
      <c r="D177" s="22"/>
      <c r="E177" s="22"/>
      <c r="F177" s="23"/>
      <c r="G177" s="22"/>
      <c r="H177" s="22"/>
      <c r="I177" s="23"/>
      <c r="J177" s="22"/>
      <c r="K177" s="22"/>
      <c r="L177" s="22"/>
    </row>
    <row r="178" spans="1:12" ht="14.45">
      <c r="A178" s="22"/>
      <c r="B178" s="34"/>
      <c r="C178" s="22"/>
      <c r="D178" s="22"/>
      <c r="E178" s="22"/>
      <c r="F178" s="23"/>
      <c r="G178" s="22"/>
      <c r="H178" s="22"/>
      <c r="I178" s="23"/>
      <c r="J178" s="22"/>
      <c r="K178" s="22"/>
      <c r="L178" s="22"/>
    </row>
    <row r="179" spans="1:12" ht="14.45">
      <c r="A179" s="22"/>
      <c r="B179" s="34"/>
      <c r="C179" s="22"/>
      <c r="D179" s="22"/>
      <c r="E179" s="22"/>
      <c r="F179" s="23"/>
      <c r="G179" s="22"/>
      <c r="H179" s="22"/>
      <c r="I179" s="23"/>
      <c r="J179" s="22"/>
      <c r="K179" s="22"/>
      <c r="L179" s="22"/>
    </row>
    <row r="180" spans="1:12" ht="14.45">
      <c r="A180" s="22"/>
      <c r="B180" s="34"/>
      <c r="C180" s="22"/>
      <c r="D180" s="22"/>
      <c r="E180" s="22"/>
      <c r="F180" s="23"/>
      <c r="G180" s="22"/>
      <c r="H180" s="22"/>
      <c r="I180" s="23"/>
      <c r="J180" s="22"/>
      <c r="K180" s="22"/>
      <c r="L180" s="22"/>
    </row>
    <row r="181" spans="1:12" ht="14.45">
      <c r="A181" s="22"/>
      <c r="B181" s="34"/>
      <c r="C181" s="22"/>
      <c r="D181" s="22"/>
      <c r="E181" s="22"/>
      <c r="F181" s="23"/>
      <c r="G181" s="22"/>
      <c r="H181" s="22"/>
      <c r="I181" s="23"/>
      <c r="J181" s="22"/>
      <c r="K181" s="22"/>
      <c r="L181" s="22"/>
    </row>
    <row r="182" spans="1:12" ht="14.45">
      <c r="A182" s="22"/>
      <c r="B182" s="34"/>
      <c r="C182" s="22"/>
      <c r="D182" s="22"/>
      <c r="E182" s="22"/>
      <c r="F182" s="23"/>
      <c r="G182" s="22"/>
      <c r="H182" s="22"/>
      <c r="I182" s="23"/>
      <c r="J182" s="22"/>
      <c r="K182" s="22"/>
      <c r="L182" s="22"/>
    </row>
    <row r="183" spans="1:12" ht="14.45">
      <c r="A183" s="22"/>
      <c r="B183" s="34"/>
      <c r="C183" s="22"/>
      <c r="D183" s="22"/>
      <c r="E183" s="22"/>
      <c r="F183" s="23"/>
      <c r="G183" s="22"/>
      <c r="H183" s="22"/>
      <c r="I183" s="23"/>
      <c r="J183" s="22"/>
      <c r="K183" s="22"/>
      <c r="L183" s="22"/>
    </row>
    <row r="184" spans="1:12" ht="14.45">
      <c r="A184" s="22"/>
      <c r="B184" s="34"/>
      <c r="C184" s="22"/>
      <c r="D184" s="22"/>
      <c r="E184" s="22"/>
      <c r="F184" s="23"/>
      <c r="G184" s="22"/>
      <c r="H184" s="22"/>
      <c r="I184" s="23"/>
      <c r="J184" s="22"/>
      <c r="K184" s="22"/>
      <c r="L184" s="22"/>
    </row>
    <row r="185" spans="1:12" ht="14.45">
      <c r="A185" s="22"/>
      <c r="B185" s="34"/>
      <c r="C185" s="22"/>
      <c r="D185" s="22"/>
      <c r="E185" s="22"/>
      <c r="F185" s="23"/>
      <c r="G185" s="22"/>
      <c r="H185" s="22"/>
      <c r="I185" s="23"/>
      <c r="J185" s="22"/>
      <c r="K185" s="22"/>
      <c r="L185" s="22"/>
    </row>
    <row r="186" spans="1:12" ht="14.45">
      <c r="A186" s="22"/>
      <c r="B186" s="34"/>
      <c r="C186" s="22"/>
      <c r="D186" s="22"/>
      <c r="E186" s="22"/>
      <c r="F186" s="23"/>
      <c r="G186" s="22"/>
      <c r="H186" s="22"/>
      <c r="I186" s="23"/>
      <c r="J186" s="22"/>
      <c r="K186" s="22"/>
      <c r="L186" s="22"/>
    </row>
    <row r="187" spans="1:12" ht="14.45">
      <c r="A187" s="22"/>
      <c r="B187" s="34"/>
      <c r="C187" s="22"/>
      <c r="D187" s="22"/>
      <c r="E187" s="22"/>
      <c r="F187" s="23"/>
      <c r="G187" s="22"/>
      <c r="H187" s="22"/>
      <c r="I187" s="23"/>
      <c r="J187" s="22"/>
      <c r="K187" s="22"/>
      <c r="L187" s="22"/>
    </row>
    <row r="188" spans="1:12" ht="14.45">
      <c r="A188" s="22"/>
      <c r="B188" s="34"/>
      <c r="C188" s="22"/>
      <c r="D188" s="22"/>
      <c r="E188" s="22"/>
      <c r="F188" s="23"/>
      <c r="G188" s="22"/>
      <c r="H188" s="22"/>
      <c r="I188" s="23"/>
      <c r="J188" s="22"/>
      <c r="K188" s="22"/>
      <c r="L188" s="22"/>
    </row>
    <row r="189" spans="1:12" ht="14.45">
      <c r="A189" s="22"/>
      <c r="B189" s="34"/>
      <c r="C189" s="22"/>
      <c r="D189" s="22"/>
      <c r="E189" s="22"/>
      <c r="F189" s="23"/>
      <c r="G189" s="22"/>
      <c r="H189" s="22"/>
      <c r="I189" s="23"/>
      <c r="J189" s="22"/>
      <c r="K189" s="22"/>
      <c r="L189" s="22"/>
    </row>
    <row r="190" spans="1:12" ht="14.45">
      <c r="A190" s="22"/>
      <c r="B190" s="34"/>
      <c r="C190" s="22"/>
      <c r="D190" s="22"/>
      <c r="E190" s="22"/>
      <c r="F190" s="23"/>
      <c r="G190" s="22"/>
      <c r="H190" s="22"/>
      <c r="I190" s="23"/>
      <c r="J190" s="22"/>
      <c r="K190" s="22"/>
      <c r="L190" s="22"/>
    </row>
    <row r="191" spans="1:12" ht="14.45">
      <c r="A191" s="22"/>
      <c r="B191" s="34"/>
      <c r="C191" s="22"/>
      <c r="D191" s="22"/>
      <c r="E191" s="22"/>
      <c r="F191" s="23"/>
      <c r="G191" s="22"/>
      <c r="H191" s="22"/>
      <c r="I191" s="23"/>
      <c r="J191" s="22"/>
      <c r="K191" s="22"/>
      <c r="L191" s="22"/>
    </row>
    <row r="192" spans="1:12" ht="14.45">
      <c r="A192" s="22"/>
      <c r="B192" s="34"/>
      <c r="C192" s="22"/>
      <c r="D192" s="22"/>
      <c r="E192" s="22"/>
      <c r="F192" s="23"/>
      <c r="G192" s="22"/>
      <c r="H192" s="22"/>
      <c r="I192" s="23"/>
      <c r="J192" s="22"/>
      <c r="K192" s="22"/>
      <c r="L192" s="22"/>
    </row>
    <row r="193" spans="1:12" ht="14.45">
      <c r="A193" s="22"/>
      <c r="B193" s="34"/>
      <c r="C193" s="22"/>
      <c r="D193" s="22"/>
      <c r="E193" s="22"/>
      <c r="F193" s="23"/>
      <c r="G193" s="22"/>
      <c r="H193" s="22"/>
      <c r="I193" s="23"/>
      <c r="J193" s="22"/>
      <c r="K193" s="22"/>
      <c r="L193" s="22"/>
    </row>
    <row r="194" spans="1:12" ht="14.45">
      <c r="A194" s="22"/>
      <c r="B194" s="34"/>
      <c r="C194" s="22"/>
      <c r="D194" s="22"/>
      <c r="E194" s="22"/>
      <c r="F194" s="23"/>
      <c r="G194" s="22"/>
      <c r="H194" s="22"/>
      <c r="I194" s="23"/>
      <c r="J194" s="22"/>
      <c r="K194" s="22"/>
      <c r="L194" s="22"/>
    </row>
    <row r="195" spans="1:12" ht="14.45">
      <c r="A195" s="22"/>
      <c r="B195" s="34"/>
      <c r="C195" s="22"/>
      <c r="D195" s="22"/>
      <c r="E195" s="22"/>
      <c r="F195" s="23"/>
      <c r="G195" s="22"/>
      <c r="H195" s="22"/>
      <c r="I195" s="23"/>
      <c r="J195" s="22"/>
      <c r="K195" s="22"/>
      <c r="L195" s="22"/>
    </row>
    <row r="196" spans="1:12" ht="14.45">
      <c r="A196" s="22"/>
      <c r="B196" s="34"/>
      <c r="C196" s="22"/>
      <c r="D196" s="22"/>
      <c r="E196" s="22"/>
      <c r="F196" s="23"/>
      <c r="G196" s="22"/>
      <c r="H196" s="22"/>
      <c r="I196" s="23"/>
      <c r="J196" s="22"/>
      <c r="K196" s="22"/>
      <c r="L196" s="22"/>
    </row>
    <row r="197" spans="1:12" ht="14.45">
      <c r="A197" s="22"/>
      <c r="B197" s="34"/>
      <c r="C197" s="22"/>
      <c r="D197" s="22"/>
      <c r="E197" s="22"/>
      <c r="F197" s="23"/>
      <c r="G197" s="22"/>
      <c r="H197" s="22"/>
      <c r="I197" s="23"/>
      <c r="J197" s="22"/>
      <c r="K197" s="22"/>
      <c r="L197" s="22"/>
    </row>
    <row r="198" spans="1:12" ht="14.45">
      <c r="A198" s="22"/>
      <c r="B198" s="34"/>
      <c r="C198" s="22"/>
      <c r="D198" s="22"/>
      <c r="E198" s="22"/>
      <c r="F198" s="23"/>
      <c r="G198" s="22"/>
      <c r="H198" s="22"/>
      <c r="I198" s="23"/>
      <c r="J198" s="22"/>
      <c r="K198" s="22"/>
      <c r="L198" s="22"/>
    </row>
    <row r="199" spans="1:12" ht="14.45">
      <c r="A199" s="22"/>
      <c r="B199" s="34"/>
      <c r="C199" s="22"/>
      <c r="D199" s="22"/>
      <c r="E199" s="22"/>
      <c r="F199" s="23"/>
      <c r="G199" s="22"/>
      <c r="H199" s="22"/>
      <c r="I199" s="23"/>
      <c r="J199" s="22"/>
      <c r="K199" s="22"/>
      <c r="L199" s="22"/>
    </row>
    <row r="200" spans="1:12" ht="14.45">
      <c r="A200" s="22"/>
      <c r="B200" s="34"/>
      <c r="C200" s="22"/>
      <c r="D200" s="22"/>
      <c r="E200" s="22"/>
      <c r="F200" s="23"/>
      <c r="G200" s="22"/>
      <c r="H200" s="22"/>
      <c r="I200" s="23"/>
      <c r="J200" s="22"/>
      <c r="K200" s="22"/>
      <c r="L200" s="22"/>
    </row>
    <row r="201" spans="1:12" ht="14.45">
      <c r="A201" s="22"/>
      <c r="B201" s="34"/>
      <c r="C201" s="22"/>
      <c r="D201" s="22"/>
      <c r="E201" s="22"/>
      <c r="F201" s="23"/>
      <c r="G201" s="22"/>
      <c r="H201" s="22"/>
      <c r="I201" s="23"/>
      <c r="J201" s="22"/>
      <c r="K201" s="22"/>
      <c r="L201" s="22"/>
    </row>
    <row r="202" spans="1:12" ht="14.45">
      <c r="A202" s="22"/>
      <c r="B202" s="34"/>
      <c r="C202" s="22"/>
      <c r="D202" s="22"/>
      <c r="E202" s="22"/>
      <c r="F202" s="23"/>
      <c r="G202" s="22"/>
      <c r="H202" s="22"/>
      <c r="I202" s="23"/>
      <c r="J202" s="22"/>
      <c r="K202" s="22"/>
      <c r="L202" s="22"/>
    </row>
    <row r="203" spans="1:12" ht="14.45">
      <c r="A203" s="22"/>
      <c r="B203" s="34"/>
      <c r="C203" s="22"/>
      <c r="D203" s="22"/>
      <c r="E203" s="22"/>
      <c r="F203" s="23"/>
      <c r="G203" s="22"/>
      <c r="H203" s="22"/>
      <c r="I203" s="23"/>
      <c r="J203" s="22"/>
      <c r="K203" s="22"/>
      <c r="L203" s="22"/>
    </row>
    <row r="204" spans="1:12" ht="14.45">
      <c r="A204" s="22"/>
      <c r="B204" s="34"/>
      <c r="C204" s="22"/>
      <c r="D204" s="22"/>
      <c r="E204" s="22"/>
      <c r="F204" s="23"/>
      <c r="G204" s="22"/>
      <c r="H204" s="22"/>
      <c r="I204" s="23"/>
      <c r="J204" s="22"/>
      <c r="K204" s="22"/>
      <c r="L204" s="22"/>
    </row>
    <row r="205" spans="1:12" ht="14.45">
      <c r="A205" s="22"/>
      <c r="B205" s="34"/>
      <c r="C205" s="22"/>
      <c r="D205" s="22"/>
      <c r="E205" s="22"/>
      <c r="F205" s="23"/>
      <c r="G205" s="22"/>
      <c r="H205" s="22"/>
      <c r="I205" s="23"/>
      <c r="J205" s="22"/>
      <c r="K205" s="22"/>
      <c r="L205" s="22"/>
    </row>
    <row r="206" spans="1:12" ht="14.45">
      <c r="A206" s="22"/>
      <c r="B206" s="34"/>
      <c r="C206" s="22"/>
      <c r="D206" s="22"/>
      <c r="E206" s="22"/>
      <c r="F206" s="23"/>
      <c r="G206" s="22"/>
      <c r="H206" s="22"/>
      <c r="I206" s="23"/>
      <c r="J206" s="22"/>
      <c r="K206" s="22"/>
      <c r="L206" s="22"/>
    </row>
    <row r="207" spans="1:12" ht="14.45">
      <c r="A207" s="22"/>
      <c r="B207" s="34"/>
      <c r="C207" s="22"/>
      <c r="D207" s="22"/>
      <c r="E207" s="22"/>
      <c r="F207" s="23"/>
      <c r="G207" s="22"/>
      <c r="H207" s="22"/>
      <c r="I207" s="23"/>
      <c r="J207" s="22"/>
      <c r="K207" s="22"/>
      <c r="L207" s="22"/>
    </row>
    <row r="208" spans="1:12" ht="14.45">
      <c r="A208" s="22"/>
      <c r="B208" s="34"/>
      <c r="C208" s="22"/>
      <c r="D208" s="22"/>
      <c r="E208" s="22"/>
      <c r="F208" s="23"/>
      <c r="G208" s="22"/>
      <c r="H208" s="22"/>
      <c r="I208" s="23"/>
      <c r="J208" s="22"/>
      <c r="K208" s="22"/>
      <c r="L208" s="22"/>
    </row>
    <row r="209" spans="1:12" ht="14.45">
      <c r="A209" s="22"/>
      <c r="B209" s="34"/>
      <c r="C209" s="22"/>
      <c r="D209" s="22"/>
      <c r="E209" s="22"/>
      <c r="F209" s="23"/>
      <c r="G209" s="22"/>
      <c r="H209" s="22"/>
      <c r="I209" s="23"/>
      <c r="J209" s="22"/>
      <c r="K209" s="22"/>
      <c r="L209" s="22"/>
    </row>
    <row r="210" spans="1:12" ht="14.45">
      <c r="A210" s="22"/>
      <c r="B210" s="34"/>
      <c r="C210" s="22"/>
      <c r="D210" s="22"/>
      <c r="E210" s="22"/>
      <c r="F210" s="23"/>
      <c r="G210" s="22"/>
      <c r="H210" s="22"/>
      <c r="I210" s="23"/>
      <c r="J210" s="22"/>
      <c r="K210" s="22"/>
      <c r="L210" s="22"/>
    </row>
    <row r="211" spans="1:12" ht="14.45">
      <c r="A211" s="22"/>
      <c r="B211" s="34"/>
      <c r="C211" s="22"/>
      <c r="D211" s="22"/>
      <c r="E211" s="22"/>
      <c r="F211" s="23"/>
      <c r="G211" s="22"/>
      <c r="H211" s="22"/>
      <c r="I211" s="23"/>
      <c r="J211" s="22"/>
      <c r="K211" s="22"/>
      <c r="L211" s="22"/>
    </row>
    <row r="212" spans="1:12" ht="14.45">
      <c r="A212" s="22"/>
      <c r="B212" s="34"/>
      <c r="C212" s="22"/>
      <c r="D212" s="22"/>
      <c r="E212" s="22"/>
      <c r="F212" s="23"/>
      <c r="G212" s="22"/>
      <c r="H212" s="22"/>
      <c r="I212" s="23"/>
      <c r="J212" s="22"/>
      <c r="K212" s="22"/>
      <c r="L212" s="22"/>
    </row>
    <row r="213" spans="1:12" ht="14.45">
      <c r="A213" s="22"/>
      <c r="B213" s="34"/>
      <c r="C213" s="22"/>
      <c r="D213" s="22"/>
      <c r="E213" s="22"/>
      <c r="F213" s="23"/>
      <c r="G213" s="22"/>
      <c r="H213" s="22"/>
      <c r="I213" s="23"/>
      <c r="J213" s="22"/>
      <c r="K213" s="22"/>
      <c r="L213" s="22"/>
    </row>
    <row r="214" spans="1:12" ht="14.45">
      <c r="A214" s="22"/>
      <c r="B214" s="34"/>
      <c r="C214" s="22"/>
      <c r="D214" s="22"/>
      <c r="E214" s="22"/>
      <c r="F214" s="23"/>
      <c r="G214" s="22"/>
      <c r="H214" s="22"/>
      <c r="I214" s="23"/>
      <c r="J214" s="22"/>
      <c r="K214" s="22"/>
      <c r="L214" s="22"/>
    </row>
    <row r="215" spans="1:12" ht="14.45">
      <c r="A215" s="22"/>
      <c r="B215" s="34"/>
      <c r="C215" s="22"/>
      <c r="D215" s="22"/>
      <c r="E215" s="22"/>
      <c r="F215" s="23"/>
      <c r="G215" s="22"/>
      <c r="H215" s="22"/>
      <c r="I215" s="23"/>
      <c r="J215" s="22"/>
      <c r="K215" s="22"/>
      <c r="L215" s="22"/>
    </row>
    <row r="216" spans="1:12" ht="14.45">
      <c r="A216" s="22"/>
      <c r="B216" s="34"/>
      <c r="C216" s="22"/>
      <c r="D216" s="22"/>
      <c r="E216" s="22"/>
      <c r="F216" s="23"/>
      <c r="G216" s="22"/>
      <c r="H216" s="22"/>
      <c r="I216" s="23"/>
      <c r="J216" s="22"/>
      <c r="K216" s="22"/>
      <c r="L216" s="22"/>
    </row>
    <row r="217" spans="1:12" ht="14.45">
      <c r="A217" s="22"/>
      <c r="B217" s="34"/>
      <c r="C217" s="22"/>
      <c r="D217" s="22"/>
      <c r="E217" s="22"/>
      <c r="F217" s="23"/>
      <c r="G217" s="22"/>
      <c r="H217" s="22"/>
      <c r="I217" s="23"/>
      <c r="J217" s="22"/>
      <c r="K217" s="22"/>
      <c r="L217" s="22"/>
    </row>
    <row r="218" spans="1:12" ht="14.45">
      <c r="A218" s="22"/>
      <c r="B218" s="34"/>
      <c r="C218" s="22"/>
      <c r="D218" s="22"/>
      <c r="E218" s="22"/>
      <c r="F218" s="23"/>
      <c r="G218" s="22"/>
      <c r="H218" s="22"/>
      <c r="I218" s="23"/>
      <c r="J218" s="22"/>
      <c r="K218" s="22"/>
      <c r="L218" s="22"/>
    </row>
    <row r="219" spans="1:12" ht="14.45">
      <c r="A219" s="22"/>
      <c r="B219" s="34"/>
      <c r="C219" s="22"/>
      <c r="D219" s="22"/>
      <c r="E219" s="22"/>
      <c r="F219" s="23"/>
      <c r="G219" s="22"/>
      <c r="H219" s="22"/>
      <c r="I219" s="23"/>
      <c r="J219" s="22"/>
      <c r="K219" s="22"/>
      <c r="L219" s="22"/>
    </row>
    <row r="220" spans="1:12" ht="14.45">
      <c r="A220" s="22"/>
      <c r="B220" s="34"/>
      <c r="C220" s="22"/>
      <c r="D220" s="22"/>
      <c r="E220" s="22"/>
      <c r="F220" s="23"/>
      <c r="G220" s="22"/>
      <c r="H220" s="22"/>
      <c r="I220" s="23"/>
      <c r="J220" s="22"/>
      <c r="K220" s="22"/>
      <c r="L220" s="22"/>
    </row>
    <row r="221" spans="1:12" ht="14.45">
      <c r="A221" s="22"/>
      <c r="B221" s="34"/>
      <c r="C221" s="22"/>
      <c r="D221" s="22"/>
      <c r="E221" s="22"/>
      <c r="F221" s="23"/>
      <c r="G221" s="22"/>
      <c r="H221" s="22"/>
      <c r="I221" s="23"/>
      <c r="J221" s="22"/>
      <c r="K221" s="22"/>
      <c r="L221" s="22"/>
    </row>
    <row r="222" spans="1:12" ht="14.45">
      <c r="A222" s="22"/>
      <c r="B222" s="34"/>
      <c r="C222" s="22"/>
      <c r="D222" s="22"/>
      <c r="E222" s="22"/>
      <c r="F222" s="23"/>
      <c r="G222" s="22"/>
      <c r="H222" s="22"/>
      <c r="I222" s="23"/>
      <c r="J222" s="22"/>
      <c r="K222" s="22"/>
      <c r="L222" s="22"/>
    </row>
    <row r="223" spans="1:12" ht="14.45">
      <c r="A223" s="22"/>
      <c r="B223" s="34"/>
      <c r="C223" s="22"/>
      <c r="D223" s="22"/>
      <c r="E223" s="22"/>
      <c r="F223" s="23"/>
      <c r="G223" s="22"/>
      <c r="H223" s="22"/>
      <c r="I223" s="23"/>
      <c r="J223" s="22"/>
      <c r="K223" s="22"/>
      <c r="L223" s="22"/>
    </row>
    <row r="224" spans="1:12" ht="14.45">
      <c r="A224" s="22"/>
      <c r="B224" s="34"/>
      <c r="C224" s="22"/>
      <c r="D224" s="22"/>
      <c r="E224" s="22"/>
      <c r="F224" s="23"/>
      <c r="G224" s="22"/>
      <c r="H224" s="22"/>
      <c r="I224" s="23"/>
      <c r="J224" s="22"/>
      <c r="K224" s="22"/>
      <c r="L224" s="22"/>
    </row>
    <row r="225" spans="1:12" ht="14.45">
      <c r="A225" s="22"/>
      <c r="B225" s="34"/>
      <c r="C225" s="22"/>
      <c r="D225" s="22"/>
      <c r="E225" s="22"/>
      <c r="F225" s="23"/>
      <c r="G225" s="22"/>
      <c r="H225" s="22"/>
      <c r="I225" s="23"/>
      <c r="J225" s="22"/>
      <c r="K225" s="22"/>
      <c r="L225" s="22"/>
    </row>
    <row r="226" spans="1:12" ht="14.45">
      <c r="A226" s="22"/>
      <c r="B226" s="34"/>
      <c r="C226" s="22"/>
      <c r="D226" s="22"/>
      <c r="E226" s="22"/>
      <c r="F226" s="23"/>
      <c r="G226" s="22"/>
      <c r="H226" s="22"/>
      <c r="I226" s="23"/>
      <c r="J226" s="22"/>
      <c r="K226" s="22"/>
      <c r="L226" s="22"/>
    </row>
    <row r="227" spans="1:12" ht="14.45">
      <c r="A227" s="22"/>
      <c r="B227" s="34"/>
      <c r="C227" s="22"/>
      <c r="D227" s="22"/>
      <c r="E227" s="22"/>
      <c r="F227" s="23"/>
      <c r="G227" s="22"/>
      <c r="H227" s="22"/>
      <c r="I227" s="23"/>
      <c r="J227" s="22"/>
      <c r="K227" s="22"/>
      <c r="L227" s="22"/>
    </row>
    <row r="228" spans="1:12" ht="14.45">
      <c r="A228" s="22"/>
      <c r="B228" s="34"/>
      <c r="C228" s="22"/>
      <c r="D228" s="22"/>
      <c r="E228" s="22"/>
      <c r="F228" s="23"/>
      <c r="G228" s="22"/>
      <c r="H228" s="22"/>
      <c r="I228" s="23"/>
      <c r="J228" s="22"/>
      <c r="K228" s="22"/>
      <c r="L228" s="22"/>
    </row>
    <row r="229" spans="1:12" ht="14.45">
      <c r="A229" s="22"/>
      <c r="B229" s="34"/>
      <c r="C229" s="22"/>
      <c r="D229" s="22"/>
      <c r="E229" s="22"/>
      <c r="F229" s="23"/>
      <c r="G229" s="22"/>
      <c r="H229" s="22"/>
      <c r="I229" s="23"/>
      <c r="J229" s="22"/>
      <c r="K229" s="22"/>
      <c r="L229" s="22"/>
    </row>
    <row r="230" spans="1:12" ht="14.45">
      <c r="A230" s="22"/>
      <c r="B230" s="34"/>
      <c r="C230" s="22"/>
      <c r="D230" s="22"/>
      <c r="E230" s="22"/>
      <c r="F230" s="23"/>
      <c r="G230" s="22"/>
      <c r="H230" s="22"/>
      <c r="I230" s="23"/>
      <c r="J230" s="22"/>
      <c r="K230" s="22"/>
      <c r="L230" s="22"/>
    </row>
    <row r="231" spans="1:12" ht="14.45">
      <c r="A231" s="22"/>
      <c r="B231" s="34"/>
      <c r="C231" s="22"/>
      <c r="D231" s="22"/>
      <c r="E231" s="22"/>
      <c r="F231" s="23"/>
      <c r="G231" s="22"/>
      <c r="H231" s="22"/>
      <c r="I231" s="23"/>
      <c r="J231" s="22"/>
      <c r="K231" s="22"/>
      <c r="L231" s="22"/>
    </row>
    <row r="232" spans="1:12" ht="14.45">
      <c r="A232" s="22"/>
      <c r="B232" s="34"/>
      <c r="C232" s="22"/>
      <c r="D232" s="22"/>
      <c r="E232" s="22"/>
      <c r="F232" s="23"/>
      <c r="G232" s="22"/>
      <c r="H232" s="22"/>
      <c r="I232" s="23"/>
      <c r="J232" s="22"/>
      <c r="K232" s="22"/>
      <c r="L232" s="22"/>
    </row>
    <row r="233" spans="1:12" ht="14.45">
      <c r="A233" s="22"/>
      <c r="B233" s="34"/>
      <c r="C233" s="22"/>
      <c r="D233" s="22"/>
      <c r="E233" s="22"/>
      <c r="F233" s="23"/>
      <c r="G233" s="22"/>
      <c r="H233" s="22"/>
      <c r="I233" s="23"/>
      <c r="J233" s="22"/>
      <c r="K233" s="22"/>
      <c r="L233" s="22"/>
    </row>
    <row r="234" spans="1:12" ht="14.45">
      <c r="A234" s="22"/>
      <c r="B234" s="34"/>
      <c r="C234" s="22"/>
      <c r="D234" s="22"/>
      <c r="E234" s="22"/>
      <c r="F234" s="23"/>
      <c r="G234" s="22"/>
      <c r="H234" s="22"/>
      <c r="I234" s="23"/>
      <c r="J234" s="22"/>
      <c r="K234" s="22"/>
      <c r="L234" s="22"/>
    </row>
    <row r="235" spans="1:12" ht="14.45">
      <c r="A235" s="22"/>
      <c r="B235" s="34"/>
      <c r="C235" s="22"/>
      <c r="D235" s="22"/>
      <c r="E235" s="22"/>
      <c r="F235" s="23"/>
      <c r="G235" s="22"/>
      <c r="H235" s="22"/>
      <c r="I235" s="23"/>
      <c r="J235" s="22"/>
      <c r="K235" s="22"/>
      <c r="L235" s="22"/>
    </row>
    <row r="236" spans="1:12" ht="14.45">
      <c r="A236" s="22"/>
      <c r="B236" s="34"/>
      <c r="C236" s="22"/>
      <c r="D236" s="22"/>
      <c r="E236" s="22"/>
      <c r="F236" s="23"/>
      <c r="G236" s="22"/>
      <c r="H236" s="22"/>
      <c r="I236" s="23"/>
      <c r="J236" s="22"/>
      <c r="K236" s="22"/>
      <c r="L236" s="22"/>
    </row>
    <row r="237" spans="1:12" ht="14.45">
      <c r="A237" s="22"/>
      <c r="B237" s="34"/>
      <c r="C237" s="22"/>
      <c r="D237" s="22"/>
      <c r="E237" s="22"/>
      <c r="F237" s="23"/>
      <c r="G237" s="22"/>
      <c r="H237" s="22"/>
      <c r="I237" s="23"/>
      <c r="J237" s="22"/>
      <c r="K237" s="22"/>
      <c r="L237" s="22"/>
    </row>
    <row r="238" spans="1:12" ht="14.45">
      <c r="A238" s="22"/>
      <c r="B238" s="34"/>
      <c r="C238" s="22"/>
      <c r="D238" s="22"/>
      <c r="E238" s="22"/>
      <c r="F238" s="23"/>
      <c r="G238" s="22"/>
      <c r="H238" s="22"/>
      <c r="I238" s="23"/>
      <c r="J238" s="22"/>
      <c r="K238" s="22"/>
      <c r="L238" s="22"/>
    </row>
    <row r="239" spans="1:12" ht="14.45">
      <c r="A239" s="22"/>
      <c r="B239" s="34"/>
      <c r="C239" s="22"/>
      <c r="D239" s="22"/>
      <c r="E239" s="22"/>
      <c r="F239" s="23"/>
      <c r="G239" s="22"/>
      <c r="H239" s="22"/>
      <c r="I239" s="23"/>
      <c r="J239" s="22"/>
      <c r="K239" s="22"/>
      <c r="L239" s="22"/>
    </row>
    <row r="240" spans="1:12" ht="14.45">
      <c r="A240" s="22"/>
      <c r="B240" s="34"/>
      <c r="C240" s="22"/>
      <c r="D240" s="22"/>
      <c r="E240" s="22"/>
      <c r="F240" s="23"/>
      <c r="G240" s="22"/>
      <c r="H240" s="22"/>
      <c r="I240" s="23"/>
      <c r="J240" s="22"/>
      <c r="K240" s="22"/>
      <c r="L240" s="22"/>
    </row>
    <row r="241" spans="1:12" ht="14.45">
      <c r="A241" s="22"/>
      <c r="B241" s="34"/>
      <c r="C241" s="22"/>
      <c r="D241" s="22"/>
      <c r="E241" s="22"/>
      <c r="F241" s="23"/>
      <c r="G241" s="22"/>
      <c r="H241" s="22"/>
      <c r="I241" s="23"/>
      <c r="J241" s="22"/>
      <c r="K241" s="22"/>
      <c r="L241" s="22"/>
    </row>
    <row r="242" spans="1:12" ht="14.45">
      <c r="A242" s="22"/>
      <c r="B242" s="34"/>
      <c r="C242" s="22"/>
      <c r="D242" s="22"/>
      <c r="E242" s="22"/>
      <c r="F242" s="23"/>
      <c r="G242" s="22"/>
      <c r="H242" s="22"/>
      <c r="I242" s="23"/>
      <c r="J242" s="22"/>
      <c r="K242" s="22"/>
      <c r="L242" s="22"/>
    </row>
    <row r="243" spans="1:12" ht="14.45">
      <c r="A243" s="22"/>
      <c r="B243" s="34"/>
      <c r="C243" s="22"/>
      <c r="D243" s="22"/>
      <c r="E243" s="22"/>
      <c r="F243" s="23"/>
      <c r="G243" s="22"/>
      <c r="H243" s="22"/>
      <c r="I243" s="23"/>
      <c r="J243" s="22"/>
      <c r="K243" s="22"/>
      <c r="L243" s="22"/>
    </row>
    <row r="244" spans="1:12" ht="14.45">
      <c r="A244" s="22"/>
      <c r="B244" s="34"/>
      <c r="C244" s="22"/>
      <c r="D244" s="22"/>
      <c r="E244" s="22"/>
      <c r="F244" s="23"/>
      <c r="G244" s="22"/>
      <c r="H244" s="22"/>
      <c r="I244" s="23"/>
      <c r="J244" s="22"/>
      <c r="K244" s="22"/>
      <c r="L244" s="22"/>
    </row>
    <row r="245" spans="1:12" ht="14.45">
      <c r="A245" s="22"/>
      <c r="B245" s="34"/>
      <c r="C245" s="22"/>
      <c r="D245" s="22"/>
      <c r="E245" s="22"/>
      <c r="F245" s="23"/>
      <c r="G245" s="22"/>
      <c r="H245" s="22"/>
      <c r="I245" s="23"/>
      <c r="J245" s="22"/>
      <c r="K245" s="22"/>
      <c r="L245" s="22"/>
    </row>
    <row r="246" spans="1:12" ht="14.45">
      <c r="A246" s="22"/>
      <c r="B246" s="34"/>
      <c r="C246" s="22"/>
      <c r="D246" s="22"/>
      <c r="E246" s="22"/>
      <c r="F246" s="23"/>
      <c r="G246" s="22"/>
      <c r="H246" s="22"/>
      <c r="I246" s="23"/>
      <c r="J246" s="22"/>
      <c r="K246" s="22"/>
      <c r="L246" s="22"/>
    </row>
    <row r="247" spans="1:12" ht="14.45">
      <c r="A247" s="22"/>
      <c r="B247" s="34"/>
      <c r="C247" s="22"/>
      <c r="D247" s="22"/>
      <c r="E247" s="22"/>
      <c r="F247" s="23"/>
      <c r="G247" s="22"/>
      <c r="H247" s="22"/>
      <c r="I247" s="23"/>
      <c r="J247" s="22"/>
      <c r="K247" s="22"/>
      <c r="L247" s="22"/>
    </row>
    <row r="248" spans="1:12" ht="14.45">
      <c r="A248" s="22"/>
      <c r="B248" s="34"/>
      <c r="C248" s="22"/>
      <c r="D248" s="22"/>
      <c r="E248" s="22"/>
      <c r="F248" s="23"/>
      <c r="G248" s="22"/>
      <c r="H248" s="22"/>
      <c r="I248" s="23"/>
      <c r="J248" s="22"/>
      <c r="K248" s="22"/>
      <c r="L248" s="22"/>
    </row>
    <row r="249" spans="1:12" ht="14.45">
      <c r="A249" s="22"/>
      <c r="B249" s="34"/>
      <c r="C249" s="22"/>
      <c r="D249" s="22"/>
      <c r="E249" s="22"/>
      <c r="F249" s="23"/>
      <c r="G249" s="22"/>
      <c r="H249" s="22"/>
      <c r="I249" s="23"/>
      <c r="J249" s="22"/>
      <c r="K249" s="22"/>
      <c r="L249" s="22"/>
    </row>
    <row r="250" spans="1:12" ht="14.45">
      <c r="A250" s="22"/>
      <c r="B250" s="34"/>
      <c r="C250" s="22"/>
      <c r="D250" s="22"/>
      <c r="E250" s="22"/>
      <c r="F250" s="23"/>
      <c r="G250" s="22"/>
      <c r="H250" s="22"/>
      <c r="I250" s="23"/>
      <c r="J250" s="22"/>
      <c r="K250" s="22"/>
      <c r="L250" s="22"/>
    </row>
    <row r="251" spans="1:12" ht="14.45">
      <c r="A251" s="22"/>
      <c r="B251" s="34"/>
      <c r="C251" s="22"/>
      <c r="D251" s="22"/>
      <c r="E251" s="22"/>
      <c r="F251" s="23"/>
      <c r="G251" s="22"/>
      <c r="H251" s="22"/>
      <c r="I251" s="23"/>
      <c r="J251" s="22"/>
      <c r="K251" s="22"/>
      <c r="L251" s="22"/>
    </row>
    <row r="252" spans="1:12" ht="14.45">
      <c r="A252" s="22"/>
      <c r="B252" s="34"/>
      <c r="C252" s="22"/>
      <c r="D252" s="22"/>
      <c r="E252" s="22"/>
      <c r="F252" s="23"/>
      <c r="G252" s="22"/>
      <c r="H252" s="22"/>
      <c r="I252" s="23"/>
      <c r="J252" s="22"/>
      <c r="K252" s="22"/>
      <c r="L252" s="22"/>
    </row>
    <row r="253" spans="1:12" ht="14.45">
      <c r="A253" s="22"/>
      <c r="B253" s="34"/>
      <c r="C253" s="22"/>
      <c r="D253" s="22"/>
      <c r="E253" s="22"/>
      <c r="F253" s="23"/>
      <c r="G253" s="22"/>
      <c r="H253" s="22"/>
      <c r="I253" s="23"/>
      <c r="J253" s="22"/>
      <c r="K253" s="22"/>
      <c r="L253" s="22"/>
    </row>
    <row r="254" spans="1:12" ht="14.45">
      <c r="A254" s="22"/>
      <c r="B254" s="34"/>
      <c r="C254" s="22"/>
      <c r="D254" s="22"/>
      <c r="E254" s="22"/>
      <c r="F254" s="23"/>
      <c r="G254" s="22"/>
      <c r="H254" s="22"/>
      <c r="I254" s="23"/>
      <c r="J254" s="22"/>
      <c r="K254" s="22"/>
      <c r="L254" s="22"/>
    </row>
    <row r="255" spans="1:12" ht="14.45">
      <c r="A255" s="22"/>
      <c r="B255" s="34"/>
      <c r="C255" s="22"/>
      <c r="D255" s="22"/>
      <c r="E255" s="22"/>
      <c r="F255" s="23"/>
      <c r="G255" s="22"/>
      <c r="H255" s="22"/>
      <c r="I255" s="23"/>
      <c r="J255" s="22"/>
      <c r="K255" s="22"/>
      <c r="L255" s="22"/>
    </row>
    <row r="256" spans="1:12" ht="14.45">
      <c r="A256" s="22"/>
      <c r="B256" s="34"/>
      <c r="C256" s="22"/>
      <c r="D256" s="22"/>
      <c r="E256" s="22"/>
      <c r="F256" s="23"/>
      <c r="G256" s="22"/>
      <c r="H256" s="22"/>
      <c r="I256" s="23"/>
      <c r="J256" s="22"/>
      <c r="K256" s="22"/>
      <c r="L256" s="22"/>
    </row>
    <row r="257" spans="1:12" ht="14.45">
      <c r="A257" s="22"/>
      <c r="B257" s="34"/>
      <c r="C257" s="22"/>
      <c r="D257" s="22"/>
      <c r="E257" s="22"/>
      <c r="F257" s="23"/>
      <c r="G257" s="22"/>
      <c r="H257" s="22"/>
      <c r="I257" s="23"/>
      <c r="J257" s="22"/>
      <c r="K257" s="22"/>
      <c r="L257" s="22"/>
    </row>
    <row r="258" spans="1:12" ht="14.45">
      <c r="A258" s="22"/>
      <c r="B258" s="34"/>
      <c r="C258" s="22"/>
      <c r="D258" s="22"/>
      <c r="E258" s="22"/>
      <c r="F258" s="23"/>
      <c r="G258" s="22"/>
      <c r="H258" s="22"/>
      <c r="I258" s="23"/>
      <c r="J258" s="22"/>
      <c r="K258" s="22"/>
      <c r="L258" s="22"/>
    </row>
    <row r="259" spans="1:12" ht="14.45">
      <c r="A259" s="22"/>
      <c r="B259" s="34"/>
      <c r="C259" s="22"/>
      <c r="D259" s="22"/>
      <c r="E259" s="22"/>
      <c r="F259" s="23"/>
      <c r="G259" s="22"/>
      <c r="H259" s="22"/>
      <c r="I259" s="23"/>
      <c r="J259" s="22"/>
      <c r="K259" s="22"/>
      <c r="L259" s="22"/>
    </row>
    <row r="260" spans="1:12" ht="14.45">
      <c r="A260" s="22"/>
      <c r="B260" s="34"/>
      <c r="C260" s="22"/>
      <c r="D260" s="22"/>
      <c r="E260" s="22"/>
      <c r="F260" s="23"/>
      <c r="G260" s="22"/>
      <c r="H260" s="22"/>
      <c r="I260" s="23"/>
      <c r="J260" s="22"/>
      <c r="K260" s="22"/>
      <c r="L260" s="22"/>
    </row>
    <row r="261" spans="1:12" ht="14.45">
      <c r="A261" s="22"/>
      <c r="B261" s="34"/>
      <c r="C261" s="22"/>
      <c r="D261" s="22"/>
      <c r="E261" s="22"/>
      <c r="F261" s="23"/>
      <c r="G261" s="22"/>
      <c r="H261" s="22"/>
      <c r="I261" s="23"/>
      <c r="J261" s="22"/>
      <c r="K261" s="22"/>
      <c r="L261" s="22"/>
    </row>
    <row r="262" spans="1:12" ht="14.45">
      <c r="A262" s="22"/>
      <c r="B262" s="34"/>
      <c r="C262" s="22"/>
      <c r="D262" s="22"/>
      <c r="E262" s="22"/>
      <c r="F262" s="23"/>
      <c r="G262" s="22"/>
      <c r="H262" s="22"/>
      <c r="I262" s="23"/>
      <c r="J262" s="22"/>
      <c r="K262" s="22"/>
      <c r="L262" s="22"/>
    </row>
    <row r="263" spans="1:12" ht="14.45">
      <c r="A263" s="22"/>
      <c r="B263" s="34"/>
      <c r="C263" s="22"/>
      <c r="D263" s="22"/>
      <c r="E263" s="22"/>
      <c r="F263" s="23"/>
      <c r="G263" s="22"/>
      <c r="H263" s="22"/>
      <c r="I263" s="23"/>
      <c r="J263" s="22"/>
      <c r="K263" s="22"/>
      <c r="L263" s="22"/>
    </row>
    <row r="264" spans="1:12" ht="14.45">
      <c r="A264" s="22"/>
      <c r="B264" s="34"/>
      <c r="C264" s="22"/>
      <c r="D264" s="22"/>
      <c r="E264" s="22"/>
      <c r="F264" s="23"/>
      <c r="G264" s="22"/>
      <c r="H264" s="22"/>
      <c r="I264" s="23"/>
      <c r="J264" s="22"/>
      <c r="K264" s="22"/>
      <c r="L264" s="22"/>
    </row>
    <row r="265" spans="1:12" ht="14.45">
      <c r="A265" s="22"/>
      <c r="B265" s="34"/>
      <c r="C265" s="22"/>
      <c r="D265" s="22"/>
      <c r="E265" s="22"/>
      <c r="F265" s="23"/>
      <c r="G265" s="22"/>
      <c r="H265" s="22"/>
      <c r="I265" s="23"/>
      <c r="J265" s="22"/>
      <c r="K265" s="22"/>
      <c r="L265" s="22"/>
    </row>
    <row r="266" spans="1:12" ht="14.45">
      <c r="A266" s="22"/>
      <c r="B266" s="34"/>
      <c r="C266" s="22"/>
      <c r="D266" s="22"/>
      <c r="E266" s="22"/>
      <c r="F266" s="23"/>
      <c r="G266" s="22"/>
      <c r="H266" s="22"/>
      <c r="I266" s="23"/>
      <c r="J266" s="22"/>
      <c r="K266" s="22"/>
      <c r="L266" s="22"/>
    </row>
    <row r="267" spans="1:12" ht="14.45">
      <c r="A267" s="22"/>
      <c r="B267" s="34"/>
      <c r="C267" s="22"/>
      <c r="D267" s="22"/>
      <c r="E267" s="22"/>
      <c r="F267" s="23"/>
      <c r="G267" s="22"/>
      <c r="H267" s="22"/>
      <c r="I267" s="23"/>
      <c r="J267" s="22"/>
      <c r="K267" s="22"/>
      <c r="L267" s="22"/>
    </row>
    <row r="268" spans="1:12" ht="14.45">
      <c r="A268" s="22"/>
      <c r="B268" s="34"/>
      <c r="C268" s="22"/>
      <c r="D268" s="22"/>
      <c r="E268" s="22"/>
      <c r="F268" s="23"/>
      <c r="G268" s="22"/>
      <c r="H268" s="22"/>
      <c r="I268" s="23"/>
      <c r="J268" s="22"/>
      <c r="K268" s="22"/>
      <c r="L268" s="22"/>
    </row>
    <row r="269" spans="1:12" ht="14.45">
      <c r="A269" s="22"/>
      <c r="B269" s="34"/>
      <c r="C269" s="22"/>
      <c r="D269" s="22"/>
      <c r="E269" s="22"/>
      <c r="F269" s="23"/>
      <c r="G269" s="22"/>
      <c r="H269" s="22"/>
      <c r="I269" s="23"/>
      <c r="J269" s="22"/>
      <c r="K269" s="22"/>
      <c r="L269" s="22"/>
    </row>
    <row r="270" spans="1:12" ht="14.45">
      <c r="A270" s="22"/>
      <c r="B270" s="34"/>
      <c r="C270" s="22"/>
      <c r="D270" s="22"/>
      <c r="E270" s="22"/>
      <c r="F270" s="23"/>
      <c r="G270" s="22"/>
      <c r="H270" s="22"/>
      <c r="I270" s="23"/>
      <c r="J270" s="22"/>
      <c r="K270" s="22"/>
      <c r="L270" s="22"/>
    </row>
    <row r="271" spans="1:12" ht="14.45">
      <c r="A271" s="22"/>
      <c r="B271" s="34"/>
      <c r="C271" s="22"/>
      <c r="D271" s="22"/>
      <c r="E271" s="22"/>
      <c r="F271" s="23"/>
      <c r="G271" s="22"/>
      <c r="H271" s="22"/>
      <c r="I271" s="23"/>
      <c r="J271" s="22"/>
      <c r="K271" s="22"/>
      <c r="L271" s="22"/>
    </row>
    <row r="272" spans="1:12" ht="14.45">
      <c r="A272" s="22"/>
      <c r="B272" s="34"/>
      <c r="C272" s="22"/>
      <c r="D272" s="22"/>
      <c r="E272" s="22"/>
      <c r="F272" s="23"/>
      <c r="G272" s="22"/>
      <c r="H272" s="22"/>
      <c r="I272" s="23"/>
      <c r="J272" s="22"/>
      <c r="K272" s="22"/>
      <c r="L272" s="22"/>
    </row>
    <row r="273" spans="1:12" ht="14.45">
      <c r="A273" s="22"/>
      <c r="B273" s="34"/>
      <c r="C273" s="22"/>
      <c r="D273" s="22"/>
      <c r="E273" s="22"/>
      <c r="F273" s="23"/>
      <c r="G273" s="22"/>
      <c r="H273" s="22"/>
      <c r="I273" s="23"/>
      <c r="J273" s="22"/>
      <c r="K273" s="22"/>
      <c r="L273" s="22"/>
    </row>
    <row r="274" spans="1:12" ht="14.45">
      <c r="A274" s="22"/>
      <c r="B274" s="34"/>
      <c r="C274" s="22"/>
      <c r="D274" s="22"/>
      <c r="E274" s="22"/>
      <c r="F274" s="23"/>
      <c r="G274" s="22"/>
      <c r="H274" s="22"/>
      <c r="I274" s="23"/>
      <c r="J274" s="22"/>
      <c r="K274" s="22"/>
      <c r="L274" s="22"/>
    </row>
    <row r="275" spans="1:12" ht="14.45">
      <c r="A275" s="22"/>
      <c r="B275" s="34"/>
      <c r="C275" s="22"/>
      <c r="D275" s="22"/>
      <c r="E275" s="22"/>
      <c r="F275" s="23"/>
      <c r="G275" s="22"/>
      <c r="H275" s="22"/>
      <c r="I275" s="23"/>
      <c r="J275" s="22"/>
      <c r="K275" s="22"/>
      <c r="L275" s="22"/>
    </row>
    <row r="276" spans="1:12" ht="14.45">
      <c r="A276" s="22"/>
      <c r="B276" s="34"/>
      <c r="C276" s="22"/>
      <c r="D276" s="22"/>
      <c r="E276" s="22"/>
      <c r="F276" s="23"/>
      <c r="G276" s="22"/>
      <c r="H276" s="22"/>
      <c r="I276" s="23"/>
      <c r="J276" s="22"/>
      <c r="K276" s="22"/>
      <c r="L276" s="22"/>
    </row>
    <row r="277" spans="1:12" ht="14.45">
      <c r="A277" s="22"/>
      <c r="B277" s="34"/>
      <c r="C277" s="22"/>
      <c r="D277" s="22"/>
      <c r="E277" s="22"/>
      <c r="F277" s="23"/>
      <c r="G277" s="22"/>
      <c r="H277" s="22"/>
      <c r="I277" s="23"/>
      <c r="J277" s="22"/>
      <c r="K277" s="22"/>
      <c r="L277" s="22"/>
    </row>
    <row r="278" spans="1:12" ht="14.45">
      <c r="A278" s="22"/>
      <c r="B278" s="34"/>
      <c r="C278" s="22"/>
      <c r="D278" s="22"/>
      <c r="E278" s="22"/>
      <c r="F278" s="23"/>
      <c r="G278" s="22"/>
      <c r="H278" s="22"/>
      <c r="I278" s="23"/>
      <c r="J278" s="22"/>
      <c r="K278" s="22"/>
      <c r="L278" s="22"/>
    </row>
    <row r="279" spans="1:12" ht="14.45">
      <c r="A279" s="22"/>
      <c r="B279" s="34"/>
      <c r="C279" s="22"/>
      <c r="D279" s="22"/>
      <c r="E279" s="22"/>
      <c r="F279" s="23"/>
      <c r="G279" s="22"/>
      <c r="H279" s="22"/>
      <c r="I279" s="23"/>
      <c r="J279" s="22"/>
      <c r="K279" s="22"/>
      <c r="L279" s="22"/>
    </row>
    <row r="280" spans="1:12" ht="14.45">
      <c r="A280" s="22"/>
      <c r="B280" s="34"/>
      <c r="C280" s="22"/>
      <c r="D280" s="22"/>
      <c r="E280" s="22"/>
      <c r="F280" s="23"/>
      <c r="G280" s="22"/>
      <c r="H280" s="22"/>
      <c r="I280" s="23"/>
      <c r="J280" s="22"/>
      <c r="K280" s="22"/>
      <c r="L280" s="22"/>
    </row>
    <row r="281" spans="1:12" ht="14.45">
      <c r="A281" s="22"/>
      <c r="B281" s="34"/>
      <c r="C281" s="22"/>
      <c r="D281" s="22"/>
      <c r="E281" s="22"/>
      <c r="F281" s="23"/>
      <c r="G281" s="22"/>
      <c r="H281" s="22"/>
      <c r="I281" s="23"/>
      <c r="J281" s="22"/>
      <c r="K281" s="22"/>
      <c r="L281" s="22"/>
    </row>
    <row r="282" spans="1:12" ht="14.45">
      <c r="A282" s="22"/>
      <c r="B282" s="34"/>
      <c r="C282" s="22"/>
      <c r="D282" s="22"/>
      <c r="E282" s="22"/>
      <c r="F282" s="23"/>
      <c r="G282" s="22"/>
      <c r="H282" s="22"/>
      <c r="I282" s="23"/>
      <c r="J282" s="22"/>
      <c r="K282" s="22"/>
      <c r="L282" s="22"/>
    </row>
    <row r="283" spans="1:12" ht="14.45">
      <c r="A283" s="22"/>
      <c r="B283" s="34"/>
      <c r="C283" s="22"/>
      <c r="D283" s="22"/>
      <c r="E283" s="22"/>
      <c r="F283" s="23"/>
      <c r="G283" s="22"/>
      <c r="H283" s="22"/>
      <c r="I283" s="23"/>
      <c r="J283" s="22"/>
      <c r="K283" s="22"/>
      <c r="L283" s="22"/>
    </row>
    <row r="284" spans="1:12" ht="14.45">
      <c r="A284" s="22"/>
      <c r="B284" s="34"/>
      <c r="C284" s="22"/>
      <c r="D284" s="22"/>
      <c r="E284" s="22"/>
      <c r="F284" s="23"/>
      <c r="G284" s="22"/>
      <c r="H284" s="22"/>
      <c r="I284" s="23"/>
      <c r="J284" s="22"/>
      <c r="K284" s="22"/>
      <c r="L284" s="22"/>
    </row>
    <row r="285" spans="1:12" ht="14.45">
      <c r="A285" s="22"/>
      <c r="B285" s="34"/>
      <c r="C285" s="22"/>
      <c r="D285" s="22"/>
      <c r="E285" s="22"/>
      <c r="F285" s="23"/>
      <c r="G285" s="22"/>
      <c r="H285" s="22"/>
      <c r="I285" s="23"/>
      <c r="J285" s="22"/>
      <c r="K285" s="22"/>
      <c r="L285" s="22"/>
    </row>
    <row r="286" spans="1:12" ht="14.45">
      <c r="A286" s="22"/>
      <c r="B286" s="34"/>
      <c r="C286" s="22"/>
      <c r="D286" s="22"/>
      <c r="E286" s="22"/>
      <c r="F286" s="23"/>
      <c r="G286" s="22"/>
      <c r="H286" s="22"/>
      <c r="I286" s="23"/>
      <c r="J286" s="22"/>
      <c r="K286" s="22"/>
      <c r="L286" s="22"/>
    </row>
    <row r="287" spans="1:12" ht="14.45">
      <c r="A287" s="22"/>
      <c r="B287" s="34"/>
      <c r="C287" s="22"/>
      <c r="D287" s="22"/>
      <c r="E287" s="22"/>
      <c r="F287" s="23"/>
      <c r="G287" s="22"/>
      <c r="H287" s="22"/>
      <c r="I287" s="23"/>
      <c r="J287" s="22"/>
      <c r="K287" s="22"/>
      <c r="L287" s="22"/>
    </row>
    <row r="288" spans="1:12" ht="14.45">
      <c r="A288" s="22"/>
      <c r="B288" s="34"/>
      <c r="C288" s="22"/>
      <c r="D288" s="22"/>
      <c r="E288" s="22"/>
      <c r="F288" s="23"/>
      <c r="G288" s="22"/>
      <c r="H288" s="22"/>
      <c r="I288" s="23"/>
      <c r="J288" s="22"/>
      <c r="K288" s="22"/>
      <c r="L288" s="22"/>
    </row>
    <row r="289" spans="1:12" ht="14.45">
      <c r="A289" s="22"/>
      <c r="B289" s="34"/>
      <c r="C289" s="22"/>
      <c r="D289" s="22"/>
      <c r="E289" s="22"/>
      <c r="F289" s="23"/>
      <c r="G289" s="22"/>
      <c r="H289" s="22"/>
      <c r="I289" s="23"/>
      <c r="J289" s="22"/>
      <c r="K289" s="22"/>
      <c r="L289" s="22"/>
    </row>
    <row r="290" spans="1:12" ht="14.45">
      <c r="A290" s="22"/>
      <c r="B290" s="34"/>
      <c r="C290" s="22"/>
      <c r="D290" s="22"/>
      <c r="E290" s="22"/>
      <c r="F290" s="23"/>
      <c r="G290" s="22"/>
      <c r="H290" s="22"/>
      <c r="I290" s="23"/>
      <c r="J290" s="22"/>
      <c r="K290" s="22"/>
      <c r="L290" s="22"/>
    </row>
    <row r="291" spans="1:12" ht="14.45">
      <c r="A291" s="22"/>
      <c r="B291" s="34"/>
      <c r="C291" s="22"/>
      <c r="D291" s="22"/>
      <c r="E291" s="22"/>
      <c r="F291" s="23"/>
      <c r="G291" s="22"/>
      <c r="H291" s="22"/>
      <c r="I291" s="23"/>
      <c r="J291" s="22"/>
      <c r="K291" s="22"/>
      <c r="L291" s="22"/>
    </row>
    <row r="292" spans="1:12" ht="14.45">
      <c r="A292" s="22"/>
      <c r="B292" s="34"/>
      <c r="C292" s="22"/>
      <c r="D292" s="22"/>
      <c r="E292" s="22"/>
      <c r="F292" s="23"/>
      <c r="G292" s="22"/>
      <c r="H292" s="22"/>
      <c r="I292" s="23"/>
      <c r="J292" s="22"/>
      <c r="K292" s="22"/>
      <c r="L292" s="22"/>
    </row>
    <row r="293" spans="1:12" ht="14.45">
      <c r="A293" s="22"/>
      <c r="B293" s="34"/>
      <c r="C293" s="22"/>
      <c r="D293" s="22"/>
      <c r="E293" s="22"/>
      <c r="F293" s="23"/>
      <c r="G293" s="22"/>
      <c r="H293" s="22"/>
      <c r="I293" s="23"/>
      <c r="J293" s="22"/>
      <c r="K293" s="22"/>
      <c r="L293" s="22"/>
    </row>
    <row r="294" spans="1:12" ht="14.45">
      <c r="A294" s="22"/>
      <c r="B294" s="34"/>
      <c r="C294" s="22"/>
      <c r="D294" s="22"/>
      <c r="E294" s="22"/>
      <c r="F294" s="23"/>
      <c r="G294" s="22"/>
      <c r="H294" s="22"/>
      <c r="I294" s="23"/>
      <c r="J294" s="22"/>
      <c r="K294" s="22"/>
      <c r="L294" s="22"/>
    </row>
    <row r="295" spans="1:12" ht="14.45">
      <c r="A295" s="22"/>
      <c r="B295" s="34"/>
      <c r="C295" s="22"/>
      <c r="D295" s="22"/>
      <c r="E295" s="22"/>
      <c r="F295" s="23"/>
      <c r="G295" s="22"/>
      <c r="H295" s="22"/>
      <c r="I295" s="23"/>
      <c r="J295" s="22"/>
      <c r="K295" s="22"/>
      <c r="L295" s="22"/>
    </row>
    <row r="296" spans="1:12" ht="14.45">
      <c r="A296" s="22"/>
      <c r="B296" s="34"/>
      <c r="C296" s="22"/>
      <c r="D296" s="22"/>
      <c r="E296" s="22"/>
      <c r="F296" s="23"/>
      <c r="G296" s="22"/>
      <c r="H296" s="22"/>
      <c r="I296" s="23"/>
      <c r="J296" s="22"/>
      <c r="K296" s="22"/>
      <c r="L296" s="22"/>
    </row>
    <row r="297" spans="1:12" ht="14.45">
      <c r="A297" s="22"/>
      <c r="B297" s="34"/>
      <c r="C297" s="22"/>
      <c r="D297" s="22"/>
      <c r="E297" s="22"/>
      <c r="F297" s="23"/>
      <c r="G297" s="22"/>
      <c r="H297" s="22"/>
      <c r="I297" s="23"/>
      <c r="J297" s="22"/>
      <c r="K297" s="22"/>
      <c r="L297" s="22"/>
    </row>
    <row r="298" spans="1:12" ht="14.45">
      <c r="A298" s="22"/>
      <c r="B298" s="34"/>
      <c r="C298" s="22"/>
      <c r="D298" s="22"/>
      <c r="E298" s="22"/>
      <c r="F298" s="23"/>
      <c r="G298" s="22"/>
      <c r="H298" s="22"/>
      <c r="I298" s="23"/>
      <c r="J298" s="22"/>
      <c r="K298" s="22"/>
      <c r="L298" s="22"/>
    </row>
    <row r="299" spans="1:12" ht="14.45">
      <c r="A299" s="22"/>
      <c r="B299" s="34"/>
      <c r="C299" s="22"/>
      <c r="D299" s="22"/>
      <c r="E299" s="22"/>
      <c r="F299" s="23"/>
      <c r="G299" s="22"/>
      <c r="H299" s="22"/>
      <c r="I299" s="23"/>
      <c r="J299" s="22"/>
      <c r="K299" s="22"/>
      <c r="L299" s="22"/>
    </row>
    <row r="300" spans="1:12" ht="14.45">
      <c r="A300" s="22"/>
      <c r="B300" s="34"/>
      <c r="C300" s="22"/>
      <c r="D300" s="22"/>
      <c r="E300" s="22"/>
      <c r="F300" s="23"/>
      <c r="G300" s="22"/>
      <c r="H300" s="22"/>
      <c r="I300" s="23"/>
      <c r="J300" s="22"/>
      <c r="K300" s="22"/>
      <c r="L300" s="22"/>
    </row>
    <row r="301" spans="1:12" ht="14.45">
      <c r="A301" s="22"/>
      <c r="B301" s="34"/>
      <c r="C301" s="22"/>
      <c r="D301" s="22"/>
      <c r="E301" s="22"/>
      <c r="F301" s="23"/>
      <c r="G301" s="22"/>
      <c r="H301" s="22"/>
      <c r="I301" s="23"/>
      <c r="J301" s="22"/>
      <c r="K301" s="22"/>
      <c r="L301" s="22"/>
    </row>
    <row r="302" spans="1:12" ht="14.45">
      <c r="A302" s="22"/>
      <c r="B302" s="34"/>
      <c r="C302" s="22"/>
      <c r="D302" s="22"/>
      <c r="E302" s="22"/>
      <c r="F302" s="23"/>
      <c r="G302" s="22"/>
      <c r="H302" s="22"/>
      <c r="I302" s="23"/>
      <c r="J302" s="22"/>
      <c r="K302" s="22"/>
      <c r="L302" s="22"/>
    </row>
    <row r="303" spans="1:12" ht="14.45">
      <c r="A303" s="22"/>
      <c r="B303" s="34"/>
      <c r="C303" s="22"/>
      <c r="D303" s="22"/>
      <c r="E303" s="22"/>
      <c r="F303" s="23"/>
      <c r="G303" s="22"/>
      <c r="H303" s="22"/>
      <c r="I303" s="23"/>
      <c r="J303" s="22"/>
      <c r="K303" s="22"/>
      <c r="L303" s="22"/>
    </row>
    <row r="304" spans="1:12" ht="14.45">
      <c r="A304" s="22"/>
      <c r="B304" s="34"/>
      <c r="C304" s="22"/>
      <c r="D304" s="22"/>
      <c r="E304" s="22"/>
      <c r="F304" s="23"/>
      <c r="G304" s="22"/>
      <c r="H304" s="22"/>
      <c r="I304" s="23"/>
      <c r="J304" s="22"/>
      <c r="K304" s="22"/>
      <c r="L304" s="22"/>
    </row>
    <row r="305" spans="1:12" ht="14.45">
      <c r="A305" s="22"/>
      <c r="B305" s="34"/>
      <c r="C305" s="22"/>
      <c r="D305" s="22"/>
      <c r="E305" s="22"/>
      <c r="F305" s="23"/>
      <c r="G305" s="22"/>
      <c r="H305" s="22"/>
      <c r="I305" s="23"/>
      <c r="J305" s="22"/>
      <c r="K305" s="22"/>
      <c r="L305" s="22"/>
    </row>
    <row r="306" spans="1:12" ht="14.45">
      <c r="A306" s="22"/>
      <c r="B306" s="34"/>
      <c r="C306" s="22"/>
      <c r="D306" s="22"/>
      <c r="E306" s="22"/>
      <c r="F306" s="23"/>
      <c r="G306" s="22"/>
      <c r="H306" s="22"/>
      <c r="I306" s="23"/>
      <c r="J306" s="22"/>
      <c r="K306" s="22"/>
      <c r="L306" s="22"/>
    </row>
    <row r="307" spans="1:12" ht="14.45">
      <c r="A307" s="22"/>
      <c r="B307" s="34"/>
      <c r="C307" s="22"/>
      <c r="D307" s="22"/>
      <c r="E307" s="22"/>
      <c r="F307" s="23"/>
      <c r="G307" s="22"/>
      <c r="H307" s="22"/>
      <c r="I307" s="23"/>
      <c r="J307" s="22"/>
      <c r="K307" s="22"/>
      <c r="L307" s="22"/>
    </row>
    <row r="308" spans="1:12" ht="14.45">
      <c r="A308" s="22"/>
      <c r="B308" s="34"/>
      <c r="C308" s="22"/>
      <c r="D308" s="22"/>
      <c r="E308" s="22"/>
      <c r="F308" s="23"/>
      <c r="G308" s="22"/>
      <c r="H308" s="22"/>
      <c r="I308" s="23"/>
      <c r="J308" s="22"/>
      <c r="K308" s="22"/>
      <c r="L308" s="22"/>
    </row>
    <row r="309" spans="1:12" ht="14.45">
      <c r="A309" s="22"/>
      <c r="B309" s="34"/>
      <c r="C309" s="22"/>
      <c r="D309" s="22"/>
      <c r="E309" s="22"/>
      <c r="F309" s="23"/>
      <c r="G309" s="22"/>
      <c r="H309" s="22"/>
      <c r="I309" s="23"/>
      <c r="J309" s="22"/>
      <c r="K309" s="22"/>
      <c r="L309" s="22"/>
    </row>
    <row r="310" spans="1:12" ht="14.45">
      <c r="A310" s="22"/>
      <c r="B310" s="34"/>
      <c r="C310" s="22"/>
      <c r="D310" s="22"/>
      <c r="E310" s="22"/>
      <c r="F310" s="23"/>
      <c r="G310" s="22"/>
      <c r="H310" s="22"/>
      <c r="I310" s="23"/>
      <c r="J310" s="22"/>
      <c r="K310" s="22"/>
      <c r="L310" s="22"/>
    </row>
    <row r="311" spans="1:12" ht="14.45">
      <c r="A311" s="22"/>
      <c r="B311" s="34"/>
      <c r="C311" s="22"/>
      <c r="D311" s="22"/>
      <c r="E311" s="22"/>
      <c r="F311" s="23"/>
      <c r="G311" s="22"/>
      <c r="H311" s="22"/>
      <c r="I311" s="23"/>
      <c r="J311" s="22"/>
      <c r="K311" s="22"/>
      <c r="L311" s="22"/>
    </row>
    <row r="312" spans="1:12" ht="14.45">
      <c r="A312" s="22"/>
      <c r="B312" s="34"/>
      <c r="C312" s="22"/>
      <c r="D312" s="22"/>
      <c r="E312" s="22"/>
      <c r="F312" s="23"/>
      <c r="G312" s="22"/>
      <c r="H312" s="22"/>
      <c r="I312" s="23"/>
      <c r="J312" s="22"/>
      <c r="K312" s="22"/>
      <c r="L312" s="22"/>
    </row>
    <row r="313" spans="1:12" ht="14.45">
      <c r="A313" s="22"/>
      <c r="B313" s="34"/>
      <c r="C313" s="22"/>
      <c r="D313" s="22"/>
      <c r="E313" s="22"/>
      <c r="F313" s="23"/>
      <c r="G313" s="22"/>
      <c r="H313" s="22"/>
      <c r="I313" s="23"/>
      <c r="J313" s="22"/>
      <c r="K313" s="22"/>
      <c r="L313" s="22"/>
    </row>
    <row r="314" spans="1:12" ht="14.45">
      <c r="A314" s="22"/>
      <c r="B314" s="34"/>
      <c r="C314" s="22"/>
      <c r="D314" s="22"/>
      <c r="E314" s="22"/>
      <c r="F314" s="23"/>
      <c r="G314" s="22"/>
      <c r="H314" s="22"/>
      <c r="I314" s="23"/>
      <c r="J314" s="22"/>
      <c r="K314" s="22"/>
      <c r="L314" s="22"/>
    </row>
    <row r="315" spans="1:12" ht="14.45">
      <c r="A315" s="22"/>
      <c r="B315" s="34"/>
      <c r="C315" s="22"/>
      <c r="D315" s="22"/>
      <c r="E315" s="22"/>
      <c r="F315" s="23"/>
      <c r="G315" s="22"/>
      <c r="H315" s="22"/>
      <c r="I315" s="23"/>
      <c r="J315" s="22"/>
      <c r="K315" s="22"/>
      <c r="L315" s="22"/>
    </row>
    <row r="316" spans="1:12" ht="14.45">
      <c r="A316" s="22"/>
      <c r="B316" s="34"/>
      <c r="C316" s="22"/>
      <c r="D316" s="22"/>
      <c r="E316" s="22"/>
      <c r="F316" s="23"/>
      <c r="G316" s="22"/>
      <c r="H316" s="22"/>
      <c r="I316" s="23"/>
      <c r="J316" s="22"/>
      <c r="K316" s="22"/>
      <c r="L316" s="22"/>
    </row>
    <row r="317" spans="1:12" ht="14.45">
      <c r="A317" s="22"/>
      <c r="B317" s="34"/>
      <c r="C317" s="22"/>
      <c r="D317" s="22"/>
      <c r="E317" s="22"/>
      <c r="F317" s="23"/>
      <c r="G317" s="22"/>
      <c r="H317" s="22"/>
      <c r="I317" s="23"/>
      <c r="J317" s="22"/>
      <c r="K317" s="22"/>
      <c r="L317" s="22"/>
    </row>
    <row r="318" spans="1:12" ht="14.45">
      <c r="A318" s="22"/>
      <c r="B318" s="34"/>
      <c r="C318" s="22"/>
      <c r="D318" s="22"/>
      <c r="E318" s="22"/>
      <c r="F318" s="23"/>
      <c r="G318" s="22"/>
      <c r="H318" s="22"/>
      <c r="I318" s="23"/>
      <c r="J318" s="22"/>
      <c r="K318" s="22"/>
      <c r="L318" s="22"/>
    </row>
    <row r="319" spans="1:12" ht="14.45">
      <c r="A319" s="22"/>
      <c r="B319" s="34"/>
      <c r="C319" s="22"/>
      <c r="D319" s="22"/>
      <c r="E319" s="22"/>
      <c r="F319" s="23"/>
      <c r="G319" s="22"/>
      <c r="H319" s="22"/>
      <c r="I319" s="23"/>
      <c r="J319" s="22"/>
      <c r="K319" s="22"/>
      <c r="L319" s="22"/>
    </row>
    <row r="320" spans="1:12" ht="14.45">
      <c r="A320" s="22"/>
      <c r="B320" s="34"/>
      <c r="C320" s="22"/>
      <c r="D320" s="22"/>
      <c r="E320" s="22"/>
      <c r="F320" s="23"/>
      <c r="G320" s="22"/>
      <c r="H320" s="22"/>
      <c r="I320" s="23"/>
      <c r="J320" s="22"/>
      <c r="K320" s="22"/>
      <c r="L320" s="22"/>
    </row>
    <row r="321" spans="1:12" ht="14.45">
      <c r="A321" s="22"/>
      <c r="B321" s="34"/>
      <c r="C321" s="22"/>
      <c r="D321" s="22"/>
      <c r="E321" s="22"/>
      <c r="F321" s="23"/>
      <c r="G321" s="22"/>
      <c r="H321" s="22"/>
      <c r="I321" s="23"/>
      <c r="J321" s="22"/>
      <c r="K321" s="22"/>
      <c r="L321" s="22"/>
    </row>
    <row r="322" spans="1:12" ht="14.45">
      <c r="A322" s="22"/>
      <c r="B322" s="34"/>
      <c r="C322" s="22"/>
      <c r="D322" s="22"/>
      <c r="E322" s="22"/>
      <c r="F322" s="23"/>
      <c r="G322" s="22"/>
      <c r="H322" s="22"/>
      <c r="I322" s="23"/>
      <c r="J322" s="22"/>
      <c r="K322" s="22"/>
      <c r="L322" s="22"/>
    </row>
    <row r="323" spans="1:12" ht="14.45">
      <c r="A323" s="22"/>
      <c r="B323" s="34"/>
      <c r="C323" s="22"/>
      <c r="D323" s="22"/>
      <c r="E323" s="22"/>
      <c r="F323" s="23"/>
      <c r="G323" s="22"/>
      <c r="H323" s="22"/>
      <c r="I323" s="23"/>
      <c r="J323" s="22"/>
      <c r="K323" s="22"/>
      <c r="L323" s="22"/>
    </row>
    <row r="324" spans="1:12" ht="14.45">
      <c r="A324" s="22"/>
      <c r="B324" s="34"/>
      <c r="C324" s="22"/>
      <c r="D324" s="22"/>
      <c r="E324" s="22"/>
      <c r="F324" s="23"/>
      <c r="G324" s="22"/>
      <c r="H324" s="22"/>
      <c r="I324" s="23"/>
      <c r="J324" s="22"/>
      <c r="K324" s="22"/>
      <c r="L324" s="22"/>
    </row>
    <row r="325" spans="1:12" ht="14.45">
      <c r="A325" s="22"/>
      <c r="B325" s="34"/>
      <c r="C325" s="22"/>
      <c r="D325" s="22"/>
      <c r="E325" s="22"/>
      <c r="F325" s="23"/>
      <c r="G325" s="22"/>
      <c r="H325" s="22"/>
      <c r="I325" s="23"/>
      <c r="J325" s="22"/>
      <c r="K325" s="22"/>
      <c r="L325" s="22"/>
    </row>
    <row r="326" spans="1:12" ht="14.45">
      <c r="A326" s="22"/>
      <c r="B326" s="34"/>
      <c r="C326" s="22"/>
      <c r="D326" s="22"/>
      <c r="E326" s="22"/>
      <c r="F326" s="23"/>
      <c r="G326" s="22"/>
      <c r="H326" s="22"/>
      <c r="I326" s="23"/>
      <c r="J326" s="22"/>
      <c r="K326" s="22"/>
      <c r="L326" s="22"/>
    </row>
    <row r="327" spans="1:12" ht="14.45">
      <c r="A327" s="22"/>
      <c r="B327" s="34"/>
      <c r="C327" s="22"/>
      <c r="D327" s="22"/>
      <c r="E327" s="22"/>
      <c r="F327" s="23"/>
      <c r="G327" s="22"/>
      <c r="H327" s="22"/>
      <c r="I327" s="23"/>
      <c r="J327" s="22"/>
      <c r="K327" s="22"/>
      <c r="L327" s="22"/>
    </row>
    <row r="328" spans="1:12" ht="14.45">
      <c r="C328" s="22"/>
      <c r="D328" s="22"/>
      <c r="E328" s="22"/>
      <c r="F328" s="23"/>
      <c r="G328" s="22"/>
      <c r="H328" s="22"/>
      <c r="I328" s="23"/>
      <c r="J328" s="22"/>
      <c r="K328" s="22"/>
      <c r="L328" s="22"/>
    </row>
  </sheetData>
  <mergeCells count="4">
    <mergeCell ref="G1:I1"/>
    <mergeCell ref="A1:C1"/>
    <mergeCell ref="D1:F1"/>
    <mergeCell ref="A2:B2"/>
  </mergeCells>
  <conditionalFormatting sqref="F2 I2 F4:F86 I4:I86">
    <cfRule type="cellIs" dxfId="6" priority="1" stopIfTrue="1" operator="lessThanOrEqual">
      <formula>-0.1</formula>
    </cfRule>
    <cfRule type="expression" dxfId="5" priority="2">
      <formula>AND(ISNUMBER(F2), F2&gt;=0.1)</formula>
    </cfRule>
  </conditionalFormatting>
  <hyperlinks>
    <hyperlink ref="K6" r:id="rId1" display="https://us3.assetplanner.com/service_request?ID=102524" xr:uid="{B94BD612-AFB7-4F32-89F3-D1509A7D300D}"/>
    <hyperlink ref="M6" r:id="rId2" display="https://us3.assetplanner.com/service_request?ID=097592" xr:uid="{7F8A1531-341E-442D-98BD-266D75954C75}"/>
    <hyperlink ref="N6" r:id="rId3" display="https://us3.assetplanner.com/service_request?ID=097592" xr:uid="{188EE532-F40F-450A-A2C2-760F94805965}"/>
    <hyperlink ref="O6" r:id="rId4" display="https://us3.assetplanner.com/service_request?ID=097592" xr:uid="{C39BD7C2-9274-4BAC-BE41-2D073717F251}"/>
    <hyperlink ref="P6" r:id="rId5" display="https://us3.assetplanner.com/service_request?ID=103044" xr:uid="{11A40688-C65B-41A1-9EC3-A8C06360F19F}"/>
    <hyperlink ref="Q6" r:id="rId6" display="https://us3.assetplanner.com/service_request?ID=107293" xr:uid="{296CDA57-5F2F-4DF6-8DC2-0682FE6CEE5A}"/>
    <hyperlink ref="R6" r:id="rId7" display="https://us3.assetplanner.com/service_request?ID=101859" xr:uid="{B99F9729-5A06-4E4F-A093-9C351976F25B}"/>
    <hyperlink ref="S6" r:id="rId8" display="https://us3.assetplanner.com/service_request?ID=103044" xr:uid="{846BCED5-F013-4B49-B4A7-606784B76658}"/>
    <hyperlink ref="K8" r:id="rId9" display="https://us3.assetplanner.com/service_request?ID=109067" xr:uid="{F379BDC2-FE1F-4BE8-AFCD-9C7A01462ADF}"/>
    <hyperlink ref="K10" r:id="rId10" display="https://us3.assetplanner.com/service_request?ID=101951" xr:uid="{04611C1B-7AB3-435C-981B-C4AE9CD2CF9E}"/>
    <hyperlink ref="M10" r:id="rId11" display="https://us3.assetplanner.com/service_request?ID=107465" xr:uid="{BF39D5E3-229C-43E6-A0E3-2BA46217BCD9}"/>
    <hyperlink ref="N10" r:id="rId12" display="https://us3.assetplanner.com/service_request?ID=102330" xr:uid="{877144C1-3B2A-4AB6-9695-210D9E190869}"/>
    <hyperlink ref="K14" r:id="rId13" display="https://us3.assetplanner.com/service_request?ID=111734" xr:uid="{78B86A63-A8BD-4ED7-AA13-20F4E45E104E}"/>
  </hyperlinks>
  <pageMargins left="0.4" right="0.7" top="0.25" bottom="0.25" header="0.3" footer="0.3"/>
  <pageSetup fitToHeight="99" orientation="landscape" r:id="rId1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W328"/>
  <sheetViews>
    <sheetView tabSelected="1" topLeftCell="G1" workbookViewId="0">
      <pane ySplit="2" topLeftCell="A3" activePane="bottomLeft" state="frozen"/>
      <selection pane="bottomLeft" activeCell="A4" sqref="A4:A14"/>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0.5703125" bestFit="1" customWidth="1"/>
    <col min="12" max="12" width="14.85546875" customWidth="1"/>
  </cols>
  <sheetData>
    <row r="1" spans="1:23" ht="19.5" customHeight="1">
      <c r="A1" s="90" t="str" cm="1">
        <f t="array" ref="A1">portfolio</f>
        <v>Pardee (ENCAP)</v>
      </c>
      <c r="B1" s="90"/>
      <c r="C1" s="90"/>
      <c r="D1" s="91" t="s">
        <v>190</v>
      </c>
      <c r="E1" s="91"/>
      <c r="F1" s="91"/>
      <c r="G1" s="89" t="s">
        <v>191</v>
      </c>
      <c r="H1" s="89"/>
      <c r="I1" s="89"/>
      <c r="J1" s="4"/>
      <c r="K1" s="4"/>
      <c r="L1" s="4"/>
    </row>
    <row r="2" spans="1:23" ht="19.5" customHeight="1">
      <c r="A2" s="92" t="s">
        <v>2</v>
      </c>
      <c r="B2" s="92"/>
      <c r="C2" s="5">
        <f>SUM(C4:C86)</f>
        <v>252747.21999999997</v>
      </c>
      <c r="D2" s="5">
        <f>SUM(D4:D86)</f>
        <v>264010.15000000002</v>
      </c>
      <c r="E2" s="5">
        <f>C2-D2</f>
        <v>-11262.930000000051</v>
      </c>
      <c r="F2" s="6">
        <f>IFERROR(E2/D2, 0)</f>
        <v>-4.2660973451210303E-2</v>
      </c>
      <c r="G2" s="5">
        <f>SUM(G4:G86)</f>
        <v>282527.00699999998</v>
      </c>
      <c r="H2" s="7">
        <f>C2-G2</f>
        <v>-29779.787000000011</v>
      </c>
      <c r="I2" s="6">
        <f>IFERROR(H2/G2, 0)</f>
        <v>-0.10540509849382297</v>
      </c>
      <c r="J2" s="27" t="str">
        <f ca="1">IF(AND(TODAY()&gt;DATE(2024, 12, 1), COUNTA(Sites[Site])&lt;&gt;(COUNT(C:C)-1)), "Some sites are missing actual data; if new sites were added, make sure they are aligned correctly (including prior months!)", "")</f>
        <v/>
      </c>
      <c r="K2" s="4"/>
      <c r="L2" s="4"/>
    </row>
    <row r="3" spans="1:23" ht="14.25" customHeight="1">
      <c r="A3" s="8" t="s">
        <v>3</v>
      </c>
      <c r="B3" s="8" t="s">
        <v>4</v>
      </c>
      <c r="C3" s="24" t="s">
        <v>5</v>
      </c>
      <c r="D3" s="36" t="s">
        <v>6</v>
      </c>
      <c r="E3" s="36" t="s">
        <v>7</v>
      </c>
      <c r="F3" s="37" t="s">
        <v>8</v>
      </c>
      <c r="G3" s="38" t="s">
        <v>9</v>
      </c>
      <c r="H3" s="39" t="s">
        <v>7</v>
      </c>
      <c r="I3" s="40" t="s">
        <v>8</v>
      </c>
      <c r="J3" s="26" t="s">
        <v>20</v>
      </c>
      <c r="K3" s="26" t="s">
        <v>21</v>
      </c>
      <c r="L3" s="26" t="s">
        <v>167</v>
      </c>
    </row>
    <row r="4" spans="1:23" ht="57.6">
      <c r="A4" s="33" t="str" cm="1">
        <f t="array" ref="A4:A14">Sites[Site]</f>
        <v>AZ: ASU - Pardee - Discovery Hall</v>
      </c>
      <c r="B4" s="30" t="str" cm="1">
        <f t="array" ref="B4:B14">Sites[State]</f>
        <v>AZ</v>
      </c>
      <c r="C4" s="25">
        <v>5336.5</v>
      </c>
      <c r="D4" s="13">
        <v>5058.5</v>
      </c>
      <c r="E4" s="13">
        <f>IF(AND(ISNUMBER(C4),ISNUMBER(D4)), C4-D4, "")</f>
        <v>278</v>
      </c>
      <c r="F4" s="14">
        <f>IFERROR(E4/D4, "")</f>
        <v>5.4957003064149454E-2</v>
      </c>
      <c r="G4" s="15">
        <v>6256.44</v>
      </c>
      <c r="H4" s="15">
        <f>IF(AND(ISNUMBER(C4),ISNUMBER(G4)), C4-G4, "")</f>
        <v>-919.9399999999996</v>
      </c>
      <c r="I4" s="16">
        <f>IFERROR(H4/G4, "")</f>
        <v>-0.14703889112658311</v>
      </c>
      <c r="J4" s="17" t="s">
        <v>126</v>
      </c>
      <c r="K4" s="17"/>
      <c r="L4" s="17"/>
    </row>
    <row r="5" spans="1:23" s="53" customFormat="1" ht="34.5" customHeight="1">
      <c r="A5" s="31" t="str">
        <v>AZ: ASU - Pardee - Farrington</v>
      </c>
      <c r="B5" s="32" t="str">
        <v>AZ</v>
      </c>
      <c r="C5" s="11">
        <v>19893.7</v>
      </c>
      <c r="D5" s="19">
        <v>22588.65</v>
      </c>
      <c r="E5" s="19">
        <f t="shared" ref="E5:E14" si="0">IF(AND(ISNUMBER(C5),ISNUMBER(D5)), C5-D5, "")</f>
        <v>-2694.9500000000007</v>
      </c>
      <c r="F5" s="20">
        <f>IFERROR(E5/D5, "")</f>
        <v>-0.11930549191740102</v>
      </c>
      <c r="G5" s="21">
        <v>22963.8</v>
      </c>
      <c r="H5" s="21">
        <f t="shared" ref="H5:H14" si="1">IF(AND(ISNUMBER(C5),ISNUMBER(G5)), C5-G5, "")</f>
        <v>-3070.0999999999985</v>
      </c>
      <c r="I5" s="20">
        <f t="shared" ref="I5:I14" si="2">IFERROR(H5/G5, "")</f>
        <v>-0.13369302989923265</v>
      </c>
      <c r="J5" s="46" t="s">
        <v>192</v>
      </c>
      <c r="K5" s="42"/>
      <c r="L5" s="42"/>
    </row>
    <row r="6" spans="1:23" ht="132">
      <c r="A6" s="29" t="str">
        <v>AZ: ASU - Pardee - Macro Tech.</v>
      </c>
      <c r="B6" s="30" t="str">
        <v>AZ</v>
      </c>
      <c r="C6" s="25">
        <v>71717.7</v>
      </c>
      <c r="D6" s="13">
        <v>77976.800000000003</v>
      </c>
      <c r="E6" s="13">
        <f t="shared" si="0"/>
        <v>-6259.1000000000058</v>
      </c>
      <c r="F6" s="14">
        <f t="shared" ref="F6:F14" si="3">IFERROR(E6/D6, "")</f>
        <v>-8.0268746601553351E-2</v>
      </c>
      <c r="G6" s="15">
        <v>87504.9</v>
      </c>
      <c r="H6" s="15">
        <f t="shared" si="1"/>
        <v>-15787.199999999997</v>
      </c>
      <c r="I6" s="16">
        <f t="shared" si="2"/>
        <v>-0.18041503961492439</v>
      </c>
      <c r="J6" s="17" t="s">
        <v>193</v>
      </c>
      <c r="K6" s="57" t="s">
        <v>194</v>
      </c>
      <c r="L6" s="17" t="s">
        <v>195</v>
      </c>
      <c r="M6" s="88" t="s">
        <v>40</v>
      </c>
      <c r="N6" s="88" t="s">
        <v>40</v>
      </c>
      <c r="O6" s="88" t="s">
        <v>40</v>
      </c>
      <c r="P6" s="88" t="s">
        <v>114</v>
      </c>
      <c r="Q6" s="88" t="s">
        <v>170</v>
      </c>
      <c r="R6" s="88" t="s">
        <v>87</v>
      </c>
      <c r="S6" s="88" t="s">
        <v>114</v>
      </c>
      <c r="T6" s="88" t="s">
        <v>196</v>
      </c>
      <c r="U6" s="88" t="s">
        <v>196</v>
      </c>
      <c r="V6" s="88" t="s">
        <v>197</v>
      </c>
      <c r="W6" s="88" t="s">
        <v>196</v>
      </c>
    </row>
    <row r="7" spans="1:23" ht="57.6">
      <c r="A7" s="31" t="str">
        <v>AZ: ASU - Pardee - McCord Hall</v>
      </c>
      <c r="B7" s="32" t="str">
        <v>AZ</v>
      </c>
      <c r="C7" s="11">
        <v>7454.62</v>
      </c>
      <c r="D7" s="19">
        <v>5325.7</v>
      </c>
      <c r="E7" s="19">
        <f t="shared" si="0"/>
        <v>2128.92</v>
      </c>
      <c r="F7" s="20">
        <f t="shared" si="3"/>
        <v>0.3997446345081398</v>
      </c>
      <c r="G7" s="21">
        <v>8455.6</v>
      </c>
      <c r="H7" s="21">
        <f t="shared" si="1"/>
        <v>-1000.9800000000005</v>
      </c>
      <c r="I7" s="20">
        <f t="shared" si="2"/>
        <v>-0.11838071810397847</v>
      </c>
      <c r="J7" s="62" t="s">
        <v>126</v>
      </c>
      <c r="K7" s="18"/>
      <c r="L7" s="18"/>
    </row>
    <row r="8" spans="1:23" ht="28.9">
      <c r="A8" s="29" t="str">
        <v>AZ: NAU - SF Garage</v>
      </c>
      <c r="B8" s="30" t="str">
        <v>AZ</v>
      </c>
      <c r="C8" s="25">
        <v>44282</v>
      </c>
      <c r="D8" s="13">
        <v>47389.5</v>
      </c>
      <c r="E8" s="13">
        <f t="shared" si="0"/>
        <v>-3107.5</v>
      </c>
      <c r="F8" s="14">
        <f t="shared" si="3"/>
        <v>-6.5573597526878316E-2</v>
      </c>
      <c r="G8" s="15">
        <v>43385.466999999997</v>
      </c>
      <c r="H8" s="15">
        <f t="shared" si="1"/>
        <v>896.53300000000309</v>
      </c>
      <c r="I8" s="16">
        <f t="shared" si="2"/>
        <v>2.0664362100792949E-2</v>
      </c>
      <c r="J8" s="17" t="s">
        <v>171</v>
      </c>
      <c r="K8" s="57" t="s">
        <v>172</v>
      </c>
      <c r="L8" s="17" t="s">
        <v>179</v>
      </c>
    </row>
    <row r="9" spans="1:23" ht="15.6">
      <c r="A9" s="31" t="str">
        <v>AZ: ASU - Pardee - Parking Lot 11</v>
      </c>
      <c r="B9" s="32" t="str">
        <v>AZ</v>
      </c>
      <c r="C9" s="11">
        <v>16316.8</v>
      </c>
      <c r="D9" s="19">
        <v>14648.4</v>
      </c>
      <c r="E9" s="19">
        <f t="shared" si="0"/>
        <v>1668.3999999999996</v>
      </c>
      <c r="F9" s="20">
        <f t="shared" si="3"/>
        <v>0.11389639824144614</v>
      </c>
      <c r="G9" s="21">
        <v>9149.1</v>
      </c>
      <c r="H9" s="21">
        <f t="shared" si="1"/>
        <v>7167.6999999999989</v>
      </c>
      <c r="I9" s="20">
        <f t="shared" si="2"/>
        <v>0.78343225016668294</v>
      </c>
      <c r="J9" s="10"/>
      <c r="K9" s="18"/>
      <c r="L9" s="18"/>
    </row>
    <row r="10" spans="1:23" ht="43.15">
      <c r="A10" s="29" t="str">
        <v>AZ: ASU - Pardee - Parking Lot 19</v>
      </c>
      <c r="B10" s="30" t="str">
        <v>AZ</v>
      </c>
      <c r="C10" s="25">
        <v>12252.6</v>
      </c>
      <c r="D10" s="13">
        <v>21483.5</v>
      </c>
      <c r="E10" s="13">
        <f t="shared" si="0"/>
        <v>-9230.9</v>
      </c>
      <c r="F10" s="14">
        <f t="shared" si="3"/>
        <v>-0.42967393581120394</v>
      </c>
      <c r="G10" s="15">
        <v>13535</v>
      </c>
      <c r="H10" s="15">
        <f t="shared" si="1"/>
        <v>-1282.3999999999996</v>
      </c>
      <c r="I10" s="16">
        <f t="shared" si="2"/>
        <v>-9.47469523457702E-2</v>
      </c>
      <c r="J10" s="17" t="s">
        <v>198</v>
      </c>
      <c r="K10" s="57" t="s">
        <v>199</v>
      </c>
      <c r="L10" s="17" t="s">
        <v>200</v>
      </c>
      <c r="M10" s="88" t="s">
        <v>177</v>
      </c>
      <c r="N10" s="88" t="s">
        <v>100</v>
      </c>
      <c r="O10" s="88" t="s">
        <v>201</v>
      </c>
    </row>
    <row r="11" spans="1:23" ht="15.6">
      <c r="A11" s="31" t="str">
        <v>AZ: ASU - Pardee - Parking Lot 41</v>
      </c>
      <c r="B11" s="32" t="str">
        <v>AZ</v>
      </c>
      <c r="C11" s="11">
        <v>17442.8</v>
      </c>
      <c r="D11" s="19">
        <v>17894.599999999999</v>
      </c>
      <c r="E11" s="19">
        <f t="shared" si="0"/>
        <v>-451.79999999999927</v>
      </c>
      <c r="F11" s="20">
        <f t="shared" si="3"/>
        <v>-2.5247840130542137E-2</v>
      </c>
      <c r="G11" s="21">
        <v>20553.599999999999</v>
      </c>
      <c r="H11" s="21">
        <f t="shared" si="1"/>
        <v>-3110.7999999999993</v>
      </c>
      <c r="I11" s="20">
        <f t="shared" si="2"/>
        <v>-0.15135061497742486</v>
      </c>
      <c r="J11" s="42" t="s">
        <v>185</v>
      </c>
      <c r="K11" s="18"/>
      <c r="L11" s="18"/>
    </row>
    <row r="12" spans="1:23" ht="43.15">
      <c r="A12" s="29" t="str">
        <v>AZ: ASU - Pardee - Parking Lot 58</v>
      </c>
      <c r="B12" s="30" t="str">
        <v>AZ</v>
      </c>
      <c r="C12" s="25">
        <v>16998.5</v>
      </c>
      <c r="D12" s="13">
        <v>15190</v>
      </c>
      <c r="E12" s="13">
        <f t="shared" si="0"/>
        <v>1808.5</v>
      </c>
      <c r="F12" s="14">
        <f t="shared" si="3"/>
        <v>0.11905859117840685</v>
      </c>
      <c r="G12" s="15">
        <v>23934</v>
      </c>
      <c r="H12" s="15">
        <f t="shared" si="1"/>
        <v>-6935.5</v>
      </c>
      <c r="I12" s="16">
        <f t="shared" si="2"/>
        <v>-0.28977605080638424</v>
      </c>
      <c r="J12" s="17" t="s">
        <v>202</v>
      </c>
      <c r="K12" s="57" t="s">
        <v>203</v>
      </c>
      <c r="L12" s="17" t="s">
        <v>179</v>
      </c>
    </row>
    <row r="13" spans="1:23" ht="43.15">
      <c r="A13" s="31" t="str">
        <v>AZ: ASU - Pardee - Parking Lot 59S</v>
      </c>
      <c r="B13" s="32" t="str">
        <v>AZ</v>
      </c>
      <c r="C13" s="11">
        <v>22785</v>
      </c>
      <c r="D13" s="19">
        <v>16596.8</v>
      </c>
      <c r="E13" s="19">
        <f t="shared" si="0"/>
        <v>6188.2000000000007</v>
      </c>
      <c r="F13" s="20">
        <f t="shared" si="3"/>
        <v>0.3728550081943508</v>
      </c>
      <c r="G13" s="21">
        <v>21886.9</v>
      </c>
      <c r="H13" s="21">
        <f t="shared" si="1"/>
        <v>898.09999999999854</v>
      </c>
      <c r="I13" s="20">
        <f t="shared" si="2"/>
        <v>4.1033677679342372E-2</v>
      </c>
      <c r="J13" s="46" t="s">
        <v>204</v>
      </c>
      <c r="K13" s="60" t="s">
        <v>203</v>
      </c>
      <c r="L13" s="43" t="s">
        <v>179</v>
      </c>
    </row>
    <row r="14" spans="1:23" ht="15.6">
      <c r="A14" s="29" t="str">
        <v>AZ: ASU - Pardee - Sun Devil Complex</v>
      </c>
      <c r="B14" s="30" t="str">
        <v>AZ</v>
      </c>
      <c r="C14" s="25">
        <v>18267</v>
      </c>
      <c r="D14" s="13">
        <v>19857.7</v>
      </c>
      <c r="E14" s="13">
        <f t="shared" si="0"/>
        <v>-1590.7000000000007</v>
      </c>
      <c r="F14" s="14">
        <f t="shared" si="3"/>
        <v>-8.0104946695740226E-2</v>
      </c>
      <c r="G14" s="15">
        <v>24902.2</v>
      </c>
      <c r="H14" s="15">
        <f t="shared" si="1"/>
        <v>-6635.2000000000007</v>
      </c>
      <c r="I14" s="16">
        <f t="shared" si="2"/>
        <v>-0.26645035378400306</v>
      </c>
      <c r="J14" s="17" t="s">
        <v>205</v>
      </c>
      <c r="K14" s="57" t="s">
        <v>189</v>
      </c>
      <c r="L14" s="17" t="s">
        <v>179</v>
      </c>
    </row>
    <row r="15" spans="1:23" ht="14.45">
      <c r="A15" s="22"/>
      <c r="B15" s="34"/>
      <c r="C15" s="22"/>
      <c r="D15" s="22"/>
      <c r="E15" s="22"/>
      <c r="F15" s="22"/>
      <c r="G15" s="22"/>
      <c r="H15" s="22"/>
      <c r="I15" s="22"/>
      <c r="J15" s="22"/>
      <c r="K15" s="22"/>
      <c r="L15" s="22"/>
    </row>
    <row r="16" spans="1:23" ht="14.45">
      <c r="A16" s="22"/>
      <c r="B16" s="34"/>
      <c r="C16" s="22"/>
      <c r="D16" s="22"/>
      <c r="E16" s="22"/>
      <c r="F16" s="22"/>
      <c r="G16" s="22"/>
      <c r="H16" s="22"/>
      <c r="I16" s="22"/>
      <c r="J16" s="22"/>
      <c r="K16" s="22"/>
      <c r="L16" s="22"/>
    </row>
    <row r="17" spans="1:12" ht="14.45">
      <c r="A17" s="22"/>
      <c r="B17" s="34"/>
      <c r="C17" s="22"/>
      <c r="D17" s="22"/>
      <c r="E17" s="22"/>
      <c r="F17" s="22"/>
      <c r="G17" s="22"/>
      <c r="H17" s="22"/>
      <c r="I17" s="22"/>
      <c r="J17" s="22"/>
      <c r="K17" s="22"/>
      <c r="L17" s="22"/>
    </row>
    <row r="18" spans="1:12" ht="14.45">
      <c r="A18" s="22"/>
      <c r="B18" s="34"/>
      <c r="C18" s="22"/>
      <c r="D18" s="22"/>
      <c r="E18" s="22"/>
      <c r="F18" s="22"/>
      <c r="G18" s="22"/>
      <c r="H18" s="22"/>
      <c r="I18" s="22"/>
      <c r="J18" s="22"/>
      <c r="K18" s="22"/>
      <c r="L18" s="22"/>
    </row>
    <row r="19" spans="1:12" ht="14.45">
      <c r="A19" s="22"/>
      <c r="B19" s="34"/>
      <c r="C19" s="22"/>
      <c r="D19" s="22"/>
      <c r="E19" s="22"/>
      <c r="F19" s="23"/>
      <c r="G19" s="22"/>
      <c r="H19" s="22"/>
      <c r="I19" s="23"/>
      <c r="J19" s="22"/>
      <c r="K19" s="22"/>
      <c r="L19" s="22"/>
    </row>
    <row r="20" spans="1:12" ht="14.45">
      <c r="A20" s="22"/>
      <c r="B20" s="34"/>
      <c r="C20" s="22"/>
      <c r="D20" s="22"/>
      <c r="E20" s="22"/>
      <c r="F20" s="23"/>
      <c r="G20" s="22"/>
      <c r="H20" s="22"/>
      <c r="I20" s="23"/>
      <c r="J20" s="22"/>
      <c r="K20" s="22"/>
      <c r="L20" s="22"/>
    </row>
    <row r="21" spans="1:12" ht="14.45">
      <c r="A21" s="22"/>
      <c r="B21" s="34"/>
      <c r="C21" s="22"/>
      <c r="D21" s="22"/>
      <c r="E21" s="22"/>
      <c r="F21" s="23"/>
      <c r="G21" s="22"/>
      <c r="H21" s="22"/>
      <c r="I21" s="23"/>
      <c r="J21" s="22"/>
      <c r="K21" s="22"/>
      <c r="L21" s="22"/>
    </row>
    <row r="22" spans="1:12" ht="14.45">
      <c r="A22" s="22"/>
      <c r="B22" s="34"/>
      <c r="C22" s="22"/>
      <c r="D22" s="22"/>
      <c r="E22" s="22"/>
      <c r="F22" s="23"/>
      <c r="G22" s="22"/>
      <c r="H22" s="22"/>
      <c r="I22" s="23"/>
      <c r="J22" s="22"/>
      <c r="K22" s="22"/>
      <c r="L22" s="22"/>
    </row>
    <row r="23" spans="1:12" ht="14.45">
      <c r="A23" s="22"/>
      <c r="B23" s="34"/>
      <c r="C23" s="22"/>
      <c r="D23" s="22"/>
      <c r="E23" s="22"/>
      <c r="F23" s="23"/>
      <c r="G23" s="22"/>
      <c r="H23" s="22"/>
      <c r="I23" s="23"/>
      <c r="J23" s="22"/>
      <c r="K23" s="22"/>
      <c r="L23" s="22"/>
    </row>
    <row r="24" spans="1:12" ht="14.45">
      <c r="A24" s="22"/>
      <c r="B24" s="34"/>
      <c r="C24" s="22"/>
      <c r="D24" s="22"/>
      <c r="E24" s="22"/>
      <c r="F24" s="23"/>
      <c r="G24" s="22"/>
      <c r="H24" s="22"/>
      <c r="I24" s="23"/>
      <c r="J24" s="22"/>
      <c r="K24" s="22"/>
      <c r="L24" s="22"/>
    </row>
    <row r="25" spans="1:12" ht="14.45">
      <c r="A25" s="22"/>
      <c r="B25" s="34"/>
      <c r="C25" s="22"/>
      <c r="D25" s="22"/>
      <c r="E25" s="22"/>
      <c r="F25" s="23"/>
      <c r="G25" s="22"/>
      <c r="H25" s="22"/>
      <c r="I25" s="23"/>
      <c r="J25" s="22"/>
      <c r="K25" s="22"/>
      <c r="L25" s="22"/>
    </row>
    <row r="26" spans="1:12" ht="14.45">
      <c r="A26" s="22"/>
      <c r="B26" s="34"/>
      <c r="C26" s="22"/>
      <c r="D26" s="22"/>
      <c r="E26" s="22"/>
      <c r="F26" s="23"/>
      <c r="G26" s="22"/>
      <c r="H26" s="22"/>
      <c r="I26" s="23"/>
      <c r="J26" s="22"/>
      <c r="K26" s="22"/>
      <c r="L26" s="22"/>
    </row>
    <row r="27" spans="1:12" ht="14.45">
      <c r="A27" s="22"/>
      <c r="B27" s="34"/>
      <c r="C27" s="22"/>
      <c r="D27" s="22"/>
      <c r="E27" s="22"/>
      <c r="F27" s="23"/>
      <c r="G27" s="22"/>
      <c r="H27" s="22"/>
      <c r="I27" s="23"/>
      <c r="J27" s="22"/>
      <c r="K27" s="22"/>
      <c r="L27" s="22"/>
    </row>
    <row r="28" spans="1:12" ht="14.45">
      <c r="A28" s="22"/>
      <c r="B28" s="34"/>
      <c r="C28" s="22"/>
      <c r="D28" s="22"/>
      <c r="E28" s="22"/>
      <c r="F28" s="23"/>
      <c r="G28" s="22"/>
      <c r="H28" s="22"/>
      <c r="I28" s="23"/>
      <c r="J28" s="22"/>
      <c r="K28" s="22"/>
      <c r="L28" s="22"/>
    </row>
    <row r="29" spans="1:12" ht="14.45">
      <c r="A29" s="22"/>
      <c r="B29" s="34"/>
      <c r="C29" s="22"/>
      <c r="D29" s="22"/>
      <c r="E29" s="22"/>
      <c r="F29" s="23"/>
      <c r="G29" s="22"/>
      <c r="H29" s="22"/>
      <c r="I29" s="23"/>
      <c r="J29" s="22"/>
      <c r="K29" s="22"/>
      <c r="L29" s="22"/>
    </row>
    <row r="30" spans="1:12" ht="14.45">
      <c r="A30" s="22"/>
      <c r="B30" s="34"/>
      <c r="C30" s="22"/>
      <c r="D30" s="22"/>
      <c r="E30" s="22"/>
      <c r="F30" s="23"/>
      <c r="G30" s="22"/>
      <c r="H30" s="22"/>
      <c r="I30" s="23"/>
      <c r="J30" s="22"/>
      <c r="K30" s="22"/>
      <c r="L30" s="22"/>
    </row>
    <row r="31" spans="1:12" ht="14.45">
      <c r="A31" s="22"/>
      <c r="B31" s="34"/>
      <c r="C31" s="22"/>
      <c r="D31" s="22"/>
      <c r="E31" s="22"/>
      <c r="F31" s="23"/>
      <c r="G31" s="22"/>
      <c r="H31" s="22"/>
      <c r="I31" s="23"/>
      <c r="J31" s="22"/>
      <c r="K31" s="22"/>
      <c r="L31" s="22"/>
    </row>
    <row r="32" spans="1:12" ht="14.45">
      <c r="A32" s="22"/>
      <c r="B32" s="34"/>
      <c r="C32" s="22"/>
      <c r="D32" s="22"/>
      <c r="E32" s="22"/>
      <c r="F32" s="23"/>
      <c r="G32" s="22"/>
      <c r="H32" s="22"/>
      <c r="I32" s="23"/>
      <c r="J32" s="22"/>
      <c r="K32" s="22"/>
      <c r="L32" s="22"/>
    </row>
    <row r="33" spans="1:12" ht="14.45">
      <c r="A33" s="22"/>
      <c r="B33" s="34"/>
      <c r="C33" s="22"/>
      <c r="D33" s="22"/>
      <c r="E33" s="22"/>
      <c r="F33" s="23"/>
      <c r="G33" s="22"/>
      <c r="H33" s="22"/>
      <c r="I33" s="23"/>
      <c r="J33" s="22"/>
      <c r="K33" s="22"/>
      <c r="L33" s="22"/>
    </row>
    <row r="34" spans="1:12" ht="14.45">
      <c r="A34" s="22"/>
      <c r="B34" s="34"/>
      <c r="C34" s="22"/>
      <c r="D34" s="22"/>
      <c r="E34" s="22"/>
      <c r="F34" s="23"/>
      <c r="G34" s="22"/>
      <c r="H34" s="22"/>
      <c r="I34" s="23"/>
      <c r="J34" s="22"/>
      <c r="K34" s="22"/>
      <c r="L34" s="22"/>
    </row>
    <row r="35" spans="1:12" ht="14.45">
      <c r="A35" s="22"/>
      <c r="B35" s="34"/>
      <c r="C35" s="22"/>
      <c r="D35" s="22"/>
      <c r="E35" s="22"/>
      <c r="F35" s="23"/>
      <c r="G35" s="22"/>
      <c r="H35" s="22"/>
      <c r="I35" s="23"/>
      <c r="J35" s="22"/>
      <c r="K35" s="22"/>
      <c r="L35" s="22"/>
    </row>
    <row r="36" spans="1:12" ht="14.45">
      <c r="A36" s="22"/>
      <c r="B36" s="34"/>
      <c r="C36" s="22"/>
      <c r="D36" s="22"/>
      <c r="E36" s="22"/>
      <c r="F36" s="23"/>
      <c r="G36" s="22"/>
      <c r="H36" s="22"/>
      <c r="I36" s="23"/>
      <c r="J36" s="22"/>
      <c r="K36" s="22"/>
      <c r="L36" s="22"/>
    </row>
    <row r="37" spans="1:12" ht="14.45">
      <c r="A37" s="22"/>
      <c r="B37" s="34"/>
      <c r="C37" s="22"/>
      <c r="D37" s="22"/>
      <c r="E37" s="22"/>
      <c r="F37" s="23"/>
      <c r="G37" s="22"/>
      <c r="H37" s="22"/>
      <c r="I37" s="23"/>
      <c r="J37" s="22"/>
      <c r="K37" s="22"/>
      <c r="L37" s="22"/>
    </row>
    <row r="38" spans="1:12" ht="14.45">
      <c r="A38" s="22"/>
      <c r="B38" s="34"/>
      <c r="C38" s="22"/>
      <c r="D38" s="22"/>
      <c r="E38" s="22"/>
      <c r="F38" s="23"/>
      <c r="G38" s="22"/>
      <c r="H38" s="22"/>
      <c r="I38" s="23"/>
      <c r="J38" s="22"/>
      <c r="K38" s="22"/>
      <c r="L38" s="22"/>
    </row>
    <row r="39" spans="1:12" ht="14.45">
      <c r="A39" s="22"/>
      <c r="B39" s="34"/>
      <c r="C39" s="22"/>
      <c r="D39" s="22"/>
      <c r="E39" s="22"/>
      <c r="F39" s="23"/>
      <c r="G39" s="22"/>
      <c r="H39" s="22"/>
      <c r="I39" s="23"/>
      <c r="J39" s="22"/>
      <c r="K39" s="22"/>
      <c r="L39" s="22"/>
    </row>
    <row r="40" spans="1:12" ht="14.45">
      <c r="A40" s="22"/>
      <c r="B40" s="34"/>
      <c r="C40" s="22"/>
      <c r="D40" s="22"/>
      <c r="E40" s="22"/>
      <c r="F40" s="23"/>
      <c r="G40" s="22"/>
      <c r="H40" s="22"/>
      <c r="I40" s="23"/>
      <c r="J40" s="22"/>
      <c r="K40" s="22"/>
      <c r="L40" s="22"/>
    </row>
    <row r="41" spans="1:12" ht="14.45">
      <c r="A41" s="22"/>
      <c r="B41" s="34"/>
      <c r="C41" s="22"/>
      <c r="D41" s="22"/>
      <c r="E41" s="22"/>
      <c r="F41" s="23"/>
      <c r="G41" s="22"/>
      <c r="H41" s="22"/>
      <c r="I41" s="23"/>
      <c r="J41" s="22"/>
      <c r="K41" s="22"/>
      <c r="L41" s="22"/>
    </row>
    <row r="42" spans="1:12" ht="14.45">
      <c r="A42" s="22"/>
      <c r="B42" s="34"/>
      <c r="C42" s="22"/>
      <c r="D42" s="22"/>
      <c r="E42" s="22"/>
      <c r="F42" s="23"/>
      <c r="G42" s="22"/>
      <c r="H42" s="22"/>
      <c r="I42" s="23"/>
      <c r="J42" s="22"/>
      <c r="K42" s="22"/>
      <c r="L42" s="22"/>
    </row>
    <row r="43" spans="1:12" ht="14.45">
      <c r="A43" s="22"/>
      <c r="B43" s="34"/>
      <c r="C43" s="22"/>
      <c r="D43" s="22"/>
      <c r="E43" s="22"/>
      <c r="F43" s="23"/>
      <c r="G43" s="22"/>
      <c r="H43" s="22"/>
      <c r="I43" s="23"/>
      <c r="J43" s="22"/>
      <c r="K43" s="22"/>
      <c r="L43" s="22"/>
    </row>
    <row r="44" spans="1:12" ht="14.45">
      <c r="A44" s="22"/>
      <c r="B44" s="34"/>
      <c r="C44" s="22"/>
      <c r="D44" s="22"/>
      <c r="E44" s="22"/>
      <c r="F44" s="23"/>
      <c r="G44" s="22"/>
      <c r="H44" s="22"/>
      <c r="I44" s="23"/>
      <c r="J44" s="22"/>
      <c r="K44" s="22"/>
      <c r="L44" s="22"/>
    </row>
    <row r="45" spans="1:12" ht="14.45">
      <c r="A45" s="22"/>
      <c r="B45" s="34"/>
      <c r="C45" s="22"/>
      <c r="D45" s="22"/>
      <c r="E45" s="22"/>
      <c r="F45" s="23"/>
      <c r="G45" s="22"/>
      <c r="H45" s="22"/>
      <c r="I45" s="23"/>
      <c r="J45" s="22"/>
      <c r="K45" s="22"/>
      <c r="L45" s="22"/>
    </row>
    <row r="46" spans="1:12" ht="14.45">
      <c r="A46" s="22"/>
      <c r="B46" s="34"/>
      <c r="C46" s="22"/>
      <c r="D46" s="22"/>
      <c r="E46" s="22"/>
      <c r="F46" s="23"/>
      <c r="G46" s="22"/>
      <c r="H46" s="22"/>
      <c r="I46" s="23"/>
      <c r="J46" s="22"/>
      <c r="K46" s="22"/>
      <c r="L46" s="22"/>
    </row>
    <row r="47" spans="1:12" ht="14.45">
      <c r="A47" s="22"/>
      <c r="B47" s="34"/>
      <c r="C47" s="22"/>
      <c r="D47" s="22"/>
      <c r="E47" s="22"/>
      <c r="F47" s="23"/>
      <c r="G47" s="22"/>
      <c r="H47" s="22"/>
      <c r="I47" s="23"/>
      <c r="J47" s="22"/>
      <c r="K47" s="22"/>
      <c r="L47" s="22"/>
    </row>
    <row r="48" spans="1:12" ht="14.45">
      <c r="A48" s="22"/>
      <c r="B48" s="34"/>
      <c r="C48" s="22"/>
      <c r="D48" s="22"/>
      <c r="E48" s="22"/>
      <c r="F48" s="23"/>
      <c r="G48" s="22"/>
      <c r="H48" s="22"/>
      <c r="I48" s="23"/>
      <c r="J48" s="22"/>
      <c r="K48" s="22"/>
      <c r="L48" s="22"/>
    </row>
    <row r="49" spans="1:12" ht="14.45">
      <c r="A49" s="22"/>
      <c r="B49" s="34"/>
      <c r="C49" s="22"/>
      <c r="D49" s="22"/>
      <c r="E49" s="22"/>
      <c r="F49" s="23"/>
      <c r="G49" s="22"/>
      <c r="H49" s="22"/>
      <c r="I49" s="23"/>
      <c r="J49" s="22"/>
      <c r="K49" s="22"/>
      <c r="L49" s="22"/>
    </row>
    <row r="50" spans="1:12" ht="14.45">
      <c r="A50" s="22"/>
      <c r="B50" s="34"/>
      <c r="C50" s="22"/>
      <c r="D50" s="22"/>
      <c r="E50" s="22"/>
      <c r="F50" s="23"/>
      <c r="G50" s="22"/>
      <c r="H50" s="22"/>
      <c r="I50" s="23"/>
      <c r="J50" s="22"/>
      <c r="K50" s="22"/>
      <c r="L50" s="22"/>
    </row>
    <row r="51" spans="1:12" ht="14.45">
      <c r="A51" s="22"/>
      <c r="B51" s="34"/>
      <c r="C51" s="22"/>
      <c r="D51" s="22"/>
      <c r="E51" s="22"/>
      <c r="F51" s="23"/>
      <c r="G51" s="22"/>
      <c r="H51" s="22"/>
      <c r="I51" s="23"/>
      <c r="J51" s="22"/>
      <c r="K51" s="22"/>
      <c r="L51" s="22"/>
    </row>
    <row r="52" spans="1:12" ht="14.45">
      <c r="A52" s="22"/>
      <c r="B52" s="34"/>
      <c r="C52" s="22"/>
      <c r="D52" s="22"/>
      <c r="E52" s="22"/>
      <c r="F52" s="23"/>
      <c r="G52" s="22"/>
      <c r="H52" s="22"/>
      <c r="I52" s="23"/>
      <c r="J52" s="22"/>
      <c r="K52" s="22"/>
      <c r="L52" s="22"/>
    </row>
    <row r="53" spans="1:12" ht="14.45">
      <c r="A53" s="22"/>
      <c r="B53" s="34"/>
      <c r="C53" s="22"/>
      <c r="D53" s="22"/>
      <c r="E53" s="22"/>
      <c r="F53" s="23"/>
      <c r="G53" s="22"/>
      <c r="H53" s="22"/>
      <c r="I53" s="23"/>
      <c r="J53" s="22"/>
      <c r="K53" s="22"/>
      <c r="L53" s="22"/>
    </row>
    <row r="54" spans="1:12" ht="14.45">
      <c r="A54" s="22"/>
      <c r="B54" s="34"/>
      <c r="C54" s="22"/>
      <c r="D54" s="22"/>
      <c r="E54" s="22"/>
      <c r="F54" s="23"/>
      <c r="G54" s="22"/>
      <c r="H54" s="22"/>
      <c r="I54" s="23"/>
      <c r="J54" s="22"/>
      <c r="K54" s="22"/>
      <c r="L54" s="22"/>
    </row>
    <row r="55" spans="1:12" ht="14.45">
      <c r="A55" s="22"/>
      <c r="B55" s="34"/>
      <c r="C55" s="22"/>
      <c r="D55" s="22"/>
      <c r="E55" s="22"/>
      <c r="F55" s="23"/>
      <c r="G55" s="22"/>
      <c r="H55" s="22"/>
      <c r="I55" s="23"/>
      <c r="J55" s="22"/>
      <c r="K55" s="22"/>
      <c r="L55" s="22"/>
    </row>
    <row r="56" spans="1:12" ht="14.45">
      <c r="A56" s="22"/>
      <c r="B56" s="34"/>
      <c r="C56" s="22"/>
      <c r="D56" s="22"/>
      <c r="E56" s="22"/>
      <c r="F56" s="23"/>
      <c r="G56" s="22"/>
      <c r="H56" s="22"/>
      <c r="I56" s="23"/>
      <c r="J56" s="22"/>
      <c r="K56" s="22"/>
      <c r="L56" s="22"/>
    </row>
    <row r="57" spans="1:12" ht="14.45">
      <c r="A57" s="22"/>
      <c r="B57" s="34"/>
      <c r="C57" s="22"/>
      <c r="D57" s="22"/>
      <c r="E57" s="22"/>
      <c r="F57" s="23"/>
      <c r="G57" s="22"/>
      <c r="H57" s="22"/>
      <c r="I57" s="23"/>
      <c r="J57" s="22"/>
      <c r="K57" s="22"/>
      <c r="L57" s="22"/>
    </row>
    <row r="58" spans="1:12" ht="14.45">
      <c r="A58" s="22"/>
      <c r="B58" s="34"/>
      <c r="C58" s="22"/>
      <c r="D58" s="22"/>
      <c r="E58" s="22"/>
      <c r="F58" s="23"/>
      <c r="G58" s="22"/>
      <c r="H58" s="22"/>
      <c r="I58" s="23"/>
      <c r="J58" s="22"/>
      <c r="K58" s="22"/>
      <c r="L58" s="22"/>
    </row>
    <row r="59" spans="1:12" ht="14.45">
      <c r="A59" s="22"/>
      <c r="B59" s="34"/>
      <c r="C59" s="22"/>
      <c r="D59" s="22"/>
      <c r="E59" s="22"/>
      <c r="F59" s="23"/>
      <c r="G59" s="22"/>
      <c r="H59" s="22"/>
      <c r="I59" s="23"/>
      <c r="J59" s="22"/>
      <c r="K59" s="22"/>
      <c r="L59" s="22"/>
    </row>
    <row r="60" spans="1:12" ht="14.45">
      <c r="A60" s="22"/>
      <c r="B60" s="34"/>
      <c r="C60" s="22"/>
      <c r="D60" s="22"/>
      <c r="E60" s="22"/>
      <c r="F60" s="23"/>
      <c r="G60" s="22"/>
      <c r="H60" s="22"/>
      <c r="I60" s="23"/>
      <c r="J60" s="22"/>
      <c r="K60" s="22"/>
      <c r="L60" s="22"/>
    </row>
    <row r="61" spans="1:12" ht="14.45">
      <c r="A61" s="22"/>
      <c r="B61" s="34"/>
      <c r="C61" s="22"/>
      <c r="D61" s="22"/>
      <c r="E61" s="22"/>
      <c r="F61" s="23"/>
      <c r="G61" s="22"/>
      <c r="H61" s="22"/>
      <c r="I61" s="23"/>
      <c r="J61" s="22"/>
      <c r="K61" s="22"/>
      <c r="L61" s="22"/>
    </row>
    <row r="62" spans="1:12" ht="14.45">
      <c r="A62" s="22"/>
      <c r="B62" s="34"/>
      <c r="C62" s="22"/>
      <c r="D62" s="22"/>
      <c r="E62" s="22"/>
      <c r="F62" s="23"/>
      <c r="G62" s="22"/>
      <c r="H62" s="22"/>
      <c r="I62" s="23"/>
      <c r="J62" s="22"/>
      <c r="K62" s="22"/>
      <c r="L62" s="22"/>
    </row>
    <row r="63" spans="1:12" ht="14.45">
      <c r="A63" s="22"/>
      <c r="B63" s="34"/>
      <c r="C63" s="22"/>
      <c r="D63" s="22"/>
      <c r="E63" s="22"/>
      <c r="F63" s="23"/>
      <c r="G63" s="22"/>
      <c r="H63" s="22"/>
      <c r="I63" s="23"/>
      <c r="J63" s="22"/>
      <c r="K63" s="22"/>
      <c r="L63" s="22"/>
    </row>
    <row r="64" spans="1:12" ht="14.45">
      <c r="A64" s="22"/>
      <c r="B64" s="34"/>
      <c r="C64" s="22"/>
      <c r="D64" s="22"/>
      <c r="E64" s="22"/>
      <c r="F64" s="23"/>
      <c r="G64" s="22"/>
      <c r="H64" s="22"/>
      <c r="I64" s="23"/>
      <c r="J64" s="22"/>
      <c r="K64" s="22"/>
      <c r="L64" s="22"/>
    </row>
    <row r="65" spans="1:12" ht="14.45">
      <c r="A65" s="22"/>
      <c r="B65" s="34"/>
      <c r="C65" s="22"/>
      <c r="D65" s="22"/>
      <c r="E65" s="22"/>
      <c r="F65" s="23"/>
      <c r="G65" s="22"/>
      <c r="H65" s="22"/>
      <c r="I65" s="23"/>
      <c r="J65" s="22"/>
      <c r="K65" s="22"/>
      <c r="L65" s="22"/>
    </row>
    <row r="66" spans="1:12" ht="14.45">
      <c r="A66" s="22"/>
      <c r="B66" s="34"/>
      <c r="C66" s="22"/>
      <c r="D66" s="22"/>
      <c r="E66" s="22"/>
      <c r="F66" s="23"/>
      <c r="G66" s="22"/>
      <c r="H66" s="22"/>
      <c r="I66" s="23"/>
      <c r="J66" s="22"/>
      <c r="K66" s="22"/>
      <c r="L66" s="22"/>
    </row>
    <row r="67" spans="1:12" ht="14.45">
      <c r="A67" s="22"/>
      <c r="B67" s="34"/>
      <c r="C67" s="22"/>
      <c r="D67" s="22"/>
      <c r="E67" s="22"/>
      <c r="F67" s="23"/>
      <c r="G67" s="22"/>
      <c r="H67" s="22"/>
      <c r="I67" s="23"/>
      <c r="J67" s="22"/>
      <c r="K67" s="22"/>
      <c r="L67" s="22"/>
    </row>
    <row r="68" spans="1:12" ht="14.45">
      <c r="A68" s="22"/>
      <c r="B68" s="34"/>
      <c r="C68" s="22"/>
      <c r="D68" s="22"/>
      <c r="E68" s="22"/>
      <c r="F68" s="23"/>
      <c r="G68" s="22"/>
      <c r="H68" s="22"/>
      <c r="I68" s="23"/>
      <c r="J68" s="22"/>
      <c r="K68" s="22"/>
      <c r="L68" s="22"/>
    </row>
    <row r="69" spans="1:12" ht="14.45">
      <c r="A69" s="22"/>
      <c r="B69" s="34"/>
      <c r="C69" s="22"/>
      <c r="D69" s="22"/>
      <c r="E69" s="22"/>
      <c r="F69" s="23"/>
      <c r="G69" s="22"/>
      <c r="H69" s="22"/>
      <c r="I69" s="23"/>
      <c r="J69" s="22"/>
      <c r="K69" s="22"/>
      <c r="L69" s="22"/>
    </row>
    <row r="70" spans="1:12" ht="14.45">
      <c r="A70" s="22"/>
      <c r="B70" s="34"/>
      <c r="C70" s="22"/>
      <c r="D70" s="22"/>
      <c r="E70" s="22"/>
      <c r="F70" s="23"/>
      <c r="G70" s="22"/>
      <c r="H70" s="22"/>
      <c r="I70" s="23"/>
      <c r="J70" s="22"/>
      <c r="K70" s="22"/>
      <c r="L70" s="22"/>
    </row>
    <row r="71" spans="1:12" ht="14.45">
      <c r="A71" s="22"/>
      <c r="B71" s="34"/>
      <c r="C71" s="22"/>
      <c r="D71" s="22"/>
      <c r="E71" s="22"/>
      <c r="F71" s="23"/>
      <c r="G71" s="22"/>
      <c r="H71" s="22"/>
      <c r="I71" s="23"/>
      <c r="J71" s="22"/>
      <c r="K71" s="22"/>
      <c r="L71" s="22"/>
    </row>
    <row r="72" spans="1:12" ht="14.45">
      <c r="A72" s="22"/>
      <c r="B72" s="34"/>
      <c r="C72" s="22"/>
      <c r="D72" s="22"/>
      <c r="E72" s="22"/>
      <c r="F72" s="23"/>
      <c r="G72" s="22"/>
      <c r="H72" s="22"/>
      <c r="I72" s="23"/>
      <c r="J72" s="22"/>
      <c r="K72" s="22"/>
      <c r="L72" s="22"/>
    </row>
    <row r="73" spans="1:12" ht="14.45">
      <c r="A73" s="22"/>
      <c r="B73" s="34"/>
      <c r="C73" s="22"/>
      <c r="D73" s="22"/>
      <c r="E73" s="22"/>
      <c r="F73" s="23"/>
      <c r="G73" s="22"/>
      <c r="H73" s="22"/>
      <c r="I73" s="23"/>
      <c r="J73" s="22"/>
      <c r="K73" s="22"/>
      <c r="L73" s="22"/>
    </row>
    <row r="74" spans="1:12" ht="14.45">
      <c r="A74" s="22"/>
      <c r="B74" s="34"/>
      <c r="C74" s="22"/>
      <c r="D74" s="22"/>
      <c r="E74" s="22"/>
      <c r="F74" s="23"/>
      <c r="G74" s="22"/>
      <c r="H74" s="22"/>
      <c r="I74" s="23"/>
      <c r="J74" s="22"/>
      <c r="K74" s="22"/>
      <c r="L74" s="22"/>
    </row>
    <row r="75" spans="1:12" ht="14.45">
      <c r="A75" s="22"/>
      <c r="B75" s="34"/>
      <c r="C75" s="22"/>
      <c r="D75" s="22"/>
      <c r="E75" s="22"/>
      <c r="F75" s="23"/>
      <c r="G75" s="22"/>
      <c r="H75" s="22"/>
      <c r="I75" s="23"/>
      <c r="J75" s="22"/>
      <c r="K75" s="22"/>
      <c r="L75" s="22"/>
    </row>
    <row r="76" spans="1:12" ht="14.45">
      <c r="A76" s="22"/>
      <c r="B76" s="34"/>
      <c r="C76" s="22"/>
      <c r="D76" s="22"/>
      <c r="E76" s="22"/>
      <c r="F76" s="23"/>
      <c r="G76" s="22"/>
      <c r="H76" s="22"/>
      <c r="I76" s="23"/>
      <c r="J76" s="22"/>
      <c r="K76" s="22"/>
      <c r="L76" s="22"/>
    </row>
    <row r="77" spans="1:12" ht="14.45">
      <c r="A77" s="22"/>
      <c r="B77" s="34"/>
      <c r="C77" s="22"/>
      <c r="D77" s="22"/>
      <c r="E77" s="22"/>
      <c r="F77" s="23"/>
      <c r="G77" s="22"/>
      <c r="H77" s="22"/>
      <c r="I77" s="23"/>
      <c r="J77" s="22"/>
      <c r="K77" s="22"/>
      <c r="L77" s="22"/>
    </row>
    <row r="78" spans="1:12" ht="14.45">
      <c r="A78" s="22"/>
      <c r="B78" s="34"/>
      <c r="C78" s="22"/>
      <c r="D78" s="22"/>
      <c r="E78" s="22"/>
      <c r="F78" s="23"/>
      <c r="G78" s="22"/>
      <c r="H78" s="22"/>
      <c r="I78" s="23"/>
      <c r="J78" s="22"/>
      <c r="K78" s="22"/>
      <c r="L78" s="22"/>
    </row>
    <row r="79" spans="1:12" ht="14.45">
      <c r="A79" s="22"/>
      <c r="B79" s="34"/>
      <c r="C79" s="22"/>
      <c r="D79" s="22"/>
      <c r="E79" s="22"/>
      <c r="F79" s="23"/>
      <c r="G79" s="22"/>
      <c r="H79" s="22"/>
      <c r="I79" s="23"/>
      <c r="J79" s="22"/>
      <c r="K79" s="22"/>
      <c r="L79" s="22"/>
    </row>
    <row r="80" spans="1:12" ht="14.45">
      <c r="A80" s="22"/>
      <c r="B80" s="34"/>
      <c r="C80" s="22"/>
      <c r="D80" s="22"/>
      <c r="E80" s="22"/>
      <c r="F80" s="23"/>
      <c r="G80" s="22"/>
      <c r="H80" s="22"/>
      <c r="I80" s="23"/>
      <c r="J80" s="22"/>
      <c r="K80" s="22"/>
      <c r="L80" s="22"/>
    </row>
    <row r="81" spans="1:12" ht="14.45">
      <c r="A81" s="22"/>
      <c r="B81" s="34"/>
      <c r="C81" s="22"/>
      <c r="D81" s="22"/>
      <c r="E81" s="22"/>
      <c r="F81" s="23"/>
      <c r="G81" s="22"/>
      <c r="H81" s="22"/>
      <c r="I81" s="23"/>
      <c r="J81" s="22"/>
      <c r="K81" s="22"/>
      <c r="L81" s="22"/>
    </row>
    <row r="82" spans="1:12" ht="14.45">
      <c r="A82" s="22"/>
      <c r="B82" s="34"/>
      <c r="C82" s="22"/>
      <c r="D82" s="22"/>
      <c r="E82" s="22"/>
      <c r="F82" s="23"/>
      <c r="G82" s="22"/>
      <c r="H82" s="22"/>
      <c r="I82" s="23"/>
      <c r="J82" s="22"/>
      <c r="K82" s="22"/>
      <c r="L82" s="22"/>
    </row>
    <row r="83" spans="1:12" ht="14.45">
      <c r="A83" s="22"/>
      <c r="B83" s="34"/>
      <c r="C83" s="22"/>
      <c r="D83" s="22"/>
      <c r="E83" s="22"/>
      <c r="F83" s="23"/>
      <c r="G83" s="22"/>
      <c r="H83" s="22"/>
      <c r="I83" s="23"/>
      <c r="J83" s="22"/>
      <c r="K83" s="22"/>
      <c r="L83" s="22"/>
    </row>
    <row r="84" spans="1:12" ht="14.45">
      <c r="A84" s="22"/>
      <c r="B84" s="34"/>
      <c r="C84" s="22"/>
      <c r="D84" s="22"/>
      <c r="E84" s="22"/>
      <c r="F84" s="23"/>
      <c r="G84" s="22"/>
      <c r="H84" s="22"/>
      <c r="I84" s="23"/>
      <c r="J84" s="22"/>
      <c r="K84" s="22"/>
      <c r="L84" s="22"/>
    </row>
    <row r="85" spans="1:12" ht="14.45">
      <c r="A85" s="22"/>
      <c r="B85" s="34"/>
      <c r="C85" s="22"/>
      <c r="D85" s="22"/>
      <c r="E85" s="22"/>
      <c r="F85" s="23"/>
      <c r="G85" s="22"/>
      <c r="H85" s="22"/>
      <c r="I85" s="23"/>
      <c r="J85" s="22"/>
      <c r="K85" s="22"/>
      <c r="L85" s="22"/>
    </row>
    <row r="86" spans="1:12" ht="14.45">
      <c r="A86" s="22"/>
      <c r="B86" s="34"/>
      <c r="C86" s="22"/>
      <c r="D86" s="22"/>
      <c r="E86" s="22"/>
      <c r="F86" s="23"/>
      <c r="G86" s="22"/>
      <c r="H86" s="22"/>
      <c r="I86" s="23"/>
      <c r="J86" s="22"/>
      <c r="K86" s="22"/>
      <c r="L86" s="22"/>
    </row>
    <row r="87" spans="1:12" ht="14.45">
      <c r="A87" s="22"/>
      <c r="B87" s="34"/>
      <c r="C87" s="22"/>
      <c r="D87" s="22"/>
      <c r="E87" s="22"/>
      <c r="F87" s="23"/>
      <c r="G87" s="22"/>
      <c r="H87" s="22"/>
      <c r="I87" s="23"/>
      <c r="J87" s="22"/>
      <c r="K87" s="22"/>
      <c r="L87" s="22"/>
    </row>
    <row r="88" spans="1:12" ht="14.45">
      <c r="A88" s="22"/>
      <c r="B88" s="34"/>
      <c r="C88" s="22"/>
      <c r="D88" s="22"/>
      <c r="E88" s="22"/>
      <c r="F88" s="23"/>
      <c r="G88" s="22"/>
      <c r="H88" s="22"/>
      <c r="I88" s="23"/>
      <c r="J88" s="22"/>
      <c r="K88" s="22"/>
      <c r="L88" s="22"/>
    </row>
    <row r="89" spans="1:12" ht="14.45">
      <c r="A89" s="22"/>
      <c r="B89" s="34"/>
      <c r="C89" s="22"/>
      <c r="D89" s="22"/>
      <c r="E89" s="22"/>
      <c r="F89" s="23"/>
      <c r="G89" s="22"/>
      <c r="H89" s="22"/>
      <c r="I89" s="23"/>
      <c r="J89" s="22"/>
      <c r="K89" s="22"/>
      <c r="L89" s="22"/>
    </row>
    <row r="90" spans="1:12" ht="14.45">
      <c r="A90" s="22"/>
      <c r="B90" s="34"/>
      <c r="C90" s="22"/>
      <c r="D90" s="22"/>
      <c r="E90" s="22"/>
      <c r="F90" s="23"/>
      <c r="G90" s="22"/>
      <c r="H90" s="22"/>
      <c r="I90" s="23"/>
      <c r="J90" s="22"/>
      <c r="K90" s="22"/>
      <c r="L90" s="22"/>
    </row>
    <row r="91" spans="1:12" ht="14.45">
      <c r="A91" s="22"/>
      <c r="B91" s="34"/>
      <c r="C91" s="22"/>
      <c r="D91" s="22"/>
      <c r="E91" s="22"/>
      <c r="F91" s="23"/>
      <c r="G91" s="22"/>
      <c r="H91" s="22"/>
      <c r="I91" s="23"/>
      <c r="J91" s="22"/>
      <c r="K91" s="22"/>
      <c r="L91" s="22"/>
    </row>
    <row r="92" spans="1:12" ht="14.45">
      <c r="A92" s="22"/>
      <c r="B92" s="34"/>
      <c r="C92" s="22"/>
      <c r="D92" s="22"/>
      <c r="E92" s="22"/>
      <c r="F92" s="23"/>
      <c r="G92" s="22"/>
      <c r="H92" s="22"/>
      <c r="I92" s="23"/>
      <c r="J92" s="22"/>
      <c r="K92" s="22"/>
      <c r="L92" s="22"/>
    </row>
    <row r="93" spans="1:12" ht="14.45">
      <c r="A93" s="22"/>
      <c r="B93" s="34"/>
      <c r="C93" s="22"/>
      <c r="D93" s="22"/>
      <c r="E93" s="22"/>
      <c r="F93" s="23"/>
      <c r="G93" s="22"/>
      <c r="H93" s="22"/>
      <c r="I93" s="23"/>
      <c r="J93" s="22"/>
      <c r="K93" s="22"/>
      <c r="L93" s="22"/>
    </row>
    <row r="94" spans="1:12" ht="14.45">
      <c r="A94" s="22"/>
      <c r="B94" s="34"/>
      <c r="C94" s="22"/>
      <c r="D94" s="22"/>
      <c r="E94" s="22"/>
      <c r="F94" s="23"/>
      <c r="G94" s="22"/>
      <c r="H94" s="22"/>
      <c r="I94" s="23"/>
      <c r="J94" s="22"/>
      <c r="K94" s="22"/>
      <c r="L94" s="22"/>
    </row>
    <row r="95" spans="1:12" ht="14.45">
      <c r="A95" s="22"/>
      <c r="B95" s="34"/>
      <c r="C95" s="22"/>
      <c r="D95" s="22"/>
      <c r="E95" s="22"/>
      <c r="F95" s="23"/>
      <c r="G95" s="22"/>
      <c r="H95" s="22"/>
      <c r="I95" s="23"/>
      <c r="J95" s="22"/>
      <c r="K95" s="22"/>
      <c r="L95" s="22"/>
    </row>
    <row r="96" spans="1:12" ht="14.45">
      <c r="A96" s="22"/>
      <c r="B96" s="34"/>
      <c r="C96" s="22"/>
      <c r="D96" s="22"/>
      <c r="E96" s="22"/>
      <c r="F96" s="23"/>
      <c r="G96" s="22"/>
      <c r="H96" s="22"/>
      <c r="I96" s="23"/>
      <c r="J96" s="22"/>
      <c r="K96" s="22"/>
      <c r="L96" s="22"/>
    </row>
    <row r="97" spans="1:12" ht="14.45">
      <c r="A97" s="22"/>
      <c r="B97" s="34"/>
      <c r="C97" s="22"/>
      <c r="D97" s="22"/>
      <c r="E97" s="22"/>
      <c r="F97" s="23"/>
      <c r="G97" s="22"/>
      <c r="H97" s="22"/>
      <c r="I97" s="23"/>
      <c r="J97" s="22"/>
      <c r="K97" s="22"/>
      <c r="L97" s="22"/>
    </row>
    <row r="98" spans="1:12" ht="14.45">
      <c r="A98" s="22"/>
      <c r="B98" s="34"/>
      <c r="C98" s="22"/>
      <c r="D98" s="22"/>
      <c r="E98" s="22"/>
      <c r="F98" s="23"/>
      <c r="G98" s="22"/>
      <c r="H98" s="22"/>
      <c r="I98" s="23"/>
      <c r="J98" s="22"/>
      <c r="K98" s="22"/>
      <c r="L98" s="22"/>
    </row>
    <row r="99" spans="1:12" ht="14.45">
      <c r="A99" s="22"/>
      <c r="B99" s="34"/>
      <c r="C99" s="22"/>
      <c r="D99" s="22"/>
      <c r="E99" s="22"/>
      <c r="F99" s="23"/>
      <c r="G99" s="22"/>
      <c r="H99" s="22"/>
      <c r="I99" s="23"/>
      <c r="J99" s="22"/>
      <c r="K99" s="22"/>
      <c r="L99" s="22"/>
    </row>
    <row r="100" spans="1:12" ht="14.45">
      <c r="A100" s="22"/>
      <c r="B100" s="34"/>
      <c r="C100" s="22"/>
      <c r="D100" s="22"/>
      <c r="E100" s="22"/>
      <c r="F100" s="23"/>
      <c r="G100" s="22"/>
      <c r="H100" s="22"/>
      <c r="I100" s="23"/>
      <c r="J100" s="22"/>
      <c r="K100" s="22"/>
      <c r="L100" s="22"/>
    </row>
    <row r="101" spans="1:12" ht="14.45">
      <c r="A101" s="22"/>
      <c r="B101" s="34"/>
      <c r="C101" s="22"/>
      <c r="D101" s="22"/>
      <c r="E101" s="22"/>
      <c r="F101" s="23"/>
      <c r="G101" s="22"/>
      <c r="H101" s="22"/>
      <c r="I101" s="23"/>
      <c r="J101" s="22"/>
      <c r="K101" s="22"/>
      <c r="L101" s="22"/>
    </row>
    <row r="102" spans="1:12" ht="14.45">
      <c r="A102" s="22"/>
      <c r="B102" s="34"/>
      <c r="C102" s="22"/>
      <c r="D102" s="22"/>
      <c r="E102" s="22"/>
      <c r="F102" s="23"/>
      <c r="G102" s="22"/>
      <c r="H102" s="22"/>
      <c r="I102" s="23"/>
      <c r="J102" s="22"/>
      <c r="K102" s="22"/>
      <c r="L102" s="22"/>
    </row>
    <row r="103" spans="1:12" ht="14.45">
      <c r="A103" s="22"/>
      <c r="B103" s="34"/>
      <c r="C103" s="22"/>
      <c r="D103" s="22"/>
      <c r="E103" s="22"/>
      <c r="F103" s="23"/>
      <c r="G103" s="22"/>
      <c r="H103" s="22"/>
      <c r="I103" s="23"/>
      <c r="J103" s="22"/>
      <c r="K103" s="22"/>
      <c r="L103" s="22"/>
    </row>
    <row r="104" spans="1:12" ht="14.45">
      <c r="A104" s="22"/>
      <c r="B104" s="34"/>
      <c r="C104" s="22"/>
      <c r="D104" s="22"/>
      <c r="E104" s="22"/>
      <c r="F104" s="23"/>
      <c r="G104" s="22"/>
      <c r="H104" s="22"/>
      <c r="I104" s="23"/>
      <c r="J104" s="22"/>
      <c r="K104" s="22"/>
      <c r="L104" s="22"/>
    </row>
    <row r="105" spans="1:12" ht="14.45">
      <c r="A105" s="22"/>
      <c r="B105" s="34"/>
      <c r="C105" s="22"/>
      <c r="D105" s="22"/>
      <c r="E105" s="22"/>
      <c r="F105" s="23"/>
      <c r="G105" s="22"/>
      <c r="H105" s="22"/>
      <c r="I105" s="23"/>
      <c r="J105" s="22"/>
      <c r="K105" s="22"/>
      <c r="L105" s="22"/>
    </row>
    <row r="106" spans="1:12" ht="14.45">
      <c r="A106" s="22"/>
      <c r="B106" s="34"/>
      <c r="C106" s="22"/>
      <c r="D106" s="22"/>
      <c r="E106" s="22"/>
      <c r="F106" s="23"/>
      <c r="G106" s="22"/>
      <c r="H106" s="22"/>
      <c r="I106" s="23"/>
      <c r="J106" s="22"/>
      <c r="K106" s="22"/>
      <c r="L106" s="22"/>
    </row>
    <row r="107" spans="1:12" ht="14.45">
      <c r="A107" s="22"/>
      <c r="B107" s="34"/>
      <c r="C107" s="22"/>
      <c r="D107" s="22"/>
      <c r="E107" s="22"/>
      <c r="F107" s="23"/>
      <c r="G107" s="22"/>
      <c r="H107" s="22"/>
      <c r="I107" s="23"/>
      <c r="J107" s="22"/>
      <c r="K107" s="22"/>
      <c r="L107" s="22"/>
    </row>
    <row r="108" spans="1:12" ht="14.45">
      <c r="A108" s="22"/>
      <c r="B108" s="34"/>
      <c r="C108" s="22"/>
      <c r="D108" s="22"/>
      <c r="E108" s="22"/>
      <c r="F108" s="23"/>
      <c r="G108" s="22"/>
      <c r="H108" s="22"/>
      <c r="I108" s="23"/>
      <c r="J108" s="22"/>
      <c r="K108" s="22"/>
      <c r="L108" s="22"/>
    </row>
    <row r="109" spans="1:12" ht="14.45">
      <c r="A109" s="22"/>
      <c r="B109" s="34"/>
      <c r="C109" s="22"/>
      <c r="D109" s="22"/>
      <c r="E109" s="22"/>
      <c r="F109" s="23"/>
      <c r="G109" s="22"/>
      <c r="H109" s="22"/>
      <c r="I109" s="23"/>
      <c r="J109" s="22"/>
      <c r="K109" s="22"/>
      <c r="L109" s="22"/>
    </row>
    <row r="110" spans="1:12" ht="14.45">
      <c r="A110" s="22"/>
      <c r="B110" s="34"/>
      <c r="C110" s="22"/>
      <c r="D110" s="22"/>
      <c r="E110" s="22"/>
      <c r="F110" s="23"/>
      <c r="G110" s="22"/>
      <c r="H110" s="22"/>
      <c r="I110" s="23"/>
      <c r="J110" s="22"/>
      <c r="K110" s="22"/>
      <c r="L110" s="22"/>
    </row>
    <row r="111" spans="1:12" ht="14.45">
      <c r="A111" s="22"/>
      <c r="B111" s="34"/>
      <c r="C111" s="22"/>
      <c r="D111" s="22"/>
      <c r="E111" s="22"/>
      <c r="F111" s="23"/>
      <c r="G111" s="22"/>
      <c r="H111" s="22"/>
      <c r="I111" s="23"/>
      <c r="J111" s="22"/>
      <c r="K111" s="22"/>
      <c r="L111" s="22"/>
    </row>
    <row r="112" spans="1:12" ht="14.45">
      <c r="A112" s="22"/>
      <c r="B112" s="34"/>
      <c r="C112" s="22"/>
      <c r="D112" s="22"/>
      <c r="E112" s="22"/>
      <c r="F112" s="23"/>
      <c r="G112" s="22"/>
      <c r="H112" s="22"/>
      <c r="I112" s="23"/>
      <c r="J112" s="22"/>
      <c r="K112" s="22"/>
      <c r="L112" s="22"/>
    </row>
    <row r="113" spans="1:12" ht="14.45">
      <c r="A113" s="22"/>
      <c r="B113" s="34"/>
      <c r="C113" s="22"/>
      <c r="D113" s="22"/>
      <c r="E113" s="22"/>
      <c r="F113" s="23"/>
      <c r="G113" s="22"/>
      <c r="H113" s="22"/>
      <c r="I113" s="23"/>
      <c r="J113" s="22"/>
      <c r="K113" s="22"/>
      <c r="L113" s="22"/>
    </row>
    <row r="114" spans="1:12" ht="14.45">
      <c r="A114" s="22"/>
      <c r="B114" s="34"/>
      <c r="C114" s="22"/>
      <c r="D114" s="22"/>
      <c r="E114" s="22"/>
      <c r="F114" s="23"/>
      <c r="G114" s="22"/>
      <c r="H114" s="22"/>
      <c r="I114" s="23"/>
      <c r="J114" s="22"/>
      <c r="K114" s="22"/>
      <c r="L114" s="22"/>
    </row>
    <row r="115" spans="1:12" ht="14.45">
      <c r="A115" s="22"/>
      <c r="B115" s="34"/>
      <c r="C115" s="22"/>
      <c r="D115" s="22"/>
      <c r="E115" s="22"/>
      <c r="F115" s="23"/>
      <c r="G115" s="22"/>
      <c r="H115" s="22"/>
      <c r="I115" s="23"/>
      <c r="J115" s="22"/>
      <c r="K115" s="22"/>
      <c r="L115" s="22"/>
    </row>
    <row r="116" spans="1:12" ht="14.45">
      <c r="A116" s="22"/>
      <c r="B116" s="34"/>
      <c r="C116" s="22"/>
      <c r="D116" s="22"/>
      <c r="E116" s="22"/>
      <c r="F116" s="23"/>
      <c r="G116" s="22"/>
      <c r="H116" s="22"/>
      <c r="I116" s="23"/>
      <c r="J116" s="22"/>
      <c r="K116" s="22"/>
      <c r="L116" s="22"/>
    </row>
    <row r="117" spans="1:12" ht="14.45">
      <c r="A117" s="22"/>
      <c r="B117" s="34"/>
      <c r="C117" s="22"/>
      <c r="D117" s="22"/>
      <c r="E117" s="22"/>
      <c r="F117" s="23"/>
      <c r="G117" s="22"/>
      <c r="H117" s="22"/>
      <c r="I117" s="23"/>
      <c r="J117" s="22"/>
      <c r="K117" s="22"/>
      <c r="L117" s="22"/>
    </row>
    <row r="118" spans="1:12" ht="14.45">
      <c r="A118" s="22"/>
      <c r="B118" s="34"/>
      <c r="C118" s="22"/>
      <c r="D118" s="22"/>
      <c r="E118" s="22"/>
      <c r="F118" s="23"/>
      <c r="G118" s="22"/>
      <c r="H118" s="22"/>
      <c r="I118" s="23"/>
      <c r="J118" s="22"/>
      <c r="K118" s="22"/>
      <c r="L118" s="22"/>
    </row>
    <row r="119" spans="1:12" ht="14.45">
      <c r="A119" s="22"/>
      <c r="B119" s="34"/>
      <c r="C119" s="22"/>
      <c r="D119" s="22"/>
      <c r="E119" s="22"/>
      <c r="F119" s="23"/>
      <c r="G119" s="22"/>
      <c r="H119" s="22"/>
      <c r="I119" s="23"/>
      <c r="J119" s="22"/>
      <c r="K119" s="22"/>
      <c r="L119" s="22"/>
    </row>
    <row r="120" spans="1:12" ht="14.45">
      <c r="A120" s="22"/>
      <c r="B120" s="34"/>
      <c r="C120" s="22"/>
      <c r="D120" s="22"/>
      <c r="E120" s="22"/>
      <c r="F120" s="23"/>
      <c r="G120" s="22"/>
      <c r="H120" s="22"/>
      <c r="I120" s="23"/>
      <c r="J120" s="22"/>
      <c r="K120" s="22"/>
      <c r="L120" s="22"/>
    </row>
    <row r="121" spans="1:12" ht="14.45">
      <c r="A121" s="22"/>
      <c r="B121" s="34"/>
      <c r="C121" s="22"/>
      <c r="D121" s="22"/>
      <c r="E121" s="22"/>
      <c r="F121" s="23"/>
      <c r="G121" s="22"/>
      <c r="H121" s="22"/>
      <c r="I121" s="23"/>
      <c r="J121" s="22"/>
      <c r="K121" s="22"/>
      <c r="L121" s="22"/>
    </row>
    <row r="122" spans="1:12" ht="14.45">
      <c r="A122" s="22"/>
      <c r="B122" s="34"/>
      <c r="C122" s="22"/>
      <c r="D122" s="22"/>
      <c r="E122" s="22"/>
      <c r="F122" s="23"/>
      <c r="G122" s="22"/>
      <c r="H122" s="22"/>
      <c r="I122" s="23"/>
      <c r="J122" s="22"/>
      <c r="K122" s="22"/>
      <c r="L122" s="22"/>
    </row>
    <row r="123" spans="1:12" ht="14.45">
      <c r="A123" s="22"/>
      <c r="B123" s="34"/>
      <c r="C123" s="22"/>
      <c r="D123" s="22"/>
      <c r="E123" s="22"/>
      <c r="F123" s="23"/>
      <c r="G123" s="22"/>
      <c r="H123" s="22"/>
      <c r="I123" s="23"/>
      <c r="J123" s="22"/>
      <c r="K123" s="22"/>
      <c r="L123" s="22"/>
    </row>
    <row r="124" spans="1:12" ht="14.45">
      <c r="A124" s="22"/>
      <c r="B124" s="34"/>
      <c r="C124" s="22"/>
      <c r="D124" s="22"/>
      <c r="E124" s="22"/>
      <c r="F124" s="23"/>
      <c r="G124" s="22"/>
      <c r="H124" s="22"/>
      <c r="I124" s="23"/>
      <c r="J124" s="22"/>
      <c r="K124" s="22"/>
      <c r="L124" s="22"/>
    </row>
    <row r="125" spans="1:12" ht="14.45">
      <c r="A125" s="22"/>
      <c r="B125" s="34"/>
      <c r="C125" s="22"/>
      <c r="D125" s="22"/>
      <c r="E125" s="22"/>
      <c r="F125" s="23"/>
      <c r="G125" s="22"/>
      <c r="H125" s="22"/>
      <c r="I125" s="23"/>
      <c r="J125" s="22"/>
      <c r="K125" s="22"/>
      <c r="L125" s="22"/>
    </row>
    <row r="126" spans="1:12" ht="14.45">
      <c r="A126" s="22"/>
      <c r="B126" s="34"/>
      <c r="C126" s="22"/>
      <c r="D126" s="22"/>
      <c r="E126" s="22"/>
      <c r="F126" s="23"/>
      <c r="G126" s="22"/>
      <c r="H126" s="22"/>
      <c r="I126" s="23"/>
      <c r="J126" s="22"/>
      <c r="K126" s="22"/>
      <c r="L126" s="22"/>
    </row>
    <row r="127" spans="1:12" ht="14.45">
      <c r="A127" s="22"/>
      <c r="B127" s="34"/>
      <c r="C127" s="22"/>
      <c r="D127" s="22"/>
      <c r="E127" s="22"/>
      <c r="F127" s="23"/>
      <c r="G127" s="22"/>
      <c r="H127" s="22"/>
      <c r="I127" s="23"/>
      <c r="J127" s="22"/>
      <c r="K127" s="22"/>
      <c r="L127" s="22"/>
    </row>
    <row r="128" spans="1:12" ht="14.45">
      <c r="A128" s="22"/>
      <c r="B128" s="34"/>
      <c r="C128" s="22"/>
      <c r="D128" s="22"/>
      <c r="E128" s="22"/>
      <c r="F128" s="23"/>
      <c r="G128" s="22"/>
      <c r="H128" s="22"/>
      <c r="I128" s="23"/>
      <c r="J128" s="22"/>
      <c r="K128" s="22"/>
      <c r="L128" s="22"/>
    </row>
    <row r="129" spans="1:12" ht="14.45">
      <c r="A129" s="22"/>
      <c r="B129" s="34"/>
      <c r="C129" s="22"/>
      <c r="D129" s="22"/>
      <c r="E129" s="22"/>
      <c r="F129" s="23"/>
      <c r="G129" s="22"/>
      <c r="H129" s="22"/>
      <c r="I129" s="23"/>
      <c r="J129" s="22"/>
      <c r="K129" s="22"/>
      <c r="L129" s="22"/>
    </row>
    <row r="130" spans="1:12" ht="14.45">
      <c r="A130" s="22"/>
      <c r="B130" s="34"/>
      <c r="C130" s="22"/>
      <c r="D130" s="22"/>
      <c r="E130" s="22"/>
      <c r="F130" s="23"/>
      <c r="G130" s="22"/>
      <c r="H130" s="22"/>
      <c r="I130" s="23"/>
      <c r="J130" s="22"/>
      <c r="K130" s="22"/>
      <c r="L130" s="22"/>
    </row>
    <row r="131" spans="1:12" ht="14.45">
      <c r="A131" s="22"/>
      <c r="B131" s="34"/>
      <c r="C131" s="22"/>
      <c r="D131" s="22"/>
      <c r="E131" s="22"/>
      <c r="F131" s="23"/>
      <c r="G131" s="22"/>
      <c r="H131" s="22"/>
      <c r="I131" s="23"/>
      <c r="J131" s="22"/>
      <c r="K131" s="22"/>
      <c r="L131" s="22"/>
    </row>
    <row r="132" spans="1:12" ht="14.45">
      <c r="A132" s="22"/>
      <c r="B132" s="34"/>
      <c r="C132" s="22"/>
      <c r="D132" s="22"/>
      <c r="E132" s="22"/>
      <c r="F132" s="23"/>
      <c r="G132" s="22"/>
      <c r="H132" s="22"/>
      <c r="I132" s="23"/>
      <c r="J132" s="22"/>
      <c r="K132" s="22"/>
      <c r="L132" s="22"/>
    </row>
    <row r="133" spans="1:12" ht="14.45">
      <c r="A133" s="22"/>
      <c r="B133" s="34"/>
      <c r="C133" s="22"/>
      <c r="D133" s="22"/>
      <c r="E133" s="22"/>
      <c r="F133" s="23"/>
      <c r="G133" s="22"/>
      <c r="H133" s="22"/>
      <c r="I133" s="23"/>
      <c r="J133" s="22"/>
      <c r="K133" s="22"/>
      <c r="L133" s="22"/>
    </row>
    <row r="134" spans="1:12" ht="14.45">
      <c r="A134" s="22"/>
      <c r="B134" s="34"/>
      <c r="C134" s="22"/>
      <c r="D134" s="22"/>
      <c r="E134" s="22"/>
      <c r="F134" s="23"/>
      <c r="G134" s="22"/>
      <c r="H134" s="22"/>
      <c r="I134" s="23"/>
      <c r="J134" s="22"/>
      <c r="K134" s="22"/>
      <c r="L134" s="22"/>
    </row>
    <row r="135" spans="1:12" ht="14.45">
      <c r="A135" s="22"/>
      <c r="B135" s="34"/>
      <c r="C135" s="22"/>
      <c r="D135" s="22"/>
      <c r="E135" s="22"/>
      <c r="F135" s="23"/>
      <c r="G135" s="22"/>
      <c r="H135" s="22"/>
      <c r="I135" s="23"/>
      <c r="J135" s="22"/>
      <c r="K135" s="22"/>
      <c r="L135" s="22"/>
    </row>
    <row r="136" spans="1:12" ht="14.45">
      <c r="A136" s="22"/>
      <c r="B136" s="34"/>
      <c r="C136" s="22"/>
      <c r="D136" s="22"/>
      <c r="E136" s="22"/>
      <c r="F136" s="23"/>
      <c r="G136" s="22"/>
      <c r="H136" s="22"/>
      <c r="I136" s="23"/>
      <c r="J136" s="22"/>
      <c r="K136" s="22"/>
      <c r="L136" s="22"/>
    </row>
    <row r="137" spans="1:12" ht="14.45">
      <c r="A137" s="22"/>
      <c r="B137" s="34"/>
      <c r="C137" s="22"/>
      <c r="D137" s="22"/>
      <c r="E137" s="22"/>
      <c r="F137" s="23"/>
      <c r="G137" s="22"/>
      <c r="H137" s="22"/>
      <c r="I137" s="23"/>
      <c r="J137" s="22"/>
      <c r="K137" s="22"/>
      <c r="L137" s="22"/>
    </row>
    <row r="138" spans="1:12" ht="14.45">
      <c r="A138" s="22"/>
      <c r="B138" s="34"/>
      <c r="C138" s="22"/>
      <c r="D138" s="22"/>
      <c r="E138" s="22"/>
      <c r="F138" s="23"/>
      <c r="G138" s="22"/>
      <c r="H138" s="22"/>
      <c r="I138" s="23"/>
      <c r="J138" s="22"/>
      <c r="K138" s="22"/>
      <c r="L138" s="22"/>
    </row>
    <row r="139" spans="1:12" ht="14.45">
      <c r="A139" s="22"/>
      <c r="B139" s="34"/>
      <c r="C139" s="22"/>
      <c r="D139" s="22"/>
      <c r="E139" s="22"/>
      <c r="F139" s="23"/>
      <c r="G139" s="22"/>
      <c r="H139" s="22"/>
      <c r="I139" s="23"/>
      <c r="J139" s="22"/>
      <c r="K139" s="22"/>
      <c r="L139" s="22"/>
    </row>
    <row r="140" spans="1:12" ht="14.45">
      <c r="A140" s="22"/>
      <c r="B140" s="34"/>
      <c r="C140" s="22"/>
      <c r="D140" s="22"/>
      <c r="E140" s="22"/>
      <c r="F140" s="23"/>
      <c r="G140" s="22"/>
      <c r="H140" s="22"/>
      <c r="I140" s="23"/>
      <c r="J140" s="22"/>
      <c r="K140" s="22"/>
      <c r="L140" s="22"/>
    </row>
    <row r="141" spans="1:12" ht="14.45">
      <c r="A141" s="22"/>
      <c r="B141" s="34"/>
      <c r="C141" s="22"/>
      <c r="D141" s="22"/>
      <c r="E141" s="22"/>
      <c r="F141" s="23"/>
      <c r="G141" s="22"/>
      <c r="H141" s="22"/>
      <c r="I141" s="23"/>
      <c r="J141" s="22"/>
      <c r="K141" s="22"/>
      <c r="L141" s="22"/>
    </row>
    <row r="142" spans="1:12" ht="14.45">
      <c r="A142" s="22"/>
      <c r="B142" s="34"/>
      <c r="C142" s="22"/>
      <c r="D142" s="22"/>
      <c r="E142" s="22"/>
      <c r="F142" s="23"/>
      <c r="G142" s="22"/>
      <c r="H142" s="22"/>
      <c r="I142" s="23"/>
      <c r="J142" s="22"/>
      <c r="K142" s="22"/>
      <c r="L142" s="22"/>
    </row>
    <row r="143" spans="1:12" ht="14.45">
      <c r="A143" s="22"/>
      <c r="B143" s="34"/>
      <c r="C143" s="22"/>
      <c r="D143" s="22"/>
      <c r="E143" s="22"/>
      <c r="F143" s="23"/>
      <c r="G143" s="22"/>
      <c r="H143" s="22"/>
      <c r="I143" s="23"/>
      <c r="J143" s="22"/>
      <c r="K143" s="22"/>
      <c r="L143" s="22"/>
    </row>
    <row r="144" spans="1:12" ht="14.45">
      <c r="A144" s="22"/>
      <c r="B144" s="34"/>
      <c r="C144" s="22"/>
      <c r="D144" s="22"/>
      <c r="E144" s="22"/>
      <c r="F144" s="23"/>
      <c r="G144" s="22"/>
      <c r="H144" s="22"/>
      <c r="I144" s="23"/>
      <c r="J144" s="22"/>
      <c r="K144" s="22"/>
      <c r="L144" s="22"/>
    </row>
    <row r="145" spans="1:12" ht="14.45">
      <c r="A145" s="22"/>
      <c r="B145" s="34"/>
      <c r="C145" s="22"/>
      <c r="D145" s="22"/>
      <c r="E145" s="22"/>
      <c r="F145" s="23"/>
      <c r="G145" s="22"/>
      <c r="H145" s="22"/>
      <c r="I145" s="23"/>
      <c r="J145" s="22"/>
      <c r="K145" s="22"/>
      <c r="L145" s="22"/>
    </row>
    <row r="146" spans="1:12" ht="14.45">
      <c r="A146" s="22"/>
      <c r="B146" s="34"/>
      <c r="C146" s="22"/>
      <c r="D146" s="22"/>
      <c r="E146" s="22"/>
      <c r="F146" s="23"/>
      <c r="G146" s="22"/>
      <c r="H146" s="22"/>
      <c r="I146" s="23"/>
      <c r="J146" s="22"/>
      <c r="K146" s="22"/>
      <c r="L146" s="22"/>
    </row>
    <row r="147" spans="1:12" ht="14.45">
      <c r="A147" s="22"/>
      <c r="B147" s="34"/>
      <c r="C147" s="22"/>
      <c r="D147" s="22"/>
      <c r="E147" s="22"/>
      <c r="F147" s="23"/>
      <c r="G147" s="22"/>
      <c r="H147" s="22"/>
      <c r="I147" s="23"/>
      <c r="J147" s="22"/>
      <c r="K147" s="22"/>
      <c r="L147" s="22"/>
    </row>
    <row r="148" spans="1:12" ht="14.45">
      <c r="A148" s="22"/>
      <c r="B148" s="34"/>
      <c r="C148" s="22"/>
      <c r="D148" s="22"/>
      <c r="E148" s="22"/>
      <c r="F148" s="23"/>
      <c r="G148" s="22"/>
      <c r="H148" s="22"/>
      <c r="I148" s="23"/>
      <c r="J148" s="22"/>
      <c r="K148" s="22"/>
      <c r="L148" s="22"/>
    </row>
    <row r="149" spans="1:12" ht="14.45">
      <c r="A149" s="22"/>
      <c r="B149" s="34"/>
      <c r="C149" s="22"/>
      <c r="D149" s="22"/>
      <c r="E149" s="22"/>
      <c r="F149" s="23"/>
      <c r="G149" s="22"/>
      <c r="H149" s="22"/>
      <c r="I149" s="23"/>
      <c r="J149" s="22"/>
      <c r="K149" s="22"/>
      <c r="L149" s="22"/>
    </row>
    <row r="150" spans="1:12" ht="14.45">
      <c r="A150" s="22"/>
      <c r="B150" s="34"/>
      <c r="C150" s="22"/>
      <c r="D150" s="22"/>
      <c r="E150" s="22"/>
      <c r="F150" s="23"/>
      <c r="G150" s="22"/>
      <c r="H150" s="22"/>
      <c r="I150" s="23"/>
      <c r="J150" s="22"/>
      <c r="K150" s="22"/>
      <c r="L150" s="22"/>
    </row>
    <row r="151" spans="1:12" ht="14.45">
      <c r="A151" s="22"/>
      <c r="B151" s="34"/>
      <c r="C151" s="22"/>
      <c r="D151" s="22"/>
      <c r="E151" s="22"/>
      <c r="F151" s="23"/>
      <c r="G151" s="22"/>
      <c r="H151" s="22"/>
      <c r="I151" s="23"/>
      <c r="J151" s="22"/>
      <c r="K151" s="22"/>
      <c r="L151" s="22"/>
    </row>
    <row r="152" spans="1:12" ht="14.45">
      <c r="A152" s="22"/>
      <c r="B152" s="34"/>
      <c r="C152" s="22"/>
      <c r="D152" s="22"/>
      <c r="E152" s="22"/>
      <c r="F152" s="23"/>
      <c r="G152" s="22"/>
      <c r="H152" s="22"/>
      <c r="I152" s="23"/>
      <c r="J152" s="22"/>
      <c r="K152" s="22"/>
      <c r="L152" s="22"/>
    </row>
    <row r="153" spans="1:12" ht="14.45">
      <c r="A153" s="22"/>
      <c r="B153" s="34"/>
      <c r="C153" s="22"/>
      <c r="D153" s="22"/>
      <c r="E153" s="22"/>
      <c r="F153" s="23"/>
      <c r="G153" s="22"/>
      <c r="H153" s="22"/>
      <c r="I153" s="23"/>
      <c r="J153" s="22"/>
      <c r="K153" s="22"/>
      <c r="L153" s="22"/>
    </row>
    <row r="154" spans="1:12" ht="14.45">
      <c r="A154" s="22"/>
      <c r="B154" s="34"/>
      <c r="C154" s="22"/>
      <c r="D154" s="22"/>
      <c r="E154" s="22"/>
      <c r="F154" s="23"/>
      <c r="G154" s="22"/>
      <c r="H154" s="22"/>
      <c r="I154" s="23"/>
      <c r="J154" s="22"/>
      <c r="K154" s="22"/>
      <c r="L154" s="22"/>
    </row>
    <row r="155" spans="1:12" ht="14.45">
      <c r="A155" s="22"/>
      <c r="B155" s="34"/>
      <c r="C155" s="22"/>
      <c r="D155" s="22"/>
      <c r="E155" s="22"/>
      <c r="F155" s="23"/>
      <c r="G155" s="22"/>
      <c r="H155" s="22"/>
      <c r="I155" s="23"/>
      <c r="J155" s="22"/>
      <c r="K155" s="22"/>
      <c r="L155" s="22"/>
    </row>
    <row r="156" spans="1:12" ht="14.45">
      <c r="A156" s="22"/>
      <c r="B156" s="34"/>
      <c r="C156" s="22"/>
      <c r="D156" s="22"/>
      <c r="E156" s="22"/>
      <c r="F156" s="23"/>
      <c r="G156" s="22"/>
      <c r="H156" s="22"/>
      <c r="I156" s="23"/>
      <c r="J156" s="22"/>
      <c r="K156" s="22"/>
      <c r="L156" s="22"/>
    </row>
    <row r="157" spans="1:12" ht="14.45">
      <c r="A157" s="22"/>
      <c r="B157" s="34"/>
      <c r="C157" s="22"/>
      <c r="D157" s="22"/>
      <c r="E157" s="22"/>
      <c r="F157" s="23"/>
      <c r="G157" s="22"/>
      <c r="H157" s="22"/>
      <c r="I157" s="23"/>
      <c r="J157" s="22"/>
      <c r="K157" s="22"/>
      <c r="L157" s="22"/>
    </row>
    <row r="158" spans="1:12" ht="14.45">
      <c r="A158" s="22"/>
      <c r="B158" s="34"/>
      <c r="C158" s="22"/>
      <c r="D158" s="22"/>
      <c r="E158" s="22"/>
      <c r="F158" s="23"/>
      <c r="G158" s="22"/>
      <c r="H158" s="22"/>
      <c r="I158" s="23"/>
      <c r="J158" s="22"/>
      <c r="K158" s="22"/>
      <c r="L158" s="22"/>
    </row>
    <row r="159" spans="1:12" ht="14.45">
      <c r="A159" s="22"/>
      <c r="B159" s="34"/>
      <c r="C159" s="22"/>
      <c r="D159" s="22"/>
      <c r="E159" s="22"/>
      <c r="F159" s="23"/>
      <c r="G159" s="22"/>
      <c r="H159" s="22"/>
      <c r="I159" s="23"/>
      <c r="J159" s="22"/>
      <c r="K159" s="22"/>
      <c r="L159" s="22"/>
    </row>
    <row r="160" spans="1:12" ht="14.45">
      <c r="A160" s="22"/>
      <c r="B160" s="34"/>
      <c r="C160" s="22"/>
      <c r="D160" s="22"/>
      <c r="E160" s="22"/>
      <c r="F160" s="23"/>
      <c r="G160" s="22"/>
      <c r="H160" s="22"/>
      <c r="I160" s="23"/>
      <c r="J160" s="22"/>
      <c r="K160" s="22"/>
      <c r="L160" s="22"/>
    </row>
    <row r="161" spans="1:12" ht="14.45">
      <c r="A161" s="22"/>
      <c r="B161" s="34"/>
      <c r="C161" s="22"/>
      <c r="D161" s="22"/>
      <c r="E161" s="22"/>
      <c r="F161" s="23"/>
      <c r="G161" s="22"/>
      <c r="H161" s="22"/>
      <c r="I161" s="23"/>
      <c r="J161" s="22"/>
      <c r="K161" s="22"/>
      <c r="L161" s="22"/>
    </row>
    <row r="162" spans="1:12" ht="14.45">
      <c r="A162" s="22"/>
      <c r="B162" s="34"/>
      <c r="C162" s="22"/>
      <c r="D162" s="22"/>
      <c r="E162" s="22"/>
      <c r="F162" s="23"/>
      <c r="G162" s="22"/>
      <c r="H162" s="22"/>
      <c r="I162" s="23"/>
      <c r="J162" s="22"/>
      <c r="K162" s="22"/>
      <c r="L162" s="22"/>
    </row>
    <row r="163" spans="1:12" ht="14.45">
      <c r="A163" s="22"/>
      <c r="B163" s="34"/>
      <c r="C163" s="22"/>
      <c r="D163" s="22"/>
      <c r="E163" s="22"/>
      <c r="F163" s="23"/>
      <c r="G163" s="22"/>
      <c r="H163" s="22"/>
      <c r="I163" s="23"/>
      <c r="J163" s="22"/>
      <c r="K163" s="22"/>
      <c r="L163" s="22"/>
    </row>
    <row r="164" spans="1:12" ht="14.45">
      <c r="A164" s="22"/>
      <c r="B164" s="34"/>
      <c r="C164" s="22"/>
      <c r="D164" s="22"/>
      <c r="E164" s="22"/>
      <c r="F164" s="23"/>
      <c r="G164" s="22"/>
      <c r="H164" s="22"/>
      <c r="I164" s="23"/>
      <c r="J164" s="22"/>
      <c r="K164" s="22"/>
      <c r="L164" s="22"/>
    </row>
    <row r="165" spans="1:12" ht="14.45">
      <c r="A165" s="22"/>
      <c r="B165" s="34"/>
      <c r="C165" s="22"/>
      <c r="D165" s="22"/>
      <c r="E165" s="22"/>
      <c r="F165" s="23"/>
      <c r="G165" s="22"/>
      <c r="H165" s="22"/>
      <c r="I165" s="23"/>
      <c r="J165" s="22"/>
      <c r="K165" s="22"/>
      <c r="L165" s="22"/>
    </row>
    <row r="166" spans="1:12" ht="14.45">
      <c r="A166" s="22"/>
      <c r="B166" s="34"/>
      <c r="C166" s="22"/>
      <c r="D166" s="22"/>
      <c r="E166" s="22"/>
      <c r="F166" s="23"/>
      <c r="G166" s="22"/>
      <c r="H166" s="22"/>
      <c r="I166" s="23"/>
      <c r="J166" s="22"/>
      <c r="K166" s="22"/>
      <c r="L166" s="22"/>
    </row>
    <row r="167" spans="1:12" ht="14.45">
      <c r="A167" s="22"/>
      <c r="B167" s="34"/>
      <c r="C167" s="22"/>
      <c r="D167" s="22"/>
      <c r="E167" s="22"/>
      <c r="F167" s="23"/>
      <c r="G167" s="22"/>
      <c r="H167" s="22"/>
      <c r="I167" s="23"/>
      <c r="J167" s="22"/>
      <c r="K167" s="22"/>
      <c r="L167" s="22"/>
    </row>
    <row r="168" spans="1:12" ht="14.45">
      <c r="A168" s="22"/>
      <c r="B168" s="34"/>
      <c r="C168" s="22"/>
      <c r="D168" s="22"/>
      <c r="E168" s="22"/>
      <c r="F168" s="23"/>
      <c r="G168" s="22"/>
      <c r="H168" s="22"/>
      <c r="I168" s="23"/>
      <c r="J168" s="22"/>
      <c r="K168" s="22"/>
      <c r="L168" s="22"/>
    </row>
    <row r="169" spans="1:12" ht="14.45">
      <c r="A169" s="22"/>
      <c r="B169" s="34"/>
      <c r="C169" s="22"/>
      <c r="D169" s="22"/>
      <c r="E169" s="22"/>
      <c r="F169" s="23"/>
      <c r="G169" s="22"/>
      <c r="H169" s="22"/>
      <c r="I169" s="23"/>
      <c r="J169" s="22"/>
      <c r="K169" s="22"/>
      <c r="L169" s="22"/>
    </row>
    <row r="170" spans="1:12" ht="14.45">
      <c r="A170" s="22"/>
      <c r="B170" s="34"/>
      <c r="C170" s="22"/>
      <c r="D170" s="22"/>
      <c r="E170" s="22"/>
      <c r="F170" s="23"/>
      <c r="G170" s="22"/>
      <c r="H170" s="22"/>
      <c r="I170" s="23"/>
      <c r="J170" s="22"/>
      <c r="K170" s="22"/>
      <c r="L170" s="22"/>
    </row>
    <row r="171" spans="1:12" ht="14.45">
      <c r="A171" s="22"/>
      <c r="B171" s="34"/>
      <c r="C171" s="22"/>
      <c r="D171" s="22"/>
      <c r="E171" s="22"/>
      <c r="F171" s="23"/>
      <c r="G171" s="22"/>
      <c r="H171" s="22"/>
      <c r="I171" s="23"/>
      <c r="J171" s="22"/>
      <c r="K171" s="22"/>
      <c r="L171" s="22"/>
    </row>
    <row r="172" spans="1:12" ht="14.45">
      <c r="A172" s="22"/>
      <c r="B172" s="34"/>
      <c r="C172" s="22"/>
      <c r="D172" s="22"/>
      <c r="E172" s="22"/>
      <c r="F172" s="23"/>
      <c r="G172" s="22"/>
      <c r="H172" s="22"/>
      <c r="I172" s="23"/>
      <c r="J172" s="22"/>
      <c r="K172" s="22"/>
      <c r="L172" s="22"/>
    </row>
    <row r="173" spans="1:12" ht="14.45">
      <c r="A173" s="22"/>
      <c r="B173" s="34"/>
      <c r="C173" s="22"/>
      <c r="D173" s="22"/>
      <c r="E173" s="22"/>
      <c r="F173" s="23"/>
      <c r="G173" s="22"/>
      <c r="H173" s="22"/>
      <c r="I173" s="23"/>
      <c r="J173" s="22"/>
      <c r="K173" s="22"/>
      <c r="L173" s="22"/>
    </row>
    <row r="174" spans="1:12" ht="14.45">
      <c r="A174" s="22"/>
      <c r="B174" s="34"/>
      <c r="C174" s="22"/>
      <c r="D174" s="22"/>
      <c r="E174" s="22"/>
      <c r="F174" s="23"/>
      <c r="G174" s="22"/>
      <c r="H174" s="22"/>
      <c r="I174" s="23"/>
      <c r="J174" s="22"/>
      <c r="K174" s="22"/>
      <c r="L174" s="22"/>
    </row>
    <row r="175" spans="1:12" ht="14.45">
      <c r="A175" s="22"/>
      <c r="B175" s="34"/>
      <c r="C175" s="22"/>
      <c r="D175" s="22"/>
      <c r="E175" s="22"/>
      <c r="F175" s="23"/>
      <c r="G175" s="22"/>
      <c r="H175" s="22"/>
      <c r="I175" s="23"/>
      <c r="J175" s="22"/>
      <c r="K175" s="22"/>
      <c r="L175" s="22"/>
    </row>
    <row r="176" spans="1:12" ht="14.45">
      <c r="A176" s="22"/>
      <c r="B176" s="34"/>
      <c r="C176" s="22"/>
      <c r="D176" s="22"/>
      <c r="E176" s="22"/>
      <c r="F176" s="23"/>
      <c r="G176" s="22"/>
      <c r="H176" s="22"/>
      <c r="I176" s="23"/>
      <c r="J176" s="22"/>
      <c r="K176" s="22"/>
      <c r="L176" s="22"/>
    </row>
    <row r="177" spans="1:12" ht="14.45">
      <c r="A177" s="22"/>
      <c r="B177" s="34"/>
      <c r="C177" s="22"/>
      <c r="D177" s="22"/>
      <c r="E177" s="22"/>
      <c r="F177" s="23"/>
      <c r="G177" s="22"/>
      <c r="H177" s="22"/>
      <c r="I177" s="23"/>
      <c r="J177" s="22"/>
      <c r="K177" s="22"/>
      <c r="L177" s="22"/>
    </row>
    <row r="178" spans="1:12" ht="14.45">
      <c r="A178" s="22"/>
      <c r="B178" s="34"/>
      <c r="C178" s="22"/>
      <c r="D178" s="22"/>
      <c r="E178" s="22"/>
      <c r="F178" s="23"/>
      <c r="G178" s="22"/>
      <c r="H178" s="22"/>
      <c r="I178" s="23"/>
      <c r="J178" s="22"/>
      <c r="K178" s="22"/>
      <c r="L178" s="22"/>
    </row>
    <row r="179" spans="1:12" ht="14.45">
      <c r="A179" s="22"/>
      <c r="B179" s="34"/>
      <c r="C179" s="22"/>
      <c r="D179" s="22"/>
      <c r="E179" s="22"/>
      <c r="F179" s="23"/>
      <c r="G179" s="22"/>
      <c r="H179" s="22"/>
      <c r="I179" s="23"/>
      <c r="J179" s="22"/>
      <c r="K179" s="22"/>
      <c r="L179" s="22"/>
    </row>
    <row r="180" spans="1:12" ht="14.45">
      <c r="A180" s="22"/>
      <c r="B180" s="34"/>
      <c r="C180" s="22"/>
      <c r="D180" s="22"/>
      <c r="E180" s="22"/>
      <c r="F180" s="23"/>
      <c r="G180" s="22"/>
      <c r="H180" s="22"/>
      <c r="I180" s="23"/>
      <c r="J180" s="22"/>
      <c r="K180" s="22"/>
      <c r="L180" s="22"/>
    </row>
    <row r="181" spans="1:12" ht="14.45">
      <c r="A181" s="22"/>
      <c r="B181" s="34"/>
      <c r="C181" s="22"/>
      <c r="D181" s="22"/>
      <c r="E181" s="22"/>
      <c r="F181" s="23"/>
      <c r="G181" s="22"/>
      <c r="H181" s="22"/>
      <c r="I181" s="23"/>
      <c r="J181" s="22"/>
      <c r="K181" s="22"/>
      <c r="L181" s="22"/>
    </row>
    <row r="182" spans="1:12" ht="14.45">
      <c r="A182" s="22"/>
      <c r="B182" s="34"/>
      <c r="C182" s="22"/>
      <c r="D182" s="22"/>
      <c r="E182" s="22"/>
      <c r="F182" s="23"/>
      <c r="G182" s="22"/>
      <c r="H182" s="22"/>
      <c r="I182" s="23"/>
      <c r="J182" s="22"/>
      <c r="K182" s="22"/>
      <c r="L182" s="22"/>
    </row>
    <row r="183" spans="1:12" ht="14.45">
      <c r="A183" s="22"/>
      <c r="B183" s="34"/>
      <c r="C183" s="22"/>
      <c r="D183" s="22"/>
      <c r="E183" s="22"/>
      <c r="F183" s="23"/>
      <c r="G183" s="22"/>
      <c r="H183" s="22"/>
      <c r="I183" s="23"/>
      <c r="J183" s="22"/>
      <c r="K183" s="22"/>
      <c r="L183" s="22"/>
    </row>
    <row r="184" spans="1:12" ht="14.45">
      <c r="A184" s="22"/>
      <c r="B184" s="34"/>
      <c r="C184" s="22"/>
      <c r="D184" s="22"/>
      <c r="E184" s="22"/>
      <c r="F184" s="23"/>
      <c r="G184" s="22"/>
      <c r="H184" s="22"/>
      <c r="I184" s="23"/>
      <c r="J184" s="22"/>
      <c r="K184" s="22"/>
      <c r="L184" s="22"/>
    </row>
    <row r="185" spans="1:12" ht="14.45">
      <c r="A185" s="22"/>
      <c r="B185" s="34"/>
      <c r="C185" s="22"/>
      <c r="D185" s="22"/>
      <c r="E185" s="22"/>
      <c r="F185" s="23"/>
      <c r="G185" s="22"/>
      <c r="H185" s="22"/>
      <c r="I185" s="23"/>
      <c r="J185" s="22"/>
      <c r="K185" s="22"/>
      <c r="L185" s="22"/>
    </row>
    <row r="186" spans="1:12" ht="14.45">
      <c r="A186" s="22"/>
      <c r="B186" s="34"/>
      <c r="C186" s="22"/>
      <c r="D186" s="22"/>
      <c r="E186" s="22"/>
      <c r="F186" s="23"/>
      <c r="G186" s="22"/>
      <c r="H186" s="22"/>
      <c r="I186" s="23"/>
      <c r="J186" s="22"/>
      <c r="K186" s="22"/>
      <c r="L186" s="22"/>
    </row>
    <row r="187" spans="1:12" ht="14.45">
      <c r="A187" s="22"/>
      <c r="B187" s="34"/>
      <c r="C187" s="22"/>
      <c r="D187" s="22"/>
      <c r="E187" s="22"/>
      <c r="F187" s="23"/>
      <c r="G187" s="22"/>
      <c r="H187" s="22"/>
      <c r="I187" s="23"/>
      <c r="J187" s="22"/>
      <c r="K187" s="22"/>
      <c r="L187" s="22"/>
    </row>
    <row r="188" spans="1:12" ht="14.45">
      <c r="A188" s="22"/>
      <c r="B188" s="34"/>
      <c r="C188" s="22"/>
      <c r="D188" s="22"/>
      <c r="E188" s="22"/>
      <c r="F188" s="23"/>
      <c r="G188" s="22"/>
      <c r="H188" s="22"/>
      <c r="I188" s="23"/>
      <c r="J188" s="22"/>
      <c r="K188" s="22"/>
      <c r="L188" s="22"/>
    </row>
    <row r="189" spans="1:12" ht="14.45">
      <c r="A189" s="22"/>
      <c r="B189" s="34"/>
      <c r="C189" s="22"/>
      <c r="D189" s="22"/>
      <c r="E189" s="22"/>
      <c r="F189" s="23"/>
      <c r="G189" s="22"/>
      <c r="H189" s="22"/>
      <c r="I189" s="23"/>
      <c r="J189" s="22"/>
      <c r="K189" s="22"/>
      <c r="L189" s="22"/>
    </row>
    <row r="190" spans="1:12" ht="14.45">
      <c r="A190" s="22"/>
      <c r="B190" s="34"/>
      <c r="C190" s="22"/>
      <c r="D190" s="22"/>
      <c r="E190" s="22"/>
      <c r="F190" s="23"/>
      <c r="G190" s="22"/>
      <c r="H190" s="22"/>
      <c r="I190" s="23"/>
      <c r="J190" s="22"/>
      <c r="K190" s="22"/>
      <c r="L190" s="22"/>
    </row>
    <row r="191" spans="1:12" ht="14.45">
      <c r="A191" s="22"/>
      <c r="B191" s="34"/>
      <c r="C191" s="22"/>
      <c r="D191" s="22"/>
      <c r="E191" s="22"/>
      <c r="F191" s="23"/>
      <c r="G191" s="22"/>
      <c r="H191" s="22"/>
      <c r="I191" s="23"/>
      <c r="J191" s="22"/>
      <c r="K191" s="22"/>
      <c r="L191" s="22"/>
    </row>
    <row r="192" spans="1:12" ht="14.45">
      <c r="A192" s="22"/>
      <c r="B192" s="34"/>
      <c r="C192" s="22"/>
      <c r="D192" s="22"/>
      <c r="E192" s="22"/>
      <c r="F192" s="23"/>
      <c r="G192" s="22"/>
      <c r="H192" s="22"/>
      <c r="I192" s="23"/>
      <c r="J192" s="22"/>
      <c r="K192" s="22"/>
      <c r="L192" s="22"/>
    </row>
    <row r="193" spans="1:12" ht="14.45">
      <c r="A193" s="22"/>
      <c r="B193" s="34"/>
      <c r="C193" s="22"/>
      <c r="D193" s="22"/>
      <c r="E193" s="22"/>
      <c r="F193" s="23"/>
      <c r="G193" s="22"/>
      <c r="H193" s="22"/>
      <c r="I193" s="23"/>
      <c r="J193" s="22"/>
      <c r="K193" s="22"/>
      <c r="L193" s="22"/>
    </row>
    <row r="194" spans="1:12" ht="14.45">
      <c r="A194" s="22"/>
      <c r="B194" s="34"/>
      <c r="C194" s="22"/>
      <c r="D194" s="22"/>
      <c r="E194" s="22"/>
      <c r="F194" s="23"/>
      <c r="G194" s="22"/>
      <c r="H194" s="22"/>
      <c r="I194" s="23"/>
      <c r="J194" s="22"/>
      <c r="K194" s="22"/>
      <c r="L194" s="22"/>
    </row>
    <row r="195" spans="1:12" ht="14.45">
      <c r="A195" s="22"/>
      <c r="B195" s="34"/>
      <c r="C195" s="22"/>
      <c r="D195" s="22"/>
      <c r="E195" s="22"/>
      <c r="F195" s="23"/>
      <c r="G195" s="22"/>
      <c r="H195" s="22"/>
      <c r="I195" s="23"/>
      <c r="J195" s="22"/>
      <c r="K195" s="22"/>
      <c r="L195" s="22"/>
    </row>
    <row r="196" spans="1:12" ht="14.45">
      <c r="A196" s="22"/>
      <c r="B196" s="34"/>
      <c r="C196" s="22"/>
      <c r="D196" s="22"/>
      <c r="E196" s="22"/>
      <c r="F196" s="23"/>
      <c r="G196" s="22"/>
      <c r="H196" s="22"/>
      <c r="I196" s="23"/>
      <c r="J196" s="22"/>
      <c r="K196" s="22"/>
      <c r="L196" s="22"/>
    </row>
    <row r="197" spans="1:12" ht="14.45">
      <c r="A197" s="22"/>
      <c r="B197" s="34"/>
      <c r="C197" s="22"/>
      <c r="D197" s="22"/>
      <c r="E197" s="22"/>
      <c r="F197" s="23"/>
      <c r="G197" s="22"/>
      <c r="H197" s="22"/>
      <c r="I197" s="23"/>
      <c r="J197" s="22"/>
      <c r="K197" s="22"/>
      <c r="L197" s="22"/>
    </row>
    <row r="198" spans="1:12" ht="14.45">
      <c r="A198" s="22"/>
      <c r="B198" s="34"/>
      <c r="C198" s="22"/>
      <c r="D198" s="22"/>
      <c r="E198" s="22"/>
      <c r="F198" s="23"/>
      <c r="G198" s="22"/>
      <c r="H198" s="22"/>
      <c r="I198" s="23"/>
      <c r="J198" s="22"/>
      <c r="K198" s="22"/>
      <c r="L198" s="22"/>
    </row>
    <row r="199" spans="1:12" ht="14.45">
      <c r="A199" s="22"/>
      <c r="B199" s="34"/>
      <c r="C199" s="22"/>
      <c r="D199" s="22"/>
      <c r="E199" s="22"/>
      <c r="F199" s="23"/>
      <c r="G199" s="22"/>
      <c r="H199" s="22"/>
      <c r="I199" s="23"/>
      <c r="J199" s="22"/>
      <c r="K199" s="22"/>
      <c r="L199" s="22"/>
    </row>
    <row r="200" spans="1:12" ht="14.45">
      <c r="A200" s="22"/>
      <c r="B200" s="34"/>
      <c r="C200" s="22"/>
      <c r="D200" s="22"/>
      <c r="E200" s="22"/>
      <c r="F200" s="23"/>
      <c r="G200" s="22"/>
      <c r="H200" s="22"/>
      <c r="I200" s="23"/>
      <c r="J200" s="22"/>
      <c r="K200" s="22"/>
      <c r="L200" s="22"/>
    </row>
    <row r="201" spans="1:12" ht="14.45">
      <c r="A201" s="22"/>
      <c r="B201" s="34"/>
      <c r="C201" s="22"/>
      <c r="D201" s="22"/>
      <c r="E201" s="22"/>
      <c r="F201" s="23"/>
      <c r="G201" s="22"/>
      <c r="H201" s="22"/>
      <c r="I201" s="23"/>
      <c r="J201" s="22"/>
      <c r="K201" s="22"/>
      <c r="L201" s="22"/>
    </row>
    <row r="202" spans="1:12" ht="14.45">
      <c r="A202" s="22"/>
      <c r="B202" s="34"/>
      <c r="C202" s="22"/>
      <c r="D202" s="22"/>
      <c r="E202" s="22"/>
      <c r="F202" s="23"/>
      <c r="G202" s="22"/>
      <c r="H202" s="22"/>
      <c r="I202" s="23"/>
      <c r="J202" s="22"/>
      <c r="K202" s="22"/>
      <c r="L202" s="22"/>
    </row>
    <row r="203" spans="1:12" ht="14.45">
      <c r="A203" s="22"/>
      <c r="B203" s="34"/>
      <c r="C203" s="22"/>
      <c r="D203" s="22"/>
      <c r="E203" s="22"/>
      <c r="F203" s="23"/>
      <c r="G203" s="22"/>
      <c r="H203" s="22"/>
      <c r="I203" s="23"/>
      <c r="J203" s="22"/>
      <c r="K203" s="22"/>
      <c r="L203" s="22"/>
    </row>
    <row r="204" spans="1:12" ht="14.45">
      <c r="A204" s="22"/>
      <c r="B204" s="34"/>
      <c r="C204" s="22"/>
      <c r="D204" s="22"/>
      <c r="E204" s="22"/>
      <c r="F204" s="23"/>
      <c r="G204" s="22"/>
      <c r="H204" s="22"/>
      <c r="I204" s="23"/>
      <c r="J204" s="22"/>
      <c r="K204" s="22"/>
      <c r="L204" s="22"/>
    </row>
    <row r="205" spans="1:12" ht="14.45">
      <c r="A205" s="22"/>
      <c r="B205" s="34"/>
      <c r="C205" s="22"/>
      <c r="D205" s="22"/>
      <c r="E205" s="22"/>
      <c r="F205" s="23"/>
      <c r="G205" s="22"/>
      <c r="H205" s="22"/>
      <c r="I205" s="23"/>
      <c r="J205" s="22"/>
      <c r="K205" s="22"/>
      <c r="L205" s="22"/>
    </row>
    <row r="206" spans="1:12" ht="14.45">
      <c r="A206" s="22"/>
      <c r="B206" s="34"/>
      <c r="C206" s="22"/>
      <c r="D206" s="22"/>
      <c r="E206" s="22"/>
      <c r="F206" s="23"/>
      <c r="G206" s="22"/>
      <c r="H206" s="22"/>
      <c r="I206" s="23"/>
      <c r="J206" s="22"/>
      <c r="K206" s="22"/>
      <c r="L206" s="22"/>
    </row>
    <row r="207" spans="1:12" ht="14.45">
      <c r="A207" s="22"/>
      <c r="B207" s="34"/>
      <c r="C207" s="22"/>
      <c r="D207" s="22"/>
      <c r="E207" s="22"/>
      <c r="F207" s="23"/>
      <c r="G207" s="22"/>
      <c r="H207" s="22"/>
      <c r="I207" s="23"/>
      <c r="J207" s="22"/>
      <c r="K207" s="22"/>
      <c r="L207" s="22"/>
    </row>
    <row r="208" spans="1:12" ht="14.45">
      <c r="A208" s="22"/>
      <c r="B208" s="34"/>
      <c r="C208" s="22"/>
      <c r="D208" s="22"/>
      <c r="E208" s="22"/>
      <c r="F208" s="23"/>
      <c r="G208" s="22"/>
      <c r="H208" s="22"/>
      <c r="I208" s="23"/>
      <c r="J208" s="22"/>
      <c r="K208" s="22"/>
      <c r="L208" s="22"/>
    </row>
    <row r="209" spans="1:12" ht="14.45">
      <c r="A209" s="22"/>
      <c r="B209" s="34"/>
      <c r="C209" s="22"/>
      <c r="D209" s="22"/>
      <c r="E209" s="22"/>
      <c r="F209" s="23"/>
      <c r="G209" s="22"/>
      <c r="H209" s="22"/>
      <c r="I209" s="23"/>
      <c r="J209" s="22"/>
      <c r="K209" s="22"/>
      <c r="L209" s="22"/>
    </row>
    <row r="210" spans="1:12" ht="14.45">
      <c r="A210" s="22"/>
      <c r="B210" s="34"/>
      <c r="C210" s="22"/>
      <c r="D210" s="22"/>
      <c r="E210" s="22"/>
      <c r="F210" s="23"/>
      <c r="G210" s="22"/>
      <c r="H210" s="22"/>
      <c r="I210" s="23"/>
      <c r="J210" s="22"/>
      <c r="K210" s="22"/>
      <c r="L210" s="22"/>
    </row>
    <row r="211" spans="1:12" ht="14.45">
      <c r="A211" s="22"/>
      <c r="B211" s="34"/>
      <c r="C211" s="22"/>
      <c r="D211" s="22"/>
      <c r="E211" s="22"/>
      <c r="F211" s="23"/>
      <c r="G211" s="22"/>
      <c r="H211" s="22"/>
      <c r="I211" s="23"/>
      <c r="J211" s="22"/>
      <c r="K211" s="22"/>
      <c r="L211" s="22"/>
    </row>
    <row r="212" spans="1:12" ht="14.45">
      <c r="A212" s="22"/>
      <c r="B212" s="34"/>
      <c r="C212" s="22"/>
      <c r="D212" s="22"/>
      <c r="E212" s="22"/>
      <c r="F212" s="23"/>
      <c r="G212" s="22"/>
      <c r="H212" s="22"/>
      <c r="I212" s="23"/>
      <c r="J212" s="22"/>
      <c r="K212" s="22"/>
      <c r="L212" s="22"/>
    </row>
    <row r="213" spans="1:12" ht="14.45">
      <c r="A213" s="22"/>
      <c r="B213" s="34"/>
      <c r="C213" s="22"/>
      <c r="D213" s="22"/>
      <c r="E213" s="22"/>
      <c r="F213" s="23"/>
      <c r="G213" s="22"/>
      <c r="H213" s="22"/>
      <c r="I213" s="23"/>
      <c r="J213" s="22"/>
      <c r="K213" s="22"/>
      <c r="L213" s="22"/>
    </row>
    <row r="214" spans="1:12" ht="14.45">
      <c r="A214" s="22"/>
      <c r="B214" s="34"/>
      <c r="C214" s="22"/>
      <c r="D214" s="22"/>
      <c r="E214" s="22"/>
      <c r="F214" s="23"/>
      <c r="G214" s="22"/>
      <c r="H214" s="22"/>
      <c r="I214" s="23"/>
      <c r="J214" s="22"/>
      <c r="K214" s="22"/>
      <c r="L214" s="22"/>
    </row>
    <row r="215" spans="1:12" ht="14.45">
      <c r="A215" s="22"/>
      <c r="B215" s="34"/>
      <c r="C215" s="22"/>
      <c r="D215" s="22"/>
      <c r="E215" s="22"/>
      <c r="F215" s="23"/>
      <c r="G215" s="22"/>
      <c r="H215" s="22"/>
      <c r="I215" s="23"/>
      <c r="J215" s="22"/>
      <c r="K215" s="22"/>
      <c r="L215" s="22"/>
    </row>
    <row r="216" spans="1:12" ht="14.45">
      <c r="A216" s="22"/>
      <c r="B216" s="34"/>
      <c r="C216" s="22"/>
      <c r="D216" s="22"/>
      <c r="E216" s="22"/>
      <c r="F216" s="23"/>
      <c r="G216" s="22"/>
      <c r="H216" s="22"/>
      <c r="I216" s="23"/>
      <c r="J216" s="22"/>
      <c r="K216" s="22"/>
      <c r="L216" s="22"/>
    </row>
    <row r="217" spans="1:12" ht="14.45">
      <c r="A217" s="22"/>
      <c r="B217" s="34"/>
      <c r="C217" s="22"/>
      <c r="D217" s="22"/>
      <c r="E217" s="22"/>
      <c r="F217" s="23"/>
      <c r="G217" s="22"/>
      <c r="H217" s="22"/>
      <c r="I217" s="23"/>
      <c r="J217" s="22"/>
      <c r="K217" s="22"/>
      <c r="L217" s="22"/>
    </row>
    <row r="218" spans="1:12" ht="14.45">
      <c r="A218" s="22"/>
      <c r="B218" s="34"/>
      <c r="C218" s="22"/>
      <c r="D218" s="22"/>
      <c r="E218" s="22"/>
      <c r="F218" s="23"/>
      <c r="G218" s="22"/>
      <c r="H218" s="22"/>
      <c r="I218" s="23"/>
      <c r="J218" s="22"/>
      <c r="K218" s="22"/>
      <c r="L218" s="22"/>
    </row>
    <row r="219" spans="1:12" ht="14.45">
      <c r="A219" s="22"/>
      <c r="B219" s="34"/>
      <c r="C219" s="22"/>
      <c r="D219" s="22"/>
      <c r="E219" s="22"/>
      <c r="F219" s="23"/>
      <c r="G219" s="22"/>
      <c r="H219" s="22"/>
      <c r="I219" s="23"/>
      <c r="J219" s="22"/>
      <c r="K219" s="22"/>
      <c r="L219" s="22"/>
    </row>
    <row r="220" spans="1:12" ht="14.45">
      <c r="A220" s="22"/>
      <c r="B220" s="34"/>
      <c r="C220" s="22"/>
      <c r="D220" s="22"/>
      <c r="E220" s="22"/>
      <c r="F220" s="23"/>
      <c r="G220" s="22"/>
      <c r="H220" s="22"/>
      <c r="I220" s="23"/>
      <c r="J220" s="22"/>
      <c r="K220" s="22"/>
      <c r="L220" s="22"/>
    </row>
    <row r="221" spans="1:12" ht="14.45">
      <c r="A221" s="22"/>
      <c r="B221" s="34"/>
      <c r="C221" s="22"/>
      <c r="D221" s="22"/>
      <c r="E221" s="22"/>
      <c r="F221" s="23"/>
      <c r="G221" s="22"/>
      <c r="H221" s="22"/>
      <c r="I221" s="23"/>
      <c r="J221" s="22"/>
      <c r="K221" s="22"/>
      <c r="L221" s="22"/>
    </row>
    <row r="222" spans="1:12" ht="14.45">
      <c r="A222" s="22"/>
      <c r="B222" s="34"/>
      <c r="C222" s="22"/>
      <c r="D222" s="22"/>
      <c r="E222" s="22"/>
      <c r="F222" s="23"/>
      <c r="G222" s="22"/>
      <c r="H222" s="22"/>
      <c r="I222" s="23"/>
      <c r="J222" s="22"/>
      <c r="K222" s="22"/>
      <c r="L222" s="22"/>
    </row>
    <row r="223" spans="1:12" ht="14.45">
      <c r="A223" s="22"/>
      <c r="B223" s="34"/>
      <c r="C223" s="22"/>
      <c r="D223" s="22"/>
      <c r="E223" s="22"/>
      <c r="F223" s="23"/>
      <c r="G223" s="22"/>
      <c r="H223" s="22"/>
      <c r="I223" s="23"/>
      <c r="J223" s="22"/>
      <c r="K223" s="22"/>
      <c r="L223" s="22"/>
    </row>
    <row r="224" spans="1:12" ht="14.45">
      <c r="A224" s="22"/>
      <c r="B224" s="34"/>
      <c r="C224" s="22"/>
      <c r="D224" s="22"/>
      <c r="E224" s="22"/>
      <c r="F224" s="23"/>
      <c r="G224" s="22"/>
      <c r="H224" s="22"/>
      <c r="I224" s="23"/>
      <c r="J224" s="22"/>
      <c r="K224" s="22"/>
      <c r="L224" s="22"/>
    </row>
    <row r="225" spans="1:12" ht="14.45">
      <c r="A225" s="22"/>
      <c r="B225" s="34"/>
      <c r="C225" s="22"/>
      <c r="D225" s="22"/>
      <c r="E225" s="22"/>
      <c r="F225" s="23"/>
      <c r="G225" s="22"/>
      <c r="H225" s="22"/>
      <c r="I225" s="23"/>
      <c r="J225" s="22"/>
      <c r="K225" s="22"/>
      <c r="L225" s="22"/>
    </row>
    <row r="226" spans="1:12" ht="14.45">
      <c r="A226" s="22"/>
      <c r="B226" s="34"/>
      <c r="C226" s="22"/>
      <c r="D226" s="22"/>
      <c r="E226" s="22"/>
      <c r="F226" s="23"/>
      <c r="G226" s="22"/>
      <c r="H226" s="22"/>
      <c r="I226" s="23"/>
      <c r="J226" s="22"/>
      <c r="K226" s="22"/>
      <c r="L226" s="22"/>
    </row>
    <row r="227" spans="1:12" ht="14.45">
      <c r="A227" s="22"/>
      <c r="B227" s="34"/>
      <c r="C227" s="22"/>
      <c r="D227" s="22"/>
      <c r="E227" s="22"/>
      <c r="F227" s="23"/>
      <c r="G227" s="22"/>
      <c r="H227" s="22"/>
      <c r="I227" s="23"/>
      <c r="J227" s="22"/>
      <c r="K227" s="22"/>
      <c r="L227" s="22"/>
    </row>
    <row r="228" spans="1:12" ht="14.45">
      <c r="A228" s="22"/>
      <c r="B228" s="34"/>
      <c r="C228" s="22"/>
      <c r="D228" s="22"/>
      <c r="E228" s="22"/>
      <c r="F228" s="23"/>
      <c r="G228" s="22"/>
      <c r="H228" s="22"/>
      <c r="I228" s="23"/>
      <c r="J228" s="22"/>
      <c r="K228" s="22"/>
      <c r="L228" s="22"/>
    </row>
    <row r="229" spans="1:12" ht="14.45">
      <c r="A229" s="22"/>
      <c r="B229" s="34"/>
      <c r="C229" s="22"/>
      <c r="D229" s="22"/>
      <c r="E229" s="22"/>
      <c r="F229" s="23"/>
      <c r="G229" s="22"/>
      <c r="H229" s="22"/>
      <c r="I229" s="23"/>
      <c r="J229" s="22"/>
      <c r="K229" s="22"/>
      <c r="L229" s="22"/>
    </row>
    <row r="230" spans="1:12" ht="14.45">
      <c r="A230" s="22"/>
      <c r="B230" s="34"/>
      <c r="C230" s="22"/>
      <c r="D230" s="22"/>
      <c r="E230" s="22"/>
      <c r="F230" s="23"/>
      <c r="G230" s="22"/>
      <c r="H230" s="22"/>
      <c r="I230" s="23"/>
      <c r="J230" s="22"/>
      <c r="K230" s="22"/>
      <c r="L230" s="22"/>
    </row>
    <row r="231" spans="1:12" ht="14.45">
      <c r="A231" s="22"/>
      <c r="B231" s="34"/>
      <c r="C231" s="22"/>
      <c r="D231" s="22"/>
      <c r="E231" s="22"/>
      <c r="F231" s="23"/>
      <c r="G231" s="22"/>
      <c r="H231" s="22"/>
      <c r="I231" s="23"/>
      <c r="J231" s="22"/>
      <c r="K231" s="22"/>
      <c r="L231" s="22"/>
    </row>
    <row r="232" spans="1:12" ht="14.45">
      <c r="A232" s="22"/>
      <c r="B232" s="34"/>
      <c r="C232" s="22"/>
      <c r="D232" s="22"/>
      <c r="E232" s="22"/>
      <c r="F232" s="23"/>
      <c r="G232" s="22"/>
      <c r="H232" s="22"/>
      <c r="I232" s="23"/>
      <c r="J232" s="22"/>
      <c r="K232" s="22"/>
      <c r="L232" s="22"/>
    </row>
    <row r="233" spans="1:12" ht="14.45">
      <c r="A233" s="22"/>
      <c r="B233" s="34"/>
      <c r="C233" s="22"/>
      <c r="D233" s="22"/>
      <c r="E233" s="22"/>
      <c r="F233" s="23"/>
      <c r="G233" s="22"/>
      <c r="H233" s="22"/>
      <c r="I233" s="23"/>
      <c r="J233" s="22"/>
      <c r="K233" s="22"/>
      <c r="L233" s="22"/>
    </row>
    <row r="234" spans="1:12" ht="14.45">
      <c r="A234" s="22"/>
      <c r="B234" s="34"/>
      <c r="C234" s="22"/>
      <c r="D234" s="22"/>
      <c r="E234" s="22"/>
      <c r="F234" s="23"/>
      <c r="G234" s="22"/>
      <c r="H234" s="22"/>
      <c r="I234" s="23"/>
      <c r="J234" s="22"/>
      <c r="K234" s="22"/>
      <c r="L234" s="22"/>
    </row>
    <row r="235" spans="1:12" ht="14.45">
      <c r="A235" s="22"/>
      <c r="B235" s="34"/>
      <c r="C235" s="22"/>
      <c r="D235" s="22"/>
      <c r="E235" s="22"/>
      <c r="F235" s="23"/>
      <c r="G235" s="22"/>
      <c r="H235" s="22"/>
      <c r="I235" s="23"/>
      <c r="J235" s="22"/>
      <c r="K235" s="22"/>
      <c r="L235" s="22"/>
    </row>
    <row r="236" spans="1:12" ht="14.45">
      <c r="A236" s="22"/>
      <c r="B236" s="34"/>
      <c r="C236" s="22"/>
      <c r="D236" s="22"/>
      <c r="E236" s="22"/>
      <c r="F236" s="23"/>
      <c r="G236" s="22"/>
      <c r="H236" s="22"/>
      <c r="I236" s="23"/>
      <c r="J236" s="22"/>
      <c r="K236" s="22"/>
      <c r="L236" s="22"/>
    </row>
    <row r="237" spans="1:12" ht="14.45">
      <c r="A237" s="22"/>
      <c r="B237" s="34"/>
      <c r="C237" s="22"/>
      <c r="D237" s="22"/>
      <c r="E237" s="22"/>
      <c r="F237" s="23"/>
      <c r="G237" s="22"/>
      <c r="H237" s="22"/>
      <c r="I237" s="23"/>
      <c r="J237" s="22"/>
      <c r="K237" s="22"/>
      <c r="L237" s="22"/>
    </row>
    <row r="238" spans="1:12" ht="14.45">
      <c r="A238" s="22"/>
      <c r="B238" s="34"/>
      <c r="C238" s="22"/>
      <c r="D238" s="22"/>
      <c r="E238" s="22"/>
      <c r="F238" s="23"/>
      <c r="G238" s="22"/>
      <c r="H238" s="22"/>
      <c r="I238" s="23"/>
      <c r="J238" s="22"/>
      <c r="K238" s="22"/>
      <c r="L238" s="22"/>
    </row>
    <row r="239" spans="1:12" ht="14.45">
      <c r="A239" s="22"/>
      <c r="B239" s="34"/>
      <c r="C239" s="22"/>
      <c r="D239" s="22"/>
      <c r="E239" s="22"/>
      <c r="F239" s="23"/>
      <c r="G239" s="22"/>
      <c r="H239" s="22"/>
      <c r="I239" s="23"/>
      <c r="J239" s="22"/>
      <c r="K239" s="22"/>
      <c r="L239" s="22"/>
    </row>
    <row r="240" spans="1:12" ht="14.45">
      <c r="A240" s="22"/>
      <c r="B240" s="34"/>
      <c r="C240" s="22"/>
      <c r="D240" s="22"/>
      <c r="E240" s="22"/>
      <c r="F240" s="23"/>
      <c r="G240" s="22"/>
      <c r="H240" s="22"/>
      <c r="I240" s="23"/>
      <c r="J240" s="22"/>
      <c r="K240" s="22"/>
      <c r="L240" s="22"/>
    </row>
    <row r="241" spans="1:12" ht="14.45">
      <c r="A241" s="22"/>
      <c r="B241" s="34"/>
      <c r="C241" s="22"/>
      <c r="D241" s="22"/>
      <c r="E241" s="22"/>
      <c r="F241" s="23"/>
      <c r="G241" s="22"/>
      <c r="H241" s="22"/>
      <c r="I241" s="23"/>
      <c r="J241" s="22"/>
      <c r="K241" s="22"/>
      <c r="L241" s="22"/>
    </row>
    <row r="242" spans="1:12" ht="14.45">
      <c r="A242" s="22"/>
      <c r="B242" s="34"/>
      <c r="C242" s="22"/>
      <c r="D242" s="22"/>
      <c r="E242" s="22"/>
      <c r="F242" s="23"/>
      <c r="G242" s="22"/>
      <c r="H242" s="22"/>
      <c r="I242" s="23"/>
      <c r="J242" s="22"/>
      <c r="K242" s="22"/>
      <c r="L242" s="22"/>
    </row>
    <row r="243" spans="1:12" ht="14.45">
      <c r="A243" s="22"/>
      <c r="B243" s="34"/>
      <c r="C243" s="22"/>
      <c r="D243" s="22"/>
      <c r="E243" s="22"/>
      <c r="F243" s="23"/>
      <c r="G243" s="22"/>
      <c r="H243" s="22"/>
      <c r="I243" s="23"/>
      <c r="J243" s="22"/>
      <c r="K243" s="22"/>
      <c r="L243" s="22"/>
    </row>
    <row r="244" spans="1:12" ht="14.45">
      <c r="A244" s="22"/>
      <c r="B244" s="34"/>
      <c r="C244" s="22"/>
      <c r="D244" s="22"/>
      <c r="E244" s="22"/>
      <c r="F244" s="23"/>
      <c r="G244" s="22"/>
      <c r="H244" s="22"/>
      <c r="I244" s="23"/>
      <c r="J244" s="22"/>
      <c r="K244" s="22"/>
      <c r="L244" s="22"/>
    </row>
    <row r="245" spans="1:12" ht="14.45">
      <c r="A245" s="22"/>
      <c r="B245" s="34"/>
      <c r="C245" s="22"/>
      <c r="D245" s="22"/>
      <c r="E245" s="22"/>
      <c r="F245" s="23"/>
      <c r="G245" s="22"/>
      <c r="H245" s="22"/>
      <c r="I245" s="23"/>
      <c r="J245" s="22"/>
      <c r="K245" s="22"/>
      <c r="L245" s="22"/>
    </row>
    <row r="246" spans="1:12" ht="14.45">
      <c r="A246" s="22"/>
      <c r="B246" s="34"/>
      <c r="C246" s="22"/>
      <c r="D246" s="22"/>
      <c r="E246" s="22"/>
      <c r="F246" s="23"/>
      <c r="G246" s="22"/>
      <c r="H246" s="22"/>
      <c r="I246" s="23"/>
      <c r="J246" s="22"/>
      <c r="K246" s="22"/>
      <c r="L246" s="22"/>
    </row>
    <row r="247" spans="1:12" ht="14.45">
      <c r="A247" s="22"/>
      <c r="B247" s="34"/>
      <c r="C247" s="22"/>
      <c r="D247" s="22"/>
      <c r="E247" s="22"/>
      <c r="F247" s="23"/>
      <c r="G247" s="22"/>
      <c r="H247" s="22"/>
      <c r="I247" s="23"/>
      <c r="J247" s="22"/>
      <c r="K247" s="22"/>
      <c r="L247" s="22"/>
    </row>
    <row r="248" spans="1:12" ht="14.45">
      <c r="A248" s="22"/>
      <c r="B248" s="34"/>
      <c r="C248" s="22"/>
      <c r="D248" s="22"/>
      <c r="E248" s="22"/>
      <c r="F248" s="23"/>
      <c r="G248" s="22"/>
      <c r="H248" s="22"/>
      <c r="I248" s="23"/>
      <c r="J248" s="22"/>
      <c r="K248" s="22"/>
      <c r="L248" s="22"/>
    </row>
    <row r="249" spans="1:12" ht="14.45">
      <c r="A249" s="22"/>
      <c r="B249" s="34"/>
      <c r="C249" s="22"/>
      <c r="D249" s="22"/>
      <c r="E249" s="22"/>
      <c r="F249" s="23"/>
      <c r="G249" s="22"/>
      <c r="H249" s="22"/>
      <c r="I249" s="23"/>
      <c r="J249" s="22"/>
      <c r="K249" s="22"/>
      <c r="L249" s="22"/>
    </row>
    <row r="250" spans="1:12" ht="14.45">
      <c r="A250" s="22"/>
      <c r="B250" s="34"/>
      <c r="C250" s="22"/>
      <c r="D250" s="22"/>
      <c r="E250" s="22"/>
      <c r="F250" s="23"/>
      <c r="G250" s="22"/>
      <c r="H250" s="22"/>
      <c r="I250" s="23"/>
      <c r="J250" s="22"/>
      <c r="K250" s="22"/>
      <c r="L250" s="22"/>
    </row>
    <row r="251" spans="1:12" ht="14.45">
      <c r="A251" s="22"/>
      <c r="B251" s="34"/>
      <c r="C251" s="22"/>
      <c r="D251" s="22"/>
      <c r="E251" s="22"/>
      <c r="F251" s="23"/>
      <c r="G251" s="22"/>
      <c r="H251" s="22"/>
      <c r="I251" s="23"/>
      <c r="J251" s="22"/>
      <c r="K251" s="22"/>
      <c r="L251" s="22"/>
    </row>
    <row r="252" spans="1:12" ht="14.45">
      <c r="A252" s="22"/>
      <c r="B252" s="34"/>
      <c r="C252" s="22"/>
      <c r="D252" s="22"/>
      <c r="E252" s="22"/>
      <c r="F252" s="23"/>
      <c r="G252" s="22"/>
      <c r="H252" s="22"/>
      <c r="I252" s="23"/>
      <c r="J252" s="22"/>
      <c r="K252" s="22"/>
      <c r="L252" s="22"/>
    </row>
    <row r="253" spans="1:12" ht="14.45">
      <c r="A253" s="22"/>
      <c r="B253" s="34"/>
      <c r="C253" s="22"/>
      <c r="D253" s="22"/>
      <c r="E253" s="22"/>
      <c r="F253" s="23"/>
      <c r="G253" s="22"/>
      <c r="H253" s="22"/>
      <c r="I253" s="23"/>
      <c r="J253" s="22"/>
      <c r="K253" s="22"/>
      <c r="L253" s="22"/>
    </row>
    <row r="254" spans="1:12" ht="14.45">
      <c r="A254" s="22"/>
      <c r="B254" s="34"/>
      <c r="C254" s="22"/>
      <c r="D254" s="22"/>
      <c r="E254" s="22"/>
      <c r="F254" s="23"/>
      <c r="G254" s="22"/>
      <c r="H254" s="22"/>
      <c r="I254" s="23"/>
      <c r="J254" s="22"/>
      <c r="K254" s="22"/>
      <c r="L254" s="22"/>
    </row>
    <row r="255" spans="1:12" ht="14.45">
      <c r="A255" s="22"/>
      <c r="B255" s="34"/>
      <c r="C255" s="22"/>
      <c r="D255" s="22"/>
      <c r="E255" s="22"/>
      <c r="F255" s="23"/>
      <c r="G255" s="22"/>
      <c r="H255" s="22"/>
      <c r="I255" s="23"/>
      <c r="J255" s="22"/>
      <c r="K255" s="22"/>
      <c r="L255" s="22"/>
    </row>
    <row r="256" spans="1:12" ht="14.45">
      <c r="A256" s="22"/>
      <c r="B256" s="34"/>
      <c r="C256" s="22"/>
      <c r="D256" s="22"/>
      <c r="E256" s="22"/>
      <c r="F256" s="23"/>
      <c r="G256" s="22"/>
      <c r="H256" s="22"/>
      <c r="I256" s="23"/>
      <c r="J256" s="22"/>
      <c r="K256" s="22"/>
      <c r="L256" s="22"/>
    </row>
    <row r="257" spans="1:12" ht="14.45">
      <c r="A257" s="22"/>
      <c r="B257" s="34"/>
      <c r="C257" s="22"/>
      <c r="D257" s="22"/>
      <c r="E257" s="22"/>
      <c r="F257" s="23"/>
      <c r="G257" s="22"/>
      <c r="H257" s="22"/>
      <c r="I257" s="23"/>
      <c r="J257" s="22"/>
      <c r="K257" s="22"/>
      <c r="L257" s="22"/>
    </row>
    <row r="258" spans="1:12" ht="14.45">
      <c r="A258" s="22"/>
      <c r="B258" s="34"/>
      <c r="C258" s="22"/>
      <c r="D258" s="22"/>
      <c r="E258" s="22"/>
      <c r="F258" s="23"/>
      <c r="G258" s="22"/>
      <c r="H258" s="22"/>
      <c r="I258" s="23"/>
      <c r="J258" s="22"/>
      <c r="K258" s="22"/>
      <c r="L258" s="22"/>
    </row>
    <row r="259" spans="1:12" ht="14.45">
      <c r="A259" s="22"/>
      <c r="B259" s="34"/>
      <c r="C259" s="22"/>
      <c r="D259" s="22"/>
      <c r="E259" s="22"/>
      <c r="F259" s="23"/>
      <c r="G259" s="22"/>
      <c r="H259" s="22"/>
      <c r="I259" s="23"/>
      <c r="J259" s="22"/>
      <c r="K259" s="22"/>
      <c r="L259" s="22"/>
    </row>
    <row r="260" spans="1:12" ht="14.45">
      <c r="A260" s="22"/>
      <c r="B260" s="34"/>
      <c r="C260" s="22"/>
      <c r="D260" s="22"/>
      <c r="E260" s="22"/>
      <c r="F260" s="23"/>
      <c r="G260" s="22"/>
      <c r="H260" s="22"/>
      <c r="I260" s="23"/>
      <c r="J260" s="22"/>
      <c r="K260" s="22"/>
      <c r="L260" s="22"/>
    </row>
    <row r="261" spans="1:12" ht="14.45">
      <c r="A261" s="22"/>
      <c r="B261" s="34"/>
      <c r="C261" s="22"/>
      <c r="D261" s="22"/>
      <c r="E261" s="22"/>
      <c r="F261" s="23"/>
      <c r="G261" s="22"/>
      <c r="H261" s="22"/>
      <c r="I261" s="23"/>
      <c r="J261" s="22"/>
      <c r="K261" s="22"/>
      <c r="L261" s="22"/>
    </row>
    <row r="262" spans="1:12" ht="14.45">
      <c r="A262" s="22"/>
      <c r="B262" s="34"/>
      <c r="C262" s="22"/>
      <c r="D262" s="22"/>
      <c r="E262" s="22"/>
      <c r="F262" s="23"/>
      <c r="G262" s="22"/>
      <c r="H262" s="22"/>
      <c r="I262" s="23"/>
      <c r="J262" s="22"/>
      <c r="K262" s="22"/>
      <c r="L262" s="22"/>
    </row>
    <row r="263" spans="1:12" ht="14.45">
      <c r="A263" s="22"/>
      <c r="B263" s="34"/>
      <c r="C263" s="22"/>
      <c r="D263" s="22"/>
      <c r="E263" s="22"/>
      <c r="F263" s="23"/>
      <c r="G263" s="22"/>
      <c r="H263" s="22"/>
      <c r="I263" s="23"/>
      <c r="J263" s="22"/>
      <c r="K263" s="22"/>
      <c r="L263" s="22"/>
    </row>
    <row r="264" spans="1:12" ht="14.45">
      <c r="A264" s="22"/>
      <c r="B264" s="34"/>
      <c r="C264" s="22"/>
      <c r="D264" s="22"/>
      <c r="E264" s="22"/>
      <c r="F264" s="23"/>
      <c r="G264" s="22"/>
      <c r="H264" s="22"/>
      <c r="I264" s="23"/>
      <c r="J264" s="22"/>
      <c r="K264" s="22"/>
      <c r="L264" s="22"/>
    </row>
    <row r="265" spans="1:12" ht="14.45">
      <c r="A265" s="22"/>
      <c r="B265" s="34"/>
      <c r="C265" s="22"/>
      <c r="D265" s="22"/>
      <c r="E265" s="22"/>
      <c r="F265" s="23"/>
      <c r="G265" s="22"/>
      <c r="H265" s="22"/>
      <c r="I265" s="23"/>
      <c r="J265" s="22"/>
      <c r="K265" s="22"/>
      <c r="L265" s="22"/>
    </row>
    <row r="266" spans="1:12" ht="14.45">
      <c r="A266" s="22"/>
      <c r="B266" s="34"/>
      <c r="C266" s="22"/>
      <c r="D266" s="22"/>
      <c r="E266" s="22"/>
      <c r="F266" s="23"/>
      <c r="G266" s="22"/>
      <c r="H266" s="22"/>
      <c r="I266" s="23"/>
      <c r="J266" s="22"/>
      <c r="K266" s="22"/>
      <c r="L266" s="22"/>
    </row>
    <row r="267" spans="1:12" ht="14.45">
      <c r="A267" s="22"/>
      <c r="B267" s="34"/>
      <c r="C267" s="22"/>
      <c r="D267" s="22"/>
      <c r="E267" s="22"/>
      <c r="F267" s="23"/>
      <c r="G267" s="22"/>
      <c r="H267" s="22"/>
      <c r="I267" s="23"/>
      <c r="J267" s="22"/>
      <c r="K267" s="22"/>
      <c r="L267" s="22"/>
    </row>
    <row r="268" spans="1:12" ht="14.45">
      <c r="A268" s="22"/>
      <c r="B268" s="34"/>
      <c r="C268" s="22"/>
      <c r="D268" s="22"/>
      <c r="E268" s="22"/>
      <c r="F268" s="23"/>
      <c r="G268" s="22"/>
      <c r="H268" s="22"/>
      <c r="I268" s="23"/>
      <c r="J268" s="22"/>
      <c r="K268" s="22"/>
      <c r="L268" s="22"/>
    </row>
    <row r="269" spans="1:12" ht="14.45">
      <c r="A269" s="22"/>
      <c r="B269" s="34"/>
      <c r="C269" s="22"/>
      <c r="D269" s="22"/>
      <c r="E269" s="22"/>
      <c r="F269" s="23"/>
      <c r="G269" s="22"/>
      <c r="H269" s="22"/>
      <c r="I269" s="23"/>
      <c r="J269" s="22"/>
      <c r="K269" s="22"/>
      <c r="L269" s="22"/>
    </row>
    <row r="270" spans="1:12" ht="14.45">
      <c r="A270" s="22"/>
      <c r="B270" s="34"/>
      <c r="C270" s="22"/>
      <c r="D270" s="22"/>
      <c r="E270" s="22"/>
      <c r="F270" s="23"/>
      <c r="G270" s="22"/>
      <c r="H270" s="22"/>
      <c r="I270" s="23"/>
      <c r="J270" s="22"/>
      <c r="K270" s="22"/>
      <c r="L270" s="22"/>
    </row>
    <row r="271" spans="1:12" ht="14.45">
      <c r="A271" s="22"/>
      <c r="B271" s="34"/>
      <c r="C271" s="22"/>
      <c r="D271" s="22"/>
      <c r="E271" s="22"/>
      <c r="F271" s="23"/>
      <c r="G271" s="22"/>
      <c r="H271" s="22"/>
      <c r="I271" s="23"/>
      <c r="J271" s="22"/>
      <c r="K271" s="22"/>
      <c r="L271" s="22"/>
    </row>
    <row r="272" spans="1:12" ht="14.45">
      <c r="A272" s="22"/>
      <c r="B272" s="34"/>
      <c r="C272" s="22"/>
      <c r="D272" s="22"/>
      <c r="E272" s="22"/>
      <c r="F272" s="23"/>
      <c r="G272" s="22"/>
      <c r="H272" s="22"/>
      <c r="I272" s="23"/>
      <c r="J272" s="22"/>
      <c r="K272" s="22"/>
      <c r="L272" s="22"/>
    </row>
    <row r="273" spans="1:12" ht="14.45">
      <c r="A273" s="22"/>
      <c r="B273" s="34"/>
      <c r="C273" s="22"/>
      <c r="D273" s="22"/>
      <c r="E273" s="22"/>
      <c r="F273" s="23"/>
      <c r="G273" s="22"/>
      <c r="H273" s="22"/>
      <c r="I273" s="23"/>
      <c r="J273" s="22"/>
      <c r="K273" s="22"/>
      <c r="L273" s="22"/>
    </row>
    <row r="274" spans="1:12" ht="14.45">
      <c r="A274" s="22"/>
      <c r="B274" s="34"/>
      <c r="C274" s="22"/>
      <c r="D274" s="22"/>
      <c r="E274" s="22"/>
      <c r="F274" s="23"/>
      <c r="G274" s="22"/>
      <c r="H274" s="22"/>
      <c r="I274" s="23"/>
      <c r="J274" s="22"/>
      <c r="K274" s="22"/>
      <c r="L274" s="22"/>
    </row>
    <row r="275" spans="1:12" ht="14.45">
      <c r="A275" s="22"/>
      <c r="B275" s="34"/>
      <c r="C275" s="22"/>
      <c r="D275" s="22"/>
      <c r="E275" s="22"/>
      <c r="F275" s="23"/>
      <c r="G275" s="22"/>
      <c r="H275" s="22"/>
      <c r="I275" s="23"/>
      <c r="J275" s="22"/>
      <c r="K275" s="22"/>
      <c r="L275" s="22"/>
    </row>
    <row r="276" spans="1:12" ht="14.45">
      <c r="A276" s="22"/>
      <c r="B276" s="34"/>
      <c r="C276" s="22"/>
      <c r="D276" s="22"/>
      <c r="E276" s="22"/>
      <c r="F276" s="23"/>
      <c r="G276" s="22"/>
      <c r="H276" s="22"/>
      <c r="I276" s="23"/>
      <c r="J276" s="22"/>
      <c r="K276" s="22"/>
      <c r="L276" s="22"/>
    </row>
    <row r="277" spans="1:12" ht="14.45">
      <c r="A277" s="22"/>
      <c r="B277" s="34"/>
      <c r="C277" s="22"/>
      <c r="D277" s="22"/>
      <c r="E277" s="22"/>
      <c r="F277" s="23"/>
      <c r="G277" s="22"/>
      <c r="H277" s="22"/>
      <c r="I277" s="23"/>
      <c r="J277" s="22"/>
      <c r="K277" s="22"/>
      <c r="L277" s="22"/>
    </row>
    <row r="278" spans="1:12" ht="14.45">
      <c r="A278" s="22"/>
      <c r="B278" s="34"/>
      <c r="C278" s="22"/>
      <c r="D278" s="22"/>
      <c r="E278" s="22"/>
      <c r="F278" s="23"/>
      <c r="G278" s="22"/>
      <c r="H278" s="22"/>
      <c r="I278" s="23"/>
      <c r="J278" s="22"/>
      <c r="K278" s="22"/>
      <c r="L278" s="22"/>
    </row>
    <row r="279" spans="1:12" ht="14.45">
      <c r="A279" s="22"/>
      <c r="B279" s="34"/>
      <c r="C279" s="22"/>
      <c r="D279" s="22"/>
      <c r="E279" s="22"/>
      <c r="F279" s="23"/>
      <c r="G279" s="22"/>
      <c r="H279" s="22"/>
      <c r="I279" s="23"/>
      <c r="J279" s="22"/>
      <c r="K279" s="22"/>
      <c r="L279" s="22"/>
    </row>
    <row r="280" spans="1:12" ht="14.45">
      <c r="A280" s="22"/>
      <c r="B280" s="34"/>
      <c r="C280" s="22"/>
      <c r="D280" s="22"/>
      <c r="E280" s="22"/>
      <c r="F280" s="23"/>
      <c r="G280" s="22"/>
      <c r="H280" s="22"/>
      <c r="I280" s="23"/>
      <c r="J280" s="22"/>
      <c r="K280" s="22"/>
      <c r="L280" s="22"/>
    </row>
    <row r="281" spans="1:12" ht="14.45">
      <c r="A281" s="22"/>
      <c r="B281" s="34"/>
      <c r="C281" s="22"/>
      <c r="D281" s="22"/>
      <c r="E281" s="22"/>
      <c r="F281" s="23"/>
      <c r="G281" s="22"/>
      <c r="H281" s="22"/>
      <c r="I281" s="23"/>
      <c r="J281" s="22"/>
      <c r="K281" s="22"/>
      <c r="L281" s="22"/>
    </row>
    <row r="282" spans="1:12" ht="14.45">
      <c r="A282" s="22"/>
      <c r="B282" s="34"/>
      <c r="C282" s="22"/>
      <c r="D282" s="22"/>
      <c r="E282" s="22"/>
      <c r="F282" s="23"/>
      <c r="G282" s="22"/>
      <c r="H282" s="22"/>
      <c r="I282" s="23"/>
      <c r="J282" s="22"/>
      <c r="K282" s="22"/>
      <c r="L282" s="22"/>
    </row>
    <row r="283" spans="1:12" ht="14.45">
      <c r="A283" s="22"/>
      <c r="B283" s="34"/>
      <c r="C283" s="22"/>
      <c r="D283" s="22"/>
      <c r="E283" s="22"/>
      <c r="F283" s="23"/>
      <c r="G283" s="22"/>
      <c r="H283" s="22"/>
      <c r="I283" s="23"/>
      <c r="J283" s="22"/>
      <c r="K283" s="22"/>
      <c r="L283" s="22"/>
    </row>
    <row r="284" spans="1:12" ht="14.45">
      <c r="A284" s="22"/>
      <c r="B284" s="34"/>
      <c r="C284" s="22"/>
      <c r="D284" s="22"/>
      <c r="E284" s="22"/>
      <c r="F284" s="23"/>
      <c r="G284" s="22"/>
      <c r="H284" s="22"/>
      <c r="I284" s="23"/>
      <c r="J284" s="22"/>
      <c r="K284" s="22"/>
      <c r="L284" s="22"/>
    </row>
    <row r="285" spans="1:12" ht="14.45">
      <c r="A285" s="22"/>
      <c r="B285" s="34"/>
      <c r="C285" s="22"/>
      <c r="D285" s="22"/>
      <c r="E285" s="22"/>
      <c r="F285" s="23"/>
      <c r="G285" s="22"/>
      <c r="H285" s="22"/>
      <c r="I285" s="23"/>
      <c r="J285" s="22"/>
      <c r="K285" s="22"/>
      <c r="L285" s="22"/>
    </row>
    <row r="286" spans="1:12" ht="14.45">
      <c r="A286" s="22"/>
      <c r="B286" s="34"/>
      <c r="C286" s="22"/>
      <c r="D286" s="22"/>
      <c r="E286" s="22"/>
      <c r="F286" s="23"/>
      <c r="G286" s="22"/>
      <c r="H286" s="22"/>
      <c r="I286" s="23"/>
      <c r="J286" s="22"/>
      <c r="K286" s="22"/>
      <c r="L286" s="22"/>
    </row>
    <row r="287" spans="1:12" ht="14.45">
      <c r="A287" s="22"/>
      <c r="B287" s="34"/>
      <c r="C287" s="22"/>
      <c r="D287" s="22"/>
      <c r="E287" s="22"/>
      <c r="F287" s="23"/>
      <c r="G287" s="22"/>
      <c r="H287" s="22"/>
      <c r="I287" s="23"/>
      <c r="J287" s="22"/>
      <c r="K287" s="22"/>
      <c r="L287" s="22"/>
    </row>
    <row r="288" spans="1:12" ht="14.45">
      <c r="A288" s="22"/>
      <c r="B288" s="34"/>
      <c r="C288" s="22"/>
      <c r="D288" s="22"/>
      <c r="E288" s="22"/>
      <c r="F288" s="23"/>
      <c r="G288" s="22"/>
      <c r="H288" s="22"/>
      <c r="I288" s="23"/>
      <c r="J288" s="22"/>
      <c r="K288" s="22"/>
      <c r="L288" s="22"/>
    </row>
    <row r="289" spans="1:12" ht="14.45">
      <c r="A289" s="22"/>
      <c r="B289" s="34"/>
      <c r="C289" s="22"/>
      <c r="D289" s="22"/>
      <c r="E289" s="22"/>
      <c r="F289" s="23"/>
      <c r="G289" s="22"/>
      <c r="H289" s="22"/>
      <c r="I289" s="23"/>
      <c r="J289" s="22"/>
      <c r="K289" s="22"/>
      <c r="L289" s="22"/>
    </row>
    <row r="290" spans="1:12" ht="14.45">
      <c r="A290" s="22"/>
      <c r="B290" s="34"/>
      <c r="C290" s="22"/>
      <c r="D290" s="22"/>
      <c r="E290" s="22"/>
      <c r="F290" s="23"/>
      <c r="G290" s="22"/>
      <c r="H290" s="22"/>
      <c r="I290" s="23"/>
      <c r="J290" s="22"/>
      <c r="K290" s="22"/>
      <c r="L290" s="22"/>
    </row>
    <row r="291" spans="1:12" ht="14.45">
      <c r="A291" s="22"/>
      <c r="B291" s="34"/>
      <c r="C291" s="22"/>
      <c r="D291" s="22"/>
      <c r="E291" s="22"/>
      <c r="F291" s="23"/>
      <c r="G291" s="22"/>
      <c r="H291" s="22"/>
      <c r="I291" s="23"/>
      <c r="J291" s="22"/>
      <c r="K291" s="22"/>
      <c r="L291" s="22"/>
    </row>
    <row r="292" spans="1:12" ht="14.45">
      <c r="A292" s="22"/>
      <c r="B292" s="34"/>
      <c r="C292" s="22"/>
      <c r="D292" s="22"/>
      <c r="E292" s="22"/>
      <c r="F292" s="23"/>
      <c r="G292" s="22"/>
      <c r="H292" s="22"/>
      <c r="I292" s="23"/>
      <c r="J292" s="22"/>
      <c r="K292" s="22"/>
      <c r="L292" s="22"/>
    </row>
    <row r="293" spans="1:12" ht="14.45">
      <c r="A293" s="22"/>
      <c r="B293" s="34"/>
      <c r="C293" s="22"/>
      <c r="D293" s="22"/>
      <c r="E293" s="22"/>
      <c r="F293" s="23"/>
      <c r="G293" s="22"/>
      <c r="H293" s="22"/>
      <c r="I293" s="23"/>
      <c r="J293" s="22"/>
      <c r="K293" s="22"/>
      <c r="L293" s="22"/>
    </row>
    <row r="294" spans="1:12" ht="14.45">
      <c r="A294" s="22"/>
      <c r="B294" s="34"/>
      <c r="C294" s="22"/>
      <c r="D294" s="22"/>
      <c r="E294" s="22"/>
      <c r="F294" s="23"/>
      <c r="G294" s="22"/>
      <c r="H294" s="22"/>
      <c r="I294" s="23"/>
      <c r="J294" s="22"/>
      <c r="K294" s="22"/>
      <c r="L294" s="22"/>
    </row>
    <row r="295" spans="1:12" ht="14.45">
      <c r="A295" s="22"/>
      <c r="B295" s="34"/>
      <c r="C295" s="22"/>
      <c r="D295" s="22"/>
      <c r="E295" s="22"/>
      <c r="F295" s="23"/>
      <c r="G295" s="22"/>
      <c r="H295" s="22"/>
      <c r="I295" s="23"/>
      <c r="J295" s="22"/>
      <c r="K295" s="22"/>
      <c r="L295" s="22"/>
    </row>
    <row r="296" spans="1:12" ht="14.45">
      <c r="A296" s="22"/>
      <c r="B296" s="34"/>
      <c r="C296" s="22"/>
      <c r="D296" s="22"/>
      <c r="E296" s="22"/>
      <c r="F296" s="23"/>
      <c r="G296" s="22"/>
      <c r="H296" s="22"/>
      <c r="I296" s="23"/>
      <c r="J296" s="22"/>
      <c r="K296" s="22"/>
      <c r="L296" s="22"/>
    </row>
    <row r="297" spans="1:12" ht="14.45">
      <c r="A297" s="22"/>
      <c r="B297" s="34"/>
      <c r="C297" s="22"/>
      <c r="D297" s="22"/>
      <c r="E297" s="22"/>
      <c r="F297" s="23"/>
      <c r="G297" s="22"/>
      <c r="H297" s="22"/>
      <c r="I297" s="23"/>
      <c r="J297" s="22"/>
      <c r="K297" s="22"/>
      <c r="L297" s="22"/>
    </row>
    <row r="298" spans="1:12" ht="14.45">
      <c r="A298" s="22"/>
      <c r="B298" s="34"/>
      <c r="C298" s="22"/>
      <c r="D298" s="22"/>
      <c r="E298" s="22"/>
      <c r="F298" s="23"/>
      <c r="G298" s="22"/>
      <c r="H298" s="22"/>
      <c r="I298" s="23"/>
      <c r="J298" s="22"/>
      <c r="K298" s="22"/>
      <c r="L298" s="22"/>
    </row>
    <row r="299" spans="1:12" ht="14.45">
      <c r="A299" s="22"/>
      <c r="B299" s="34"/>
      <c r="C299" s="22"/>
      <c r="D299" s="22"/>
      <c r="E299" s="22"/>
      <c r="F299" s="23"/>
      <c r="G299" s="22"/>
      <c r="H299" s="22"/>
      <c r="I299" s="23"/>
      <c r="J299" s="22"/>
      <c r="K299" s="22"/>
      <c r="L299" s="22"/>
    </row>
    <row r="300" spans="1:12" ht="14.45">
      <c r="A300" s="22"/>
      <c r="B300" s="34"/>
      <c r="C300" s="22"/>
      <c r="D300" s="22"/>
      <c r="E300" s="22"/>
      <c r="F300" s="23"/>
      <c r="G300" s="22"/>
      <c r="H300" s="22"/>
      <c r="I300" s="23"/>
      <c r="J300" s="22"/>
      <c r="K300" s="22"/>
      <c r="L300" s="22"/>
    </row>
    <row r="301" spans="1:12" ht="14.45">
      <c r="A301" s="22"/>
      <c r="B301" s="34"/>
      <c r="C301" s="22"/>
      <c r="D301" s="22"/>
      <c r="E301" s="22"/>
      <c r="F301" s="23"/>
      <c r="G301" s="22"/>
      <c r="H301" s="22"/>
      <c r="I301" s="23"/>
      <c r="J301" s="22"/>
      <c r="K301" s="22"/>
      <c r="L301" s="22"/>
    </row>
    <row r="302" spans="1:12" ht="14.45">
      <c r="A302" s="22"/>
      <c r="B302" s="34"/>
      <c r="C302" s="22"/>
      <c r="D302" s="22"/>
      <c r="E302" s="22"/>
      <c r="F302" s="23"/>
      <c r="G302" s="22"/>
      <c r="H302" s="22"/>
      <c r="I302" s="23"/>
      <c r="J302" s="22"/>
      <c r="K302" s="22"/>
      <c r="L302" s="22"/>
    </row>
    <row r="303" spans="1:12" ht="14.45">
      <c r="A303" s="22"/>
      <c r="B303" s="34"/>
      <c r="C303" s="22"/>
      <c r="D303" s="22"/>
      <c r="E303" s="22"/>
      <c r="F303" s="23"/>
      <c r="G303" s="22"/>
      <c r="H303" s="22"/>
      <c r="I303" s="23"/>
      <c r="J303" s="22"/>
      <c r="K303" s="22"/>
      <c r="L303" s="22"/>
    </row>
    <row r="304" spans="1:12" ht="14.45">
      <c r="A304" s="22"/>
      <c r="B304" s="34"/>
      <c r="C304" s="22"/>
      <c r="D304" s="22"/>
      <c r="E304" s="22"/>
      <c r="F304" s="23"/>
      <c r="G304" s="22"/>
      <c r="H304" s="22"/>
      <c r="I304" s="23"/>
      <c r="J304" s="22"/>
      <c r="K304" s="22"/>
      <c r="L304" s="22"/>
    </row>
    <row r="305" spans="1:12" ht="14.45">
      <c r="A305" s="22"/>
      <c r="B305" s="34"/>
      <c r="C305" s="22"/>
      <c r="D305" s="22"/>
      <c r="E305" s="22"/>
      <c r="F305" s="23"/>
      <c r="G305" s="22"/>
      <c r="H305" s="22"/>
      <c r="I305" s="23"/>
      <c r="J305" s="22"/>
      <c r="K305" s="22"/>
      <c r="L305" s="22"/>
    </row>
    <row r="306" spans="1:12" ht="14.45">
      <c r="A306" s="22"/>
      <c r="B306" s="34"/>
      <c r="C306" s="22"/>
      <c r="D306" s="22"/>
      <c r="E306" s="22"/>
      <c r="F306" s="23"/>
      <c r="G306" s="22"/>
      <c r="H306" s="22"/>
      <c r="I306" s="23"/>
      <c r="J306" s="22"/>
      <c r="K306" s="22"/>
      <c r="L306" s="22"/>
    </row>
    <row r="307" spans="1:12" ht="14.45">
      <c r="A307" s="22"/>
      <c r="B307" s="34"/>
      <c r="C307" s="22"/>
      <c r="D307" s="22"/>
      <c r="E307" s="22"/>
      <c r="F307" s="23"/>
      <c r="G307" s="22"/>
      <c r="H307" s="22"/>
      <c r="I307" s="23"/>
      <c r="J307" s="22"/>
      <c r="K307" s="22"/>
      <c r="L307" s="22"/>
    </row>
    <row r="308" spans="1:12" ht="14.45">
      <c r="A308" s="22"/>
      <c r="B308" s="34"/>
      <c r="C308" s="22"/>
      <c r="D308" s="22"/>
      <c r="E308" s="22"/>
      <c r="F308" s="23"/>
      <c r="G308" s="22"/>
      <c r="H308" s="22"/>
      <c r="I308" s="23"/>
      <c r="J308" s="22"/>
      <c r="K308" s="22"/>
      <c r="L308" s="22"/>
    </row>
    <row r="309" spans="1:12" ht="14.45">
      <c r="A309" s="22"/>
      <c r="B309" s="34"/>
      <c r="C309" s="22"/>
      <c r="D309" s="22"/>
      <c r="E309" s="22"/>
      <c r="F309" s="23"/>
      <c r="G309" s="22"/>
      <c r="H309" s="22"/>
      <c r="I309" s="23"/>
      <c r="J309" s="22"/>
      <c r="K309" s="22"/>
      <c r="L309" s="22"/>
    </row>
    <row r="310" spans="1:12" ht="14.45">
      <c r="A310" s="22"/>
      <c r="B310" s="34"/>
      <c r="C310" s="22"/>
      <c r="D310" s="22"/>
      <c r="E310" s="22"/>
      <c r="F310" s="23"/>
      <c r="G310" s="22"/>
      <c r="H310" s="22"/>
      <c r="I310" s="23"/>
      <c r="J310" s="22"/>
      <c r="K310" s="22"/>
      <c r="L310" s="22"/>
    </row>
    <row r="311" spans="1:12" ht="14.45">
      <c r="A311" s="22"/>
      <c r="B311" s="34"/>
      <c r="C311" s="22"/>
      <c r="D311" s="22"/>
      <c r="E311" s="22"/>
      <c r="F311" s="23"/>
      <c r="G311" s="22"/>
      <c r="H311" s="22"/>
      <c r="I311" s="23"/>
      <c r="J311" s="22"/>
      <c r="K311" s="22"/>
      <c r="L311" s="22"/>
    </row>
    <row r="312" spans="1:12" ht="14.45">
      <c r="A312" s="22"/>
      <c r="B312" s="34"/>
      <c r="C312" s="22"/>
      <c r="D312" s="22"/>
      <c r="E312" s="22"/>
      <c r="F312" s="23"/>
      <c r="G312" s="22"/>
      <c r="H312" s="22"/>
      <c r="I312" s="23"/>
      <c r="J312" s="22"/>
      <c r="K312" s="22"/>
      <c r="L312" s="22"/>
    </row>
    <row r="313" spans="1:12" ht="14.45">
      <c r="A313" s="22"/>
      <c r="B313" s="34"/>
      <c r="C313" s="22"/>
      <c r="D313" s="22"/>
      <c r="E313" s="22"/>
      <c r="F313" s="23"/>
      <c r="G313" s="22"/>
      <c r="H313" s="22"/>
      <c r="I313" s="23"/>
      <c r="J313" s="22"/>
      <c r="K313" s="22"/>
      <c r="L313" s="22"/>
    </row>
    <row r="314" spans="1:12" ht="14.45">
      <c r="A314" s="22"/>
      <c r="B314" s="34"/>
      <c r="C314" s="22"/>
      <c r="D314" s="22"/>
      <c r="E314" s="22"/>
      <c r="F314" s="23"/>
      <c r="G314" s="22"/>
      <c r="H314" s="22"/>
      <c r="I314" s="23"/>
      <c r="J314" s="22"/>
      <c r="K314" s="22"/>
      <c r="L314" s="22"/>
    </row>
    <row r="315" spans="1:12" ht="14.45">
      <c r="A315" s="22"/>
      <c r="B315" s="34"/>
      <c r="C315" s="22"/>
      <c r="D315" s="22"/>
      <c r="E315" s="22"/>
      <c r="F315" s="23"/>
      <c r="G315" s="22"/>
      <c r="H315" s="22"/>
      <c r="I315" s="23"/>
      <c r="J315" s="22"/>
      <c r="K315" s="22"/>
      <c r="L315" s="22"/>
    </row>
    <row r="316" spans="1:12" ht="14.45">
      <c r="A316" s="22"/>
      <c r="B316" s="34"/>
      <c r="C316" s="22"/>
      <c r="D316" s="22"/>
      <c r="E316" s="22"/>
      <c r="F316" s="23"/>
      <c r="G316" s="22"/>
      <c r="H316" s="22"/>
      <c r="I316" s="23"/>
      <c r="J316" s="22"/>
      <c r="K316" s="22"/>
      <c r="L316" s="22"/>
    </row>
    <row r="317" spans="1:12" ht="14.45">
      <c r="A317" s="22"/>
      <c r="B317" s="34"/>
      <c r="C317" s="22"/>
      <c r="D317" s="22"/>
      <c r="E317" s="22"/>
      <c r="F317" s="23"/>
      <c r="G317" s="22"/>
      <c r="H317" s="22"/>
      <c r="I317" s="23"/>
      <c r="J317" s="22"/>
      <c r="K317" s="22"/>
      <c r="L317" s="22"/>
    </row>
    <row r="318" spans="1:12" ht="14.45">
      <c r="A318" s="22"/>
      <c r="B318" s="34"/>
      <c r="C318" s="22"/>
      <c r="D318" s="22"/>
      <c r="E318" s="22"/>
      <c r="F318" s="23"/>
      <c r="G318" s="22"/>
      <c r="H318" s="22"/>
      <c r="I318" s="23"/>
      <c r="J318" s="22"/>
      <c r="K318" s="22"/>
      <c r="L318" s="22"/>
    </row>
    <row r="319" spans="1:12" ht="14.45">
      <c r="A319" s="22"/>
      <c r="B319" s="34"/>
      <c r="C319" s="22"/>
      <c r="D319" s="22"/>
      <c r="E319" s="22"/>
      <c r="F319" s="23"/>
      <c r="G319" s="22"/>
      <c r="H319" s="22"/>
      <c r="I319" s="23"/>
      <c r="J319" s="22"/>
      <c r="K319" s="22"/>
      <c r="L319" s="22"/>
    </row>
    <row r="320" spans="1:12" ht="14.45">
      <c r="A320" s="22"/>
      <c r="B320" s="34"/>
      <c r="C320" s="22"/>
      <c r="D320" s="22"/>
      <c r="E320" s="22"/>
      <c r="F320" s="23"/>
      <c r="G320" s="22"/>
      <c r="H320" s="22"/>
      <c r="I320" s="23"/>
      <c r="J320" s="22"/>
      <c r="K320" s="22"/>
      <c r="L320" s="22"/>
    </row>
    <row r="321" spans="1:12" ht="14.45">
      <c r="A321" s="22"/>
      <c r="B321" s="34"/>
      <c r="C321" s="22"/>
      <c r="D321" s="22"/>
      <c r="E321" s="22"/>
      <c r="F321" s="23"/>
      <c r="G321" s="22"/>
      <c r="H321" s="22"/>
      <c r="I321" s="23"/>
      <c r="J321" s="22"/>
      <c r="K321" s="22"/>
      <c r="L321" s="22"/>
    </row>
    <row r="322" spans="1:12" ht="14.45">
      <c r="A322" s="22"/>
      <c r="B322" s="34"/>
      <c r="C322" s="22"/>
      <c r="D322" s="22"/>
      <c r="E322" s="22"/>
      <c r="F322" s="23"/>
      <c r="G322" s="22"/>
      <c r="H322" s="22"/>
      <c r="I322" s="23"/>
      <c r="J322" s="22"/>
      <c r="K322" s="22"/>
      <c r="L322" s="22"/>
    </row>
    <row r="323" spans="1:12" ht="14.45">
      <c r="A323" s="22"/>
      <c r="B323" s="34"/>
      <c r="C323" s="22"/>
      <c r="D323" s="22"/>
      <c r="E323" s="22"/>
      <c r="F323" s="23"/>
      <c r="G323" s="22"/>
      <c r="H323" s="22"/>
      <c r="I323" s="23"/>
      <c r="J323" s="22"/>
      <c r="K323" s="22"/>
      <c r="L323" s="22"/>
    </row>
    <row r="324" spans="1:12" ht="14.45">
      <c r="A324" s="22"/>
      <c r="B324" s="34"/>
      <c r="C324" s="22"/>
      <c r="D324" s="22"/>
      <c r="E324" s="22"/>
      <c r="F324" s="23"/>
      <c r="G324" s="22"/>
      <c r="H324" s="22"/>
      <c r="I324" s="23"/>
      <c r="J324" s="22"/>
      <c r="K324" s="22"/>
      <c r="L324" s="22"/>
    </row>
    <row r="325" spans="1:12" ht="14.45">
      <c r="A325" s="22"/>
      <c r="B325" s="34"/>
      <c r="C325" s="22"/>
      <c r="D325" s="22"/>
      <c r="E325" s="22"/>
      <c r="F325" s="23"/>
      <c r="G325" s="22"/>
      <c r="H325" s="22"/>
      <c r="I325" s="23"/>
      <c r="J325" s="22"/>
      <c r="K325" s="22"/>
      <c r="L325" s="22"/>
    </row>
    <row r="326" spans="1:12" ht="14.45">
      <c r="A326" s="22"/>
      <c r="B326" s="34"/>
      <c r="C326" s="22"/>
      <c r="D326" s="22"/>
      <c r="E326" s="22"/>
      <c r="F326" s="23"/>
      <c r="G326" s="22"/>
      <c r="H326" s="22"/>
      <c r="I326" s="23"/>
      <c r="J326" s="22"/>
      <c r="K326" s="22"/>
      <c r="L326" s="22"/>
    </row>
    <row r="327" spans="1:12" ht="14.45">
      <c r="A327" s="22"/>
      <c r="B327" s="34"/>
      <c r="C327" s="22"/>
      <c r="D327" s="22"/>
      <c r="E327" s="22"/>
      <c r="F327" s="23"/>
      <c r="G327" s="22"/>
      <c r="H327" s="22"/>
      <c r="I327" s="23"/>
      <c r="J327" s="22"/>
      <c r="K327" s="22"/>
      <c r="L327" s="22"/>
    </row>
    <row r="328" spans="1:12" ht="14.45">
      <c r="C328" s="22"/>
      <c r="D328" s="22"/>
      <c r="E328" s="22"/>
      <c r="F328" s="23"/>
      <c r="G328" s="22"/>
      <c r="H328" s="22"/>
      <c r="I328" s="23"/>
      <c r="J328" s="22"/>
      <c r="K328" s="22"/>
      <c r="L328" s="22"/>
    </row>
  </sheetData>
  <mergeCells count="4">
    <mergeCell ref="G1:I1"/>
    <mergeCell ref="A1:C1"/>
    <mergeCell ref="D1:F1"/>
    <mergeCell ref="A2:B2"/>
  </mergeCells>
  <conditionalFormatting sqref="F2 I2 F4:F86 I4:I86">
    <cfRule type="cellIs" dxfId="4" priority="1" stopIfTrue="1" operator="lessThanOrEqual">
      <formula>-0.1</formula>
    </cfRule>
    <cfRule type="expression" dxfId="3" priority="2">
      <formula>AND(ISNUMBER(F2), F2&gt;=0.1)</formula>
    </cfRule>
  </conditionalFormatting>
  <hyperlinks>
    <hyperlink ref="K6" r:id="rId1" display="https://us3.assetplanner.com/service_request?ID=102524" xr:uid="{323C89A2-75D3-4E7C-B0CB-5895D6E9E942}"/>
    <hyperlink ref="M6" r:id="rId2" display="https://us3.assetplanner.com/service_request?ID=097592" xr:uid="{01313065-C791-4AAD-9572-ACF29A026E52}"/>
    <hyperlink ref="N6" r:id="rId3" display="https://us3.assetplanner.com/service_request?ID=097592" xr:uid="{EC2E9105-DE88-48BF-8E73-D86AE01D2E31}"/>
    <hyperlink ref="O6" r:id="rId4" display="https://us3.assetplanner.com/service_request?ID=097592" xr:uid="{696E5CC0-5E6A-4CF9-9575-70A20311C8C7}"/>
    <hyperlink ref="P6" r:id="rId5" display="https://us3.assetplanner.com/service_request?ID=103044" xr:uid="{088B765C-32FD-4B12-9DA5-ACDE3689DA4C}"/>
    <hyperlink ref="Q6" r:id="rId6" display="https://us3.assetplanner.com/service_request?ID=107293" xr:uid="{D9C3C7E6-047E-49AF-A6F5-00C74CF7295E}"/>
    <hyperlink ref="R6" r:id="rId7" display="https://us3.assetplanner.com/service_request?ID=101859" xr:uid="{69F786DC-82A1-4587-958C-B30C758DA2DA}"/>
    <hyperlink ref="S6" r:id="rId8" display="https://us3.assetplanner.com/service_request?ID=103044" xr:uid="{A6955F20-7C3D-475C-A04D-DB301A39E632}"/>
    <hyperlink ref="T6" r:id="rId9" display="https://us3.assetplanner.com/service_request?ID=113016" xr:uid="{B481E4CB-9C86-48B6-8D0E-FE0100B24BE3}"/>
    <hyperlink ref="U6" r:id="rId10" display="https://us3.assetplanner.com/service_request?ID=113016" xr:uid="{050BBCAB-78A4-4926-955F-0894D232E5D7}"/>
    <hyperlink ref="V6" r:id="rId11" display="https://us3.assetplanner.com/service_request?ID=113230" xr:uid="{D150D778-FA17-4F0F-B5DB-6D41FC45958C}"/>
    <hyperlink ref="W6" r:id="rId12" display="https://us3.assetplanner.com/service_request?ID=113016" xr:uid="{C62F7F77-85BB-4AB7-BF5D-D37564777570}"/>
    <hyperlink ref="K8" r:id="rId13" display="https://us3.assetplanner.com/service_request?ID=109067" xr:uid="{AA1A452B-243B-46F2-96EF-069D5E626F05}"/>
    <hyperlink ref="K10" r:id="rId14" display="https://us3.assetplanner.com/service_request?ID=101951" xr:uid="{F1166BA1-EB9F-432B-A71C-C9060196F1E7}"/>
    <hyperlink ref="M10" r:id="rId15" display="https://us3.assetplanner.com/service_request?ID=107465" xr:uid="{7E60E795-9563-4575-BCCC-6DFEF6948B80}"/>
    <hyperlink ref="N10" r:id="rId16" display="https://us3.assetplanner.com/service_request?ID=102330" xr:uid="{96DF6FA2-6623-4ED1-945D-0B6520B905C5}"/>
    <hyperlink ref="O10" r:id="rId17" display="https://us3.assetplanner.com/service_request?ID=113236" xr:uid="{52293439-1601-4D68-8196-D8881BDA13F2}"/>
    <hyperlink ref="K12" r:id="rId18" display="https://us3.assetplanner.com/service_request?ID=112931" xr:uid="{CEF515B3-0408-4F85-9247-FBE6BC8C1531}"/>
    <hyperlink ref="K13" r:id="rId19" display="https://us3.assetplanner.com/service_request?ID=112931" xr:uid="{00A1277A-2F2A-4C84-9AFD-6F69562B64D7}"/>
    <hyperlink ref="K14" r:id="rId20" display="https://us3.assetplanner.com/service_request?ID=111734" xr:uid="{FB99A3AA-7B87-4651-BF32-B76415332B04}"/>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E14"/>
  <sheetViews>
    <sheetView workbookViewId="0">
      <pane ySplit="3" topLeftCell="A4" activePane="bottomLeft" state="frozen"/>
      <selection pane="bottomLeft" activeCell="B29" sqref="B29"/>
    </sheetView>
  </sheetViews>
  <sheetFormatPr defaultRowHeight="12.75" customHeight="1"/>
  <cols>
    <col min="1" max="2" width="41.85546875" customWidth="1"/>
    <col min="4" max="4" width="9.140625" customWidth="1"/>
    <col min="5" max="5" width="18.28515625" customWidth="1"/>
    <col min="6" max="14" width="9.140625" customWidth="1"/>
  </cols>
  <sheetData>
    <row r="1" spans="1:5" ht="12.75" customHeight="1">
      <c r="A1" t="s">
        <v>206</v>
      </c>
      <c r="B1" t="s">
        <v>207</v>
      </c>
    </row>
    <row r="3" spans="1:5" ht="13.15">
      <c r="A3" t="s">
        <v>208</v>
      </c>
      <c r="B3" t="s">
        <v>3</v>
      </c>
      <c r="C3" t="s">
        <v>4</v>
      </c>
      <c r="D3" t="s">
        <v>209</v>
      </c>
      <c r="E3" s="2" t="s">
        <v>210</v>
      </c>
    </row>
    <row r="4" spans="1:5" ht="12.75" customHeight="1">
      <c r="A4" t="s">
        <v>211</v>
      </c>
      <c r="B4" t="s">
        <v>211</v>
      </c>
      <c r="C4" s="3" t="s">
        <v>212</v>
      </c>
    </row>
    <row r="5" spans="1:5" ht="12.75" customHeight="1">
      <c r="A5" t="s">
        <v>213</v>
      </c>
      <c r="B5" t="s">
        <v>213</v>
      </c>
      <c r="C5" s="3" t="s">
        <v>212</v>
      </c>
    </row>
    <row r="6" spans="1:5" ht="12.75" customHeight="1">
      <c r="A6" t="s">
        <v>214</v>
      </c>
      <c r="B6" t="s">
        <v>214</v>
      </c>
      <c r="C6" s="3" t="s">
        <v>212</v>
      </c>
    </row>
    <row r="7" spans="1:5" ht="12.75" customHeight="1">
      <c r="A7" t="s">
        <v>215</v>
      </c>
      <c r="B7" t="s">
        <v>215</v>
      </c>
      <c r="C7" s="3" t="s">
        <v>212</v>
      </c>
    </row>
    <row r="8" spans="1:5" ht="12.75" customHeight="1">
      <c r="A8" t="s">
        <v>216</v>
      </c>
      <c r="B8" t="s">
        <v>216</v>
      </c>
      <c r="C8" s="3" t="s">
        <v>212</v>
      </c>
    </row>
    <row r="9" spans="1:5" ht="12.75" customHeight="1">
      <c r="A9" t="s">
        <v>217</v>
      </c>
      <c r="B9" t="s">
        <v>217</v>
      </c>
      <c r="C9" s="3" t="s">
        <v>212</v>
      </c>
    </row>
    <row r="10" spans="1:5" ht="12.75" customHeight="1">
      <c r="A10" t="s">
        <v>218</v>
      </c>
      <c r="B10" t="s">
        <v>218</v>
      </c>
      <c r="C10" s="3" t="s">
        <v>212</v>
      </c>
    </row>
    <row r="11" spans="1:5" ht="12.75" customHeight="1">
      <c r="A11" t="s">
        <v>219</v>
      </c>
      <c r="B11" t="s">
        <v>219</v>
      </c>
      <c r="C11" s="3" t="s">
        <v>212</v>
      </c>
    </row>
    <row r="12" spans="1:5" ht="12.75" customHeight="1">
      <c r="A12" t="s">
        <v>220</v>
      </c>
      <c r="B12" t="s">
        <v>220</v>
      </c>
      <c r="C12" s="3" t="s">
        <v>212</v>
      </c>
    </row>
    <row r="13" spans="1:5" ht="12.75" customHeight="1">
      <c r="A13" t="s">
        <v>221</v>
      </c>
      <c r="B13" t="s">
        <v>221</v>
      </c>
      <c r="C13" s="3" t="s">
        <v>212</v>
      </c>
    </row>
    <row r="14" spans="1:5" ht="12.75" customHeight="1">
      <c r="A14" t="s">
        <v>222</v>
      </c>
      <c r="B14" t="s">
        <v>222</v>
      </c>
      <c r="C14" s="3" t="s">
        <v>212</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2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Props1.xml><?xml version="1.0" encoding="utf-8"?>
<ds:datastoreItem xmlns:ds="http://schemas.openxmlformats.org/officeDocument/2006/customXml" ds:itemID="{F12EFA50-0068-4A8C-85A0-F1B26389EBC3}"/>
</file>

<file path=customXml/itemProps2.xml><?xml version="1.0" encoding="utf-8"?>
<ds:datastoreItem xmlns:ds="http://schemas.openxmlformats.org/officeDocument/2006/customXml" ds:itemID="{14966E4F-347B-477B-B74C-9DAC05405806}"/>
</file>

<file path=customXml/itemProps3.xml><?xml version="1.0" encoding="utf-8"?>
<ds:datastoreItem xmlns:ds="http://schemas.openxmlformats.org/officeDocument/2006/customXml" ds:itemID="{98A113BB-8B7A-453C-8BD4-8EFC67FC2D3F}"/>
</file>

<file path=customXml/itemProps4.xml><?xml version="1.0" encoding="utf-8"?>
<ds:datastoreItem xmlns:ds="http://schemas.openxmlformats.org/officeDocument/2006/customXml" ds:itemID="{89CF5C07-45EB-4100-9AFB-2C6AF77FA787}"/>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CB52044A-5C0B-44A2-99D0-C1C315EC302D}"/>
</file>

<file path=customXml/itemProps7.xml><?xml version="1.0" encoding="utf-8"?>
<ds:datastoreItem xmlns:ds="http://schemas.openxmlformats.org/officeDocument/2006/customXml" ds:itemID="{E20E8303-6A67-485C-B6F4-303542CC295C}"/>
</file>

<file path=customXml/itemProps8.xml><?xml version="1.0" encoding="utf-8"?>
<ds:datastoreItem xmlns:ds="http://schemas.openxmlformats.org/officeDocument/2006/customXml" ds:itemID="{D3A7101F-9A85-4235-8B03-415370C100B2}"/>
</file>

<file path=customXml/itemProps9.xml><?xml version="1.0" encoding="utf-8"?>
<ds:datastoreItem xmlns:ds="http://schemas.openxmlformats.org/officeDocument/2006/customXml" ds:itemID="{E3716282-BFD2-4ED2-BA47-BFA1123827F0}"/>
</file>

<file path=customXml/itemProps10.xml><?xml version="1.0" encoding="utf-8"?>
<ds:datastoreItem xmlns:ds="http://schemas.openxmlformats.org/officeDocument/2006/customXml" ds:itemID="{3AEAA9D8-2182-46BA-A58E-96C72DDA1C54}"/>
</file>

<file path=customXml/itemProps11.xml><?xml version="1.0" encoding="utf-8"?>
<ds:datastoreItem xmlns:ds="http://schemas.openxmlformats.org/officeDocument/2006/customXml" ds:itemID="{078388C9-06F9-42F4-B857-EF76B5CAF1FD}"/>
</file>

<file path=customXml/itemProps12.xml><?xml version="1.0" encoding="utf-8"?>
<ds:datastoreItem xmlns:ds="http://schemas.openxmlformats.org/officeDocument/2006/customXml" ds:itemID="{F6B2B1A1-1C4B-4AC9-9A7D-7A102DD1C942}"/>
</file>

<file path=customXml/itemProps13.xml><?xml version="1.0" encoding="utf-8"?>
<ds:datastoreItem xmlns:ds="http://schemas.openxmlformats.org/officeDocument/2006/customXml" ds:itemID="{9260D62A-4C1B-49FF-A8CC-010037BC2D8F}"/>
</file>

<file path=customXml/itemProps14.xml><?xml version="1.0" encoding="utf-8"?>
<ds:datastoreItem xmlns:ds="http://schemas.openxmlformats.org/officeDocument/2006/customXml" ds:itemID="{BF5C6359-7763-4C37-8EAF-2BC4698CB285}"/>
</file>

<file path=customXml/itemProps15.xml><?xml version="1.0" encoding="utf-8"?>
<ds:datastoreItem xmlns:ds="http://schemas.openxmlformats.org/officeDocument/2006/customXml" ds:itemID="{2BC74AAC-D69B-4AF1-9649-B21EF3C1C463}"/>
</file>

<file path=customXml/itemProps16.xml><?xml version="1.0" encoding="utf-8"?>
<ds:datastoreItem xmlns:ds="http://schemas.openxmlformats.org/officeDocument/2006/customXml" ds:itemID="{7946C510-7D04-49D8-9B25-EEC04582A1CA}"/>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66B09F59-6532-46F8-924A-9A02417E070D}"/>
</file>

<file path=customXml/itemProps19.xml><?xml version="1.0" encoding="utf-8"?>
<ds:datastoreItem xmlns:ds="http://schemas.openxmlformats.org/officeDocument/2006/customXml" ds:itemID="{1954BBA4-0359-438C-B0EC-A756015F7C02}"/>
</file>

<file path=customXml/itemProps20.xml><?xml version="1.0" encoding="utf-8"?>
<ds:datastoreItem xmlns:ds="http://schemas.openxmlformats.org/officeDocument/2006/customXml" ds:itemID="{8D732231-4216-4543-A665-18A2886B0E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2026-02-20T19:04:27Z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2024-10-11T05:01:38Z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43751fc4-43d6-4c3a-9180-162eeaa0d68a</vt:lpwstr>
  </property>
  <property fmtid="{D5CDD505-2E9C-101B-9397-08002B2CF9AE}" pid="9" name="MSIP_Label_9d817c99-0b37-4a07-8277-96aa1f96b74b_ContentBits">
    <vt:lpwstr>0</vt:lpwstr>
  </property>
</Properties>
</file>