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1" documentId="13_ncr:1_{31D9C67D-399A-44EE-A48F-ABBB5413FFD5}" xr6:coauthVersionLast="47" xr6:coauthVersionMax="47" xr10:uidLastSave="{AF8C5D30-6A16-4D55-B3A2-EBC97288AC30}"/>
  <bookViews>
    <workbookView xWindow="-108" yWindow="-108" windowWidth="23256" windowHeight="1389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8" l="1"/>
  <c r="E4" i="28"/>
  <c r="G5" i="30"/>
  <c r="G4" i="30"/>
  <c r="G4" i="29"/>
  <c r="G5" i="29"/>
  <c r="G5" i="18"/>
  <c r="G4" i="18"/>
  <c r="G4" i="1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34"/>
  <c r="D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F5" i="28"/>
  <c r="H4" i="28"/>
  <c r="I4" i="28" s="1"/>
  <c r="F4" i="28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E5" i="34" s="1"/>
  <c r="F5" i="34" s="1"/>
  <c r="E5" i="18"/>
  <c r="F5" i="18" s="1"/>
  <c r="D2" i="18"/>
  <c r="E5" i="30"/>
  <c r="F5" i="30" s="1"/>
  <c r="E4" i="18"/>
  <c r="F4" i="18" s="1"/>
  <c r="D4" i="34"/>
  <c r="D2" i="34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C2" i="30"/>
  <c r="E4" i="29"/>
  <c r="F4" i="29" s="1"/>
  <c r="C2" i="18"/>
  <c r="H4" i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1" l="1"/>
  <c r="H5" i="34"/>
  <c r="I5" i="34" s="1"/>
  <c r="E4" i="34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<sst xmlns="http://schemas.openxmlformats.org/spreadsheetml/2006/main" count="353" uniqueCount="99">
  <si>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</si>
  <si>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</si>
  <si>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</si>
  <si>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</si>
  <si>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</si>
  <si>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</si>
  <si>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</si>
  <si>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</si>
  <si>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</si>
  <si>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</si>
  <si>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</si>
  <si>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</si>
  <si>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</si>
  <si>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</si>
  <si>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</si>
  <si>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</si>
  <si>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</si>
  <si>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</si>
  <si>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</si>
  <si>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</si>
  <si>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</si>
  <si>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</si>
  <si>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</si>
  <si>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Inverter 1 is derating at 50KW approximetly 175KW down due to an fan issue since 07/22/24.</t>
  </si>
  <si>
    <t>1. SR087933</t>
  </si>
  <si>
    <t>February Actual v. Expected</t>
  </si>
  <si>
    <t>February Actual v. Forecasted</t>
  </si>
  <si>
    <t>1.Inverters 2,3 were offline from 02/09 and back online on 02/13.</t>
  </si>
  <si>
    <t>1.SR096625</t>
  </si>
  <si>
    <t>1. Inverter 1 is derating at 50KW approximetly 175KW down due to an fan issue since 07/22/24</t>
  </si>
  <si>
    <t>March Actual v. Expected</t>
  </si>
  <si>
    <t>March Actual v. Forecasted</t>
  </si>
  <si>
    <t>1.Inverter 2 tripped offline at 13:10 on 03/07 and back online on 03/08.</t>
  </si>
  <si>
    <t>1.SR098289</t>
  </si>
  <si>
    <t>April Actual v. Expected</t>
  </si>
  <si>
    <t>April Actual v. Forecasted</t>
  </si>
  <si>
    <t>1 Inverter 1 is derating at 50KW approximetly 175KW down due to an fan issue since 07/22/24</t>
  </si>
  <si>
    <t>1.SR087933</t>
  </si>
  <si>
    <t>May Actual v. Expected</t>
  </si>
  <si>
    <t>May Actual v. Forecasted</t>
  </si>
  <si>
    <t>1.Inverter 2 tripped offline at 15:45 on 05/16 and back online on 05/17
2.Inverter 1 was offline from 05/23 and remained offline for rest of the month</t>
  </si>
  <si>
    <t>1.SR101608
2.SR101880</t>
  </si>
  <si>
    <t>SR101880</t>
  </si>
  <si>
    <t>1.Inverter 1 is derating at 50KW approximetly 175KW down due to an fan issue since 07/22/24</t>
  </si>
  <si>
    <t>June Actual v. Expected</t>
  </si>
  <si>
    <t>June Actual v. Forecasted</t>
  </si>
  <si>
    <t>1. Inverter 1 was offline from 05/23 and came back online at 11:45 on 06/18.</t>
  </si>
  <si>
    <t>1. SR101880</t>
  </si>
  <si>
    <t>1.Inverter 1 is derating at 50KW approximetly 175KW down due to an fan issue since 06/22/24
2. Inverter 1 tripped offline at 14:30 on 06/07 and came back online at 19:05 on the same day.
3. The site was offline from 05:00 to 12:00 on 06/25.</t>
  </si>
  <si>
    <t>1. SR087933
2. SR102652
3. SR103516</t>
  </si>
  <si>
    <t>SR102652</t>
  </si>
  <si>
    <t>SR103516</t>
  </si>
  <si>
    <t>July Actual v. Expected</t>
  </si>
  <si>
    <t>July Actual v. Forecasted</t>
  </si>
  <si>
    <t>1.- Inverter 2 and meter 2 was stoppedcommunicating  at 12:20PM on 07/03. Inverter 2 and meter 2 resumed communicating at 14:20 on 07/18
2. Inverter 1 is derating at 340kW from 06/18 after replacing fuses</t>
  </si>
  <si>
    <t>1.SR104010
2.SR106453</t>
  </si>
  <si>
    <t>1.Inverter 1 is derating at 50KW approximetly 175KW down due to an fan issue since 06/22/24</t>
  </si>
  <si>
    <t>1.	SR087933</t>
  </si>
  <si>
    <t>August Actual v. Expected</t>
  </si>
  <si>
    <t>August Actual v. Forecasted</t>
  </si>
  <si>
    <t>status</t>
  </si>
  <si>
    <t>1. Inverter 1 is derating at 340kW from 06/18 after replacing fuses</t>
  </si>
  <si>
    <t>1.	SR106453</t>
  </si>
  <si>
    <t>1.closed</t>
  </si>
  <si>
    <t>1.Inverter 1 is derating at 50KW approximetly 175KW down due to an fan issue since 06/22/24
2.Inverter tripped offline at 12:00 on 08/24 and it came back olnine on 08/25</t>
  </si>
  <si>
    <t>1.SR087933
2.	SR089494</t>
  </si>
  <si>
    <t>1.Pending
2.Closed</t>
  </si>
  <si>
    <t>September Actual v. Expected</t>
  </si>
  <si>
    <t>September Actual v. Forecasted</t>
  </si>
  <si>
    <t>1. Inverter 1  is producing and communicating as expected from 09/23</t>
  </si>
  <si>
    <t>1.SR106453</t>
  </si>
  <si>
    <t>1.Closed</t>
  </si>
  <si>
    <t>1.Pending</t>
  </si>
  <si>
    <t>October Actual v. Expected</t>
  </si>
  <si>
    <t>October Actual v. Forecasted</t>
  </si>
  <si>
    <t>Status</t>
  </si>
  <si>
    <t>1.Inverter 1 is derating at 50KW approximetly 175KW down due to an fan issue since 06/22/24
2.Inverter tripped offline at 12:00 on 10/12 and later back online on 10/13</t>
  </si>
  <si>
    <t>1.SR087933
2.SR109400</t>
  </si>
  <si>
    <t>SR109400</t>
  </si>
  <si>
    <t>November Actual v. Expected</t>
  </si>
  <si>
    <t>November Actual v. Forecasted</t>
  </si>
  <si>
    <t xml:space="preserve">1. Inverter 1 is offline from 11/11 and offline for whole month
</t>
  </si>
  <si>
    <t>1.SR110889</t>
  </si>
  <si>
    <t>December Actual v. Expected</t>
  </si>
  <si>
    <t>December Actual v. Forecasted</t>
  </si>
  <si>
    <t xml:space="preserve">1. Inverter 1 is offline from 11/11 and offline for whole month.
</t>
  </si>
  <si>
    <t>1. SR110889</t>
  </si>
  <si>
    <t>1. Pending</t>
  </si>
  <si>
    <t>Portfolio:</t>
  </si>
  <si>
    <t>Walden Liberty</t>
  </si>
  <si>
    <t>Site DAS Name</t>
  </si>
  <si>
    <t>Update</t>
  </si>
  <si>
    <t>DAS</t>
  </si>
  <si>
    <t>Cape Cod Community College</t>
  </si>
  <si>
    <t>CCC College</t>
  </si>
  <si>
    <t>MA</t>
  </si>
  <si>
    <t>A</t>
  </si>
  <si>
    <t>SolrenView</t>
  </si>
  <si>
    <t>Walden Liberty Solar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</si>
</sst>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7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49" fontId="26" fillId="40" borderId="0" xfId="0" applyNumberFormat="1" applyFont="1" applyFill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0" fontId="33" fillId="40" borderId="0" xfId="0" applyFont="1" applyFill="1" applyAlignment="1">
      <alignment horizontal="left"/>
    </xf>
    <xf numFmtId="0" fontId="26" fillId="0" borderId="0" xfId="0" applyFont="1" applyAlignment="1">
      <alignment horizontal="left" vertical="center"/>
    </xf>
    <xf numFmtId="0" fontId="34" fillId="46" borderId="0" xfId="0" applyFont="1" applyFill="1"/>
    <xf numFmtId="0" fontId="34" fillId="0" borderId="0" xfId="0" applyFont="1"/>
    <xf numFmtId="0" fontId="34" fillId="46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49" fontId="27" fillId="0" borderId="0" xfId="0" applyNumberFormat="1" applyFont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3" fontId="29" fillId="4" borderId="0" xfId="1" applyNumberFormat="1" applyFont="1" applyFill="1" applyBorder="1" applyAlignment="1">
      <alignment horizontal="right" vertical="center"/>
    </xf>
    <xf numFmtId="3" fontId="29" fillId="0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49" fontId="35" fillId="0" borderId="0" xfId="45" applyNumberFormat="1" applyAlignment="1">
      <alignment vertical="center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49" fontId="35" fillId="0" borderId="0" xfId="45" applyNumberFormat="1" applyAlignment="1">
      <alignment vertical="top" wrapText="1"/>
    </xf>
    <xf numFmtId="49" fontId="35" fillId="38" borderId="0" xfId="45" applyNumberFormat="1" applyFill="1" applyBorder="1" applyAlignment="1">
      <alignment horizontal="left" vertical="top" wrapText="1"/>
    </xf>
    <xf numFmtId="49" fontId="35" fillId="0" borderId="0" xfId="45" applyNumberFormat="1" applyAlignment="1">
      <alignment horizontal="left" vertical="center" wrapText="1"/>
    </xf>
    <xf numFmtId="49" fontId="35" fillId="0" borderId="0" xfId="45" applyNumberForma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5" fillId="0" borderId="0" xfId="45"/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8793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096625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098289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7933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7933" TargetMode="External"/><Relationship Id="rId2" Type="http://schemas.openxmlformats.org/officeDocument/2006/relationships/hyperlink" Target="https://us3.assetplanner.com/service_request?ID=101880" TargetMode="External"/><Relationship Id="rId1" Type="http://schemas.openxmlformats.org/officeDocument/2006/relationships/hyperlink" Target="https://us3.assetplanner.com/service_request?ID=101608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652" TargetMode="External"/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101880" TargetMode="External"/><Relationship Id="rId4" Type="http://schemas.openxmlformats.org/officeDocument/2006/relationships/hyperlink" Target="https://us3.assetplanner.com/service_request?ID=103516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9400" TargetMode="External"/><Relationship Id="rId1" Type="http://schemas.openxmlformats.org/officeDocument/2006/relationships/hyperlink" Target="https://us3.assetplanner.com/service_request?ID=087933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110889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110889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F16" sqref="F16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Walden Liberty</v>
      </c>
      <c r="B1" s="68"/>
      <c r="C1" s="68"/>
      <c r="D1" s="69" t="s">
        <v>0</v>
      </c>
      <c r="E1" s="69"/>
      <c r="F1" s="69"/>
      <c r="G1" s="67" t="s">
        <v>1</v>
      </c>
      <c r="H1" s="67"/>
      <c r="I1" s="67"/>
    </row>
    <row r="2" spans="1:9" ht="19.5" customHeight="1">
      <c r="A2" s="70" t="s">
        <v>2</v>
      </c>
      <c r="B2" s="70"/>
      <c r="C2" s="5">
        <f>SUM(C4:C77)</f>
        <v>828822</v>
      </c>
      <c r="D2" s="5">
        <f>SUM(D4:D77)</f>
        <v>0</v>
      </c>
      <c r="E2" s="5">
        <f>C2-D2</f>
        <v>828822</v>
      </c>
      <c r="F2" s="6">
        <f>IFERROR(E2/D2, 0)</f>
        <v>0</v>
      </c>
      <c r="G2" s="5">
        <f>SUM(G4:G77)</f>
        <v>0</v>
      </c>
      <c r="H2" s="7">
        <f>C2-G2</f>
        <v>828822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5">Sites[Site]</f>
        <v>CCC College</v>
      </c>
      <c r="B4" s="30" t="str" cm="1">
        <f t="array" ref="B4:B5">Sites[State]</f>
        <v>MA</v>
      </c>
      <c r="C4" s="23">
        <f>SUM('1st Qtr'!C4, '2nd Qtr'!C4, '3rd Qtr'!C4, '4th Qtr'!C4)</f>
        <v>660143</v>
      </c>
      <c r="D4" s="12">
        <f>SUM('1st Qtr'!D4, '2nd Qtr'!D4, '3rd Qtr'!D4, '4th Qtr'!D4)</f>
        <v>0</v>
      </c>
      <c r="E4" s="12">
        <f>IF(AND(ISNUMBER(C4),ISNUMBER(D4)), C4-D4, "")</f>
        <v>660143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5.6">
      <c r="A5" s="46" t="str">
        <v>Walden Liberty</v>
      </c>
      <c r="B5" s="28" t="str">
        <v>MA</v>
      </c>
      <c r="C5" s="19">
        <f>SUM('1st Qtr'!C5, '2nd Qtr'!C5, '3rd Qtr'!C5, '4th Qtr'!C5)</f>
        <v>168679</v>
      </c>
      <c r="D5" s="17">
        <f>SUM(Jan!D5, Feb!D5, Mar!D5)</f>
        <v>0</v>
      </c>
      <c r="E5" s="17">
        <f t="shared" ref="E5" si="0">IF(AND(ISNUMBER(C5),ISNUMBER(D5)), C5-D5, "")</f>
        <v>168679</v>
      </c>
      <c r="F5" s="18" t="str">
        <f>IFERROR(E5/D5, "")</f>
        <v/>
      </c>
      <c r="G5" s="19">
        <f>SUM('1st Qtr'!G5, '2nd Qtr'!G5, '3rd Qtr'!G5, '4th Qtr'!G5)</f>
        <v>0</v>
      </c>
      <c r="H5" s="19">
        <f>SUM('1st Qtr'!H5, '2nd Qtr'!H5, '3rd Qtr'!H5, '4th Qtr'!H5)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Walden Liberty</v>
      </c>
      <c r="B1" s="68"/>
      <c r="C1" s="68"/>
      <c r="D1" s="69" t="s">
        <v>10</v>
      </c>
      <c r="E1" s="69"/>
      <c r="F1" s="69"/>
      <c r="G1" s="67" t="s">
        <v>11</v>
      </c>
      <c r="H1" s="67"/>
      <c r="I1" s="67"/>
    </row>
    <row r="2" spans="1:9" ht="19.5" customHeight="1">
      <c r="A2" s="70" t="s">
        <v>2</v>
      </c>
      <c r="B2" s="70"/>
      <c r="C2" s="5">
        <f>SUM(C4:C77)</f>
        <v>211356</v>
      </c>
      <c r="D2" s="5">
        <f>SUM(D4:D77)</f>
        <v>0</v>
      </c>
      <c r="E2" s="5">
        <f>C2-D2</f>
        <v>211356</v>
      </c>
      <c r="F2" s="6">
        <f>IFERROR(E2/D2, 0)</f>
        <v>0</v>
      </c>
      <c r="G2" s="5">
        <f>SUM(G4:G77)</f>
        <v>0</v>
      </c>
      <c r="H2" s="7">
        <f>C2-G2</f>
        <v>211356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SUM(Jan!C4, Feb!C4, Mar!C4)</f>
        <v>185921</v>
      </c>
      <c r="D4" s="12">
        <f>SUM(Jan!D4, Feb!D4, Mar!D4)</f>
        <v>0</v>
      </c>
      <c r="E4" s="12">
        <f>IF(AND(ISNUMBER(C4),ISNUMBER(D4)), C4-D4, "")</f>
        <v>185921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SUM(Jan!C5, Feb!C5, Mar!C5)</f>
        <v>25435</v>
      </c>
      <c r="D5" s="17">
        <f>SUM(Jan!D5, Feb!D5, Mar!D5)</f>
        <v>0</v>
      </c>
      <c r="E5" s="17">
        <f t="shared" ref="E5" si="0">IF(AND(ISNUMBER(C5),ISNUMBER(D5)), C5-D5, "")</f>
        <v>25435</v>
      </c>
      <c r="F5" s="18" t="str">
        <f>IFERROR(E5/D5, "")</f>
        <v/>
      </c>
      <c r="G5" s="19">
        <f>SUM(Jan!G5, Feb!G5, Mar!G5)</f>
        <v>0</v>
      </c>
      <c r="H5" s="19">
        <f>SUM(Jan!H5, Feb!H5, Mar!H5)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I5" sqref="I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Walden Liberty</v>
      </c>
      <c r="B1" s="68"/>
      <c r="C1" s="68"/>
      <c r="D1" s="69" t="s">
        <v>12</v>
      </c>
      <c r="E1" s="69"/>
      <c r="F1" s="69"/>
      <c r="G1" s="67" t="s">
        <v>13</v>
      </c>
      <c r="H1" s="67"/>
      <c r="I1" s="67"/>
    </row>
    <row r="2" spans="1:9" ht="19.5" customHeight="1">
      <c r="A2" s="70" t="s">
        <v>2</v>
      </c>
      <c r="B2" s="70"/>
      <c r="C2" s="5">
        <f>SUM(C4:C77)</f>
        <v>239307</v>
      </c>
      <c r="D2" s="5">
        <f>SUM(D4:D77)</f>
        <v>0</v>
      </c>
      <c r="E2" s="5">
        <f>C2-D2</f>
        <v>239307</v>
      </c>
      <c r="F2" s="6">
        <f>IFERROR(E2/D2, 0)</f>
        <v>0</v>
      </c>
      <c r="G2" s="5">
        <f>SUM(G4:G77)</f>
        <v>0</v>
      </c>
      <c r="H2" s="7">
        <f>C2-G2</f>
        <v>239307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SUM(Apr!C4, May!C4, Jun!C4)</f>
        <v>189288</v>
      </c>
      <c r="D4" s="12">
        <f>SUM(Apr!D4, May!D4, Jun!D4)</f>
        <v>0</v>
      </c>
      <c r="E4" s="12">
        <f>IF(AND(ISNUMBER(C4),ISNUMBER(D4)), C4-D4, "")</f>
        <v>189288</v>
      </c>
      <c r="F4" s="13" t="str">
        <f>IFERROR(E4/D4, "")</f>
        <v/>
      </c>
      <c r="G4" s="14">
        <f>SUM(Apr!G4, May!G4, Jun!G4)</f>
        <v>0</v>
      </c>
      <c r="H4" s="14">
        <f>SUM(Apr!H4, May!H4, Jun!H4)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SUM(Apr!C5, May!C5, Jun!C5)</f>
        <v>50019</v>
      </c>
      <c r="D5" s="17">
        <f>SUM(Apr!D5, May!D5, Jun!D5)</f>
        <v>0</v>
      </c>
      <c r="E5" s="17">
        <f t="shared" ref="E5" si="0">IF(AND(ISNUMBER(C5),ISNUMBER(D5)), C5-D5, "")</f>
        <v>50019</v>
      </c>
      <c r="F5" s="18" t="str">
        <f>IFERROR(E5/D5, "")</f>
        <v/>
      </c>
      <c r="G5" s="19">
        <f>SUM(Apr!G5, May!G5, Jun!G5)</f>
        <v>0</v>
      </c>
      <c r="H5" s="19">
        <f>SUM(Apr!H5, May!H5, Jun!H5)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12" sqref="G12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Walden Liberty</v>
      </c>
      <c r="B1" s="68"/>
      <c r="C1" s="68"/>
      <c r="D1" s="69" t="s">
        <v>14</v>
      </c>
      <c r="E1" s="69"/>
      <c r="F1" s="69"/>
      <c r="G1" s="67" t="s">
        <v>15</v>
      </c>
      <c r="H1" s="67"/>
      <c r="I1" s="67"/>
    </row>
    <row r="2" spans="1:9" ht="19.5" customHeight="1">
      <c r="A2" s="70" t="s">
        <v>2</v>
      </c>
      <c r="B2" s="70"/>
      <c r="C2" s="5">
        <f>SUM(C4:C77)</f>
        <v>265576</v>
      </c>
      <c r="D2" s="5">
        <f>SUM(D4:D77)</f>
        <v>0</v>
      </c>
      <c r="E2" s="5">
        <f>C2-D2</f>
        <v>265576</v>
      </c>
      <c r="F2" s="6">
        <f>IFERROR(E2/D2, 0)</f>
        <v>0</v>
      </c>
      <c r="G2" s="5">
        <f>SUM(G4:G77)</f>
        <v>0</v>
      </c>
      <c r="H2" s="7">
        <f>C2-G2</f>
        <v>265576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SUM(Jul!C4, Aug!C4, Sep!C4)</f>
        <v>200937</v>
      </c>
      <c r="D4" s="12">
        <f>SUM(Jul!D4, Aug!D4, Sep!D4)</f>
        <v>0</v>
      </c>
      <c r="E4" s="12">
        <f>IF(AND(ISNUMBER(C4),ISNUMBER(D4)), C4-D4, "")</f>
        <v>200937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SUM(Jul!C5, Aug!C5, Sep!C5)</f>
        <v>64639</v>
      </c>
      <c r="D5" s="17">
        <f>SUM(Jul!D5, Aug!D5, Sep!D5)</f>
        <v>0</v>
      </c>
      <c r="E5" s="17">
        <f t="shared" ref="E5" si="0">IF(AND(ISNUMBER(C5),ISNUMBER(D5)), C5-D5, "")</f>
        <v>64639</v>
      </c>
      <c r="F5" s="18" t="str">
        <f>IFERROR(E5/D5, "")</f>
        <v/>
      </c>
      <c r="G5" s="17">
        <f>SUM(Jul!G5,Aug!G5,Sep!G5)</f>
        <v>0</v>
      </c>
      <c r="H5" s="19">
        <f>SUM(Jul!H5, Aug!H5, Sep!H5)</f>
        <v>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I39" sqref="I39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Walden Liberty</v>
      </c>
      <c r="B1" s="68"/>
      <c r="C1" s="68"/>
      <c r="D1" s="69" t="s">
        <v>16</v>
      </c>
      <c r="E1" s="69"/>
      <c r="F1" s="69"/>
      <c r="G1" s="67" t="s">
        <v>17</v>
      </c>
      <c r="H1" s="67"/>
      <c r="I1" s="67"/>
    </row>
    <row r="2" spans="1:9" ht="19.5" customHeight="1">
      <c r="A2" s="70" t="s">
        <v>2</v>
      </c>
      <c r="B2" s="70"/>
      <c r="C2" s="5">
        <f>SUM(C4:C77)</f>
        <v>112583</v>
      </c>
      <c r="D2" s="5">
        <f>SUM(D4:D77)</f>
        <v>0</v>
      </c>
      <c r="E2" s="5">
        <f>C2-D2</f>
        <v>112583</v>
      </c>
      <c r="F2" s="6">
        <f>IFERROR(E2/D2, 0)</f>
        <v>0</v>
      </c>
      <c r="G2" s="5">
        <f>SUM(G4:G77)</f>
        <v>0</v>
      </c>
      <c r="H2" s="7">
        <f>C2-G2</f>
        <v>112583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SUM(Oct!C4, Nov!C4, Dec!C4)</f>
        <v>83997</v>
      </c>
      <c r="D4" s="12">
        <f>SUM(Oct!D4, Nov!D4, Dec!D4)</f>
        <v>0</v>
      </c>
      <c r="E4" s="12">
        <f>IF(AND(ISNUMBER(C4),ISNUMBER(D4)), C4-D4, "")</f>
        <v>83997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SUM(Oct!C5, Nov!C5, Dec!C5)</f>
        <v>28586</v>
      </c>
      <c r="D5" s="17">
        <f>SUM(Oct!D5, Nov!D5, Dec!D5)</f>
        <v>0</v>
      </c>
      <c r="E5" s="17">
        <f t="shared" ref="E5" si="0">IF(AND(ISNUMBER(C5),ISNUMBER(D5)), C5-D5, "")</f>
        <v>28586</v>
      </c>
      <c r="F5" s="18" t="str">
        <f>IFERROR(E5/D5, "")</f>
        <v/>
      </c>
      <c r="G5" s="19">
        <f>SUM(Oct!G5,Nov!G5,Dec!G5)</f>
        <v>0</v>
      </c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70" zoomScaleNormal="70" workbookViewId="0">
      <pane xSplit="2" ySplit="3" topLeftCell="C4" activePane="bottomRight" state="frozen"/>
      <selection pane="bottomRight" activeCell="G15" sqref="G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Walden Liberty</v>
      </c>
      <c r="B1" s="68"/>
      <c r="C1" s="68"/>
      <c r="D1" s="69" t="s">
        <v>18</v>
      </c>
      <c r="E1" s="69"/>
      <c r="F1" s="69"/>
      <c r="G1" s="67" t="s">
        <v>19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SUM(C4:C76)</f>
        <v>60390</v>
      </c>
      <c r="D2" s="5">
        <f>SUM(D4:D76)</f>
        <v>0</v>
      </c>
      <c r="E2" s="5">
        <f>C2-D2</f>
        <v>60390</v>
      </c>
      <c r="F2" s="6">
        <f>IFERROR(E2/D2, 0)</f>
        <v>0</v>
      </c>
      <c r="G2" s="5">
        <f>SUM(G4:G76)</f>
        <v>0</v>
      </c>
      <c r="H2" s="7">
        <f>C2-G2</f>
        <v>60390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53680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28.9">
      <c r="A5" s="46" t="str">
        <v>Walden Liberty</v>
      </c>
      <c r="B5" s="29" t="str">
        <v>MA</v>
      </c>
      <c r="C5" s="11">
        <v>6710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55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23</v>
      </c>
      <c r="K5" s="63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hyperlinks>
    <hyperlink ref="K5" r:id="rId1" display="https://us3.assetplanner.com/service_request?ID=087933" xr:uid="{E57A27F5-2728-4D91-880E-254F4B7558F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zoomScale="80" zoomScaleNormal="80" workbookViewId="0">
      <pane xSplit="2" ySplit="3" topLeftCell="C4" activePane="bottomRight" state="frozen"/>
      <selection pane="bottomRight" activeCell="K4" sqref="K4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Walden Liberty</v>
      </c>
      <c r="B1" s="68"/>
      <c r="C1" s="68"/>
      <c r="D1" s="69" t="s">
        <v>25</v>
      </c>
      <c r="E1" s="69"/>
      <c r="F1" s="69"/>
      <c r="G1" s="67" t="s">
        <v>26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SUM(C4:C77)</f>
        <v>63301</v>
      </c>
      <c r="D2" s="5">
        <f>SUM(D4:D77)</f>
        <v>0</v>
      </c>
      <c r="E2" s="5">
        <f>C2-D2</f>
        <v>63301</v>
      </c>
      <c r="F2" s="6">
        <f>IFERROR(E2/D2, 0)</f>
        <v>0</v>
      </c>
      <c r="G2" s="5">
        <f>SUM(G4:G77)</f>
        <v>0</v>
      </c>
      <c r="H2" s="7">
        <f>C2-G2</f>
        <v>63301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58205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27</v>
      </c>
      <c r="K4" s="61" t="s">
        <v>28</v>
      </c>
    </row>
    <row r="5" spans="1:11" ht="28.9">
      <c r="A5" s="46" t="str">
        <v>Walden Liberty</v>
      </c>
      <c r="B5" s="29" t="str">
        <v>MA</v>
      </c>
      <c r="C5" s="11">
        <v>5096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55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29</v>
      </c>
      <c r="K5" s="62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hyperlinks>
    <hyperlink ref="K4" r:id="rId1" display="https://us3.assetplanner.com/service_request?ID=096625" xr:uid="{241AADA5-E5F2-4B9F-9B9B-52E62081E5F3}"/>
    <hyperlink ref="K5" r:id="rId2" display="https://us3.assetplanner.com/service_request?ID=087933" xr:uid="{F52FBAF5-8123-46D5-9EA6-72AAAFF852E3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zoomScale="90" zoomScaleNormal="90" workbookViewId="0">
      <pane xSplit="2" ySplit="3" topLeftCell="F4" activePane="bottomRight" state="frozen"/>
      <selection pane="bottomRight" activeCell="K4" sqref="K4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Walden Liberty</v>
      </c>
      <c r="B1" s="68"/>
      <c r="C1" s="68"/>
      <c r="D1" s="69" t="s">
        <v>30</v>
      </c>
      <c r="E1" s="69"/>
      <c r="F1" s="69"/>
      <c r="G1" s="67" t="s">
        <v>31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SUM(C4:C77)</f>
        <v>87665</v>
      </c>
      <c r="D2" s="5">
        <f>SUM(D4:D77)</f>
        <v>0</v>
      </c>
      <c r="E2" s="5">
        <f>C2-D2</f>
        <v>87665</v>
      </c>
      <c r="F2" s="6">
        <f>IFERROR(E2/D2, 0)</f>
        <v>0</v>
      </c>
      <c r="G2" s="5">
        <f>SUM(G4:G77)</f>
        <v>0</v>
      </c>
      <c r="H2" s="7">
        <f>C2-G2</f>
        <v>87665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74036</v>
      </c>
      <c r="D4" s="12" t="s">
        <v>22</v>
      </c>
      <c r="E4" s="12" t="str">
        <f t="shared" ref="E4:E5" si="0">IF(AND(ISNUMBER(C4),ISNUMBER(D4)), C4-D4, "")</f>
        <v/>
      </c>
      <c r="F4" s="12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32</v>
      </c>
      <c r="K4" s="61" t="s">
        <v>33</v>
      </c>
    </row>
    <row r="5" spans="1:11" ht="28.9">
      <c r="A5" s="28" t="str">
        <v>Walden Liberty</v>
      </c>
      <c r="B5" s="29" t="str">
        <v>MA</v>
      </c>
      <c r="C5" s="11">
        <v>13629</v>
      </c>
      <c r="D5" s="17" t="s">
        <v>22</v>
      </c>
      <c r="E5" s="17" t="str">
        <f t="shared" si="0"/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29</v>
      </c>
      <c r="K5" s="62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5" priority="5" stopIfTrue="1" operator="lessThanOrEqual">
      <formula>-0.1</formula>
    </cfRule>
    <cfRule type="expression" dxfId="24" priority="6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hyperlinks>
    <hyperlink ref="K4" r:id="rId1" display="https://us3.assetplanner.com/service_request?ID=098289" xr:uid="{EAD405D5-5031-4B05-B1FD-1ECB1B1B9E47}"/>
    <hyperlink ref="K5" r:id="rId2" display="https://us3.assetplanner.com/service_request?ID=087933" xr:uid="{57579B0F-02E8-4893-B13B-7B76BFD2997A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I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Walden Liberty</v>
      </c>
      <c r="B1" s="68"/>
      <c r="C1" s="68"/>
      <c r="D1" s="69" t="s">
        <v>34</v>
      </c>
      <c r="E1" s="69"/>
      <c r="F1" s="69"/>
      <c r="G1" s="67" t="s">
        <v>35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SUM(C4:C77)</f>
        <v>97567</v>
      </c>
      <c r="D2" s="5">
        <f>SUM(D4:D77)</f>
        <v>0</v>
      </c>
      <c r="E2" s="5">
        <f>C2-D2</f>
        <v>97567</v>
      </c>
      <c r="F2" s="6">
        <f>IFERROR(E2/D2, 0)</f>
        <v>0</v>
      </c>
      <c r="G2" s="5">
        <f>SUM(G4:G77)</f>
        <v>0</v>
      </c>
      <c r="H2" s="7">
        <f>C2-G2</f>
        <v>97567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82658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28.9">
      <c r="A5" s="28" t="str">
        <v>Walden Liberty</v>
      </c>
      <c r="B5" s="29" t="str">
        <v>MA</v>
      </c>
      <c r="C5" s="11">
        <v>14909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36</v>
      </c>
      <c r="K5" s="60" t="s">
        <v>37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hyperlinks>
    <hyperlink ref="K5" r:id="rId1" display="https://us3.assetplanner.com/service_request?ID=087933" xr:uid="{0E9E5C36-9A0A-4959-83D6-9319984EF8A2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P319"/>
  <sheetViews>
    <sheetView zoomScale="80" zoomScaleNormal="80" workbookViewId="0">
      <pane xSplit="2" ySplit="3" topLeftCell="C4" activePane="bottomRight" state="frozen"/>
      <selection pane="bottomRight" activeCell="D24" sqref="D2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58"/>
  </cols>
  <sheetData>
    <row r="1" spans="1:12" ht="19.5" customHeight="1">
      <c r="A1" s="68" t="str" cm="1">
        <f t="array" ref="A1">portfolio</f>
        <v>Walden Liberty</v>
      </c>
      <c r="B1" s="68"/>
      <c r="C1" s="68"/>
      <c r="D1" s="69" t="s">
        <v>38</v>
      </c>
      <c r="E1" s="69"/>
      <c r="F1" s="69"/>
      <c r="G1" s="67" t="s">
        <v>39</v>
      </c>
      <c r="H1" s="67"/>
      <c r="I1" s="67"/>
      <c r="J1" s="4"/>
      <c r="K1" s="4"/>
    </row>
    <row r="2" spans="1:12" ht="19.5" customHeight="1">
      <c r="A2" s="70" t="s">
        <v>2</v>
      </c>
      <c r="B2" s="70"/>
      <c r="C2" s="5">
        <f>SUM(C4:C77)</f>
        <v>79890</v>
      </c>
      <c r="D2" s="5">
        <f>SUM(D4:D77)</f>
        <v>0</v>
      </c>
      <c r="E2" s="5">
        <f>C2-D2</f>
        <v>79890</v>
      </c>
      <c r="F2" s="6">
        <f>IFERROR(E2/D2, 0)</f>
        <v>0</v>
      </c>
      <c r="G2" s="5">
        <f>SUM(G4:G77)</f>
        <v>0</v>
      </c>
      <c r="H2" s="7">
        <f>C2-G2</f>
        <v>79890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2" ht="28.9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64576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40</v>
      </c>
      <c r="K4" s="56" t="s">
        <v>41</v>
      </c>
      <c r="L4" s="59" t="s">
        <v>42</v>
      </c>
    </row>
    <row r="5" spans="1:12" ht="28.9">
      <c r="A5" s="28" t="str">
        <v>Walden Liberty</v>
      </c>
      <c r="B5" s="29" t="str">
        <v>MA</v>
      </c>
      <c r="C5" s="11">
        <v>15314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43</v>
      </c>
      <c r="K5" s="57" t="s">
        <v>37</v>
      </c>
    </row>
    <row r="6" spans="1:12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2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101608" xr:uid="{62108998-1887-4B8E-8250-C9CA8DBFD958}"/>
    <hyperlink ref="L4" r:id="rId2" display="https://us3.assetplanner.com/service_request?ID=101880" xr:uid="{F2FB57AF-E643-4D13-A2F8-B0DBD8B04639}"/>
    <hyperlink ref="K5" r:id="rId3" display="https://us3.assetplanner.com/service_request?ID=087933" xr:uid="{988E5679-D85E-462A-B77F-D41F6CF6914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19"/>
  <sheetViews>
    <sheetView zoomScale="70" zoomScaleNormal="70" workbookViewId="0">
      <pane xSplit="2" ySplit="3" topLeftCell="C4" activePane="bottomRight" state="frozen"/>
      <selection pane="bottomRight" activeCell="J16" sqref="J16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58"/>
  </cols>
  <sheetData>
    <row r="1" spans="1:13" ht="19.5" customHeight="1">
      <c r="A1" s="68" t="str" cm="1">
        <f t="array" ref="A1">portfolio</f>
        <v>Walden Liberty</v>
      </c>
      <c r="B1" s="68"/>
      <c r="C1" s="68"/>
      <c r="D1" s="69" t="s">
        <v>44</v>
      </c>
      <c r="E1" s="69"/>
      <c r="F1" s="69"/>
      <c r="G1" s="67" t="s">
        <v>45</v>
      </c>
      <c r="H1" s="67"/>
      <c r="I1" s="67"/>
      <c r="J1" s="4"/>
      <c r="K1" s="4"/>
    </row>
    <row r="2" spans="1:13" ht="19.5" customHeight="1">
      <c r="A2" s="70" t="s">
        <v>2</v>
      </c>
      <c r="B2" s="70"/>
      <c r="C2" s="5">
        <f>SUM(C4:C77)</f>
        <v>61850</v>
      </c>
      <c r="D2" s="5">
        <f>SUM(D4:D77)</f>
        <v>0</v>
      </c>
      <c r="E2" s="5">
        <f>C2-D2</f>
        <v>61850</v>
      </c>
      <c r="F2" s="6">
        <f>IFERROR(E2/D2, 0)</f>
        <v>0</v>
      </c>
      <c r="G2" s="5">
        <f>SUM(G4:G77)</f>
        <v>0</v>
      </c>
      <c r="H2" s="7">
        <f>C2-G2</f>
        <v>61850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3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42054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46</v>
      </c>
      <c r="K4" s="56" t="s">
        <v>47</v>
      </c>
    </row>
    <row r="5" spans="1:13" ht="72">
      <c r="A5" s="28" t="str">
        <v>Walden Liberty</v>
      </c>
      <c r="B5" s="29" t="str">
        <v>MA</v>
      </c>
      <c r="C5" s="11">
        <v>19796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48</v>
      </c>
      <c r="K5" s="57" t="s">
        <v>49</v>
      </c>
      <c r="L5" s="59" t="s">
        <v>50</v>
      </c>
      <c r="M5" s="59" t="s">
        <v>51</v>
      </c>
    </row>
    <row r="6" spans="1:13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3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3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101880" xr:uid="{6148C893-B53A-4E7D-9406-9B59C99E0B59}"/>
    <hyperlink ref="K5" r:id="rId2" display="https://us3.assetplanner.com/service_request?ID=087933" xr:uid="{8FEB37FA-D035-4A14-B016-E46853607BB8}"/>
    <hyperlink ref="L5" r:id="rId3" display="https://us3.assetplanner.com/service_request?ID=102652" xr:uid="{0579E669-BC5A-4C9A-A9D0-320B464B446C}"/>
    <hyperlink ref="M5" r:id="rId4" display="https://us3.assetplanner.com/service_request?ID=103516" xr:uid="{DCFBCB1F-2C31-46F6-A537-87544C0439C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19"/>
  <sheetViews>
    <sheetView zoomScale="70" zoomScaleNormal="70" workbookViewId="0">
      <pane xSplit="2" ySplit="3" topLeftCell="C4" activePane="bottomRight" state="frozen"/>
      <selection pane="bottomRight" activeCell="J13" sqref="J13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Walden Liberty</v>
      </c>
      <c r="B1" s="68"/>
      <c r="C1" s="68"/>
      <c r="D1" s="69" t="s">
        <v>52</v>
      </c>
      <c r="E1" s="69"/>
      <c r="F1" s="69"/>
      <c r="G1" s="67" t="s">
        <v>53</v>
      </c>
      <c r="H1" s="67"/>
      <c r="I1" s="67"/>
      <c r="J1" s="4"/>
      <c r="K1" s="4"/>
    </row>
    <row r="2" spans="1:12" ht="19.5" customHeight="1">
      <c r="A2" s="70" t="s">
        <v>2</v>
      </c>
      <c r="B2" s="70"/>
      <c r="C2" s="5">
        <f>SUM(C4:C77)</f>
        <v>103226</v>
      </c>
      <c r="D2" s="5">
        <f>SUM(D4:D77)</f>
        <v>0</v>
      </c>
      <c r="E2" s="5">
        <f>C2-D2</f>
        <v>103226</v>
      </c>
      <c r="F2" s="6">
        <f>IFERROR(E2/D2, 0)</f>
        <v>0</v>
      </c>
      <c r="G2" s="5">
        <f>SUM(G4:G77)</f>
        <v>0</v>
      </c>
      <c r="H2" s="7">
        <f>C2-G2</f>
        <v>103226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2" ht="43.15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80054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54</v>
      </c>
      <c r="K4" s="39" t="s">
        <v>55</v>
      </c>
      <c r="L4" s="64"/>
    </row>
    <row r="5" spans="1:12" ht="28.9">
      <c r="A5" s="28" t="str">
        <v>Walden Liberty</v>
      </c>
      <c r="B5" s="29" t="str">
        <v>MA</v>
      </c>
      <c r="C5" s="11">
        <v>23172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56</v>
      </c>
      <c r="K5" s="40" t="s">
        <v>57</v>
      </c>
      <c r="L5" s="64"/>
    </row>
    <row r="6" spans="1:12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2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19"/>
  <sheetViews>
    <sheetView zoomScale="70" zoomScaleNormal="70" workbookViewId="0">
      <pane xSplit="2" ySplit="3" topLeftCell="C4" activePane="bottomRight" state="frozen"/>
      <selection pane="bottomRight" activeCell="L11" sqref="L1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Walden Liberty</v>
      </c>
      <c r="B1" s="68"/>
      <c r="C1" s="68"/>
      <c r="D1" s="69" t="s">
        <v>58</v>
      </c>
      <c r="E1" s="69"/>
      <c r="F1" s="69"/>
      <c r="G1" s="67" t="s">
        <v>59</v>
      </c>
      <c r="H1" s="67"/>
      <c r="I1" s="67"/>
      <c r="J1" s="4"/>
      <c r="K1" s="4"/>
    </row>
    <row r="2" spans="1:12" ht="19.5" customHeight="1">
      <c r="A2" s="70" t="s">
        <v>2</v>
      </c>
      <c r="B2" s="70"/>
      <c r="C2" s="5">
        <f>SUM(C4:C77)</f>
        <v>112582</v>
      </c>
      <c r="D2" s="5">
        <f>SUM(D4:D77)</f>
        <v>0</v>
      </c>
      <c r="E2" s="5">
        <f>C2-D2</f>
        <v>112582</v>
      </c>
      <c r="F2" s="6">
        <f>IFERROR(E2/D2, 0)</f>
        <v>0</v>
      </c>
      <c r="G2" s="5">
        <f>SUM(G4:G77)</f>
        <v>0</v>
      </c>
      <c r="H2" s="7">
        <f>C2-G2</f>
        <v>112582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  <c r="L3" s="24" t="s">
        <v>60</v>
      </c>
    </row>
    <row r="4" spans="1:12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88930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61</v>
      </c>
      <c r="K4" s="39" t="s">
        <v>62</v>
      </c>
      <c r="L4" t="s">
        <v>63</v>
      </c>
    </row>
    <row r="5" spans="1:12" ht="42.75" customHeight="1">
      <c r="A5" s="28" t="str">
        <v>Walden Liberty</v>
      </c>
      <c r="B5" s="29" t="str">
        <v>MA</v>
      </c>
      <c r="C5" s="11">
        <v>23652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1" t="s">
        <v>64</v>
      </c>
      <c r="K5" s="51" t="s">
        <v>65</v>
      </c>
      <c r="L5" s="64" t="s">
        <v>66</v>
      </c>
    </row>
    <row r="6" spans="1:12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2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19"/>
  <sheetViews>
    <sheetView zoomScale="70" zoomScaleNormal="70" workbookViewId="0">
      <pane xSplit="2" ySplit="3" topLeftCell="C4" activePane="bottomRight" state="frozen"/>
      <selection pane="bottomRight" activeCell="J5" sqref="J5:L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Walden Liberty</v>
      </c>
      <c r="B1" s="68"/>
      <c r="C1" s="68"/>
      <c r="D1" s="69" t="s">
        <v>67</v>
      </c>
      <c r="E1" s="69"/>
      <c r="F1" s="69"/>
      <c r="G1" s="67" t="s">
        <v>68</v>
      </c>
      <c r="H1" s="67"/>
      <c r="I1" s="67"/>
      <c r="J1" s="4"/>
      <c r="K1" s="4"/>
    </row>
    <row r="2" spans="1:12" ht="19.5" customHeight="1">
      <c r="A2" s="70" t="s">
        <v>2</v>
      </c>
      <c r="B2" s="70"/>
      <c r="C2" s="5">
        <f>SUM(C4:C77)</f>
        <v>49768</v>
      </c>
      <c r="D2" s="5">
        <f>SUM(D4:D77)</f>
        <v>0</v>
      </c>
      <c r="E2" s="5">
        <f>C2-D2</f>
        <v>49768</v>
      </c>
      <c r="F2" s="6">
        <f>IFERROR(E2/D2, 0)</f>
        <v>0</v>
      </c>
      <c r="G2" s="5">
        <f>SUM(G4:G77)</f>
        <v>0</v>
      </c>
      <c r="H2" s="7">
        <f>C2-G2</f>
        <v>49768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  <c r="L3" s="24" t="s">
        <v>60</v>
      </c>
    </row>
    <row r="4" spans="1:12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31953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69</v>
      </c>
      <c r="K4" s="39" t="s">
        <v>70</v>
      </c>
      <c r="L4" t="s">
        <v>71</v>
      </c>
    </row>
    <row r="5" spans="1:12" ht="37.5" customHeight="1">
      <c r="A5" s="28" t="str">
        <v>Walden Liberty</v>
      </c>
      <c r="B5" s="29" t="str">
        <v>MA</v>
      </c>
      <c r="C5" s="11">
        <v>17815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1" t="s">
        <v>56</v>
      </c>
      <c r="K5" s="51" t="s">
        <v>37</v>
      </c>
      <c r="L5" s="65" t="s">
        <v>72</v>
      </c>
    </row>
    <row r="6" spans="1:12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2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19"/>
  <sheetViews>
    <sheetView zoomScale="80" zoomScaleNormal="80" workbookViewId="0">
      <pane xSplit="2" ySplit="3" topLeftCell="C4" activePane="bottomRight" state="frozen"/>
      <selection pane="bottomRight" activeCell="H18" sqref="H18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7109375" customWidth="1"/>
  </cols>
  <sheetData>
    <row r="1" spans="1:13" ht="19.5" customHeight="1">
      <c r="A1" s="68" t="str" cm="1">
        <f t="array" ref="A1">portfolio</f>
        <v>Walden Liberty</v>
      </c>
      <c r="B1" s="68"/>
      <c r="C1" s="68"/>
      <c r="D1" s="69" t="s">
        <v>73</v>
      </c>
      <c r="E1" s="69"/>
      <c r="F1" s="69"/>
      <c r="G1" s="67" t="s">
        <v>74</v>
      </c>
      <c r="H1" s="67"/>
      <c r="I1" s="67"/>
      <c r="J1" s="4"/>
      <c r="K1" s="4"/>
    </row>
    <row r="2" spans="1:13" ht="19.5" customHeight="1">
      <c r="A2" s="70" t="s">
        <v>2</v>
      </c>
      <c r="B2" s="70"/>
      <c r="C2" s="5">
        <f>SUM(C4:C77)</f>
        <v>74665</v>
      </c>
      <c r="D2" s="5">
        <f>SUM(D4:D77)</f>
        <v>0</v>
      </c>
      <c r="E2" s="5">
        <f>C2-D2</f>
        <v>74665</v>
      </c>
      <c r="F2" s="6">
        <f>IFERROR(E2/D2, 0)</f>
        <v>0</v>
      </c>
      <c r="G2" s="5">
        <f>SUM(G4:G77)</f>
        <v>0</v>
      </c>
      <c r="H2" s="7">
        <f>C2-G2</f>
        <v>74665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  <c r="L3" s="24" t="s">
        <v>75</v>
      </c>
    </row>
    <row r="4" spans="1:13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60971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/>
      <c r="K4" s="39"/>
      <c r="L4" s="39"/>
    </row>
    <row r="5" spans="1:13" ht="43.15">
      <c r="A5" s="28" t="str">
        <v>Walden Liberty</v>
      </c>
      <c r="B5" s="29" t="str">
        <v>MA</v>
      </c>
      <c r="C5" s="11">
        <v>13694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76</v>
      </c>
      <c r="K5" s="57" t="s">
        <v>77</v>
      </c>
      <c r="L5" s="40" t="s">
        <v>66</v>
      </c>
      <c r="M5" s="66" t="s">
        <v>78</v>
      </c>
    </row>
    <row r="6" spans="1:13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3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3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hyperlinks>
    <hyperlink ref="K5" r:id="rId1" display="https://us3.assetplanner.com/service_request?ID=087933" xr:uid="{24C9C65B-676E-43CD-94FF-800092B171CA}"/>
    <hyperlink ref="M5" r:id="rId2" display="https://us3.assetplanner.com/service_request?ID=109400" xr:uid="{56B5276D-7CB5-42CD-BE08-13DD03E7EA4D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19"/>
  <sheetViews>
    <sheetView zoomScale="80" zoomScaleNormal="80" workbookViewId="0">
      <pane xSplit="2" ySplit="3" topLeftCell="C4" activePane="bottomRight" state="frozen"/>
      <selection pane="bottomRight" activeCell="K1" sqref="K1:K1048576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140625" customWidth="1"/>
  </cols>
  <sheetData>
    <row r="1" spans="1:12" ht="19.5" customHeight="1">
      <c r="A1" s="68" t="str" cm="1">
        <f t="array" ref="A1">portfolio</f>
        <v>Walden Liberty</v>
      </c>
      <c r="B1" s="68"/>
      <c r="C1" s="68"/>
      <c r="D1" s="69" t="s">
        <v>79</v>
      </c>
      <c r="E1" s="69"/>
      <c r="F1" s="69"/>
      <c r="G1" s="67" t="s">
        <v>80</v>
      </c>
      <c r="H1" s="67"/>
      <c r="I1" s="67"/>
      <c r="J1" s="4"/>
      <c r="K1" s="4"/>
    </row>
    <row r="2" spans="1:12" ht="19.5" customHeight="1">
      <c r="A2" s="70" t="s">
        <v>2</v>
      </c>
      <c r="B2" s="70"/>
      <c r="C2" s="5">
        <f>SUM(C4:C77)</f>
        <v>29096</v>
      </c>
      <c r="D2" s="5">
        <f>SUM(D4:D77)</f>
        <v>0</v>
      </c>
      <c r="E2" s="5">
        <f>C2-D2</f>
        <v>29096</v>
      </c>
      <c r="F2" s="6">
        <f>IFERROR(E2/D2, 0)</f>
        <v>0</v>
      </c>
      <c r="G2" s="5">
        <f>SUM(G4:G77)</f>
        <v>0</v>
      </c>
      <c r="H2" s="7">
        <f>C2-G2</f>
        <v>29096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  <c r="L3" s="24" t="s">
        <v>75</v>
      </c>
    </row>
    <row r="4" spans="1:12" ht="28.9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20307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81</v>
      </c>
      <c r="K4" s="56" t="s">
        <v>82</v>
      </c>
      <c r="L4" s="39" t="s">
        <v>72</v>
      </c>
    </row>
    <row r="5" spans="1:12" ht="28.9">
      <c r="A5" s="28" t="str">
        <v>Walden Liberty</v>
      </c>
      <c r="B5" s="29" t="str">
        <v>MA</v>
      </c>
      <c r="C5" s="11">
        <v>8789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56</v>
      </c>
      <c r="K5" s="57" t="s">
        <v>37</v>
      </c>
      <c r="L5" s="40" t="s">
        <v>72</v>
      </c>
    </row>
    <row r="6" spans="1:12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2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hyperlinks>
    <hyperlink ref="K4" r:id="rId1" display="https://us3.assetplanner.com/service_request?ID=110889" xr:uid="{D815E807-DD0C-48BC-8450-3E949547D26A}"/>
    <hyperlink ref="K5" r:id="rId2" display="https://us3.assetplanner.com/service_request?ID=087933" xr:uid="{4DA10D24-9A5E-4267-A4BE-8FC80B43BF22}"/>
  </hyperlinks>
  <pageMargins left="0.4" right="0.7" top="0.25" bottom="0.25" header="0.3" footer="0.3"/>
  <pageSetup fitToHeight="99" orientation="landscape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19"/>
  <sheetViews>
    <sheetView tabSelected="1" zoomScale="80" zoomScaleNormal="80" workbookViewId="0">
      <pane xSplit="2" ySplit="3" topLeftCell="C4" activePane="bottomRight" state="frozen"/>
      <selection pane="bottomRight" activeCell="A4" sqref="A4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.5703125" customWidth="1"/>
  </cols>
  <sheetData>
    <row r="1" spans="1:12" ht="19.5" customHeight="1">
      <c r="A1" s="68" t="str" cm="1">
        <f t="array" ref="A1">portfolio</f>
        <v>Walden Liberty</v>
      </c>
      <c r="B1" s="68"/>
      <c r="C1" s="68"/>
      <c r="D1" s="69" t="s">
        <v>83</v>
      </c>
      <c r="E1" s="69"/>
      <c r="F1" s="69"/>
      <c r="G1" s="67" t="s">
        <v>84</v>
      </c>
      <c r="H1" s="67"/>
      <c r="I1" s="67"/>
      <c r="J1" s="4"/>
      <c r="K1" s="4"/>
    </row>
    <row r="2" spans="1:12" ht="19.5" customHeight="1">
      <c r="A2" s="70" t="s">
        <v>2</v>
      </c>
      <c r="B2" s="70"/>
      <c r="C2" s="5">
        <f>SUM(C4:C77)</f>
        <v>8822</v>
      </c>
      <c r="D2" s="5">
        <f>SUM(D4:D77)</f>
        <v>0</v>
      </c>
      <c r="E2" s="5">
        <f>C2-D2</f>
        <v>8822</v>
      </c>
      <c r="F2" s="6">
        <f>IFERROR(E2/D2, 0)</f>
        <v>0</v>
      </c>
      <c r="G2" s="5">
        <f>SUM(G4:G77)</f>
        <v>0</v>
      </c>
      <c r="H2" s="7">
        <f>C2-G2</f>
        <v>8822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  <c r="L3" s="24" t="s">
        <v>75</v>
      </c>
    </row>
    <row r="4" spans="1:12" ht="28.9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2719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52" t="s">
        <v>85</v>
      </c>
      <c r="K4" s="61" t="s">
        <v>86</v>
      </c>
      <c r="L4" s="39" t="s">
        <v>87</v>
      </c>
    </row>
    <row r="5" spans="1:12" ht="28.9">
      <c r="A5" s="28" t="str">
        <v>Walden Liberty</v>
      </c>
      <c r="B5" s="29" t="str">
        <v>MA</v>
      </c>
      <c r="C5" s="11">
        <v>6103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3" t="s">
        <v>56</v>
      </c>
      <c r="K5" s="60" t="s">
        <v>24</v>
      </c>
      <c r="L5" s="51" t="s">
        <v>87</v>
      </c>
    </row>
    <row r="6" spans="1:12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2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hyperlinks>
    <hyperlink ref="K4" r:id="rId1" display="https://us3.assetplanner.com/service_request?ID=110889" xr:uid="{E1AD0047-C8C1-4F85-A6AF-3A0B214193B4}"/>
    <hyperlink ref="K5" r:id="rId2" display="https://us3.assetplanner.com/service_request?ID=087933" xr:uid="{557D2A55-4CC6-4C3F-9997-A333032AE50B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88</v>
      </c>
      <c r="B1" t="s">
        <v>89</v>
      </c>
    </row>
    <row r="3" spans="1:12" ht="13.15">
      <c r="A3" t="s">
        <v>90</v>
      </c>
      <c r="B3" t="s">
        <v>3</v>
      </c>
      <c r="C3" t="s">
        <v>4</v>
      </c>
      <c r="D3" t="s">
        <v>91</v>
      </c>
      <c r="E3" s="2" t="s">
        <v>92</v>
      </c>
    </row>
    <row r="4" spans="1:12" ht="14.45">
      <c r="A4" s="47" t="s">
        <v>93</v>
      </c>
      <c r="B4" s="47" t="s">
        <v>94</v>
      </c>
      <c r="C4" s="47" t="s">
        <v>95</v>
      </c>
      <c r="D4" s="49" t="s">
        <v>96</v>
      </c>
      <c r="E4" s="47" t="s">
        <v>97</v>
      </c>
      <c r="G4" s="3"/>
    </row>
    <row r="5" spans="1:12" ht="14.45">
      <c r="A5" s="48" t="s">
        <v>98</v>
      </c>
      <c r="B5" s="48" t="s">
        <v>89</v>
      </c>
      <c r="C5" s="48" t="s">
        <v>95</v>
      </c>
      <c r="D5" s="50" t="s">
        <v>96</v>
      </c>
      <c r="E5" s="48" t="s">
        <v>97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99AFA65E-2963-48C0-8C1F-7D29F3833703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2026-01-14T21:01:03Z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5b2093e3-7ef6-446c-a5a4-c7cfed94e2e6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