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1" documentId="13_ncr:1_{E0534E62-B00B-482E-B93B-09F152F7FC26}" xr6:coauthVersionLast="47" xr6:coauthVersionMax="47" xr10:uidLastSave="{A8774C36-A95A-413A-A526-4D5676D1EBA7}"/>
  <bookViews>
    <workbookView xWindow="-108" yWindow="-108" windowWidth="23256" windowHeight="13896" tabRatio="866" firstSheet="13" activeTab="13"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0" i="33" l="1"/>
  <c r="H40" i="30"/>
  <c r="G38" i="30"/>
  <c r="G39" i="30"/>
  <c r="G39" i="34" s="1"/>
  <c r="G40" i="30"/>
  <c r="D38" i="30"/>
  <c r="D39" i="30"/>
  <c r="D39" i="34" s="1"/>
  <c r="D40" i="30"/>
  <c r="C38" i="30"/>
  <c r="C39" i="30"/>
  <c r="C40" i="30"/>
  <c r="I39" i="29"/>
  <c r="I40" i="29"/>
  <c r="H39" i="29"/>
  <c r="H40" i="29"/>
  <c r="G39" i="29"/>
  <c r="G40" i="29"/>
  <c r="F39" i="29"/>
  <c r="E39" i="29"/>
  <c r="E40" i="29"/>
  <c r="F40" i="29" s="1"/>
  <c r="D39" i="29"/>
  <c r="D40" i="29"/>
  <c r="C39" i="29"/>
  <c r="C40" i="29"/>
  <c r="I38" i="18"/>
  <c r="I39" i="18"/>
  <c r="I40" i="18"/>
  <c r="H38" i="18"/>
  <c r="H39" i="18"/>
  <c r="H40" i="18"/>
  <c r="G39" i="18"/>
  <c r="G40" i="18"/>
  <c r="E39" i="18"/>
  <c r="F39" i="18" s="1"/>
  <c r="E40" i="18"/>
  <c r="F40" i="18" s="1"/>
  <c r="D39" i="18"/>
  <c r="D40" i="18"/>
  <c r="C39" i="18"/>
  <c r="C40" i="18"/>
  <c r="I38" i="1"/>
  <c r="I39" i="1"/>
  <c r="I40" i="1"/>
  <c r="H38" i="1"/>
  <c r="H39" i="1"/>
  <c r="H40" i="1"/>
  <c r="G38" i="1"/>
  <c r="G39" i="1"/>
  <c r="G40" i="1"/>
  <c r="F38" i="1"/>
  <c r="E38" i="1"/>
  <c r="E39" i="1"/>
  <c r="F39" i="1" s="1"/>
  <c r="E40" i="1"/>
  <c r="F40" i="1" s="1"/>
  <c r="D38" i="1"/>
  <c r="D39" i="1"/>
  <c r="D40" i="1"/>
  <c r="C38" i="1"/>
  <c r="C39" i="1"/>
  <c r="C40" i="1"/>
  <c r="D40" i="34"/>
  <c r="H33" i="33"/>
  <c r="H34" i="33"/>
  <c r="I34" i="33" s="1"/>
  <c r="H35" i="33"/>
  <c r="I35" i="33" s="1"/>
  <c r="H36" i="33"/>
  <c r="I36" i="33" s="1"/>
  <c r="H37" i="33"/>
  <c r="I37" i="33" s="1"/>
  <c r="H38" i="33"/>
  <c r="I38" i="33" s="1"/>
  <c r="H39" i="33"/>
  <c r="H40" i="33"/>
  <c r="E35" i="33"/>
  <c r="F35" i="33" s="1"/>
  <c r="E36" i="33"/>
  <c r="F36" i="33" s="1"/>
  <c r="E37" i="33"/>
  <c r="F37" i="33" s="1"/>
  <c r="E38" i="33"/>
  <c r="F38" i="33" s="1"/>
  <c r="E39" i="33"/>
  <c r="F39" i="33" s="1"/>
  <c r="I35" i="32"/>
  <c r="I36" i="32"/>
  <c r="I40" i="32"/>
  <c r="H35" i="32"/>
  <c r="H36" i="32"/>
  <c r="H37" i="32"/>
  <c r="I37" i="32" s="1"/>
  <c r="H38" i="32"/>
  <c r="I38" i="32" s="1"/>
  <c r="H39" i="32"/>
  <c r="I39" i="32" s="1"/>
  <c r="H40" i="32"/>
  <c r="F35" i="32"/>
  <c r="F36" i="32"/>
  <c r="F40" i="32"/>
  <c r="E35" i="32"/>
  <c r="E36" i="32"/>
  <c r="E37" i="32"/>
  <c r="F37" i="32" s="1"/>
  <c r="E38" i="32"/>
  <c r="F38" i="32" s="1"/>
  <c r="E39" i="32"/>
  <c r="F39" i="32" s="1"/>
  <c r="E40" i="32"/>
  <c r="I34" i="32"/>
  <c r="H33" i="32"/>
  <c r="I33" i="32" s="1"/>
  <c r="H34" i="32"/>
  <c r="F34" i="32"/>
  <c r="E33" i="32"/>
  <c r="F33" i="32" s="1"/>
  <c r="E34" i="32"/>
  <c r="H30" i="31"/>
  <c r="I30" i="31"/>
  <c r="H31" i="31"/>
  <c r="I31" i="31"/>
  <c r="H32" i="31"/>
  <c r="I32" i="31"/>
  <c r="H33" i="31"/>
  <c r="I33" i="31"/>
  <c r="H34" i="31"/>
  <c r="I34" i="31"/>
  <c r="H35" i="31"/>
  <c r="I35" i="31"/>
  <c r="H36" i="31"/>
  <c r="I36" i="31"/>
  <c r="H37" i="31"/>
  <c r="I37" i="31"/>
  <c r="H38" i="31"/>
  <c r="I38" i="31"/>
  <c r="H39" i="31"/>
  <c r="I39" i="31"/>
  <c r="H40" i="31"/>
  <c r="I40" i="31"/>
  <c r="E34" i="31"/>
  <c r="F34" i="31"/>
  <c r="E35" i="31"/>
  <c r="F35" i="31"/>
  <c r="E36" i="31"/>
  <c r="F36" i="31"/>
  <c r="E37" i="31"/>
  <c r="F37" i="31"/>
  <c r="E38" i="31"/>
  <c r="F38" i="31"/>
  <c r="E39" i="31"/>
  <c r="F39" i="31"/>
  <c r="E40" i="31"/>
  <c r="F40" i="31"/>
  <c r="H40" i="27"/>
  <c r="I40" i="27"/>
  <c r="E40" i="27"/>
  <c r="F40" i="27"/>
  <c r="H40" i="28"/>
  <c r="I40" i="28"/>
  <c r="H41" i="28"/>
  <c r="I41" i="28"/>
  <c r="E40" i="28"/>
  <c r="F40" i="28"/>
  <c r="E41" i="28"/>
  <c r="F41" i="28"/>
  <c r="E41" i="27"/>
  <c r="E42" i="27"/>
  <c r="C37" i="29"/>
  <c r="H6" i="26"/>
  <c r="I6" i="26"/>
  <c r="H7" i="26"/>
  <c r="I7" i="26"/>
  <c r="H8" i="26"/>
  <c r="I8" i="26"/>
  <c r="H9" i="26"/>
  <c r="I9" i="26"/>
  <c r="H10" i="26"/>
  <c r="I10" i="26"/>
  <c r="H11" i="26"/>
  <c r="I11" i="26"/>
  <c r="H12" i="26"/>
  <c r="I12" i="26"/>
  <c r="H13" i="26"/>
  <c r="I13" i="26"/>
  <c r="H14" i="26"/>
  <c r="I14" i="26"/>
  <c r="H15" i="26"/>
  <c r="I15" i="26"/>
  <c r="H16" i="26"/>
  <c r="I16" i="26"/>
  <c r="H17" i="26"/>
  <c r="I17" i="26"/>
  <c r="H18" i="26"/>
  <c r="I18" i="26"/>
  <c r="H19" i="26"/>
  <c r="I19" i="26"/>
  <c r="H20" i="26"/>
  <c r="I20" i="26"/>
  <c r="H21" i="26"/>
  <c r="I21" i="26"/>
  <c r="H22" i="26"/>
  <c r="I22" i="26"/>
  <c r="H23" i="26"/>
  <c r="I23" i="26"/>
  <c r="H24" i="26"/>
  <c r="I24" i="26"/>
  <c r="H25" i="26"/>
  <c r="I25" i="26"/>
  <c r="H26" i="26"/>
  <c r="I26" i="26"/>
  <c r="H27" i="26"/>
  <c r="I27" i="26"/>
  <c r="H28" i="26"/>
  <c r="I28" i="26"/>
  <c r="H29" i="26"/>
  <c r="I29" i="26"/>
  <c r="H30" i="26"/>
  <c r="I30" i="26"/>
  <c r="H31" i="26"/>
  <c r="I31" i="26"/>
  <c r="H32" i="26"/>
  <c r="I32" i="26"/>
  <c r="H33" i="26"/>
  <c r="I33" i="26"/>
  <c r="H34" i="26"/>
  <c r="I34" i="26"/>
  <c r="H35" i="26"/>
  <c r="I35" i="26"/>
  <c r="H36" i="26"/>
  <c r="I36" i="26"/>
  <c r="H37" i="26"/>
  <c r="I37" i="26"/>
  <c r="H38" i="26"/>
  <c r="I38" i="26"/>
  <c r="H39" i="26"/>
  <c r="I39" i="26"/>
  <c r="E6" i="26"/>
  <c r="F6" i="26"/>
  <c r="E7" i="26"/>
  <c r="F7" i="26"/>
  <c r="E8" i="26"/>
  <c r="F8" i="26"/>
  <c r="E9" i="26"/>
  <c r="F9" i="26"/>
  <c r="E10" i="26"/>
  <c r="F10" i="26"/>
  <c r="E11" i="26"/>
  <c r="F11" i="26"/>
  <c r="E12" i="26"/>
  <c r="F12" i="26"/>
  <c r="E13" i="26"/>
  <c r="F13" i="26"/>
  <c r="E14" i="26"/>
  <c r="F14" i="26"/>
  <c r="E15" i="26"/>
  <c r="F15" i="26"/>
  <c r="E16" i="26"/>
  <c r="F16" i="26"/>
  <c r="E17" i="26"/>
  <c r="F17" i="26"/>
  <c r="E18" i="26"/>
  <c r="F18" i="26"/>
  <c r="E19" i="26"/>
  <c r="F19" i="26"/>
  <c r="E20" i="26"/>
  <c r="F20" i="26"/>
  <c r="E21" i="26"/>
  <c r="F21" i="26"/>
  <c r="E22" i="26"/>
  <c r="F22" i="26"/>
  <c r="E23" i="26"/>
  <c r="F23" i="26"/>
  <c r="E24" i="26"/>
  <c r="F24" i="26"/>
  <c r="E25" i="26"/>
  <c r="F25" i="26"/>
  <c r="E26" i="26"/>
  <c r="F26" i="26"/>
  <c r="E27" i="26"/>
  <c r="F27" i="26"/>
  <c r="E28" i="26"/>
  <c r="F28" i="26"/>
  <c r="E29" i="26"/>
  <c r="F29" i="26"/>
  <c r="E30" i="26"/>
  <c r="F30" i="26"/>
  <c r="E31" i="26"/>
  <c r="F31" i="26"/>
  <c r="E32" i="26"/>
  <c r="F32" i="26"/>
  <c r="E33" i="26"/>
  <c r="F33" i="26"/>
  <c r="E34" i="26"/>
  <c r="F34" i="26"/>
  <c r="E35" i="26"/>
  <c r="F35" i="26"/>
  <c r="E36" i="26"/>
  <c r="F36" i="26"/>
  <c r="E37" i="26"/>
  <c r="F37" i="26"/>
  <c r="E38" i="26"/>
  <c r="F38" i="26"/>
  <c r="E39" i="26"/>
  <c r="F39" i="26"/>
  <c r="H6" i="27"/>
  <c r="I6" i="27"/>
  <c r="H7" i="27"/>
  <c r="I7" i="27"/>
  <c r="H8" i="27"/>
  <c r="I8" i="27"/>
  <c r="H9" i="27"/>
  <c r="I9" i="27"/>
  <c r="H10" i="27"/>
  <c r="I10" i="27"/>
  <c r="H11" i="27"/>
  <c r="I11" i="27"/>
  <c r="H12" i="27"/>
  <c r="I12" i="27"/>
  <c r="H13" i="27"/>
  <c r="I13" i="27"/>
  <c r="H14" i="27"/>
  <c r="I14" i="27"/>
  <c r="H15" i="27"/>
  <c r="I15" i="27"/>
  <c r="H16" i="27"/>
  <c r="I16" i="27"/>
  <c r="H17" i="27"/>
  <c r="I17" i="27"/>
  <c r="H18" i="27"/>
  <c r="I18" i="27"/>
  <c r="H19" i="27"/>
  <c r="I19" i="27"/>
  <c r="H20" i="27"/>
  <c r="I20" i="27"/>
  <c r="H21" i="27"/>
  <c r="I21" i="27"/>
  <c r="H22" i="27"/>
  <c r="I22" i="27"/>
  <c r="H23" i="27"/>
  <c r="I23" i="27"/>
  <c r="H24" i="27"/>
  <c r="I24" i="27"/>
  <c r="H25" i="27"/>
  <c r="I25" i="27"/>
  <c r="H26" i="27"/>
  <c r="I26" i="27"/>
  <c r="H27" i="27"/>
  <c r="I27" i="27"/>
  <c r="H28" i="27"/>
  <c r="I28" i="27"/>
  <c r="H29" i="27"/>
  <c r="I29" i="27"/>
  <c r="H30" i="27"/>
  <c r="I30" i="27"/>
  <c r="H31" i="27"/>
  <c r="I31" i="27"/>
  <c r="H32" i="27"/>
  <c r="I32" i="27"/>
  <c r="H33" i="27"/>
  <c r="I33" i="27"/>
  <c r="H34" i="27"/>
  <c r="I34" i="27"/>
  <c r="H35" i="27"/>
  <c r="I35" i="27"/>
  <c r="H36" i="27"/>
  <c r="I36" i="27"/>
  <c r="H37" i="27"/>
  <c r="I37" i="27"/>
  <c r="H38" i="27"/>
  <c r="I38" i="27"/>
  <c r="H39" i="27"/>
  <c r="I39" i="27"/>
  <c r="E6" i="27"/>
  <c r="F6" i="27"/>
  <c r="E7" i="27"/>
  <c r="F7" i="27"/>
  <c r="E8" i="27"/>
  <c r="F8" i="27"/>
  <c r="E9" i="27"/>
  <c r="F9" i="27"/>
  <c r="E10" i="27"/>
  <c r="F10" i="27"/>
  <c r="E11" i="27"/>
  <c r="F11" i="27"/>
  <c r="E12" i="27"/>
  <c r="F12" i="27"/>
  <c r="E13" i="27"/>
  <c r="F13" i="27"/>
  <c r="E14" i="27"/>
  <c r="F14" i="27"/>
  <c r="E15" i="27"/>
  <c r="F15" i="27"/>
  <c r="E16" i="27"/>
  <c r="F16" i="27"/>
  <c r="E17" i="27"/>
  <c r="F17" i="27"/>
  <c r="E18" i="27"/>
  <c r="F18" i="27"/>
  <c r="E19" i="27"/>
  <c r="F19" i="27"/>
  <c r="E20" i="27"/>
  <c r="F20" i="27"/>
  <c r="E21" i="27"/>
  <c r="F21" i="27"/>
  <c r="E22" i="27"/>
  <c r="F22" i="27"/>
  <c r="E23" i="27"/>
  <c r="F23" i="27"/>
  <c r="E24" i="27"/>
  <c r="F24" i="27"/>
  <c r="E25" i="27"/>
  <c r="F25" i="27"/>
  <c r="E26" i="27"/>
  <c r="F26" i="27"/>
  <c r="E27" i="27"/>
  <c r="F27" i="27"/>
  <c r="E28" i="27"/>
  <c r="F28" i="27"/>
  <c r="E29" i="27"/>
  <c r="F29" i="27"/>
  <c r="E30" i="27"/>
  <c r="F30" i="27"/>
  <c r="E31" i="27"/>
  <c r="F31" i="27"/>
  <c r="E32" i="27"/>
  <c r="F32" i="27"/>
  <c r="E33" i="27"/>
  <c r="F33" i="27"/>
  <c r="E34" i="27"/>
  <c r="F34" i="27"/>
  <c r="E35" i="27"/>
  <c r="F35" i="27"/>
  <c r="E36" i="27"/>
  <c r="F36" i="27"/>
  <c r="E37" i="27"/>
  <c r="F37" i="27"/>
  <c r="E38" i="27"/>
  <c r="F38" i="27"/>
  <c r="E39" i="27"/>
  <c r="F39" i="27"/>
  <c r="E27" i="28"/>
  <c r="F27" i="28" s="1"/>
  <c r="E33" i="28"/>
  <c r="F33" i="28" s="1"/>
  <c r="E34" i="28"/>
  <c r="F34" i="28" s="1"/>
  <c r="E35" i="28"/>
  <c r="F35" i="28" s="1"/>
  <c r="E36" i="28"/>
  <c r="F36" i="28" s="1"/>
  <c r="E37" i="28"/>
  <c r="F37" i="28" s="1"/>
  <c r="E38" i="28"/>
  <c r="F38" i="28" s="1"/>
  <c r="E39" i="28"/>
  <c r="F39" i="28" s="1"/>
  <c r="H27" i="28"/>
  <c r="H28" i="28"/>
  <c r="H29" i="28"/>
  <c r="H30" i="28"/>
  <c r="H31" i="28"/>
  <c r="H32" i="28"/>
  <c r="H33" i="28"/>
  <c r="I33" i="28" s="1"/>
  <c r="H34" i="28"/>
  <c r="I34" i="28" s="1"/>
  <c r="H35" i="28"/>
  <c r="I35" i="28" s="1"/>
  <c r="H36" i="28"/>
  <c r="I36" i="28" s="1"/>
  <c r="H37" i="28"/>
  <c r="I37" i="28" s="1"/>
  <c r="H38" i="28"/>
  <c r="I38" i="28" s="1"/>
  <c r="H39" i="28"/>
  <c r="I39" i="28" s="1"/>
  <c r="I34" i="18"/>
  <c r="I35" i="18"/>
  <c r="I36" i="18"/>
  <c r="I37" i="18"/>
  <c r="G38" i="18"/>
  <c r="F34" i="18"/>
  <c r="F35" i="18"/>
  <c r="F36" i="18"/>
  <c r="F37" i="18"/>
  <c r="F38" i="18"/>
  <c r="F33" i="19"/>
  <c r="F35" i="19"/>
  <c r="F36" i="19"/>
  <c r="F39" i="19"/>
  <c r="E16" i="19"/>
  <c r="E17" i="19"/>
  <c r="I35" i="19"/>
  <c r="I39" i="19"/>
  <c r="H34" i="19"/>
  <c r="I34" i="19" s="1"/>
  <c r="H35" i="19"/>
  <c r="H36" i="19"/>
  <c r="I36" i="19" s="1"/>
  <c r="H37" i="19"/>
  <c r="I37" i="19" s="1"/>
  <c r="H38" i="19"/>
  <c r="I38" i="19" s="1"/>
  <c r="H39" i="19"/>
  <c r="E33" i="19"/>
  <c r="E34" i="19"/>
  <c r="F34" i="19" s="1"/>
  <c r="E35" i="19"/>
  <c r="E36" i="19"/>
  <c r="E37" i="19"/>
  <c r="F37" i="19" s="1"/>
  <c r="E38" i="19"/>
  <c r="F38" i="19" s="1"/>
  <c r="E39" i="19"/>
  <c r="F32" i="20"/>
  <c r="F39" i="20"/>
  <c r="E33" i="20"/>
  <c r="F33" i="20" s="1"/>
  <c r="E34" i="20"/>
  <c r="F34" i="20" s="1"/>
  <c r="E35" i="20"/>
  <c r="F35" i="20" s="1"/>
  <c r="E36" i="20"/>
  <c r="F36" i="20" s="1"/>
  <c r="E37" i="20"/>
  <c r="F37" i="20" s="1"/>
  <c r="E38" i="20"/>
  <c r="F38" i="20" s="1"/>
  <c r="E39" i="20"/>
  <c r="H33" i="20"/>
  <c r="I33" i="20" s="1"/>
  <c r="H34" i="20"/>
  <c r="I34" i="20" s="1"/>
  <c r="H35" i="20"/>
  <c r="I35" i="20" s="1"/>
  <c r="H36" i="20"/>
  <c r="I36" i="20" s="1"/>
  <c r="H37" i="20"/>
  <c r="I37" i="20" s="1"/>
  <c r="H38" i="20"/>
  <c r="I38" i="20" s="1"/>
  <c r="H39" i="20"/>
  <c r="I39" i="20" s="1"/>
  <c r="H33" i="19"/>
  <c r="I33" i="19" s="1"/>
  <c r="I34" i="21"/>
  <c r="I35" i="21"/>
  <c r="H33" i="21"/>
  <c r="H34" i="21"/>
  <c r="H35" i="21"/>
  <c r="H36" i="21"/>
  <c r="I36" i="21" s="1"/>
  <c r="H37" i="21"/>
  <c r="I37" i="21" s="1"/>
  <c r="H38" i="21"/>
  <c r="I38" i="21" s="1"/>
  <c r="F31" i="21"/>
  <c r="F32" i="21"/>
  <c r="F33" i="21"/>
  <c r="F36" i="21"/>
  <c r="F37" i="21"/>
  <c r="F38" i="21"/>
  <c r="E33" i="21"/>
  <c r="E34" i="21"/>
  <c r="F34" i="21" s="1"/>
  <c r="E35" i="21"/>
  <c r="F35" i="21" s="1"/>
  <c r="E36" i="21"/>
  <c r="E37" i="21"/>
  <c r="E38" i="21"/>
  <c r="H17" i="21"/>
  <c r="E40" i="30" l="1"/>
  <c r="F40" i="30" s="1"/>
  <c r="I40" i="30"/>
  <c r="C40" i="34"/>
  <c r="H40" i="34"/>
  <c r="G40" i="34"/>
  <c r="E38" i="30"/>
  <c r="F38" i="30" s="1"/>
  <c r="H38" i="30"/>
  <c r="I38" i="30" s="1"/>
  <c r="I39" i="33"/>
  <c r="H39" i="30"/>
  <c r="I40" i="33"/>
  <c r="C39" i="34"/>
  <c r="E39" i="34" s="1"/>
  <c r="F39" i="34" s="1"/>
  <c r="E39" i="30"/>
  <c r="F39" i="30" s="1"/>
  <c r="E40" i="34"/>
  <c r="F40" i="34" s="1"/>
  <c r="I40" i="34"/>
  <c r="H35" i="30"/>
  <c r="H36" i="30"/>
  <c r="I36" i="30" s="1"/>
  <c r="H37" i="30"/>
  <c r="G35" i="30"/>
  <c r="G36" i="30"/>
  <c r="G37" i="30"/>
  <c r="D35" i="30"/>
  <c r="D36" i="30"/>
  <c r="D37" i="30"/>
  <c r="C35" i="30"/>
  <c r="C36" i="30"/>
  <c r="C37" i="30"/>
  <c r="H35" i="18"/>
  <c r="H36" i="18"/>
  <c r="H37" i="18"/>
  <c r="G35" i="18"/>
  <c r="G36" i="18"/>
  <c r="G37" i="18"/>
  <c r="D35" i="18"/>
  <c r="D36" i="18"/>
  <c r="D37" i="18"/>
  <c r="D38" i="18"/>
  <c r="C35" i="18"/>
  <c r="C36" i="18"/>
  <c r="C37" i="18"/>
  <c r="C38" i="18"/>
  <c r="H35" i="29"/>
  <c r="H36" i="29"/>
  <c r="H37" i="29"/>
  <c r="H38" i="29"/>
  <c r="G35" i="29"/>
  <c r="G36" i="29"/>
  <c r="G37" i="29"/>
  <c r="G38" i="29"/>
  <c r="D35" i="29"/>
  <c r="D36" i="29"/>
  <c r="D37" i="29"/>
  <c r="D38" i="29"/>
  <c r="C35" i="29"/>
  <c r="E35" i="29" s="1"/>
  <c r="F35" i="29" s="1"/>
  <c r="C36" i="29"/>
  <c r="C38" i="29"/>
  <c r="I34" i="1"/>
  <c r="I35" i="1"/>
  <c r="I37" i="1"/>
  <c r="H33" i="1"/>
  <c r="H34" i="1"/>
  <c r="H35" i="1"/>
  <c r="H36" i="1"/>
  <c r="H37" i="1"/>
  <c r="G33" i="1"/>
  <c r="G34" i="1"/>
  <c r="G35" i="1"/>
  <c r="G36" i="1"/>
  <c r="I36" i="1" s="1"/>
  <c r="G37" i="1"/>
  <c r="F32" i="1"/>
  <c r="F33" i="1"/>
  <c r="F34" i="1"/>
  <c r="F35" i="1"/>
  <c r="F36" i="1"/>
  <c r="F37" i="1"/>
  <c r="E35" i="1"/>
  <c r="E36" i="1"/>
  <c r="E37" i="1"/>
  <c r="D34" i="1"/>
  <c r="D35" i="1"/>
  <c r="D36" i="1"/>
  <c r="D37" i="1"/>
  <c r="C35" i="1"/>
  <c r="C36" i="1"/>
  <c r="C37" i="1"/>
  <c r="I39" i="4"/>
  <c r="H34" i="4"/>
  <c r="I34" i="4" s="1"/>
  <c r="H35" i="4"/>
  <c r="I35" i="4" s="1"/>
  <c r="H36" i="4"/>
  <c r="I36" i="4" s="1"/>
  <c r="H37" i="4"/>
  <c r="I37" i="4" s="1"/>
  <c r="H38" i="4"/>
  <c r="I38" i="4" s="1"/>
  <c r="E34" i="4"/>
  <c r="F34" i="4" s="1"/>
  <c r="E35" i="4"/>
  <c r="F35" i="4" s="1"/>
  <c r="E36" i="4"/>
  <c r="F36" i="4" s="1"/>
  <c r="E37" i="4"/>
  <c r="F37" i="4" s="1"/>
  <c r="E38" i="4"/>
  <c r="F38" i="4" s="1"/>
  <c r="I32" i="3"/>
  <c r="I33" i="3"/>
  <c r="I34" i="3"/>
  <c r="I35" i="3"/>
  <c r="I36" i="3"/>
  <c r="I37" i="3"/>
  <c r="I38" i="3"/>
  <c r="H34" i="3"/>
  <c r="H35" i="3"/>
  <c r="H36" i="3"/>
  <c r="H37" i="3"/>
  <c r="H38" i="3"/>
  <c r="F34" i="3"/>
  <c r="F35" i="3"/>
  <c r="F36" i="3"/>
  <c r="F37" i="3"/>
  <c r="F38" i="3"/>
  <c r="E34" i="3"/>
  <c r="E35" i="3"/>
  <c r="E36" i="3"/>
  <c r="E37" i="3"/>
  <c r="E38" i="3"/>
  <c r="I34" i="72"/>
  <c r="I36" i="72"/>
  <c r="I37" i="72"/>
  <c r="I38" i="72"/>
  <c r="F34" i="72"/>
  <c r="F36" i="72"/>
  <c r="F37" i="72"/>
  <c r="F38" i="72"/>
  <c r="E34" i="72"/>
  <c r="E35" i="72"/>
  <c r="F35" i="72" s="1"/>
  <c r="E36" i="72"/>
  <c r="E37" i="72"/>
  <c r="E38" i="72"/>
  <c r="H35" i="72"/>
  <c r="I35" i="72" s="1"/>
  <c r="I33" i="72"/>
  <c r="H33" i="72"/>
  <c r="H34" i="72"/>
  <c r="H31" i="72"/>
  <c r="F32" i="72"/>
  <c r="F33" i="72"/>
  <c r="H34" i="29"/>
  <c r="G34" i="29"/>
  <c r="D34" i="29"/>
  <c r="C34" i="29"/>
  <c r="E34" i="29" s="1"/>
  <c r="F34" i="29" s="1"/>
  <c r="H34" i="18"/>
  <c r="G33" i="18"/>
  <c r="G34" i="18"/>
  <c r="D34" i="18"/>
  <c r="C34" i="18"/>
  <c r="C34" i="1"/>
  <c r="H34" i="30"/>
  <c r="G34" i="30"/>
  <c r="D34" i="30"/>
  <c r="C34" i="30"/>
  <c r="I23" i="3"/>
  <c r="I26" i="3"/>
  <c r="I22" i="21"/>
  <c r="I19" i="19"/>
  <c r="I21" i="19"/>
  <c r="I27" i="28"/>
  <c r="E19" i="72"/>
  <c r="F19" i="72" s="1"/>
  <c r="H19" i="72"/>
  <c r="I19" i="72" s="1"/>
  <c r="E20" i="72"/>
  <c r="F20" i="72" s="1"/>
  <c r="H20" i="72"/>
  <c r="I20" i="72" s="1"/>
  <c r="E21" i="72"/>
  <c r="F21" i="72" s="1"/>
  <c r="H21" i="72"/>
  <c r="I21" i="72" s="1"/>
  <c r="E22" i="72"/>
  <c r="F22" i="72" s="1"/>
  <c r="H22" i="72"/>
  <c r="I22" i="72" s="1"/>
  <c r="E23" i="72"/>
  <c r="F23" i="72" s="1"/>
  <c r="H23" i="72"/>
  <c r="I23" i="72" s="1"/>
  <c r="E24" i="72"/>
  <c r="F24" i="72"/>
  <c r="H24" i="72"/>
  <c r="I24" i="72" s="1"/>
  <c r="E25" i="72"/>
  <c r="F25" i="72" s="1"/>
  <c r="H25" i="72"/>
  <c r="I25" i="72" s="1"/>
  <c r="E26" i="72"/>
  <c r="F26" i="72"/>
  <c r="H26" i="72"/>
  <c r="I26" i="72" s="1"/>
  <c r="E27" i="72"/>
  <c r="F27" i="72"/>
  <c r="H27" i="72"/>
  <c r="I27" i="72" s="1"/>
  <c r="E28" i="72"/>
  <c r="F28" i="72" s="1"/>
  <c r="H28" i="72"/>
  <c r="I28" i="72" s="1"/>
  <c r="E29" i="72"/>
  <c r="F29" i="72"/>
  <c r="H29" i="72"/>
  <c r="I29" i="72" s="1"/>
  <c r="E30" i="72"/>
  <c r="F30" i="72"/>
  <c r="H30" i="72"/>
  <c r="I30" i="72" s="1"/>
  <c r="E31" i="72"/>
  <c r="F31" i="72" s="1"/>
  <c r="I31" i="72"/>
  <c r="E32" i="72"/>
  <c r="H32" i="72"/>
  <c r="I32" i="72" s="1"/>
  <c r="E33" i="72"/>
  <c r="E19" i="33"/>
  <c r="F19" i="33" s="1"/>
  <c r="H19" i="33"/>
  <c r="I19" i="33" s="1"/>
  <c r="E20" i="33"/>
  <c r="F20" i="33" s="1"/>
  <c r="H20" i="33"/>
  <c r="I20" i="33" s="1"/>
  <c r="E21" i="33"/>
  <c r="F21" i="33" s="1"/>
  <c r="H21" i="33"/>
  <c r="I21" i="33" s="1"/>
  <c r="E22" i="33"/>
  <c r="F22" i="33" s="1"/>
  <c r="H22" i="33"/>
  <c r="I22" i="33" s="1"/>
  <c r="E23" i="33"/>
  <c r="F23" i="33" s="1"/>
  <c r="H23" i="33"/>
  <c r="I23" i="33" s="1"/>
  <c r="E24" i="33"/>
  <c r="F24" i="33" s="1"/>
  <c r="H24" i="33"/>
  <c r="I24" i="33" s="1"/>
  <c r="E25" i="33"/>
  <c r="F25" i="33" s="1"/>
  <c r="H25" i="33"/>
  <c r="I25" i="33" s="1"/>
  <c r="E26" i="33"/>
  <c r="F26" i="33" s="1"/>
  <c r="H26" i="33"/>
  <c r="I26" i="33" s="1"/>
  <c r="E27" i="33"/>
  <c r="F27" i="33" s="1"/>
  <c r="H27" i="33"/>
  <c r="I27" i="33" s="1"/>
  <c r="E28" i="33"/>
  <c r="F28" i="33" s="1"/>
  <c r="H28" i="33"/>
  <c r="I28" i="33" s="1"/>
  <c r="E29" i="33"/>
  <c r="F29" i="33" s="1"/>
  <c r="H29" i="33"/>
  <c r="I29" i="33" s="1"/>
  <c r="E30" i="33"/>
  <c r="F30" i="33" s="1"/>
  <c r="H30" i="33"/>
  <c r="I30" i="33" s="1"/>
  <c r="E31" i="33"/>
  <c r="F31" i="33" s="1"/>
  <c r="H31" i="33"/>
  <c r="I31" i="33" s="1"/>
  <c r="E32" i="33"/>
  <c r="F32" i="33" s="1"/>
  <c r="H32" i="33"/>
  <c r="I32" i="33" s="1"/>
  <c r="E33" i="33"/>
  <c r="F33" i="33" s="1"/>
  <c r="I33" i="33"/>
  <c r="E19" i="32"/>
  <c r="F19" i="32" s="1"/>
  <c r="H19" i="32"/>
  <c r="I19" i="32" s="1"/>
  <c r="E20" i="32"/>
  <c r="F20" i="32" s="1"/>
  <c r="H20" i="32"/>
  <c r="I20" i="32" s="1"/>
  <c r="E21" i="32"/>
  <c r="F21" i="32" s="1"/>
  <c r="H21" i="32"/>
  <c r="I21" i="32" s="1"/>
  <c r="E22" i="32"/>
  <c r="F22" i="32" s="1"/>
  <c r="H22" i="32"/>
  <c r="I22" i="32" s="1"/>
  <c r="E23" i="32"/>
  <c r="F23" i="32" s="1"/>
  <c r="H23" i="32"/>
  <c r="I23" i="32" s="1"/>
  <c r="E24" i="32"/>
  <c r="F24" i="32" s="1"/>
  <c r="H24" i="32"/>
  <c r="I24" i="32" s="1"/>
  <c r="E25" i="32"/>
  <c r="F25" i="32" s="1"/>
  <c r="H25" i="32"/>
  <c r="I25" i="32" s="1"/>
  <c r="E26" i="32"/>
  <c r="F26" i="32" s="1"/>
  <c r="H26" i="32"/>
  <c r="I26" i="32" s="1"/>
  <c r="E27" i="32"/>
  <c r="F27" i="32"/>
  <c r="H27" i="32"/>
  <c r="I27" i="32" s="1"/>
  <c r="E28" i="32"/>
  <c r="F28" i="32" s="1"/>
  <c r="H28" i="32"/>
  <c r="I28" i="32" s="1"/>
  <c r="E29" i="32"/>
  <c r="F29" i="32"/>
  <c r="H29" i="32"/>
  <c r="I29" i="32" s="1"/>
  <c r="E30" i="32"/>
  <c r="F30" i="32"/>
  <c r="H30" i="32"/>
  <c r="I30" i="32" s="1"/>
  <c r="E31" i="32"/>
  <c r="F31" i="32" s="1"/>
  <c r="H31" i="32"/>
  <c r="I31" i="32" s="1"/>
  <c r="E32" i="32"/>
  <c r="F32" i="32" s="1"/>
  <c r="H32" i="32"/>
  <c r="I32" i="32" s="1"/>
  <c r="E19" i="31"/>
  <c r="F19" i="31" s="1"/>
  <c r="H19" i="31"/>
  <c r="I19" i="31" s="1"/>
  <c r="E20" i="31"/>
  <c r="F20" i="31" s="1"/>
  <c r="H20" i="31"/>
  <c r="I20" i="31" s="1"/>
  <c r="E21" i="31"/>
  <c r="F21" i="31" s="1"/>
  <c r="H21" i="31"/>
  <c r="I21" i="31" s="1"/>
  <c r="E22" i="31"/>
  <c r="F22" i="31" s="1"/>
  <c r="H22" i="31"/>
  <c r="I22" i="31" s="1"/>
  <c r="E23" i="31"/>
  <c r="F23" i="31" s="1"/>
  <c r="H23" i="31"/>
  <c r="I23" i="31" s="1"/>
  <c r="E24" i="31"/>
  <c r="F24" i="31" s="1"/>
  <c r="H24" i="31"/>
  <c r="I24" i="31" s="1"/>
  <c r="E25" i="31"/>
  <c r="F25" i="31" s="1"/>
  <c r="H25" i="31"/>
  <c r="I25" i="31" s="1"/>
  <c r="E26" i="31"/>
  <c r="F26" i="31" s="1"/>
  <c r="H26" i="31"/>
  <c r="I26" i="31" s="1"/>
  <c r="E27" i="31"/>
  <c r="F27" i="31"/>
  <c r="H27" i="31"/>
  <c r="I27" i="31" s="1"/>
  <c r="E28" i="31"/>
  <c r="F28" i="31" s="1"/>
  <c r="H28" i="31"/>
  <c r="I28" i="31" s="1"/>
  <c r="E29" i="31"/>
  <c r="F29" i="31"/>
  <c r="H29" i="31"/>
  <c r="I29" i="31" s="1"/>
  <c r="E30" i="31"/>
  <c r="F30" i="31"/>
  <c r="E31" i="31"/>
  <c r="F31" i="31" s="1"/>
  <c r="E32" i="31"/>
  <c r="F32" i="31" s="1"/>
  <c r="E33" i="31"/>
  <c r="F33" i="31"/>
  <c r="H33" i="30"/>
  <c r="E19" i="28"/>
  <c r="F19" i="28" s="1"/>
  <c r="H19" i="28"/>
  <c r="I19" i="28" s="1"/>
  <c r="E20" i="28"/>
  <c r="F20" i="28" s="1"/>
  <c r="H20" i="28"/>
  <c r="I20" i="28" s="1"/>
  <c r="E21" i="28"/>
  <c r="F21" i="28"/>
  <c r="H21" i="28"/>
  <c r="I21" i="28" s="1"/>
  <c r="E22" i="28"/>
  <c r="F22" i="28" s="1"/>
  <c r="H22" i="28"/>
  <c r="I22" i="28" s="1"/>
  <c r="E23" i="28"/>
  <c r="F23" i="28" s="1"/>
  <c r="H23" i="28"/>
  <c r="I23" i="28" s="1"/>
  <c r="E24" i="28"/>
  <c r="F24" i="28" s="1"/>
  <c r="H24" i="28"/>
  <c r="I24" i="28" s="1"/>
  <c r="E25" i="28"/>
  <c r="F25" i="28" s="1"/>
  <c r="H25" i="28"/>
  <c r="I25" i="28" s="1"/>
  <c r="E26" i="28"/>
  <c r="F26" i="28" s="1"/>
  <c r="H26" i="28"/>
  <c r="I26" i="28" s="1"/>
  <c r="E28" i="28"/>
  <c r="F28" i="28" s="1"/>
  <c r="I28" i="28"/>
  <c r="E29" i="28"/>
  <c r="F29" i="28"/>
  <c r="I29" i="28"/>
  <c r="E30" i="28"/>
  <c r="F30" i="28"/>
  <c r="I30" i="28"/>
  <c r="E31" i="28"/>
  <c r="F31" i="28" s="1"/>
  <c r="I31" i="28"/>
  <c r="E32" i="28"/>
  <c r="F32" i="28" s="1"/>
  <c r="I32" i="28"/>
  <c r="E19" i="19"/>
  <c r="F19" i="19" s="1"/>
  <c r="H19" i="19"/>
  <c r="E20" i="19"/>
  <c r="F20" i="19" s="1"/>
  <c r="H20" i="19"/>
  <c r="I20" i="19" s="1"/>
  <c r="E21" i="19"/>
  <c r="F21" i="19"/>
  <c r="H21" i="19"/>
  <c r="E22" i="19"/>
  <c r="F22" i="19" s="1"/>
  <c r="H22" i="19"/>
  <c r="I22" i="19" s="1"/>
  <c r="E23" i="19"/>
  <c r="F23" i="19" s="1"/>
  <c r="H23" i="19"/>
  <c r="I23" i="19" s="1"/>
  <c r="E24" i="19"/>
  <c r="F24" i="19" s="1"/>
  <c r="H24" i="19"/>
  <c r="I24" i="19" s="1"/>
  <c r="E25" i="19"/>
  <c r="F25" i="19" s="1"/>
  <c r="H25" i="19"/>
  <c r="I25" i="19" s="1"/>
  <c r="E26" i="19"/>
  <c r="F26" i="19" s="1"/>
  <c r="H26" i="19"/>
  <c r="I26" i="19" s="1"/>
  <c r="E27" i="19"/>
  <c r="F27" i="19" s="1"/>
  <c r="H27" i="19"/>
  <c r="I27" i="19" s="1"/>
  <c r="E28" i="19"/>
  <c r="F28" i="19"/>
  <c r="H28" i="19"/>
  <c r="I28" i="19" s="1"/>
  <c r="E29" i="19"/>
  <c r="F29" i="19" s="1"/>
  <c r="H29" i="19"/>
  <c r="I29" i="19" s="1"/>
  <c r="E30" i="19"/>
  <c r="F30" i="19"/>
  <c r="H30" i="19"/>
  <c r="I30" i="19" s="1"/>
  <c r="E31" i="19"/>
  <c r="F31" i="19" s="1"/>
  <c r="H31" i="19"/>
  <c r="I31" i="19" s="1"/>
  <c r="E32" i="19"/>
  <c r="F32" i="19" s="1"/>
  <c r="H32" i="19"/>
  <c r="I32" i="19" s="1"/>
  <c r="E19" i="20"/>
  <c r="F19" i="20"/>
  <c r="H19" i="20"/>
  <c r="I19" i="20" s="1"/>
  <c r="E20" i="20"/>
  <c r="F20" i="20" s="1"/>
  <c r="H20" i="20"/>
  <c r="I20" i="20" s="1"/>
  <c r="E21" i="20"/>
  <c r="F21" i="20"/>
  <c r="H21" i="20"/>
  <c r="I21" i="20" s="1"/>
  <c r="E22" i="20"/>
  <c r="F22" i="20" s="1"/>
  <c r="H22" i="20"/>
  <c r="I22" i="20" s="1"/>
  <c r="E23" i="20"/>
  <c r="F23" i="20" s="1"/>
  <c r="H23" i="20"/>
  <c r="I23" i="20" s="1"/>
  <c r="E24" i="20"/>
  <c r="F24" i="20"/>
  <c r="H24" i="20"/>
  <c r="I24" i="20" s="1"/>
  <c r="E25" i="20"/>
  <c r="F25" i="20" s="1"/>
  <c r="H25" i="20"/>
  <c r="I25" i="20" s="1"/>
  <c r="E26" i="20"/>
  <c r="F26" i="20" s="1"/>
  <c r="H26" i="20"/>
  <c r="I26" i="20" s="1"/>
  <c r="E27" i="20"/>
  <c r="F27" i="20" s="1"/>
  <c r="H27" i="20"/>
  <c r="I27" i="20" s="1"/>
  <c r="E28" i="20"/>
  <c r="F28" i="20"/>
  <c r="H28" i="20"/>
  <c r="I28" i="20" s="1"/>
  <c r="E29" i="20"/>
  <c r="F29" i="20" s="1"/>
  <c r="H29" i="20"/>
  <c r="I29" i="20" s="1"/>
  <c r="E30" i="20"/>
  <c r="F30" i="20"/>
  <c r="H30" i="20"/>
  <c r="I30" i="20" s="1"/>
  <c r="E31" i="20"/>
  <c r="F31" i="20" s="1"/>
  <c r="H31" i="20"/>
  <c r="I31" i="20" s="1"/>
  <c r="E32" i="20"/>
  <c r="H32" i="20"/>
  <c r="I32" i="20" s="1"/>
  <c r="E19" i="21"/>
  <c r="F19" i="21" s="1"/>
  <c r="H19" i="21"/>
  <c r="I19" i="21" s="1"/>
  <c r="E20" i="21"/>
  <c r="F20" i="21" s="1"/>
  <c r="H20" i="21"/>
  <c r="I20" i="21" s="1"/>
  <c r="E21" i="21"/>
  <c r="F21" i="21" s="1"/>
  <c r="H21" i="21"/>
  <c r="I21" i="21" s="1"/>
  <c r="E22" i="21"/>
  <c r="F22" i="21" s="1"/>
  <c r="H22" i="21"/>
  <c r="E23" i="21"/>
  <c r="F23" i="21" s="1"/>
  <c r="H23" i="21"/>
  <c r="I23" i="21" s="1"/>
  <c r="E24" i="21"/>
  <c r="F24" i="21" s="1"/>
  <c r="H24" i="21"/>
  <c r="I24" i="21" s="1"/>
  <c r="E25" i="21"/>
  <c r="F25" i="21" s="1"/>
  <c r="H25" i="21"/>
  <c r="I25" i="21" s="1"/>
  <c r="E26" i="21"/>
  <c r="F26" i="21" s="1"/>
  <c r="H26" i="21"/>
  <c r="I26" i="21" s="1"/>
  <c r="E27" i="21"/>
  <c r="F27" i="21" s="1"/>
  <c r="H27" i="21"/>
  <c r="I27" i="21" s="1"/>
  <c r="E28" i="21"/>
  <c r="F28" i="21" s="1"/>
  <c r="H28" i="21"/>
  <c r="I28" i="21" s="1"/>
  <c r="E29" i="21"/>
  <c r="F29" i="21" s="1"/>
  <c r="H29" i="21"/>
  <c r="I29" i="21" s="1"/>
  <c r="E30" i="21"/>
  <c r="F30" i="21" s="1"/>
  <c r="H30" i="21"/>
  <c r="I30" i="21" s="1"/>
  <c r="E31" i="21"/>
  <c r="H31" i="21"/>
  <c r="I31" i="21" s="1"/>
  <c r="E32" i="21"/>
  <c r="H32" i="21"/>
  <c r="I32" i="21" s="1"/>
  <c r="I33" i="21"/>
  <c r="E19" i="4"/>
  <c r="F19" i="4" s="1"/>
  <c r="H19" i="4"/>
  <c r="I19" i="4" s="1"/>
  <c r="E20" i="4"/>
  <c r="F20" i="4" s="1"/>
  <c r="H20" i="4"/>
  <c r="I20" i="4" s="1"/>
  <c r="E21" i="4"/>
  <c r="F21" i="4"/>
  <c r="H21" i="4"/>
  <c r="I21" i="4" s="1"/>
  <c r="E22" i="4"/>
  <c r="F22" i="4"/>
  <c r="H22" i="4"/>
  <c r="I22" i="4" s="1"/>
  <c r="E23" i="4"/>
  <c r="F23" i="4" s="1"/>
  <c r="H23" i="4"/>
  <c r="I23" i="4" s="1"/>
  <c r="E24" i="4"/>
  <c r="F24" i="4"/>
  <c r="H24" i="4"/>
  <c r="I24" i="4" s="1"/>
  <c r="E25" i="4"/>
  <c r="F25" i="4" s="1"/>
  <c r="H25" i="4"/>
  <c r="I25" i="4" s="1"/>
  <c r="E26" i="4"/>
  <c r="F26" i="4" s="1"/>
  <c r="H26" i="4"/>
  <c r="I26" i="4" s="1"/>
  <c r="E27" i="4"/>
  <c r="F27" i="4"/>
  <c r="H27" i="4"/>
  <c r="I27" i="4" s="1"/>
  <c r="E28" i="4"/>
  <c r="F28" i="4"/>
  <c r="H28" i="4"/>
  <c r="I28" i="4" s="1"/>
  <c r="E29" i="4"/>
  <c r="F29" i="4" s="1"/>
  <c r="H29" i="4"/>
  <c r="I29" i="4" s="1"/>
  <c r="E30" i="4"/>
  <c r="F30" i="4"/>
  <c r="H30" i="4"/>
  <c r="I30" i="4" s="1"/>
  <c r="E31" i="4"/>
  <c r="F31" i="4" s="1"/>
  <c r="H31" i="4"/>
  <c r="I31" i="4" s="1"/>
  <c r="E32" i="4"/>
  <c r="F32" i="4" s="1"/>
  <c r="H32" i="4"/>
  <c r="I32" i="4" s="1"/>
  <c r="E33" i="4"/>
  <c r="F33" i="4"/>
  <c r="H33" i="4"/>
  <c r="I33" i="4"/>
  <c r="E19" i="3"/>
  <c r="F19" i="3" s="1"/>
  <c r="H19" i="3"/>
  <c r="I19" i="3" s="1"/>
  <c r="E20" i="3"/>
  <c r="F20" i="3" s="1"/>
  <c r="H20" i="3"/>
  <c r="I20" i="3" s="1"/>
  <c r="E21" i="3"/>
  <c r="F21" i="3" s="1"/>
  <c r="H21" i="3"/>
  <c r="I21" i="3" s="1"/>
  <c r="E22" i="3"/>
  <c r="F22" i="3"/>
  <c r="H22" i="3"/>
  <c r="I22" i="3" s="1"/>
  <c r="E23" i="3"/>
  <c r="F23" i="3" s="1"/>
  <c r="H23" i="3"/>
  <c r="E24" i="3"/>
  <c r="F24" i="3" s="1"/>
  <c r="H24" i="3"/>
  <c r="I24" i="3" s="1"/>
  <c r="E25" i="3"/>
  <c r="F25" i="3" s="1"/>
  <c r="H25" i="3"/>
  <c r="I25" i="3" s="1"/>
  <c r="E26" i="3"/>
  <c r="F26" i="3" s="1"/>
  <c r="H26" i="3"/>
  <c r="E27" i="3"/>
  <c r="F27" i="3"/>
  <c r="H27" i="3"/>
  <c r="I27" i="3" s="1"/>
  <c r="E28" i="3"/>
  <c r="F28" i="3"/>
  <c r="H28" i="3"/>
  <c r="I28" i="3" s="1"/>
  <c r="E29" i="3"/>
  <c r="F29" i="3" s="1"/>
  <c r="H29" i="3"/>
  <c r="I29" i="3" s="1"/>
  <c r="E30" i="3"/>
  <c r="F30" i="3"/>
  <c r="H30" i="3"/>
  <c r="I30" i="3" s="1"/>
  <c r="E31" i="3"/>
  <c r="F31" i="3" s="1"/>
  <c r="H31" i="3"/>
  <c r="I31" i="3" s="1"/>
  <c r="E32" i="3"/>
  <c r="F32" i="3" s="1"/>
  <c r="H32" i="3"/>
  <c r="E33" i="3"/>
  <c r="F33" i="3"/>
  <c r="H33" i="3"/>
  <c r="G6" i="30"/>
  <c r="G7" i="30"/>
  <c r="G8" i="30"/>
  <c r="G9" i="30"/>
  <c r="G10" i="30"/>
  <c r="G11" i="30"/>
  <c r="G12" i="30"/>
  <c r="G13" i="30"/>
  <c r="G14" i="30"/>
  <c r="G15" i="30"/>
  <c r="G16" i="30"/>
  <c r="G17" i="30"/>
  <c r="G18" i="30"/>
  <c r="G19" i="30"/>
  <c r="G20" i="30"/>
  <c r="G21" i="30"/>
  <c r="G22" i="30"/>
  <c r="G23" i="30"/>
  <c r="G24" i="30"/>
  <c r="G25" i="30"/>
  <c r="G26" i="30"/>
  <c r="G27" i="30"/>
  <c r="G28" i="30"/>
  <c r="G29" i="30"/>
  <c r="G30" i="30"/>
  <c r="G31" i="30"/>
  <c r="G32" i="30"/>
  <c r="G33" i="30"/>
  <c r="G5" i="30"/>
  <c r="G4" i="30"/>
  <c r="D26" i="30"/>
  <c r="D27" i="30"/>
  <c r="D28" i="30"/>
  <c r="D29" i="30"/>
  <c r="D30" i="30"/>
  <c r="D31" i="30"/>
  <c r="D32" i="30"/>
  <c r="D33" i="30"/>
  <c r="C26" i="30"/>
  <c r="C27" i="30"/>
  <c r="C28" i="30"/>
  <c r="C29" i="30"/>
  <c r="C30" i="30"/>
  <c r="C31" i="30"/>
  <c r="C32" i="30"/>
  <c r="C33" i="30"/>
  <c r="G33" i="29"/>
  <c r="D26" i="29"/>
  <c r="D27" i="29"/>
  <c r="D28" i="29"/>
  <c r="D29" i="29"/>
  <c r="D30" i="29"/>
  <c r="D31" i="29"/>
  <c r="D32" i="29"/>
  <c r="D33" i="29"/>
  <c r="C26" i="29"/>
  <c r="C27" i="29"/>
  <c r="E27" i="29" s="1"/>
  <c r="F27" i="29" s="1"/>
  <c r="C28" i="29"/>
  <c r="E28" i="29" s="1"/>
  <c r="F28" i="29" s="1"/>
  <c r="C29" i="29"/>
  <c r="E29" i="29" s="1"/>
  <c r="F29" i="29" s="1"/>
  <c r="C30" i="29"/>
  <c r="C31" i="29"/>
  <c r="C32" i="29"/>
  <c r="C33" i="29"/>
  <c r="E33" i="29" s="1"/>
  <c r="F33" i="29" s="1"/>
  <c r="G5" i="29"/>
  <c r="G6" i="29"/>
  <c r="G7" i="29"/>
  <c r="G8" i="29"/>
  <c r="G9" i="29"/>
  <c r="G10" i="29"/>
  <c r="G11" i="29"/>
  <c r="G12" i="29"/>
  <c r="G13" i="29"/>
  <c r="G14" i="29"/>
  <c r="G15" i="29"/>
  <c r="G16" i="29"/>
  <c r="G17" i="29"/>
  <c r="G18" i="29"/>
  <c r="G19" i="29"/>
  <c r="G20" i="29"/>
  <c r="G21" i="29"/>
  <c r="G22" i="29"/>
  <c r="G23" i="29"/>
  <c r="G24" i="29"/>
  <c r="G25" i="29"/>
  <c r="G26" i="29"/>
  <c r="G27" i="29"/>
  <c r="G28" i="29"/>
  <c r="G29" i="29"/>
  <c r="G30" i="29"/>
  <c r="G31" i="29"/>
  <c r="G32" i="29"/>
  <c r="G4" i="29"/>
  <c r="H27" i="29"/>
  <c r="I27" i="29" s="1"/>
  <c r="D1" i="26"/>
  <c r="I37" i="30" l="1"/>
  <c r="E36" i="30"/>
  <c r="F36" i="30" s="1"/>
  <c r="I35" i="30"/>
  <c r="I39" i="30"/>
  <c r="H39" i="34"/>
  <c r="I39" i="34" s="1"/>
  <c r="E37" i="30"/>
  <c r="F37" i="30" s="1"/>
  <c r="E34" i="30"/>
  <c r="F34" i="30" s="1"/>
  <c r="E35" i="30"/>
  <c r="F35" i="30" s="1"/>
  <c r="I34" i="30"/>
  <c r="G34" i="34"/>
  <c r="D34" i="34"/>
  <c r="I33" i="30"/>
  <c r="G35" i="34"/>
  <c r="G38" i="34"/>
  <c r="G37" i="34"/>
  <c r="I34" i="29"/>
  <c r="I38" i="29"/>
  <c r="I37" i="29"/>
  <c r="I36" i="29"/>
  <c r="I35" i="29"/>
  <c r="E32" i="29"/>
  <c r="F32" i="29" s="1"/>
  <c r="E37" i="29"/>
  <c r="F37" i="29" s="1"/>
  <c r="E36" i="29"/>
  <c r="F36" i="29" s="1"/>
  <c r="C36" i="34"/>
  <c r="E38" i="29"/>
  <c r="F38" i="29" s="1"/>
  <c r="D37" i="34"/>
  <c r="D36" i="34"/>
  <c r="D35" i="34"/>
  <c r="E31" i="29"/>
  <c r="F31" i="29" s="1"/>
  <c r="E26" i="29"/>
  <c r="F26" i="29" s="1"/>
  <c r="H36" i="34"/>
  <c r="E34" i="18"/>
  <c r="E38" i="18"/>
  <c r="E37" i="18"/>
  <c r="C37" i="34"/>
  <c r="E36" i="18"/>
  <c r="H37" i="34"/>
  <c r="E35" i="18"/>
  <c r="H35" i="34"/>
  <c r="C35" i="34"/>
  <c r="H38" i="34"/>
  <c r="G36" i="34"/>
  <c r="D38" i="34"/>
  <c r="C38" i="34"/>
  <c r="C34" i="34"/>
  <c r="E34" i="1"/>
  <c r="H34" i="34"/>
  <c r="E30" i="29"/>
  <c r="F30" i="29" s="1"/>
  <c r="E32" i="30"/>
  <c r="F32" i="30" s="1"/>
  <c r="E31" i="30"/>
  <c r="F31" i="30" s="1"/>
  <c r="E30" i="30"/>
  <c r="F30" i="30" s="1"/>
  <c r="E29" i="30"/>
  <c r="F29" i="30" s="1"/>
  <c r="E28" i="30"/>
  <c r="F28" i="30" s="1"/>
  <c r="E27" i="30"/>
  <c r="F27" i="30" s="1"/>
  <c r="E26" i="30"/>
  <c r="F26" i="30" s="1"/>
  <c r="E33" i="30"/>
  <c r="F33" i="30" s="1"/>
  <c r="G5" i="18"/>
  <c r="G6" i="18"/>
  <c r="G7" i="18"/>
  <c r="G8" i="18"/>
  <c r="G9" i="18"/>
  <c r="G10" i="18"/>
  <c r="G11" i="18"/>
  <c r="G12" i="18"/>
  <c r="G13" i="18"/>
  <c r="G14" i="18"/>
  <c r="G15" i="18"/>
  <c r="G16" i="18"/>
  <c r="G17" i="18"/>
  <c r="G18" i="18"/>
  <c r="G19" i="18"/>
  <c r="G20" i="18"/>
  <c r="G21" i="18"/>
  <c r="G22" i="18"/>
  <c r="G23" i="18"/>
  <c r="G24" i="18"/>
  <c r="G25" i="18"/>
  <c r="G26" i="18"/>
  <c r="G27" i="18"/>
  <c r="G28" i="18"/>
  <c r="G29" i="18"/>
  <c r="G30" i="18"/>
  <c r="G31" i="18"/>
  <c r="G32" i="18"/>
  <c r="G4" i="18"/>
  <c r="E4" i="20"/>
  <c r="E10" i="21"/>
  <c r="E11" i="21"/>
  <c r="E12" i="21"/>
  <c r="E13" i="21"/>
  <c r="E14" i="21"/>
  <c r="E7" i="21"/>
  <c r="F7" i="21" s="1"/>
  <c r="D26" i="18"/>
  <c r="D27" i="18"/>
  <c r="D28" i="18"/>
  <c r="D29" i="18"/>
  <c r="D30" i="18"/>
  <c r="D31" i="18"/>
  <c r="D32" i="18"/>
  <c r="D33" i="18"/>
  <c r="C26" i="18"/>
  <c r="C27" i="18"/>
  <c r="C28" i="18"/>
  <c r="C29" i="18"/>
  <c r="C30" i="18"/>
  <c r="C31" i="18"/>
  <c r="C32" i="18"/>
  <c r="C33" i="18"/>
  <c r="D33" i="1"/>
  <c r="G26" i="1"/>
  <c r="G27" i="1"/>
  <c r="G28" i="1"/>
  <c r="G29" i="1"/>
  <c r="G30" i="1"/>
  <c r="G31" i="1"/>
  <c r="G32" i="1"/>
  <c r="G33" i="34"/>
  <c r="C26" i="1"/>
  <c r="C27" i="1"/>
  <c r="C28" i="1"/>
  <c r="C29" i="1"/>
  <c r="C30" i="1"/>
  <c r="C31" i="1"/>
  <c r="C32" i="1"/>
  <c r="C33" i="1"/>
  <c r="D26" i="1"/>
  <c r="D27" i="1"/>
  <c r="D28" i="1"/>
  <c r="D29" i="1"/>
  <c r="E29" i="1" s="1"/>
  <c r="F29" i="1" s="1"/>
  <c r="D30" i="1"/>
  <c r="E30" i="1" s="1"/>
  <c r="F30" i="1" s="1"/>
  <c r="D31" i="1"/>
  <c r="D32" i="1"/>
  <c r="D25" i="1"/>
  <c r="H4" i="3"/>
  <c r="I4" i="3" s="1"/>
  <c r="H5" i="3"/>
  <c r="I5" i="3" s="1"/>
  <c r="H6" i="3"/>
  <c r="I6" i="3" s="1"/>
  <c r="H7" i="3"/>
  <c r="I7" i="3" s="1"/>
  <c r="H8" i="3"/>
  <c r="I8" i="3" s="1"/>
  <c r="H9" i="3"/>
  <c r="I9" i="3" s="1"/>
  <c r="H10" i="3"/>
  <c r="I10" i="3" s="1"/>
  <c r="H11" i="3"/>
  <c r="I11" i="3" s="1"/>
  <c r="H12" i="3"/>
  <c r="I12" i="3" s="1"/>
  <c r="H13" i="3"/>
  <c r="I13" i="3" s="1"/>
  <c r="H14" i="3"/>
  <c r="I14" i="3" s="1"/>
  <c r="H15" i="3"/>
  <c r="I15" i="3" s="1"/>
  <c r="H16" i="3"/>
  <c r="H17" i="3"/>
  <c r="I34" i="34" l="1"/>
  <c r="I37" i="34"/>
  <c r="I38" i="34"/>
  <c r="E36" i="34"/>
  <c r="F36" i="34" s="1"/>
  <c r="E34" i="34"/>
  <c r="F34" i="34" s="1"/>
  <c r="I35" i="34"/>
  <c r="E37" i="34"/>
  <c r="F37" i="34" s="1"/>
  <c r="I36" i="34"/>
  <c r="E35" i="34"/>
  <c r="F35" i="34" s="1"/>
  <c r="G32" i="34"/>
  <c r="C26" i="34"/>
  <c r="D32" i="34"/>
  <c r="C33" i="34"/>
  <c r="E38" i="34"/>
  <c r="F38" i="34" s="1"/>
  <c r="C32" i="34"/>
  <c r="D26" i="34"/>
  <c r="D27" i="34"/>
  <c r="G30" i="34"/>
  <c r="G29" i="34"/>
  <c r="G28" i="34"/>
  <c r="C31" i="34"/>
  <c r="C30" i="34"/>
  <c r="C29" i="34"/>
  <c r="D33" i="34"/>
  <c r="C28" i="34"/>
  <c r="D31" i="34"/>
  <c r="C27" i="34"/>
  <c r="E32" i="18"/>
  <c r="F32" i="18" s="1"/>
  <c r="D28" i="34"/>
  <c r="D30" i="34"/>
  <c r="G31" i="34"/>
  <c r="E33" i="1"/>
  <c r="E26" i="18"/>
  <c r="F26" i="18" s="1"/>
  <c r="G27" i="34"/>
  <c r="G26" i="34"/>
  <c r="D29" i="34"/>
  <c r="E33" i="18"/>
  <c r="F33" i="18" s="1"/>
  <c r="E30" i="18"/>
  <c r="F30" i="18" s="1"/>
  <c r="E29" i="18"/>
  <c r="F29" i="18" s="1"/>
  <c r="E28" i="18"/>
  <c r="F28" i="18" s="1"/>
  <c r="E27" i="18"/>
  <c r="F27" i="18" s="1"/>
  <c r="E31" i="18"/>
  <c r="F31" i="18" s="1"/>
  <c r="E32" i="1"/>
  <c r="E31" i="1"/>
  <c r="F31" i="1" s="1"/>
  <c r="E26" i="1"/>
  <c r="F26" i="1" s="1"/>
  <c r="E28" i="1"/>
  <c r="F28" i="1" s="1"/>
  <c r="E27" i="1"/>
  <c r="F27" i="1" s="1"/>
  <c r="E4" i="3"/>
  <c r="F4" i="3" s="1"/>
  <c r="E5" i="3"/>
  <c r="F5" i="3" s="1"/>
  <c r="E6" i="3"/>
  <c r="F6" i="3" s="1"/>
  <c r="E7" i="3"/>
  <c r="F7" i="3" s="1"/>
  <c r="E8" i="3"/>
  <c r="F8" i="3" s="1"/>
  <c r="E9" i="3"/>
  <c r="F9" i="3" s="1"/>
  <c r="E10" i="3"/>
  <c r="F10" i="3" s="1"/>
  <c r="E33" i="34" l="1"/>
  <c r="F33" i="34" s="1"/>
  <c r="E29" i="34"/>
  <c r="F29" i="34" s="1"/>
  <c r="E26" i="34"/>
  <c r="F26" i="34" s="1"/>
  <c r="E32" i="34"/>
  <c r="F32" i="34" s="1"/>
  <c r="E30" i="34"/>
  <c r="F30" i="34" s="1"/>
  <c r="E28" i="34"/>
  <c r="F28" i="34" s="1"/>
  <c r="E31" i="34"/>
  <c r="F31" i="34" s="1"/>
  <c r="E27" i="34"/>
  <c r="F27" i="34" s="1"/>
  <c r="I16" i="3"/>
  <c r="I17" i="3"/>
  <c r="H8" i="4"/>
  <c r="I8" i="4" s="1"/>
  <c r="H9" i="4"/>
  <c r="I9" i="4" s="1"/>
  <c r="H10" i="4"/>
  <c r="I10" i="4" s="1"/>
  <c r="H11" i="4"/>
  <c r="I11" i="4" s="1"/>
  <c r="H12" i="4"/>
  <c r="I12" i="4" s="1"/>
  <c r="H13" i="4"/>
  <c r="I13" i="4" s="1"/>
  <c r="H14" i="4"/>
  <c r="I14" i="4" s="1"/>
  <c r="H15" i="4"/>
  <c r="I15" i="4" s="1"/>
  <c r="H16" i="4"/>
  <c r="I16" i="4" s="1"/>
  <c r="H17" i="4"/>
  <c r="I17" i="4" s="1"/>
  <c r="H18" i="4"/>
  <c r="I18" i="4" s="1"/>
  <c r="H8" i="20"/>
  <c r="I8" i="20" s="1"/>
  <c r="H9" i="20"/>
  <c r="I9" i="20" s="1"/>
  <c r="H10" i="20"/>
  <c r="I10" i="20" s="1"/>
  <c r="H11" i="20"/>
  <c r="I11" i="20" s="1"/>
  <c r="H12" i="20"/>
  <c r="I12" i="20" s="1"/>
  <c r="H13" i="20"/>
  <c r="I13" i="20" s="1"/>
  <c r="H14" i="20"/>
  <c r="I14" i="20" s="1"/>
  <c r="H15" i="20"/>
  <c r="I15" i="20" s="1"/>
  <c r="H16" i="20"/>
  <c r="I16" i="20" s="1"/>
  <c r="H17" i="20"/>
  <c r="I17" i="20" s="1"/>
  <c r="H18" i="20"/>
  <c r="I18" i="20" s="1"/>
  <c r="H8" i="21"/>
  <c r="I8" i="21" s="1"/>
  <c r="H9" i="21"/>
  <c r="I9" i="21" s="1"/>
  <c r="H10" i="21"/>
  <c r="I10" i="21" s="1"/>
  <c r="H11" i="21"/>
  <c r="I11" i="21" s="1"/>
  <c r="H12" i="21"/>
  <c r="I12" i="21" s="1"/>
  <c r="H13" i="21"/>
  <c r="I13" i="21" s="1"/>
  <c r="H14" i="21"/>
  <c r="I14" i="21" s="1"/>
  <c r="H15" i="21"/>
  <c r="I15" i="21" s="1"/>
  <c r="H16" i="21"/>
  <c r="I16" i="21" s="1"/>
  <c r="I17" i="21"/>
  <c r="H18" i="21"/>
  <c r="I18" i="21" s="1"/>
  <c r="H8" i="19"/>
  <c r="I8" i="19" s="1"/>
  <c r="H9" i="19"/>
  <c r="I9" i="19" s="1"/>
  <c r="H10" i="19"/>
  <c r="I10" i="19" s="1"/>
  <c r="H11" i="19"/>
  <c r="I11" i="19" s="1"/>
  <c r="H12" i="19"/>
  <c r="I12" i="19" s="1"/>
  <c r="H13" i="19"/>
  <c r="I13" i="19" s="1"/>
  <c r="H14" i="19"/>
  <c r="I14" i="19" s="1"/>
  <c r="H15" i="19"/>
  <c r="I15" i="19" s="1"/>
  <c r="H16" i="19"/>
  <c r="I16" i="19" s="1"/>
  <c r="H17" i="19"/>
  <c r="I17" i="19" s="1"/>
  <c r="H18" i="19"/>
  <c r="I18" i="19" s="1"/>
  <c r="H8" i="28"/>
  <c r="I8" i="28" s="1"/>
  <c r="H9" i="28"/>
  <c r="I9" i="28" s="1"/>
  <c r="H10" i="28"/>
  <c r="I10" i="28" s="1"/>
  <c r="H11" i="28"/>
  <c r="I11" i="28" s="1"/>
  <c r="H12" i="28"/>
  <c r="I12" i="28" s="1"/>
  <c r="H13" i="28"/>
  <c r="I13" i="28" s="1"/>
  <c r="H14" i="28"/>
  <c r="I14" i="28" s="1"/>
  <c r="H15" i="28"/>
  <c r="I15" i="28" s="1"/>
  <c r="H16" i="28"/>
  <c r="I16" i="28" s="1"/>
  <c r="H17" i="28"/>
  <c r="I17" i="28" s="1"/>
  <c r="H18" i="28"/>
  <c r="I18" i="28" s="1"/>
  <c r="H8" i="31"/>
  <c r="I8" i="31" s="1"/>
  <c r="H9" i="31"/>
  <c r="I9" i="31" s="1"/>
  <c r="H10" i="31"/>
  <c r="I10" i="31" s="1"/>
  <c r="H11" i="31"/>
  <c r="I11" i="31" s="1"/>
  <c r="H12" i="31"/>
  <c r="I12" i="31" s="1"/>
  <c r="H13" i="31"/>
  <c r="I13" i="31" s="1"/>
  <c r="H14" i="31"/>
  <c r="I14" i="31" s="1"/>
  <c r="H15" i="31"/>
  <c r="I15" i="31" s="1"/>
  <c r="H16" i="31"/>
  <c r="I16" i="31" s="1"/>
  <c r="H17" i="31"/>
  <c r="I17" i="31" s="1"/>
  <c r="H18" i="31"/>
  <c r="I18" i="31" s="1"/>
  <c r="H8" i="32"/>
  <c r="I8" i="32" s="1"/>
  <c r="H9" i="32"/>
  <c r="I9" i="32" s="1"/>
  <c r="H10" i="32"/>
  <c r="I10" i="32" s="1"/>
  <c r="H11" i="32"/>
  <c r="I11" i="32" s="1"/>
  <c r="H12" i="32"/>
  <c r="I12" i="32" s="1"/>
  <c r="H13" i="32"/>
  <c r="I13" i="32" s="1"/>
  <c r="H14" i="32"/>
  <c r="I14" i="32" s="1"/>
  <c r="H15" i="32"/>
  <c r="I15" i="32" s="1"/>
  <c r="H16" i="32"/>
  <c r="I16" i="32" s="1"/>
  <c r="H17" i="32"/>
  <c r="I17" i="32" s="1"/>
  <c r="H18" i="32"/>
  <c r="I18" i="32" s="1"/>
  <c r="H8" i="33"/>
  <c r="I8" i="33" s="1"/>
  <c r="H9" i="33"/>
  <c r="I9" i="33" s="1"/>
  <c r="H10" i="33"/>
  <c r="I10" i="33" s="1"/>
  <c r="H11" i="33"/>
  <c r="I11" i="33" s="1"/>
  <c r="H12" i="33"/>
  <c r="I12" i="33" s="1"/>
  <c r="H13" i="33"/>
  <c r="I13" i="33" s="1"/>
  <c r="H14" i="33"/>
  <c r="I14" i="33" s="1"/>
  <c r="H15" i="33"/>
  <c r="I15" i="33" s="1"/>
  <c r="H16" i="33"/>
  <c r="I16" i="33" s="1"/>
  <c r="H17" i="33"/>
  <c r="I17" i="33" s="1"/>
  <c r="H18" i="33"/>
  <c r="I18" i="33" s="1"/>
  <c r="H18" i="3"/>
  <c r="I18" i="3" s="1"/>
  <c r="F11" i="21"/>
  <c r="F12" i="21"/>
  <c r="F13" i="21"/>
  <c r="F14" i="21"/>
  <c r="F12" i="19"/>
  <c r="E11" i="4"/>
  <c r="F11" i="4" s="1"/>
  <c r="E12" i="4"/>
  <c r="F12" i="4" s="1"/>
  <c r="E13" i="4"/>
  <c r="F13" i="4" s="1"/>
  <c r="E14" i="4"/>
  <c r="F14" i="4" s="1"/>
  <c r="E15" i="4"/>
  <c r="F15" i="4" s="1"/>
  <c r="E16" i="4"/>
  <c r="F16" i="4" s="1"/>
  <c r="E17" i="4"/>
  <c r="F17" i="4" s="1"/>
  <c r="E18" i="4"/>
  <c r="F18" i="4" s="1"/>
  <c r="E11" i="20"/>
  <c r="F11" i="20" s="1"/>
  <c r="E12" i="20"/>
  <c r="F12" i="20" s="1"/>
  <c r="E13" i="20"/>
  <c r="F13" i="20" s="1"/>
  <c r="E14" i="20"/>
  <c r="F14" i="20" s="1"/>
  <c r="E15" i="20"/>
  <c r="F15" i="20" s="1"/>
  <c r="E16" i="20"/>
  <c r="F16" i="20" s="1"/>
  <c r="E17" i="20"/>
  <c r="F17" i="20" s="1"/>
  <c r="E18" i="20"/>
  <c r="F18" i="20" s="1"/>
  <c r="E15" i="21"/>
  <c r="F15" i="21" s="1"/>
  <c r="E16" i="21"/>
  <c r="F16" i="21" s="1"/>
  <c r="E17" i="21"/>
  <c r="F17" i="21" s="1"/>
  <c r="E18" i="21"/>
  <c r="F18" i="21" s="1"/>
  <c r="E11" i="19"/>
  <c r="F11" i="19" s="1"/>
  <c r="E12" i="19"/>
  <c r="E13" i="19"/>
  <c r="F13" i="19" s="1"/>
  <c r="E14" i="19"/>
  <c r="F14" i="19" s="1"/>
  <c r="E15" i="19"/>
  <c r="F15" i="19" s="1"/>
  <c r="F16" i="19"/>
  <c r="F17" i="19"/>
  <c r="E18" i="19"/>
  <c r="F18" i="19" s="1"/>
  <c r="E11" i="28"/>
  <c r="F11" i="28" s="1"/>
  <c r="E12" i="28"/>
  <c r="F12" i="28" s="1"/>
  <c r="E13" i="28"/>
  <c r="F13" i="28" s="1"/>
  <c r="E14" i="28"/>
  <c r="F14" i="28" s="1"/>
  <c r="E15" i="28"/>
  <c r="F15" i="28" s="1"/>
  <c r="E16" i="28"/>
  <c r="F16" i="28" s="1"/>
  <c r="E17" i="28"/>
  <c r="F17" i="28" s="1"/>
  <c r="E18" i="28"/>
  <c r="F18" i="28" s="1"/>
  <c r="E11" i="31"/>
  <c r="F11" i="31" s="1"/>
  <c r="E12" i="31"/>
  <c r="F12" i="31" s="1"/>
  <c r="E13" i="31"/>
  <c r="F13" i="31" s="1"/>
  <c r="E14" i="31"/>
  <c r="F14" i="31" s="1"/>
  <c r="E15" i="31"/>
  <c r="F15" i="31" s="1"/>
  <c r="E16" i="31"/>
  <c r="F16" i="31" s="1"/>
  <c r="E17" i="31"/>
  <c r="F17" i="31" s="1"/>
  <c r="E18" i="31"/>
  <c r="F18" i="31" s="1"/>
  <c r="E11" i="32"/>
  <c r="F11" i="32" s="1"/>
  <c r="E12" i="32"/>
  <c r="F12" i="32" s="1"/>
  <c r="E13" i="32"/>
  <c r="F13" i="32" s="1"/>
  <c r="E14" i="32"/>
  <c r="F14" i="32" s="1"/>
  <c r="E15" i="32"/>
  <c r="F15" i="32" s="1"/>
  <c r="E16" i="32"/>
  <c r="F16" i="32" s="1"/>
  <c r="E17" i="32"/>
  <c r="F17" i="32" s="1"/>
  <c r="E18" i="32"/>
  <c r="F18" i="32" s="1"/>
  <c r="E11" i="33"/>
  <c r="F11" i="33" s="1"/>
  <c r="E12" i="33"/>
  <c r="F12" i="33" s="1"/>
  <c r="E13" i="33"/>
  <c r="F13" i="33" s="1"/>
  <c r="E14" i="33"/>
  <c r="F14" i="33" s="1"/>
  <c r="E15" i="33"/>
  <c r="F15" i="33" s="1"/>
  <c r="E16" i="33"/>
  <c r="F16" i="33" s="1"/>
  <c r="E17" i="33"/>
  <c r="F17" i="33" s="1"/>
  <c r="E18" i="33"/>
  <c r="F18" i="33" s="1"/>
  <c r="E34" i="33"/>
  <c r="F34" i="33" s="1"/>
  <c r="E11" i="3"/>
  <c r="F11" i="3" s="1"/>
  <c r="E12" i="3"/>
  <c r="F12" i="3" s="1"/>
  <c r="E13" i="3"/>
  <c r="F13" i="3" s="1"/>
  <c r="E14" i="3"/>
  <c r="F14" i="3" s="1"/>
  <c r="E15" i="3"/>
  <c r="F15" i="3" s="1"/>
  <c r="E16" i="3"/>
  <c r="F16" i="3" s="1"/>
  <c r="E17" i="3"/>
  <c r="F17" i="3" s="1"/>
  <c r="E18" i="3"/>
  <c r="F18" i="3" s="1"/>
  <c r="E13" i="72"/>
  <c r="F13" i="72"/>
  <c r="H13" i="72"/>
  <c r="I13" i="72"/>
  <c r="H30" i="29" l="1"/>
  <c r="I30" i="29" s="1"/>
  <c r="H29" i="29"/>
  <c r="I29" i="29" s="1"/>
  <c r="H32" i="29"/>
  <c r="I32" i="29" s="1"/>
  <c r="H31" i="29"/>
  <c r="I31" i="29" s="1"/>
  <c r="H28" i="29"/>
  <c r="I28" i="29" s="1"/>
  <c r="H26" i="29"/>
  <c r="I26" i="29" s="1"/>
  <c r="H33" i="29"/>
  <c r="I33" i="29" s="1"/>
  <c r="H32" i="30"/>
  <c r="H31" i="30"/>
  <c r="H26" i="30"/>
  <c r="H30" i="30"/>
  <c r="H29" i="30"/>
  <c r="H28" i="30"/>
  <c r="H27" i="30"/>
  <c r="H33" i="18"/>
  <c r="I33" i="18" s="1"/>
  <c r="H30" i="18"/>
  <c r="I30" i="18" s="1"/>
  <c r="H29" i="18"/>
  <c r="I29" i="18" s="1"/>
  <c r="H32" i="18"/>
  <c r="I32" i="18" s="1"/>
  <c r="H28" i="18"/>
  <c r="I28" i="18" s="1"/>
  <c r="H27" i="18"/>
  <c r="I27" i="18" s="1"/>
  <c r="H26" i="18"/>
  <c r="I26" i="18" s="1"/>
  <c r="H31" i="18"/>
  <c r="I31" i="18" s="1"/>
  <c r="H31" i="1"/>
  <c r="I31" i="1" s="1"/>
  <c r="H32" i="1"/>
  <c r="I32" i="1" s="1"/>
  <c r="H26" i="1"/>
  <c r="I26" i="1" s="1"/>
  <c r="H30" i="1"/>
  <c r="I30" i="1" s="1"/>
  <c r="H29" i="1"/>
  <c r="I29" i="1" s="1"/>
  <c r="H28" i="1"/>
  <c r="I28" i="1" s="1"/>
  <c r="H27" i="1"/>
  <c r="I27" i="1" s="1"/>
  <c r="C18" i="29"/>
  <c r="D18" i="29"/>
  <c r="H18" i="29"/>
  <c r="I18" i="29" s="1"/>
  <c r="C19" i="29"/>
  <c r="D19" i="29"/>
  <c r="H19" i="29"/>
  <c r="I19" i="29" s="1"/>
  <c r="C20" i="29"/>
  <c r="D20" i="29"/>
  <c r="H20" i="29"/>
  <c r="I20" i="29" s="1"/>
  <c r="C21" i="29"/>
  <c r="D21" i="29"/>
  <c r="H21" i="29"/>
  <c r="I21" i="29" s="1"/>
  <c r="C22" i="29"/>
  <c r="D22" i="29"/>
  <c r="H22" i="29"/>
  <c r="I22" i="29" s="1"/>
  <c r="C23" i="29"/>
  <c r="D23" i="29"/>
  <c r="H23" i="29"/>
  <c r="I23" i="29" s="1"/>
  <c r="C24" i="29"/>
  <c r="D24" i="29"/>
  <c r="H24" i="29"/>
  <c r="I24" i="29" s="1"/>
  <c r="C25" i="29"/>
  <c r="D25" i="29"/>
  <c r="H25" i="29"/>
  <c r="I25" i="29" s="1"/>
  <c r="C17" i="18"/>
  <c r="D17" i="18"/>
  <c r="H17" i="18"/>
  <c r="I17" i="18" s="1"/>
  <c r="C18" i="18"/>
  <c r="D18" i="18"/>
  <c r="H18" i="18"/>
  <c r="I18" i="18" s="1"/>
  <c r="C19" i="18"/>
  <c r="D19" i="18"/>
  <c r="H19" i="18"/>
  <c r="I19" i="18" s="1"/>
  <c r="C20" i="18"/>
  <c r="D20" i="18"/>
  <c r="H20" i="18"/>
  <c r="I20" i="18" s="1"/>
  <c r="C21" i="18"/>
  <c r="D21" i="18"/>
  <c r="H21" i="18"/>
  <c r="I21" i="18" s="1"/>
  <c r="C22" i="18"/>
  <c r="D22" i="18"/>
  <c r="H22" i="18"/>
  <c r="I22" i="18" s="1"/>
  <c r="C23" i="18"/>
  <c r="D23" i="18"/>
  <c r="H23" i="18"/>
  <c r="I23" i="18" s="1"/>
  <c r="C24" i="18"/>
  <c r="D24" i="18"/>
  <c r="H24" i="18"/>
  <c r="I24" i="18" s="1"/>
  <c r="C25" i="18"/>
  <c r="D25" i="18"/>
  <c r="H25" i="18"/>
  <c r="I25" i="18" s="1"/>
  <c r="I33" i="1" l="1"/>
  <c r="H33" i="34"/>
  <c r="I33" i="34" s="1"/>
  <c r="H26" i="34"/>
  <c r="I26" i="34" s="1"/>
  <c r="I26" i="30"/>
  <c r="H31" i="34"/>
  <c r="I31" i="34" s="1"/>
  <c r="I31" i="30"/>
  <c r="H32" i="34"/>
  <c r="I32" i="34" s="1"/>
  <c r="I32" i="30"/>
  <c r="H30" i="34"/>
  <c r="I30" i="34" s="1"/>
  <c r="I30" i="30"/>
  <c r="H29" i="34"/>
  <c r="I29" i="34" s="1"/>
  <c r="I29" i="30"/>
  <c r="H28" i="34"/>
  <c r="I28" i="34" s="1"/>
  <c r="I28" i="30"/>
  <c r="H27" i="34"/>
  <c r="I27" i="34" s="1"/>
  <c r="I27" i="30"/>
  <c r="E18" i="29"/>
  <c r="F18" i="29" s="1"/>
  <c r="E17" i="18"/>
  <c r="F17" i="18" s="1"/>
  <c r="E20" i="18"/>
  <c r="F20" i="18" s="1"/>
  <c r="E23" i="29"/>
  <c r="F23" i="29" s="1"/>
  <c r="E20" i="29"/>
  <c r="F20" i="29" s="1"/>
  <c r="E25" i="29"/>
  <c r="F25" i="29" s="1"/>
  <c r="E22" i="29"/>
  <c r="F22" i="29" s="1"/>
  <c r="E24" i="29"/>
  <c r="F24" i="29" s="1"/>
  <c r="E21" i="29"/>
  <c r="F21" i="29" s="1"/>
  <c r="E19" i="29"/>
  <c r="F19" i="29" s="1"/>
  <c r="E24" i="18"/>
  <c r="F24" i="18" s="1"/>
  <c r="E22" i="18"/>
  <c r="F22" i="18" s="1"/>
  <c r="E19" i="18"/>
  <c r="F19" i="18" s="1"/>
  <c r="E18" i="18"/>
  <c r="F18" i="18" s="1"/>
  <c r="E25" i="18"/>
  <c r="F25" i="18" s="1"/>
  <c r="E23" i="18"/>
  <c r="F23" i="18" s="1"/>
  <c r="E21" i="18"/>
  <c r="F21" i="18" s="1"/>
  <c r="C18" i="1"/>
  <c r="D18" i="1"/>
  <c r="G18" i="1"/>
  <c r="G18" i="34" s="1"/>
  <c r="C19" i="1"/>
  <c r="D19" i="1"/>
  <c r="G19" i="1"/>
  <c r="G19" i="34" s="1"/>
  <c r="C20" i="1"/>
  <c r="D20" i="1"/>
  <c r="G20" i="1"/>
  <c r="C21" i="1"/>
  <c r="D21" i="1"/>
  <c r="G21" i="1"/>
  <c r="G21" i="34" s="1"/>
  <c r="C22" i="1"/>
  <c r="D22" i="1"/>
  <c r="G22" i="1"/>
  <c r="G22" i="34" s="1"/>
  <c r="C23" i="1"/>
  <c r="D23" i="1"/>
  <c r="G23" i="1"/>
  <c r="C24" i="1"/>
  <c r="D24" i="1"/>
  <c r="G24" i="1"/>
  <c r="G24" i="34" s="1"/>
  <c r="C25" i="1"/>
  <c r="G25" i="1"/>
  <c r="G25" i="34" s="1"/>
  <c r="C25" i="30"/>
  <c r="D25" i="30"/>
  <c r="D25" i="34" s="1"/>
  <c r="H25" i="30"/>
  <c r="C18" i="30"/>
  <c r="C18" i="34" s="1"/>
  <c r="D18" i="30"/>
  <c r="H18" i="30"/>
  <c r="C19" i="30"/>
  <c r="C19" i="34" s="1"/>
  <c r="D19" i="30"/>
  <c r="H19" i="30"/>
  <c r="C20" i="30"/>
  <c r="D20" i="30"/>
  <c r="D20" i="34" s="1"/>
  <c r="H20" i="30"/>
  <c r="C21" i="30"/>
  <c r="D21" i="30"/>
  <c r="H21" i="30"/>
  <c r="C22" i="30"/>
  <c r="C22" i="34" s="1"/>
  <c r="D22" i="30"/>
  <c r="H22" i="30"/>
  <c r="C23" i="30"/>
  <c r="C23" i="34" s="1"/>
  <c r="D23" i="30"/>
  <c r="D23" i="34" s="1"/>
  <c r="H23" i="30"/>
  <c r="C24" i="30"/>
  <c r="D24" i="30"/>
  <c r="D24" i="34" s="1"/>
  <c r="H24" i="30"/>
  <c r="E18" i="72"/>
  <c r="F18" i="72" s="1"/>
  <c r="H18" i="72"/>
  <c r="H18" i="1" s="1"/>
  <c r="H19" i="1"/>
  <c r="H20" i="1"/>
  <c r="H22" i="1"/>
  <c r="C16" i="30"/>
  <c r="D16" i="30"/>
  <c r="H16" i="30"/>
  <c r="C17" i="30"/>
  <c r="D17" i="30"/>
  <c r="H17" i="30"/>
  <c r="I17" i="30" s="1"/>
  <c r="C16" i="29"/>
  <c r="D16" i="29"/>
  <c r="H16" i="29"/>
  <c r="I16" i="29" s="1"/>
  <c r="C17" i="29"/>
  <c r="D17" i="29"/>
  <c r="H17" i="29"/>
  <c r="I17" i="29" s="1"/>
  <c r="C16" i="18"/>
  <c r="D16" i="18"/>
  <c r="H16" i="18"/>
  <c r="I16" i="18" s="1"/>
  <c r="C16" i="1"/>
  <c r="D16" i="1"/>
  <c r="G16" i="1"/>
  <c r="G16" i="34" s="1"/>
  <c r="C17" i="1"/>
  <c r="D17" i="1"/>
  <c r="G17" i="1"/>
  <c r="G17" i="34" s="1"/>
  <c r="E16" i="72"/>
  <c r="F16" i="72" s="1"/>
  <c r="H16" i="72"/>
  <c r="H16" i="1" s="1"/>
  <c r="E17" i="72"/>
  <c r="F17" i="72" s="1"/>
  <c r="H17" i="72"/>
  <c r="H17" i="1" s="1"/>
  <c r="E15" i="72"/>
  <c r="F15" i="72" s="1"/>
  <c r="E14" i="72"/>
  <c r="F14" i="72" s="1"/>
  <c r="E12" i="72"/>
  <c r="F12" i="72" s="1"/>
  <c r="E11" i="72"/>
  <c r="F11" i="72" s="1"/>
  <c r="E10" i="72"/>
  <c r="F10" i="72" s="1"/>
  <c r="E9" i="72"/>
  <c r="F9" i="72" s="1"/>
  <c r="E8" i="72"/>
  <c r="F8" i="72" s="1"/>
  <c r="E7" i="72"/>
  <c r="F7" i="72" s="1"/>
  <c r="E6" i="72"/>
  <c r="F6" i="72" s="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G6" i="1"/>
  <c r="G6" i="34" s="1"/>
  <c r="G7" i="1"/>
  <c r="G7" i="34" s="1"/>
  <c r="G8" i="1"/>
  <c r="G8" i="34" s="1"/>
  <c r="G9" i="1"/>
  <c r="G9" i="34" s="1"/>
  <c r="G10" i="1"/>
  <c r="G10" i="34" s="1"/>
  <c r="G11" i="1"/>
  <c r="G11" i="34" s="1"/>
  <c r="G12" i="1"/>
  <c r="G12" i="34" s="1"/>
  <c r="G13" i="1"/>
  <c r="G13" i="34" s="1"/>
  <c r="G14" i="1"/>
  <c r="G14" i="34" s="1"/>
  <c r="G15" i="1"/>
  <c r="G15" i="34" s="1"/>
  <c r="G5" i="1"/>
  <c r="G5" i="34" s="1"/>
  <c r="G4" i="1"/>
  <c r="G4" i="34" s="1"/>
  <c r="B4" i="34" a="1"/>
  <c r="B4" i="34" s="1"/>
  <c r="A4" i="34" a="1"/>
  <c r="A4" i="34" s="1"/>
  <c r="A1" i="34" a="1"/>
  <c r="A1" i="34" s="1"/>
  <c r="D15" i="30"/>
  <c r="C15" i="30"/>
  <c r="D14" i="30"/>
  <c r="C14" i="30"/>
  <c r="D13" i="30"/>
  <c r="C13" i="30"/>
  <c r="D12" i="30"/>
  <c r="C12" i="30"/>
  <c r="D11" i="30"/>
  <c r="C11" i="30"/>
  <c r="D10" i="30"/>
  <c r="C10" i="30"/>
  <c r="D9" i="30"/>
  <c r="C9" i="30"/>
  <c r="D8" i="30"/>
  <c r="C8" i="30"/>
  <c r="D7" i="30"/>
  <c r="C7" i="30"/>
  <c r="D6" i="30"/>
  <c r="C6" i="30"/>
  <c r="D5" i="30"/>
  <c r="C5" i="30"/>
  <c r="D4" i="30"/>
  <c r="C4" i="30"/>
  <c r="D15" i="29"/>
  <c r="C15" i="29"/>
  <c r="D14" i="29"/>
  <c r="C14" i="29"/>
  <c r="D13" i="29"/>
  <c r="C13" i="29"/>
  <c r="D12" i="29"/>
  <c r="C12" i="29"/>
  <c r="D11" i="29"/>
  <c r="C11" i="29"/>
  <c r="D10" i="29"/>
  <c r="C10" i="29"/>
  <c r="D9" i="29"/>
  <c r="C9" i="29"/>
  <c r="D8" i="29"/>
  <c r="C8" i="29"/>
  <c r="D7" i="29"/>
  <c r="C7" i="29"/>
  <c r="D6" i="29"/>
  <c r="C6" i="29"/>
  <c r="D5" i="29"/>
  <c r="C5" i="29"/>
  <c r="D4" i="29"/>
  <c r="C4" i="29"/>
  <c r="D15" i="18"/>
  <c r="C15" i="18"/>
  <c r="D14" i="18"/>
  <c r="C14" i="18"/>
  <c r="D13" i="18"/>
  <c r="C13" i="18"/>
  <c r="D12" i="18"/>
  <c r="C12" i="18"/>
  <c r="D11" i="18"/>
  <c r="C11" i="18"/>
  <c r="D10" i="18"/>
  <c r="C10" i="18"/>
  <c r="D9" i="18"/>
  <c r="C9" i="18"/>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15" i="1"/>
  <c r="C14" i="1"/>
  <c r="C13" i="1"/>
  <c r="C12" i="1"/>
  <c r="C11" i="1"/>
  <c r="C10" i="1"/>
  <c r="C9" i="1"/>
  <c r="C8" i="1"/>
  <c r="C7" i="1"/>
  <c r="C6" i="1"/>
  <c r="C5" i="1"/>
  <c r="C4" i="1"/>
  <c r="D6" i="1"/>
  <c r="D7" i="1"/>
  <c r="D8" i="1"/>
  <c r="D9" i="1"/>
  <c r="D10" i="1"/>
  <c r="D11" i="1"/>
  <c r="D12" i="1"/>
  <c r="D13" i="1"/>
  <c r="D14" i="1"/>
  <c r="D15" i="1"/>
  <c r="D5" i="1"/>
  <c r="D4" i="1"/>
  <c r="B4" i="1" a="1"/>
  <c r="B4" i="1" s="1"/>
  <c r="A4" i="1" a="1"/>
  <c r="A4" i="1" s="1"/>
  <c r="A1" i="1" a="1"/>
  <c r="A1" i="1" s="1"/>
  <c r="E10" i="33"/>
  <c r="F10" i="33" s="1"/>
  <c r="E9" i="33"/>
  <c r="F9" i="33" s="1"/>
  <c r="E8" i="33"/>
  <c r="F8" i="33" s="1"/>
  <c r="H7" i="33"/>
  <c r="I7" i="33" s="1"/>
  <c r="E7" i="33"/>
  <c r="F7" i="33" s="1"/>
  <c r="H6" i="33"/>
  <c r="I6" i="33" s="1"/>
  <c r="E6" i="33"/>
  <c r="F6" i="33" s="1"/>
  <c r="H5" i="33"/>
  <c r="I5" i="33" s="1"/>
  <c r="E5" i="33"/>
  <c r="F5" i="33" s="1"/>
  <c r="H4" i="33"/>
  <c r="I4" i="33" s="1"/>
  <c r="E4" i="33"/>
  <c r="F4" i="33" s="1"/>
  <c r="G2" i="33"/>
  <c r="D2" i="33"/>
  <c r="C2" i="33"/>
  <c r="A1" i="33" a="1"/>
  <c r="A1" i="33" s="1"/>
  <c r="E10" i="32"/>
  <c r="F10" i="32" s="1"/>
  <c r="E9" i="32"/>
  <c r="F9" i="32" s="1"/>
  <c r="E8" i="32"/>
  <c r="F8" i="32" s="1"/>
  <c r="H7" i="32"/>
  <c r="I7" i="32" s="1"/>
  <c r="E7" i="32"/>
  <c r="F7" i="32" s="1"/>
  <c r="H6" i="32"/>
  <c r="I6" i="32" s="1"/>
  <c r="E6" i="32"/>
  <c r="F6" i="32" s="1"/>
  <c r="H5" i="32"/>
  <c r="I5" i="32" s="1"/>
  <c r="E5" i="32"/>
  <c r="F5" i="32" s="1"/>
  <c r="H4" i="32"/>
  <c r="I4" i="32" s="1"/>
  <c r="E4" i="32"/>
  <c r="F4" i="32" s="1"/>
  <c r="G2" i="32"/>
  <c r="D2" i="32"/>
  <c r="C2" i="32"/>
  <c r="A1" i="32" a="1"/>
  <c r="A1" i="32" s="1"/>
  <c r="E10" i="31"/>
  <c r="F10" i="31" s="1"/>
  <c r="E9" i="31"/>
  <c r="F9" i="31" s="1"/>
  <c r="E8" i="31"/>
  <c r="F8" i="31" s="1"/>
  <c r="H7" i="31"/>
  <c r="I7" i="31" s="1"/>
  <c r="E7" i="31"/>
  <c r="F7" i="31" s="1"/>
  <c r="H6" i="31"/>
  <c r="I6" i="31" s="1"/>
  <c r="E6" i="31"/>
  <c r="F6" i="31" s="1"/>
  <c r="H5" i="31"/>
  <c r="I5" i="31" s="1"/>
  <c r="E5" i="31"/>
  <c r="F5" i="31" s="1"/>
  <c r="H4" i="31"/>
  <c r="I4" i="31" s="1"/>
  <c r="E4" i="31"/>
  <c r="F4" i="31" s="1"/>
  <c r="G2" i="31"/>
  <c r="D2" i="31"/>
  <c r="C2" i="31"/>
  <c r="A1" i="31" a="1"/>
  <c r="A1" i="31" s="1"/>
  <c r="E10" i="28"/>
  <c r="F10" i="28" s="1"/>
  <c r="E9" i="28"/>
  <c r="F9"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13" i="29"/>
  <c r="I13" i="29" s="1"/>
  <c r="H10" i="29"/>
  <c r="I10" i="29" s="1"/>
  <c r="H5" i="27"/>
  <c r="I5" i="27" s="1"/>
  <c r="E5" i="27"/>
  <c r="F5" i="27" s="1"/>
  <c r="H4" i="27"/>
  <c r="I4" i="27" s="1"/>
  <c r="E4" i="27"/>
  <c r="F4" i="27" s="1"/>
  <c r="G2" i="27"/>
  <c r="D2" i="27"/>
  <c r="C2" i="27"/>
  <c r="A1" i="27" a="1"/>
  <c r="A1" i="27" s="1"/>
  <c r="H15" i="29"/>
  <c r="I15" i="29" s="1"/>
  <c r="H12" i="29"/>
  <c r="I12" i="29" s="1"/>
  <c r="H9" i="29"/>
  <c r="I9" i="29" s="1"/>
  <c r="H5" i="26"/>
  <c r="I5" i="26" s="1"/>
  <c r="E5" i="26"/>
  <c r="F5" i="26" s="1"/>
  <c r="H4" i="26"/>
  <c r="I4" i="26" s="1"/>
  <c r="E4" i="26"/>
  <c r="F4" i="26" s="1"/>
  <c r="G2" i="26"/>
  <c r="D2" i="26"/>
  <c r="C2" i="26"/>
  <c r="A1" i="26" a="1"/>
  <c r="A1" i="26" s="1"/>
  <c r="E10" i="19"/>
  <c r="F10" i="19" s="1"/>
  <c r="E9" i="19"/>
  <c r="F9" i="19" s="1"/>
  <c r="E8" i="19"/>
  <c r="F8" i="19" s="1"/>
  <c r="H7" i="19"/>
  <c r="I7" i="19" s="1"/>
  <c r="E7" i="19"/>
  <c r="F7" i="19" s="1"/>
  <c r="H6" i="19"/>
  <c r="I6" i="19" s="1"/>
  <c r="E6" i="19"/>
  <c r="F6" i="19" s="1"/>
  <c r="H5" i="19"/>
  <c r="I5" i="19" s="1"/>
  <c r="E5" i="19"/>
  <c r="F5" i="19" s="1"/>
  <c r="H4" i="19"/>
  <c r="I4" i="19" s="1"/>
  <c r="E4" i="19"/>
  <c r="F4" i="19" s="1"/>
  <c r="G2" i="19"/>
  <c r="D2" i="19"/>
  <c r="C2" i="19"/>
  <c r="A1" i="19" a="1"/>
  <c r="A1" i="19" s="1"/>
  <c r="E10" i="20"/>
  <c r="F10" i="20" s="1"/>
  <c r="E9" i="20"/>
  <c r="F9" i="20" s="1"/>
  <c r="E8" i="20"/>
  <c r="F8" i="20" s="1"/>
  <c r="H7" i="20"/>
  <c r="I7" i="20" s="1"/>
  <c r="E7" i="20"/>
  <c r="F7" i="20" s="1"/>
  <c r="H6" i="20"/>
  <c r="I6" i="20" s="1"/>
  <c r="E6" i="20"/>
  <c r="F6" i="20" s="1"/>
  <c r="H5" i="20"/>
  <c r="I5" i="20" s="1"/>
  <c r="E5" i="20"/>
  <c r="F5" i="20" s="1"/>
  <c r="H4" i="20"/>
  <c r="I4" i="20" s="1"/>
  <c r="F4" i="20"/>
  <c r="G2" i="20"/>
  <c r="D2" i="20"/>
  <c r="C2" i="20"/>
  <c r="A1" i="20" a="1"/>
  <c r="A1" i="20" s="1"/>
  <c r="F10" i="21"/>
  <c r="E9" i="21"/>
  <c r="F9" i="21" s="1"/>
  <c r="E8" i="21"/>
  <c r="F8" i="21" s="1"/>
  <c r="H7" i="21"/>
  <c r="I7" i="21" s="1"/>
  <c r="H6" i="21"/>
  <c r="I6" i="21" s="1"/>
  <c r="E6" i="21"/>
  <c r="F6" i="21" s="1"/>
  <c r="H5" i="21"/>
  <c r="I5" i="21" s="1"/>
  <c r="E5" i="21"/>
  <c r="F5" i="21" s="1"/>
  <c r="H4" i="21"/>
  <c r="I4" i="21" s="1"/>
  <c r="E4" i="21"/>
  <c r="F4" i="21" s="1"/>
  <c r="G2" i="21"/>
  <c r="D2" i="21"/>
  <c r="C2" i="21"/>
  <c r="A1" i="21" a="1"/>
  <c r="A1" i="21" s="1"/>
  <c r="E10" i="4"/>
  <c r="F10" i="4" s="1"/>
  <c r="E9" i="4"/>
  <c r="F9" i="4" s="1"/>
  <c r="E8" i="4"/>
  <c r="F8" i="4" s="1"/>
  <c r="H7" i="4"/>
  <c r="I7" i="4" s="1"/>
  <c r="E7" i="4"/>
  <c r="F7" i="4" s="1"/>
  <c r="H6" i="4"/>
  <c r="I6" i="4" s="1"/>
  <c r="E6" i="4"/>
  <c r="F6" i="4" s="1"/>
  <c r="H5" i="4"/>
  <c r="I5" i="4" s="1"/>
  <c r="E5" i="4"/>
  <c r="F5" i="4" s="1"/>
  <c r="H4" i="4"/>
  <c r="I4" i="4" s="1"/>
  <c r="E4" i="4"/>
  <c r="F4" i="4" s="1"/>
  <c r="G2" i="4"/>
  <c r="D2" i="4"/>
  <c r="C2" i="4"/>
  <c r="A1" i="4" a="1"/>
  <c r="A1" i="4" s="1"/>
  <c r="G2" i="3"/>
  <c r="D2" i="3"/>
  <c r="C2" i="3"/>
  <c r="J2" i="3" s="1"/>
  <c r="A1" i="3" a="1"/>
  <c r="A1" i="3" s="1"/>
  <c r="H6" i="72"/>
  <c r="I6" i="72" s="1"/>
  <c r="H7" i="72"/>
  <c r="I7" i="72" s="1"/>
  <c r="H8" i="72"/>
  <c r="I8" i="72" s="1"/>
  <c r="H9" i="72"/>
  <c r="I9" i="72" s="1"/>
  <c r="H10" i="72"/>
  <c r="I10" i="72" s="1"/>
  <c r="H11" i="72"/>
  <c r="I11" i="72" s="1"/>
  <c r="H12" i="72"/>
  <c r="I12" i="72" s="1"/>
  <c r="H14" i="72"/>
  <c r="I14" i="72" s="1"/>
  <c r="H15" i="72"/>
  <c r="I15" i="72" s="1"/>
  <c r="H5" i="72"/>
  <c r="I5" i="72" s="1"/>
  <c r="H4" i="72"/>
  <c r="I4" i="72" s="1"/>
  <c r="G2" i="72"/>
  <c r="D2" i="72"/>
  <c r="C2" i="72"/>
  <c r="J2" i="72" s="1"/>
  <c r="A1" i="72" a="1"/>
  <c r="A1" i="72" s="1"/>
  <c r="E9" i="29" l="1"/>
  <c r="F9" i="29" s="1"/>
  <c r="E16" i="18"/>
  <c r="F16" i="18" s="1"/>
  <c r="E10" i="18"/>
  <c r="F10" i="18" s="1"/>
  <c r="E8" i="18"/>
  <c r="F8" i="18" s="1"/>
  <c r="E4" i="18"/>
  <c r="F4" i="18" s="1"/>
  <c r="C25" i="34"/>
  <c r="E25" i="34" s="1"/>
  <c r="F25" i="34" s="1"/>
  <c r="C14" i="34"/>
  <c r="D18" i="34"/>
  <c r="E18" i="34" s="1"/>
  <c r="F18" i="34" s="1"/>
  <c r="D19" i="34"/>
  <c r="E19" i="34" s="1"/>
  <c r="F19" i="34" s="1"/>
  <c r="C24" i="34"/>
  <c r="E24" i="34" s="1"/>
  <c r="F24" i="34" s="1"/>
  <c r="C20" i="34"/>
  <c r="E20" i="34" s="1"/>
  <c r="F20" i="34" s="1"/>
  <c r="D21" i="34"/>
  <c r="D22" i="34"/>
  <c r="E22" i="34" s="1"/>
  <c r="F22" i="34" s="1"/>
  <c r="D5" i="34"/>
  <c r="D11" i="34"/>
  <c r="I16" i="1"/>
  <c r="E12" i="18"/>
  <c r="F12" i="18" s="1"/>
  <c r="E12" i="29"/>
  <c r="F12" i="29" s="1"/>
  <c r="C6" i="34"/>
  <c r="C12" i="34"/>
  <c r="D6" i="34"/>
  <c r="D12" i="34"/>
  <c r="E13" i="29"/>
  <c r="F13" i="29" s="1"/>
  <c r="C7" i="34"/>
  <c r="C13" i="34"/>
  <c r="E16" i="29"/>
  <c r="F16" i="29" s="1"/>
  <c r="C8" i="34"/>
  <c r="D8" i="34"/>
  <c r="D14" i="34"/>
  <c r="H17" i="34"/>
  <c r="I17" i="34" s="1"/>
  <c r="D7" i="34"/>
  <c r="D13" i="34"/>
  <c r="C9" i="34"/>
  <c r="C15" i="34"/>
  <c r="D17" i="34"/>
  <c r="D9" i="34"/>
  <c r="C10" i="34"/>
  <c r="D10" i="34"/>
  <c r="I17" i="1"/>
  <c r="E5" i="18"/>
  <c r="F5" i="18" s="1"/>
  <c r="E11" i="18"/>
  <c r="F11" i="18" s="1"/>
  <c r="E11" i="29"/>
  <c r="F11" i="29" s="1"/>
  <c r="C5" i="34"/>
  <c r="C11" i="34"/>
  <c r="C16" i="34"/>
  <c r="E13" i="30"/>
  <c r="F13" i="30" s="1"/>
  <c r="E15" i="30"/>
  <c r="F15" i="30" s="1"/>
  <c r="D15" i="34"/>
  <c r="E17" i="30"/>
  <c r="F17" i="30" s="1"/>
  <c r="C17" i="34"/>
  <c r="I16" i="30"/>
  <c r="H16" i="34"/>
  <c r="I16" i="34" s="1"/>
  <c r="E16" i="30"/>
  <c r="F16" i="30" s="1"/>
  <c r="D16" i="34"/>
  <c r="I24" i="30"/>
  <c r="I23" i="30"/>
  <c r="E23" i="34"/>
  <c r="F23" i="34" s="1"/>
  <c r="I21" i="30"/>
  <c r="E21" i="30"/>
  <c r="F21" i="30" s="1"/>
  <c r="C21" i="34"/>
  <c r="I20" i="30"/>
  <c r="H20" i="34"/>
  <c r="I19" i="30"/>
  <c r="H19" i="34"/>
  <c r="I19" i="34" s="1"/>
  <c r="I25" i="30"/>
  <c r="I22" i="30"/>
  <c r="H22" i="34"/>
  <c r="I22" i="34" s="1"/>
  <c r="I18" i="30"/>
  <c r="H18" i="34"/>
  <c r="I18" i="34" s="1"/>
  <c r="E20" i="30"/>
  <c r="F20" i="30" s="1"/>
  <c r="E14" i="30"/>
  <c r="F14" i="30" s="1"/>
  <c r="E19" i="30"/>
  <c r="F19" i="30" s="1"/>
  <c r="E25" i="30"/>
  <c r="F25" i="30" s="1"/>
  <c r="E12" i="30"/>
  <c r="F12" i="30" s="1"/>
  <c r="E11" i="30"/>
  <c r="F11" i="30" s="1"/>
  <c r="E10" i="30"/>
  <c r="F10" i="30" s="1"/>
  <c r="E9" i="30"/>
  <c r="F9" i="30" s="1"/>
  <c r="E8" i="30"/>
  <c r="F8" i="30" s="1"/>
  <c r="E6" i="30"/>
  <c r="F6" i="30" s="1"/>
  <c r="H6" i="30"/>
  <c r="E5" i="30"/>
  <c r="F5" i="30" s="1"/>
  <c r="E4" i="30"/>
  <c r="F4" i="30" s="1"/>
  <c r="E17" i="29"/>
  <c r="F17" i="29" s="1"/>
  <c r="E8" i="29"/>
  <c r="F8" i="29" s="1"/>
  <c r="H7" i="29"/>
  <c r="I7" i="29" s="1"/>
  <c r="E6" i="29"/>
  <c r="F6" i="29" s="1"/>
  <c r="H6" i="29"/>
  <c r="I6" i="29" s="1"/>
  <c r="E5" i="29"/>
  <c r="F5" i="29" s="1"/>
  <c r="E14" i="29"/>
  <c r="F14" i="29" s="1"/>
  <c r="E10" i="29"/>
  <c r="F10" i="29" s="1"/>
  <c r="D2" i="29"/>
  <c r="E15" i="18"/>
  <c r="F15" i="18" s="1"/>
  <c r="E7" i="18"/>
  <c r="F7" i="18" s="1"/>
  <c r="E13" i="18"/>
  <c r="F13" i="18" s="1"/>
  <c r="E9" i="18"/>
  <c r="F9" i="18" s="1"/>
  <c r="E14" i="18"/>
  <c r="F14" i="18" s="1"/>
  <c r="D2" i="18"/>
  <c r="E6" i="18"/>
  <c r="F6" i="18" s="1"/>
  <c r="D4" i="34"/>
  <c r="E24" i="1"/>
  <c r="F24" i="1" s="1"/>
  <c r="E23" i="1"/>
  <c r="F23" i="1" s="1"/>
  <c r="E21" i="1"/>
  <c r="F21" i="1" s="1"/>
  <c r="H24" i="1"/>
  <c r="I24" i="1" s="1"/>
  <c r="H25" i="1"/>
  <c r="I25" i="1" s="1"/>
  <c r="H23" i="1"/>
  <c r="I23" i="1" s="1"/>
  <c r="H21" i="1"/>
  <c r="H21" i="34" s="1"/>
  <c r="I21" i="34" s="1"/>
  <c r="I18" i="72"/>
  <c r="E24" i="30"/>
  <c r="F24" i="30" s="1"/>
  <c r="E23" i="30"/>
  <c r="F23" i="30" s="1"/>
  <c r="E22" i="30"/>
  <c r="F22" i="30" s="1"/>
  <c r="E18" i="30"/>
  <c r="F18" i="30" s="1"/>
  <c r="I22" i="1"/>
  <c r="E19" i="1"/>
  <c r="F19" i="1" s="1"/>
  <c r="I18" i="1"/>
  <c r="E18" i="1"/>
  <c r="F18" i="1" s="1"/>
  <c r="I20" i="1"/>
  <c r="G20" i="34"/>
  <c r="G23" i="34"/>
  <c r="E22" i="1"/>
  <c r="F22" i="1" s="1"/>
  <c r="E20" i="1"/>
  <c r="F20" i="1" s="1"/>
  <c r="E25" i="1"/>
  <c r="F25" i="1" s="1"/>
  <c r="I19" i="1"/>
  <c r="D2" i="30"/>
  <c r="E17" i="1"/>
  <c r="F17" i="1" s="1"/>
  <c r="E16" i="1"/>
  <c r="F16" i="1" s="1"/>
  <c r="I17" i="72"/>
  <c r="I16" i="72"/>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E7" i="1"/>
  <c r="F7" i="1" s="1"/>
  <c r="E15" i="1"/>
  <c r="F15" i="1" s="1"/>
  <c r="G2" i="1"/>
  <c r="E8" i="1"/>
  <c r="F8" i="1" s="1"/>
  <c r="E11" i="1"/>
  <c r="F11" i="1" s="1"/>
  <c r="E9" i="1"/>
  <c r="F9" i="1" s="1"/>
  <c r="E10" i="1"/>
  <c r="F10" i="1" s="1"/>
  <c r="E12" i="1"/>
  <c r="F12" i="1" s="1"/>
  <c r="E5" i="1"/>
  <c r="F5" i="1" s="1"/>
  <c r="E13" i="1"/>
  <c r="F13" i="1" s="1"/>
  <c r="E6" i="1"/>
  <c r="F6" i="1" s="1"/>
  <c r="E14" i="1"/>
  <c r="F14" i="1" s="1"/>
  <c r="H14" i="30"/>
  <c r="H9" i="30"/>
  <c r="H4" i="30"/>
  <c r="I4" i="30" s="1"/>
  <c r="E7" i="30"/>
  <c r="F7" i="30" s="1"/>
  <c r="H12" i="30"/>
  <c r="H7" i="30"/>
  <c r="H15" i="30"/>
  <c r="H10" i="30"/>
  <c r="H5" i="30"/>
  <c r="H13" i="30"/>
  <c r="H8" i="30"/>
  <c r="H11" i="30"/>
  <c r="E7" i="29"/>
  <c r="F7" i="29" s="1"/>
  <c r="H8" i="29"/>
  <c r="I8" i="29" s="1"/>
  <c r="H11" i="29"/>
  <c r="I11" i="29" s="1"/>
  <c r="H14" i="29"/>
  <c r="I14" i="29" s="1"/>
  <c r="H4" i="29"/>
  <c r="I4" i="29" s="1"/>
  <c r="E15" i="29"/>
  <c r="F15" i="29" s="1"/>
  <c r="H5" i="29"/>
  <c r="I5" i="29" s="1"/>
  <c r="H14" i="18"/>
  <c r="I14" i="18" s="1"/>
  <c r="H9" i="18"/>
  <c r="I9" i="18" s="1"/>
  <c r="H6" i="18"/>
  <c r="I6" i="18" s="1"/>
  <c r="H4" i="18"/>
  <c r="I4" i="18" s="1"/>
  <c r="H12" i="18"/>
  <c r="I12" i="18" s="1"/>
  <c r="H7" i="18"/>
  <c r="I7" i="18" s="1"/>
  <c r="H15" i="18"/>
  <c r="I15" i="18" s="1"/>
  <c r="H10" i="18"/>
  <c r="I10" i="18" s="1"/>
  <c r="C4" i="34"/>
  <c r="H5" i="18"/>
  <c r="I5" i="18" s="1"/>
  <c r="H13" i="18"/>
  <c r="I13" i="18" s="1"/>
  <c r="H8" i="18"/>
  <c r="I8" i="18" s="1"/>
  <c r="H11" i="18"/>
  <c r="I11" i="18" s="1"/>
  <c r="C2" i="29"/>
  <c r="C2" i="30"/>
  <c r="E4" i="29"/>
  <c r="F4" i="29" s="1"/>
  <c r="C2" i="18"/>
  <c r="H7" i="1"/>
  <c r="I7" i="1" s="1"/>
  <c r="H4" i="1"/>
  <c r="H5" i="1"/>
  <c r="I5" i="1" s="1"/>
  <c r="H15" i="1"/>
  <c r="I15" i="1" s="1"/>
  <c r="H12" i="1"/>
  <c r="I12" i="1" s="1"/>
  <c r="H11" i="1"/>
  <c r="I11" i="1" s="1"/>
  <c r="H10" i="1"/>
  <c r="I10" i="1" s="1"/>
  <c r="H6" i="1"/>
  <c r="I6" i="1" s="1"/>
  <c r="C2" i="1"/>
  <c r="E2" i="3"/>
  <c r="F2" i="3" s="1"/>
  <c r="E4" i="1"/>
  <c r="F4" i="1" s="1"/>
  <c r="H14" i="1"/>
  <c r="I14" i="1" s="1"/>
  <c r="H13" i="1"/>
  <c r="I13" i="1" s="1"/>
  <c r="H9" i="1"/>
  <c r="I9" i="1" s="1"/>
  <c r="H8" i="1"/>
  <c r="I8" i="1" s="1"/>
  <c r="D2" i="1"/>
  <c r="E2" i="33"/>
  <c r="F2" i="33" s="1"/>
  <c r="E2" i="32"/>
  <c r="F2" i="32" s="1"/>
  <c r="E2" i="31"/>
  <c r="F2" i="31" s="1"/>
  <c r="E2" i="27"/>
  <c r="F2" i="27" s="1"/>
  <c r="E2" i="26"/>
  <c r="F2" i="26" s="1"/>
  <c r="E2" i="19"/>
  <c r="F2" i="19" s="1"/>
  <c r="E2" i="21"/>
  <c r="F2" i="21" s="1"/>
  <c r="E2" i="4"/>
  <c r="F2" i="4" s="1"/>
  <c r="H2" i="72"/>
  <c r="E21" i="34" l="1"/>
  <c r="F21" i="34" s="1"/>
  <c r="E14" i="34"/>
  <c r="F14" i="34" s="1"/>
  <c r="E10" i="34"/>
  <c r="F10" i="34" s="1"/>
  <c r="E8" i="34"/>
  <c r="F8" i="34" s="1"/>
  <c r="E13" i="34"/>
  <c r="F13" i="34" s="1"/>
  <c r="E11" i="34"/>
  <c r="F11" i="34" s="1"/>
  <c r="E7" i="34"/>
  <c r="F7" i="34" s="1"/>
  <c r="E5" i="34"/>
  <c r="F5" i="34" s="1"/>
  <c r="E17" i="34"/>
  <c r="F17" i="34" s="1"/>
  <c r="E15" i="34"/>
  <c r="F15" i="34" s="1"/>
  <c r="H24" i="34"/>
  <c r="I24" i="34" s="1"/>
  <c r="E12" i="34"/>
  <c r="F12" i="34" s="1"/>
  <c r="E9" i="34"/>
  <c r="F9" i="34" s="1"/>
  <c r="E6" i="34"/>
  <c r="F6" i="34" s="1"/>
  <c r="H23" i="34"/>
  <c r="I23" i="34" s="1"/>
  <c r="I21" i="1"/>
  <c r="H25" i="34"/>
  <c r="I25" i="34" s="1"/>
  <c r="E16" i="34"/>
  <c r="F16" i="34" s="1"/>
  <c r="D2" i="34"/>
  <c r="I11" i="30"/>
  <c r="H11" i="34"/>
  <c r="I11" i="34" s="1"/>
  <c r="I8" i="30"/>
  <c r="H8" i="34"/>
  <c r="I8" i="34" s="1"/>
  <c r="I13" i="30"/>
  <c r="H13" i="34"/>
  <c r="I13" i="34" s="1"/>
  <c r="I5" i="30"/>
  <c r="H5" i="34"/>
  <c r="I5" i="34" s="1"/>
  <c r="I10" i="30"/>
  <c r="H10" i="34"/>
  <c r="I10" i="34" s="1"/>
  <c r="I7" i="30"/>
  <c r="H7" i="34"/>
  <c r="I7" i="34" s="1"/>
  <c r="I12" i="30"/>
  <c r="H12" i="34"/>
  <c r="I12" i="34" s="1"/>
  <c r="I9" i="30"/>
  <c r="H9" i="34"/>
  <c r="I9" i="34" s="1"/>
  <c r="I14" i="30"/>
  <c r="H14" i="34"/>
  <c r="I14" i="34" s="1"/>
  <c r="I6" i="30"/>
  <c r="H6" i="34"/>
  <c r="I6" i="34" s="1"/>
  <c r="I15" i="30"/>
  <c r="H15" i="34"/>
  <c r="I15" i="34" s="1"/>
  <c r="E2" i="29"/>
  <c r="F2" i="29" s="1"/>
  <c r="E4" i="34"/>
  <c r="F4" i="34" s="1"/>
  <c r="I20" i="34"/>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<sst xmlns="http://schemas.openxmlformats.org/spreadsheetml/2006/main" count="1441" uniqueCount="785">
  <si>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</si>
  <si>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</si>
  <si>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</si>
  <si>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</si>
  <si>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</si>
  <si>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</si>
  <si>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</si>
  <si>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</si>
  <si>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</si>
  <si>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</si>
  <si>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</si>
  <si>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</si>
  <si>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</si>
  <si>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</si>
  <si>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</si>
  <si>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</si>
  <si>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</si>
  <si>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</si>
  <si>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</si>
  <si>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</si>
  <si>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</si>
  <si>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</si>
  <si>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Site production was low due to rain/ snow.</t>
  </si>
  <si>
    <t xml:space="preserve">1.Inverter 1&amp;3 tripped offline at 12:45PM on 01/04 due to Grid Line Voltage Out of Range fault and back online at 11:45AM on 01/06 after technician re-energised, Inverter 2 stopped communicating at 12:30PM from 01/04, upon technician arrival he found inverter 2 was also offline and is being RMA'd.
</t>
  </si>
  <si>
    <t>1.SR095312</t>
  </si>
  <si>
    <t>1.Inverter 10 tripped offline from 06/18/24 due to Relay fault - Fault0100 and is being RMA'd.
2.Inverter 8 was offline on 01/18 and back online on 01/19.
3.Site was taken offline from 09:15AM to 10:15AM on 01/13 due to technicians checked-in to replace the SEL751a relay battery.</t>
  </si>
  <si>
    <t>1.SR089997
2.SR095693
3.SR094233</t>
  </si>
  <si>
    <t>SR095693</t>
  </si>
  <si>
    <t>SR094233</t>
  </si>
  <si>
    <t>1.Inverter 13 was RMA'd since 08/20/24 due to thermal event in powerhead of the inverter.</t>
  </si>
  <si>
    <t>1.SR089170, SR095220</t>
  </si>
  <si>
    <t>SR095220</t>
  </si>
  <si>
    <t>1.Inverter 9 was offline from 11/02/24 due to Protect 0010 fault and is being RMA'd .
2.The site was taken offline at 10:30 AM on 01/22 as the technician checked in to replace the SEL 751 UPS battery cluster and site was brought back online at 14:30 on 01/23.</t>
  </si>
  <si>
    <t>1.SR089564, SR093404
2.SR093406</t>
  </si>
  <si>
    <t>SR093404</t>
  </si>
  <si>
    <t>SR093406</t>
  </si>
  <si>
    <t xml:space="preserve">1.Inverter B3 is being RMA'd from 12/19/24.
2.Site was taken offfline from 08:30AM to 11:00AM on 01/13 due to technicians checked-in to examine Transformer-1.
3.Inverter C1 tripped offline at 9AM on 01/03 due to Bus hardware overvoltage fault and back online on 01/04,
Inverter C1 failed to restart post transformer inspection and was faulted with a "Fault 0020" fault code and after technician powercycled, inverter resumed its production.
4.Inverters C6 &amp; D5 tripped offline at 14:30 on 01/18 due to Steady state GFCI fault and self-resolved on 01/19.
5.Inverter C6 tripped offline at 12:15PM on 01/31.
</t>
  </si>
  <si>
    <t>1.SR093500
2.SR094025
3.SR094028,
SR095517
4.SR095697
5.SR096199</t>
  </si>
  <si>
    <t>SR094025</t>
  </si>
  <si>
    <t>SR094028</t>
  </si>
  <si>
    <t>SR095517</t>
  </si>
  <si>
    <t>SR095697</t>
  </si>
  <si>
    <t>SR096199</t>
  </si>
  <si>
    <t>1.Inverter 2 right unit has multiple tripping events throughout the month due to low irradiance days.</t>
  </si>
  <si>
    <t>1.SR095300, SR095690</t>
  </si>
  <si>
    <t>SR095690</t>
  </si>
  <si>
    <t>1.Site tripped offline on 04/01/24 at 16:00 and still offline. Ameresco received a Scope of Work to conduct repairs on the existing system to prepare it safely for partial re-energization.</t>
  </si>
  <si>
    <t>1.SR092249,SR093403 &amp; SR096031</t>
  </si>
  <si>
    <t>SR093403</t>
  </si>
  <si>
    <t>SR096031</t>
  </si>
  <si>
    <t>1.The site tripped offline at 22:54 on 01/29 due to an open SEL relay caused by a utility power under-voltage loss. It was brought back online at 13:30 on 01/30 after the technician closed the relay and re-energized the site.</t>
  </si>
  <si>
    <t>1.SR096132</t>
  </si>
  <si>
    <t>1. Inverter 34 tripped offline at 03:15 PM on 01/02 and was RMA'd. The technician brought it back online at 01:45 PM on 01/09 by replacing the inverter.
2. Inverter 12 started late for production on 01/04 and 01/05 and went offline on 01/06. On 01/07, technicians confirmed that the inverter had been RMA'd and brought it back online at 02:15 PM on 01/10 by replacing it with a new one.
3. Site tripped offline at 02:24 AM on 01/22 due to a missing Phase A voltage. The technician brought it back online at 08:27 AM on 01/22 by re-energizing the site.
4.Inverter 27 has been offline since 09/05/2024 and is currently being RMA'd.</t>
  </si>
  <si>
    <t>1.SR095279
2.SR095309,SR095058
3.SR095843
4.SR089983</t>
  </si>
  <si>
    <t>SR095309</t>
  </si>
  <si>
    <t>SR095058</t>
  </si>
  <si>
    <t>SR095843</t>
  </si>
  <si>
    <t>SR089983</t>
  </si>
  <si>
    <t>1. Inverters 11 and 12 tripped offline at 09:15 AM on 01/11 due to a generic inverter fault and came back online at 09:00 AM on 01/23.</t>
  </si>
  <si>
    <t>1. SR095497</t>
  </si>
  <si>
    <t xml:space="preserve">1. Inverter 12 has been RMA'D and offline.
2.Due to snow event, the site has performed very low on 01/11 to 01/30 </t>
  </si>
  <si>
    <t>1.SR094678
2.SR096154</t>
  </si>
  <si>
    <t>SR096154</t>
  </si>
  <si>
    <t xml:space="preserve">1.Inverter 17 is offline since 12/25/2024 due to reporting ARC Protection Fault and technician broought it back online at 08:15AM on 01/06 .
2.Inverter 2 tripped offline on 01/13 and is being RMA'd. The technician stated that the inverters are showing fault codes related to bus overvoltage and arc faults.
3.Inverter 17 tripped offline at 08:45 AM on 01/14, reporting an ARC protection fault. The technician brought it back online at 02:15 PM by clearing the faults.
4.Inverter 3 tripped offline at 07:54 AM on 01/15, reporting an ARC protection fault. The technician brought it back online at 09:00 AM on 01/16 by clearing the fault.
5.Inverter 17 tripped offline at 07:49 AM on 01/16, reporting an ARC protection fault. The technician brought it back online at 01:00 PM by clearing the faults.
6.Inverter 27 tripped offline at 07:46 AM on 01/25 due to an ARC protection fault. The technician brought it back online at 09:45 AM on 01/27 by clearing the fault.
</t>
  </si>
  <si>
    <t>1.SR095079
2.SR095518
3.SR095538
4.SR095579
5.SR095616
6.SR095972</t>
  </si>
  <si>
    <t>SR095518</t>
  </si>
  <si>
    <t>SR095538</t>
  </si>
  <si>
    <t>SR095579</t>
  </si>
  <si>
    <t>SR095616</t>
  </si>
  <si>
    <t>SR095972</t>
  </si>
  <si>
    <t>1.Inverters 1 to 8 are underperforming by 10KW possibly due to seasonal shading.</t>
  </si>
  <si>
    <t>1.SR092108</t>
  </si>
  <si>
    <t>1. Inverter 19 tripped offline at 12:30PM on 01/ 11 and back online at 07:00AM on 01/12 due to Generic inverter fault.
2. Inverter 02 tripped offline at 10:45 AM on 01/17 and back online at 07:00 AM on 01/18. Additionally, Inverters 2, 18, and 19 tripped offline at 12:45 PM on 01/18 and back online at 07:00 AM on 01/19 due to a generic fault.</t>
  </si>
  <si>
    <t>1. SR095495
2. SR095674</t>
  </si>
  <si>
    <t>SR095674</t>
  </si>
  <si>
    <t>1. Inverters 2, 5, 6, 12, and 24 tripped offline at 11:45 AM on 01/11 and back online at 07:00 AM on 01/12. Again, Inverters 1, 2, 5, 6, and 24 tripped offline at 10:30 AM on 01/17 and back online at 07:00 AM on 01/18. Then, Inverters 1, 2, 5, 6, 9, 12, 14, 15, and 24 tripped offline at 12:30 PM on 01/18 and back online at 07:00 AM on 01/19. Lastly, Inverters 2, 5, 6, and 24 tripped offline at 08:15 AM on 01/31 due to a "Generic Inverter Fault.</t>
  </si>
  <si>
    <t>1. SR095494</t>
  </si>
  <si>
    <t>1. Inverter 2 tripped offline at 11:45 AM on 01/07 and back online at 09:15 AM on 01/21. It tripped offline again at 12:15 PM on 01/23 and back online at 10:00 AM on 01/24 due to the grid line voltage over limit fault &amp; broken module and is being RMA'd.</t>
  </si>
  <si>
    <t>1. SR095360, SR092627, SR095903</t>
  </si>
  <si>
    <t>SR092627</t>
  </si>
  <si>
    <t>SR095903</t>
  </si>
  <si>
    <t>1. Meter MTRO1 has no communicatuion whole month due to an faulty meter. Additional troubleshooting is required. The actual energy which we updated was addition of four meters.
2. On 01/27/25, during a PM event, the technician identified 8 faulty modules on the CTC roof that needed replacement.
3. On 01/02 technician was onsite replaced powerhead and communication card for inverters 66 and 67 and they started reporting.
4. Inverter 4-1 was offline since 12/30/24 due to an faulty combiner box. Working with SMA for replacement.</t>
  </si>
  <si>
    <t>1. SR094890, SR094283
2.  SR095761, PM11788.
3. SR094889
4. SR095199</t>
  </si>
  <si>
    <t>SR094283</t>
  </si>
  <si>
    <t>SR095761</t>
  </si>
  <si>
    <t>SR094889</t>
  </si>
  <si>
    <t>SR095199</t>
  </si>
  <si>
    <t>1. Inverter C02 didn't started for production and remained offline whole day. On 01/10 technician powercycled and inverter back online at 11:40AM. However inverter again tripped offline at 14:55 on the same day. On 01/23 technician replaced contactors and inverter back online at 11:35AM.</t>
  </si>
  <si>
    <t>1. SR095429</t>
  </si>
  <si>
    <t>1. Inverter B8 didn't started for production and after a remote reset inverter back online at 10:40AM on 01/16. However on 01/21 inverter again not started and remained offline whole day. On 01/22 technician troubleshooted and brought inverter back online at 10:40AM.</t>
  </si>
  <si>
    <t>1. SR095620</t>
  </si>
  <si>
    <t>February Actual v. Expected</t>
  </si>
  <si>
    <t>February Actual v. Forecasted</t>
  </si>
  <si>
    <t>1.Inverter 2 was being RMA'D and offline since 01/04.
2. Site production was low due to rain/ snow.</t>
  </si>
  <si>
    <t>1.Inverter 10 has been offline since 06/18/24 due to a relay fault (Fault0100) and is being RMA'd. Upon the technician's arrival on 02/26, the inverter was brought back online at 11:00 AM by replacing the old inverter with a new one.
2. Site production was low due to rain/ snow.</t>
  </si>
  <si>
    <t>1.SR089997</t>
  </si>
  <si>
    <t>1.Inverter 13 was RMA'd since 08/20/24 due to thermal event in powerhead of the inverter.
2. Site production was low due to rain/ snow.</t>
  </si>
  <si>
    <t>1.Inverter 9 was offline from 11/02/24 due to Protect 0010 fault and is being RMA'd 2. Site production was low due to rain/ snow.</t>
  </si>
  <si>
    <t>1.SR089564, 	SR093404</t>
  </si>
  <si>
    <t>1.Inverter C6 tripped offline at 12:15PM on 01/31 and back online at 07:00AM on 02/01.
2..Inverter B3 is being RMA'd from 12/19/24.</t>
  </si>
  <si>
    <t>1.SR096199
2.SR093500</t>
  </si>
  <si>
    <t>SR093500</t>
  </si>
  <si>
    <t>1.The site was in battery mode at 11:00 PM on 01/31. On 02/01, upon the technician's arrival, the site was re-energized and brought back online at 10:45 AM on 02/01.
2. Site production was low due to rain/ snow.</t>
  </si>
  <si>
    <t>1.SR096206</t>
  </si>
  <si>
    <t>1.Inverter 6 middle unit tripped at  02:45PM  reporting DC Isolation fault and back online at  07:15AM on 02/08.</t>
  </si>
  <si>
    <t>1.SR096522</t>
  </si>
  <si>
    <t>1.SR096031, 	SR093403</t>
  </si>
  <si>
    <t>1.Inverter 27 has been offline since 09/05/2024 and is currently being RMA'd.
2. 1. Site production was low due to rain/ snow.</t>
  </si>
  <si>
    <t>1.SR089983</t>
  </si>
  <si>
    <t>1.Inverter 12 has been RMA'D and offline.
2.  Site production was low due to rain/ snow.</t>
  </si>
  <si>
    <t>1.SR094678</t>
  </si>
  <si>
    <t>1.Inverter 2 came back online at 10:15 on 02/24 after the technician replaced the faulty powerhead.
2. Site tripped offline at 09:45 on 02/17/25. On 02/18, the technician reset the SEL relay and re-energized the site at 09:15.
3. Site production was low due to rain/ snow.</t>
  </si>
  <si>
    <t>1. SR095518
2. SR097183</t>
  </si>
  <si>
    <t>SR097183</t>
  </si>
  <si>
    <t>1. Inverter 4 tripped offline at 15:45 on 02/16/25 and self resolved at 07:00 on 02/17/25</t>
  </si>
  <si>
    <t>1.SR097175</t>
  </si>
  <si>
    <t>1. Inverter 19 tripped offline at 09:15 on 02/ 06 and back online at 07:00AM on 02/07 due to Generic inverter fault.
2. On 01/15/25, the technician found a faulty module in Inverter 8 string 8-9 during string testing, requiring replacement.
3. Inverters 14, 15, 18, 19 &amp; 21 are tripped offline at 07:45 on 02/26/25 due to a "Generic Inverter Fault"and the technician adjusted the GFCI parameters, bringing them back online at 15:15 the same day.</t>
  </si>
  <si>
    <t>1. SR095495
2. SR095573
3. SR095674</t>
  </si>
  <si>
    <t>SR095573</t>
  </si>
  <si>
    <t>1. Inverters 2, 5, 6, and 24 tripped offline at 08:15 AM on 01/31 due to a "Generic Inverter Fault" and self-resolved on 02/01. Inverters 2 and 24 tripped again at 10:30 on 02/03 and came back online on 02/04. Inverters 2, 5, and 24 tripped at 11:10 on 02/09 and self-resolved on 02/10. On 02/26, Inverters 1, 2, 5, and 14 went offline, and the technician adjusted the GFCI parameters, bringing them back online at 13:15 the same day.</t>
  </si>
  <si>
    <t>1. Inverter 4 &amp; 6 tripped offline at 10:45 on 02/27/25 due to an Generic inverter fault. on 02/28, the technician adjusted the parametres and brought back online at 07:00 the same day.</t>
  </si>
  <si>
    <t>1. SR097872</t>
  </si>
  <si>
    <t>1. Meter MTRO1 has no communicatuion whole month due to an faulty meter. On 03/10 technican troubleshooted but didnot worked. Meter require replacement.
2. Inverter 4-1 was offline since 12/30/24 due to an faulty combiner box. On 02/03/25, the technician replaced faulty onces with new CB and site brought back online at 07:27 on 02/04.
3. On 01/27/25, during a PM event, the technician identified 8 faulty modules on the CTC roof that needed replacement.
4. On 01/15/25, during a PM event , the technician identified faulty positive DC terminal at Inverter 7-5 and additional troubleshooting is required to restore power.
5. Numerous inverters in the BNB Camden site do not communicate to PowerFactors.  Many appear to be duplicates.</t>
  </si>
  <si>
    <t>1. SR093773, SR094890
2. SR095199
3. SR095761, PM11788, SR096555
4. SR096557, SR096558, PM11794
5. SR097964</t>
  </si>
  <si>
    <t>SR094890</t>
  </si>
  <si>
    <t>SR096555</t>
  </si>
  <si>
    <t>SR096557</t>
  </si>
  <si>
    <t>SR096558</t>
  </si>
  <si>
    <t>SR097964</t>
  </si>
  <si>
    <t>1. Site was offline due to  faulty utility recloser from 12:30 on 02/17/25 and  Eversource Tech was able to close the recloser, site is back online at 15:30 on 02/25/25.</t>
  </si>
  <si>
    <t>1. SR097196, SR097608</t>
  </si>
  <si>
    <t>SR097608</t>
  </si>
  <si>
    <t>1. Inverter B08 experienced late started issue throughout the month and on 02/28 technician troubleshooted but didn't work and inverter IGBT on phase A was being RMA'd.</t>
  </si>
  <si>
    <t>1. SR096221</t>
  </si>
  <si>
    <t>March Actual v. Expected</t>
  </si>
  <si>
    <t>March Actual v. Forecasted</t>
  </si>
  <si>
    <t>1.The weather station equipment on the DAS is showing some odd readings</t>
  </si>
  <si>
    <t>1.SR070225</t>
  </si>
  <si>
    <t>1.Inverter 2 was being RMA'D and offline since 01/04.</t>
  </si>
  <si>
    <t>1.SR095220,SR089170</t>
  </si>
  <si>
    <t>SR089170</t>
  </si>
  <si>
    <t>1.Inverter 9 was offline from 11/02/24 due to Protect 0010 fault and is being RMA'd .</t>
  </si>
  <si>
    <t>1.The site tripped offline at 04:00 AM on 03/07. Upon the technician's arrival on the same day, it was found that the main breaker had tripped. The site was brought back online at 09:00 AM on 03/07 by closing the main breaker.
2.The site tripped offline at 07:15 AM on 03/09. Upon the technician's arrival on the same day, it was found that the main breaker was open. The site was brought back online at 03:15 PM on 03/09 by closing the main breaker.
3.Inverter 6 tripped offline at 16:30 on 03/11 and reporting an 'Error.' Upon the technician's arrival on 03/12, he re-energized the inverter and brought it back online at 12:45 on 03/12 and the inverter is running with two strings down.
4.Inverter 6 is underperforming by 6KW.</t>
  </si>
  <si>
    <t>1.SR098239
2.SR098314
3.SR098404
4.SR099133</t>
  </si>
  <si>
    <t>SR098314</t>
  </si>
  <si>
    <t>SR098404</t>
  </si>
  <si>
    <t>SR099133</t>
  </si>
  <si>
    <t>1. Inverter 3 tripped offline at 15:45 on 03/10 due to an ARC fault. Upon the technician's arrival, he cleared the fault and brought it back online at 11:45 on 03/12.</t>
  </si>
  <si>
    <t>1.SR098378</t>
  </si>
  <si>
    <t>1.The Inverter B3 is being RMA'd since 12/19/24, awaiting Greenbeckers' response to proceed with the replacement of the inverter.</t>
  </si>
  <si>
    <t>1.SR093500</t>
  </si>
  <si>
    <t xml:space="preserve">1.Inverter 11 middle unit tripped offline at 13:15 on 03/10, Upon technicians arrival on 03/12 brought it back online at 09:00.
2.Inverter 6 left unit tripped offline at 14:00 on 03/08 ,Upon technicians arrival on 03/12 brought it back online at 08:00.
3.Inverter 1 right unit was underperforming by 15KW from 02/28.
</t>
  </si>
  <si>
    <t>1.SR098367
2.SR098369
3.SR099134</t>
  </si>
  <si>
    <t>SR098369</t>
  </si>
  <si>
    <t>SR099134</t>
  </si>
  <si>
    <t>1. Site production was low on 03/05, 03/16, 03/17 and 03/24 due to bad weather.</t>
  </si>
  <si>
    <t>1.SR096031, 	SR093403, SR097902,	SR098208, SR099015</t>
  </si>
  <si>
    <t>SR097902</t>
  </si>
  <si>
    <t>SR098208</t>
  </si>
  <si>
    <t>SR099015</t>
  </si>
  <si>
    <t>1. The site was offline at 3:00 AM on 03/07 due to the SEL relay being in the open position. After the technician reset the SEL relay, the site came back online at 10:15 AM on 03/08.</t>
  </si>
  <si>
    <t>1. 	SR098246</t>
  </si>
  <si>
    <t>1.The site was offline at 10:30 AM to 2:15 PM on 03/07, but it later self-resolved.</t>
  </si>
  <si>
    <t>1. SR098268</t>
  </si>
  <si>
    <t xml:space="preserve">1. Inverter 7 was offline on multiple days on 03/21, 03/24, and 03/30, due to a bus differential high fault.
</t>
  </si>
  <si>
    <t>1. SR098865</t>
  </si>
  <si>
    <t xml:space="preserve">1.Inverter 12 has been RMA'D and offline,Awaiting for the Greenbackers approval for the replacement of new inverter.
</t>
  </si>
  <si>
    <t>1.Inverter 8 was taken offline by technicians on 03/12 from 13:00 to 13:30 to replace a module in Inverter 8's array.</t>
  </si>
  <si>
    <t>1.SR095573</t>
  </si>
  <si>
    <t>1.Site was taken offline from 07:00 to 10:30 on 03/15 due to a planned outage. After the outage was completed, the site was re-energized.</t>
  </si>
  <si>
    <t>1.SR097601</t>
  </si>
  <si>
    <t>1.Site was offline from 22:15 on 03/15 to  07:00 on 03/16</t>
  </si>
  <si>
    <t>1.SR098621</t>
  </si>
  <si>
    <t>1.Inverter 3 was offline from 03/17 due to isolation fault.On 03/19,a technician was able to troubleshoot inverter 3 and it is back online producing on site, however the communication board has been RMA'd and mentioned that inverter 3 will not have communication  until the board is replaced.</t>
  </si>
  <si>
    <t>1.SR098681</t>
  </si>
  <si>
    <t>1. Inverter 02 tripped offline at 14:15 on 03/10  due to out of range grid line voltage. On 03/11, a technician found DC voltage present but no AC voltage due to a tripped breaker. After resetting it, the inverter was back online and producing at 10:35 AM
2. Inverter 10 &amp;11 tripped offline at 15:55 on 03/25  due to out of range grid line voltage.And Both the inverters are back online at 17:06 EDT on 03/25.</t>
  </si>
  <si>
    <t>1.SR098348
2.SR098978</t>
  </si>
  <si>
    <t>SR098978</t>
  </si>
  <si>
    <t>1.Site was offline from  02:35 PM on 03/28 to 01:30 PM on 03/29 due to an utility outage.</t>
  </si>
  <si>
    <t>1.SR099112</t>
  </si>
  <si>
    <t>1. Meter MTRO1 has no communicatuion whole month due to an faulty meter. it's needed to be replaced and additional troubleshooting is required to restore communications.
2. On 01/27/25, during a PM event, the technician identified 8 faulty modules on the CTC roof that needed replacement.
3.  On 01/15/25, during a PM event , the technician identified faulty positive DC terminal at Inverter 7-5. On 03/10 technician visited the site and Wirebox being RMA'd. Further troubleshoot needed.
4. Several inverters at BNB Camden aren't communicating with PowerFactors, with many duplicates. On 03/10, a technician found comms issues, rewired inverters into a daisy chain, and confirmed comms. Only inverter 02-02 required an RMA'd comm board. Remote access to the CTC roof cell modem was confirmed with Zoë from Greenbacker. A return visit is needed once the RMA'd comm board arrives.</t>
  </si>
  <si>
    <t>1. SR093773, SR094890
2. SR095761, PM11788, SR096555
3. SR096557, SR096558, PM11794
4. SR097964</t>
  </si>
  <si>
    <t>1.Inverter 8 has been RMA'd since 02/28 and will remain offline.On 03/12, a technician replaced the Phase A IGBT, but the fault remained. On 03/28, a technician replaced the DSP and IF boards but the issue persisted. Technician has reached out to Solectria for assistance, and they confirmed IGBT on phase A has still an issue and need to be replaced along with IGHT to interface ribbon and mentioned Inverter 8 will remain offline until parts are replaced.</t>
  </si>
  <si>
    <t>1.SR096221</t>
  </si>
  <si>
    <t>April Actual v. Expected</t>
  </si>
  <si>
    <t>April Actual v. Forecasted</t>
  </si>
  <si>
    <t>1. Inverter 2 is tripping on and offline from 04/02. On 04/09 technician has inspected with the inverter and found no issues on inverter and it requires additional troubleshooting with the Solectria and created a case with them.</t>
  </si>
  <si>
    <t>1.SR099342</t>
  </si>
  <si>
    <t>1.SR095220 , SR089170</t>
  </si>
  <si>
    <t>1. Inverter 14 is experiencing multiple tripping's from 10:36AM on 04/02 due to AC voltages are in range. Self resolved on 04/03
2.Inverter 9 was offline from 11/02/24 due to Protect 0010 fault and is being RMA'd .</t>
  </si>
  <si>
    <t>1.	SR099314
2. SR089564 , 	SR093404</t>
  </si>
  <si>
    <t>SR089564</t>
  </si>
  <si>
    <t>1.Inverter 6 was underperforming by 5 kW. On 04/14, technicians found and replaced faulty fuses. The inverter is now producing as expected.</t>
  </si>
  <si>
    <t>1.	SR099133</t>
  </si>
  <si>
    <t>1.The Inverter B3 is being RMA'd since 12/19/24, awaiting Greenbacker's response to proceed with the replacement of the inverter.</t>
  </si>
  <si>
    <t>1.	SR093500</t>
  </si>
  <si>
    <t xml:space="preserve">1.Inverter 1 (right unit) was underperforming by 15 kW from 02/28 and experienced multiple tripping events. On 04/23, a technician updated the software and firmware. The inverter is now operating as expected.
2. Inverter 6 (left unit) tripped offline at 16:00 on 04/16. On 04/23, the technician observed Strings 2–7. String 2.7 remains isolated at the combiner box pending further investigation.
3.Inverter 6 right unit tripped offline from 4/25 at 15:00, reporting AC voltage too high.
</t>
  </si>
  <si>
    <t>1.SR099134
2.	SR10005,	SR100102
4.	SR100488</t>
  </si>
  <si>
    <t>SR10005,</t>
  </si>
  <si>
    <t>SR100102</t>
  </si>
  <si>
    <t>SR100488</t>
  </si>
  <si>
    <t>N/A</t>
  </si>
  <si>
    <t>1.	SR098208 ,SR096031, 	SR093403, SR097902,	SR098208, SR099015</t>
  </si>
  <si>
    <t>1. Inverter 9 tripped offline at 15:45 from 04/19 and reporting "Error". On 04/28 technician replaced inverter 9 and updated the serial number with AlsoEnergy and came back online on same day.</t>
  </si>
  <si>
    <t>1.SR100025</t>
  </si>
  <si>
    <t>1.Inverter 8 tripped offline at 14:00 on 04/21. On 04/23, a technician troubleshot the inverter, and it came back online.</t>
  </si>
  <si>
    <t>1.	SR100098</t>
  </si>
  <si>
    <t>1.Inverter 7 was offline on multiple days on 04/01 , 04/12, 04/15 due to a bus differential high fault and self-resolved on following days.</t>
  </si>
  <si>
    <t>1.SR099721</t>
  </si>
  <si>
    <t>1.Inverter 12 has been RMA'D and offline from 12/18/2024. Awaiting for the Greenbackers approval for the replacement of new inverter.</t>
  </si>
  <si>
    <t>1"Inverters 1 to 6 were producing low output at 66 kW starting at 09:00 AM on 04/08, while the other inverters were producing 125 kW. AC voltages were within range, and the issue self-resolved at 15:50 on the same day.</t>
  </si>
  <si>
    <t>1.SR099514</t>
  </si>
  <si>
    <t>1. ATI Tracker 6X motor 3 is stuck at 39.21degrees on 04/02 at 15:15 and tracker3 setpoint is tracking with the peer trackers. Impacting production of the inverters 7,8,9 after the mid day. On 04/15 technicain technician worked on trackers but are still experiencing issue, requires further troubleshooting.
2.Inverters 7 to 12 and 16 have been producing lower output at 66 kW since 04/08, compared to their peer inverters. Their internal temperatures are also lower than those of the normally operating inverters. Inverters 10 to 12 and 16 self-resolved on the same day, while inverters 7 to 9 remain underperforming, likely due to a tracker issue.</t>
  </si>
  <si>
    <t>1.SR099517
2.SR099512</t>
  </si>
  <si>
    <t>SR099512</t>
  </si>
  <si>
    <t>1.Site was offline at 15:30 on 04/02 due to the switchgear has dried out, but is rusty. The site will remain offline pending repairs to prevent water intrusion.</t>
  </si>
  <si>
    <t>1.SR099808</t>
  </si>
  <si>
    <t>1.Inverter 3 was offline from 03/17 due to isolation fault.On 03/19,a technician was able to troubleshoot inverter 3 and it is back online producing on site, however the communication board has been RMA'd and mentioned that inverter 3 will not have communication  until the board is replaced. On 04/24  new inverter and the left unit is being RMA'd due to thermal event and middle and right units are online and producing, due to error in the inverter right unit production is not capturing. Additional troubleshooting requires to get the inverter into fully operational.
2.Inverter 18 is derating by approximately 13 kW compared to peers and reporting "External fan error" from 04/25 at 13:15 . Self resolved on 04/27</t>
  </si>
  <si>
    <t>1.SR098681 , SR100367
2.	SR100422</t>
  </si>
  <si>
    <t>SR100367</t>
  </si>
  <si>
    <t>SR100422</t>
  </si>
  <si>
    <t>1. Inverters 14–22 and 24–26 did not start production on 04/03. Inverters 21–22 and 24–26 showed fault activity. All inverters were back online by 12:30PM on the same day</t>
  </si>
  <si>
    <t>1.	SR099355</t>
  </si>
  <si>
    <t>1.Inverter 8 has been RMA'd since 02/28 and will remain offline.On 03/12, a technician replaced the Phase A IGBT, but the fault remained. On 03/28, a technician replaced the DSP and IF boards but the issue persisted. Technician has reached out to Solectria for assistance, and they confirmed IGBT on phase A has still an issue and need to be replaced along with IGHT to interface ribbon and mentioned Inverter 8 will remain offline until parts are replaced. On 04/28  Replaced inverter CTs, inverter came back online at 11:00AM.</t>
  </si>
  <si>
    <t>1.	SR096221</t>
  </si>
  <si>
    <t>May Actual v. Expected</t>
  </si>
  <si>
    <t>May Actual v. Forecasted</t>
  </si>
  <si>
    <t>1.Site production was low due to rain/snow</t>
  </si>
  <si>
    <t>1.Inverter 2 was being RMA'd and offline since 01/04</t>
  </si>
  <si>
    <t>1.SR089170,SR095220</t>
  </si>
  <si>
    <t>1.SR093404,SR089564</t>
  </si>
  <si>
    <t>1.Site was tripped offline at 17:30 on 05/22 and was on "Battery Mode".On 05/23 technician checked in and reset SEL after which site was issolved and site was back online at 09:00 on 05/23.</t>
  </si>
  <si>
    <t>1.SR101866</t>
  </si>
  <si>
    <t>1. Inverters 6 and 8 went offline at 14:00 on 05/05 due to "AC voltage too high". The technician later replaced a faulty MC4 connector, and the inverters came back online at 09:40 on 05/07.
2. Inverter 8 (right unit) tripped offline at 16:00 on 05/03 due to "AC voltage too high". A technician, with support from Solectria, later adjusted all parameters, and the inverter resumed normal operation at 09:15 on 05/07.
3. Inverter 2 (left and right units) briefly tripped during periods of high irradiance at multiple instances around 12:00 on 05/14. Later, a technician on site reset the country code, and all three units resumed production at 11:15 on 05/16.
4. Inverter 11 (middle unit) tripped offline at 15:30 on 05/13 due to '3-Phase Possible Arc Detection'; a technician re-energized it, and it resumed normal production from 09:00 on 05/16. It tripped offline again at 12:15 on 05/26 and was re-energized by a technician on 05/30, coming back online at 13:15 on the same day.
5. Inverter 6 left unit tripped offline at 16:50 on 05/14 and later inverter stared producing normally from 09:15 on 05/23.
6.Inverter 8 (left and right units) tripped offline at 16:30 on 05/16. Later, a technician on site on 05/23 re-energized the inverter. The left unit came back online at 09:15 on 05/23, and the right unit is being RMA'd.
7. Inverter 2 right unit did not start production on 05/19 but came online after a remote reset at 11:45; it tripped offline again at 07:00 on 05/21 due to a 'Low Voltage Fault' and resumed operation at 09:00 on 05/22, though it has a history of late starts.
8. Inverter 10 middle unit has been producing low during peak hours since 05/22 due to an 'External Fan Fault,' and the fan is being RMA'd.
9.Inverter 6 right unit tripped offline at 16:30 on 05/25 due to 'AC Voltage Too High.' A technician later power-cycled the inverter on 05/30, and it came back online at 09:45 on the same day.
10. Inverter 8 right and left units tripped offline at 12:53 on 05/26 due to '3-Phase Possible Arc Detection' and are currently being RMA'd.
11. Inverter 1 right unit has been tripping on and off during high irradiance since 05/26 and is currently being RMA'd.
12. Inverter 9 right unit has been tripping on and off since 05/27 and is currently being RMA'd.</t>
  </si>
  <si>
    <t>1. SR100488
2. SR101380
3. SR101381
4. SR101443, SR101950
5. SR101655
6. SR101656
7. SR101674, SR101815
8. SR101858
9. SR101930
10. SR101949
11. SR101976
12. SR101977</t>
  </si>
  <si>
    <t>SR101380</t>
  </si>
  <si>
    <t>SR101381</t>
  </si>
  <si>
    <t>SR101443</t>
  </si>
  <si>
    <t>SR101950</t>
  </si>
  <si>
    <t>SR101655</t>
  </si>
  <si>
    <t>SR101656</t>
  </si>
  <si>
    <t>SR101674</t>
  </si>
  <si>
    <t>SR101815</t>
  </si>
  <si>
    <t>SR101858</t>
  </si>
  <si>
    <t>SR101930</t>
  </si>
  <si>
    <t>SR101949</t>
  </si>
  <si>
    <t>SR101976</t>
  </si>
  <si>
    <t>SR101977</t>
  </si>
  <si>
    <t>1.SR101769,SR098208 ,SR096031, 	SR093403, SR097902,	SR098208, SR099015</t>
  </si>
  <si>
    <t>1.Inverter-17 tripped offline at 16:26 on 05/15 due to high residual current.On 05/16 technician attempted to interface with inverter through several methods but was unsuccessful.On 05/20 technician with the SMA support had resolved the issue and inverter was back online at 17:30 on 05/20.</t>
  </si>
  <si>
    <t>1.SR101576</t>
  </si>
  <si>
    <t>1.Site was tripped offline at 12:30 and was back online at 16:45 on 05/04.Site was tripped offline at 10:30 on 05/07 after technician checked in stabilized C phase voltages site was auto recolsed and was back online at 05:15 on 05/08.
2.Site tripped offline at 11:30 on 05/10 and was back online at 20:45 on 05/10,Site tripped offline at 08:15 on 05/11 and was back online at 19:45 on 05/11,Site tripped offline at 09:00 on 05/12 and was back online at 22:30 on 05/12,Site tripped offline at 08:15 on 05/13 and was back online at 20:15 on 05/13,Site tripped offline at 10:00 on 05/14 and was back online at 23:00 on 05/14,Site tripped offline at 11:30 on 05/15 and was back online at 02:00 on 05/15,Site tripped offline at 05:45 on 05/17 and was back online at 23:00 on 05/17,Site tripped offline at 08:00 on 05/18 and was back online at 22:15 on 05/18,Site tripped offline at 09:45 on 05/19 and was back online at 17:15 on 05/19,Site tripped offline at 10:15 on 05/20 and was back online at 18:15 on 05/20,Site tripped offline at 12:45 on 05/23 and was back online at 18:30 on 05/23,Site tripped offline at 10:15 on 05/24 and was back online at 20:30 on 05/24,Site tripped offline at 08:15 on 05/25 and was back online at 20:30 on 05/25,Site tripped offline at 08:15 on 05/26 and was back online at 21:30 on 05/26,Site tripped offline at 08:30 on 05/27 and was back online at 22:45 on 05/27,Site tripped offline at 07:30 on 05/28 and was back online at 23:00 on 05/28,Site tripped offline at 07:45 on 05/29 and was back online at 00:45 on 05/30 after S3 Power replaced the recloser.</t>
  </si>
  <si>
    <t>1.SR100989
2.SR101269</t>
  </si>
  <si>
    <t>SR101269</t>
  </si>
  <si>
    <t>1. Inverter 7 tripped offline at 07:00 on 05/10 and reporting "bus differential high fault". and later self resolved and back online at 07:00 on 05/11.</t>
  </si>
  <si>
    <t>1. SR099721</t>
  </si>
  <si>
    <t>1. The site tripped offline at 10:15 on 05/22. Additionally, all the inverters were reporting a 'Generic inverter fault.' Later, a technician checked in on 05/22 and power-cycled all the inverters. All the inverters were then back online by 14:15 on 05/22.
2. Inverter 6 is derating at 39 kW on 05/27 and reporting "Fan fault " later self resolved and back online on 05/28.</t>
  </si>
  <si>
    <t>1. SR101843
2. SR101988</t>
  </si>
  <si>
    <t>SR101988</t>
  </si>
  <si>
    <t>1. Inverter 13 tripped offline at 09:30 on 05/05, reporting an arc protection fault. After a technician checked the site on 05/06 and inspected the string and cleared the arc fault, the inverter was brought back online at 10:30 on 05/06.
2. Inverter 12 had been offline since 12/18/2024. A technician checked the site on 05/06 and re-energized the inverter, bringing it back online at 10:30 on 05/06. However, it tripped offline again at 07:00 on 05/08. The inverter is currently under RMA.
3. Inverter 3 tripped offline at 13:40, reporting 'Relay fault - Fault0100.' After the technician checked the site on 06/02, it was found that the AC filter had failed. The inverter is currently under RMA.</t>
  </si>
  <si>
    <t>1. SR101014
2. SR094678, SR101014
3. SR101984</t>
  </si>
  <si>
    <t>SR094678</t>
  </si>
  <si>
    <t>SR101014</t>
  </si>
  <si>
    <t>SR101984</t>
  </si>
  <si>
    <t>1. ATI Tracker 6X motor 3 is stuck at 39.21degrees on 04/02 at 15:15 and tracker3 setpoint is tracking with the peer trackers. Impacting production of the inverters 7,8,9 after the mid day. On 04/15 technicain worked on trackers but are still experiencing issue, requires further troubleshooting.</t>
  </si>
  <si>
    <t>1.SR099517</t>
  </si>
  <si>
    <t>1.SR099808, SR102263</t>
  </si>
  <si>
    <t>SR102263</t>
  </si>
  <si>
    <t xml:space="preserve">1. Inverter 3 and its left unit have been under RMA since 04/24 due to a thermal event, and the right unit has been offline since 04/24. The parts are under  replacement. </t>
  </si>
  <si>
    <t>1.SR098681 , SR100367</t>
  </si>
  <si>
    <t>1. Inverter 11 tripped offline at 17:30 on 05/10 and reporting the fault "Bus Imbalance - Protect0070". A technician visited the site on 05/15 and found that the power head had a permanent fault and has been RMA'd. The technician returned to the site on 05/27, replaced the power head, and re-energized the inverter. The inverter was back online at 10:15 on 05/27.</t>
  </si>
  <si>
    <t>1. SR101270</t>
  </si>
  <si>
    <t>1. Inverter 14 has been underperforming by 4 kW compared to its peer inverters since 05/22 due to a string down.</t>
  </si>
  <si>
    <t>1. SR101887</t>
  </si>
  <si>
    <t>1. Meter MTRO1 has no communicatuion whole month due to an faulty meter. it's needed to be replaced and additional troubleshooting is required to restore communications.
2. On 01/27/25, during a PM event, the technician identified 8 faulty modules on the CTC roof that needed replacement.
3.  On 01/15/25, during a PM event , the technician identified faulty positive DC terminal at Inverter 7-5. On 03/10 technician visited the site and Wirebox being RMA'd. Further troubleshoot needed.
4. Several inverters at BNB Camden aren't communicating with PowerFactors, with many duplicates. On 03/10, a technician found comms issues, rewired inverters into a daisy chain, and confirmed comms. Only inverter 02-02 required an RMA'd comm board. Remote access to the CTC roof cell modem was confirmed with Zoë from Greenbacker. A return visit is needed once the RMA'd comm board arrives.
5.  Pad 9 Inverter 1 tripped offline on 05/02. It was later remotely reset and brought back online the same day.
6. The site was taken offline from 07:50 to 02:15 on 05/03 due to a technician performing work on the inverters and meter.</t>
  </si>
  <si>
    <t>1. SR094890, SR093773,
2. SR095761, PM11788, SR096555
3. SR096557, SR096558, PM11794
4. SR097964
5. SR100899
6. SR094890, SR100899, SR098933</t>
  </si>
  <si>
    <t>SR093773</t>
  </si>
  <si>
    <t>SR100899</t>
  </si>
  <si>
    <t>SR098933</t>
  </si>
  <si>
    <t>1. Inverters 14–26 tripped offline at 07:00 on 05/22, possibly due to a breaker trip. A technician checked the site on 05/23, and after adjusting the ISO parameters, the inverters were back online at 06:00 on 05/23.</t>
  </si>
  <si>
    <t>1. SR101856</t>
  </si>
  <si>
    <t>1. Inverters CO1, CO6, CO7, CO11, CO12 tripped offline at 17:30 on 05/16 later self resolved and back online at 07:00 on 05/17.</t>
  </si>
  <si>
    <t>1. SR101611</t>
  </si>
  <si>
    <t>1. Inverter B08 experienced multiple tripping events and reported a "Critical Internal Hardware Failure" starting on 05/03. The issue later self-resolved, and the inverter returned to normal operation on 05/05. Additionally, Inverter B08 again experienced multiple tripping events, reporting "Critical Internal Hardware Failure (8002h)" starting on 05/08. On 05/22, Solectria technicians reset the inverter and adjusted its settings. The inverter returned to normal operation later that day.
2.  Inverters BO1, BO2, BO5, BO6 and BO7 to BO12 tripped offline at 17:30 on 05/16 and later self resolved at 07:00 on 05/16.</t>
  </si>
  <si>
    <t>1. SR100965, SR101170
2. SR101613</t>
  </si>
  <si>
    <t>SR101170</t>
  </si>
  <si>
    <t>SR101613</t>
  </si>
  <si>
    <t>1.  Inverters AO1, AO2, AO3, AO7, AO8 tripped offline at 17:30 on 05/16 later self resolved and back online at 07:00 on 05/17.</t>
  </si>
  <si>
    <t>1. SR101612</t>
  </si>
  <si>
    <t xml:space="preserve">1.Inverter 12 was offline from 12:09 on 05/26. On 05/27, the technician  contacted CPS support and CPS team confirmed the issue and advised swapping the unit with another inverter to determine if the problem was related to the powerhead. They also indicated that further troubleshooting would be required. Inverter 12 has been under the RMA process since 05/30.
2.Site had multiple trippings  on 05/23 </t>
  </si>
  <si>
    <t>1.SR101952</t>
  </si>
  <si>
    <t>June Actual v. Expected</t>
  </si>
  <si>
    <t>June Actual v. Forecasted</t>
  </si>
  <si>
    <t xml:space="preserve">1. Inverter 1 tripped offline at 14:30 from 06/24 and reporting "Grid Relay Error - Protect0020. Inverter is being RMA'd. </t>
  </si>
  <si>
    <t>1.SR103463</t>
  </si>
  <si>
    <t>1. Inverter 13 was underperforming by 4kW since 06/11. Will investigate during next PM.
2. Inverter 10 tripped offline at 8:00AM on 06/26. Scheduled dispatch on 07/01</t>
  </si>
  <si>
    <t>1. SR103002
2. SR103598</t>
  </si>
  <si>
    <t>SR103598</t>
  </si>
  <si>
    <t>1. Inverter B3 loosing communication intermittently and being RMA'd since 12/19.
2. Inverters A1 to A4 stopped communicating at 12:30 on 06/24, production cannot be verified. Inverters back online at 11:45 on 06/26.</t>
  </si>
  <si>
    <t>1. SR093500
2. SR103483</t>
  </si>
  <si>
    <t>SR103483</t>
  </si>
  <si>
    <t>1. Inverter 8 right unit being RMA'd since 05/23
2. Inverter 10 middleunit fan was replaced on 06/25 and inverter started producing at its capacity.
3. Inverter 1 right unit was replaced and re-energized on 06/25 and inverter started producing at its capacity.
04. Inverter 9 right unit has been tripping on and off since 05/27 and is currently being RMA'd.
5. Inverter 6 right unit tripped offline at 14:15 on 06/2. Will troubleshoot in combined dispatches.
6. Inverter 11 middle unit tripped offline at 15:00 on 06/05. Unit lock was removed and is cycling on and off.  Pending next steps from SE.
7. Inverter 9 middle unit tripped offline at 13:00 on 6/20 and back online on 06/30.</t>
  </si>
  <si>
    <t>1. SR101656
2. SR101858
3. SR101976
4. SR101977
5. SR102370
6. SR102560
7. SR103297</t>
  </si>
  <si>
    <t>SR102370</t>
  </si>
  <si>
    <t>SR102560</t>
  </si>
  <si>
    <t>SR103297</t>
  </si>
  <si>
    <t>1. The site has been offline since 04/01/24. On 06/11, 06/12, and 06/13, technicians worked on the re-energization process, and on 06/16, the site was partially re-energized.
2. Inverter 2 was offline on 06/12 with F63 fault. On 06/20 PE technician disconneced the inverter 2 and combiner boxes related to it. Further troubleshoot required.</t>
  </si>
  <si>
    <t>1. SR098208
2. SR103072, SR102884</t>
  </si>
  <si>
    <t>SR103072</t>
  </si>
  <si>
    <t>SR102884</t>
  </si>
  <si>
    <t>1.Multiple inverters had experienced tripping events on 06/13 due to technician was onsite for preventive maintenance.</t>
  </si>
  <si>
    <t>1.PM11337</t>
  </si>
  <si>
    <t>1. Inverters 35-40 tripped offline at 12:30 on 06/25 and back online on 06/26.
2. Inverters 35-40 tripped offline at 11:00 on 06/27. Need to replace a trip unit on breaker.</t>
  </si>
  <si>
    <t>1. SR103539
2. SR103727</t>
  </si>
  <si>
    <t>SR103727</t>
  </si>
  <si>
    <t>1.Inverter 7 has been offline since 06/01 and is being RMA'd. It will remain offline throughout the month</t>
  </si>
  <si>
    <t>1.SR102989</t>
  </si>
  <si>
    <t>1. Inverter 3 was offline since 05/27, on 06/04 inverter was RMA'd.
2. Inverter 1 tripped offline at 6:30 on 06/03 and back online at 8:45 on 06/04.</t>
  </si>
  <si>
    <t>1. SR101984, SR102369
2. SR102365</t>
  </si>
  <si>
    <t>SR102369</t>
  </si>
  <si>
    <t>SR102365</t>
  </si>
  <si>
    <t>1. Site production was low on 06/08, 06/16 and 06/27 due to rain.</t>
  </si>
  <si>
    <t>1. On 04/02 at 15:15, ATI Tracker 6X motor 3 became stuck at 39.21 degrees. Tracker 3’s setpoint is still tracking with the peer trackers, but the mechanical issue is impacting the production of inverters 7, 8, and 9, particularly after midday. We will investigate further during the next onsite visit.</t>
  </si>
  <si>
    <t>1. SR099517</t>
  </si>
  <si>
    <t>1. Site was offline since 04/02 and will remains offline until further repair to be completed.</t>
  </si>
  <si>
    <t>1. SR103030, SR102263</t>
  </si>
  <si>
    <t>1. Inverter 18 communication was stopped at 7:00 on 06/09 and restored on 06/10.</t>
  </si>
  <si>
    <t>1. SR102734</t>
  </si>
  <si>
    <t>1. Inverter 3 and its left unit have been under RMA since 04/24 due to a thermal event, and the right unit has been offline since 04/24. The parts are under  replacement. 
2. Inverter 18 was derating on high irradiance days since 04/25. Waiting to hear back from solectria.
3. Inverter 19 tripped offline at 7:45 on 06/25 and back online on 06/30.</t>
  </si>
  <si>
    <t>1. SR100367
2. SR100422
3. SR103520</t>
  </si>
  <si>
    <t>SR103520</t>
  </si>
  <si>
    <t>1. Inverter 9 was derating at 75.20kW from 12:00 on 06/24. Waiting response from GB for approval to dispatch.</t>
  </si>
  <si>
    <t>1. SR103402</t>
  </si>
  <si>
    <t>1. Inverter 2 dropped a string on 06/02 and on 06/04 fuses were replaced.
2. Inverter 11 dropped a string on 06/21 and on 06/25 fuses were replaced.</t>
  </si>
  <si>
    <t>1. SR102373
2. SR103289</t>
  </si>
  <si>
    <t>SR103289</t>
  </si>
  <si>
    <t>1. Several inverters at BNB Camden aren’t communicating with PowerFactors, with many duplicates. On 03/10, a tech rewired them in a daisy chain and restored comms; only inverter 02-02 needs an RMA’d comm board. Remote access to the CTC roof modem was confirmed with Zoë from Greenbacker. Parts have arrived and need dispatching.</t>
  </si>
  <si>
    <t>1. SR097964</t>
  </si>
  <si>
    <t>1. All inverters had experienced tripping events on 06/04, 06/05 due to technician was onsite for preventive maintenance.</t>
  </si>
  <si>
    <t>1. PM12227</t>
  </si>
  <si>
    <t>1. Inverter C02 didn't started for production due to open phase fault on 06/15 and back online on 06/16.</t>
  </si>
  <si>
    <t>1. SR102988</t>
  </si>
  <si>
    <t>1. Inverter 31 was derating 75.10kW from 12:30 on 06/24 due to Fan error. The fan has been RMA'd on 06/25.
2. Inverter 26 was derating 74kW from 13:15 on 06/12 due to Fan error. The fan has been RMA'd on 06/16.</t>
  </si>
  <si>
    <t>1. SR103415
2. SR102968</t>
  </si>
  <si>
    <t>SR102968</t>
  </si>
  <si>
    <t>July Actual v. Forecasted</t>
  </si>
  <si>
    <t>1.SR103652</t>
  </si>
  <si>
    <t>1. SR095312</t>
  </si>
  <si>
    <t>1. Inverter 1 is dearting after technician check-out from PM. Issue resolved on 07/03
2.Meter voltages dropped to zero at 21:54 and site is offline from 07/31</t>
  </si>
  <si>
    <t>1.	SR103942
2.	SR105460</t>
  </si>
  <si>
    <t>SR105460</t>
  </si>
  <si>
    <t xml:space="preserve">1. Inverter 13 was RMA'd since 08/20/24 due to thermal event in powerhead of the inverter.
2. Site tripped offline from 10:15 to 12:00 on 07/03.
3. Site tripped offline at 22:00 on 07/31 and back online at 11:00 on 08/01. 
</t>
  </si>
  <si>
    <t>1.	SR103903
2. SR103973
3. SR105461</t>
  </si>
  <si>
    <t>SR103973</t>
  </si>
  <si>
    <t>SR105461</t>
  </si>
  <si>
    <t>1. Inverter 13 was underperforming by 4kW since 06/11. Issue resolved on 07/03.
2. Inverter 10 tripped offline at 8:00AM on 06/26. Ameresco to investigate during PM and inverter is back online at 08:00 on 07/03. and again tripped offline at 10:15 on 07/16 and reporting "Installation failure grid connection - Contact Installer". on 07/21 Inverter left under LOTO.
3. Inverter 3 tripped offline at 08:30 on 07/12 and reporting "Installation failure grid connection - Contact Installer" and after resetting the breaker inverter is back online at 07:45 on 07/15 and again tripped offline at 09:00 on 07/15 and back online on 09:15 on 07/21.</t>
  </si>
  <si>
    <t>1. SR103598
2. SR103598, SR104530
3. SR104352</t>
  </si>
  <si>
    <t>SR104530</t>
  </si>
  <si>
    <t>SR104352</t>
  </si>
  <si>
    <t>1. Inverter 8 right unit being RMA'd since 05/23.
2. Inverter 9 right unit has been tripping on and off since 05/27 and is currently being RMA'd.
3. Inverter 6 right unit tripped offline at 14:15 on 06/2. Will troubleshoot in combined dispatches. and additionally inverter 6 left unit  tripped offline at 14:00 on 07/01.
4. Inverter 11 middle unit tripped offline at 15:00 on 06/05. Unit lock was removed and is cycling on and off.  Pending next steps from SE. and Inverter 11 was offline at  14:00 on 07/01 due to water intrusion.
5. Inverter 10 middle unit was offline at 07:00 07/01 and remained offline through out the month.</t>
  </si>
  <si>
    <t>1. SR101656
2. SR101977, SR103968, SR103297
3. SR102370, SR101930
4. SR102560, SR103968, SR103297
5. SR101858</t>
  </si>
  <si>
    <t>SR103968</t>
  </si>
  <si>
    <t>1. Inverter 5 &amp; 6 has afternoon shading.</t>
  </si>
  <si>
    <t>1. Inverter 2 was offline from 06:00 to 14:45 on 07/01, and again from 06:00 to 14:45 on 07/03.
2. The site went offline at 20:00 on 07/17 due to the recloser being open. A technician later closed the recloser, and the site came back online at 13:45 on 07/18</t>
  </si>
  <si>
    <t>1. SR103964
2. SR104593</t>
  </si>
  <si>
    <t>SR104593</t>
  </si>
  <si>
    <t xml:space="preserve">1. Inverter 17 tripped offline at 17:00 on 7/31. 
2.  Inverter 9 tripped offline at 17:00 on 7/31. </t>
  </si>
  <si>
    <t>1. SR105481
2. SR105479</t>
  </si>
  <si>
    <t>SR105479</t>
  </si>
  <si>
    <t xml:space="preserve">1. Inverter 24 was offline from 09:30 on 07/14 to 14:30 on 07/17. </t>
  </si>
  <si>
    <t>1. SR104416</t>
  </si>
  <si>
    <t>1. Inverter 7 was offline from 06:00 on 07/01 to 09:15 on 07/14.
2.  Actual vs expected delta is showing 74% due to expected energy recording low possibly due to data glitch (similar event observe last 3 years).</t>
  </si>
  <si>
    <t>1. SR102989</t>
  </si>
  <si>
    <t xml:space="preserve">1. Inverter 3 was offline for whole montha and being RMA'd. 
2. Inverter 12 was offline for whole month and being RMA'd. </t>
  </si>
  <si>
    <t>1. SR102369
2. SR094678</t>
  </si>
  <si>
    <t>1. Inverters 6 and 7 have tripped offline on 07/31 at 17:30.</t>
  </si>
  <si>
    <t>1. SR105454</t>
  </si>
  <si>
    <t xml:space="preserve">1.  Inverters 7, 8, &amp; 9 are underperforming approximately 100kW starting in the late afternoon hours due to ATI Tracker 6X motor 3 is stuck at 39.21Degrees </t>
  </si>
  <si>
    <t>1. Inverter 21 was offline from 16:30 on 07/12 to 11:00 on 07/14.</t>
  </si>
  <si>
    <t>1. SR104357</t>
  </si>
  <si>
    <t>1. Site was offline from 08:15 to 13:00 on 07/12 and inverter 3 was offline from 13:00 on 07/12  to 20:15.</t>
  </si>
  <si>
    <t>1. SR104346, SR104356</t>
  </si>
  <si>
    <t>SR104356</t>
  </si>
  <si>
    <t>1. Inverter 9 was derating by 50kW compared to its peers.</t>
  </si>
  <si>
    <t>1. Numerous inverters lost communication on 03/03, possibly due to being offline. Many of these inverters appear to be duplicates. Additionally, the Block 4 inverters have been offline since 07/24 due to a datalogger fault, which requires further troubleshooting. Inverter 1 has been offline since 03/10, and its communication board is currently being RMA’d.
2. Site was offline at 10:10 0n 07/30 due to billing mix up with Verizon and remained offline.</t>
  </si>
  <si>
    <t>1. SR097964
2. SR105456</t>
  </si>
  <si>
    <t>SR105456</t>
  </si>
  <si>
    <t>1. Site was offline from 19:30 on 07/03 to 10:00 on 07/06</t>
  </si>
  <si>
    <t>1. SR104012</t>
  </si>
  <si>
    <t>1. Inverter C02 was offline from 06:00 on 07/18 to 20:00 on 07/21 and again offline from 06:00 on 07/26 to 20:00 on 07/30</t>
  </si>
  <si>
    <t>1. Inverter B05 was offline from 06:50 on 07/07 to 06:00 on 07/08, again from 08:00 on 07/08 to 06:00 on 07/11, and once more from 08:00 on 07/11 through the end of the month due to the CTs being RMA'd.</t>
  </si>
  <si>
    <t>1. SR104114</t>
  </si>
  <si>
    <t>August Actual v. Expected</t>
  </si>
  <si>
    <t>August Actual v. Forecasted</t>
  </si>
  <si>
    <t>1. Site tripped offline at 21:54 on 07/31 due to main breaker trip later after reseeting the breaker site is back online at 10:00 on 08/01.
2. Inverter 7 has been tripping on and off and going offline since 08/10. The inverter is being RMA'd.
3. Inverter 6 is tripping on and off on 08/12 and reporting increased dc voltage later power cycling the inverter is back online at 11:30 on 08/13.</t>
  </si>
  <si>
    <t>1. SR105460
2. SR105972, SR106054
3. SR106095</t>
  </si>
  <si>
    <t>SR105972</t>
  </si>
  <si>
    <t>SR106054</t>
  </si>
  <si>
    <t>SR106095</t>
  </si>
  <si>
    <t>1. Inverter 13 is tripped offline and reporting 'Gridline voltage out of range.' It remained offline throughout the month and is currently under LOTO.</t>
  </si>
  <si>
    <t>1. SR087756, SR103903</t>
  </si>
  <si>
    <t>SR103903</t>
  </si>
  <si>
    <t>1. Inverter B6 is derating approx 20kW down from normal production with a fault code reading: "External Fan Err - ExtFanerr Since 07/23.</t>
  </si>
  <si>
    <t>1. SR104899</t>
  </si>
  <si>
    <t>1. Inverter 8 right unit being RMA'd since 05/23 and after replaceing the right unit is back online at 09:00 on 08/21.
2. Inverter 9 right unit has been tripping on and off since 05/27 and is currently being RMA'd.
3. Inverter 6 right unit tripped offline at 14:15 on 06/2. Will troubleshoot in combined dispatches. and additionally inverter 6 left unit  tripped offline at 14:00 on 07/01 and after replaceing the right unit and left unit is back online at 09:00 on 08/21. Additionally Inverter 6 tripped offline at 13:45 and reporting AC Voltage too High and remained offline through out the month. 
4. Inverter 11 middle unit tripped offline at 15:00 on 06/05. Unit lock was removed and is cycling on and off.  Pending next steps from SE. and Inverter 11 was offline at  14:00 on 07/01 due to water intrusion and remained offline through out the month.
5. Inverter 10 middle unit was offline at 07:00 07/01 and after replaceing the right unit is back online at 10:00 on 08/21.
6. Inverter 1 was offline at 21:45 on 08/25 and later back online at 11:45 on 08/28.</t>
  </si>
  <si>
    <t>1. SR101656
2. SR101977, SR103968, SR103297
3. SR102370, SR101930
4. SR102560, SR103968, SR103297
5. SR101858
6. SR101656</t>
  </si>
  <si>
    <t>1. Inverter 1 few combiner boxes were offline for whole month and parts being replaced.</t>
  </si>
  <si>
    <t>1. PM6321</t>
  </si>
  <si>
    <t>1. Site tripped offline at 14:45 on 08/01 and site is back online at 16:30 on 08/04.
2. Site tripped offline at 07:45 on 08/19 and site is back online at 11:00 on 08/21.</t>
  </si>
  <si>
    <t>1. SR105512
2. SR106481</t>
  </si>
  <si>
    <t>SR106481</t>
  </si>
  <si>
    <t>1. Actual vs expected delta is showing 82% due to expected energy recording low possibly due to data glitch (similar event observe last 3 years).</t>
  </si>
  <si>
    <t xml:space="preserve">1. Inverter 3 was offline for whole montha and being RMA'd. 
2. Inverter 12 was offline for whole month and being RMA'd. 
3. Inverter 9 is offline at 07:00 on 08/09 and reporting "Relay fault - Fault0100 &amp; Grid Relay Error - Protect0020".Inverter is being RMA'd. </t>
  </si>
  <si>
    <t>1. SR102369
2. SR094678
3. SR105939, SR106389</t>
  </si>
  <si>
    <t>SR105939</t>
  </si>
  <si>
    <t>SR106389</t>
  </si>
  <si>
    <t>1. Inverters 6 and 7 have tripped offline on 07/31 at 17:30 and later self resolved and back online at 07:00 on 08/01.</t>
  </si>
  <si>
    <t>1. SR099517, SR105286</t>
  </si>
  <si>
    <t>SR105286</t>
  </si>
  <si>
    <t>1. Inverter 22 continues to derate during peak irradiance hours, reporting a generic inverter fault state.
2. Inverter 7 was offline on 08/18 and is being rmad and will be offline until installation.</t>
  </si>
  <si>
    <t>1. SR105432, SR104357
2. SR106449</t>
  </si>
  <si>
    <t>SR104357</t>
  </si>
  <si>
    <t>SR106449</t>
  </si>
  <si>
    <t>1. Inverter 3 has tripped offline at 13:45 on 08/08 and later back online at 07:00 on 08/09.</t>
  </si>
  <si>
    <t>1. SR105926</t>
  </si>
  <si>
    <t>1. Inverter 9 was derating by 50kW compared to its peers.Since 06/24.
2. inverter 7 has tripped offline at 13:45 on 08/13 and remained offline through out the month.</t>
  </si>
  <si>
    <t>1. SR103402
2. SR106208</t>
  </si>
  <si>
    <t>SR106208</t>
  </si>
  <si>
    <t>1.  Inverter 14 down a string 14.7 fault from 08/06. On 08/11, the inverter was offline from 12:45 to 14:30 to replace a blown fuse on string 14.7. The inverter is now operating and producing as expected.
2. inverters 3 and 15 are both down a string from 08/15 on 08/18 technician replaced 2 blown fuses. The inverter is now operating and producing as expected.
3.  inverters 11 and 9 are both down a string from 08/22 on 08/25, technician replaced blown fuses. The inverter is now operating and producing as expected.</t>
  </si>
  <si>
    <t xml:space="preserve">1. SR105848
2. SR106347
3. SR106757
</t>
  </si>
  <si>
    <t>SR106347</t>
  </si>
  <si>
    <t>SR106757</t>
  </si>
  <si>
    <t>1. Numerous inverters lost communication on 03/03, possibly due to being offline. Many of these inverters appear to be duplicates. Additionally, the Block 4 inverters have been offline since 07/24 due to a datalogger fault, which requires further troubleshooting. Inverter 1 has been offline since 03/10, and its communication board is currently being RMA’d.
2. Inverters 4-03 and 6-09 are offline on 8/18 on 08/26 technician checked in and found that 3 inverters without production and restored 2. remaining inverter need further troubleshooting.</t>
  </si>
  <si>
    <t>1. SR097964
2. SR106854, SR105456</t>
  </si>
  <si>
    <t>SR106854</t>
  </si>
  <si>
    <t>1.  Inverter 25 string 2 is offline since 08/01 and requires further investigation.
2. Site was offline at 07:35 on 08/24 due to both pads main breakers were tripped and reset and later back online at 09:45 on 08/25.
3. Site was offline at 18:45 on 08/28 after reseting breakers site is back online at 12:00 on 08/29.</t>
  </si>
  <si>
    <t>1. SR105470
2. SR106802
3. SR107216</t>
  </si>
  <si>
    <t>SR106802</t>
  </si>
  <si>
    <t>SR107216</t>
  </si>
  <si>
    <t>1. Inverter C02 tripping on and off through out the month.
2. Inverter C01 tripped offline at 07:00 on 08/22 and after remote reset inverter is back online at 07:00 on 08/23.</t>
  </si>
  <si>
    <t>1. SR102988
2. SR106745</t>
  </si>
  <si>
    <t>SR106745</t>
  </si>
  <si>
    <t>1. Inverter B05 was offline from 08:00 on 07/11 due to the CTs being RMA'd  and after 
installed the new CTs inverter is back online at 12:30 on 08/11.</t>
  </si>
  <si>
    <t>1. The BESS unit have tripped offline on 08/10 and after remote reset BESS units are back 
online on 08/10.
2. Inverter 36 is underproducing by 12kw since 7/28 on 08/04 Technician replaced a blown fuse on string 9 and the inverter is now producing as expected.
3.  Inverter 34 is derating by 50kW from 14:30 on 08/11 and reporting "External Fan Err - ExtFanerr" on 08/14 The exhaust fan for inverter 34 has been RMA'd.
4.  Inverter 29 derating to 75kW at 12:00 on 08/23 and producing constantly, reporting "External fan error" and inveretr later back online and producing in line with its peers on 08/31.
5. Inverter 2 BESS unit has is offline with a "Level 3" fault on 08/25 later remte reset and back online on 08/25.</t>
  </si>
  <si>
    <t>1. SR105384
2. SR105418
3. SR106032,SR106053
4. SR106783
5. SR106879</t>
  </si>
  <si>
    <t>SR105418</t>
  </si>
  <si>
    <t>SR106032</t>
  </si>
  <si>
    <t>SR106053</t>
  </si>
  <si>
    <t>SR106783</t>
  </si>
  <si>
    <t>SR106879</t>
  </si>
  <si>
    <t>1. Site was offline from 08/28 to end of the month.</t>
  </si>
  <si>
    <t>1. SR107202</t>
  </si>
  <si>
    <t>September Actual v. Expected</t>
  </si>
  <si>
    <t>September Actual v. Forecasted</t>
  </si>
  <si>
    <t>1. SR103652</t>
  </si>
  <si>
    <t>1. Inverter 1 was offline at 07:00 on 09/03 and back online at 07:00 on 09/04.</t>
  </si>
  <si>
    <t>1. SR107348</t>
  </si>
  <si>
    <t>1. Inverter 2 was being RMA'd and offline since 01/04</t>
  </si>
  <si>
    <t>1. Inverter 7 has been tripping on and off and going offline since 08/10. The inverter is being RMA'd.
2. The site tripped offline at 13:30 on 09/22 and back online at 12:15 on 09/23.</t>
  </si>
  <si>
    <t>1. SR105972,  SR106054
2. SR108388</t>
  </si>
  <si>
    <t>SR108388</t>
  </si>
  <si>
    <t>1. Inverter 13 is tripped offline and reporting 'Gridline voltage out of range.' It remained offline throughout the month and is currently under LOTO.
2. Inverter 6 tripped offline at 13:30 on 09/22 and reporting  "GridF.OutLim" and  back online at 12:15 on 09/23.
3.  The site tripped offline at 13:30 on 09/22 and back online at 12:15 on 09/23.</t>
  </si>
  <si>
    <t>1. SR087756, SR103903
2. SR108385
3. SR108389</t>
  </si>
  <si>
    <t>SR108385</t>
  </si>
  <si>
    <t>SR108389</t>
  </si>
  <si>
    <t>1. Inverter 1 tripped offline at 12:04 on 09/07, reporting 'PV Abnormal Input,' and came back online at 13:45 on 09/07.</t>
  </si>
  <si>
    <t>1. SR107578</t>
  </si>
  <si>
    <t>1. Inverters 3,9 and 13 down (1) string since 09/24. 
2. Site tripped offline at 21:50 on 09/27 and reporting "Voltage missing: Phase A: 0.00 volts" due to main breaker trip and back online at 14:30 on 09/28.</t>
  </si>
  <si>
    <t>1. SR105564
2. SR108681</t>
  </si>
  <si>
    <t>SR108681</t>
  </si>
  <si>
    <t>1.  Inverter 9 right unit has been tripping on and off since 05/27 and is currently being RMA'd.
2. Inverter 6 tripped offline at 13:45  on 08/24 and reporting AC Voltage too High and remained offline through out the month. 
3. Inverter 11 middle unit tripped offline at 15:00 on 06/05. Unit lock was removed and is cycling on and off.  Pending next steps from SE. and Inverter 11 was offline at  14:00 on 07/01 due to water intrusion and remained offline through out the month.
4. Inverter 10 middle unit tripped offline again at 13:00 on 08/24 and "reporting AC voltage too high" and offline through out the month.</t>
  </si>
  <si>
    <t>1. SR101977, SR103968, SR103297
2. SR102370, SR101930, SR107497, SR107538
3.  SR102560, SR103968, SR103297
4. SR101858, SR108044</t>
  </si>
  <si>
    <t>SR107497</t>
  </si>
  <si>
    <t>SR107538</t>
  </si>
  <si>
    <t>SR108044</t>
  </si>
  <si>
    <t>1. SR108800</t>
  </si>
  <si>
    <t>PM6321</t>
  </si>
  <si>
    <t>1. Site tripped offline at 15:30 to 16:30 on 09/06.</t>
  </si>
  <si>
    <t>1. SR107563</t>
  </si>
  <si>
    <t>1.  Inverter 31 tripped offline at 08:45 on 09/08 and back online at 12:30 on 09/09. and again tripped offline at 09:00 on 09/22 and came back online at 14:45 on 09/26 after a technician reset the breaker.
2.  Site tripped offline at 09:45 on 09/21 and after replacing the fuses site is back online at 16:45 on 09/21.</t>
  </si>
  <si>
    <t>1. SR107637, SR108377
2. SR108316</t>
  </si>
  <si>
    <t>SR108377</t>
  </si>
  <si>
    <t>SR108316</t>
  </si>
  <si>
    <t>1. Site was offline at 03:15 on 09/28 after technician resetting the recloser site is back online at 07:45 on 09/29.
2.  Actual vs expected delta is showing 80% due to expected energy recording low possibly due to data glitch (similar event observe last 3 years).</t>
  </si>
  <si>
    <t>1. SR108683</t>
  </si>
  <si>
    <t>1. Site tripped offline at 12:15 to 14:45 on 09/23.
2. Inverter 1 is derating at ~33kW from 11:45  on 09/28 and reporting "Fan Fault".</t>
  </si>
  <si>
    <t>1. SR108425
2. SR108698</t>
  </si>
  <si>
    <t>SR108698</t>
  </si>
  <si>
    <t>1. Inverter 15 was offline at 07:00 on 09/18 and back online at 07:00 on 09/19.</t>
  </si>
  <si>
    <t>1. SR108256</t>
  </si>
  <si>
    <t>1. Inverter 8 has morning shading issue.</t>
  </si>
  <si>
    <t>1. SR108801</t>
  </si>
  <si>
    <t xml:space="preserve">1. Inverter 22 continues to derate during peak irradiance hours, reporting a generic inverter fault state.
2. Inverter 7 was offline on 08/18 and is being rmad and will be offline until installation.
3. Inverter 17 tripped offline at 10:30 on 09/18 and reporting "generic fault" and back online 10:00 on 09/25. 
4. Inverter 16 tripped offline at 17:45 on 09/20 and back online at 10:00 on 09/25. </t>
  </si>
  <si>
    <t>1. SR105432, SR104357
2. SR106449
3. SR108239
4. SR108312</t>
  </si>
  <si>
    <t>SR108239</t>
  </si>
  <si>
    <t>SR108312</t>
  </si>
  <si>
    <t>1. Inverter 3 has dropped and barley (&lt;1 kW) producing since on 09/28.</t>
  </si>
  <si>
    <t>1. SR108691</t>
  </si>
  <si>
    <t>1. Inverter 9 was derating by 50kW compared to its peers Since 06/24. on 09/17, technician Replaced center and left fan then inverter 9 is producing with it's peers.
2. inverter 7 has tripped offline at 13:45 on 08/13 and remained offline through out the month.</t>
  </si>
  <si>
    <t>1. Inverters 7 and 16 lost 1 string on 09/05 and a 2 string on 09/07. A technician replaced a fuse on 09/09, and both inverters have been producing normally since 09/09.
2.  Inverter 14 dropped a string on 9/14/25. on 09/19. A technician replaced a fuse on 09/19, and inverters have been producing normally since 09/19.</t>
  </si>
  <si>
    <t>1. SR107498</t>
  </si>
  <si>
    <t>1. Numerous inverters lost communication on 03/03, possibly due to being offline. Many of these inverters appear to be duplicates. Additionally, the Block 4 inverters have been offline since 07/24 due to a datalogger fault, which requires further troubleshooting. Inverter 1 has been offline since 03/10, and its communication board is currently being RMA’d.
2. Inverter S/N ending 1195 was offline for whole month.
3. Inverter 1.3 has tripped offline at 13:20 on 09/18 and was back online on 09/24  at 07:00</t>
  </si>
  <si>
    <t>1. SR097964
2. SR106854, SR105456
3. SR108260</t>
  </si>
  <si>
    <t>SR108260</t>
  </si>
  <si>
    <t>1.  Inverter 25 string 2 is offline since 08/01 and requires further investigation.
2. Sitw was offline at 07:00 on 09/29  and back online at 14:00 on 09/29.</t>
  </si>
  <si>
    <t>1. SR105470
2. SR108719</t>
  </si>
  <si>
    <t>SR108719</t>
  </si>
  <si>
    <t>1. Inverter C02 tripping on and off through out the month.
2. Inverter C01 experienced intermittent tripping throughout the month. On 09/15, a technician inspected the system and confirmed that the inverter will remain offline. The inverter CTs are under RMA. 
3.  Inverter 5 tripped offline at 15:45 on 09/03 due to "critical internal hardware fault" and inverter is back online at 07:00 on 09/04. and again Inverter C05 tripped offline at 09:00 on 09/28  and reporting "Open Phase Detected (e001h)" and back online at 09:00 on 09/29.</t>
  </si>
  <si>
    <t>1. SR102988
2. SR106745
3. SR107392, SR108692</t>
  </si>
  <si>
    <t>SR107392</t>
  </si>
  <si>
    <t>SR108692</t>
  </si>
  <si>
    <t>1.  Inverter B09 was offline at 07:00 on 09/20, reporting "Open Phase Detected (e001h)", and came back online at 07:00 on 09/21. Since 09/24, Inverter B09 has been intermittently tripping on and off. All three CTs are being RMA'd.</t>
  </si>
  <si>
    <t>1. SR108304</t>
  </si>
  <si>
    <t>1. Inverter A09 was offline at 07:00 on 09/08 and reporting "Open Phase Detected" and , came back online at 10:10 on 09/09. Since 09/16, Inverter A09 has been intermittently tripping on and off. All three CTs are being RMA'd.</t>
  </si>
  <si>
    <t>1. SR107626</t>
  </si>
  <si>
    <t>1. Inverter 34 is derating by 50kW from 14:30 on 08/11 and reporting "External Fan Err - ExtFanerr" on 08/14 The exhaust fan for inverter 34 has been RMA'd.
2. The BESS 2 was offline on 09/15 and after remote reset BESS 2 was back online on 09/15.</t>
  </si>
  <si>
    <t>1. SR106032,SR106053
2. SR107970</t>
  </si>
  <si>
    <t>SR107970</t>
  </si>
  <si>
    <t>1. Site was offline from 09/01 to 12:05 on 09/02 and again the site was offline from 09/03 to 10:30 on 09/15 and again site was tripped offline on 09/23 at 12:30 and was offline to end of the month.</t>
  </si>
  <si>
    <t>1. SR107055 SR107202</t>
  </si>
  <si>
    <t>October Actual v. Expected</t>
  </si>
  <si>
    <t>October Actual v. Forecasted</t>
  </si>
  <si>
    <t>Status</t>
  </si>
  <si>
    <t xml:space="preserve">1. Inverter 1 tripped offline from 14:30 on 06/24 and reporting "Grid Relay Error - Protect0020. Inverter is being RMA'd. </t>
  </si>
  <si>
    <t>1. Pending</t>
  </si>
  <si>
    <t>1. Inverter 4 tripped offline at 13:30 on 10/29 with "Steady state "GFCI fault" error. Self-resolved on 10/30 6:00</t>
  </si>
  <si>
    <t>1.	SR110256</t>
  </si>
  <si>
    <t>1.Closed</t>
  </si>
  <si>
    <t>1. Inverters 1 &amp; 5 tripped offline with "Steady state "GFCI fault" error. Self-resolved on 10/30 6:00</t>
  </si>
  <si>
    <t>1.	SR110255</t>
  </si>
  <si>
    <t>1.Inverter 7 is being RMA'd</t>
  </si>
  <si>
    <t>1.SR106054</t>
  </si>
  <si>
    <t>1.Pending</t>
  </si>
  <si>
    <t>1. Inverter 13 has tripped offline and reporting 'Gridline voltage out of range.' It remained offline throughout the month and is currently under LOTO.</t>
  </si>
  <si>
    <t>1.SR103903</t>
  </si>
  <si>
    <t>1.Inverters 3,9 and 13 possible down (1) string since 09/24</t>
  </si>
  <si>
    <t>1.SR105564</t>
  </si>
  <si>
    <t>1. Inverter 3 did not start production from 10/02 later  back online on 10/06 at 10:45.</t>
  </si>
  <si>
    <t>1.SR108867</t>
  </si>
  <si>
    <t>1.	SR104899</t>
  </si>
  <si>
    <t>1.Site tripped offline at 14:00 on 10/04 and it came back online at 09:45 on 10/06</t>
  </si>
  <si>
    <t>1.SR109008</t>
  </si>
  <si>
    <t>1. Inverters 9 and 11 have been reenergized on 10/22
2. Inverter 6 tripped offline at 13:45  on 08/24 and reporting AC Voltage too High and remained offline through out the month. 
3. Inverter 10 middle unit tripped offline again at 13:00 on 08/24 and "reporting AC voltage too high" and offline through out the month.</t>
  </si>
  <si>
    <t>1.	SR103297
2.	SR107538
3.	SR109437</t>
  </si>
  <si>
    <t>1.Workin progress
2.Workin progress
3.Workin progress</t>
  </si>
  <si>
    <t>1.Inverters 5 and 6 having shading at afternoon.</t>
  </si>
  <si>
    <t>1.SR108800</t>
  </si>
  <si>
    <t>1.Site was offline at 09:45 on 10/13 and it came back online at 10:30 on 10/14</t>
  </si>
  <si>
    <t>1.SR109405</t>
  </si>
  <si>
    <t>1. Multiple inverters having shading.</t>
  </si>
  <si>
    <t>1.Actual vs expected delta is showing 72% due to expected energy recording low possibly due to data glitch (similar event observe last 3 years).</t>
  </si>
  <si>
    <t xml:space="preserve">1. Inverter 9 is offline at 07:00 on 08/09 and reporting "Relay fault - Fault0100 &amp; Grid Relay Error - Protect0020".Inverter is being RMA'd. 
2. Inverter 3 was offline for whole montha and being RMA'd. 
3. Inverter 12 was offline for whole month and being RMA'd. </t>
  </si>
  <si>
    <t>1.SR106389
2.	SR102369
3.SR094678</t>
  </si>
  <si>
    <t>1.Pending
2.Pending
3.Pending</t>
  </si>
  <si>
    <t>1.SR108801</t>
  </si>
  <si>
    <t xml:space="preserve">1.	SR103030 </t>
  </si>
  <si>
    <t>1. Inverter 17 didn't start for the production on 10/16 and reporting "Generic inverter fault". Both AC and DC voltages are available and it came back online on 10/24</t>
  </si>
  <si>
    <t>1.SR109609</t>
  </si>
  <si>
    <t>1.Inverter 4 back online on 10/03</t>
  </si>
  <si>
    <t>1.SR108691</t>
  </si>
  <si>
    <t>1. Inverter 3 right unit was offline for whole month.</t>
  </si>
  <si>
    <t>1. SR110651</t>
  </si>
  <si>
    <t>1.Inverter 6 started late for the production on 10/03 at 08:30</t>
  </si>
  <si>
    <t>1.SR108949</t>
  </si>
  <si>
    <t>1. Inverter 3 down 2 strings on 10/23 self resolved on 10/30
2. Inverter 16 remains offline on 10/26 rmad DSP board and AC contactor.</t>
  </si>
  <si>
    <t>1.SR109909
2.SR109996</t>
  </si>
  <si>
    <t xml:space="preserve">1.Workin progress
2.Working progress
</t>
  </si>
  <si>
    <t>1. Numerous inverters lost communication on 03/03, possibly due to being offline. Many of these inverters appear to be duplicates. Additionally, the Block 4 inverters have been offline since 07/24 due to a datalogger fault, which requires further troubleshooting. 
2. Inverter S/N ending 1195 was back online at 10/16.
3. Inverters 1–21 and 22, Inverter 2–21 and 22, Inverter 3–15, Inverter 4–6, Inverter 5–3, and Inverter 6–3 have been offline since 10/22.</t>
  </si>
  <si>
    <t>1. SR097964
2. SR106854, SR105456
3. SR109924</t>
  </si>
  <si>
    <t>1. Closed
2. Closed
3. Pending</t>
  </si>
  <si>
    <t>1. Inverter 25 string 2 is offline since 08/01 and requires further investigation.
2.Site was offline on 10/05 at 08:00 and it came back online at 09:15 on 10/06
3.Site was offline at 09:15 on 10/16 and it came back online on 10/17</t>
  </si>
  <si>
    <t>1.SR105470
2.SR109061
3.	SR109605</t>
  </si>
  <si>
    <t>1.Pending
2.Closed
3.Closed</t>
  </si>
  <si>
    <t>1.Inverter C01 experienced intermittent tripping throughout the month. On 09/15, a technician inspected the system and confirmed that the inverter will remain offline. The inverter CTs are under RMA
2. Inverter C05 is currently running on 10/03  but might trip offline again until the inverter CT's are replaced</t>
  </si>
  <si>
    <t>1.SR106745
2.	SR108692</t>
  </si>
  <si>
    <t xml:space="preserve">1.Pending
2.Pending
</t>
  </si>
  <si>
    <t>1.SR108304</t>
  </si>
  <si>
    <t>.1.Pending</t>
  </si>
  <si>
    <t>1.SR107626</t>
  </si>
  <si>
    <t>1. Inverter 12 tripped offline at 15:00 on 10/20 and it came back online on 10/30 at 10:15
2.BESS Units 1 &amp; 2 faulted offline due to an excessive discharge current on the BMS. On 10/28 technician confirmed  BESS system offline faults cleared, BESS offline until SYSO ca adjust charging status. PV online</t>
  </si>
  <si>
    <t>1.	SR109752
2.	SR109989</t>
  </si>
  <si>
    <t xml:space="preserve">1.Workin progress
2.Closed
</t>
  </si>
  <si>
    <t>1. Site is offline from 09/23 and later producing as excepted from 10/02</t>
  </si>
  <si>
    <t>1.SR107202</t>
  </si>
  <si>
    <t>November Actual v. Expected</t>
  </si>
  <si>
    <t>November Actual v. Forecasted</t>
  </si>
  <si>
    <t>1. Inverter 2 is under RMA.</t>
  </si>
  <si>
    <t xml:space="preserve">1. Inverter 7 is under RMA.
2. Inverter 12 has a shading issue during high-irradiance days. </t>
  </si>
  <si>
    <t>1. SR105972, SR106054
2. SR064122</t>
  </si>
  <si>
    <t>1. Pending
2. Closed</t>
  </si>
  <si>
    <t>1. SR103903</t>
  </si>
  <si>
    <t>1. Closed</t>
  </si>
  <si>
    <t>1.Inverters 3,9 and 13 possible down (1) string since 09/24
2. Inverter 1 has heavy seasonal shading.</t>
  </si>
  <si>
    <t>1. The meter stopped communicating at 11:00 on 11/07 and regained its communication at 14:30 on 11/08.</t>
  </si>
  <si>
    <t>1. SR110799</t>
  </si>
  <si>
    <t>1. The middle unit of Inverter 10 tripped offline again at 14:00 on 11/06 and reported a ‘03*9A Error.’ It remained offline for the rest of the month. Additionally, the left unit of Inverter 10 tripped offline at 14:00 on 11/27 and also remained offline for the remainder of the month.
2. Inverter 5 is derating during midday.</t>
  </si>
  <si>
    <t>1.	SR109437
2.	SR111340</t>
  </si>
  <si>
    <t>1. Pending
2. Pending</t>
  </si>
  <si>
    <t>1. Inverters 5 and 6 having shading at afternoon.</t>
  </si>
  <si>
    <t>1. Inverter 1 is underperforming because 5 of the 18 CBs have landed. Additionally, Inverter 2 is underperforming because 14 CBs have also landed</t>
  </si>
  <si>
    <t>1. SR110631</t>
  </si>
  <si>
    <t>1. Inverter 9 has tripped offline at 07:45 on 11/02 and was reporting an ‘Error.’ After the technician performed a power cycle, the inverter came back online at 08:30 on 11/03.</t>
  </si>
  <si>
    <t>1. SR110486</t>
  </si>
  <si>
    <t>1.Actual vs expected delta is showing 38% due to expected energy recording low possibly due to data glitch (similar event observe last 3 years).</t>
  </si>
  <si>
    <t>1. The site tripped offline at 04:30 on 11/01 due to an open recloser. After the technician closed the recloser, the site came back online at 11:30 on 11/02.
2. inverter 3 down a string from 11/9.</t>
  </si>
  <si>
    <t>1. SR110439
2. SR111474</t>
  </si>
  <si>
    <t>1. Closed
2. pending</t>
  </si>
  <si>
    <t>1. Inverter 12 tripped offline at 07:00 on 05/08/25 and remained offline throughout the month. It is currently under RMA.
2. Inverter 3 is under RMA.
3. Inverter 9 is under RMA.</t>
  </si>
  <si>
    <t>1. SR094678
2. SR102369
3. SR105939, SR106389</t>
  </si>
  <si>
    <t xml:space="preserve">
1. pending
2. pending
3. pending</t>
  </si>
  <si>
    <t>1. Multiple SW modules near edge of roof are covered in seagull waste</t>
  </si>
  <si>
    <t>1. SR112081</t>
  </si>
  <si>
    <t>1. Inverter 7 was offline from 08/19 to 11/05.</t>
  </si>
  <si>
    <t>1. SR106449</t>
  </si>
  <si>
    <t>1. closed</t>
  </si>
  <si>
    <t>1.  String 4.12 was offline for whole month.</t>
  </si>
  <si>
    <t>1. SR108557</t>
  </si>
  <si>
    <t>1. Denied</t>
  </si>
  <si>
    <t xml:space="preserve">1. Inverter 3 right unit was offline for whole month.
2.Site production was low on 12/14, 12/15,12/19 ,12/23 ,12/27 ,12/29 ,
</t>
  </si>
  <si>
    <t>1. Inverter 16 remains offline on 10/26 rmad DSP board and AC contactor.
2. The site was taken offline at 08:30 on 11/24 due to a planned outage and came back online at 07:00 on 11/25.</t>
  </si>
  <si>
    <t>1. SR109996
2. SR110991</t>
  </si>
  <si>
    <t>1. Closed
2. Closed</t>
  </si>
  <si>
    <t>1. Inverters 1–21 and 22, Inverters 2–21 and 22, Inverters 3–15, Inverters 4–6, Inverter 5–3, and Inverter 6–3 had been offline since 10/22. On 11/24, after the technician replaced the RMA’d communications board, all inverters came back online and are now producing as expected.</t>
  </si>
  <si>
    <t>1. SR109924</t>
  </si>
  <si>
    <t xml:space="preserve">1. Inverter 25 string 2 is offline since 08/01 and requires further investigation.
</t>
  </si>
  <si>
    <t xml:space="preserve">1. SR105470
</t>
  </si>
  <si>
    <t xml:space="preserve">1.Pending
</t>
  </si>
  <si>
    <t>1. Inverter 1 tripped offline at 11:15 on 11/01, and after the technician replaced the CTs, the inverter came back online at 13:45 on 11/05.</t>
  </si>
  <si>
    <t>1. SR106745</t>
  </si>
  <si>
    <t xml:space="preserve">1. Closed
</t>
  </si>
  <si>
    <t>1. Inverter B09 has been intermittently tripping on and off. Since 09/24, All three CTs are being RMA’d. On 11/13, after the technician replaced the Yellowstone board, the inverter began producing as expected.</t>
  </si>
  <si>
    <t>1. Inverter A09 has been intermittently tripping on and off since 09/16. All three CTs are being RMA’d. After the technician replaced the Yellowstone board, the inverter began producing as expected.</t>
  </si>
  <si>
    <t xml:space="preserve">1. The PV site were offline at 14:15 on 11/19 and back online at 12:30 on 11/21.
</t>
  </si>
  <si>
    <t>1. SR111368</t>
  </si>
  <si>
    <t>December Actual v. Expected</t>
  </si>
  <si>
    <t>December Actual v. Forecasted</t>
  </si>
  <si>
    <t>1. SR103463, SR103652</t>
  </si>
  <si>
    <t>SR103652</t>
  </si>
  <si>
    <t>1. Site production was low on 12/02,12/14,12/15,12/16,12/19,12/27,12/28 and 12/29 due to snow.</t>
  </si>
  <si>
    <t>1. Inverter 2 was offline at 12:30 on 01/04/25 and is under RMA'd.</t>
  </si>
  <si>
    <t>1. Inverter 7 was offline since 08/10/25 is under RMA'd.
2. Inverter 12 has a shading issue during high-irradiance days. 
3. The site was offline at 11:45 on 12/19. All inverters reported “Grid Line Voltage Out of Range – GridV.OutLim.” After the technician closed the breaker, the site came back online at 10:45 on 12/21.</t>
  </si>
  <si>
    <t>1. SR105972, SR106054
2. SR064122
3. SR113319</t>
  </si>
  <si>
    <t>1. Pending
2. Closed
3. Closed</t>
  </si>
  <si>
    <t>SR064122</t>
  </si>
  <si>
    <t>SR113319</t>
  </si>
  <si>
    <t>1. Inverter 13 has tripped offline and reporting 'Gridline voltage out of range.' It remained offline throughout the month and is currently under LOTO.
2. The site was offline at 11:45 on 12/19. All inverters reported “Grid Line Voltage Out of Range – GridV.OutLim.” After the technician closed the breaker, the site came back online at 11:15 on 12/21.</t>
  </si>
  <si>
    <t>1. SR103903
2. SR113320</t>
  </si>
  <si>
    <t>SR113320</t>
  </si>
  <si>
    <t>1. Inverter 9 was offline since 09/29/24 and reporting "PV abnormal input". It is under RMA'd.
2. Site was offline at 11:30 on 12/19 and back online at 12:45 on 12/20.</t>
  </si>
  <si>
    <t>1. SR089564, SR093404
2. SR113318</t>
  </si>
  <si>
    <t xml:space="preserve">1. Pending
2. Closed
</t>
  </si>
  <si>
    <t>SR113318</t>
  </si>
  <si>
    <t>1. The site tripped offline at 03:00 on 12/30. After the technician closed the main breaker, the site came back online at 08:15 on 12/31.
2. Inverters 3,9 and 13 possible down (1) string since 09/24
3. Inverter 1 has heavy seasonal shading.</t>
  </si>
  <si>
    <t>1. SR113846
2. SR105564</t>
  </si>
  <si>
    <t>1. Completed
2. Pending</t>
  </si>
  <si>
    <t>SR105564</t>
  </si>
  <si>
    <t>1. The site went offline at 07:30 on 12/06/25. After the technician closed the recloser, the site came back online at 09:15 on 12/08.</t>
  </si>
  <si>
    <t>1. SR112329</t>
  </si>
  <si>
    <t>1. The middle unit of Inverter 10 tripped offline again at 14:00 on 11/06 and reported a ‘03*9A Error.’ Additionally, the left unit of Inverter 10 tripped offline at 14:00 on 11/27 and back online at 12:00 on 12/04.
2. Inverter 5 and 10 is derating during midday since 11/01.
3. Inverter 8 (left unit) tripped offline at 13:00 on 12/21 and came back online at 09:00 on 12/30. It tripped offline again at 10:15 on 12/30 and remained offline for the rest of the month.</t>
  </si>
  <si>
    <t>1.	SR109437
2.	SR111340
3. SR113601</t>
  </si>
  <si>
    <t>1. Pending
2. Pending
3. Completed</t>
  </si>
  <si>
    <t>SR111340</t>
  </si>
  <si>
    <t>SR113601</t>
  </si>
  <si>
    <t>1. Inverter 11 tripped offline at 11:00 on 12/16 and back online at 13:00 on 12/17.</t>
  </si>
  <si>
    <t>1. SR112929, SR113086</t>
  </si>
  <si>
    <t>1. New</t>
  </si>
  <si>
    <t>SR113086</t>
  </si>
  <si>
    <t>1. Site was offline at 11:30 on 12/19 and back online at 12:15 on 12/21.</t>
  </si>
  <si>
    <t>1. SR113324</t>
  </si>
  <si>
    <t>1. Inverter 9 derating by 5 kW from 11/03.</t>
  </si>
  <si>
    <t>1. SR105479, SR112278</t>
  </si>
  <si>
    <t>SR112278</t>
  </si>
  <si>
    <t>1. Inverter 31 was offline since 11/28 and back online at 10:15 on 12.29.
2. Multiple inverters having shading.</t>
  </si>
  <si>
    <t>1. SR113443</t>
  </si>
  <si>
    <t>1. Completed</t>
  </si>
  <si>
    <t>1.Actual vs expected delta is showing 16% due to expected energy recording low possibly due to data glitch (similar event observe last 3 years).</t>
  </si>
  <si>
    <t>1. Inverter 10 tripped offline at 14:30 on 12/19 and reporting "Generic inverter fault status" and back online at 07:00 on 12/20.
2. inverter 3 down a string from 11/9.</t>
  </si>
  <si>
    <t>1. SR113251
2. SR111474</t>
  </si>
  <si>
    <t>SR111474</t>
  </si>
  <si>
    <t xml:space="preserve">
1. Closed
2. pending
3. pending</t>
  </si>
  <si>
    <t>1. Site was tripped offline at 14:45 to 16:45 on 12/25.</t>
  </si>
  <si>
    <t>1. SR113623</t>
  </si>
  <si>
    <t>1.Site production was low on 12/02, 12/05 ,12/10 ,12/23 ,12/26 , 12/27 , 12/28</t>
  </si>
  <si>
    <t>1.Site production was low on 12/02 ,12/14 ,12/15 ,12/16  , 12/27 due to snow</t>
  </si>
  <si>
    <t>1.Site production was low on 12/02, 12/12 ,12/14 ,12/15 ,12/16 , 12/17 , 12/27 due to snow</t>
  </si>
  <si>
    <t>1. Site production was low on 12/02,12/14,12/15,12/16,12/17,12/19,12/23,12/27,12/28 and 12/29 due to snow.</t>
  </si>
  <si>
    <t>1. Inverter 16 remains offline on 10/26 rmad DSP board and AC contactor and back online at 14:00 on 12/01. 
2. The site was offline from 11:45 to 14:00 on 12/04 while a technician was onsite.</t>
  </si>
  <si>
    <t>1. SR109996
2. SR111580</t>
  </si>
  <si>
    <t>SR111580</t>
  </si>
  <si>
    <t xml:space="preserve">1. The site tripped offline at 23:45 on 12/11. It then auto-recovered and came back online at 11:45 on 12/13.
2. Inverter 25 string 2 is offline since 08/01 and requires further investigation.
</t>
  </si>
  <si>
    <t>1. SR112645
2. SR105470</t>
  </si>
  <si>
    <t>1. Closed
2. Pending</t>
  </si>
  <si>
    <t>SR105470</t>
  </si>
  <si>
    <t>1. Inverter A9 tripped offline at 10:40 on 12/01 while a technician was onsite. After being power-cycled, the inverter came back online at 14:55 on 12/01.
2. Inverter A7 tripped offline at 07:00 on 12/06, reporting “[WARN-26] Communication 2 Fault (0001h)” in XGI. It later self-resolved and came back online at 07:00 on 12/07.</t>
  </si>
  <si>
    <t>1. SR111878
2. SR112321</t>
  </si>
  <si>
    <t>SR112321</t>
  </si>
  <si>
    <t xml:space="preserve">1. Site was offline at 12:45 on 12/19 after remote rest site is back online at 01:30 on 12/22.
2. Site was offline at 04:45 on 12/30 and back online at 09:45 on12/30. </t>
  </si>
  <si>
    <t>1. SR113317
2. SR113866</t>
  </si>
  <si>
    <t>SR113866</t>
  </si>
  <si>
    <t>1. Energy data is not available in denowatt portal. We have created a ticket with Denowatt support
2. Site production was low on 12/12 and 12/13. Reporting power derating.</t>
  </si>
  <si>
    <t>1. SR112698</t>
  </si>
  <si>
    <t>Portfolio:</t>
  </si>
  <si>
    <t>Greenbacker Capital</t>
  </si>
  <si>
    <t>Site DAS Name</t>
  </si>
  <si>
    <t>Update</t>
  </si>
  <si>
    <t>DAS</t>
  </si>
  <si>
    <t>10 Walpole Park South [0664]</t>
  </si>
  <si>
    <t>10 Walpole Park South</t>
  </si>
  <si>
    <t>MA</t>
  </si>
  <si>
    <t>AEF</t>
  </si>
  <si>
    <t>PowerTrack</t>
  </si>
  <si>
    <t>15 Walpole Park South [0668]</t>
  </si>
  <si>
    <t>15 Walpole Park South</t>
  </si>
  <si>
    <t>19 Walpole Park South [0670]</t>
  </si>
  <si>
    <t>19 Walpole Park South</t>
  </si>
  <si>
    <t>23 Walpole Park South [0676]</t>
  </si>
  <si>
    <t>23 Walpole Park South</t>
  </si>
  <si>
    <t>24 Walpole Park South [0667]</t>
  </si>
  <si>
    <t>24 Walpole Park South</t>
  </si>
  <si>
    <t>25 Walpole Park South [0665]</t>
  </si>
  <si>
    <t>25 Walpole Park South</t>
  </si>
  <si>
    <t>3 Walpole Park South [0666]</t>
  </si>
  <si>
    <t>3 Walpole Park South</t>
  </si>
  <si>
    <t>4 Walpole Park South [0669]</t>
  </si>
  <si>
    <t>4 Walpole Park South</t>
  </si>
  <si>
    <t>Brockton [0662]</t>
  </si>
  <si>
    <t>Brockton</t>
  </si>
  <si>
    <t>Canton [0672]</t>
  </si>
  <si>
    <t>Canton</t>
  </si>
  <si>
    <t>Chelsea [0663]</t>
  </si>
  <si>
    <t>Chelsea</t>
  </si>
  <si>
    <t>Hamilton MA Landfill</t>
  </si>
  <si>
    <t>Hamilton Landfill</t>
  </si>
  <si>
    <t>InAccess</t>
  </si>
  <si>
    <t>Holliston [0674]</t>
  </si>
  <si>
    <t>Holliston</t>
  </si>
  <si>
    <t>MA: Natick HS - Carports</t>
  </si>
  <si>
    <t>Natick HS - Carports</t>
  </si>
  <si>
    <t>Norton [0671]</t>
  </si>
  <si>
    <t>Norton</t>
  </si>
  <si>
    <t>Palmer - Boston Rd. [0637]</t>
  </si>
  <si>
    <t>Palmer - Boston Rd.</t>
  </si>
  <si>
    <t>Shirley Bartkus [0632]</t>
  </si>
  <si>
    <t>Shirley Bartkus</t>
  </si>
  <si>
    <t>AE</t>
  </si>
  <si>
    <t>Stoughton [0661]</t>
  </si>
  <si>
    <t>Stoughton</t>
  </si>
  <si>
    <t>MA: Wellfleet Landfill</t>
  </si>
  <si>
    <t>Wellfleet Landfill</t>
  </si>
  <si>
    <t>Wilmington Garage &amp; Building 7 [0675]</t>
  </si>
  <si>
    <t>Wilmington Garage &amp; Building 7</t>
  </si>
  <si>
    <t>Woburn [0673]</t>
  </si>
  <si>
    <t>Woburn</t>
  </si>
  <si>
    <t>Friendship Solar 1 [0569]</t>
  </si>
  <si>
    <t>Friendship Solar 1</t>
  </si>
  <si>
    <t>MD</t>
  </si>
  <si>
    <t>Friendship Solar 2 [0570]</t>
  </si>
  <si>
    <t>Friendship Solar 2</t>
  </si>
  <si>
    <t>101 Carnegie Center</t>
  </si>
  <si>
    <t>NJ</t>
  </si>
  <si>
    <t>302 Carnegie Center</t>
  </si>
  <si>
    <t>510 Carnegie Center</t>
  </si>
  <si>
    <t>701 Carnegie Center</t>
  </si>
  <si>
    <t>Hudson County Correction [0470]</t>
  </si>
  <si>
    <t>Hudson County Correction</t>
  </si>
  <si>
    <t>ER Bison Solar [0371]</t>
  </si>
  <si>
    <t>ER Bison Solar</t>
  </si>
  <si>
    <t>PA</t>
  </si>
  <si>
    <t>Danville</t>
  </si>
  <si>
    <t>IL</t>
  </si>
  <si>
    <t>Camden - Campbell Soup HQ</t>
  </si>
  <si>
    <t>PowerFactor</t>
  </si>
  <si>
    <t>Pine Hill [0702]</t>
  </si>
  <si>
    <t>Westport - Pine Hill</t>
  </si>
  <si>
    <t>AF</t>
  </si>
  <si>
    <t>Gaithersburg - Oaks C ANEM</t>
  </si>
  <si>
    <t>Oaks Landfill - ANEM</t>
  </si>
  <si>
    <t>Gaithersburg - Oaks A CS1</t>
  </si>
  <si>
    <t>Oaks Landfill - CS2</t>
  </si>
  <si>
    <t>Gaithersburg - Oaks B CS2</t>
  </si>
  <si>
    <t>Oaks Landfill - CS1</t>
  </si>
  <si>
    <t>Plympton - Upland Solar - PV &amp; BESS (IRA)</t>
  </si>
  <si>
    <t>Acelerex</t>
  </si>
  <si>
    <t>Black Cat</t>
  </si>
  <si>
    <t>MA: Plymouth - Black Cat Solar - PV &amp; BESS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</si>
</sst>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8">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u/>
      <sz val="10"/>
      <color theme="10"/>
      <name val="Arial"/>
      <family val="2"/>
    </font>
    <font>
      <sz val="10"/>
      <color rgb="FF000000"/>
      <name val="Arial"/>
      <family val="2"/>
    </font>
  </fonts>
  <fills count="49">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FFF2CC"/>
        <bgColor rgb="FF000000"/>
      </patternFill>
    </fill>
    <fill>
      <patternFill patternType="solid">
        <fgColor theme="0"/>
        <bgColor indexed="64"/>
      </patternFill>
    </fill>
    <fill>
      <patternFill patternType="solid">
        <fgColor rgb="FFD9E1F2"/>
        <bgColor rgb="FFD9E1F2"/>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6" fillId="0" borderId="0" applyNumberFormat="0" applyFill="0" applyBorder="0" applyAlignment="0" applyProtection="0"/>
  </cellStyleXfs>
  <cellXfs count="120">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49" fontId="27" fillId="0" borderId="0" xfId="0" applyNumberFormat="1" applyFont="1" applyAlignment="1">
      <alignment vertical="center" wrapText="1"/>
    </xf>
    <xf numFmtId="0" fontId="0" fillId="0" borderId="0" xfId="0" applyAlignment="1">
      <alignment horizontal="center" wrapText="1"/>
    </xf>
    <xf numFmtId="0" fontId="0" fillId="0" borderId="0" xfId="0" applyAlignment="1">
      <alignment horizontal="center" vertical="center"/>
    </xf>
    <xf numFmtId="49" fontId="27" fillId="40" borderId="0" xfId="0" applyNumberFormat="1" applyFont="1" applyFill="1" applyAlignment="1">
      <alignment horizontal="left" vertical="center"/>
    </xf>
    <xf numFmtId="49" fontId="27" fillId="0" borderId="0" xfId="0" applyNumberFormat="1" applyFont="1" applyAlignment="1">
      <alignment horizontal="left" vertical="center"/>
    </xf>
    <xf numFmtId="0" fontId="34" fillId="40" borderId="0" xfId="0" applyFont="1" applyFill="1" applyAlignment="1">
      <alignment horizontal="left"/>
    </xf>
    <xf numFmtId="0" fontId="27" fillId="0" borderId="0" xfId="0" applyFont="1" applyAlignment="1">
      <alignment horizontal="left" vertical="center"/>
    </xf>
    <xf numFmtId="0" fontId="27" fillId="40" borderId="0" xfId="0" applyFont="1" applyFill="1" applyAlignment="1">
      <alignment horizontal="left" vertical="center"/>
    </xf>
    <xf numFmtId="0" fontId="22" fillId="0" borderId="0" xfId="43" applyFont="1"/>
    <xf numFmtId="0" fontId="29" fillId="43" borderId="11" xfId="0" applyFont="1" applyFill="1" applyBorder="1" applyAlignment="1">
      <alignment horizontal="center" vertical="center" wrapText="1"/>
    </xf>
    <xf numFmtId="0" fontId="24" fillId="41" borderId="11" xfId="0" applyFont="1" applyFill="1" applyBorder="1" applyAlignment="1">
      <alignment horizontal="center" vertical="center" wrapText="1"/>
    </xf>
    <xf numFmtId="0" fontId="24" fillId="42" borderId="11" xfId="0" applyFont="1" applyFill="1" applyBorder="1" applyAlignment="1">
      <alignment horizontal="center" vertical="center"/>
    </xf>
    <xf numFmtId="0" fontId="32" fillId="0" borderId="0" xfId="0" applyFont="1" applyAlignment="1">
      <alignment horizontal="center" vertical="center"/>
    </xf>
    <xf numFmtId="49" fontId="27" fillId="0" borderId="0" xfId="0" applyNumberFormat="1" applyFont="1" applyAlignment="1">
      <alignment vertical="top" wrapText="1"/>
    </xf>
    <xf numFmtId="49" fontId="28" fillId="0" borderId="0" xfId="0" applyNumberFormat="1" applyFont="1" applyAlignment="1">
      <alignment vertical="top" wrapText="1"/>
    </xf>
    <xf numFmtId="49" fontId="28" fillId="0" borderId="0" xfId="0" applyNumberFormat="1" applyFont="1" applyAlignment="1">
      <alignment horizontal="left" vertical="top" wrapText="1"/>
    </xf>
    <xf numFmtId="49" fontId="27" fillId="0" borderId="0" xfId="0" applyNumberFormat="1" applyFont="1" applyAlignment="1">
      <alignment horizontal="left" vertical="top" wrapText="1"/>
    </xf>
    <xf numFmtId="49" fontId="30" fillId="38" borderId="0" xfId="2" applyNumberFormat="1" applyFont="1" applyFill="1" applyBorder="1" applyAlignment="1">
      <alignment horizontal="left" vertical="top" wrapText="1"/>
    </xf>
    <xf numFmtId="0" fontId="34" fillId="40" borderId="0" xfId="0" applyFont="1" applyFill="1" applyAlignment="1">
      <alignment horizontal="center" vertical="center"/>
    </xf>
    <xf numFmtId="0" fontId="30" fillId="46" borderId="0" xfId="0" applyFont="1" applyFill="1" applyAlignment="1">
      <alignment horizontal="left" vertical="top" wrapText="1"/>
    </xf>
    <xf numFmtId="0" fontId="23" fillId="0" borderId="0" xfId="0" applyFont="1" applyAlignment="1">
      <alignment horizontal="left" vertical="top" wrapText="1"/>
    </xf>
    <xf numFmtId="3" fontId="30" fillId="0" borderId="0" xfId="1" applyNumberFormat="1" applyFont="1" applyAlignment="1">
      <alignment vertical="center"/>
    </xf>
    <xf numFmtId="49" fontId="23" fillId="0" borderId="0" xfId="0" applyNumberFormat="1" applyFont="1" applyAlignment="1">
      <alignment vertical="top" wrapText="1"/>
    </xf>
    <xf numFmtId="164" fontId="28" fillId="44" borderId="0" xfId="1" applyNumberFormat="1" applyFont="1" applyFill="1" applyAlignment="1">
      <alignment horizontal="center" vertical="center"/>
    </xf>
    <xf numFmtId="9" fontId="30" fillId="3" borderId="0" xfId="2" applyFont="1" applyFill="1" applyAlignment="1">
      <alignment horizontal="center" vertical="center"/>
    </xf>
    <xf numFmtId="3" fontId="30" fillId="4" borderId="0" xfId="1" applyNumberFormat="1" applyFont="1" applyFill="1" applyAlignment="1">
      <alignment vertical="center"/>
    </xf>
    <xf numFmtId="49" fontId="30" fillId="38" borderId="0" xfId="2" applyNumberFormat="1" applyFont="1" applyFill="1" applyAlignment="1">
      <alignment vertical="top" wrapText="1"/>
    </xf>
    <xf numFmtId="164" fontId="28" fillId="0" borderId="0" xfId="1" applyNumberFormat="1" applyFont="1" applyAlignment="1">
      <alignment horizontal="center" vertical="center"/>
    </xf>
    <xf numFmtId="9" fontId="30" fillId="0" borderId="0" xfId="2" applyFont="1" applyAlignment="1">
      <alignment horizontal="center" vertical="center"/>
    </xf>
    <xf numFmtId="49" fontId="30" fillId="38" borderId="0" xfId="2" applyNumberFormat="1" applyFont="1" applyFill="1" applyBorder="1" applyAlignment="1">
      <alignment horizontal="left" vertical="top"/>
    </xf>
    <xf numFmtId="0" fontId="23" fillId="0" borderId="0" xfId="43" applyFont="1" applyAlignment="1">
      <alignment horizontal="left"/>
    </xf>
    <xf numFmtId="0" fontId="22" fillId="0" borderId="0" xfId="43" applyFont="1" applyAlignment="1">
      <alignment horizontal="left" vertical="top"/>
    </xf>
    <xf numFmtId="49" fontId="36" fillId="0" borderId="0" xfId="45" applyNumberFormat="1" applyAlignment="1">
      <alignment horizontal="left" vertical="top" wrapText="1"/>
    </xf>
    <xf numFmtId="49" fontId="36" fillId="38" borderId="0" xfId="45" applyNumberFormat="1" applyFill="1" applyBorder="1" applyAlignment="1">
      <alignment vertical="top" wrapText="1"/>
    </xf>
    <xf numFmtId="49" fontId="36" fillId="0" borderId="0" xfId="45" applyNumberFormat="1" applyAlignment="1">
      <alignment vertical="center" wrapText="1"/>
    </xf>
    <xf numFmtId="49" fontId="36" fillId="0" borderId="0" xfId="45" applyNumberFormat="1" applyAlignment="1">
      <alignment vertical="top" wrapText="1"/>
    </xf>
    <xf numFmtId="0" fontId="0" fillId="0" borderId="0" xfId="0" applyAlignment="1">
      <alignment horizontal="left" vertical="top"/>
    </xf>
    <xf numFmtId="0" fontId="36" fillId="0" borderId="0" xfId="45" applyAlignment="1">
      <alignment horizontal="left" vertical="top"/>
    </xf>
    <xf numFmtId="9" fontId="30" fillId="37" borderId="0" xfId="2" applyFont="1" applyFill="1" applyAlignment="1">
      <alignment horizontal="center" vertical="center"/>
    </xf>
    <xf numFmtId="49" fontId="36" fillId="38" borderId="0" xfId="45" applyNumberFormat="1" applyFill="1" applyAlignment="1">
      <alignment vertical="top" wrapText="1"/>
    </xf>
    <xf numFmtId="0" fontId="34" fillId="40" borderId="0" xfId="0" applyFont="1" applyFill="1" applyAlignment="1">
      <alignment horizontal="left" vertical="center"/>
    </xf>
    <xf numFmtId="0" fontId="36" fillId="0" borderId="0" xfId="45"/>
    <xf numFmtId="49" fontId="27" fillId="0" borderId="0" xfId="0" applyNumberFormat="1" applyFont="1" applyAlignment="1">
      <alignment horizontal="left" vertical="center" wrapText="1"/>
    </xf>
    <xf numFmtId="49" fontId="30" fillId="38" borderId="0" xfId="2" applyNumberFormat="1" applyFont="1" applyFill="1" applyAlignment="1">
      <alignment horizontal="left" vertical="top" wrapText="1"/>
    </xf>
    <xf numFmtId="49" fontId="36" fillId="0" borderId="0" xfId="45" applyNumberFormat="1" applyAlignment="1">
      <alignment horizontal="left" vertical="center" wrapText="1"/>
    </xf>
    <xf numFmtId="49" fontId="36" fillId="38" borderId="0" xfId="45" applyNumberFormat="1" applyFill="1" applyBorder="1" applyAlignment="1">
      <alignment horizontal="left" vertical="top" wrapText="1"/>
    </xf>
    <xf numFmtId="3" fontId="30" fillId="4" borderId="0" xfId="1" applyNumberFormat="1" applyFont="1" applyFill="1" applyBorder="1" applyAlignment="1">
      <alignment horizontal="right" vertical="center"/>
    </xf>
    <xf numFmtId="3" fontId="30" fillId="0" borderId="0" xfId="1" applyNumberFormat="1" applyFont="1" applyFill="1" applyBorder="1" applyAlignment="1">
      <alignment horizontal="right" vertical="center"/>
    </xf>
    <xf numFmtId="49" fontId="28" fillId="38" borderId="0" xfId="0" applyNumberFormat="1" applyFont="1" applyFill="1" applyAlignment="1">
      <alignment horizontal="left" vertical="top" wrapText="1"/>
    </xf>
    <xf numFmtId="0" fontId="0" fillId="47" borderId="0" xfId="0" applyFill="1" applyAlignment="1">
      <alignment horizontal="left" vertical="top"/>
    </xf>
    <xf numFmtId="0" fontId="23" fillId="0" borderId="0" xfId="0" applyFont="1"/>
    <xf numFmtId="0" fontId="30" fillId="0" borderId="0" xfId="0" applyFont="1" applyAlignment="1">
      <alignment horizontal="left" vertical="top" wrapText="1"/>
    </xf>
    <xf numFmtId="49" fontId="34" fillId="0" borderId="0" xfId="0" applyNumberFormat="1" applyFont="1" applyAlignment="1">
      <alignment horizontal="left" vertical="top" wrapText="1"/>
    </xf>
    <xf numFmtId="49" fontId="23" fillId="0" borderId="0" xfId="0" applyNumberFormat="1" applyFont="1" applyAlignment="1">
      <alignment horizontal="left" vertical="top" wrapText="1"/>
    </xf>
    <xf numFmtId="3" fontId="30" fillId="0" borderId="0" xfId="1" applyNumberFormat="1" applyFont="1" applyFill="1" applyBorder="1" applyAlignment="1">
      <alignment horizontal="right"/>
    </xf>
    <xf numFmtId="3" fontId="30" fillId="4" borderId="0" xfId="1" applyNumberFormat="1" applyFont="1" applyFill="1" applyBorder="1" applyAlignment="1">
      <alignment horizontal="right"/>
    </xf>
    <xf numFmtId="0" fontId="35" fillId="0" borderId="0" xfId="0" applyFont="1" applyAlignment="1">
      <alignment wrapText="1"/>
    </xf>
    <xf numFmtId="0" fontId="23" fillId="48" borderId="0" xfId="0" applyFont="1" applyFill="1" applyAlignment="1">
      <alignment horizontal="left"/>
    </xf>
    <xf numFmtId="0" fontId="37" fillId="48" borderId="0" xfId="0" applyFont="1" applyFill="1" applyAlignment="1">
      <alignment horizontal="left" vertical="top"/>
    </xf>
    <xf numFmtId="0" fontId="37" fillId="48" borderId="0" xfId="0" applyFont="1" applyFill="1"/>
    <xf numFmtId="0" fontId="0" fillId="0" borderId="0" xfId="0" applyAlignment="1">
      <alignment vertical="top"/>
    </xf>
    <xf numFmtId="0" fontId="0" fillId="0" borderId="0" xfId="0" applyAlignment="1">
      <alignment vertical="top" wrapText="1"/>
    </xf>
    <xf numFmtId="49" fontId="27" fillId="0" borderId="0" xfId="0" applyNumberFormat="1" applyFont="1" applyAlignment="1">
      <alignment vertical="top"/>
    </xf>
    <xf numFmtId="0" fontId="5" fillId="0" borderId="0" xfId="0" applyFont="1" applyAlignment="1">
      <alignment vertical="top"/>
    </xf>
    <xf numFmtId="0" fontId="5" fillId="45" borderId="1" xfId="0" applyFont="1" applyFill="1" applyBorder="1" applyAlignment="1">
      <alignment horizontal="center" vertical="top"/>
    </xf>
    <xf numFmtId="49" fontId="34" fillId="0" borderId="0" xfId="0" applyNumberFormat="1" applyFont="1" applyAlignment="1">
      <alignment vertical="top" wrapText="1"/>
    </xf>
    <xf numFmtId="0" fontId="32" fillId="0" borderId="0" xfId="0" applyFont="1" applyAlignment="1">
      <alignment vertical="top"/>
    </xf>
    <xf numFmtId="3" fontId="30" fillId="4" borderId="0" xfId="1" applyNumberFormat="1" applyFont="1" applyFill="1" applyAlignment="1">
      <alignment horizontal="right" vertical="center"/>
    </xf>
    <xf numFmtId="3" fontId="30" fillId="0" borderId="0" xfId="1" applyNumberFormat="1" applyFont="1" applyAlignment="1">
      <alignment horizontal="right" vertical="center"/>
    </xf>
    <xf numFmtId="164" fontId="28" fillId="44" borderId="0" xfId="1" applyNumberFormat="1" applyFont="1" applyFill="1" applyAlignment="1">
      <alignment horizontal="right" vertical="center"/>
    </xf>
    <xf numFmtId="9" fontId="30" fillId="3" borderId="0" xfId="2" applyFont="1" applyFill="1" applyAlignment="1">
      <alignment horizontal="right" vertical="center"/>
    </xf>
    <xf numFmtId="49" fontId="36" fillId="38" borderId="0" xfId="45" applyNumberFormat="1" applyFill="1" applyBorder="1" applyAlignment="1">
      <alignment horizontal="left" vertical="top"/>
    </xf>
    <xf numFmtId="0" fontId="23" fillId="0" borderId="0" xfId="0" applyFont="1" applyAlignment="1">
      <alignment wrapText="1"/>
    </xf>
    <xf numFmtId="0" fontId="34" fillId="0" borderId="0" xfId="0" applyFont="1" applyAlignment="1">
      <alignment vertical="top"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8">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40" totalsRowShown="0">
  <autoFilter ref="A3:E40" xr:uid="{C9C95D9E-67ED-41E0-9F41-9C3DA4ACF4CD}"/>
  <sortState xmlns:xlrd2="http://schemas.microsoft.com/office/spreadsheetml/2017/richdata2" ref="A4:D6">
    <sortCondition ref="C3:C6"/>
  </sortState>
  <tableColumns count="5">
    <tableColumn id="3" xr3:uid="{3FB6FBC9-911C-415A-89D1-91E602B41CD0}" name="Site DAS Name" dataDxfId="3" dataCellStyle="Normal 2"/>
    <tableColumn id="1" xr3:uid="{9A753695-C18C-437C-AD9C-C2CE5C1A806E}" name="Site" dataDxfId="2" dataCellStyle="Normal 2"/>
    <tableColumn id="2" xr3:uid="{250F229D-34D2-4043-BE8F-6D9C210E223F}" name="State" dataDxfId="1" dataCellStyle="Normal 2"/>
    <tableColumn id="5" xr3:uid="{61DF2E38-E0FD-4D7E-AE61-BDFE8D5E1312}" name="Update"/>
    <tableColumn id="4" xr3:uid="{E086A54F-BF3D-477F-A0D7-706863BF0C38}" name="DAS" dataDxfId="0"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3" Type="http://schemas.openxmlformats.org/officeDocument/2006/relationships/hyperlink" Target="https://us3.assetplanner.com/service_request?ID=095517" TargetMode="External"/><Relationship Id="rId18" Type="http://schemas.openxmlformats.org/officeDocument/2006/relationships/hyperlink" Target="https://us3.assetplanner.com/service_request?ID=092249" TargetMode="External"/><Relationship Id="rId26" Type="http://schemas.openxmlformats.org/officeDocument/2006/relationships/hyperlink" Target="https://us3.assetplanner.com/service_request?ID=089983" TargetMode="External"/><Relationship Id="rId39" Type="http://schemas.openxmlformats.org/officeDocument/2006/relationships/hyperlink" Target="https://us3.assetplanner.com/service_request?ID=095494" TargetMode="External"/><Relationship Id="rId21" Type="http://schemas.openxmlformats.org/officeDocument/2006/relationships/hyperlink" Target="https://us3.assetplanner.com/service_request?ID=096132" TargetMode="External"/><Relationship Id="rId34" Type="http://schemas.openxmlformats.org/officeDocument/2006/relationships/hyperlink" Target="https://us3.assetplanner.com/service_request?ID=095616" TargetMode="External"/><Relationship Id="rId42" Type="http://schemas.openxmlformats.org/officeDocument/2006/relationships/hyperlink" Target="https://us3.assetplanner.com/service_request?ID=095903" TargetMode="External"/><Relationship Id="rId47" Type="http://schemas.openxmlformats.org/officeDocument/2006/relationships/hyperlink" Target="https://us3.assetplanner.com/service_request?ID=095199" TargetMode="External"/><Relationship Id="rId50" Type="http://schemas.openxmlformats.org/officeDocument/2006/relationships/printerSettings" Target="../printerSettings/printerSettings3.bin"/><Relationship Id="rId7" Type="http://schemas.openxmlformats.org/officeDocument/2006/relationships/hyperlink" Target="https://us3.assetplanner.com/service_request?ID=089564" TargetMode="External"/><Relationship Id="rId2" Type="http://schemas.openxmlformats.org/officeDocument/2006/relationships/hyperlink" Target="https://us3.assetplanner.com/service_request?ID=089997" TargetMode="External"/><Relationship Id="rId16" Type="http://schemas.openxmlformats.org/officeDocument/2006/relationships/hyperlink" Target="https://us3.assetplanner.com/service_request?ID=095300" TargetMode="External"/><Relationship Id="rId29" Type="http://schemas.openxmlformats.org/officeDocument/2006/relationships/hyperlink" Target="https://us3.assetplanner.com/service_request?ID=096154" TargetMode="External"/><Relationship Id="rId11" Type="http://schemas.openxmlformats.org/officeDocument/2006/relationships/hyperlink" Target="https://us3.assetplanner.com/service_request?ID=094025" TargetMode="External"/><Relationship Id="rId24" Type="http://schemas.openxmlformats.org/officeDocument/2006/relationships/hyperlink" Target="https://us3.assetplanner.com/service_request?ID=095058" TargetMode="External"/><Relationship Id="rId32" Type="http://schemas.openxmlformats.org/officeDocument/2006/relationships/hyperlink" Target="https://us3.assetplanner.com/service_request?ID=095538" TargetMode="External"/><Relationship Id="rId37" Type="http://schemas.openxmlformats.org/officeDocument/2006/relationships/hyperlink" Target="https://us3.assetplanner.com/service_request?ID=095495" TargetMode="External"/><Relationship Id="rId40" Type="http://schemas.openxmlformats.org/officeDocument/2006/relationships/hyperlink" Target="https://us3.assetplanner.com/service_request?ID=095360" TargetMode="External"/><Relationship Id="rId45" Type="http://schemas.openxmlformats.org/officeDocument/2006/relationships/hyperlink" Target="https://us3.assetplanner.com/service_request?ID=095761" TargetMode="External"/><Relationship Id="rId5" Type="http://schemas.openxmlformats.org/officeDocument/2006/relationships/hyperlink" Target="https://us3.assetplanner.com/service_request?ID=089170" TargetMode="External"/><Relationship Id="rId15" Type="http://schemas.openxmlformats.org/officeDocument/2006/relationships/hyperlink" Target="https://us3.assetplanner.com/service_request?ID=096199" TargetMode="External"/><Relationship Id="rId23" Type="http://schemas.openxmlformats.org/officeDocument/2006/relationships/hyperlink" Target="https://us3.assetplanner.com/service_request?ID=095309" TargetMode="External"/><Relationship Id="rId28" Type="http://schemas.openxmlformats.org/officeDocument/2006/relationships/hyperlink" Target="https://us3.assetplanner.com/service_request?ID=094678" TargetMode="External"/><Relationship Id="rId36" Type="http://schemas.openxmlformats.org/officeDocument/2006/relationships/hyperlink" Target="https://us3.assetplanner.com/service_request?ID=092108" TargetMode="External"/><Relationship Id="rId49" Type="http://schemas.openxmlformats.org/officeDocument/2006/relationships/hyperlink" Target="https://us3.assetplanner.com/service_request?ID=095620" TargetMode="External"/><Relationship Id="rId10" Type="http://schemas.openxmlformats.org/officeDocument/2006/relationships/hyperlink" Target="https://us3.assetplanner.com/service_request?ID=093500" TargetMode="External"/><Relationship Id="rId19" Type="http://schemas.openxmlformats.org/officeDocument/2006/relationships/hyperlink" Target="https://us3.assetplanner.com/service_request?ID=093403" TargetMode="External"/><Relationship Id="rId31" Type="http://schemas.openxmlformats.org/officeDocument/2006/relationships/hyperlink" Target="https://us3.assetplanner.com/service_request?ID=095518" TargetMode="External"/><Relationship Id="rId44" Type="http://schemas.openxmlformats.org/officeDocument/2006/relationships/hyperlink" Target="https://us3.assetplanner.com/service_request?ID=094283" TargetMode="External"/><Relationship Id="rId4" Type="http://schemas.openxmlformats.org/officeDocument/2006/relationships/hyperlink" Target="https://us3.assetplanner.com/service_request?ID=094233" TargetMode="External"/><Relationship Id="rId9" Type="http://schemas.openxmlformats.org/officeDocument/2006/relationships/hyperlink" Target="https://us3.assetplanner.com/service_request?ID=093406" TargetMode="External"/><Relationship Id="rId14" Type="http://schemas.openxmlformats.org/officeDocument/2006/relationships/hyperlink" Target="https://us3.assetplanner.com/service_request?ID=095697" TargetMode="External"/><Relationship Id="rId22" Type="http://schemas.openxmlformats.org/officeDocument/2006/relationships/hyperlink" Target="https://us3.assetplanner.com/service_request?ID=095279" TargetMode="External"/><Relationship Id="rId27" Type="http://schemas.openxmlformats.org/officeDocument/2006/relationships/hyperlink" Target="https://us3.assetplanner.com/service_request?ID=095497" TargetMode="External"/><Relationship Id="rId30" Type="http://schemas.openxmlformats.org/officeDocument/2006/relationships/hyperlink" Target="https://us3.assetplanner.com/service_request?ID=095079" TargetMode="External"/><Relationship Id="rId35" Type="http://schemas.openxmlformats.org/officeDocument/2006/relationships/hyperlink" Target="https://us3.assetplanner.com/service_request?ID=095972" TargetMode="External"/><Relationship Id="rId43" Type="http://schemas.openxmlformats.org/officeDocument/2006/relationships/hyperlink" Target="https://us3.assetplanner.com/service_request?ID=094890" TargetMode="External"/><Relationship Id="rId48" Type="http://schemas.openxmlformats.org/officeDocument/2006/relationships/hyperlink" Target="https://us3.assetplanner.com/service_request?ID=095429" TargetMode="External"/><Relationship Id="rId8" Type="http://schemas.openxmlformats.org/officeDocument/2006/relationships/hyperlink" Target="https://us3.assetplanner.com/service_request?ID=093404" TargetMode="External"/><Relationship Id="rId3" Type="http://schemas.openxmlformats.org/officeDocument/2006/relationships/hyperlink" Target="https://us3.assetplanner.com/service_request?ID=095693" TargetMode="External"/><Relationship Id="rId12" Type="http://schemas.openxmlformats.org/officeDocument/2006/relationships/hyperlink" Target="https://us3.assetplanner.com/service_request?ID=094028" TargetMode="External"/><Relationship Id="rId17" Type="http://schemas.openxmlformats.org/officeDocument/2006/relationships/hyperlink" Target="https://us3.assetplanner.com/service_request?ID=095690" TargetMode="External"/><Relationship Id="rId25" Type="http://schemas.openxmlformats.org/officeDocument/2006/relationships/hyperlink" Target="https://us3.assetplanner.com/service_request?ID=095843" TargetMode="External"/><Relationship Id="rId33" Type="http://schemas.openxmlformats.org/officeDocument/2006/relationships/hyperlink" Target="https://us3.assetplanner.com/service_request?ID=095579" TargetMode="External"/><Relationship Id="rId38" Type="http://schemas.openxmlformats.org/officeDocument/2006/relationships/hyperlink" Target="https://us3.assetplanner.com/service_request?ID=095674" TargetMode="External"/><Relationship Id="rId46" Type="http://schemas.openxmlformats.org/officeDocument/2006/relationships/hyperlink" Target="https://us3.assetplanner.com/service_request?ID=094889" TargetMode="External"/><Relationship Id="rId20" Type="http://schemas.openxmlformats.org/officeDocument/2006/relationships/hyperlink" Target="https://us3.assetplanner.com/service_request?ID=096031" TargetMode="External"/><Relationship Id="rId41" Type="http://schemas.openxmlformats.org/officeDocument/2006/relationships/hyperlink" Target="https://us3.assetplanner.com/service_request?ID=092627" TargetMode="External"/><Relationship Id="rId1" Type="http://schemas.openxmlformats.org/officeDocument/2006/relationships/hyperlink" Target="https://us3.assetplanner.com/service_request?ID=095312" TargetMode="External"/><Relationship Id="rId6" Type="http://schemas.openxmlformats.org/officeDocument/2006/relationships/hyperlink" Target="https://us3.assetplanner.com/service_request?ID=095220"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us3.assetplanner.com/service_request?ID=089983" TargetMode="External"/><Relationship Id="rId18" Type="http://schemas.openxmlformats.org/officeDocument/2006/relationships/hyperlink" Target="https://us3.assetplanner.com/service_request?ID=095495" TargetMode="External"/><Relationship Id="rId26" Type="http://schemas.openxmlformats.org/officeDocument/2006/relationships/hyperlink" Target="https://us3.assetplanner.com/service_request?ID=095761" TargetMode="External"/><Relationship Id="rId3" Type="http://schemas.openxmlformats.org/officeDocument/2006/relationships/hyperlink" Target="https://us3.assetplanner.com/service_request?ID=089170" TargetMode="External"/><Relationship Id="rId21" Type="http://schemas.openxmlformats.org/officeDocument/2006/relationships/hyperlink" Target="https://us3.assetplanner.com/service_request?ID=095494" TargetMode="External"/><Relationship Id="rId7" Type="http://schemas.openxmlformats.org/officeDocument/2006/relationships/hyperlink" Target="https://us3.assetplanner.com/service_request?ID=096199" TargetMode="External"/><Relationship Id="rId12" Type="http://schemas.openxmlformats.org/officeDocument/2006/relationships/hyperlink" Target="https://us3.assetplanner.com/service_request?ID=093403" TargetMode="External"/><Relationship Id="rId17" Type="http://schemas.openxmlformats.org/officeDocument/2006/relationships/hyperlink" Target="https://us3.assetplanner.com/service_request?ID=097175" TargetMode="External"/><Relationship Id="rId25" Type="http://schemas.openxmlformats.org/officeDocument/2006/relationships/hyperlink" Target="https://us3.assetplanner.com/service_request?ID=095199" TargetMode="External"/><Relationship Id="rId33" Type="http://schemas.openxmlformats.org/officeDocument/2006/relationships/hyperlink" Target="https://us3.assetplanner.com/service_request?ID=096221" TargetMode="External"/><Relationship Id="rId2" Type="http://schemas.openxmlformats.org/officeDocument/2006/relationships/hyperlink" Target="https://us3.assetplanner.com/service_request?ID=089997" TargetMode="External"/><Relationship Id="rId16" Type="http://schemas.openxmlformats.org/officeDocument/2006/relationships/hyperlink" Target="https://us3.assetplanner.com/service_request?ID=097183" TargetMode="External"/><Relationship Id="rId20" Type="http://schemas.openxmlformats.org/officeDocument/2006/relationships/hyperlink" Target="https://us3.assetplanner.com/service_request?ID=095674" TargetMode="External"/><Relationship Id="rId29" Type="http://schemas.openxmlformats.org/officeDocument/2006/relationships/hyperlink" Target="https://us3.assetplanner.com/service_request?ID=096558" TargetMode="External"/><Relationship Id="rId1" Type="http://schemas.openxmlformats.org/officeDocument/2006/relationships/hyperlink" Target="https://us3.assetplanner.com/service_request?ID=095312" TargetMode="External"/><Relationship Id="rId6" Type="http://schemas.openxmlformats.org/officeDocument/2006/relationships/hyperlink" Target="https://us3.assetplanner.com/service_request?ID=093404" TargetMode="External"/><Relationship Id="rId11" Type="http://schemas.openxmlformats.org/officeDocument/2006/relationships/hyperlink" Target="https://us3.assetplanner.com/service_request?ID=096031" TargetMode="External"/><Relationship Id="rId24" Type="http://schemas.openxmlformats.org/officeDocument/2006/relationships/hyperlink" Target="https://us3.assetplanner.com/service_request?ID=094890" TargetMode="External"/><Relationship Id="rId32" Type="http://schemas.openxmlformats.org/officeDocument/2006/relationships/hyperlink" Target="https://us3.assetplanner.com/service_request?ID=097608" TargetMode="External"/><Relationship Id="rId5" Type="http://schemas.openxmlformats.org/officeDocument/2006/relationships/hyperlink" Target="https://us3.assetplanner.com/service_request?ID=089564" TargetMode="External"/><Relationship Id="rId15" Type="http://schemas.openxmlformats.org/officeDocument/2006/relationships/hyperlink" Target="https://us3.assetplanner.com/service_request?ID=095518" TargetMode="External"/><Relationship Id="rId23" Type="http://schemas.openxmlformats.org/officeDocument/2006/relationships/hyperlink" Target="https://us3.assetplanner.com/service_request?ID=093773" TargetMode="External"/><Relationship Id="rId28" Type="http://schemas.openxmlformats.org/officeDocument/2006/relationships/hyperlink" Target="https://us3.assetplanner.com/service_request?ID=096557" TargetMode="External"/><Relationship Id="rId10" Type="http://schemas.openxmlformats.org/officeDocument/2006/relationships/hyperlink" Target="https://us3.assetplanner.com/service_request?ID=096522" TargetMode="External"/><Relationship Id="rId19" Type="http://schemas.openxmlformats.org/officeDocument/2006/relationships/hyperlink" Target="https://us3.assetplanner.com/service_request?ID=095573" TargetMode="External"/><Relationship Id="rId31" Type="http://schemas.openxmlformats.org/officeDocument/2006/relationships/hyperlink" Target="https://us3.assetplanner.com/service_request?ID=097196" TargetMode="External"/><Relationship Id="rId4" Type="http://schemas.openxmlformats.org/officeDocument/2006/relationships/hyperlink" Target="https://us3.assetplanner.com/service_request?ID=095220" TargetMode="External"/><Relationship Id="rId9" Type="http://schemas.openxmlformats.org/officeDocument/2006/relationships/hyperlink" Target="https://us3.assetplanner.com/service_request?ID=096206" TargetMode="External"/><Relationship Id="rId14" Type="http://schemas.openxmlformats.org/officeDocument/2006/relationships/hyperlink" Target="https://us3.assetplanner.com/service_request?ID=094678" TargetMode="External"/><Relationship Id="rId22" Type="http://schemas.openxmlformats.org/officeDocument/2006/relationships/hyperlink" Target="https://us3.assetplanner.com/service_request?ID=097872" TargetMode="External"/><Relationship Id="rId27" Type="http://schemas.openxmlformats.org/officeDocument/2006/relationships/hyperlink" Target="https://us3.assetplanner.com/service_request?ID=096555" TargetMode="External"/><Relationship Id="rId30" Type="http://schemas.openxmlformats.org/officeDocument/2006/relationships/hyperlink" Target="https://us3.assetplanner.com/service_request?ID=097964" TargetMode="External"/><Relationship Id="rId8" Type="http://schemas.openxmlformats.org/officeDocument/2006/relationships/hyperlink" Target="https://us3.assetplanner.com/service_request?ID=093500"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us3.assetplanner.com/service_request?ID=098367" TargetMode="External"/><Relationship Id="rId18" Type="http://schemas.openxmlformats.org/officeDocument/2006/relationships/hyperlink" Target="https://us3.assetplanner.com/service_request?ID=097902" TargetMode="External"/><Relationship Id="rId26" Type="http://schemas.openxmlformats.org/officeDocument/2006/relationships/hyperlink" Target="https://us3.assetplanner.com/service_request?ID=097601" TargetMode="External"/><Relationship Id="rId39" Type="http://schemas.openxmlformats.org/officeDocument/2006/relationships/hyperlink" Target="https://us3.assetplanner.com/service_request?ID=096221" TargetMode="External"/><Relationship Id="rId21" Type="http://schemas.openxmlformats.org/officeDocument/2006/relationships/hyperlink" Target="https://us3.assetplanner.com/service_request?ID=098246" TargetMode="External"/><Relationship Id="rId34" Type="http://schemas.openxmlformats.org/officeDocument/2006/relationships/hyperlink" Target="https://us3.assetplanner.com/service_request?ID=095761" TargetMode="External"/><Relationship Id="rId7" Type="http://schemas.openxmlformats.org/officeDocument/2006/relationships/hyperlink" Target="https://us3.assetplanner.com/service_request?ID=098239" TargetMode="External"/><Relationship Id="rId12" Type="http://schemas.openxmlformats.org/officeDocument/2006/relationships/hyperlink" Target="https://us3.assetplanner.com/service_request?ID=093500" TargetMode="External"/><Relationship Id="rId17" Type="http://schemas.openxmlformats.org/officeDocument/2006/relationships/hyperlink" Target="https://us3.assetplanner.com/service_request?ID=093403" TargetMode="External"/><Relationship Id="rId25" Type="http://schemas.openxmlformats.org/officeDocument/2006/relationships/hyperlink" Target="https://us3.assetplanner.com/service_request?ID=095573" TargetMode="External"/><Relationship Id="rId33" Type="http://schemas.openxmlformats.org/officeDocument/2006/relationships/hyperlink" Target="https://us3.assetplanner.com/service_request?ID=094890" TargetMode="External"/><Relationship Id="rId38" Type="http://schemas.openxmlformats.org/officeDocument/2006/relationships/hyperlink" Target="https://us3.assetplanner.com/service_request?ID=097964" TargetMode="External"/><Relationship Id="rId2" Type="http://schemas.openxmlformats.org/officeDocument/2006/relationships/hyperlink" Target="https://us3.assetplanner.com/service_request?ID=095312" TargetMode="External"/><Relationship Id="rId16" Type="http://schemas.openxmlformats.org/officeDocument/2006/relationships/hyperlink" Target="https://us3.assetplanner.com/service_request?ID=096031" TargetMode="External"/><Relationship Id="rId20" Type="http://schemas.openxmlformats.org/officeDocument/2006/relationships/hyperlink" Target="https://us3.assetplanner.com/service_request?ID=099015" TargetMode="External"/><Relationship Id="rId29" Type="http://schemas.openxmlformats.org/officeDocument/2006/relationships/hyperlink" Target="https://us3.assetplanner.com/service_request?ID=098348" TargetMode="External"/><Relationship Id="rId1" Type="http://schemas.openxmlformats.org/officeDocument/2006/relationships/hyperlink" Target="https://us3.assetplanner.com/service_request?ID=070225" TargetMode="External"/><Relationship Id="rId6" Type="http://schemas.openxmlformats.org/officeDocument/2006/relationships/hyperlink" Target="https://us3.assetplanner.com/service_request?ID=093404" TargetMode="External"/><Relationship Id="rId11" Type="http://schemas.openxmlformats.org/officeDocument/2006/relationships/hyperlink" Target="https://us3.assetplanner.com/service_request?ID=098378" TargetMode="External"/><Relationship Id="rId24" Type="http://schemas.openxmlformats.org/officeDocument/2006/relationships/hyperlink" Target="https://us3.assetplanner.com/service_request?ID=094678" TargetMode="External"/><Relationship Id="rId32" Type="http://schemas.openxmlformats.org/officeDocument/2006/relationships/hyperlink" Target="https://us3.assetplanner.com/service_request?ID=093773" TargetMode="External"/><Relationship Id="rId37" Type="http://schemas.openxmlformats.org/officeDocument/2006/relationships/hyperlink" Target="https://us3.assetplanner.com/service_request?ID=096558" TargetMode="External"/><Relationship Id="rId5" Type="http://schemas.openxmlformats.org/officeDocument/2006/relationships/hyperlink" Target="https://us3.assetplanner.com/service_request?ID=089564" TargetMode="External"/><Relationship Id="rId15" Type="http://schemas.openxmlformats.org/officeDocument/2006/relationships/hyperlink" Target="https://us3.assetplanner.com/service_request?ID=099134" TargetMode="External"/><Relationship Id="rId23" Type="http://schemas.openxmlformats.org/officeDocument/2006/relationships/hyperlink" Target="https://us3.assetplanner.com/service_request?ID=098865" TargetMode="External"/><Relationship Id="rId28" Type="http://schemas.openxmlformats.org/officeDocument/2006/relationships/hyperlink" Target="https://us3.assetplanner.com/service_request?ID=098681" TargetMode="External"/><Relationship Id="rId36" Type="http://schemas.openxmlformats.org/officeDocument/2006/relationships/hyperlink" Target="https://us3.assetplanner.com/service_request?ID=096557" TargetMode="External"/><Relationship Id="rId10" Type="http://schemas.openxmlformats.org/officeDocument/2006/relationships/hyperlink" Target="https://us3.assetplanner.com/service_request?ID=099133" TargetMode="External"/><Relationship Id="rId19" Type="http://schemas.openxmlformats.org/officeDocument/2006/relationships/hyperlink" Target="https://us3.assetplanner.com/service_request?ID=098208" TargetMode="External"/><Relationship Id="rId31" Type="http://schemas.openxmlformats.org/officeDocument/2006/relationships/hyperlink" Target="https://us3.assetplanner.com/service_request?ID=099112" TargetMode="External"/><Relationship Id="rId4" Type="http://schemas.openxmlformats.org/officeDocument/2006/relationships/hyperlink" Target="https://us3.assetplanner.com/service_request?ID=089170" TargetMode="External"/><Relationship Id="rId9" Type="http://schemas.openxmlformats.org/officeDocument/2006/relationships/hyperlink" Target="https://us3.assetplanner.com/service_request?ID=098404" TargetMode="External"/><Relationship Id="rId14" Type="http://schemas.openxmlformats.org/officeDocument/2006/relationships/hyperlink" Target="https://us3.assetplanner.com/service_request?ID=098369" TargetMode="External"/><Relationship Id="rId22" Type="http://schemas.openxmlformats.org/officeDocument/2006/relationships/hyperlink" Target="https://us3.assetplanner.com/service_request?ID=098268" TargetMode="External"/><Relationship Id="rId27" Type="http://schemas.openxmlformats.org/officeDocument/2006/relationships/hyperlink" Target="https://us3.assetplanner.com/service_request?ID=098621" TargetMode="External"/><Relationship Id="rId30" Type="http://schemas.openxmlformats.org/officeDocument/2006/relationships/hyperlink" Target="https://us3.assetplanner.com/service_request?ID=098978" TargetMode="External"/><Relationship Id="rId35" Type="http://schemas.openxmlformats.org/officeDocument/2006/relationships/hyperlink" Target="https://us3.assetplanner.com/service_request?ID=096555" TargetMode="External"/><Relationship Id="rId8" Type="http://schemas.openxmlformats.org/officeDocument/2006/relationships/hyperlink" Target="https://us3.assetplanner.com/service_request?ID=098314" TargetMode="External"/><Relationship Id="rId3" Type="http://schemas.openxmlformats.org/officeDocument/2006/relationships/hyperlink" Target="https://us3.assetplanner.com/service_request?ID=095220"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us3.assetplanner.com/service_request?ID=100102" TargetMode="External"/><Relationship Id="rId18" Type="http://schemas.openxmlformats.org/officeDocument/2006/relationships/hyperlink" Target="https://us3.assetplanner.com/service_request?ID=097902" TargetMode="External"/><Relationship Id="rId26" Type="http://schemas.openxmlformats.org/officeDocument/2006/relationships/hyperlink" Target="https://us3.assetplanner.com/service_request?ID=099517" TargetMode="External"/><Relationship Id="rId39" Type="http://schemas.openxmlformats.org/officeDocument/2006/relationships/hyperlink" Target="https://us3.assetplanner.com/service_request?ID=099355" TargetMode="External"/><Relationship Id="rId21" Type="http://schemas.openxmlformats.org/officeDocument/2006/relationships/hyperlink" Target="https://us3.assetplanner.com/service_request?ID=100025" TargetMode="External"/><Relationship Id="rId34" Type="http://schemas.openxmlformats.org/officeDocument/2006/relationships/hyperlink" Target="https://us3.assetplanner.com/service_request?ID=095761" TargetMode="External"/><Relationship Id="rId7" Type="http://schemas.openxmlformats.org/officeDocument/2006/relationships/hyperlink" Target="https://us3.assetplanner.com/service_request?ID=089564" TargetMode="External"/><Relationship Id="rId12" Type="http://schemas.openxmlformats.org/officeDocument/2006/relationships/hyperlink" Target="https://us3.assetplanner.com/service_request?ID=10005," TargetMode="External"/><Relationship Id="rId17" Type="http://schemas.openxmlformats.org/officeDocument/2006/relationships/hyperlink" Target="https://us3.assetplanner.com/service_request?ID=093403" TargetMode="External"/><Relationship Id="rId25" Type="http://schemas.openxmlformats.org/officeDocument/2006/relationships/hyperlink" Target="https://us3.assetplanner.com/service_request?ID=099514" TargetMode="External"/><Relationship Id="rId33" Type="http://schemas.openxmlformats.org/officeDocument/2006/relationships/hyperlink" Target="https://us3.assetplanner.com/service_request?ID=094890" TargetMode="External"/><Relationship Id="rId38" Type="http://schemas.openxmlformats.org/officeDocument/2006/relationships/hyperlink" Target="https://us3.assetplanner.com/service_request?ID=097964" TargetMode="External"/><Relationship Id="rId2" Type="http://schemas.openxmlformats.org/officeDocument/2006/relationships/hyperlink" Target="https://us3.assetplanner.com/service_request?ID=070225" TargetMode="External"/><Relationship Id="rId16" Type="http://schemas.openxmlformats.org/officeDocument/2006/relationships/hyperlink" Target="https://us3.assetplanner.com/service_request?ID=096031" TargetMode="External"/><Relationship Id="rId20" Type="http://schemas.openxmlformats.org/officeDocument/2006/relationships/hyperlink" Target="https://us3.assetplanner.com/service_request?ID=099015" TargetMode="External"/><Relationship Id="rId29" Type="http://schemas.openxmlformats.org/officeDocument/2006/relationships/hyperlink" Target="https://us3.assetplanner.com/service_request?ID=098681" TargetMode="External"/><Relationship Id="rId1" Type="http://schemas.openxmlformats.org/officeDocument/2006/relationships/hyperlink" Target="https://us3.assetplanner.com/service_request?ID=099342" TargetMode="External"/><Relationship Id="rId6" Type="http://schemas.openxmlformats.org/officeDocument/2006/relationships/hyperlink" Target="https://us3.assetplanner.com/service_request?ID=099314" TargetMode="External"/><Relationship Id="rId11" Type="http://schemas.openxmlformats.org/officeDocument/2006/relationships/hyperlink" Target="https://us3.assetplanner.com/service_request?ID=099134" TargetMode="External"/><Relationship Id="rId24" Type="http://schemas.openxmlformats.org/officeDocument/2006/relationships/hyperlink" Target="https://us3.assetplanner.com/service_request?ID=094678" TargetMode="External"/><Relationship Id="rId32" Type="http://schemas.openxmlformats.org/officeDocument/2006/relationships/hyperlink" Target="https://us3.assetplanner.com/service_request?ID=093773" TargetMode="External"/><Relationship Id="rId37" Type="http://schemas.openxmlformats.org/officeDocument/2006/relationships/hyperlink" Target="https://us3.assetplanner.com/service_request?ID=096558" TargetMode="External"/><Relationship Id="rId40" Type="http://schemas.openxmlformats.org/officeDocument/2006/relationships/hyperlink" Target="https://us3.assetplanner.com/service_request?ID=096221" TargetMode="External"/><Relationship Id="rId5" Type="http://schemas.openxmlformats.org/officeDocument/2006/relationships/hyperlink" Target="https://us3.assetplanner.com/service_request?ID=089170" TargetMode="External"/><Relationship Id="rId15" Type="http://schemas.openxmlformats.org/officeDocument/2006/relationships/hyperlink" Target="https://us3.assetplanner.com/service_request?ID=098208" TargetMode="External"/><Relationship Id="rId23" Type="http://schemas.openxmlformats.org/officeDocument/2006/relationships/hyperlink" Target="https://us3.assetplanner.com/service_request?ID=099721" TargetMode="External"/><Relationship Id="rId28" Type="http://schemas.openxmlformats.org/officeDocument/2006/relationships/hyperlink" Target="https://us3.assetplanner.com/service_request?ID=099808" TargetMode="External"/><Relationship Id="rId36" Type="http://schemas.openxmlformats.org/officeDocument/2006/relationships/hyperlink" Target="https://us3.assetplanner.com/service_request?ID=096557" TargetMode="External"/><Relationship Id="rId10" Type="http://schemas.openxmlformats.org/officeDocument/2006/relationships/hyperlink" Target="https://us3.assetplanner.com/service_request?ID=093500" TargetMode="External"/><Relationship Id="rId19" Type="http://schemas.openxmlformats.org/officeDocument/2006/relationships/hyperlink" Target="https://us3.assetplanner.com/service_request?ID=098208" TargetMode="External"/><Relationship Id="rId31" Type="http://schemas.openxmlformats.org/officeDocument/2006/relationships/hyperlink" Target="https://us3.assetplanner.com/service_request?ID=100422" TargetMode="External"/><Relationship Id="rId4" Type="http://schemas.openxmlformats.org/officeDocument/2006/relationships/hyperlink" Target="https://us3.assetplanner.com/service_request?ID=095220" TargetMode="External"/><Relationship Id="rId9" Type="http://schemas.openxmlformats.org/officeDocument/2006/relationships/hyperlink" Target="https://us3.assetplanner.com/service_request?ID=099133" TargetMode="External"/><Relationship Id="rId14" Type="http://schemas.openxmlformats.org/officeDocument/2006/relationships/hyperlink" Target="https://us3.assetplanner.com/service_request?ID=100488" TargetMode="External"/><Relationship Id="rId22" Type="http://schemas.openxmlformats.org/officeDocument/2006/relationships/hyperlink" Target="https://us3.assetplanner.com/service_request?ID=100098" TargetMode="External"/><Relationship Id="rId27" Type="http://schemas.openxmlformats.org/officeDocument/2006/relationships/hyperlink" Target="https://us3.assetplanner.com/service_request?ID=099512" TargetMode="External"/><Relationship Id="rId30" Type="http://schemas.openxmlformats.org/officeDocument/2006/relationships/hyperlink" Target="https://us3.assetplanner.com/service_request?ID=100367" TargetMode="External"/><Relationship Id="rId35" Type="http://schemas.openxmlformats.org/officeDocument/2006/relationships/hyperlink" Target="https://us3.assetplanner.com/service_request?ID=096555" TargetMode="External"/><Relationship Id="rId8" Type="http://schemas.openxmlformats.org/officeDocument/2006/relationships/hyperlink" Target="https://us3.assetplanner.com/service_request?ID=093404" TargetMode="External"/><Relationship Id="rId3" Type="http://schemas.openxmlformats.org/officeDocument/2006/relationships/hyperlink" Target="https://us3.assetplanner.com/service_request?ID=095312"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us3.assetplanner.com/service_request?ID=101656" TargetMode="External"/><Relationship Id="rId18" Type="http://schemas.openxmlformats.org/officeDocument/2006/relationships/hyperlink" Target="https://us3.assetplanner.com/service_request?ID=101949" TargetMode="External"/><Relationship Id="rId26" Type="http://schemas.openxmlformats.org/officeDocument/2006/relationships/hyperlink" Target="https://us3.assetplanner.com/service_request?ID=098208" TargetMode="External"/><Relationship Id="rId39" Type="http://schemas.openxmlformats.org/officeDocument/2006/relationships/hyperlink" Target="https://us3.assetplanner.com/service_request?ID=099808" TargetMode="External"/><Relationship Id="rId21" Type="http://schemas.openxmlformats.org/officeDocument/2006/relationships/hyperlink" Target="https://us3.assetplanner.com/service_request?ID=101769" TargetMode="External"/><Relationship Id="rId34" Type="http://schemas.openxmlformats.org/officeDocument/2006/relationships/hyperlink" Target="https://us3.assetplanner.com/service_request?ID=101014" TargetMode="External"/><Relationship Id="rId42" Type="http://schemas.openxmlformats.org/officeDocument/2006/relationships/hyperlink" Target="https://us3.assetplanner.com/service_request?ID=100367" TargetMode="External"/><Relationship Id="rId47" Type="http://schemas.openxmlformats.org/officeDocument/2006/relationships/hyperlink" Target="https://us3.assetplanner.com/service_request?ID=095761" TargetMode="External"/><Relationship Id="rId50" Type="http://schemas.openxmlformats.org/officeDocument/2006/relationships/hyperlink" Target="https://us3.assetplanner.com/service_request?ID=096558" TargetMode="External"/><Relationship Id="rId55" Type="http://schemas.openxmlformats.org/officeDocument/2006/relationships/hyperlink" Target="https://us3.assetplanner.com/service_request?ID=098933" TargetMode="External"/><Relationship Id="rId7" Type="http://schemas.openxmlformats.org/officeDocument/2006/relationships/hyperlink" Target="https://us3.assetplanner.com/service_request?ID=100488" TargetMode="External"/><Relationship Id="rId2" Type="http://schemas.openxmlformats.org/officeDocument/2006/relationships/hyperlink" Target="https://us3.assetplanner.com/service_request?ID=089170" TargetMode="External"/><Relationship Id="rId16" Type="http://schemas.openxmlformats.org/officeDocument/2006/relationships/hyperlink" Target="https://us3.assetplanner.com/service_request?ID=101858" TargetMode="External"/><Relationship Id="rId29" Type="http://schemas.openxmlformats.org/officeDocument/2006/relationships/hyperlink" Target="https://us3.assetplanner.com/service_request?ID=100989" TargetMode="External"/><Relationship Id="rId11" Type="http://schemas.openxmlformats.org/officeDocument/2006/relationships/hyperlink" Target="https://us3.assetplanner.com/service_request?ID=101950" TargetMode="External"/><Relationship Id="rId24" Type="http://schemas.openxmlformats.org/officeDocument/2006/relationships/hyperlink" Target="https://us3.assetplanner.com/service_request?ID=093403" TargetMode="External"/><Relationship Id="rId32" Type="http://schemas.openxmlformats.org/officeDocument/2006/relationships/hyperlink" Target="https://us3.assetplanner.com/service_request?ID=101843" TargetMode="External"/><Relationship Id="rId37" Type="http://schemas.openxmlformats.org/officeDocument/2006/relationships/hyperlink" Target="https://us3.assetplanner.com/service_request?ID=101984" TargetMode="External"/><Relationship Id="rId40" Type="http://schemas.openxmlformats.org/officeDocument/2006/relationships/hyperlink" Target="https://us3.assetplanner.com/service_request?ID=102263" TargetMode="External"/><Relationship Id="rId45" Type="http://schemas.openxmlformats.org/officeDocument/2006/relationships/hyperlink" Target="https://us3.assetplanner.com/service_request?ID=094890" TargetMode="External"/><Relationship Id="rId53" Type="http://schemas.openxmlformats.org/officeDocument/2006/relationships/hyperlink" Target="https://us3.assetplanner.com/service_request?ID=094890" TargetMode="External"/><Relationship Id="rId58" Type="http://schemas.openxmlformats.org/officeDocument/2006/relationships/hyperlink" Target="https://us3.assetplanner.com/service_request?ID=100965" TargetMode="External"/><Relationship Id="rId5" Type="http://schemas.openxmlformats.org/officeDocument/2006/relationships/hyperlink" Target="https://us3.assetplanner.com/service_request?ID=089564" TargetMode="External"/><Relationship Id="rId61" Type="http://schemas.openxmlformats.org/officeDocument/2006/relationships/hyperlink" Target="https://us3.assetplanner.com/service_request?ID=101612" TargetMode="External"/><Relationship Id="rId19" Type="http://schemas.openxmlformats.org/officeDocument/2006/relationships/hyperlink" Target="https://us3.assetplanner.com/service_request?ID=101976" TargetMode="External"/><Relationship Id="rId14" Type="http://schemas.openxmlformats.org/officeDocument/2006/relationships/hyperlink" Target="https://us3.assetplanner.com/service_request?ID=101674" TargetMode="External"/><Relationship Id="rId22" Type="http://schemas.openxmlformats.org/officeDocument/2006/relationships/hyperlink" Target="https://us3.assetplanner.com/service_request?ID=098208" TargetMode="External"/><Relationship Id="rId27" Type="http://schemas.openxmlformats.org/officeDocument/2006/relationships/hyperlink" Target="https://us3.assetplanner.com/service_request?ID=099015" TargetMode="External"/><Relationship Id="rId30" Type="http://schemas.openxmlformats.org/officeDocument/2006/relationships/hyperlink" Target="https://us3.assetplanner.com/service_request?ID=101269" TargetMode="External"/><Relationship Id="rId35" Type="http://schemas.openxmlformats.org/officeDocument/2006/relationships/hyperlink" Target="https://us3.assetplanner.com/service_request?ID=094678" TargetMode="External"/><Relationship Id="rId43" Type="http://schemas.openxmlformats.org/officeDocument/2006/relationships/hyperlink" Target="https://us3.assetplanner.com/service_request?ID=101270" TargetMode="External"/><Relationship Id="rId48" Type="http://schemas.openxmlformats.org/officeDocument/2006/relationships/hyperlink" Target="https://us3.assetplanner.com/service_request?ID=096555" TargetMode="External"/><Relationship Id="rId56" Type="http://schemas.openxmlformats.org/officeDocument/2006/relationships/hyperlink" Target="https://us3.assetplanner.com/service_request?ID=101856" TargetMode="External"/><Relationship Id="rId8" Type="http://schemas.openxmlformats.org/officeDocument/2006/relationships/hyperlink" Target="https://us3.assetplanner.com/service_request?ID=101380" TargetMode="External"/><Relationship Id="rId51" Type="http://schemas.openxmlformats.org/officeDocument/2006/relationships/hyperlink" Target="https://us3.assetplanner.com/service_request?ID=097964" TargetMode="External"/><Relationship Id="rId3" Type="http://schemas.openxmlformats.org/officeDocument/2006/relationships/hyperlink" Target="https://us3.assetplanner.com/service_request?ID=095220" TargetMode="External"/><Relationship Id="rId12" Type="http://schemas.openxmlformats.org/officeDocument/2006/relationships/hyperlink" Target="https://us3.assetplanner.com/service_request?ID=101655" TargetMode="External"/><Relationship Id="rId17" Type="http://schemas.openxmlformats.org/officeDocument/2006/relationships/hyperlink" Target="https://us3.assetplanner.com/service_request?ID=101930" TargetMode="External"/><Relationship Id="rId25" Type="http://schemas.openxmlformats.org/officeDocument/2006/relationships/hyperlink" Target="https://us3.assetplanner.com/service_request?ID=097902" TargetMode="External"/><Relationship Id="rId33" Type="http://schemas.openxmlformats.org/officeDocument/2006/relationships/hyperlink" Target="https://us3.assetplanner.com/service_request?ID=101988" TargetMode="External"/><Relationship Id="rId38" Type="http://schemas.openxmlformats.org/officeDocument/2006/relationships/hyperlink" Target="https://us3.assetplanner.com/service_request?ID=099517" TargetMode="External"/><Relationship Id="rId46" Type="http://schemas.openxmlformats.org/officeDocument/2006/relationships/hyperlink" Target="https://us3.assetplanner.com/service_request?ID=093773" TargetMode="External"/><Relationship Id="rId59" Type="http://schemas.openxmlformats.org/officeDocument/2006/relationships/hyperlink" Target="https://us3.assetplanner.com/service_request?ID=101170" TargetMode="External"/><Relationship Id="rId20" Type="http://schemas.openxmlformats.org/officeDocument/2006/relationships/hyperlink" Target="https://us3.assetplanner.com/service_request?ID=101977" TargetMode="External"/><Relationship Id="rId41" Type="http://schemas.openxmlformats.org/officeDocument/2006/relationships/hyperlink" Target="https://us3.assetplanner.com/service_request?ID=098681" TargetMode="External"/><Relationship Id="rId54" Type="http://schemas.openxmlformats.org/officeDocument/2006/relationships/hyperlink" Target="https://us3.assetplanner.com/service_request?ID=100899" TargetMode="External"/><Relationship Id="rId62" Type="http://schemas.openxmlformats.org/officeDocument/2006/relationships/hyperlink" Target="https://us3.assetplanner.com/service_request?ID=101952" TargetMode="External"/><Relationship Id="rId1" Type="http://schemas.openxmlformats.org/officeDocument/2006/relationships/hyperlink" Target="https://us3.assetplanner.com/service_request?ID=095312" TargetMode="External"/><Relationship Id="rId6" Type="http://schemas.openxmlformats.org/officeDocument/2006/relationships/hyperlink" Target="https://us3.assetplanner.com/service_request?ID=101866" TargetMode="External"/><Relationship Id="rId15" Type="http://schemas.openxmlformats.org/officeDocument/2006/relationships/hyperlink" Target="https://us3.assetplanner.com/service_request?ID=101815" TargetMode="External"/><Relationship Id="rId23" Type="http://schemas.openxmlformats.org/officeDocument/2006/relationships/hyperlink" Target="https://us3.assetplanner.com/service_request?ID=096031" TargetMode="External"/><Relationship Id="rId28" Type="http://schemas.openxmlformats.org/officeDocument/2006/relationships/hyperlink" Target="https://us3.assetplanner.com/service_request?ID=101576" TargetMode="External"/><Relationship Id="rId36" Type="http://schemas.openxmlformats.org/officeDocument/2006/relationships/hyperlink" Target="https://us3.assetplanner.com/service_request?ID=101014" TargetMode="External"/><Relationship Id="rId49" Type="http://schemas.openxmlformats.org/officeDocument/2006/relationships/hyperlink" Target="https://us3.assetplanner.com/service_request?ID=096557" TargetMode="External"/><Relationship Id="rId57" Type="http://schemas.openxmlformats.org/officeDocument/2006/relationships/hyperlink" Target="https://us3.assetplanner.com/service_request?ID=101611" TargetMode="External"/><Relationship Id="rId10" Type="http://schemas.openxmlformats.org/officeDocument/2006/relationships/hyperlink" Target="https://us3.assetplanner.com/service_request?ID=101443" TargetMode="External"/><Relationship Id="rId31" Type="http://schemas.openxmlformats.org/officeDocument/2006/relationships/hyperlink" Target="https://us3.assetplanner.com/service_request?ID=099721" TargetMode="External"/><Relationship Id="rId44" Type="http://schemas.openxmlformats.org/officeDocument/2006/relationships/hyperlink" Target="https://us3.assetplanner.com/service_request?ID=101887" TargetMode="External"/><Relationship Id="rId52" Type="http://schemas.openxmlformats.org/officeDocument/2006/relationships/hyperlink" Target="https://us3.assetplanner.com/service_request?ID=100899" TargetMode="External"/><Relationship Id="rId60" Type="http://schemas.openxmlformats.org/officeDocument/2006/relationships/hyperlink" Target="https://us3.assetplanner.com/service_request?ID=101613" TargetMode="External"/><Relationship Id="rId4" Type="http://schemas.openxmlformats.org/officeDocument/2006/relationships/hyperlink" Target="https://us3.assetplanner.com/service_request?ID=093404" TargetMode="External"/><Relationship Id="rId9" Type="http://schemas.openxmlformats.org/officeDocument/2006/relationships/hyperlink" Target="https://us3.assetplanner.com/service_request?ID=101381"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s://us3.assetplanner.com/service_request?ID=101976" TargetMode="External"/><Relationship Id="rId18" Type="http://schemas.openxmlformats.org/officeDocument/2006/relationships/hyperlink" Target="https://us3.assetplanner.com/service_request?ID=098208" TargetMode="External"/><Relationship Id="rId26" Type="http://schemas.openxmlformats.org/officeDocument/2006/relationships/hyperlink" Target="https://us3.assetplanner.com/service_request?ID=102365" TargetMode="External"/><Relationship Id="rId39" Type="http://schemas.openxmlformats.org/officeDocument/2006/relationships/hyperlink" Target="https://us3.assetplanner.com/service_request?ID=103415" TargetMode="External"/><Relationship Id="rId21" Type="http://schemas.openxmlformats.org/officeDocument/2006/relationships/hyperlink" Target="https://us3.assetplanner.com/service_request?ID=103539" TargetMode="External"/><Relationship Id="rId34" Type="http://schemas.openxmlformats.org/officeDocument/2006/relationships/hyperlink" Target="https://us3.assetplanner.com/service_request?ID=103402" TargetMode="External"/><Relationship Id="rId7" Type="http://schemas.openxmlformats.org/officeDocument/2006/relationships/hyperlink" Target="https://us3.assetplanner.com/service_request?ID=103002" TargetMode="External"/><Relationship Id="rId12" Type="http://schemas.openxmlformats.org/officeDocument/2006/relationships/hyperlink" Target="https://us3.assetplanner.com/service_request?ID=101858" TargetMode="External"/><Relationship Id="rId17" Type="http://schemas.openxmlformats.org/officeDocument/2006/relationships/hyperlink" Target="https://us3.assetplanner.com/service_request?ID=103297" TargetMode="External"/><Relationship Id="rId25" Type="http://schemas.openxmlformats.org/officeDocument/2006/relationships/hyperlink" Target="https://us3.assetplanner.com/service_request?ID=102369" TargetMode="External"/><Relationship Id="rId33" Type="http://schemas.openxmlformats.org/officeDocument/2006/relationships/hyperlink" Target="https://us3.assetplanner.com/service_request?ID=103520" TargetMode="External"/><Relationship Id="rId38" Type="http://schemas.openxmlformats.org/officeDocument/2006/relationships/hyperlink" Target="https://us3.assetplanner.com/service_request?ID=102988" TargetMode="External"/><Relationship Id="rId2" Type="http://schemas.openxmlformats.org/officeDocument/2006/relationships/hyperlink" Target="https://us3.assetplanner.com/service_request?ID=095312" TargetMode="External"/><Relationship Id="rId16" Type="http://schemas.openxmlformats.org/officeDocument/2006/relationships/hyperlink" Target="https://us3.assetplanner.com/service_request?ID=102560" TargetMode="External"/><Relationship Id="rId20" Type="http://schemas.openxmlformats.org/officeDocument/2006/relationships/hyperlink" Target="https://us3.assetplanner.com/service_request?ID=102884" TargetMode="External"/><Relationship Id="rId29" Type="http://schemas.openxmlformats.org/officeDocument/2006/relationships/hyperlink" Target="https://us3.assetplanner.com/service_request?ID=102263" TargetMode="External"/><Relationship Id="rId1" Type="http://schemas.openxmlformats.org/officeDocument/2006/relationships/hyperlink" Target="https://us3.assetplanner.com/service_request?ID=103463" TargetMode="External"/><Relationship Id="rId6" Type="http://schemas.openxmlformats.org/officeDocument/2006/relationships/hyperlink" Target="https://us3.assetplanner.com/service_request?ID=089564" TargetMode="External"/><Relationship Id="rId11" Type="http://schemas.openxmlformats.org/officeDocument/2006/relationships/hyperlink" Target="https://us3.assetplanner.com/service_request?ID=101656" TargetMode="External"/><Relationship Id="rId24" Type="http://schemas.openxmlformats.org/officeDocument/2006/relationships/hyperlink" Target="https://us3.assetplanner.com/service_request?ID=101984" TargetMode="External"/><Relationship Id="rId32" Type="http://schemas.openxmlformats.org/officeDocument/2006/relationships/hyperlink" Target="https://us3.assetplanner.com/service_request?ID=100422" TargetMode="External"/><Relationship Id="rId37" Type="http://schemas.openxmlformats.org/officeDocument/2006/relationships/hyperlink" Target="https://us3.assetplanner.com/service_request?ID=097964" TargetMode="External"/><Relationship Id="rId40" Type="http://schemas.openxmlformats.org/officeDocument/2006/relationships/hyperlink" Target="https://us3.assetplanner.com/service_request?ID=102968" TargetMode="External"/><Relationship Id="rId5" Type="http://schemas.openxmlformats.org/officeDocument/2006/relationships/hyperlink" Target="https://us3.assetplanner.com/service_request?ID=093404" TargetMode="External"/><Relationship Id="rId15" Type="http://schemas.openxmlformats.org/officeDocument/2006/relationships/hyperlink" Target="https://us3.assetplanner.com/service_request?ID=102370" TargetMode="External"/><Relationship Id="rId23" Type="http://schemas.openxmlformats.org/officeDocument/2006/relationships/hyperlink" Target="https://us3.assetplanner.com/service_request?ID=102989" TargetMode="External"/><Relationship Id="rId28" Type="http://schemas.openxmlformats.org/officeDocument/2006/relationships/hyperlink" Target="https://us3.assetplanner.com/service_request?ID=103030" TargetMode="External"/><Relationship Id="rId36" Type="http://schemas.openxmlformats.org/officeDocument/2006/relationships/hyperlink" Target="https://us3.assetplanner.com/service_request?ID=103289" TargetMode="External"/><Relationship Id="rId10" Type="http://schemas.openxmlformats.org/officeDocument/2006/relationships/hyperlink" Target="https://us3.assetplanner.com/service_request?ID=103483" TargetMode="External"/><Relationship Id="rId19" Type="http://schemas.openxmlformats.org/officeDocument/2006/relationships/hyperlink" Target="https://us3.assetplanner.com/service_request?ID=103072" TargetMode="External"/><Relationship Id="rId31" Type="http://schemas.openxmlformats.org/officeDocument/2006/relationships/hyperlink" Target="https://us3.assetplanner.com/service_request?ID=100367" TargetMode="External"/><Relationship Id="rId4" Type="http://schemas.openxmlformats.org/officeDocument/2006/relationships/hyperlink" Target="https://us3.assetplanner.com/service_request?ID=095220" TargetMode="External"/><Relationship Id="rId9" Type="http://schemas.openxmlformats.org/officeDocument/2006/relationships/hyperlink" Target="https://us3.assetplanner.com/service_request?ID=093500" TargetMode="External"/><Relationship Id="rId14" Type="http://schemas.openxmlformats.org/officeDocument/2006/relationships/hyperlink" Target="https://us3.assetplanner.com/service_request?ID=101977" TargetMode="External"/><Relationship Id="rId22" Type="http://schemas.openxmlformats.org/officeDocument/2006/relationships/hyperlink" Target="https://us3.assetplanner.com/service_request?ID=103727" TargetMode="External"/><Relationship Id="rId27" Type="http://schemas.openxmlformats.org/officeDocument/2006/relationships/hyperlink" Target="https://us3.assetplanner.com/service_request?ID=099517" TargetMode="External"/><Relationship Id="rId30" Type="http://schemas.openxmlformats.org/officeDocument/2006/relationships/hyperlink" Target="https://us3.assetplanner.com/service_request?ID=102734" TargetMode="External"/><Relationship Id="rId35" Type="http://schemas.openxmlformats.org/officeDocument/2006/relationships/hyperlink" Target="https://us3.assetplanner.com/service_request?ID=102373" TargetMode="External"/><Relationship Id="rId8" Type="http://schemas.openxmlformats.org/officeDocument/2006/relationships/hyperlink" Target="https://us3.assetplanner.com/service_request?ID=103598" TargetMode="External"/><Relationship Id="rId3" Type="http://schemas.openxmlformats.org/officeDocument/2006/relationships/hyperlink" Target="https://us3.assetplanner.com/service_request?ID=089170"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us3.assetplanner.com/service_request?ID=101977" TargetMode="External"/><Relationship Id="rId18" Type="http://schemas.openxmlformats.org/officeDocument/2006/relationships/hyperlink" Target="https://us3.assetplanner.com/service_request?ID=102560" TargetMode="External"/><Relationship Id="rId26" Type="http://schemas.openxmlformats.org/officeDocument/2006/relationships/hyperlink" Target="https://us3.assetplanner.com/service_request?ID=104416" TargetMode="External"/><Relationship Id="rId39" Type="http://schemas.openxmlformats.org/officeDocument/2006/relationships/hyperlink" Target="https://us3.assetplanner.com/service_request?ID=105456" TargetMode="External"/><Relationship Id="rId21" Type="http://schemas.openxmlformats.org/officeDocument/2006/relationships/hyperlink" Target="https://us3.assetplanner.com/service_request?ID=101858" TargetMode="External"/><Relationship Id="rId34" Type="http://schemas.openxmlformats.org/officeDocument/2006/relationships/hyperlink" Target="https://us3.assetplanner.com/service_request?ID=104357" TargetMode="External"/><Relationship Id="rId42" Type="http://schemas.openxmlformats.org/officeDocument/2006/relationships/hyperlink" Target="https://us3.assetplanner.com/service_request?ID=104114" TargetMode="External"/><Relationship Id="rId7" Type="http://schemas.openxmlformats.org/officeDocument/2006/relationships/hyperlink" Target="https://us3.assetplanner.com/service_request?ID=105461" TargetMode="External"/><Relationship Id="rId2" Type="http://schemas.openxmlformats.org/officeDocument/2006/relationships/hyperlink" Target="https://us3.assetplanner.com/service_request?ID=103652" TargetMode="External"/><Relationship Id="rId16" Type="http://schemas.openxmlformats.org/officeDocument/2006/relationships/hyperlink" Target="https://us3.assetplanner.com/service_request?ID=102370" TargetMode="External"/><Relationship Id="rId20" Type="http://schemas.openxmlformats.org/officeDocument/2006/relationships/hyperlink" Target="https://us3.assetplanner.com/service_request?ID=103297" TargetMode="External"/><Relationship Id="rId29" Type="http://schemas.openxmlformats.org/officeDocument/2006/relationships/hyperlink" Target="https://us3.assetplanner.com/service_request?ID=094678" TargetMode="External"/><Relationship Id="rId41" Type="http://schemas.openxmlformats.org/officeDocument/2006/relationships/hyperlink" Target="https://us3.assetplanner.com/service_request?ID=102988" TargetMode="External"/><Relationship Id="rId1" Type="http://schemas.openxmlformats.org/officeDocument/2006/relationships/hyperlink" Target="https://us3.assetplanner.com/service_request?ID=095312" TargetMode="External"/><Relationship Id="rId6" Type="http://schemas.openxmlformats.org/officeDocument/2006/relationships/hyperlink" Target="https://us3.assetplanner.com/service_request?ID=103973" TargetMode="External"/><Relationship Id="rId11" Type="http://schemas.openxmlformats.org/officeDocument/2006/relationships/hyperlink" Target="https://us3.assetplanner.com/service_request?ID=104352" TargetMode="External"/><Relationship Id="rId24" Type="http://schemas.openxmlformats.org/officeDocument/2006/relationships/hyperlink" Target="https://us3.assetplanner.com/service_request?ID=105481" TargetMode="External"/><Relationship Id="rId32" Type="http://schemas.openxmlformats.org/officeDocument/2006/relationships/hyperlink" Target="https://us3.assetplanner.com/service_request?ID=103030" TargetMode="External"/><Relationship Id="rId37" Type="http://schemas.openxmlformats.org/officeDocument/2006/relationships/hyperlink" Target="https://us3.assetplanner.com/service_request?ID=103402" TargetMode="External"/><Relationship Id="rId40" Type="http://schemas.openxmlformats.org/officeDocument/2006/relationships/hyperlink" Target="https://us3.assetplanner.com/service_request?ID=104012" TargetMode="External"/><Relationship Id="rId5" Type="http://schemas.openxmlformats.org/officeDocument/2006/relationships/hyperlink" Target="https://us3.assetplanner.com/service_request?ID=103903" TargetMode="External"/><Relationship Id="rId15" Type="http://schemas.openxmlformats.org/officeDocument/2006/relationships/hyperlink" Target="https://us3.assetplanner.com/service_request?ID=103297" TargetMode="External"/><Relationship Id="rId23" Type="http://schemas.openxmlformats.org/officeDocument/2006/relationships/hyperlink" Target="https://us3.assetplanner.com/service_request?ID=104593" TargetMode="External"/><Relationship Id="rId28" Type="http://schemas.openxmlformats.org/officeDocument/2006/relationships/hyperlink" Target="https://us3.assetplanner.com/service_request?ID=102369" TargetMode="External"/><Relationship Id="rId36" Type="http://schemas.openxmlformats.org/officeDocument/2006/relationships/hyperlink" Target="https://us3.assetplanner.com/service_request?ID=104356" TargetMode="External"/><Relationship Id="rId10" Type="http://schemas.openxmlformats.org/officeDocument/2006/relationships/hyperlink" Target="https://us3.assetplanner.com/service_request?ID=104530" TargetMode="External"/><Relationship Id="rId19" Type="http://schemas.openxmlformats.org/officeDocument/2006/relationships/hyperlink" Target="https://us3.assetplanner.com/service_request?ID=103968" TargetMode="External"/><Relationship Id="rId31" Type="http://schemas.openxmlformats.org/officeDocument/2006/relationships/hyperlink" Target="https://us3.assetplanner.com/service_request?ID=099517" TargetMode="External"/><Relationship Id="rId4" Type="http://schemas.openxmlformats.org/officeDocument/2006/relationships/hyperlink" Target="https://us3.assetplanner.com/service_request?ID=105460" TargetMode="External"/><Relationship Id="rId9" Type="http://schemas.openxmlformats.org/officeDocument/2006/relationships/hyperlink" Target="https://us3.assetplanner.com/service_request?ID=103598" TargetMode="External"/><Relationship Id="rId14" Type="http://schemas.openxmlformats.org/officeDocument/2006/relationships/hyperlink" Target="https://us3.assetplanner.com/service_request?ID=103968" TargetMode="External"/><Relationship Id="rId22" Type="http://schemas.openxmlformats.org/officeDocument/2006/relationships/hyperlink" Target="https://us3.assetplanner.com/service_request?ID=103964" TargetMode="External"/><Relationship Id="rId27" Type="http://schemas.openxmlformats.org/officeDocument/2006/relationships/hyperlink" Target="https://us3.assetplanner.com/service_request?ID=102989" TargetMode="External"/><Relationship Id="rId30" Type="http://schemas.openxmlformats.org/officeDocument/2006/relationships/hyperlink" Target="https://us3.assetplanner.com/service_request?ID=105454" TargetMode="External"/><Relationship Id="rId35" Type="http://schemas.openxmlformats.org/officeDocument/2006/relationships/hyperlink" Target="https://us3.assetplanner.com/service_request?ID=104346" TargetMode="External"/><Relationship Id="rId8" Type="http://schemas.openxmlformats.org/officeDocument/2006/relationships/hyperlink" Target="https://us3.assetplanner.com/service_request?ID=103598" TargetMode="External"/><Relationship Id="rId3" Type="http://schemas.openxmlformats.org/officeDocument/2006/relationships/hyperlink" Target="https://us3.assetplanner.com/service_request?ID=103942" TargetMode="External"/><Relationship Id="rId12" Type="http://schemas.openxmlformats.org/officeDocument/2006/relationships/hyperlink" Target="https://us3.assetplanner.com/service_request?ID=101656" TargetMode="External"/><Relationship Id="rId17" Type="http://schemas.openxmlformats.org/officeDocument/2006/relationships/hyperlink" Target="https://us3.assetplanner.com/service_request?ID=101930" TargetMode="External"/><Relationship Id="rId25" Type="http://schemas.openxmlformats.org/officeDocument/2006/relationships/hyperlink" Target="https://us3.assetplanner.com/service_request?ID=105479" TargetMode="External"/><Relationship Id="rId33" Type="http://schemas.openxmlformats.org/officeDocument/2006/relationships/hyperlink" Target="https://us3.assetplanner.com/service_request?ID=102263" TargetMode="External"/><Relationship Id="rId38" Type="http://schemas.openxmlformats.org/officeDocument/2006/relationships/hyperlink" Target="https://us3.assetplanner.com/service_request?ID=097964" TargetMode="External"/></Relationships>
</file>

<file path=xl/worksheets/_rels/sheet13.xml.rels><?xml version="1.0" encoding="UTF-8" standalone="yes"?>
<Relationships xmlns="http://schemas.openxmlformats.org/package/2006/relationships"><Relationship Id="rId13" Type="http://schemas.openxmlformats.org/officeDocument/2006/relationships/hyperlink" Target="https://us3.assetplanner.com/service_request?ID=103297" TargetMode="External"/><Relationship Id="rId18" Type="http://schemas.openxmlformats.org/officeDocument/2006/relationships/hyperlink" Target="https://us3.assetplanner.com/service_request?ID=103297" TargetMode="External"/><Relationship Id="rId26" Type="http://schemas.openxmlformats.org/officeDocument/2006/relationships/hyperlink" Target="https://us3.assetplanner.com/service_request?ID=106389" TargetMode="External"/><Relationship Id="rId39" Type="http://schemas.openxmlformats.org/officeDocument/2006/relationships/hyperlink" Target="https://us3.assetplanner.com/service_request?ID=106347" TargetMode="External"/><Relationship Id="rId21" Type="http://schemas.openxmlformats.org/officeDocument/2006/relationships/hyperlink" Target="https://us3.assetplanner.com/service_request?ID=105512" TargetMode="External"/><Relationship Id="rId34" Type="http://schemas.openxmlformats.org/officeDocument/2006/relationships/hyperlink" Target="https://us3.assetplanner.com/service_request?ID=106449" TargetMode="External"/><Relationship Id="rId42" Type="http://schemas.openxmlformats.org/officeDocument/2006/relationships/hyperlink" Target="https://us3.assetplanner.com/service_request?ID=106854" TargetMode="External"/><Relationship Id="rId47" Type="http://schemas.openxmlformats.org/officeDocument/2006/relationships/hyperlink" Target="https://us3.assetplanner.com/service_request?ID=102988" TargetMode="External"/><Relationship Id="rId50" Type="http://schemas.openxmlformats.org/officeDocument/2006/relationships/hyperlink" Target="https://us3.assetplanner.com/service_request?ID=105384" TargetMode="External"/><Relationship Id="rId55" Type="http://schemas.openxmlformats.org/officeDocument/2006/relationships/hyperlink" Target="https://us3.assetplanner.com/service_request?ID=106879" TargetMode="External"/><Relationship Id="rId7" Type="http://schemas.openxmlformats.org/officeDocument/2006/relationships/hyperlink" Target="https://us3.assetplanner.com/service_request?ID=087756" TargetMode="External"/><Relationship Id="rId2" Type="http://schemas.openxmlformats.org/officeDocument/2006/relationships/hyperlink" Target="https://us3.assetplanner.com/service_request?ID=095312" TargetMode="External"/><Relationship Id="rId16" Type="http://schemas.openxmlformats.org/officeDocument/2006/relationships/hyperlink" Target="https://us3.assetplanner.com/service_request?ID=102560" TargetMode="External"/><Relationship Id="rId29" Type="http://schemas.openxmlformats.org/officeDocument/2006/relationships/hyperlink" Target="https://us3.assetplanner.com/service_request?ID=105286" TargetMode="External"/><Relationship Id="rId11" Type="http://schemas.openxmlformats.org/officeDocument/2006/relationships/hyperlink" Target="https://us3.assetplanner.com/service_request?ID=101977" TargetMode="External"/><Relationship Id="rId24" Type="http://schemas.openxmlformats.org/officeDocument/2006/relationships/hyperlink" Target="https://us3.assetplanner.com/service_request?ID=094678" TargetMode="External"/><Relationship Id="rId32" Type="http://schemas.openxmlformats.org/officeDocument/2006/relationships/hyperlink" Target="https://us3.assetplanner.com/service_request?ID=105432" TargetMode="External"/><Relationship Id="rId37" Type="http://schemas.openxmlformats.org/officeDocument/2006/relationships/hyperlink" Target="https://us3.assetplanner.com/service_request?ID=106208" TargetMode="External"/><Relationship Id="rId40" Type="http://schemas.openxmlformats.org/officeDocument/2006/relationships/hyperlink" Target="https://us3.assetplanner.com/service_request?ID=106757" TargetMode="External"/><Relationship Id="rId45" Type="http://schemas.openxmlformats.org/officeDocument/2006/relationships/hyperlink" Target="https://us3.assetplanner.com/service_request?ID=106802" TargetMode="External"/><Relationship Id="rId53" Type="http://schemas.openxmlformats.org/officeDocument/2006/relationships/hyperlink" Target="https://us3.assetplanner.com/service_request?ID=106053" TargetMode="External"/><Relationship Id="rId5" Type="http://schemas.openxmlformats.org/officeDocument/2006/relationships/hyperlink" Target="https://us3.assetplanner.com/service_request?ID=106054" TargetMode="External"/><Relationship Id="rId10" Type="http://schemas.openxmlformats.org/officeDocument/2006/relationships/hyperlink" Target="https://us3.assetplanner.com/service_request?ID=101656" TargetMode="External"/><Relationship Id="rId19" Type="http://schemas.openxmlformats.org/officeDocument/2006/relationships/hyperlink" Target="https://us3.assetplanner.com/service_request?ID=101858" TargetMode="External"/><Relationship Id="rId31" Type="http://schemas.openxmlformats.org/officeDocument/2006/relationships/hyperlink" Target="https://us3.assetplanner.com/service_request?ID=102263" TargetMode="External"/><Relationship Id="rId44" Type="http://schemas.openxmlformats.org/officeDocument/2006/relationships/hyperlink" Target="https://us3.assetplanner.com/service_request?ID=105470" TargetMode="External"/><Relationship Id="rId52" Type="http://schemas.openxmlformats.org/officeDocument/2006/relationships/hyperlink" Target="https://us3.assetplanner.com/service_request?ID=106032" TargetMode="External"/><Relationship Id="rId4" Type="http://schemas.openxmlformats.org/officeDocument/2006/relationships/hyperlink" Target="https://us3.assetplanner.com/service_request?ID=105972" TargetMode="External"/><Relationship Id="rId9" Type="http://schemas.openxmlformats.org/officeDocument/2006/relationships/hyperlink" Target="https://us3.assetplanner.com/service_request?ID=104899" TargetMode="External"/><Relationship Id="rId14" Type="http://schemas.openxmlformats.org/officeDocument/2006/relationships/hyperlink" Target="https://us3.assetplanner.com/service_request?ID=102370" TargetMode="External"/><Relationship Id="rId22" Type="http://schemas.openxmlformats.org/officeDocument/2006/relationships/hyperlink" Target="https://us3.assetplanner.com/service_request?ID=106481" TargetMode="External"/><Relationship Id="rId27" Type="http://schemas.openxmlformats.org/officeDocument/2006/relationships/hyperlink" Target="https://us3.assetplanner.com/service_request?ID=105454" TargetMode="External"/><Relationship Id="rId30" Type="http://schemas.openxmlformats.org/officeDocument/2006/relationships/hyperlink" Target="https://us3.assetplanner.com/service_request?ID=103030" TargetMode="External"/><Relationship Id="rId35" Type="http://schemas.openxmlformats.org/officeDocument/2006/relationships/hyperlink" Target="https://us3.assetplanner.com/service_request?ID=105926" TargetMode="External"/><Relationship Id="rId43" Type="http://schemas.openxmlformats.org/officeDocument/2006/relationships/hyperlink" Target="https://us3.assetplanner.com/service_request?ID=105456" TargetMode="External"/><Relationship Id="rId48" Type="http://schemas.openxmlformats.org/officeDocument/2006/relationships/hyperlink" Target="https://us3.assetplanner.com/service_request?ID=106745" TargetMode="External"/><Relationship Id="rId8" Type="http://schemas.openxmlformats.org/officeDocument/2006/relationships/hyperlink" Target="https://us3.assetplanner.com/service_request?ID=103903" TargetMode="External"/><Relationship Id="rId51" Type="http://schemas.openxmlformats.org/officeDocument/2006/relationships/hyperlink" Target="https://us3.assetplanner.com/service_request?ID=105418" TargetMode="External"/><Relationship Id="rId3" Type="http://schemas.openxmlformats.org/officeDocument/2006/relationships/hyperlink" Target="https://us3.assetplanner.com/service_request?ID=105460" TargetMode="External"/><Relationship Id="rId12" Type="http://schemas.openxmlformats.org/officeDocument/2006/relationships/hyperlink" Target="https://us3.assetplanner.com/service_request?ID=103968" TargetMode="External"/><Relationship Id="rId17" Type="http://schemas.openxmlformats.org/officeDocument/2006/relationships/hyperlink" Target="https://us3.assetplanner.com/service_request?ID=103968" TargetMode="External"/><Relationship Id="rId25" Type="http://schemas.openxmlformats.org/officeDocument/2006/relationships/hyperlink" Target="https://us3.assetplanner.com/service_request?ID=105939" TargetMode="External"/><Relationship Id="rId33" Type="http://schemas.openxmlformats.org/officeDocument/2006/relationships/hyperlink" Target="https://us3.assetplanner.com/service_request?ID=104357" TargetMode="External"/><Relationship Id="rId38" Type="http://schemas.openxmlformats.org/officeDocument/2006/relationships/hyperlink" Target="https://us3.assetplanner.com/service_request?ID=105848" TargetMode="External"/><Relationship Id="rId46" Type="http://schemas.openxmlformats.org/officeDocument/2006/relationships/hyperlink" Target="https://us3.assetplanner.com/service_request?ID=107216" TargetMode="External"/><Relationship Id="rId20" Type="http://schemas.openxmlformats.org/officeDocument/2006/relationships/hyperlink" Target="https://us3.assetplanner.com/service_request?ID=101656" TargetMode="External"/><Relationship Id="rId41" Type="http://schemas.openxmlformats.org/officeDocument/2006/relationships/hyperlink" Target="https://us3.assetplanner.com/service_request?ID=097964" TargetMode="External"/><Relationship Id="rId54" Type="http://schemas.openxmlformats.org/officeDocument/2006/relationships/hyperlink" Target="https://us3.assetplanner.com/service_request?ID=106783" TargetMode="External"/><Relationship Id="rId1" Type="http://schemas.openxmlformats.org/officeDocument/2006/relationships/hyperlink" Target="https://us3.assetplanner.com/service_request?ID=103652" TargetMode="External"/><Relationship Id="rId6" Type="http://schemas.openxmlformats.org/officeDocument/2006/relationships/hyperlink" Target="https://us3.assetplanner.com/service_request?ID=106095" TargetMode="External"/><Relationship Id="rId15" Type="http://schemas.openxmlformats.org/officeDocument/2006/relationships/hyperlink" Target="https://us3.assetplanner.com/service_request?ID=101930" TargetMode="External"/><Relationship Id="rId23" Type="http://schemas.openxmlformats.org/officeDocument/2006/relationships/hyperlink" Target="https://us3.assetplanner.com/service_request?ID=102369" TargetMode="External"/><Relationship Id="rId28" Type="http://schemas.openxmlformats.org/officeDocument/2006/relationships/hyperlink" Target="https://us3.assetplanner.com/service_request?ID=099517" TargetMode="External"/><Relationship Id="rId36" Type="http://schemas.openxmlformats.org/officeDocument/2006/relationships/hyperlink" Target="https://us3.assetplanner.com/service_request?ID=103402" TargetMode="External"/><Relationship Id="rId49" Type="http://schemas.openxmlformats.org/officeDocument/2006/relationships/hyperlink" Target="https://us3.assetplanner.com/service_request?ID=104114" TargetMode="External"/></Relationships>
</file>

<file path=xl/worksheets/_rels/sheet14.xml.rels><?xml version="1.0" encoding="UTF-8" standalone="yes"?>
<Relationships xmlns="http://schemas.openxmlformats.org/package/2006/relationships"><Relationship Id="rId26" Type="http://schemas.openxmlformats.org/officeDocument/2006/relationships/hyperlink" Target="https://us3.assetplanner.com/service_request?ID=108044" TargetMode="External"/><Relationship Id="rId21" Type="http://schemas.openxmlformats.org/officeDocument/2006/relationships/hyperlink" Target="https://us3.assetplanner.com/service_request?ID=107538" TargetMode="External"/><Relationship Id="rId34" Type="http://schemas.openxmlformats.org/officeDocument/2006/relationships/hyperlink" Target="https://us3.assetplanner.com/service_request?ID=108698" TargetMode="External"/><Relationship Id="rId42" Type="http://schemas.openxmlformats.org/officeDocument/2006/relationships/hyperlink" Target="https://us3.assetplanner.com/service_request?ID=102263" TargetMode="External"/><Relationship Id="rId47" Type="http://schemas.openxmlformats.org/officeDocument/2006/relationships/hyperlink" Target="https://us3.assetplanner.com/service_request?ID=108312" TargetMode="External"/><Relationship Id="rId50" Type="http://schemas.openxmlformats.org/officeDocument/2006/relationships/hyperlink" Target="https://us3.assetplanner.com/service_request?ID=106208" TargetMode="External"/><Relationship Id="rId55" Type="http://schemas.openxmlformats.org/officeDocument/2006/relationships/hyperlink" Target="https://us3.assetplanner.com/service_request?ID=108260" TargetMode="External"/><Relationship Id="rId63" Type="http://schemas.openxmlformats.org/officeDocument/2006/relationships/hyperlink" Target="https://us3.assetplanner.com/service_request?ID=107626" TargetMode="External"/><Relationship Id="rId7" Type="http://schemas.openxmlformats.org/officeDocument/2006/relationships/hyperlink" Target="https://us3.assetplanner.com/service_request?ID=087756" TargetMode="External"/><Relationship Id="rId2" Type="http://schemas.openxmlformats.org/officeDocument/2006/relationships/hyperlink" Target="https://us3.assetplanner.com/service_request?ID=107348" TargetMode="External"/><Relationship Id="rId16" Type="http://schemas.openxmlformats.org/officeDocument/2006/relationships/hyperlink" Target="https://us3.assetplanner.com/service_request?ID=103968" TargetMode="External"/><Relationship Id="rId29" Type="http://schemas.openxmlformats.org/officeDocument/2006/relationships/hyperlink" Target="https://us3.assetplanner.com/service_request?ID=107637" TargetMode="External"/><Relationship Id="rId11" Type="http://schemas.openxmlformats.org/officeDocument/2006/relationships/hyperlink" Target="https://us3.assetplanner.com/service_request?ID=107578" TargetMode="External"/><Relationship Id="rId24" Type="http://schemas.openxmlformats.org/officeDocument/2006/relationships/hyperlink" Target="https://us3.assetplanner.com/service_request?ID=103297" TargetMode="External"/><Relationship Id="rId32" Type="http://schemas.openxmlformats.org/officeDocument/2006/relationships/hyperlink" Target="https://us3.assetplanner.com/service_request?ID=108683" TargetMode="External"/><Relationship Id="rId37" Type="http://schemas.openxmlformats.org/officeDocument/2006/relationships/hyperlink" Target="https://us3.assetplanner.com/service_request?ID=105939" TargetMode="External"/><Relationship Id="rId40" Type="http://schemas.openxmlformats.org/officeDocument/2006/relationships/hyperlink" Target="https://us3.assetplanner.com/service_request?ID=108801" TargetMode="External"/><Relationship Id="rId45" Type="http://schemas.openxmlformats.org/officeDocument/2006/relationships/hyperlink" Target="https://us3.assetplanner.com/service_request?ID=106449" TargetMode="External"/><Relationship Id="rId53" Type="http://schemas.openxmlformats.org/officeDocument/2006/relationships/hyperlink" Target="https://us3.assetplanner.com/service_request?ID=106854" TargetMode="External"/><Relationship Id="rId58" Type="http://schemas.openxmlformats.org/officeDocument/2006/relationships/hyperlink" Target="https://us3.assetplanner.com/service_request?ID=102988" TargetMode="External"/><Relationship Id="rId66" Type="http://schemas.openxmlformats.org/officeDocument/2006/relationships/hyperlink" Target="https://us3.assetplanner.com/service_request?ID=107970" TargetMode="External"/><Relationship Id="rId5" Type="http://schemas.openxmlformats.org/officeDocument/2006/relationships/hyperlink" Target="https://us3.assetplanner.com/service_request?ID=106054" TargetMode="External"/><Relationship Id="rId61" Type="http://schemas.openxmlformats.org/officeDocument/2006/relationships/hyperlink" Target="https://us3.assetplanner.com/service_request?ID=108692" TargetMode="External"/><Relationship Id="rId19" Type="http://schemas.openxmlformats.org/officeDocument/2006/relationships/hyperlink" Target="https://us3.assetplanner.com/service_request?ID=101930" TargetMode="External"/><Relationship Id="rId14" Type="http://schemas.openxmlformats.org/officeDocument/2006/relationships/hyperlink" Target="https://us3.assetplanner.com/service_request?ID=104899" TargetMode="External"/><Relationship Id="rId22" Type="http://schemas.openxmlformats.org/officeDocument/2006/relationships/hyperlink" Target="https://us3.assetplanner.com/service_request?ID=102560" TargetMode="External"/><Relationship Id="rId27" Type="http://schemas.openxmlformats.org/officeDocument/2006/relationships/hyperlink" Target="https://us3.assetplanner.com/service_request?ID=108800" TargetMode="External"/><Relationship Id="rId30" Type="http://schemas.openxmlformats.org/officeDocument/2006/relationships/hyperlink" Target="https://us3.assetplanner.com/service_request?ID=108377" TargetMode="External"/><Relationship Id="rId35" Type="http://schemas.openxmlformats.org/officeDocument/2006/relationships/hyperlink" Target="https://us3.assetplanner.com/service_request?ID=102369" TargetMode="External"/><Relationship Id="rId43" Type="http://schemas.openxmlformats.org/officeDocument/2006/relationships/hyperlink" Target="https://us3.assetplanner.com/service_request?ID=105432" TargetMode="External"/><Relationship Id="rId48" Type="http://schemas.openxmlformats.org/officeDocument/2006/relationships/hyperlink" Target="https://us3.assetplanner.com/service_request?ID=108691" TargetMode="External"/><Relationship Id="rId56" Type="http://schemas.openxmlformats.org/officeDocument/2006/relationships/hyperlink" Target="https://us3.assetplanner.com/service_request?ID=105470" TargetMode="External"/><Relationship Id="rId64" Type="http://schemas.openxmlformats.org/officeDocument/2006/relationships/hyperlink" Target="https://us3.assetplanner.com/service_request?ID=106032" TargetMode="External"/><Relationship Id="rId8" Type="http://schemas.openxmlformats.org/officeDocument/2006/relationships/hyperlink" Target="https://us3.assetplanner.com/service_request?ID=103903" TargetMode="External"/><Relationship Id="rId51" Type="http://schemas.openxmlformats.org/officeDocument/2006/relationships/hyperlink" Target="https://us3.assetplanner.com/service_request?ID=107498" TargetMode="External"/><Relationship Id="rId3" Type="http://schemas.openxmlformats.org/officeDocument/2006/relationships/hyperlink" Target="https://us3.assetplanner.com/service_request?ID=095312" TargetMode="External"/><Relationship Id="rId12" Type="http://schemas.openxmlformats.org/officeDocument/2006/relationships/hyperlink" Target="https://us3.assetplanner.com/service_request?ID=105564" TargetMode="External"/><Relationship Id="rId17" Type="http://schemas.openxmlformats.org/officeDocument/2006/relationships/hyperlink" Target="https://us3.assetplanner.com/service_request?ID=103297" TargetMode="External"/><Relationship Id="rId25" Type="http://schemas.openxmlformats.org/officeDocument/2006/relationships/hyperlink" Target="https://us3.assetplanner.com/service_request?ID=101858" TargetMode="External"/><Relationship Id="rId33" Type="http://schemas.openxmlformats.org/officeDocument/2006/relationships/hyperlink" Target="https://us3.assetplanner.com/service_request?ID=108425" TargetMode="External"/><Relationship Id="rId38" Type="http://schemas.openxmlformats.org/officeDocument/2006/relationships/hyperlink" Target="https://us3.assetplanner.com/service_request?ID=106389" TargetMode="External"/><Relationship Id="rId46" Type="http://schemas.openxmlformats.org/officeDocument/2006/relationships/hyperlink" Target="https://us3.assetplanner.com/service_request?ID=108239" TargetMode="External"/><Relationship Id="rId59" Type="http://schemas.openxmlformats.org/officeDocument/2006/relationships/hyperlink" Target="https://us3.assetplanner.com/service_request?ID=106745" TargetMode="External"/><Relationship Id="rId20" Type="http://schemas.openxmlformats.org/officeDocument/2006/relationships/hyperlink" Target="https://us3.assetplanner.com/service_request?ID=107497" TargetMode="External"/><Relationship Id="rId41" Type="http://schemas.openxmlformats.org/officeDocument/2006/relationships/hyperlink" Target="https://us3.assetplanner.com/service_request?ID=103030" TargetMode="External"/><Relationship Id="rId54" Type="http://schemas.openxmlformats.org/officeDocument/2006/relationships/hyperlink" Target="https://us3.assetplanner.com/service_request?ID=105456" TargetMode="External"/><Relationship Id="rId62" Type="http://schemas.openxmlformats.org/officeDocument/2006/relationships/hyperlink" Target="https://us3.assetplanner.com/service_request?ID=108304" TargetMode="External"/><Relationship Id="rId1" Type="http://schemas.openxmlformats.org/officeDocument/2006/relationships/hyperlink" Target="https://us3.assetplanner.com/service_request?ID=103652" TargetMode="External"/><Relationship Id="rId6" Type="http://schemas.openxmlformats.org/officeDocument/2006/relationships/hyperlink" Target="https://us3.assetplanner.com/service_request?ID=108388" TargetMode="External"/><Relationship Id="rId15" Type="http://schemas.openxmlformats.org/officeDocument/2006/relationships/hyperlink" Target="https://us3.assetplanner.com/service_request?ID=101977" TargetMode="External"/><Relationship Id="rId23" Type="http://schemas.openxmlformats.org/officeDocument/2006/relationships/hyperlink" Target="https://us3.assetplanner.com/service_request?ID=103968" TargetMode="External"/><Relationship Id="rId28" Type="http://schemas.openxmlformats.org/officeDocument/2006/relationships/hyperlink" Target="https://us3.assetplanner.com/service_request?ID=107563" TargetMode="External"/><Relationship Id="rId36" Type="http://schemas.openxmlformats.org/officeDocument/2006/relationships/hyperlink" Target="https://us3.assetplanner.com/service_request?ID=094678" TargetMode="External"/><Relationship Id="rId49" Type="http://schemas.openxmlformats.org/officeDocument/2006/relationships/hyperlink" Target="https://us3.assetplanner.com/service_request?ID=103402" TargetMode="External"/><Relationship Id="rId57" Type="http://schemas.openxmlformats.org/officeDocument/2006/relationships/hyperlink" Target="https://us3.assetplanner.com/service_request?ID=108719" TargetMode="External"/><Relationship Id="rId10" Type="http://schemas.openxmlformats.org/officeDocument/2006/relationships/hyperlink" Target="https://us3.assetplanner.com/service_request?ID=108389" TargetMode="External"/><Relationship Id="rId31" Type="http://schemas.openxmlformats.org/officeDocument/2006/relationships/hyperlink" Target="https://us3.assetplanner.com/service_request?ID=108316" TargetMode="External"/><Relationship Id="rId44" Type="http://schemas.openxmlformats.org/officeDocument/2006/relationships/hyperlink" Target="https://us3.assetplanner.com/service_request?ID=104357" TargetMode="External"/><Relationship Id="rId52" Type="http://schemas.openxmlformats.org/officeDocument/2006/relationships/hyperlink" Target="https://us3.assetplanner.com/service_request?ID=097964" TargetMode="External"/><Relationship Id="rId60" Type="http://schemas.openxmlformats.org/officeDocument/2006/relationships/hyperlink" Target="https://us3.assetplanner.com/service_request?ID=107392" TargetMode="External"/><Relationship Id="rId65" Type="http://schemas.openxmlformats.org/officeDocument/2006/relationships/hyperlink" Target="https://us3.assetplanner.com/service_request?ID=106053" TargetMode="External"/><Relationship Id="rId4" Type="http://schemas.openxmlformats.org/officeDocument/2006/relationships/hyperlink" Target="https://us3.assetplanner.com/service_request?ID=105972" TargetMode="External"/><Relationship Id="rId9" Type="http://schemas.openxmlformats.org/officeDocument/2006/relationships/hyperlink" Target="https://us3.assetplanner.com/service_request?ID=108385" TargetMode="External"/><Relationship Id="rId13" Type="http://schemas.openxmlformats.org/officeDocument/2006/relationships/hyperlink" Target="https://us3.assetplanner.com/service_request?ID=108681" TargetMode="External"/><Relationship Id="rId18" Type="http://schemas.openxmlformats.org/officeDocument/2006/relationships/hyperlink" Target="https://us3.assetplanner.com/service_request?ID=102370" TargetMode="External"/><Relationship Id="rId39" Type="http://schemas.openxmlformats.org/officeDocument/2006/relationships/hyperlink" Target="https://us3.assetplanner.com/service_request?ID=108256"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3" Type="http://schemas.openxmlformats.org/officeDocument/2006/relationships/hyperlink" Target="https://us3.assetplanner.com/service_request?ID=113846" TargetMode="External"/><Relationship Id="rId18" Type="http://schemas.openxmlformats.org/officeDocument/2006/relationships/hyperlink" Target="https://us3.assetplanner.com/service_request?ID=113601" TargetMode="External"/><Relationship Id="rId26" Type="http://schemas.openxmlformats.org/officeDocument/2006/relationships/hyperlink" Target="https://us3.assetplanner.com/service_request?ID=111474" TargetMode="External"/><Relationship Id="rId39" Type="http://schemas.openxmlformats.org/officeDocument/2006/relationships/hyperlink" Target="https://us3.assetplanner.com/service_request?ID=111878" TargetMode="External"/><Relationship Id="rId21" Type="http://schemas.openxmlformats.org/officeDocument/2006/relationships/hyperlink" Target="https://us3.assetplanner.com/service_request?ID=113324" TargetMode="External"/><Relationship Id="rId34" Type="http://schemas.openxmlformats.org/officeDocument/2006/relationships/hyperlink" Target="https://us3.assetplanner.com/service_request?ID=109996" TargetMode="External"/><Relationship Id="rId42" Type="http://schemas.openxmlformats.org/officeDocument/2006/relationships/hyperlink" Target="https://us3.assetplanner.com/service_request?ID=113866" TargetMode="External"/><Relationship Id="rId7" Type="http://schemas.openxmlformats.org/officeDocument/2006/relationships/hyperlink" Target="https://us3.assetplanner.com/service_request?ID=113319" TargetMode="External"/><Relationship Id="rId2" Type="http://schemas.openxmlformats.org/officeDocument/2006/relationships/hyperlink" Target="https://us3.assetplanner.com/service_request?ID=103652" TargetMode="External"/><Relationship Id="rId16" Type="http://schemas.openxmlformats.org/officeDocument/2006/relationships/hyperlink" Target="https://us3.assetplanner.com/service_request?ID=109437" TargetMode="External"/><Relationship Id="rId20" Type="http://schemas.openxmlformats.org/officeDocument/2006/relationships/hyperlink" Target="https://us3.assetplanner.com/service_request?ID=113086" TargetMode="External"/><Relationship Id="rId29" Type="http://schemas.openxmlformats.org/officeDocument/2006/relationships/hyperlink" Target="https://us3.assetplanner.com/service_request?ID=105939" TargetMode="External"/><Relationship Id="rId41" Type="http://schemas.openxmlformats.org/officeDocument/2006/relationships/hyperlink" Target="https://us3.assetplanner.com/service_request?ID=113317" TargetMode="External"/><Relationship Id="rId1" Type="http://schemas.openxmlformats.org/officeDocument/2006/relationships/hyperlink" Target="https://us3.assetplanner.com/service_request?ID=103463" TargetMode="External"/><Relationship Id="rId6" Type="http://schemas.openxmlformats.org/officeDocument/2006/relationships/hyperlink" Target="https://us3.assetplanner.com/service_request?ID=064122" TargetMode="External"/><Relationship Id="rId11" Type="http://schemas.openxmlformats.org/officeDocument/2006/relationships/hyperlink" Target="https://us3.assetplanner.com/service_request?ID=093404" TargetMode="External"/><Relationship Id="rId24" Type="http://schemas.openxmlformats.org/officeDocument/2006/relationships/hyperlink" Target="https://us3.assetplanner.com/service_request?ID=113443" TargetMode="External"/><Relationship Id="rId32" Type="http://schemas.openxmlformats.org/officeDocument/2006/relationships/hyperlink" Target="https://us3.assetplanner.com/service_request?ID=103030" TargetMode="External"/><Relationship Id="rId37" Type="http://schemas.openxmlformats.org/officeDocument/2006/relationships/hyperlink" Target="https://us3.assetplanner.com/service_request?ID=112645" TargetMode="External"/><Relationship Id="rId40" Type="http://schemas.openxmlformats.org/officeDocument/2006/relationships/hyperlink" Target="https://us3.assetplanner.com/service_request?ID=112321" TargetMode="External"/><Relationship Id="rId5" Type="http://schemas.openxmlformats.org/officeDocument/2006/relationships/hyperlink" Target="https://us3.assetplanner.com/service_request?ID=106054" TargetMode="External"/><Relationship Id="rId15" Type="http://schemas.openxmlformats.org/officeDocument/2006/relationships/hyperlink" Target="https://us3.assetplanner.com/service_request?ID=112329" TargetMode="External"/><Relationship Id="rId23" Type="http://schemas.openxmlformats.org/officeDocument/2006/relationships/hyperlink" Target="https://us3.assetplanner.com/service_request?ID=112278" TargetMode="External"/><Relationship Id="rId28" Type="http://schemas.openxmlformats.org/officeDocument/2006/relationships/hyperlink" Target="https://us3.assetplanner.com/service_request?ID=102369" TargetMode="External"/><Relationship Id="rId36" Type="http://schemas.openxmlformats.org/officeDocument/2006/relationships/hyperlink" Target="https://us3.assetplanner.com/service_request?ID=109924" TargetMode="External"/><Relationship Id="rId10" Type="http://schemas.openxmlformats.org/officeDocument/2006/relationships/hyperlink" Target="https://us3.assetplanner.com/service_request?ID=089564" TargetMode="External"/><Relationship Id="rId19" Type="http://schemas.openxmlformats.org/officeDocument/2006/relationships/hyperlink" Target="https://us3.assetplanner.com/service_request?ID=112929" TargetMode="External"/><Relationship Id="rId31" Type="http://schemas.openxmlformats.org/officeDocument/2006/relationships/hyperlink" Target="https://us3.assetplanner.com/service_request?ID=113623" TargetMode="External"/><Relationship Id="rId4" Type="http://schemas.openxmlformats.org/officeDocument/2006/relationships/hyperlink" Target="https://us3.assetplanner.com/service_request?ID=105972" TargetMode="External"/><Relationship Id="rId9" Type="http://schemas.openxmlformats.org/officeDocument/2006/relationships/hyperlink" Target="https://us3.assetplanner.com/service_request?ID=113320" TargetMode="External"/><Relationship Id="rId14" Type="http://schemas.openxmlformats.org/officeDocument/2006/relationships/hyperlink" Target="https://us3.assetplanner.com/service_request?ID=105564" TargetMode="External"/><Relationship Id="rId22" Type="http://schemas.openxmlformats.org/officeDocument/2006/relationships/hyperlink" Target="https://us3.assetplanner.com/service_request?ID=105479" TargetMode="External"/><Relationship Id="rId27" Type="http://schemas.openxmlformats.org/officeDocument/2006/relationships/hyperlink" Target="https://us3.assetplanner.com/service_request?ID=094678" TargetMode="External"/><Relationship Id="rId30" Type="http://schemas.openxmlformats.org/officeDocument/2006/relationships/hyperlink" Target="https://us3.assetplanner.com/service_request?ID=106389" TargetMode="External"/><Relationship Id="rId35" Type="http://schemas.openxmlformats.org/officeDocument/2006/relationships/hyperlink" Target="https://us3.assetplanner.com/service_request?ID=111580" TargetMode="External"/><Relationship Id="rId43" Type="http://schemas.openxmlformats.org/officeDocument/2006/relationships/hyperlink" Target="https://us3.assetplanner.com/service_request?ID=112698" TargetMode="External"/><Relationship Id="rId8" Type="http://schemas.openxmlformats.org/officeDocument/2006/relationships/hyperlink" Target="https://us3.assetplanner.com/service_request?ID=103903" TargetMode="External"/><Relationship Id="rId3" Type="http://schemas.openxmlformats.org/officeDocument/2006/relationships/hyperlink" Target="https://us3.assetplanner.com/service_request?ID=095312" TargetMode="External"/><Relationship Id="rId12" Type="http://schemas.openxmlformats.org/officeDocument/2006/relationships/hyperlink" Target="https://us3.assetplanner.com/service_request?ID=113318" TargetMode="External"/><Relationship Id="rId17" Type="http://schemas.openxmlformats.org/officeDocument/2006/relationships/hyperlink" Target="https://us3.assetplanner.com/service_request?ID=111340" TargetMode="External"/><Relationship Id="rId25" Type="http://schemas.openxmlformats.org/officeDocument/2006/relationships/hyperlink" Target="https://us3.assetplanner.com/service_request?ID=113251" TargetMode="External"/><Relationship Id="rId33" Type="http://schemas.openxmlformats.org/officeDocument/2006/relationships/hyperlink" Target="https://us3.assetplanner.com/service_request?ID=108557" TargetMode="External"/><Relationship Id="rId38" Type="http://schemas.openxmlformats.org/officeDocument/2006/relationships/hyperlink" Target="https://us3.assetplanner.com/service_request?ID=105470"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42"/>
  <sheetViews>
    <sheetView workbookViewId="0">
      <pane xSplit="2" ySplit="3" topLeftCell="C28" activePane="bottomRight" state="frozen"/>
      <selection pane="bottomRight" activeCell="F47" sqref="F47"/>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7" t="str" cm="1">
        <f t="array" ref="A1">portfolio</f>
        <v>Greenbacker Capital</v>
      </c>
      <c r="B1" s="117"/>
      <c r="C1" s="117"/>
      <c r="D1" s="118" t="s">
        <v>0</v>
      </c>
      <c r="E1" s="118"/>
      <c r="F1" s="118"/>
      <c r="G1" s="116" t="s">
        <v>1</v>
      </c>
      <c r="H1" s="116"/>
      <c r="I1" s="116"/>
    </row>
    <row r="2" spans="1:9" ht="19.5" customHeight="1">
      <c r="A2" s="119" t="s">
        <v>2</v>
      </c>
      <c r="B2" s="119"/>
      <c r="C2" s="5">
        <f>SUM(C4:C100)</f>
        <v>63915858.318564042</v>
      </c>
      <c r="D2" s="5">
        <f>SUM(D4:D100)</f>
        <v>61431395.867104575</v>
      </c>
      <c r="E2" s="5">
        <f>C2-D2</f>
        <v>2484462.4514594674</v>
      </c>
      <c r="F2" s="6">
        <f>IFERROR(E2/D2, 0)</f>
        <v>4.0442878049428359E-2</v>
      </c>
      <c r="G2" s="5">
        <f>SUM(G4:G100)</f>
        <v>49751366.192129008</v>
      </c>
      <c r="H2" s="7">
        <f>C2-G2</f>
        <v>14164492.126435034</v>
      </c>
      <c r="I2" s="6">
        <f>IFERROR(H2/G2, 0)</f>
        <v>0.28470559123411465</v>
      </c>
    </row>
    <row r="3" spans="1:9" ht="14.25" customHeight="1">
      <c r="A3" s="8" t="s">
        <v>3</v>
      </c>
      <c r="B3" s="8" t="s">
        <v>4</v>
      </c>
      <c r="C3" s="23" t="s">
        <v>5</v>
      </c>
      <c r="D3" s="35" t="s">
        <v>6</v>
      </c>
      <c r="E3" s="35" t="s">
        <v>7</v>
      </c>
      <c r="F3" s="36" t="s">
        <v>8</v>
      </c>
      <c r="G3" s="37" t="s">
        <v>9</v>
      </c>
      <c r="H3" s="38" t="s">
        <v>7</v>
      </c>
      <c r="I3" s="39" t="s">
        <v>8</v>
      </c>
    </row>
    <row r="4" spans="1:9" ht="15.6">
      <c r="A4" s="12" t="str" cm="1">
        <f t="array" ref="A4:A40">Sites[Site]</f>
        <v>10 Walpole Park South</v>
      </c>
      <c r="B4" s="9" t="str" cm="1">
        <f t="array" ref="B4:B40">Sites[State]</f>
        <v>MA</v>
      </c>
      <c r="C4" s="24">
        <f>SUM('1st Qtr'!C4, '2nd Qtr'!C4, '3rd Qtr'!C4, '4th Qtr'!C4)</f>
        <v>136371.6875</v>
      </c>
      <c r="D4" s="13">
        <f>SUM('1st Qtr'!D4, '2nd Qtr'!D4, '3rd Qtr'!D4, '4th Qtr'!D4)</f>
        <v>154694.59300000002</v>
      </c>
      <c r="E4" s="13">
        <f>IF(AND(ISNUMBER(C4),ISNUMBER(D4)), C4-D4, "")</f>
        <v>-18322.905500000023</v>
      </c>
      <c r="F4" s="14">
        <f>IFERROR(E4/D4, "")</f>
        <v>-0.11844567508574795</v>
      </c>
      <c r="G4" s="15">
        <f>SUM('1st Qtr'!G4, '2nd Qtr'!G4, '3rd Qtr'!G4, '4th Qtr'!G4)</f>
        <v>174665.53599999999</v>
      </c>
      <c r="H4" s="15">
        <f>SUM('1st Qtr'!H4, '2nd Qtr'!H4, '3rd Qtr'!H4, '4th Qtr'!H4)</f>
        <v>-38293.8485</v>
      </c>
      <c r="I4" s="16">
        <f>IFERROR(H4/G4, "")</f>
        <v>-0.21924100985783482</v>
      </c>
    </row>
    <row r="5" spans="1:9" ht="15.6">
      <c r="A5" s="17" t="str">
        <v>15 Walpole Park South</v>
      </c>
      <c r="B5" s="10" t="str">
        <v>MA</v>
      </c>
      <c r="C5" s="18">
        <f>SUM('1st Qtr'!C5, '2nd Qtr'!C5, '3rd Qtr'!C5, '4th Qtr'!C5)</f>
        <v>592272.5</v>
      </c>
      <c r="D5" s="18">
        <f>SUM('1st Qtr'!D5, '2nd Qtr'!D5, '3rd Qtr'!D5, '4th Qtr'!D5)</f>
        <v>598538.43000000005</v>
      </c>
      <c r="E5" s="18">
        <f t="shared" ref="E5:E15" si="0">IF(AND(ISNUMBER(C5),ISNUMBER(D5)), C5-D5, "")</f>
        <v>-6265.9300000000512</v>
      </c>
      <c r="F5" s="19">
        <f>IFERROR(E5/D5, "")</f>
        <v>-1.0468717940133019E-2</v>
      </c>
      <c r="G5" s="20">
        <f>SUM('1st Qtr'!G5, '2nd Qtr'!G5, '3rd Qtr'!G5, '4th Qtr'!G5)</f>
        <v>606667.13</v>
      </c>
      <c r="H5" s="63">
        <f>SUM('1st Qtr'!H5, '2nd Qtr'!H5, '3rd Qtr'!H5, '4th Qtr'!H5)</f>
        <v>-14394.630000000012</v>
      </c>
      <c r="I5" s="19">
        <f>IFERROR(H5/G5, "")</f>
        <v>-2.3727393966440892E-2</v>
      </c>
    </row>
    <row r="6" spans="1:9" ht="15.6">
      <c r="A6" s="12" t="str">
        <v>19 Walpole Park South</v>
      </c>
      <c r="B6" s="9" t="str">
        <v>MA</v>
      </c>
      <c r="C6" s="24">
        <f>SUM('1st Qtr'!C6, '2nd Qtr'!C6, '3rd Qtr'!C6, '4th Qtr'!C6)</f>
        <v>363051.125</v>
      </c>
      <c r="D6" s="13">
        <f>SUM('1st Qtr'!D6, '2nd Qtr'!D6, '3rd Qtr'!D6, '4th Qtr'!D6)</f>
        <v>363544.16</v>
      </c>
      <c r="E6" s="13">
        <f t="shared" si="0"/>
        <v>-493.03499999997439</v>
      </c>
      <c r="F6" s="14">
        <f t="shared" ref="F6:F15" si="1">IFERROR(E6/D6, "")</f>
        <v>-1.3561901255681687E-3</v>
      </c>
      <c r="G6" s="15">
        <f>SUM('1st Qtr'!G6, '2nd Qtr'!G6, '3rd Qtr'!G6, '4th Qtr'!G6)</f>
        <v>388510.92</v>
      </c>
      <c r="H6" s="15">
        <f>SUM('1st Qtr'!H6, '2nd Qtr'!H6, '3rd Qtr'!H6, '4th Qtr'!H6)</f>
        <v>-25459.795000000006</v>
      </c>
      <c r="I6" s="16">
        <f t="shared" ref="I6:I15" si="2">IFERROR(H6/G6, "")</f>
        <v>-6.5531735890460963E-2</v>
      </c>
    </row>
    <row r="7" spans="1:9" ht="15.6">
      <c r="A7" s="17" t="str">
        <v>23 Walpole Park South</v>
      </c>
      <c r="B7" s="10" t="str">
        <v>MA</v>
      </c>
      <c r="C7" s="18">
        <f>SUM('1st Qtr'!C7, '2nd Qtr'!C7, '3rd Qtr'!C7, '4th Qtr'!C7)</f>
        <v>459768.75</v>
      </c>
      <c r="D7" s="18">
        <f>SUM('1st Qtr'!D7, '2nd Qtr'!D7, '3rd Qtr'!D7, '4th Qtr'!D7)</f>
        <v>476521.36</v>
      </c>
      <c r="E7" s="18">
        <f t="shared" si="0"/>
        <v>-16752.609999999986</v>
      </c>
      <c r="F7" s="19">
        <f t="shared" si="1"/>
        <v>-3.515605260591044E-2</v>
      </c>
      <c r="G7" s="20">
        <f>SUM('1st Qtr'!G7, '2nd Qtr'!G7, '3rd Qtr'!G7, '4th Qtr'!G7)</f>
        <v>508802.47</v>
      </c>
      <c r="H7" s="20">
        <f>SUM('1st Qtr'!H7, '2nd Qtr'!H7, '3rd Qtr'!H7, '4th Qtr'!H7)</f>
        <v>-49033.719999999994</v>
      </c>
      <c r="I7" s="19">
        <f t="shared" si="2"/>
        <v>-9.6370837193459374E-2</v>
      </c>
    </row>
    <row r="8" spans="1:9" ht="15.6">
      <c r="A8" s="12" t="str">
        <v>24 Walpole Park South</v>
      </c>
      <c r="B8" s="9" t="str">
        <v>MA</v>
      </c>
      <c r="C8" s="24">
        <f>SUM('1st Qtr'!C8, '2nd Qtr'!C8, '3rd Qtr'!C8, '4th Qtr'!C8)</f>
        <v>718788.75</v>
      </c>
      <c r="D8" s="13">
        <f>SUM('1st Qtr'!D8, '2nd Qtr'!D8, '3rd Qtr'!D8, '4th Qtr'!D8)</f>
        <v>620369.01899999997</v>
      </c>
      <c r="E8" s="13">
        <f t="shared" si="0"/>
        <v>98419.731000000029</v>
      </c>
      <c r="F8" s="14">
        <f t="shared" si="1"/>
        <v>0.15864707615258916</v>
      </c>
      <c r="G8" s="15">
        <f>SUM('1st Qtr'!G8, '2nd Qtr'!G8, '3rd Qtr'!G8, '4th Qtr'!G8)</f>
        <v>782457.7300000001</v>
      </c>
      <c r="H8" s="15">
        <f>SUM('1st Qtr'!H8, '2nd Qtr'!H8, '3rd Qtr'!H8, '4th Qtr'!H8)</f>
        <v>-63668.980000000025</v>
      </c>
      <c r="I8" s="16">
        <f t="shared" si="2"/>
        <v>-8.1370504193242515E-2</v>
      </c>
    </row>
    <row r="9" spans="1:9" ht="15.6">
      <c r="A9" s="17" t="str">
        <v>25 Walpole Park South</v>
      </c>
      <c r="B9" s="10" t="str">
        <v>MA</v>
      </c>
      <c r="C9" s="18">
        <f>SUM('1st Qtr'!C9, '2nd Qtr'!C9, '3rd Qtr'!C9, '4th Qtr'!C9)</f>
        <v>688933.50000193296</v>
      </c>
      <c r="D9" s="18">
        <f>SUM('1st Qtr'!D9, '2nd Qtr'!D9, '3rd Qtr'!D9, '4th Qtr'!D9)</f>
        <v>718730.63</v>
      </c>
      <c r="E9" s="18">
        <f t="shared" si="0"/>
        <v>-29797.129998067045</v>
      </c>
      <c r="F9" s="19">
        <f t="shared" si="1"/>
        <v>-4.1457993793957336E-2</v>
      </c>
      <c r="G9" s="20">
        <f>SUM('1st Qtr'!G9, '2nd Qtr'!G9, '3rd Qtr'!G9, '4th Qtr'!G9)</f>
        <v>793385.98</v>
      </c>
      <c r="H9" s="20">
        <f>SUM('1st Qtr'!H9, '2nd Qtr'!H9, '3rd Qtr'!H9, '4th Qtr'!H9)</f>
        <v>-104452.47999806711</v>
      </c>
      <c r="I9" s="19">
        <f t="shared" si="2"/>
        <v>-0.13165405317354753</v>
      </c>
    </row>
    <row r="10" spans="1:9" ht="15.6">
      <c r="A10" s="12" t="str">
        <v>3 Walpole Park South</v>
      </c>
      <c r="B10" s="9" t="str">
        <v>MA</v>
      </c>
      <c r="C10" s="24">
        <f>SUM('1st Qtr'!C10, '2nd Qtr'!C10, '3rd Qtr'!C10, '4th Qtr'!C10)</f>
        <v>884202.68750000093</v>
      </c>
      <c r="D10" s="13">
        <f>SUM('1st Qtr'!D10, '2nd Qtr'!D10, '3rd Qtr'!D10, '4th Qtr'!D10)</f>
        <v>913393</v>
      </c>
      <c r="E10" s="13">
        <f t="shared" si="0"/>
        <v>-29190.312499999069</v>
      </c>
      <c r="F10" s="14">
        <f t="shared" si="1"/>
        <v>-3.1958108393647718E-2</v>
      </c>
      <c r="G10" s="15">
        <f>SUM('1st Qtr'!G10, '2nd Qtr'!G10, '3rd Qtr'!G10, '4th Qtr'!G10)</f>
        <v>945633.24</v>
      </c>
      <c r="H10" s="15">
        <f>SUM('1st Qtr'!H10, '2nd Qtr'!H10, '3rd Qtr'!H10, '4th Qtr'!H10)</f>
        <v>-61430.552499999096</v>
      </c>
      <c r="I10" s="16">
        <f t="shared" si="2"/>
        <v>-6.4962344703533362E-2</v>
      </c>
    </row>
    <row r="11" spans="1:9" ht="15.6">
      <c r="A11" s="17" t="str">
        <v>4 Walpole Park South</v>
      </c>
      <c r="B11" s="10" t="str">
        <v>MA</v>
      </c>
      <c r="C11" s="18">
        <f>SUM('1st Qtr'!C11, '2nd Qtr'!C11, '3rd Qtr'!C11, '4th Qtr'!C11)</f>
        <v>513933.5</v>
      </c>
      <c r="D11" s="18">
        <f>SUM('1st Qtr'!D11, '2nd Qtr'!D11, '3rd Qtr'!D11, '4th Qtr'!D11)</f>
        <v>517852.73000000004</v>
      </c>
      <c r="E11" s="18">
        <f t="shared" si="0"/>
        <v>-3919.2300000000396</v>
      </c>
      <c r="F11" s="19">
        <f t="shared" si="1"/>
        <v>-7.568232767644267E-3</v>
      </c>
      <c r="G11" s="20">
        <f>SUM('1st Qtr'!G11, '2nd Qtr'!G11, '3rd Qtr'!G11, '4th Qtr'!G11)</f>
        <v>526793.32999999996</v>
      </c>
      <c r="H11" s="20">
        <f>SUM('1st Qtr'!H11, '2nd Qtr'!H11, '3rd Qtr'!H11, '4th Qtr'!H11)</f>
        <v>-12859.829999999994</v>
      </c>
      <c r="I11" s="19">
        <f t="shared" si="2"/>
        <v>-2.4411527761750505E-2</v>
      </c>
    </row>
    <row r="12" spans="1:9" ht="15.6">
      <c r="A12" s="12" t="str">
        <v>Brockton</v>
      </c>
      <c r="B12" s="9" t="str">
        <v>MA</v>
      </c>
      <c r="C12" s="24">
        <f>SUM('1st Qtr'!C12, '2nd Qtr'!C12, '3rd Qtr'!C12, '4th Qtr'!C12)</f>
        <v>842175.5</v>
      </c>
      <c r="D12" s="13">
        <f>SUM('1st Qtr'!D12, '2nd Qtr'!D12, '3rd Qtr'!D12, '4th Qtr'!D12)</f>
        <v>775606.62</v>
      </c>
      <c r="E12" s="13">
        <f t="shared" si="0"/>
        <v>66568.88</v>
      </c>
      <c r="F12" s="14">
        <f t="shared" si="1"/>
        <v>8.5828148295072584E-2</v>
      </c>
      <c r="G12" s="15">
        <f>SUM('1st Qtr'!G12, '2nd Qtr'!G12, '3rd Qtr'!G12, '4th Qtr'!G12)</f>
        <v>878817.15</v>
      </c>
      <c r="H12" s="15">
        <f>SUM('1st Qtr'!H12, '2nd Qtr'!H12, '3rd Qtr'!H12, '4th Qtr'!H12)</f>
        <v>-36641.650000000023</v>
      </c>
      <c r="I12" s="16">
        <f t="shared" si="2"/>
        <v>-4.1694281910634109E-2</v>
      </c>
    </row>
    <row r="13" spans="1:9" ht="15.6">
      <c r="A13" s="17" t="str">
        <v>Canton</v>
      </c>
      <c r="B13" s="10" t="str">
        <v>MA</v>
      </c>
      <c r="C13" s="18">
        <f>SUM('1st Qtr'!C13, '2nd Qtr'!C13, '3rd Qtr'!C13, '4th Qtr'!C13)</f>
        <v>806152.25</v>
      </c>
      <c r="D13" s="18">
        <f>SUM('1st Qtr'!D13, '2nd Qtr'!D13, '3rd Qtr'!D13, '4th Qtr'!D13)</f>
        <v>801805.55</v>
      </c>
      <c r="E13" s="18">
        <f t="shared" si="0"/>
        <v>4346.6999999999534</v>
      </c>
      <c r="F13" s="19">
        <f t="shared" si="1"/>
        <v>5.4211398262333718E-3</v>
      </c>
      <c r="G13" s="20">
        <f>SUM('1st Qtr'!G13, '2nd Qtr'!G13, '3rd Qtr'!G13, '4th Qtr'!G13)</f>
        <v>853709.48</v>
      </c>
      <c r="H13" s="20">
        <f>SUM('1st Qtr'!H13, '2nd Qtr'!H13, '3rd Qtr'!H13, '4th Qtr'!H13)</f>
        <v>-47557.229999999967</v>
      </c>
      <c r="I13" s="19">
        <f t="shared" si="2"/>
        <v>-5.5706573622680125E-2</v>
      </c>
    </row>
    <row r="14" spans="1:9" ht="15.6">
      <c r="A14" s="12" t="str">
        <v>Chelsea</v>
      </c>
      <c r="B14" s="9" t="str">
        <v>MA</v>
      </c>
      <c r="C14" s="24">
        <f>SUM('1st Qtr'!C14, '2nd Qtr'!C14, '3rd Qtr'!C14, '4th Qtr'!C14)</f>
        <v>1436249</v>
      </c>
      <c r="D14" s="13">
        <f>SUM('1st Qtr'!D14, '2nd Qtr'!D14, '3rd Qtr'!D14, '4th Qtr'!D14)</f>
        <v>1415243.6099999999</v>
      </c>
      <c r="E14" s="13">
        <f t="shared" si="0"/>
        <v>21005.39000000013</v>
      </c>
      <c r="F14" s="14">
        <f t="shared" si="1"/>
        <v>1.4842243308203407E-2</v>
      </c>
      <c r="G14" s="15">
        <f>SUM('1st Qtr'!G14, '2nd Qtr'!G14, '3rd Qtr'!G14, '4th Qtr'!G14)</f>
        <v>1401849.0399999998</v>
      </c>
      <c r="H14" s="15">
        <f>SUM('1st Qtr'!H14, '2nd Qtr'!H14, '3rd Qtr'!H14, '4th Qtr'!H14)</f>
        <v>34399.959999999977</v>
      </c>
      <c r="I14" s="16">
        <f t="shared" si="2"/>
        <v>2.4538990303834701E-2</v>
      </c>
    </row>
    <row r="15" spans="1:9" ht="15.6">
      <c r="A15" s="17" t="str">
        <v>Hamilton Landfill</v>
      </c>
      <c r="B15" s="10" t="str">
        <v>MA</v>
      </c>
      <c r="C15" s="18">
        <f>SUM('1st Qtr'!C15, '2nd Qtr'!C15, '3rd Qtr'!C15, '4th Qtr'!C15)</f>
        <v>1113305.0350000001</v>
      </c>
      <c r="D15" s="18">
        <f>SUM('1st Qtr'!D15, '2nd Qtr'!D15, '3rd Qtr'!D15, '4th Qtr'!D15)</f>
        <v>1307963.4180000001</v>
      </c>
      <c r="E15" s="18">
        <f t="shared" si="0"/>
        <v>-194658.38299999991</v>
      </c>
      <c r="F15" s="19">
        <f t="shared" si="1"/>
        <v>-0.14882555606765441</v>
      </c>
      <c r="G15" s="20">
        <f>SUM('1st Qtr'!G15, '2nd Qtr'!G15, '3rd Qtr'!G15, '4th Qtr'!G15)</f>
        <v>0</v>
      </c>
      <c r="H15" s="20">
        <f>SUM('1st Qtr'!H15, '2nd Qtr'!H15, '3rd Qtr'!H15, '4th Qtr'!H15)</f>
        <v>176669.6</v>
      </c>
      <c r="I15" s="19" t="str">
        <f t="shared" si="2"/>
        <v/>
      </c>
    </row>
    <row r="16" spans="1:9" ht="15.6">
      <c r="A16" s="12" t="str">
        <v>Holliston</v>
      </c>
      <c r="B16" s="9" t="str">
        <v>MA</v>
      </c>
      <c r="C16" s="24">
        <f>SUM('1st Qtr'!C16, '2nd Qtr'!C16, '3rd Qtr'!C16, '4th Qtr'!C16)</f>
        <v>1850463.0600000005</v>
      </c>
      <c r="D16" s="13">
        <f>SUM('1st Qtr'!D16, '2nd Qtr'!D16, '3rd Qtr'!D16, '4th Qtr'!D16)</f>
        <v>2248160.6</v>
      </c>
      <c r="E16" s="13">
        <f t="shared" ref="E16:E19" si="3">IF(AND(ISNUMBER(C16),ISNUMBER(D16)), C16-D16, "")</f>
        <v>-397697.53999999957</v>
      </c>
      <c r="F16" s="14">
        <f t="shared" ref="F16:F19" si="4">IFERROR(E16/D16, "")</f>
        <v>-0.17689907918500108</v>
      </c>
      <c r="G16" s="15">
        <f>SUM('1st Qtr'!G16, '2nd Qtr'!G16, '3rd Qtr'!G16, '4th Qtr'!G16)</f>
        <v>2280444.4</v>
      </c>
      <c r="H16" s="15">
        <f>SUM('1st Qtr'!H16, '2nd Qtr'!H16, '3rd Qtr'!H16, '4th Qtr'!H16)</f>
        <v>-429981.33999999944</v>
      </c>
      <c r="I16" s="16">
        <f t="shared" ref="I16:I19" si="5">IFERROR(H16/G16, "")</f>
        <v>-0.18855155600373308</v>
      </c>
    </row>
    <row r="17" spans="1:9" ht="15.6">
      <c r="A17" s="17" t="str">
        <v>Natick HS - Carports</v>
      </c>
      <c r="B17" s="10" t="str">
        <v>MA</v>
      </c>
      <c r="C17" s="18">
        <f>SUM('1st Qtr'!C17, '2nd Qtr'!C17, '3rd Qtr'!C17, '4th Qtr'!C17)</f>
        <v>686789.76799999992</v>
      </c>
      <c r="D17" s="18">
        <f>SUM('1st Qtr'!D17, '2nd Qtr'!D17, '3rd Qtr'!D17, '4th Qtr'!D17)</f>
        <v>844943.70400000003</v>
      </c>
      <c r="E17" s="18">
        <f t="shared" si="3"/>
        <v>-158153.9360000001</v>
      </c>
      <c r="F17" s="19">
        <f t="shared" si="4"/>
        <v>-0.18717689149145977</v>
      </c>
      <c r="G17" s="20">
        <f>SUM('1st Qtr'!G17, '2nd Qtr'!G17, '3rd Qtr'!G17, '4th Qtr'!G17)</f>
        <v>0</v>
      </c>
      <c r="H17" s="20">
        <f>SUM('1st Qtr'!H17, '2nd Qtr'!H17, '3rd Qtr'!H17, '4th Qtr'!H17)</f>
        <v>105302.9</v>
      </c>
      <c r="I17" s="19" t="str">
        <f t="shared" si="5"/>
        <v/>
      </c>
    </row>
    <row r="18" spans="1:9" ht="12.75" customHeight="1">
      <c r="A18" s="12" t="str">
        <v>Norton</v>
      </c>
      <c r="B18" s="9" t="str">
        <v>MA</v>
      </c>
      <c r="C18" s="24">
        <f>SUM('1st Qtr'!C18, '2nd Qtr'!C18, '3rd Qtr'!C18, '4th Qtr'!C18)</f>
        <v>1131395.4998781048</v>
      </c>
      <c r="D18" s="13">
        <f>SUM('1st Qtr'!D18, '2nd Qtr'!D18, '3rd Qtr'!D18, '4th Qtr'!D18)</f>
        <v>2337599.2000000002</v>
      </c>
      <c r="E18" s="13">
        <f t="shared" si="3"/>
        <v>-1206203.7001218954</v>
      </c>
      <c r="F18" s="14">
        <f t="shared" si="4"/>
        <v>-0.51600107500117864</v>
      </c>
      <c r="G18" s="15">
        <f>SUM('1st Qtr'!G18, '2nd Qtr'!G18, '3rd Qtr'!G18, '4th Qtr'!G18)</f>
        <v>2887403.9000000004</v>
      </c>
      <c r="H18" s="15">
        <f>SUM('1st Qtr'!H18, '2nd Qtr'!H18, '3rd Qtr'!H18, '4th Qtr'!H18)</f>
        <v>-1756008.4001218951</v>
      </c>
      <c r="I18" s="16">
        <f t="shared" si="5"/>
        <v>-0.60816167773476193</v>
      </c>
    </row>
    <row r="19" spans="1:9" ht="15.6">
      <c r="A19" s="17" t="str">
        <v>Palmer - Boston Rd.</v>
      </c>
      <c r="B19" s="10" t="str">
        <v>MA</v>
      </c>
      <c r="C19" s="18">
        <f>SUM('1st Qtr'!C19, '2nd Qtr'!C19, '3rd Qtr'!C19, '4th Qtr'!C19)</f>
        <v>742071</v>
      </c>
      <c r="D19" s="18">
        <f>SUM('1st Qtr'!D19, '2nd Qtr'!D19, '3rd Qtr'!D19, '4th Qtr'!D19)</f>
        <v>733613.45</v>
      </c>
      <c r="E19" s="18">
        <f t="shared" si="3"/>
        <v>8457.5500000000466</v>
      </c>
      <c r="F19" s="19">
        <f t="shared" si="4"/>
        <v>1.152861905680716E-2</v>
      </c>
      <c r="G19" s="20">
        <f>SUM('1st Qtr'!G19, '2nd Qtr'!G19, '3rd Qtr'!G19, '4th Qtr'!G19)</f>
        <v>799467</v>
      </c>
      <c r="H19" s="20">
        <f>SUM('1st Qtr'!H19, '2nd Qtr'!H19, '3rd Qtr'!H19, '4th Qtr'!H19)</f>
        <v>-57396</v>
      </c>
      <c r="I19" s="19">
        <f t="shared" si="5"/>
        <v>-7.1792831974302876E-2</v>
      </c>
    </row>
    <row r="20" spans="1:9" ht="15.6">
      <c r="A20" s="12" t="str">
        <v>Shirley Bartkus</v>
      </c>
      <c r="B20" s="9" t="str">
        <v>MA</v>
      </c>
      <c r="C20" s="24">
        <f>SUM('1st Qtr'!C20, '2nd Qtr'!C20, '3rd Qtr'!C20, '4th Qtr'!C20)</f>
        <v>1086659.0577756381</v>
      </c>
      <c r="D20" s="13">
        <f>SUM('1st Qtr'!D20, '2nd Qtr'!D20, '3rd Qtr'!D20, '4th Qtr'!D20)</f>
        <v>1249226.1000000001</v>
      </c>
      <c r="E20" s="13">
        <f t="shared" ref="E20:E40" si="6">IF(AND(ISNUMBER(C20),ISNUMBER(D20)), C20-D20, "")</f>
        <v>-162567.04222436203</v>
      </c>
      <c r="F20" s="14">
        <f t="shared" ref="F20:F40" si="7">IFERROR(E20/D20, "")</f>
        <v>-0.13013420246692092</v>
      </c>
      <c r="G20" s="15">
        <f>SUM('1st Qtr'!G20, '2nd Qtr'!G20, '3rd Qtr'!G20, '4th Qtr'!G20)</f>
        <v>1140442</v>
      </c>
      <c r="H20" s="15">
        <f>SUM('1st Qtr'!H20, '2nd Qtr'!H20, '3rd Qtr'!H20, '4th Qtr'!H20)</f>
        <v>-154432.9422243619</v>
      </c>
      <c r="I20" s="16">
        <f t="shared" ref="I20:I40" si="8">IFERROR(H20/G20, "")</f>
        <v>-0.1354149901743025</v>
      </c>
    </row>
    <row r="21" spans="1:9" ht="15.6">
      <c r="A21" s="17" t="str">
        <v>Stoughton</v>
      </c>
      <c r="B21" s="10" t="str">
        <v>MA</v>
      </c>
      <c r="C21" s="18">
        <f>SUM('1st Qtr'!C21, '2nd Qtr'!C21, '3rd Qtr'!C21, '4th Qtr'!C21)</f>
        <v>968849</v>
      </c>
      <c r="D21" s="18">
        <f>SUM('1st Qtr'!D21, '2nd Qtr'!D21, '3rd Qtr'!D21, '4th Qtr'!D21)</f>
        <v>621566.26</v>
      </c>
      <c r="E21" s="18">
        <f t="shared" si="6"/>
        <v>347282.74</v>
      </c>
      <c r="F21" s="19">
        <f t="shared" si="7"/>
        <v>0.55872199369380182</v>
      </c>
      <c r="G21" s="20">
        <f>SUM('1st Qtr'!G21, '2nd Qtr'!G21, '3rd Qtr'!G21, '4th Qtr'!G21)</f>
        <v>953778.47</v>
      </c>
      <c r="H21" s="20">
        <f>SUM('1st Qtr'!H21, '2nd Qtr'!H21, '3rd Qtr'!H21, '4th Qtr'!H21)</f>
        <v>15070.530000000006</v>
      </c>
      <c r="I21" s="19">
        <f t="shared" si="8"/>
        <v>1.5800870405472674E-2</v>
      </c>
    </row>
    <row r="22" spans="1:9" ht="15.6">
      <c r="A22" s="12" t="str">
        <v>Wellfleet Landfill</v>
      </c>
      <c r="B22" s="9" t="str">
        <v>MA</v>
      </c>
      <c r="C22" s="24">
        <f>SUM('1st Qtr'!C22, '2nd Qtr'!C22, '3rd Qtr'!C22, '4th Qtr'!C22)</f>
        <v>1194655.165</v>
      </c>
      <c r="D22" s="13">
        <f>SUM('1st Qtr'!D22, '2nd Qtr'!D22, '3rd Qtr'!D22, '4th Qtr'!D22)</f>
        <v>1227366.6380000003</v>
      </c>
      <c r="E22" s="13">
        <f t="shared" si="6"/>
        <v>-32711.473000000231</v>
      </c>
      <c r="F22" s="14">
        <f t="shared" si="7"/>
        <v>-2.6651753426591204E-2</v>
      </c>
      <c r="G22" s="15">
        <f>SUM('1st Qtr'!G22, '2nd Qtr'!G22, '3rd Qtr'!G22, '4th Qtr'!G22)</f>
        <v>0</v>
      </c>
      <c r="H22" s="15">
        <f>SUM('1st Qtr'!H22, '2nd Qtr'!H22, '3rd Qtr'!H22, '4th Qtr'!H22)</f>
        <v>210714</v>
      </c>
      <c r="I22" s="16" t="str">
        <f t="shared" si="8"/>
        <v/>
      </c>
    </row>
    <row r="23" spans="1:9" ht="15.6">
      <c r="A23" s="17" t="str">
        <v>Wilmington Garage &amp; Building 7</v>
      </c>
      <c r="B23" s="10" t="str">
        <v>MA</v>
      </c>
      <c r="C23" s="18">
        <f>SUM('1st Qtr'!C23, '2nd Qtr'!C23, '3rd Qtr'!C23, '4th Qtr'!C23)</f>
        <v>1226248.375</v>
      </c>
      <c r="D23" s="18">
        <f>SUM('1st Qtr'!D23, '2nd Qtr'!D23, '3rd Qtr'!D23, '4th Qtr'!D23)</f>
        <v>1436014.88</v>
      </c>
      <c r="E23" s="18">
        <f t="shared" si="6"/>
        <v>-209766.50499999989</v>
      </c>
      <c r="F23" s="19">
        <f t="shared" si="7"/>
        <v>-0.14607543969182263</v>
      </c>
      <c r="G23" s="20">
        <f>SUM('1st Qtr'!G23, '2nd Qtr'!G23, '3rd Qtr'!G23, '4th Qtr'!G23)</f>
        <v>1451668.71</v>
      </c>
      <c r="H23" s="20">
        <f>SUM('1st Qtr'!H23, '2nd Qtr'!H23, '3rd Qtr'!H23, '4th Qtr'!H23)</f>
        <v>-225420.33499999999</v>
      </c>
      <c r="I23" s="19">
        <f t="shared" si="8"/>
        <v>-0.15528359428509</v>
      </c>
    </row>
    <row r="24" spans="1:9" ht="15.6">
      <c r="A24" s="12" t="str">
        <v>Woburn</v>
      </c>
      <c r="B24" s="9" t="str">
        <v>MA</v>
      </c>
      <c r="C24" s="24">
        <f>SUM('1st Qtr'!C24, '2nd Qtr'!C24, '3rd Qtr'!C24, '4th Qtr'!C24)</f>
        <v>1976585.5</v>
      </c>
      <c r="D24" s="13">
        <f>SUM('1st Qtr'!D24, '2nd Qtr'!D24, '3rd Qtr'!D24, '4th Qtr'!D24)</f>
        <v>2160120.9</v>
      </c>
      <c r="E24" s="13">
        <f t="shared" si="6"/>
        <v>-183535.39999999991</v>
      </c>
      <c r="F24" s="14">
        <f t="shared" si="7"/>
        <v>-8.4965336893874741E-2</v>
      </c>
      <c r="G24" s="15">
        <f>SUM('1st Qtr'!G24, '2nd Qtr'!G24, '3rd Qtr'!G24, '4th Qtr'!G24)</f>
        <v>2085004.8499999999</v>
      </c>
      <c r="H24" s="15">
        <f>SUM('1st Qtr'!H24, '2nd Qtr'!H24, '3rd Qtr'!H24, '4th Qtr'!H24)</f>
        <v>-108419.35000000003</v>
      </c>
      <c r="I24" s="16">
        <f t="shared" si="8"/>
        <v>-5.1999567291174428E-2</v>
      </c>
    </row>
    <row r="25" spans="1:9" ht="15.6">
      <c r="A25" s="17" t="str">
        <v>Friendship Solar 1</v>
      </c>
      <c r="B25" s="10" t="str">
        <v>MD</v>
      </c>
      <c r="C25" s="18">
        <f>SUM('1st Qtr'!C25, '2nd Qtr'!C25, '3rd Qtr'!C25, '4th Qtr'!C25)</f>
        <v>4395043</v>
      </c>
      <c r="D25" s="18">
        <f>SUM('1st Qtr'!D25, '2nd Qtr'!D25, '3rd Qtr'!D25, '4th Qtr'!D25)</f>
        <v>4591372.3</v>
      </c>
      <c r="E25" s="18">
        <f t="shared" si="6"/>
        <v>-196329.29999999981</v>
      </c>
      <c r="F25" s="19">
        <f t="shared" si="7"/>
        <v>-4.2760483614016624E-2</v>
      </c>
      <c r="G25" s="20">
        <f>SUM('1st Qtr'!G25, '2nd Qtr'!G25, '3rd Qtr'!G25, '4th Qtr'!G25)</f>
        <v>5041288.8</v>
      </c>
      <c r="H25" s="20">
        <f>SUM('1st Qtr'!H25, '2nd Qtr'!H25, '3rd Qtr'!H25, '4th Qtr'!H25)</f>
        <v>-646245.79999999993</v>
      </c>
      <c r="I25" s="19">
        <f t="shared" si="8"/>
        <v>-0.12819059284998707</v>
      </c>
    </row>
    <row r="26" spans="1:9" ht="15.6">
      <c r="A26" s="12" t="str">
        <v>Friendship Solar 2</v>
      </c>
      <c r="B26" s="9" t="str">
        <v>MD</v>
      </c>
      <c r="C26" s="24">
        <f>SUM('1st Qtr'!C26, '2nd Qtr'!C26, '3rd Qtr'!C26, '4th Qtr'!C26)</f>
        <v>4298994</v>
      </c>
      <c r="D26" s="13">
        <f>SUM('1st Qtr'!D26, '2nd Qtr'!D26, '3rd Qtr'!D26, '4th Qtr'!D26)</f>
        <v>4657246.0999999996</v>
      </c>
      <c r="E26" s="13">
        <f t="shared" si="6"/>
        <v>-358252.09999999963</v>
      </c>
      <c r="F26" s="14">
        <f t="shared" si="7"/>
        <v>-7.692359224907605E-2</v>
      </c>
      <c r="G26" s="15">
        <f>SUM('1st Qtr'!G26, '2nd Qtr'!G26, '3rd Qtr'!G26, '4th Qtr'!G26)</f>
        <v>4992319.4000000004</v>
      </c>
      <c r="H26" s="15">
        <f>SUM('1st Qtr'!H26, '2nd Qtr'!H26, '3rd Qtr'!H26, '4th Qtr'!H26)</f>
        <v>-693325.39999999991</v>
      </c>
      <c r="I26" s="16">
        <f t="shared" si="8"/>
        <v>-0.13887841390917413</v>
      </c>
    </row>
    <row r="27" spans="1:9" ht="15.6">
      <c r="A27" s="17" t="str">
        <v>101 Carnegie Center</v>
      </c>
      <c r="B27" s="10" t="str">
        <v>NJ</v>
      </c>
      <c r="C27" s="18">
        <f>SUM('1st Qtr'!C27, '2nd Qtr'!C27, '3rd Qtr'!C27, '4th Qtr'!C27)</f>
        <v>351305.72399999999</v>
      </c>
      <c r="D27" s="18">
        <f>SUM('1st Qtr'!D27, '2nd Qtr'!D27, '3rd Qtr'!D27, '4th Qtr'!D27)</f>
        <v>425581.31799999997</v>
      </c>
      <c r="E27" s="18">
        <f t="shared" si="6"/>
        <v>-74275.593999999983</v>
      </c>
      <c r="F27" s="19">
        <f t="shared" si="7"/>
        <v>-0.17452738374197146</v>
      </c>
      <c r="G27" s="20">
        <f>SUM('1st Qtr'!G27, '2nd Qtr'!G27, '3rd Qtr'!G27, '4th Qtr'!G27)</f>
        <v>0</v>
      </c>
      <c r="H27" s="20">
        <f>SUM('1st Qtr'!H27, '2nd Qtr'!H27, '3rd Qtr'!H27, '4th Qtr'!H27)</f>
        <v>342707.35399999999</v>
      </c>
      <c r="I27" s="19" t="str">
        <f t="shared" si="8"/>
        <v/>
      </c>
    </row>
    <row r="28" spans="1:9" ht="15.6">
      <c r="A28" s="12" t="str">
        <v>302 Carnegie Center</v>
      </c>
      <c r="B28" s="9" t="str">
        <v>NJ</v>
      </c>
      <c r="C28" s="24">
        <f>SUM('1st Qtr'!C28, '2nd Qtr'!C28, '3rd Qtr'!C28, '4th Qtr'!C28)</f>
        <v>769769.14099999995</v>
      </c>
      <c r="D28" s="13">
        <f>SUM('1st Qtr'!D28, '2nd Qtr'!D28, '3rd Qtr'!D28, '4th Qtr'!D28)</f>
        <v>794898.42899999989</v>
      </c>
      <c r="E28" s="13">
        <f t="shared" si="6"/>
        <v>-25129.287999999942</v>
      </c>
      <c r="F28" s="14">
        <f t="shared" si="7"/>
        <v>-3.1613206270407597E-2</v>
      </c>
      <c r="G28" s="15">
        <f>SUM('1st Qtr'!G28, '2nd Qtr'!G28, '3rd Qtr'!G28, '4th Qtr'!G28)</f>
        <v>0</v>
      </c>
      <c r="H28" s="15">
        <f>SUM('1st Qtr'!H28, '2nd Qtr'!H28, '3rd Qtr'!H28, '4th Qtr'!H28)</f>
        <v>152769.52399999998</v>
      </c>
      <c r="I28" s="16" t="str">
        <f t="shared" si="8"/>
        <v/>
      </c>
    </row>
    <row r="29" spans="1:9" ht="15.6">
      <c r="A29" s="17" t="str">
        <v>510 Carnegie Center</v>
      </c>
      <c r="B29" s="10" t="str">
        <v>NJ</v>
      </c>
      <c r="C29" s="18">
        <f>SUM('1st Qtr'!C29, '2nd Qtr'!C29, '3rd Qtr'!C29, '4th Qtr'!C29)</f>
        <v>1947860.3859999997</v>
      </c>
      <c r="D29" s="18">
        <f>SUM('1st Qtr'!D29, '2nd Qtr'!D29, '3rd Qtr'!D29, '4th Qtr'!D29)</f>
        <v>2131712.7349999999</v>
      </c>
      <c r="E29" s="18">
        <f t="shared" si="6"/>
        <v>-183852.34900000016</v>
      </c>
      <c r="F29" s="19">
        <f t="shared" si="7"/>
        <v>-8.6246306071817019E-2</v>
      </c>
      <c r="G29" s="20">
        <f>SUM('1st Qtr'!G29, '2nd Qtr'!G29, '3rd Qtr'!G29, '4th Qtr'!G29)</f>
        <v>0</v>
      </c>
      <c r="H29" s="20">
        <f>SUM('1st Qtr'!H29, '2nd Qtr'!H29, '3rd Qtr'!H29, '4th Qtr'!H29)</f>
        <v>366376.853</v>
      </c>
      <c r="I29" s="19" t="str">
        <f t="shared" si="8"/>
        <v/>
      </c>
    </row>
    <row r="30" spans="1:9" ht="15.6">
      <c r="A30" s="12" t="str">
        <v>701 Carnegie Center</v>
      </c>
      <c r="B30" s="9" t="str">
        <v>NJ</v>
      </c>
      <c r="C30" s="24">
        <f>SUM('1st Qtr'!C30, '2nd Qtr'!C30, '3rd Qtr'!C30, '4th Qtr'!C30)</f>
        <v>1535988.7869999988</v>
      </c>
      <c r="D30" s="13">
        <f>SUM('1st Qtr'!D30, '2nd Qtr'!D30, '3rd Qtr'!D30, '4th Qtr'!D30)</f>
        <v>1728080.8539999998</v>
      </c>
      <c r="E30" s="13">
        <f t="shared" si="6"/>
        <v>-192092.06700000097</v>
      </c>
      <c r="F30" s="14">
        <f t="shared" si="7"/>
        <v>-0.1111591894299183</v>
      </c>
      <c r="G30" s="15">
        <f>SUM('1st Qtr'!G30, '2nd Qtr'!G30, '3rd Qtr'!G30, '4th Qtr'!G30)</f>
        <v>105955.3</v>
      </c>
      <c r="H30" s="15">
        <f>SUM('1st Qtr'!H30, '2nd Qtr'!H30, '3rd Qtr'!H30, '4th Qtr'!H30)</f>
        <v>256450.3149999989</v>
      </c>
      <c r="I30" s="16">
        <f t="shared" si="8"/>
        <v>2.4203632569583484</v>
      </c>
    </row>
    <row r="31" spans="1:9" ht="15.6">
      <c r="A31" s="17" t="str">
        <v>Hudson County Correction</v>
      </c>
      <c r="B31" s="10" t="str">
        <v>NJ</v>
      </c>
      <c r="C31" s="18">
        <f>SUM('1st Qtr'!C31, '2nd Qtr'!C31, '3rd Qtr'!C31, '4th Qtr'!C31)</f>
        <v>1974450.5360096998</v>
      </c>
      <c r="D31" s="18">
        <f>SUM('1st Qtr'!D31, '2nd Qtr'!D31, '3rd Qtr'!D31, '4th Qtr'!D31)</f>
        <v>1903076.38</v>
      </c>
      <c r="E31" s="18">
        <f t="shared" si="6"/>
        <v>71374.156009699916</v>
      </c>
      <c r="F31" s="19">
        <f t="shared" si="7"/>
        <v>3.7504619761872048E-2</v>
      </c>
      <c r="G31" s="20">
        <f>SUM('1st Qtr'!G31, '2nd Qtr'!G31, '3rd Qtr'!G31, '4th Qtr'!G31)</f>
        <v>2128642.61</v>
      </c>
      <c r="H31" s="20">
        <f>SUM('1st Qtr'!H31, '2nd Qtr'!H31, '3rd Qtr'!H31, '4th Qtr'!H31)</f>
        <v>-154192.07399030009</v>
      </c>
      <c r="I31" s="19">
        <f t="shared" si="8"/>
        <v>-7.2436807036527426E-2</v>
      </c>
    </row>
    <row r="32" spans="1:9" ht="15.6">
      <c r="A32" s="12" t="str">
        <v>ER Bison Solar</v>
      </c>
      <c r="B32" s="9" t="str">
        <v>PA</v>
      </c>
      <c r="C32" s="24">
        <f>SUM('1st Qtr'!C32, '2nd Qtr'!C32, '3rd Qtr'!C32, '4th Qtr'!C32)</f>
        <v>2065979.1</v>
      </c>
      <c r="D32" s="13">
        <f>SUM('1st Qtr'!D32, '2nd Qtr'!D32, '3rd Qtr'!D32, '4th Qtr'!D32)</f>
        <v>200043.6</v>
      </c>
      <c r="E32" s="13">
        <f t="shared" si="6"/>
        <v>1865935.5</v>
      </c>
      <c r="F32" s="14">
        <f t="shared" si="7"/>
        <v>9.3276440735919568</v>
      </c>
      <c r="G32" s="15">
        <f>SUM('1st Qtr'!G32, '2nd Qtr'!G32, '3rd Qtr'!G32, '4th Qtr'!G32)</f>
        <v>2102755</v>
      </c>
      <c r="H32" s="15">
        <f>SUM('1st Qtr'!H32, '2nd Qtr'!H32, '3rd Qtr'!H32, '4th Qtr'!H32)</f>
        <v>-146414</v>
      </c>
      <c r="I32" s="16">
        <f t="shared" si="8"/>
        <v>-6.9629604970621872E-2</v>
      </c>
    </row>
    <row r="33" spans="1:9" ht="15.6">
      <c r="A33" s="17" t="str">
        <v>Danville</v>
      </c>
      <c r="B33" s="10" t="str">
        <v>IL</v>
      </c>
      <c r="C33" s="18">
        <f>SUM('1st Qtr'!C33, '2nd Qtr'!C33, '3rd Qtr'!C33, '4th Qtr'!C33)</f>
        <v>3631876.6029999997</v>
      </c>
      <c r="D33" s="18">
        <f>SUM('1st Qtr'!D33, '2nd Qtr'!D33, '3rd Qtr'!D33, '4th Qtr'!D33)</f>
        <v>164704.397</v>
      </c>
      <c r="E33" s="18">
        <f t="shared" si="6"/>
        <v>3467172.2059999998</v>
      </c>
      <c r="F33" s="19">
        <f t="shared" si="7"/>
        <v>21.050878234902253</v>
      </c>
      <c r="G33" s="20">
        <f>SUM('1st Qtr'!G33, '2nd Qtr'!G33, '3rd Qtr'!G33, '4th Qtr'!G33)</f>
        <v>212713.8</v>
      </c>
      <c r="H33" s="20">
        <f>SUM('1st Qtr'!H33, '2nd Qtr'!H33, '3rd Qtr'!H33, '4th Qtr'!H33)</f>
        <v>681307.92999999993</v>
      </c>
      <c r="I33" s="19">
        <f t="shared" si="8"/>
        <v>3.2029324378578163</v>
      </c>
    </row>
    <row r="34" spans="1:9" ht="15.6">
      <c r="A34" s="12" t="str">
        <v>Camden - Campbell Soup HQ</v>
      </c>
      <c r="B34" s="9" t="str">
        <v>NJ</v>
      </c>
      <c r="C34" s="24">
        <f>SUM('1st Qtr'!C34, '2nd Qtr'!C34, '3rd Qtr'!C34, '4th Qtr'!C34)</f>
        <v>3151135</v>
      </c>
      <c r="D34" s="13">
        <f>SUM('1st Qtr'!D34, '2nd Qtr'!D34, '3rd Qtr'!D34, '4th Qtr'!D34)</f>
        <v>5072395.8860299634</v>
      </c>
      <c r="E34" s="13">
        <f t="shared" si="6"/>
        <v>-1921260.8860299634</v>
      </c>
      <c r="F34" s="14">
        <f t="shared" si="7"/>
        <v>-0.37876792923860009</v>
      </c>
      <c r="G34" s="15">
        <f>SUM('1st Qtr'!G34, '2nd Qtr'!G34, '3rd Qtr'!G34, '4th Qtr'!G34)</f>
        <v>5335099.97</v>
      </c>
      <c r="H34" s="15">
        <f>SUM('1st Qtr'!H34, '2nd Qtr'!H34, '3rd Qtr'!H34, '4th Qtr'!H34)</f>
        <v>-2183964.9699999997</v>
      </c>
      <c r="I34" s="16">
        <f t="shared" si="8"/>
        <v>-0.40935783439499446</v>
      </c>
    </row>
    <row r="35" spans="1:9" ht="15.6">
      <c r="A35" s="17" t="str">
        <v>Westport - Pine Hill</v>
      </c>
      <c r="B35" s="10" t="str">
        <v>MA</v>
      </c>
      <c r="C35" s="18">
        <f>SUM('1st Qtr'!C35, '2nd Qtr'!C35, '3rd Qtr'!C35, '4th Qtr'!C35)</f>
        <v>5141600.3210998671</v>
      </c>
      <c r="D35" s="18">
        <f>SUM('1st Qtr'!D35, '2nd Qtr'!D35, '3rd Qtr'!D35, '4th Qtr'!D35)</f>
        <v>928775.7</v>
      </c>
      <c r="E35" s="18">
        <f t="shared" si="6"/>
        <v>4212824.6210998669</v>
      </c>
      <c r="F35" s="19">
        <f t="shared" si="7"/>
        <v>4.5358902274250577</v>
      </c>
      <c r="G35" s="20">
        <f>SUM('1st Qtr'!G35, '2nd Qtr'!G35, '3rd Qtr'!G35, '4th Qtr'!G35)</f>
        <v>5597819.4199999999</v>
      </c>
      <c r="H35" s="20">
        <f>SUM('1st Qtr'!H35, '2nd Qtr'!H35, '3rd Qtr'!H35, '4th Qtr'!H35)</f>
        <v>-624390.09890013305</v>
      </c>
      <c r="I35" s="19">
        <f t="shared" si="8"/>
        <v>-0.11154166507574356</v>
      </c>
    </row>
    <row r="36" spans="1:9" ht="15.6">
      <c r="A36" s="12" t="str">
        <v>Oaks Landfill - ANEM</v>
      </c>
      <c r="B36" s="9" t="str">
        <v>MD</v>
      </c>
      <c r="C36" s="24">
        <f>SUM('1st Qtr'!C36, '2nd Qtr'!C36, '3rd Qtr'!C36, '4th Qtr'!C36)</f>
        <v>3558356.1259999997</v>
      </c>
      <c r="D36" s="13">
        <f>SUM('1st Qtr'!D36, '2nd Qtr'!D36, '3rd Qtr'!D36, '4th Qtr'!D36)</f>
        <v>4061960.9174000002</v>
      </c>
      <c r="E36" s="13">
        <f t="shared" si="6"/>
        <v>-503604.79140000045</v>
      </c>
      <c r="F36" s="14">
        <f t="shared" si="7"/>
        <v>-0.12398070824432016</v>
      </c>
      <c r="G36" s="15">
        <f>SUM('1st Qtr'!G36, '2nd Qtr'!G36, '3rd Qtr'!G36, '4th Qtr'!G36)</f>
        <v>0</v>
      </c>
      <c r="H36" s="15">
        <f>SUM('1st Qtr'!H36, '2nd Qtr'!H36, '3rd Qtr'!H36, '4th Qtr'!H36)</f>
        <v>573344.30000000005</v>
      </c>
      <c r="I36" s="16" t="str">
        <f t="shared" si="8"/>
        <v/>
      </c>
    </row>
    <row r="37" spans="1:9" ht="15.6">
      <c r="A37" s="17" t="str">
        <v>Oaks Landfill - CS2</v>
      </c>
      <c r="B37" s="10" t="str">
        <v>MD</v>
      </c>
      <c r="C37" s="18">
        <f>SUM('1st Qtr'!C37, '2nd Qtr'!C37, '3rd Qtr'!C37, '4th Qtr'!C37)</f>
        <v>3574158.469</v>
      </c>
      <c r="D37" s="18">
        <f>SUM('1st Qtr'!D37, '2nd Qtr'!D37, '3rd Qtr'!D37, '4th Qtr'!D37)</f>
        <v>4118236.9989999998</v>
      </c>
      <c r="E37" s="18">
        <f t="shared" si="6"/>
        <v>-544078.5299999998</v>
      </c>
      <c r="F37" s="19">
        <f t="shared" si="7"/>
        <v>-0.13211442909480786</v>
      </c>
      <c r="G37" s="20">
        <f>SUM('1st Qtr'!G37, '2nd Qtr'!G37, '3rd Qtr'!G37, '4th Qtr'!G37)</f>
        <v>0</v>
      </c>
      <c r="H37" s="20">
        <f>SUM('1st Qtr'!H37, '2nd Qtr'!H37, '3rd Qtr'!H37, '4th Qtr'!H37)</f>
        <v>560672.30000000005</v>
      </c>
      <c r="I37" s="19" t="str">
        <f t="shared" si="8"/>
        <v/>
      </c>
    </row>
    <row r="38" spans="1:9" ht="15.6">
      <c r="A38" s="12" t="str">
        <v>Oaks Landfill - CS1</v>
      </c>
      <c r="B38" s="9" t="str">
        <v>MD</v>
      </c>
      <c r="C38" s="24">
        <f>SUM('1st Qtr'!C38, '2nd Qtr'!C38, '3rd Qtr'!C38, '4th Qtr'!C38)</f>
        <v>3459538.9747988</v>
      </c>
      <c r="D38" s="13">
        <f>SUM('1st Qtr'!D38, '2nd Qtr'!D38, '3rd Qtr'!D38, '4th Qtr'!D38)</f>
        <v>3901749.7966745999</v>
      </c>
      <c r="E38" s="13">
        <f t="shared" si="6"/>
        <v>-442210.82187579991</v>
      </c>
      <c r="F38" s="14">
        <f t="shared" si="7"/>
        <v>-0.11333653999359192</v>
      </c>
      <c r="G38" s="15">
        <f>SUM('1st Qtr'!G38, '2nd Qtr'!G38, '3rd Qtr'!G38, '4th Qtr'!G38)</f>
        <v>270.866129</v>
      </c>
      <c r="H38" s="15">
        <f>SUM('1st Qtr'!H38, '2nd Qtr'!H38, '3rd Qtr'!H38, '4th Qtr'!H38)</f>
        <v>584041.21666979999</v>
      </c>
      <c r="I38" s="16">
        <f t="shared" si="8"/>
        <v>2156.1987791755241</v>
      </c>
    </row>
    <row r="39" spans="1:9" ht="15.6">
      <c r="A39" s="17" t="str">
        <v>Plympton - Upland Solar - PV &amp; BESS (IRA)</v>
      </c>
      <c r="B39" s="10" t="str">
        <v>MA</v>
      </c>
      <c r="C39" s="18">
        <f>SUM('1st Qtr'!C39, '2nd Qtr'!C39, '3rd Qtr'!C39, '4th Qtr'!C39)</f>
        <v>4452344</v>
      </c>
      <c r="D39" s="18">
        <f>SUM('1st Qtr'!D39, '2nd Qtr'!D39, '3rd Qtr'!D39, '4th Qtr'!D39)</f>
        <v>5021828.7630000003</v>
      </c>
      <c r="E39" s="18">
        <f t="shared" si="6"/>
        <v>-569484.76300000027</v>
      </c>
      <c r="F39" s="19">
        <f t="shared" si="7"/>
        <v>-0.1134018680994998</v>
      </c>
      <c r="G39" s="20">
        <f>SUM('1st Qtr'!G39, '2nd Qtr'!G39, '3rd Qtr'!G39, '4th Qtr'!G39)</f>
        <v>4424719.6900000004</v>
      </c>
      <c r="H39" s="20">
        <f>SUM('1st Qtr'!H39, '2nd Qtr'!H39, '3rd Qtr'!H39, '4th Qtr'!H39)</f>
        <v>27624.310000000056</v>
      </c>
      <c r="I39" s="19">
        <f t="shared" si="8"/>
        <v>6.2431774067929838E-3</v>
      </c>
    </row>
    <row r="40" spans="1:9" ht="15.6">
      <c r="A40" s="12" t="str">
        <v>MA: Plymouth - Black Cat Solar - PV &amp; BESS (IRA)</v>
      </c>
      <c r="B40" s="9" t="str">
        <v>MA</v>
      </c>
      <c r="C40" s="24">
        <f>SUM('1st Qtr'!C40, '2nd Qtr'!C40, '3rd Qtr'!C40, '4th Qtr'!C40)</f>
        <v>188537.44</v>
      </c>
      <c r="D40" s="13">
        <f>SUM('1st Qtr'!D40, '2nd Qtr'!D40, '3rd Qtr'!D40, '4th Qtr'!D40)</f>
        <v>206856.84000000003</v>
      </c>
      <c r="E40" s="13">
        <f t="shared" si="6"/>
        <v>-18319.400000000023</v>
      </c>
      <c r="F40" s="14">
        <f t="shared" si="7"/>
        <v>-8.8560765019904689E-2</v>
      </c>
      <c r="G40" s="15">
        <f>SUM('1st Qtr'!G40, '2nd Qtr'!G40, '3rd Qtr'!G40, '4th Qtr'!G40)</f>
        <v>350280</v>
      </c>
      <c r="H40" s="15">
        <f>SUM('1st Qtr'!H40, '2nd Qtr'!H40, '3rd Qtr'!H40, '4th Qtr'!H40)</f>
        <v>-161742.56</v>
      </c>
      <c r="I40" s="16">
        <f t="shared" si="8"/>
        <v>-0.46175219824140684</v>
      </c>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autoFilter ref="A2:I2" xr:uid="{D5C25034-9971-4A61-864F-C938F31EB1B8}"/>
  <mergeCells count="4">
    <mergeCell ref="G1:I1"/>
    <mergeCell ref="A1:C1"/>
    <mergeCell ref="D1:F1"/>
    <mergeCell ref="A2:B2"/>
  </mergeCells>
  <conditionalFormatting sqref="F2 I2 F4:F100 I4:I100">
    <cfRule type="cellIs" dxfId="57" priority="1" stopIfTrue="1" operator="lessThanOrEqual">
      <formula>-0.1</formula>
    </cfRule>
    <cfRule type="expression" dxfId="56"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42"/>
  <sheetViews>
    <sheetView workbookViewId="0">
      <pane xSplit="2" ySplit="3" topLeftCell="C30" activePane="bottomRight" state="frozen"/>
      <selection pane="bottomRight" activeCell="D48" sqref="D48"/>
      <selection pane="bottomLeft" activeCell="K22" sqref="K22"/>
      <selection pane="topRight" activeCell="K22" sqref="K2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7" t="str" cm="1">
        <f t="array" ref="A1">portfolio</f>
        <v>Greenbacker Capital</v>
      </c>
      <c r="B1" s="117"/>
      <c r="C1" s="117"/>
      <c r="D1" s="118" t="s">
        <v>10</v>
      </c>
      <c r="E1" s="118"/>
      <c r="F1" s="118"/>
      <c r="G1" s="116" t="s">
        <v>11</v>
      </c>
      <c r="H1" s="116"/>
      <c r="I1" s="116"/>
    </row>
    <row r="2" spans="1:9" ht="19.5" customHeight="1">
      <c r="A2" s="119" t="s">
        <v>2</v>
      </c>
      <c r="B2" s="119"/>
      <c r="C2" s="5">
        <f>SUM(C4:C100)</f>
        <v>11287095.443184106</v>
      </c>
      <c r="D2" s="5">
        <f>SUM(D4:D100)</f>
        <v>12049918.699900001</v>
      </c>
      <c r="E2" s="5">
        <f>C2-D2</f>
        <v>-762823.25671589561</v>
      </c>
      <c r="F2" s="6">
        <f>IFERROR(E2/D2, 0)</f>
        <v>-6.3305261696265727E-2</v>
      </c>
      <c r="G2" s="5">
        <f>SUM(G4:G100)</f>
        <v>7707275.3299999991</v>
      </c>
      <c r="H2" s="7">
        <f>C2-G2</f>
        <v>3579820.1131841065</v>
      </c>
      <c r="I2" s="6">
        <f>IFERROR(H2/G2, 0)</f>
        <v>0.46447284674649181</v>
      </c>
    </row>
    <row r="3" spans="1:9" ht="14.25" customHeight="1">
      <c r="A3" s="8" t="s">
        <v>3</v>
      </c>
      <c r="B3" s="8" t="s">
        <v>4</v>
      </c>
      <c r="C3" s="23" t="s">
        <v>5</v>
      </c>
      <c r="D3" s="35" t="s">
        <v>6</v>
      </c>
      <c r="E3" s="35" t="s">
        <v>7</v>
      </c>
      <c r="F3" s="36" t="s">
        <v>8</v>
      </c>
      <c r="G3" s="37" t="s">
        <v>9</v>
      </c>
      <c r="H3" s="38" t="s">
        <v>7</v>
      </c>
      <c r="I3" s="39" t="s">
        <v>8</v>
      </c>
    </row>
    <row r="4" spans="1:9" ht="15.6">
      <c r="A4" s="45" t="str" cm="1">
        <f t="array" ref="A4:A40">Sites[Site]</f>
        <v>10 Walpole Park South</v>
      </c>
      <c r="B4" s="9" t="str" cm="1">
        <f t="array" ref="B4:B40">Sites[State]</f>
        <v>MA</v>
      </c>
      <c r="C4" s="24">
        <f>SUM(Jan!C4, Feb!C4, Mar!C4)</f>
        <v>28480.5</v>
      </c>
      <c r="D4" s="13">
        <f>SUM(Jan!D4, Feb!D4, Mar!D4)</f>
        <v>30150.152000000002</v>
      </c>
      <c r="E4" s="13">
        <f>IF(AND(ISNUMBER(C4),ISNUMBER(D4)), C4-D4, "")</f>
        <v>-1669.6520000000019</v>
      </c>
      <c r="F4" s="14">
        <f>IFERROR(E4/D4, "")</f>
        <v>-5.5377896602312376E-2</v>
      </c>
      <c r="G4" s="15">
        <f>SUM(Jan!G4, Feb!G4, Mar!G4)</f>
        <v>30894.78</v>
      </c>
      <c r="H4" s="15">
        <f>SUM(Jan!H4, Feb!H4, Mar!H4)</f>
        <v>-2414.2799999999997</v>
      </c>
      <c r="I4" s="16">
        <f>IFERROR(H4/G4, "")</f>
        <v>-7.8145240069681668E-2</v>
      </c>
    </row>
    <row r="5" spans="1:9" ht="15.6">
      <c r="A5" s="46" t="str">
        <v>15 Walpole Park South</v>
      </c>
      <c r="B5" s="10" t="str">
        <v>MA</v>
      </c>
      <c r="C5" s="11">
        <f>SUM(Jan!C5, Feb!C5, Mar!C5)</f>
        <v>99535.5</v>
      </c>
      <c r="D5" s="18">
        <f>SUM(Jan!D5, Feb!D5, Mar!D5)</f>
        <v>124192.25</v>
      </c>
      <c r="E5" s="18">
        <f t="shared" ref="E5:E15" si="0">IF(AND(ISNUMBER(C5),ISNUMBER(D5)), C5-D5, "")</f>
        <v>-24656.75</v>
      </c>
      <c r="F5" s="19">
        <f>IFERROR(E5/D5, "")</f>
        <v>-0.19853694574339381</v>
      </c>
      <c r="G5" s="20">
        <f>SUM(Jan!G5, Feb!G5, Mar!G5)</f>
        <v>105340.49</v>
      </c>
      <c r="H5" s="20">
        <f>SUM(Jan!H5, Feb!H5, Mar!H5)</f>
        <v>-5804.9900000000052</v>
      </c>
      <c r="I5" s="19">
        <f>IFERROR(H5/G5, "")</f>
        <v>-5.510692042537494E-2</v>
      </c>
    </row>
    <row r="6" spans="1:9" ht="15.6">
      <c r="A6" s="45" t="str">
        <v>19 Walpole Park South</v>
      </c>
      <c r="B6" s="9" t="str">
        <v>MA</v>
      </c>
      <c r="C6" s="24">
        <f>SUM(Jan!C6, Feb!C6, Mar!C6)</f>
        <v>59076.125</v>
      </c>
      <c r="D6" s="13">
        <f>SUM(Jan!D6, Feb!D6, Mar!D6)</f>
        <v>73197.7</v>
      </c>
      <c r="E6" s="13">
        <f t="shared" si="0"/>
        <v>-14121.574999999997</v>
      </c>
      <c r="F6" s="14">
        <f t="shared" ref="F6:F15" si="1">IFERROR(E6/D6, "")</f>
        <v>-0.19292375306874393</v>
      </c>
      <c r="G6" s="15">
        <f>SUM(Jan!G6, Feb!G6, Mar!G6)</f>
        <v>67768.36</v>
      </c>
      <c r="H6" s="15">
        <f>SUM(Jan!H6, Feb!H6, Mar!H6)</f>
        <v>-8692.2350000000024</v>
      </c>
      <c r="I6" s="16">
        <f t="shared" ref="I6:I15" si="2">IFERROR(H6/G6, "")</f>
        <v>-0.1282639125397162</v>
      </c>
    </row>
    <row r="7" spans="1:9" ht="15.6">
      <c r="A7" s="46" t="str">
        <v>23 Walpole Park South</v>
      </c>
      <c r="B7" s="10" t="str">
        <v>MA</v>
      </c>
      <c r="C7" s="11">
        <f>SUM(Jan!C7, Feb!C7, Mar!C7)</f>
        <v>76139</v>
      </c>
      <c r="D7" s="18">
        <f>SUM(Jan!D7, Feb!D7, Mar!D7)</f>
        <v>94797.78</v>
      </c>
      <c r="E7" s="18">
        <f t="shared" si="0"/>
        <v>-18658.78</v>
      </c>
      <c r="F7" s="19">
        <f t="shared" si="1"/>
        <v>-0.19682718308382327</v>
      </c>
      <c r="G7" s="20">
        <f>SUM(Jan!G7, Feb!G7, Mar!G7)</f>
        <v>88133.959999999992</v>
      </c>
      <c r="H7" s="20">
        <f>SUM(Jan!H7, Feb!H7, Mar!H7)</f>
        <v>-11994.96</v>
      </c>
      <c r="I7" s="19">
        <f t="shared" si="2"/>
        <v>-0.1360991835610246</v>
      </c>
    </row>
    <row r="8" spans="1:9" ht="15.6">
      <c r="A8" s="45" t="str">
        <v>24 Walpole Park South</v>
      </c>
      <c r="B8" s="9" t="str">
        <v>MA</v>
      </c>
      <c r="C8" s="24">
        <f>SUM(Jan!C8, Feb!C8, Mar!C8)</f>
        <v>120525.5</v>
      </c>
      <c r="D8" s="13">
        <f>SUM(Jan!D8, Feb!D8, Mar!D8)</f>
        <v>112494.57999999999</v>
      </c>
      <c r="E8" s="13">
        <f t="shared" si="0"/>
        <v>8030.9200000000128</v>
      </c>
      <c r="F8" s="14">
        <f t="shared" si="1"/>
        <v>7.138939493796069E-2</v>
      </c>
      <c r="G8" s="15">
        <f>SUM(Jan!G8, Feb!G8, Mar!G8)</f>
        <v>135652.04</v>
      </c>
      <c r="H8" s="15">
        <f>SUM(Jan!H8, Feb!H8, Mar!H8)</f>
        <v>-15126.540000000008</v>
      </c>
      <c r="I8" s="16">
        <f t="shared" si="2"/>
        <v>-0.11150986008024655</v>
      </c>
    </row>
    <row r="9" spans="1:9" ht="15.6">
      <c r="A9" s="46" t="str">
        <v>25 Walpole Park South</v>
      </c>
      <c r="B9" s="10" t="str">
        <v>MA</v>
      </c>
      <c r="C9" s="11">
        <f>SUM(Jan!C9, Feb!C9, Mar!C9)</f>
        <v>115304.0628019329</v>
      </c>
      <c r="D9" s="18">
        <f>SUM(Jan!D9, Feb!D9, Mar!D9)</f>
        <v>140624.52000000002</v>
      </c>
      <c r="E9" s="18">
        <f t="shared" si="0"/>
        <v>-25320.457198067117</v>
      </c>
      <c r="F9" s="19">
        <f t="shared" si="1"/>
        <v>-0.18005719911482801</v>
      </c>
      <c r="G9" s="20">
        <f>SUM(Jan!G9, Feb!G9, Mar!G9)</f>
        <v>138033.84000000003</v>
      </c>
      <c r="H9" s="20">
        <f>SUM(Jan!H9, Feb!H9, Mar!H9)</f>
        <v>-22729.777198067106</v>
      </c>
      <c r="I9" s="19">
        <f t="shared" si="2"/>
        <v>-0.16466815092637502</v>
      </c>
    </row>
    <row r="10" spans="1:9" ht="15.6">
      <c r="A10" s="45" t="str">
        <v>3 Walpole Park South</v>
      </c>
      <c r="B10" s="9" t="str">
        <v>MA</v>
      </c>
      <c r="C10" s="24">
        <f>SUM(Jan!C10, Feb!C10, Mar!C10)</f>
        <v>142878.6875</v>
      </c>
      <c r="D10" s="13">
        <f>SUM(Jan!D10, Feb!D10, Mar!D10)</f>
        <v>187677.3</v>
      </c>
      <c r="E10" s="13">
        <f t="shared" si="0"/>
        <v>-44798.612499999988</v>
      </c>
      <c r="F10" s="14">
        <f t="shared" si="1"/>
        <v>-0.2387002184068078</v>
      </c>
      <c r="G10" s="15">
        <f>SUM(Jan!G10, Feb!G10, Mar!G10)</f>
        <v>161958.47999999998</v>
      </c>
      <c r="H10" s="15">
        <f>SUM(Jan!H10, Feb!H10, Mar!H10)</f>
        <v>-19079.792500000003</v>
      </c>
      <c r="I10" s="16">
        <f t="shared" si="2"/>
        <v>-0.1178066903319913</v>
      </c>
    </row>
    <row r="11" spans="1:9" ht="15.6">
      <c r="A11" s="46" t="str">
        <v>4 Walpole Park South</v>
      </c>
      <c r="B11" s="10" t="str">
        <v>MA</v>
      </c>
      <c r="C11" s="11">
        <f>SUM(Jan!C11, Feb!C11, Mar!C11)</f>
        <v>86259.5</v>
      </c>
      <c r="D11" s="18">
        <f>SUM(Jan!D11, Feb!D11, Mar!D11)</f>
        <v>108634.01000000001</v>
      </c>
      <c r="E11" s="18">
        <f t="shared" si="0"/>
        <v>-22374.510000000009</v>
      </c>
      <c r="F11" s="19">
        <f t="shared" si="1"/>
        <v>-0.20596229486511644</v>
      </c>
      <c r="G11" s="20">
        <f>SUM(Jan!G11, Feb!G11, Mar!G11)</f>
        <v>92343.57</v>
      </c>
      <c r="H11" s="20">
        <f>SUM(Jan!H11, Feb!H11, Mar!H11)</f>
        <v>-6084.07</v>
      </c>
      <c r="I11" s="19">
        <f t="shared" si="2"/>
        <v>-6.5885150422492864E-2</v>
      </c>
    </row>
    <row r="12" spans="1:9" ht="15.6">
      <c r="A12" s="45" t="str">
        <v>Brockton</v>
      </c>
      <c r="B12" s="9" t="str">
        <v>MA</v>
      </c>
      <c r="C12" s="24">
        <f>SUM(Jan!C12, Feb!C12, Mar!C12)</f>
        <v>149376.5</v>
      </c>
      <c r="D12" s="13">
        <f>SUM(Jan!D12, Feb!D12, Mar!D12)</f>
        <v>153472.93</v>
      </c>
      <c r="E12" s="13">
        <f t="shared" si="0"/>
        <v>-4096.429999999993</v>
      </c>
      <c r="F12" s="14">
        <f t="shared" si="1"/>
        <v>-2.6691547493098575E-2</v>
      </c>
      <c r="G12" s="15">
        <f>SUM(Jan!G12, Feb!G12, Mar!G12)</f>
        <v>153606.26999999999</v>
      </c>
      <c r="H12" s="15">
        <f>SUM(Jan!H12, Feb!H12, Mar!H12)</f>
        <v>-4229.7699999999968</v>
      </c>
      <c r="I12" s="16">
        <f t="shared" si="2"/>
        <v>-2.7536441058037521E-2</v>
      </c>
    </row>
    <row r="13" spans="1:9" ht="15.6">
      <c r="A13" s="46" t="str">
        <v>Canton</v>
      </c>
      <c r="B13" s="10" t="str">
        <v>MA</v>
      </c>
      <c r="C13" s="11">
        <f>SUM(Jan!C13, Feb!C13, Mar!C13)</f>
        <v>135542</v>
      </c>
      <c r="D13" s="18">
        <f>SUM(Jan!D13, Feb!D13, Mar!D13)</f>
        <v>167175.70000000001</v>
      </c>
      <c r="E13" s="18">
        <f t="shared" si="0"/>
        <v>-31633.700000000012</v>
      </c>
      <c r="F13" s="19">
        <f t="shared" si="1"/>
        <v>-0.18922427123080693</v>
      </c>
      <c r="G13" s="20">
        <f>SUM(Jan!G13, Feb!G13, Mar!G13)</f>
        <v>147523.69</v>
      </c>
      <c r="H13" s="20">
        <f>SUM(Jan!H13, Feb!H13, Mar!H13)</f>
        <v>-11981.689999999995</v>
      </c>
      <c r="I13" s="19">
        <f t="shared" si="2"/>
        <v>-8.1218752052636387E-2</v>
      </c>
    </row>
    <row r="14" spans="1:9" ht="15.6">
      <c r="A14" s="45" t="str">
        <v>Chelsea</v>
      </c>
      <c r="B14" s="9" t="str">
        <v>MA</v>
      </c>
      <c r="C14" s="24">
        <f>SUM(Jan!C14, Feb!C14, Mar!C14)</f>
        <v>251627</v>
      </c>
      <c r="D14" s="13">
        <f>SUM(Jan!D14, Feb!D14, Mar!D14)</f>
        <v>284169.8</v>
      </c>
      <c r="E14" s="13">
        <f t="shared" si="0"/>
        <v>-32542.799999999988</v>
      </c>
      <c r="F14" s="14">
        <f t="shared" si="1"/>
        <v>-0.1145188545721607</v>
      </c>
      <c r="G14" s="15">
        <f>SUM(Jan!G14, Feb!G14, Mar!G14)</f>
        <v>247313.41999999998</v>
      </c>
      <c r="H14" s="15">
        <f>SUM(Jan!H14, Feb!H14, Mar!H14)</f>
        <v>4313.5799999999945</v>
      </c>
      <c r="I14" s="16">
        <f t="shared" si="2"/>
        <v>1.7441754677121828E-2</v>
      </c>
    </row>
    <row r="15" spans="1:9" ht="15.6">
      <c r="A15" s="46" t="str">
        <v>Hamilton Landfill</v>
      </c>
      <c r="B15" s="10" t="str">
        <v>MA</v>
      </c>
      <c r="C15" s="11">
        <f>SUM(Jan!C15, Feb!C15, Mar!C15)</f>
        <v>176669.6</v>
      </c>
      <c r="D15" s="18">
        <f>SUM(Jan!D15, Feb!D15, Mar!D15)</f>
        <v>278430</v>
      </c>
      <c r="E15" s="18">
        <f t="shared" si="0"/>
        <v>-101760.4</v>
      </c>
      <c r="F15" s="19">
        <f t="shared" si="1"/>
        <v>-0.36547929461624107</v>
      </c>
      <c r="G15" s="20">
        <f>SUM(Jan!G15, Feb!G15, Mar!G15)</f>
        <v>0</v>
      </c>
      <c r="H15" s="20">
        <f>SUM(Jan!H15, Feb!H15, Mar!H15)</f>
        <v>176669.6</v>
      </c>
      <c r="I15" s="19" t="str">
        <f t="shared" si="2"/>
        <v/>
      </c>
    </row>
    <row r="16" spans="1:9" ht="15.6">
      <c r="A16" s="45" t="str">
        <v>Holliston</v>
      </c>
      <c r="B16" s="9" t="str">
        <v>MA</v>
      </c>
      <c r="C16" s="24">
        <f>SUM(Jan!C16, Feb!C16, Mar!C16)</f>
        <v>329638</v>
      </c>
      <c r="D16" s="13">
        <f>SUM(Jan!D16, Feb!D16, Mar!D16)</f>
        <v>377648.67000000004</v>
      </c>
      <c r="E16" s="13">
        <f t="shared" ref="E16:E18" si="3">IF(AND(ISNUMBER(C16),ISNUMBER(D16)), C16-D16, "")</f>
        <v>-48010.670000000042</v>
      </c>
      <c r="F16" s="14">
        <f t="shared" ref="F16:F18" si="4">IFERROR(E16/D16, "")</f>
        <v>-0.12713051524847166</v>
      </c>
      <c r="G16" s="15">
        <f>SUM(Jan!G16, Feb!G16, Mar!G16)</f>
        <v>392025.68</v>
      </c>
      <c r="H16" s="15">
        <f>SUM(Jan!H16, Feb!H16, Mar!H16)</f>
        <v>-62387.679999999993</v>
      </c>
      <c r="I16" s="16">
        <f t="shared" ref="I16:I18" si="5">IFERROR(H16/G16, "")</f>
        <v>-0.15914181948488679</v>
      </c>
    </row>
    <row r="17" spans="1:9" ht="15.6">
      <c r="A17" s="46" t="str">
        <v>Natick HS - Carports</v>
      </c>
      <c r="B17" s="10" t="str">
        <v>MA</v>
      </c>
      <c r="C17" s="11">
        <f>SUM(Jan!C17, Feb!C17, Mar!C17)</f>
        <v>105302.9</v>
      </c>
      <c r="D17" s="18">
        <f>SUM(Jan!D17, Feb!D17, Mar!D17)</f>
        <v>164122.85</v>
      </c>
      <c r="E17" s="18">
        <f t="shared" si="3"/>
        <v>-58819.950000000012</v>
      </c>
      <c r="F17" s="19">
        <f t="shared" si="4"/>
        <v>-0.3583897671774528</v>
      </c>
      <c r="G17" s="20">
        <f>SUM(Jan!G17, Feb!G17, Mar!G17)</f>
        <v>0</v>
      </c>
      <c r="H17" s="20">
        <f>SUM(Jan!H17, Feb!H17, Mar!H17)</f>
        <v>105302.9</v>
      </c>
      <c r="I17" s="19" t="str">
        <f t="shared" si="5"/>
        <v/>
      </c>
    </row>
    <row r="18" spans="1:9" ht="12.75" customHeight="1">
      <c r="A18" s="45" t="str">
        <v>Norton</v>
      </c>
      <c r="B18" s="9" t="str">
        <v>MA</v>
      </c>
      <c r="C18" s="24">
        <f>SUM(Jan!C18, Feb!C18, Mar!C18)</f>
        <v>0</v>
      </c>
      <c r="D18" s="13">
        <f>SUM(Jan!D18, Feb!D18, Mar!D18)</f>
        <v>0</v>
      </c>
      <c r="E18" s="13">
        <f t="shared" si="3"/>
        <v>0</v>
      </c>
      <c r="F18" s="14" t="str">
        <f t="shared" si="4"/>
        <v/>
      </c>
      <c r="G18" s="15">
        <f>SUM(Jan!G18, Feb!G18, Mar!G18)</f>
        <v>0</v>
      </c>
      <c r="H18" s="15">
        <f>SUM(Jan!H18, Feb!H18, Mar!H18)</f>
        <v>0</v>
      </c>
      <c r="I18" s="16" t="str">
        <f t="shared" si="5"/>
        <v/>
      </c>
    </row>
    <row r="19" spans="1:9" ht="15.6">
      <c r="A19" s="46" t="str">
        <v>Palmer - Boston Rd.</v>
      </c>
      <c r="B19" s="10" t="str">
        <v>MA</v>
      </c>
      <c r="C19" s="11">
        <f>SUM(Jan!C19, Feb!C19, Mar!C19)</f>
        <v>143516</v>
      </c>
      <c r="D19" s="18">
        <f>SUM(Jan!D19, Feb!D19, Mar!D19)</f>
        <v>164176.06</v>
      </c>
      <c r="E19" s="18">
        <f t="shared" ref="E19:E40" si="6">IF(AND(ISNUMBER(C19),ISNUMBER(D19)), C19-D19, "")</f>
        <v>-20660.059999999998</v>
      </c>
      <c r="F19" s="19">
        <f t="shared" ref="F19:F40" si="7">IFERROR(E19/D19, "")</f>
        <v>-0.12584088082026088</v>
      </c>
      <c r="G19" s="20">
        <f>SUM(Jan!G19, Feb!G19, Mar!G19)</f>
        <v>177011</v>
      </c>
      <c r="H19" s="20">
        <f>SUM(Jan!H19, Feb!H19, Mar!H19)</f>
        <v>-33495</v>
      </c>
      <c r="I19" s="19">
        <f t="shared" ref="I19:I40" si="8">IFERROR(H19/G19, "")</f>
        <v>-0.18922552835699477</v>
      </c>
    </row>
    <row r="20" spans="1:9" ht="15.6">
      <c r="A20" s="45" t="str">
        <v>Shirley Bartkus</v>
      </c>
      <c r="B20" s="9" t="str">
        <v>MA</v>
      </c>
      <c r="C20" s="24">
        <f>SUM(Jan!C20, Feb!C20, Mar!C20)</f>
        <v>217882.5577756381</v>
      </c>
      <c r="D20" s="13">
        <f>SUM(Jan!D20, Feb!D20, Mar!D20)</f>
        <v>308199.69999999995</v>
      </c>
      <c r="E20" s="13">
        <f t="shared" si="6"/>
        <v>-90317.142224361858</v>
      </c>
      <c r="F20" s="14">
        <f t="shared" si="7"/>
        <v>-0.29304746962557676</v>
      </c>
      <c r="G20" s="15">
        <f>SUM(Jan!G20, Feb!G20, Mar!G20)</f>
        <v>240628</v>
      </c>
      <c r="H20" s="15">
        <f>SUM(Jan!H20, Feb!H20, Mar!H20)</f>
        <v>-22745.442224361897</v>
      </c>
      <c r="I20" s="16">
        <f t="shared" si="8"/>
        <v>-9.4525334642526632E-2</v>
      </c>
    </row>
    <row r="21" spans="1:9" ht="15.6">
      <c r="A21" s="46" t="str">
        <v>Stoughton</v>
      </c>
      <c r="B21" s="10" t="str">
        <v>MA</v>
      </c>
      <c r="C21" s="11">
        <f>SUM(Jan!C21, Feb!C21, Mar!C21)</f>
        <v>171818</v>
      </c>
      <c r="D21" s="18">
        <f>SUM(Jan!D21, Feb!D21, Mar!D21)</f>
        <v>141376.62</v>
      </c>
      <c r="E21" s="18">
        <f t="shared" si="6"/>
        <v>30441.380000000005</v>
      </c>
      <c r="F21" s="19">
        <f t="shared" si="7"/>
        <v>0.21532117545319732</v>
      </c>
      <c r="G21" s="20">
        <f>SUM(Jan!G21, Feb!G21, Mar!G21)</f>
        <v>162931.04999999999</v>
      </c>
      <c r="H21" s="20">
        <f>SUM(Jan!H21, Feb!H21, Mar!H21)</f>
        <v>8886.9499999999971</v>
      </c>
      <c r="I21" s="19">
        <f t="shared" si="8"/>
        <v>5.4544238191554018E-2</v>
      </c>
    </row>
    <row r="22" spans="1:9" ht="15.6">
      <c r="A22" s="45" t="str">
        <v>Wellfleet Landfill</v>
      </c>
      <c r="B22" s="9" t="str">
        <v>MA</v>
      </c>
      <c r="C22" s="24">
        <f>SUM(Jan!C22, Feb!C22, Mar!C22)</f>
        <v>210714</v>
      </c>
      <c r="D22" s="13">
        <f>SUM(Jan!D22, Feb!D22, Mar!D22)</f>
        <v>196967.8</v>
      </c>
      <c r="E22" s="13">
        <f t="shared" si="6"/>
        <v>13746.200000000012</v>
      </c>
      <c r="F22" s="14">
        <f t="shared" si="7"/>
        <v>6.9789072122448503E-2</v>
      </c>
      <c r="G22" s="15">
        <f>SUM(Jan!G22, Feb!G22, Mar!G22)</f>
        <v>0</v>
      </c>
      <c r="H22" s="15">
        <f>SUM(Jan!H22, Feb!H22, Mar!H22)</f>
        <v>210714</v>
      </c>
      <c r="I22" s="16" t="str">
        <f t="shared" si="8"/>
        <v/>
      </c>
    </row>
    <row r="23" spans="1:9" ht="15.6">
      <c r="A23" s="46" t="str">
        <v>Wilmington Garage &amp; Building 7</v>
      </c>
      <c r="B23" s="10" t="str">
        <v>MA</v>
      </c>
      <c r="C23" s="11">
        <f>SUM(Jan!C23, Feb!C23, Mar!C23)</f>
        <v>182135.125</v>
      </c>
      <c r="D23" s="18">
        <f>SUM(Jan!D23, Feb!D23, Mar!D23)</f>
        <v>283219.88</v>
      </c>
      <c r="E23" s="18">
        <f t="shared" si="6"/>
        <v>-101084.755</v>
      </c>
      <c r="F23" s="19">
        <f t="shared" si="7"/>
        <v>-0.35691263974831144</v>
      </c>
      <c r="G23" s="20">
        <f>SUM(Jan!G23, Feb!G23, Mar!G23)</f>
        <v>244076.21</v>
      </c>
      <c r="H23" s="20">
        <f>SUM(Jan!H23, Feb!H23, Mar!H23)</f>
        <v>-61941.084999999999</v>
      </c>
      <c r="I23" s="19">
        <f t="shared" si="8"/>
        <v>-0.25377764182752593</v>
      </c>
    </row>
    <row r="24" spans="1:9" ht="15.6">
      <c r="A24" s="45" t="str">
        <v>Woburn</v>
      </c>
      <c r="B24" s="9" t="str">
        <v>MA</v>
      </c>
      <c r="C24" s="24">
        <f>SUM(Jan!C24, Feb!C24, Mar!C24)</f>
        <v>296544.5</v>
      </c>
      <c r="D24" s="13">
        <f>SUM(Jan!D24, Feb!D24, Mar!D24)</f>
        <v>483276.2</v>
      </c>
      <c r="E24" s="13">
        <f t="shared" si="6"/>
        <v>-186731.7</v>
      </c>
      <c r="F24" s="14">
        <f t="shared" si="7"/>
        <v>-0.38638712189840924</v>
      </c>
      <c r="G24" s="15">
        <f>SUM(Jan!G24, Feb!G24, Mar!G24)</f>
        <v>345279.41000000003</v>
      </c>
      <c r="H24" s="15">
        <f>SUM(Jan!H24, Feb!H24, Mar!H24)</f>
        <v>-48734.91</v>
      </c>
      <c r="I24" s="16">
        <f t="shared" si="8"/>
        <v>-0.1411462965602264</v>
      </c>
    </row>
    <row r="25" spans="1:9" ht="15.6">
      <c r="A25" s="46" t="str">
        <v>Friendship Solar 1</v>
      </c>
      <c r="B25" s="10" t="str">
        <v>MD</v>
      </c>
      <c r="C25" s="11">
        <f>SUM(Jan!C25, Feb!C25, Mar!C25)</f>
        <v>905797</v>
      </c>
      <c r="D25" s="18">
        <f>SUM(Jan!D25, Feb!D25, Mar!D25)</f>
        <v>959345.1</v>
      </c>
      <c r="E25" s="18">
        <f t="shared" si="6"/>
        <v>-53548.099999999977</v>
      </c>
      <c r="F25" s="19">
        <f t="shared" si="7"/>
        <v>-5.5817348730920688E-2</v>
      </c>
      <c r="G25" s="20">
        <f>SUM(Jan!G25, Feb!G25, Mar!G25)</f>
        <v>997729.3</v>
      </c>
      <c r="H25" s="20">
        <f>SUM(Jan!H25, Feb!H25, Mar!H25)</f>
        <v>-91932.300000000047</v>
      </c>
      <c r="I25" s="19">
        <f t="shared" si="8"/>
        <v>-9.2141525762549067E-2</v>
      </c>
    </row>
    <row r="26" spans="1:9" ht="15.6">
      <c r="A26" s="45" t="str">
        <v>Friendship Solar 2</v>
      </c>
      <c r="B26" s="9" t="str">
        <v>MD</v>
      </c>
      <c r="C26" s="24">
        <f>SUM(Jan!C26, Feb!C26, Mar!C26)</f>
        <v>900552</v>
      </c>
      <c r="D26" s="13">
        <f>SUM(Jan!D26, Feb!D26, Mar!D26)</f>
        <v>985864.9</v>
      </c>
      <c r="E26" s="13">
        <f t="shared" si="6"/>
        <v>-85312.900000000023</v>
      </c>
      <c r="F26" s="14">
        <f t="shared" si="7"/>
        <v>-8.6536096375882762E-2</v>
      </c>
      <c r="G26" s="15">
        <f>SUM(Jan!G26, Feb!G26, Mar!G26)</f>
        <v>1000565.5</v>
      </c>
      <c r="H26" s="15">
        <f>SUM(Jan!H26, Feb!H26, Mar!H26)</f>
        <v>-100013.50000000003</v>
      </c>
      <c r="I26" s="16">
        <f t="shared" si="8"/>
        <v>-9.9956974331015844E-2</v>
      </c>
    </row>
    <row r="27" spans="1:9" ht="15.6">
      <c r="A27" s="46" t="str">
        <v>101 Carnegie Center</v>
      </c>
      <c r="B27" s="10" t="str">
        <v>NJ</v>
      </c>
      <c r="C27" s="11">
        <f>SUM(Jan!C27, Feb!C27, Mar!C27)</f>
        <v>342707.35399999999</v>
      </c>
      <c r="D27" s="18">
        <f>SUM(Jan!D27, Feb!D27, Mar!D27)</f>
        <v>416221.70799999998</v>
      </c>
      <c r="E27" s="18">
        <f t="shared" si="6"/>
        <v>-73514.353999999992</v>
      </c>
      <c r="F27" s="19">
        <f t="shared" si="7"/>
        <v>-0.17662306551295973</v>
      </c>
      <c r="G27" s="20">
        <f>SUM(Jan!G27, Feb!G27, Mar!G27)</f>
        <v>0</v>
      </c>
      <c r="H27" s="20">
        <f>SUM(Jan!H27, Feb!H27, Mar!H27)</f>
        <v>342707.35399999999</v>
      </c>
      <c r="I27" s="19" t="str">
        <f t="shared" si="8"/>
        <v/>
      </c>
    </row>
    <row r="28" spans="1:9" ht="15.6">
      <c r="A28" s="45" t="str">
        <v>302 Carnegie Center</v>
      </c>
      <c r="B28" s="9" t="str">
        <v>NJ</v>
      </c>
      <c r="C28" s="24">
        <f>SUM(Jan!C28, Feb!C28, Mar!C28)</f>
        <v>152769.52399999998</v>
      </c>
      <c r="D28" s="13">
        <f>SUM(Jan!D28, Feb!D28, Mar!D28)</f>
        <v>175506.75</v>
      </c>
      <c r="E28" s="13">
        <f t="shared" si="6"/>
        <v>-22737.226000000024</v>
      </c>
      <c r="F28" s="14">
        <f t="shared" si="7"/>
        <v>-0.12955186054097648</v>
      </c>
      <c r="G28" s="15">
        <f>SUM(Jan!G28, Feb!G28, Mar!G28)</f>
        <v>0</v>
      </c>
      <c r="H28" s="15">
        <f>SUM(Jan!H28, Feb!H28, Mar!H28)</f>
        <v>152769.52399999998</v>
      </c>
      <c r="I28" s="16" t="str">
        <f t="shared" si="8"/>
        <v/>
      </c>
    </row>
    <row r="29" spans="1:9" ht="15.6">
      <c r="A29" s="46" t="str">
        <v>510 Carnegie Center</v>
      </c>
      <c r="B29" s="10" t="str">
        <v>NJ</v>
      </c>
      <c r="C29" s="11">
        <f>SUM(Jan!C29, Feb!C29, Mar!C29)</f>
        <v>366376.853</v>
      </c>
      <c r="D29" s="18">
        <f>SUM(Jan!D29, Feb!D29, Mar!D29)</f>
        <v>450788.4</v>
      </c>
      <c r="E29" s="18">
        <f t="shared" si="6"/>
        <v>-84411.54700000002</v>
      </c>
      <c r="F29" s="19">
        <f t="shared" si="7"/>
        <v>-0.18725314804018919</v>
      </c>
      <c r="G29" s="20">
        <f>SUM(Jan!G29, Feb!G29, Mar!G29)</f>
        <v>0</v>
      </c>
      <c r="H29" s="20">
        <f>SUM(Jan!H29, Feb!H29, Mar!H29)</f>
        <v>366376.853</v>
      </c>
      <c r="I29" s="19" t="str">
        <f t="shared" si="8"/>
        <v/>
      </c>
    </row>
    <row r="30" spans="1:9" ht="15.6">
      <c r="A30" s="45" t="str">
        <v>701 Carnegie Center</v>
      </c>
      <c r="B30" s="9" t="str">
        <v>NJ</v>
      </c>
      <c r="C30" s="24">
        <f>SUM(Jan!C30, Feb!C30, Mar!C30)</f>
        <v>295715.54800000001</v>
      </c>
      <c r="D30" s="13">
        <f>SUM(Jan!D30, Feb!D30, Mar!D30)</f>
        <v>353851.2</v>
      </c>
      <c r="E30" s="13">
        <f t="shared" si="6"/>
        <v>-58135.652000000002</v>
      </c>
      <c r="F30" s="14">
        <f t="shared" si="7"/>
        <v>-0.16429406484985778</v>
      </c>
      <c r="G30" s="15">
        <f>SUM(Jan!G30, Feb!G30, Mar!G30)</f>
        <v>0</v>
      </c>
      <c r="H30" s="15">
        <f>SUM(Jan!H30, Feb!H30, Mar!H30)</f>
        <v>295715.54800000001</v>
      </c>
      <c r="I30" s="16" t="str">
        <f t="shared" si="8"/>
        <v/>
      </c>
    </row>
    <row r="31" spans="1:9" ht="15.6">
      <c r="A31" s="46" t="str">
        <v>Hudson County Correction</v>
      </c>
      <c r="B31" s="10" t="str">
        <v>NJ</v>
      </c>
      <c r="C31" s="11">
        <f>SUM(Jan!C31, Feb!C31, Mar!C31)</f>
        <v>382514.55500666716</v>
      </c>
      <c r="D31" s="18">
        <f>SUM(Jan!D31, Feb!D31, Mar!D31)</f>
        <v>336163.78</v>
      </c>
      <c r="E31" s="18">
        <f t="shared" si="6"/>
        <v>46350.775006667129</v>
      </c>
      <c r="F31" s="19">
        <f t="shared" si="7"/>
        <v>0.13788152610214915</v>
      </c>
      <c r="G31" s="20">
        <f>SUM(Jan!G31, Feb!G31, Mar!G31)</f>
        <v>364717.01</v>
      </c>
      <c r="H31" s="20">
        <f>SUM(Jan!H31, Feb!H31, Mar!H31)</f>
        <v>17797.545006667191</v>
      </c>
      <c r="I31" s="19">
        <f t="shared" si="8"/>
        <v>4.8798231282569438E-2</v>
      </c>
    </row>
    <row r="32" spans="1:9" ht="15.6">
      <c r="A32" s="45" t="str">
        <v>ER Bison Solar</v>
      </c>
      <c r="B32" s="9" t="str">
        <v>PA</v>
      </c>
      <c r="C32" s="24">
        <f>SUM(Jan!C32, Feb!C32, Mar!C32)</f>
        <v>426729</v>
      </c>
      <c r="D32" s="13">
        <f>SUM(Jan!D32, Feb!D32, Mar!D32)</f>
        <v>0</v>
      </c>
      <c r="E32" s="13">
        <f t="shared" si="6"/>
        <v>426729</v>
      </c>
      <c r="F32" s="14" t="str">
        <f t="shared" si="7"/>
        <v/>
      </c>
      <c r="G32" s="15">
        <f>SUM(Jan!G32, Feb!G32, Mar!G32)</f>
        <v>434940</v>
      </c>
      <c r="H32" s="15">
        <f>SUM(Jan!H32, Feb!H32, Mar!H32)</f>
        <v>-8211</v>
      </c>
      <c r="I32" s="16">
        <f t="shared" si="8"/>
        <v>-1.8878465995309696E-2</v>
      </c>
    </row>
    <row r="33" spans="1:9" ht="15.6">
      <c r="A33" s="46" t="str">
        <v>Danville</v>
      </c>
      <c r="B33" s="10" t="str">
        <v>IL</v>
      </c>
      <c r="C33" s="11">
        <f>SUM(Jan!C33, Feb!C33, Mar!C33)</f>
        <v>788803.73</v>
      </c>
      <c r="D33" s="21">
        <f>SUM(Jan!D33, Feb!D33, Mar!D33)</f>
        <v>0</v>
      </c>
      <c r="E33" s="18">
        <f t="shared" si="6"/>
        <v>788803.73</v>
      </c>
      <c r="F33" s="19" t="str">
        <f t="shared" si="7"/>
        <v/>
      </c>
      <c r="G33" s="20">
        <f>SUM(Jan!G33, Feb!G33, Mar!G33)</f>
        <v>0</v>
      </c>
      <c r="H33" s="20">
        <f>SUM(Jan!H33, Feb!H33, Mar!H33)</f>
        <v>788803.73</v>
      </c>
      <c r="I33" s="19" t="str">
        <f t="shared" si="8"/>
        <v/>
      </c>
    </row>
    <row r="34" spans="1:9" ht="15.6">
      <c r="A34" s="45" t="str">
        <v>Camden - Campbell Soup HQ</v>
      </c>
      <c r="B34" s="9" t="str">
        <v>NJ</v>
      </c>
      <c r="C34" s="24">
        <f>SUM(Jan!C34, Feb!C34, Mar!C34)</f>
        <v>616249</v>
      </c>
      <c r="D34" s="13">
        <f>SUM(Jan!D34, Feb!D34, Mar!D34)</f>
        <v>971787.41489999997</v>
      </c>
      <c r="E34" s="13">
        <f t="shared" si="6"/>
        <v>-355538.41489999997</v>
      </c>
      <c r="F34" s="14">
        <f t="shared" si="7"/>
        <v>-0.3658602791605261</v>
      </c>
      <c r="G34" s="15">
        <f>SUM(Jan!G34, Feb!G34, Mar!G34)</f>
        <v>1018009.01</v>
      </c>
      <c r="H34" s="15">
        <f>SUM(Jan!H34, Feb!H34, Mar!H34)</f>
        <v>-401760.01</v>
      </c>
      <c r="I34" s="16">
        <f t="shared" si="8"/>
        <v>-0.3946527054804751</v>
      </c>
    </row>
    <row r="35" spans="1:9" ht="15.6">
      <c r="A35" s="46" t="str">
        <v>Westport - Pine Hill</v>
      </c>
      <c r="B35" s="10" t="str">
        <v>MA</v>
      </c>
      <c r="C35" s="11">
        <f>SUM(Jan!C35, Feb!C35, Mar!C35)</f>
        <v>700840.321099867</v>
      </c>
      <c r="D35" s="21">
        <f>SUM(Jan!D35, Feb!D35, Mar!D35)</f>
        <v>711236.39999999991</v>
      </c>
      <c r="E35" s="18">
        <f t="shared" si="6"/>
        <v>-10396.07890013291</v>
      </c>
      <c r="F35" s="19">
        <f t="shared" si="7"/>
        <v>-1.4616910636369163E-2</v>
      </c>
      <c r="G35" s="20">
        <f>SUM(Jan!G35, Feb!G35, Mar!G35)</f>
        <v>960794.26</v>
      </c>
      <c r="H35" s="20">
        <f>SUM(Jan!H35, Feb!H35, Mar!H35)</f>
        <v>-259953.93890013301</v>
      </c>
      <c r="I35" s="19">
        <f t="shared" si="8"/>
        <v>-0.27056150283426239</v>
      </c>
    </row>
    <row r="36" spans="1:9" ht="15.6">
      <c r="A36" s="45" t="str">
        <v>Oaks Landfill - ANEM</v>
      </c>
      <c r="B36" s="9" t="str">
        <v>MD</v>
      </c>
      <c r="C36" s="24">
        <f>SUM(Jan!C36, Feb!C36, Mar!C36)</f>
        <v>764378.8</v>
      </c>
      <c r="D36" s="13">
        <f>SUM(Jan!D36, Feb!D36, Mar!D36)</f>
        <v>931117.20000000007</v>
      </c>
      <c r="E36" s="13">
        <f t="shared" si="6"/>
        <v>-166738.40000000002</v>
      </c>
      <c r="F36" s="14">
        <f t="shared" si="7"/>
        <v>-0.17907348290848887</v>
      </c>
      <c r="G36" s="15">
        <f>SUM(Jan!G36, Feb!G36, Mar!G36)</f>
        <v>0</v>
      </c>
      <c r="H36" s="15">
        <f>SUM(Jan!H36, Feb!H36, Mar!H36)</f>
        <v>573344.30000000005</v>
      </c>
      <c r="I36" s="16" t="str">
        <f t="shared" si="8"/>
        <v/>
      </c>
    </row>
    <row r="37" spans="1:9" ht="15.6">
      <c r="A37" s="46" t="str">
        <v>Oaks Landfill - CS2</v>
      </c>
      <c r="B37" s="10" t="str">
        <v>MD</v>
      </c>
      <c r="C37" s="11">
        <f>SUM(Jan!C37, Feb!C37, Mar!C37)</f>
        <v>765667.7</v>
      </c>
      <c r="D37" s="21">
        <f>SUM(Jan!D37, Feb!D37, Mar!D37)</f>
        <v>936388.9</v>
      </c>
      <c r="E37" s="18">
        <f t="shared" si="6"/>
        <v>-170721.20000000007</v>
      </c>
      <c r="F37" s="19">
        <f t="shared" si="7"/>
        <v>-0.18231869258595448</v>
      </c>
      <c r="G37" s="20">
        <f>SUM(Jan!G37, Feb!G37, Mar!G37)</f>
        <v>0</v>
      </c>
      <c r="H37" s="20">
        <f>SUM(Jan!H37, Feb!H37, Mar!H37)</f>
        <v>560672.30000000005</v>
      </c>
      <c r="I37" s="19" t="str">
        <f t="shared" si="8"/>
        <v/>
      </c>
    </row>
    <row r="38" spans="1:9" ht="15.6">
      <c r="A38" s="45" t="str">
        <v>Oaks Landfill - CS1</v>
      </c>
      <c r="B38" s="9" t="str">
        <v>MD</v>
      </c>
      <c r="C38" s="24">
        <f>SUM(Jan!C38, Feb!C38, Mar!C38)</f>
        <v>779029</v>
      </c>
      <c r="D38" s="13">
        <f>SUM(Jan!D38, Feb!D38, Mar!D38)</f>
        <v>947642.44499999995</v>
      </c>
      <c r="E38" s="13">
        <f t="shared" si="6"/>
        <v>-168613.44499999995</v>
      </c>
      <c r="F38" s="14">
        <f t="shared" si="7"/>
        <v>-0.17792939297901536</v>
      </c>
      <c r="G38" s="15">
        <f>SUM(Jan!G38, Feb!G38, Mar!G38)</f>
        <v>0</v>
      </c>
      <c r="H38" s="15">
        <f>SUM(Jan!H38, Feb!H38, Mar!H38)</f>
        <v>584094.9</v>
      </c>
      <c r="I38" s="16" t="str">
        <f t="shared" si="8"/>
        <v/>
      </c>
    </row>
    <row r="39" spans="1:9" ht="15.6">
      <c r="A39" s="46" t="str">
        <v>Plympton - Upland Solar - PV &amp; BESS (IRA)</v>
      </c>
      <c r="B39" s="10" t="str">
        <v>MA</v>
      </c>
      <c r="C39" s="11">
        <f>SUM(Jan!C39, Feb!C39, Mar!C39)</f>
        <v>0</v>
      </c>
      <c r="D39" s="21">
        <f>SUM(Jan!D39, Feb!D39, Mar!D39)</f>
        <v>0</v>
      </c>
      <c r="E39" s="18">
        <f t="shared" si="6"/>
        <v>0</v>
      </c>
      <c r="F39" s="19" t="str">
        <f t="shared" si="7"/>
        <v/>
      </c>
      <c r="G39" s="20">
        <f>SUM(Jan!G39, Feb!G39, Mar!G39)</f>
        <v>0</v>
      </c>
      <c r="H39" s="20">
        <f>SUM(Jan!H39, Feb!H39, Mar!H39)</f>
        <v>0</v>
      </c>
      <c r="I39" s="19" t="str">
        <f t="shared" si="8"/>
        <v/>
      </c>
    </row>
    <row r="40" spans="1:9" ht="15.6">
      <c r="A40" s="45" t="str">
        <v>MA: Plymouth - Black Cat Solar - PV &amp; BESS (IRA)</v>
      </c>
      <c r="B40" s="9" t="str">
        <v>MA</v>
      </c>
      <c r="C40" s="24">
        <f>SUM(Jan!C40, Feb!C40, Mar!C40)</f>
        <v>0</v>
      </c>
      <c r="D40" s="13">
        <f>SUM(Jan!D40, Feb!D40, Mar!D40)</f>
        <v>0</v>
      </c>
      <c r="E40" s="13">
        <f t="shared" si="6"/>
        <v>0</v>
      </c>
      <c r="F40" s="14" t="str">
        <f t="shared" si="7"/>
        <v/>
      </c>
      <c r="G40" s="15">
        <f>SUM(Jan!G40, Feb!G40, Mar!G40)</f>
        <v>0</v>
      </c>
      <c r="H40" s="15">
        <f>SUM(Jan!H40, Feb!H40, Mar!H40)</f>
        <v>0</v>
      </c>
      <c r="I40" s="16" t="str">
        <f t="shared" si="8"/>
        <v/>
      </c>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sortState xmlns:xlrd2="http://schemas.microsoft.com/office/spreadsheetml/2017/richdata2" ref="A3:I3">
    <sortCondition ref="A3"/>
  </sortState>
  <mergeCells count="4">
    <mergeCell ref="G1:I1"/>
    <mergeCell ref="A1:C1"/>
    <mergeCell ref="D1:F1"/>
    <mergeCell ref="A2:B2"/>
  </mergeCells>
  <conditionalFormatting sqref="F2 I2 F4:F100 I4:I100">
    <cfRule type="cellIs" dxfId="55" priority="1" stopIfTrue="1" operator="lessThanOrEqual">
      <formula>-0.1</formula>
    </cfRule>
    <cfRule type="expression" dxfId="54"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42"/>
  <sheetViews>
    <sheetView workbookViewId="0">
      <pane xSplit="2" ySplit="3" topLeftCell="C28" activePane="bottomRight" state="frozen"/>
      <selection pane="bottomRight" activeCell="G43" sqref="G43"/>
      <selection pane="bottomLeft" activeCell="K22" sqref="K22"/>
      <selection pane="topRight" activeCell="K22" sqref="K2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7" t="str" cm="1">
        <f t="array" ref="A1">portfolio</f>
        <v>Greenbacker Capital</v>
      </c>
      <c r="B1" s="117"/>
      <c r="C1" s="117"/>
      <c r="D1" s="118" t="s">
        <v>12</v>
      </c>
      <c r="E1" s="118"/>
      <c r="F1" s="118"/>
      <c r="G1" s="116" t="s">
        <v>13</v>
      </c>
      <c r="H1" s="116"/>
      <c r="I1" s="116"/>
    </row>
    <row r="2" spans="1:9" ht="19.5" customHeight="1">
      <c r="A2" s="119" t="s">
        <v>2</v>
      </c>
      <c r="B2" s="119"/>
      <c r="C2" s="5">
        <f>SUM(C4:C100)</f>
        <v>19349311.084049311</v>
      </c>
      <c r="D2" s="5">
        <f>SUM(D4:D100)</f>
        <v>17447209.05642996</v>
      </c>
      <c r="E2" s="5">
        <f>C2-D2</f>
        <v>1902102.0276193507</v>
      </c>
      <c r="F2" s="6">
        <f>IFERROR(E2/D2, 0)</f>
        <v>0.10902041819223539</v>
      </c>
      <c r="G2" s="5">
        <f>SUM(G4:G100)</f>
        <v>16059581.529999997</v>
      </c>
      <c r="H2" s="7">
        <f>C2-G2</f>
        <v>3289729.5540493131</v>
      </c>
      <c r="I2" s="6">
        <f>IFERROR(H2/G2, 0)</f>
        <v>0.20484528491006787</v>
      </c>
    </row>
    <row r="3" spans="1:9" ht="14.25" customHeight="1">
      <c r="A3" s="8" t="s">
        <v>3</v>
      </c>
      <c r="B3" s="8" t="s">
        <v>4</v>
      </c>
      <c r="C3" s="23" t="s">
        <v>5</v>
      </c>
      <c r="D3" s="35" t="s">
        <v>6</v>
      </c>
      <c r="E3" s="35" t="s">
        <v>7</v>
      </c>
      <c r="F3" s="36" t="s">
        <v>8</v>
      </c>
      <c r="G3" s="37" t="s">
        <v>9</v>
      </c>
      <c r="H3" s="38" t="s">
        <v>7</v>
      </c>
      <c r="I3" s="39" t="s">
        <v>8</v>
      </c>
    </row>
    <row r="4" spans="1:9" ht="15.6">
      <c r="A4" s="45" t="str" cm="1">
        <f t="array" ref="A4:A40">Sites[Site]</f>
        <v>10 Walpole Park South</v>
      </c>
      <c r="B4" s="9" t="str" cm="1">
        <f t="array" ref="B4:B40">Sites[State]</f>
        <v>MA</v>
      </c>
      <c r="C4" s="24">
        <f>SUM(Apr!C4, May!C4, Jun!C4)</f>
        <v>53033.9375</v>
      </c>
      <c r="D4" s="13">
        <f>SUM(Apr!D4, May!D4, Jun!D4)</f>
        <v>47889.520000000004</v>
      </c>
      <c r="E4" s="13">
        <f>IF(AND(ISNUMBER(C4),ISNUMBER(D4)), C4-D4, "")</f>
        <v>5144.4174999999959</v>
      </c>
      <c r="F4" s="14">
        <f>IFERROR(E4/D4, "")</f>
        <v>0.10742261563699104</v>
      </c>
      <c r="G4" s="15">
        <f>SUM(Apr!G4,May!G4,Jun!G4)</f>
        <v>58533.19</v>
      </c>
      <c r="H4" s="15">
        <f>SUM(Apr!H4, May!H4, Jun!H4)</f>
        <v>-5499.2525000000023</v>
      </c>
      <c r="I4" s="16">
        <f>IFERROR(H4/G4, "")</f>
        <v>-9.395101309188858E-2</v>
      </c>
    </row>
    <row r="5" spans="1:9" ht="15.6">
      <c r="A5" s="46" t="str">
        <v>15 Walpole Park South</v>
      </c>
      <c r="B5" s="10" t="str">
        <v>MA</v>
      </c>
      <c r="C5" s="11">
        <f>SUM(Apr!C5, May!C5, Jun!C5)</f>
        <v>190024.5</v>
      </c>
      <c r="D5" s="18">
        <f>SUM(Apr!D5, May!D5, Jun!D5)</f>
        <v>180630.31</v>
      </c>
      <c r="E5" s="18">
        <f t="shared" ref="E5:E15" si="0">IF(AND(ISNUMBER(C5),ISNUMBER(D5)), C5-D5, "")</f>
        <v>9394.1900000000023</v>
      </c>
      <c r="F5" s="19">
        <f>IFERROR(E5/D5, "")</f>
        <v>5.2007827479230932E-2</v>
      </c>
      <c r="G5" s="18">
        <f>SUM(Apr!G5,May!G5,Jun!G5)</f>
        <v>207050.89</v>
      </c>
      <c r="H5" s="20">
        <f>SUM(Apr!H5, May!H5, Jun!H5)</f>
        <v>-17026.39</v>
      </c>
      <c r="I5" s="19">
        <f>IFERROR(H5/G5, "")</f>
        <v>-8.2232875212465875E-2</v>
      </c>
    </row>
    <row r="6" spans="1:9" ht="15.6">
      <c r="A6" s="45" t="str">
        <v>19 Walpole Park South</v>
      </c>
      <c r="B6" s="9" t="str">
        <v>MA</v>
      </c>
      <c r="C6" s="24">
        <f>SUM(Apr!C6, May!C6, Jun!C6)</f>
        <v>120008.25</v>
      </c>
      <c r="D6" s="13">
        <f>SUM(Apr!D6, May!D6, Jun!D6)</f>
        <v>111131.31</v>
      </c>
      <c r="E6" s="13">
        <f t="shared" si="0"/>
        <v>8876.9400000000023</v>
      </c>
      <c r="F6" s="14">
        <f t="shared" ref="F6:F15" si="1">IFERROR(E6/D6, "")</f>
        <v>7.9877938989471126E-2</v>
      </c>
      <c r="G6" s="15">
        <f>SUM(Apr!G6,May!G6,Jun!G6)</f>
        <v>131593.25</v>
      </c>
      <c r="H6" s="15">
        <f>SUM(Apr!H6, May!H6, Jun!H6)</f>
        <v>-11585.000000000007</v>
      </c>
      <c r="I6" s="16">
        <f t="shared" ref="I6:I15" si="2">IFERROR(H6/G6, "")</f>
        <v>-8.8036430440011221E-2</v>
      </c>
    </row>
    <row r="7" spans="1:9" ht="15.6">
      <c r="A7" s="46" t="str">
        <v>23 Walpole Park South</v>
      </c>
      <c r="B7" s="10" t="str">
        <v>MA</v>
      </c>
      <c r="C7" s="11">
        <f>SUM(Apr!C7, May!C7, Jun!C7)</f>
        <v>149103.75</v>
      </c>
      <c r="D7" s="18">
        <f>SUM(Apr!D7, May!D7, Jun!D7)</f>
        <v>145055.06</v>
      </c>
      <c r="E7" s="18">
        <f t="shared" si="0"/>
        <v>4048.6900000000023</v>
      </c>
      <c r="F7" s="19">
        <f t="shared" si="1"/>
        <v>2.7911401367177419E-2</v>
      </c>
      <c r="G7" s="18">
        <f>SUM(Apr!G7,May!G7,Jun!G7)</f>
        <v>173472.88999999998</v>
      </c>
      <c r="H7" s="20">
        <f>SUM(Apr!H7, May!H7, Jun!H7)</f>
        <v>-24369.14</v>
      </c>
      <c r="I7" s="19">
        <f t="shared" si="2"/>
        <v>-0.14047808853590898</v>
      </c>
    </row>
    <row r="8" spans="1:9" ht="15.6">
      <c r="A8" s="45" t="str">
        <v>24 Walpole Park South</v>
      </c>
      <c r="B8" s="9" t="str">
        <v>MA</v>
      </c>
      <c r="C8" s="24">
        <f>SUM(Apr!C8, May!C8, Jun!C8)</f>
        <v>245074.25</v>
      </c>
      <c r="D8" s="13">
        <f>SUM(Apr!D8, May!D8, Jun!D8)</f>
        <v>206904.63999999998</v>
      </c>
      <c r="E8" s="13">
        <f t="shared" si="0"/>
        <v>38169.610000000015</v>
      </c>
      <c r="F8" s="14">
        <f t="shared" si="1"/>
        <v>0.18447923642505076</v>
      </c>
      <c r="G8" s="15">
        <f>SUM(Apr!G8,May!G8,Jun!G8)</f>
        <v>266690.95</v>
      </c>
      <c r="H8" s="15">
        <f>SUM(Apr!H8, May!H8, Jun!H8)</f>
        <v>-21616.700000000012</v>
      </c>
      <c r="I8" s="16">
        <f t="shared" si="2"/>
        <v>-8.1055243906851773E-2</v>
      </c>
    </row>
    <row r="9" spans="1:9" ht="15.6">
      <c r="A9" s="46" t="str">
        <v>25 Walpole Park South</v>
      </c>
      <c r="B9" s="10" t="str">
        <v>MA</v>
      </c>
      <c r="C9" s="11">
        <f>SUM(Apr!C9, May!C9, Jun!C9)</f>
        <v>224894.43719999999</v>
      </c>
      <c r="D9" s="18">
        <f>SUM(Apr!D9, May!D9, Jun!D9)</f>
        <v>220648.16999999998</v>
      </c>
      <c r="E9" s="18">
        <f t="shared" si="0"/>
        <v>4246.267200000002</v>
      </c>
      <c r="F9" s="19">
        <f t="shared" si="1"/>
        <v>1.9244515828071459E-2</v>
      </c>
      <c r="G9" s="18">
        <f>SUM(Apr!G9,May!G9,Jun!G9)</f>
        <v>270157.52</v>
      </c>
      <c r="H9" s="20">
        <f>SUM(Apr!H9, May!H9, Jun!H9)</f>
        <v>-45263.082800000004</v>
      </c>
      <c r="I9" s="19">
        <f t="shared" si="2"/>
        <v>-0.16754330140430665</v>
      </c>
    </row>
    <row r="10" spans="1:9" ht="15.6">
      <c r="A10" s="45" t="str">
        <v>3 Walpole Park South</v>
      </c>
      <c r="B10" s="9" t="str">
        <v>MA</v>
      </c>
      <c r="C10" s="24">
        <f>SUM(Apr!C10, May!C10, Jun!C10)</f>
        <v>291679</v>
      </c>
      <c r="D10" s="13">
        <f>SUM(Apr!D10, May!D10, Jun!D10)</f>
        <v>278879.34999999998</v>
      </c>
      <c r="E10" s="13">
        <f t="shared" si="0"/>
        <v>12799.650000000023</v>
      </c>
      <c r="F10" s="14">
        <f t="shared" si="1"/>
        <v>4.5896729176972136E-2</v>
      </c>
      <c r="G10" s="15">
        <f>SUM(Apr!G10,May!G10,Jun!G10)</f>
        <v>324709.18999999994</v>
      </c>
      <c r="H10" s="15">
        <f>SUM(Apr!H10, May!H10, Jun!H10)</f>
        <v>-33030.189999999988</v>
      </c>
      <c r="I10" s="16">
        <f t="shared" si="2"/>
        <v>-0.10172237502732828</v>
      </c>
    </row>
    <row r="11" spans="1:9" ht="15.6">
      <c r="A11" s="46" t="str">
        <v>4 Walpole Park South</v>
      </c>
      <c r="B11" s="10" t="str">
        <v>MA</v>
      </c>
      <c r="C11" s="11">
        <f>SUM(Apr!C11, May!C11, Jun!C11)</f>
        <v>166175</v>
      </c>
      <c r="D11" s="18">
        <f>SUM(Apr!D11, May!D11, Jun!D11)</f>
        <v>154390.95000000001</v>
      </c>
      <c r="E11" s="18">
        <f t="shared" si="0"/>
        <v>11784.049999999988</v>
      </c>
      <c r="F11" s="19">
        <f t="shared" si="1"/>
        <v>7.6326041131296804E-2</v>
      </c>
      <c r="G11" s="18">
        <f>SUM(Apr!G11,May!G11,Jun!G11)</f>
        <v>177619.25</v>
      </c>
      <c r="H11" s="20">
        <f>SUM(Apr!H11, May!H11, Jun!H11)</f>
        <v>-11444.25</v>
      </c>
      <c r="I11" s="19">
        <f t="shared" si="2"/>
        <v>-6.4431360902604873E-2</v>
      </c>
    </row>
    <row r="12" spans="1:9" ht="15.6">
      <c r="A12" s="45" t="str">
        <v>Brockton</v>
      </c>
      <c r="B12" s="9" t="str">
        <v>MA</v>
      </c>
      <c r="C12" s="24">
        <f>SUM(Apr!C12, May!C12, Jun!C12)</f>
        <v>276788</v>
      </c>
      <c r="D12" s="13">
        <f>SUM(Apr!D12, May!D12, Jun!D12)</f>
        <v>241423.89</v>
      </c>
      <c r="E12" s="13">
        <f t="shared" si="0"/>
        <v>35364.109999999986</v>
      </c>
      <c r="F12" s="14">
        <f t="shared" si="1"/>
        <v>0.14648140248257943</v>
      </c>
      <c r="G12" s="15">
        <f>SUM(Apr!G12,May!G12,Jun!G12)</f>
        <v>299029.06</v>
      </c>
      <c r="H12" s="15">
        <f>SUM(Apr!H12, May!H12, Jun!H12)</f>
        <v>-22241.060000000012</v>
      </c>
      <c r="I12" s="16">
        <f t="shared" si="2"/>
        <v>-7.4377587248543708E-2</v>
      </c>
    </row>
    <row r="13" spans="1:9" ht="15.6">
      <c r="A13" s="46" t="str">
        <v>Canton</v>
      </c>
      <c r="B13" s="10" t="str">
        <v>MA</v>
      </c>
      <c r="C13" s="11">
        <f>SUM(Apr!C13, May!C13, Jun!C13)</f>
        <v>261004.75</v>
      </c>
      <c r="D13" s="18">
        <f>SUM(Apr!D13, May!D13, Jun!D13)</f>
        <v>240360.76</v>
      </c>
      <c r="E13" s="18">
        <f t="shared" si="0"/>
        <v>20643.989999999991</v>
      </c>
      <c r="F13" s="19">
        <f t="shared" si="1"/>
        <v>8.5887521740237421E-2</v>
      </c>
      <c r="G13" s="18">
        <f>SUM(Apr!G13,May!G13,Jun!G13)</f>
        <v>285056.49</v>
      </c>
      <c r="H13" s="20">
        <f>SUM(Apr!H13, May!H13, Jun!H13)</f>
        <v>-24051.739999999991</v>
      </c>
      <c r="I13" s="19">
        <f t="shared" si="2"/>
        <v>-8.4375346093681261E-2</v>
      </c>
    </row>
    <row r="14" spans="1:9" ht="15.6">
      <c r="A14" s="45" t="str">
        <v>Chelsea</v>
      </c>
      <c r="B14" s="9" t="str">
        <v>MA</v>
      </c>
      <c r="C14" s="24">
        <f>SUM(Apr!C14, May!C14, Jun!C14)</f>
        <v>456780</v>
      </c>
      <c r="D14" s="13">
        <f>SUM(Apr!D14, May!D14, Jun!D14)</f>
        <v>434122.6</v>
      </c>
      <c r="E14" s="13">
        <f t="shared" si="0"/>
        <v>22657.400000000023</v>
      </c>
      <c r="F14" s="14">
        <f t="shared" si="1"/>
        <v>5.2191247357313404E-2</v>
      </c>
      <c r="G14" s="15">
        <f>SUM(Apr!G14,May!G14,Jun!G14)</f>
        <v>476907.30000000005</v>
      </c>
      <c r="H14" s="15">
        <f>SUM(Apr!H14, May!H14, Jun!H14)</f>
        <v>-20127.300000000017</v>
      </c>
      <c r="I14" s="16">
        <f t="shared" si="2"/>
        <v>-4.2203799354717395E-2</v>
      </c>
    </row>
    <row r="15" spans="1:9" ht="15.6">
      <c r="A15" s="46" t="str">
        <v>Hamilton Landfill</v>
      </c>
      <c r="B15" s="10" t="str">
        <v>MA</v>
      </c>
      <c r="C15" s="11">
        <f>SUM(Apr!C15, May!C15, Jun!C15)</f>
        <v>361289.53</v>
      </c>
      <c r="D15" s="18">
        <f>SUM(Apr!D15, May!D15, Jun!D15)</f>
        <v>377543.28</v>
      </c>
      <c r="E15" s="18">
        <f t="shared" si="0"/>
        <v>-16253.75</v>
      </c>
      <c r="F15" s="19">
        <f t="shared" si="1"/>
        <v>-4.3051355595575685E-2</v>
      </c>
      <c r="G15" s="18">
        <f>SUM(Apr!G15,May!G15,Jun!G15)</f>
        <v>0</v>
      </c>
      <c r="H15" s="20">
        <f>SUM(Apr!H15, May!H15, Jun!H15)</f>
        <v>0</v>
      </c>
      <c r="I15" s="19" t="str">
        <f t="shared" si="2"/>
        <v/>
      </c>
    </row>
    <row r="16" spans="1:9" ht="15.6">
      <c r="A16" s="45" t="str">
        <v>Holliston</v>
      </c>
      <c r="B16" s="9" t="str">
        <v>MA</v>
      </c>
      <c r="C16" s="24">
        <f>SUM(Apr!C16, May!C16, Jun!C16)</f>
        <v>651604</v>
      </c>
      <c r="D16" s="13">
        <f>SUM(Apr!D16, May!D16, Jun!D16)</f>
        <v>755486.9</v>
      </c>
      <c r="E16" s="13">
        <f t="shared" ref="E16:E18" si="3">IF(AND(ISNUMBER(C16),ISNUMBER(D16)), C16-D16, "")</f>
        <v>-103882.90000000002</v>
      </c>
      <c r="F16" s="14">
        <f t="shared" ref="F16:F18" si="4">IFERROR(E16/D16, "")</f>
        <v>-0.13750456824598814</v>
      </c>
      <c r="G16" s="15">
        <f>SUM(Apr!G16,May!G16,Jun!G16)</f>
        <v>784436.6</v>
      </c>
      <c r="H16" s="15">
        <f>SUM(Apr!H16, May!H16, Jun!H16)</f>
        <v>-132832.59999999998</v>
      </c>
      <c r="I16" s="16">
        <f t="shared" ref="I16:I18" si="5">IFERROR(H16/G16, "")</f>
        <v>-0.1693350361265652</v>
      </c>
    </row>
    <row r="17" spans="1:9" ht="15.6">
      <c r="A17" s="46" t="str">
        <v>Natick HS - Carports</v>
      </c>
      <c r="B17" s="10" t="str">
        <v>MA</v>
      </c>
      <c r="C17" s="11">
        <f>SUM(Apr!C17, May!C17, Jun!C17)</f>
        <v>231398.28099999996</v>
      </c>
      <c r="D17" s="18">
        <f>SUM(Apr!D17, May!D17, Jun!D17)</f>
        <v>262656.73199999996</v>
      </c>
      <c r="E17" s="18">
        <f t="shared" si="3"/>
        <v>-31258.451000000001</v>
      </c>
      <c r="F17" s="19">
        <f t="shared" si="4"/>
        <v>-0.11900875626519257</v>
      </c>
      <c r="G17" s="18">
        <f>SUM(Apr!G17,May!G17,Jun!G17)</f>
        <v>0</v>
      </c>
      <c r="H17" s="20">
        <f>SUM(Apr!H17, May!H17, Jun!H17)</f>
        <v>0</v>
      </c>
      <c r="I17" s="19" t="str">
        <f t="shared" si="5"/>
        <v/>
      </c>
    </row>
    <row r="18" spans="1:9" ht="12.75" customHeight="1">
      <c r="A18" s="45" t="str">
        <v>Norton</v>
      </c>
      <c r="B18" s="9" t="str">
        <v>MA</v>
      </c>
      <c r="C18" s="24">
        <f>SUM(Apr!C18, May!C18, Jun!C18)</f>
        <v>36513.499878104798</v>
      </c>
      <c r="D18" s="13">
        <f>SUM(Apr!D18, May!D18, Jun!D18)</f>
        <v>291741.2</v>
      </c>
      <c r="E18" s="13">
        <f t="shared" si="3"/>
        <v>-255227.70012189521</v>
      </c>
      <c r="F18" s="14">
        <f t="shared" si="4"/>
        <v>-0.87484284057889383</v>
      </c>
      <c r="G18" s="15">
        <f>SUM(Apr!G18,May!G18,Jun!G18)</f>
        <v>599800.19999999995</v>
      </c>
      <c r="H18" s="15">
        <f>SUM(Apr!H18, May!H18, Jun!H18)</f>
        <v>-563286.70012189518</v>
      </c>
      <c r="I18" s="16">
        <f t="shared" si="5"/>
        <v>-0.93912389512690264</v>
      </c>
    </row>
    <row r="19" spans="1:9" ht="15.6">
      <c r="A19" s="46" t="str">
        <v>Palmer - Boston Rd.</v>
      </c>
      <c r="B19" s="10" t="str">
        <v>MA</v>
      </c>
      <c r="C19" s="11">
        <f>SUM(Apr!C19, May!C19, Jun!C19)</f>
        <v>219746.5</v>
      </c>
      <c r="D19" s="18">
        <f>SUM(Apr!D19, May!D19, Jun!D19)</f>
        <v>190947.59000000003</v>
      </c>
      <c r="E19" s="18">
        <f t="shared" ref="E19:E40" si="6">IF(AND(ISNUMBER(C19),ISNUMBER(D19)), C19-D19, "")</f>
        <v>28798.909999999974</v>
      </c>
      <c r="F19" s="19">
        <f t="shared" ref="F19:F40" si="7">IFERROR(E19/D19, "")</f>
        <v>0.15082101847946847</v>
      </c>
      <c r="G19" s="18">
        <f>SUM(Apr!G19,May!G19,Jun!G19)</f>
        <v>242489</v>
      </c>
      <c r="H19" s="20">
        <f>SUM(Apr!H19, May!H19, Jun!H19)</f>
        <v>-22742.5</v>
      </c>
      <c r="I19" s="19">
        <f t="shared" ref="I19:I40" si="8">IFERROR(H19/G19, "")</f>
        <v>-9.3787759444758326E-2</v>
      </c>
    </row>
    <row r="20" spans="1:9" ht="15.6">
      <c r="A20" s="45" t="str">
        <v>Shirley Bartkus</v>
      </c>
      <c r="B20" s="9" t="str">
        <v>MA</v>
      </c>
      <c r="C20" s="24">
        <f>SUM(Apr!C20, May!C20, Jun!C20)</f>
        <v>291553.5</v>
      </c>
      <c r="D20" s="13">
        <f>SUM(Apr!D20, May!D20, Jun!D20)</f>
        <v>310360.36</v>
      </c>
      <c r="E20" s="13">
        <f t="shared" si="6"/>
        <v>-18806.859999999986</v>
      </c>
      <c r="F20" s="14">
        <f t="shared" si="7"/>
        <v>-6.0596849417238682E-2</v>
      </c>
      <c r="G20" s="15">
        <f>SUM(Apr!G20,May!G20,Jun!G20)</f>
        <v>405547</v>
      </c>
      <c r="H20" s="15">
        <f>SUM(Apr!H20, May!H20, Jun!H20)</f>
        <v>-113993.5</v>
      </c>
      <c r="I20" s="16">
        <f t="shared" si="8"/>
        <v>-0.28108579276877893</v>
      </c>
    </row>
    <row r="21" spans="1:9" ht="15.6">
      <c r="A21" s="46" t="str">
        <v>Stoughton</v>
      </c>
      <c r="B21" s="10" t="str">
        <v>MA</v>
      </c>
      <c r="C21" s="11">
        <f>SUM(Apr!C21, May!C21, Jun!C21)</f>
        <v>309128</v>
      </c>
      <c r="D21" s="18">
        <f>SUM(Apr!D21, May!D21, Jun!D21)</f>
        <v>186173.22999999998</v>
      </c>
      <c r="E21" s="18">
        <f t="shared" si="6"/>
        <v>122954.77000000002</v>
      </c>
      <c r="F21" s="19">
        <f t="shared" si="7"/>
        <v>0.66043206104336283</v>
      </c>
      <c r="G21" s="18">
        <f>SUM(Apr!G21,May!G21,Jun!G21)</f>
        <v>323554.36</v>
      </c>
      <c r="H21" s="20">
        <f>SUM(Apr!H21, May!H21, Jun!H21)</f>
        <v>-14426.36</v>
      </c>
      <c r="I21" s="19">
        <f t="shared" si="8"/>
        <v>-4.4587129037605928E-2</v>
      </c>
    </row>
    <row r="22" spans="1:9" ht="15.6">
      <c r="A22" s="45" t="str">
        <v>Wellfleet Landfill</v>
      </c>
      <c r="B22" s="9" t="str">
        <v>MA</v>
      </c>
      <c r="C22" s="24">
        <f>SUM(Apr!C22, May!C22, Jun!C22)</f>
        <v>391580.533</v>
      </c>
      <c r="D22" s="13">
        <f>SUM(Apr!D22, May!D22, Jun!D22)</f>
        <v>421982.68599999999</v>
      </c>
      <c r="E22" s="13">
        <f t="shared" si="6"/>
        <v>-30402.152999999991</v>
      </c>
      <c r="F22" s="14">
        <f t="shared" si="7"/>
        <v>-7.2045972521251722E-2</v>
      </c>
      <c r="G22" s="15">
        <f>SUM(Apr!G22,May!G22,Jun!G22)</f>
        <v>0</v>
      </c>
      <c r="H22" s="15">
        <f>SUM(Apr!H22, May!H22, Jun!H22)</f>
        <v>0</v>
      </c>
      <c r="I22" s="16" t="str">
        <f t="shared" si="8"/>
        <v/>
      </c>
    </row>
    <row r="23" spans="1:9" ht="15.6">
      <c r="A23" s="46" t="str">
        <v>Wilmington Garage &amp; Building 7</v>
      </c>
      <c r="B23" s="10" t="str">
        <v>MA</v>
      </c>
      <c r="C23" s="11">
        <f>SUM(Apr!C23, May!C23, Jun!C23)</f>
        <v>429022.625</v>
      </c>
      <c r="D23" s="18">
        <f>SUM(Apr!D23, May!D23, Jun!D23)</f>
        <v>446074.5</v>
      </c>
      <c r="E23" s="18">
        <f t="shared" si="6"/>
        <v>-17051.875</v>
      </c>
      <c r="F23" s="19">
        <f t="shared" si="7"/>
        <v>-3.8226518216127575E-2</v>
      </c>
      <c r="G23" s="18">
        <f>SUM(Apr!G23,May!G23,Jun!G23)</f>
        <v>498230.2</v>
      </c>
      <c r="H23" s="20">
        <f>SUM(Apr!H23, May!H23, Jun!H23)</f>
        <v>-69207.575000000012</v>
      </c>
      <c r="I23" s="19">
        <f t="shared" si="8"/>
        <v>-0.13890682459634124</v>
      </c>
    </row>
    <row r="24" spans="1:9" ht="15.6">
      <c r="A24" s="45" t="str">
        <v>Woburn</v>
      </c>
      <c r="B24" s="9" t="str">
        <v>MA</v>
      </c>
      <c r="C24" s="24">
        <f>SUM(Apr!C24, May!C24, Jun!C24)</f>
        <v>645918.36437246902</v>
      </c>
      <c r="D24" s="13">
        <f>SUM(Apr!D24, May!D24, Jun!D24)</f>
        <v>615514.1</v>
      </c>
      <c r="E24" s="13">
        <f t="shared" si="6"/>
        <v>30404.264372469042</v>
      </c>
      <c r="F24" s="14">
        <f t="shared" si="7"/>
        <v>4.9396535956640217E-2</v>
      </c>
      <c r="G24" s="15">
        <f>SUM(Apr!G24,May!G24,Jun!G24)</f>
        <v>704044.8</v>
      </c>
      <c r="H24" s="15">
        <f>SUM(Apr!H24, May!H24, Jun!H24)</f>
        <v>-58126.435627531027</v>
      </c>
      <c r="I24" s="16">
        <f t="shared" si="8"/>
        <v>-8.2560705835098877E-2</v>
      </c>
    </row>
    <row r="25" spans="1:9" ht="15.6">
      <c r="A25" s="46" t="str">
        <v>Friendship Solar 1</v>
      </c>
      <c r="B25" s="10" t="str">
        <v>MD</v>
      </c>
      <c r="C25" s="11">
        <f>SUM(Apr!C25, May!C25, Jun!C25)</f>
        <v>1316776</v>
      </c>
      <c r="D25" s="18">
        <f>SUM(Apr!D25, May!D25, Jun!D25)</f>
        <v>1353649.6</v>
      </c>
      <c r="E25" s="18">
        <f t="shared" si="6"/>
        <v>-36873.600000000093</v>
      </c>
      <c r="F25" s="19">
        <f t="shared" si="7"/>
        <v>-2.724013659073965E-2</v>
      </c>
      <c r="G25" s="18">
        <f>SUM(Apr!G25,May!G25,Jun!G25)</f>
        <v>1663362.0999999999</v>
      </c>
      <c r="H25" s="20">
        <f>SUM(Apr!H25, May!H25, Jun!H25)</f>
        <v>-346586.09999999992</v>
      </c>
      <c r="I25" s="19">
        <f t="shared" si="8"/>
        <v>-0.20836479321008933</v>
      </c>
    </row>
    <row r="26" spans="1:9" ht="15.6">
      <c r="A26" s="45" t="str">
        <v>Friendship Solar 2</v>
      </c>
      <c r="B26" s="9" t="str">
        <v>MD</v>
      </c>
      <c r="C26" s="24">
        <f>SUM(Apr!C26, May!C26, Jun!C26)</f>
        <v>1262176</v>
      </c>
      <c r="D26" s="13">
        <f>SUM(Apr!D26, May!D26, Jun!D26)</f>
        <v>1368735.6</v>
      </c>
      <c r="E26" s="13">
        <f t="shared" si="6"/>
        <v>-106559.60000000009</v>
      </c>
      <c r="F26" s="14">
        <f t="shared" si="7"/>
        <v>-7.7852581608895161E-2</v>
      </c>
      <c r="G26" s="15">
        <f>SUM(Apr!G26,May!G26,Jun!G26)</f>
        <v>1634782.9</v>
      </c>
      <c r="H26" s="15">
        <f>SUM(Apr!H26, May!H26, Jun!H26)</f>
        <v>-372606.89999999997</v>
      </c>
      <c r="I26" s="16">
        <f t="shared" si="8"/>
        <v>-0.22792439289645125</v>
      </c>
    </row>
    <row r="27" spans="1:9" ht="15.6">
      <c r="A27" s="46" t="str">
        <v>101 Carnegie Center</v>
      </c>
      <c r="B27" s="10" t="str">
        <v>NJ</v>
      </c>
      <c r="C27" s="11">
        <f>SUM(Apr!C27, May!C27, Jun!C27)</f>
        <v>8598.3700000000008</v>
      </c>
      <c r="D27" s="18">
        <f>SUM(Apr!D27, May!D27, Jun!D27)</f>
        <v>9359.61</v>
      </c>
      <c r="E27" s="18">
        <f t="shared" si="6"/>
        <v>-761.23999999999978</v>
      </c>
      <c r="F27" s="19">
        <f t="shared" si="7"/>
        <v>-8.1332448681088174E-2</v>
      </c>
      <c r="G27" s="18">
        <f>SUM(Apr!G27,May!G27,Jun!G27)</f>
        <v>0</v>
      </c>
      <c r="H27" s="20">
        <f>SUM(Apr!H27, May!H27, Jun!H27)</f>
        <v>0</v>
      </c>
      <c r="I27" s="19" t="str">
        <f t="shared" si="8"/>
        <v/>
      </c>
    </row>
    <row r="28" spans="1:9" ht="15.6">
      <c r="A28" s="45" t="str">
        <v>302 Carnegie Center</v>
      </c>
      <c r="B28" s="9" t="str">
        <v>NJ</v>
      </c>
      <c r="C28" s="24">
        <f>SUM(Apr!C28, May!C28, Jun!C28)</f>
        <v>235591.34599999999</v>
      </c>
      <c r="D28" s="13">
        <f>SUM(Apr!D28, May!D28, Jun!D28)</f>
        <v>233317.79399999999</v>
      </c>
      <c r="E28" s="13">
        <f t="shared" si="6"/>
        <v>2273.551999999996</v>
      </c>
      <c r="F28" s="14">
        <f t="shared" si="7"/>
        <v>9.7444432377926399E-3</v>
      </c>
      <c r="G28" s="15">
        <f>SUM(Apr!G28,May!G28,Jun!G28)</f>
        <v>0</v>
      </c>
      <c r="H28" s="15">
        <f>SUM(Apr!H28, May!H28, Jun!H28)</f>
        <v>0</v>
      </c>
      <c r="I28" s="16" t="str">
        <f t="shared" si="8"/>
        <v/>
      </c>
    </row>
    <row r="29" spans="1:9" ht="15.6">
      <c r="A29" s="46" t="str">
        <v>510 Carnegie Center</v>
      </c>
      <c r="B29" s="10" t="str">
        <v>NJ</v>
      </c>
      <c r="C29" s="11">
        <f>SUM(Apr!C29, May!C29, Jun!C29)</f>
        <v>603586.19299999997</v>
      </c>
      <c r="D29" s="18">
        <f>SUM(Apr!D29, May!D29, Jun!D29)</f>
        <v>658941.32900000003</v>
      </c>
      <c r="E29" s="18">
        <f t="shared" si="6"/>
        <v>-55355.136000000057</v>
      </c>
      <c r="F29" s="19">
        <f t="shared" si="7"/>
        <v>-8.400616802106832E-2</v>
      </c>
      <c r="G29" s="18">
        <f>SUM(Apr!G29,May!G29,Jun!G29)</f>
        <v>0</v>
      </c>
      <c r="H29" s="20">
        <f>SUM(Apr!H29, May!H29, Jun!H29)</f>
        <v>0</v>
      </c>
      <c r="I29" s="19" t="str">
        <f t="shared" si="8"/>
        <v/>
      </c>
    </row>
    <row r="30" spans="1:9" ht="15.6">
      <c r="A30" s="45" t="str">
        <v>701 Carnegie Center</v>
      </c>
      <c r="B30" s="9" t="str">
        <v>NJ</v>
      </c>
      <c r="C30" s="24">
        <f>SUM(Apr!C30, May!C30, Jun!C30)</f>
        <v>465692.92200000002</v>
      </c>
      <c r="D30" s="13">
        <f>SUM(Apr!D30, May!D30, Jun!D30)</f>
        <v>528575.96699999995</v>
      </c>
      <c r="E30" s="13">
        <f t="shared" si="6"/>
        <v>-62883.044999999925</v>
      </c>
      <c r="F30" s="14">
        <f t="shared" si="7"/>
        <v>-0.11896690149743401</v>
      </c>
      <c r="G30" s="15">
        <f>SUM(Apr!G30,May!G30,Jun!G30)</f>
        <v>0</v>
      </c>
      <c r="H30" s="15">
        <f>SUM(Apr!H30, May!H30, Jun!H30)</f>
        <v>0</v>
      </c>
      <c r="I30" s="16" t="str">
        <f t="shared" si="8"/>
        <v/>
      </c>
    </row>
    <row r="31" spans="1:9" ht="15.6">
      <c r="A31" s="46" t="str">
        <v>Hudson County Correction</v>
      </c>
      <c r="B31" s="10" t="str">
        <v>NJ</v>
      </c>
      <c r="C31" s="11">
        <f>SUM(Apr!C31, May!C31, Jun!C31)</f>
        <v>607601.19009873597</v>
      </c>
      <c r="D31" s="18">
        <f>SUM(Apr!D31, May!D31, Jun!D31)</f>
        <v>612056.6</v>
      </c>
      <c r="E31" s="18">
        <f t="shared" si="6"/>
        <v>-4455.4099012640072</v>
      </c>
      <c r="F31" s="19">
        <f t="shared" si="7"/>
        <v>-7.279408311688833E-3</v>
      </c>
      <c r="G31" s="18">
        <f>SUM(Apr!G31,May!G31,Jun!G31)</f>
        <v>713188.2</v>
      </c>
      <c r="H31" s="20">
        <f>SUM(Apr!H31, May!H31, Jun!H31)</f>
        <v>-105587.00990126398</v>
      </c>
      <c r="I31" s="19">
        <f t="shared" si="8"/>
        <v>-0.14804929456385285</v>
      </c>
    </row>
    <row r="32" spans="1:9" ht="15.6">
      <c r="A32" s="45" t="str">
        <v>ER Bison Solar</v>
      </c>
      <c r="B32" s="9" t="str">
        <v>PA</v>
      </c>
      <c r="C32" s="24">
        <f>SUM(Apr!C32, May!C32, Jun!C32)</f>
        <v>604783</v>
      </c>
      <c r="D32" s="13">
        <f>SUM(Apr!D32, May!D32, Jun!D32)</f>
        <v>200043.6</v>
      </c>
      <c r="E32" s="13">
        <f t="shared" si="6"/>
        <v>404739.4</v>
      </c>
      <c r="F32" s="14">
        <f t="shared" si="7"/>
        <v>2.0232559302072151</v>
      </c>
      <c r="G32" s="15">
        <f>SUM(Apr!G32,May!G32,Jun!G32)</f>
        <v>705197</v>
      </c>
      <c r="H32" s="15">
        <f>SUM(Apr!H32, May!H32, Jun!H32)</f>
        <v>-100414</v>
      </c>
      <c r="I32" s="16">
        <f t="shared" si="8"/>
        <v>-0.14239141686649262</v>
      </c>
    </row>
    <row r="33" spans="1:9" ht="15.6">
      <c r="A33" s="46" t="str">
        <v>Danville</v>
      </c>
      <c r="B33" s="10" t="str">
        <v>IL</v>
      </c>
      <c r="C33" s="11">
        <f>SUM(Apr!C33, May!C33, Jun!C33)</f>
        <v>1057800.716</v>
      </c>
      <c r="D33" s="18">
        <f>SUM(Apr!D33, May!D33, Jun!D33)</f>
        <v>0</v>
      </c>
      <c r="E33" s="18">
        <f t="shared" si="6"/>
        <v>1057800.716</v>
      </c>
      <c r="F33" s="19" t="str">
        <f t="shared" si="7"/>
        <v/>
      </c>
      <c r="G33" s="18">
        <f>SUM(Apr!G33,May!G33,Jun!G33)</f>
        <v>0</v>
      </c>
      <c r="H33" s="20">
        <f>SUM(Apr!H33, May!H33, Jun!H33)</f>
        <v>0</v>
      </c>
      <c r="I33" s="19" t="str">
        <f t="shared" si="8"/>
        <v/>
      </c>
    </row>
    <row r="34" spans="1:9" ht="15.6">
      <c r="A34" s="45" t="str">
        <v>Camden - Campbell Soup HQ</v>
      </c>
      <c r="B34" s="9" t="str">
        <v>NJ</v>
      </c>
      <c r="C34" s="24">
        <f>SUM(Apr!C34, May!C34, Jun!C34)</f>
        <v>963562</v>
      </c>
      <c r="D34" s="13">
        <f>SUM(Apr!D34, May!D34, Jun!D34)</f>
        <v>1608575.3170299632</v>
      </c>
      <c r="E34" s="13">
        <f t="shared" si="6"/>
        <v>-645013.31702996325</v>
      </c>
      <c r="F34" s="14">
        <f t="shared" si="7"/>
        <v>-0.40098421889308927</v>
      </c>
      <c r="G34" s="15">
        <f>SUM(Apr!G34,May!G34,Jun!G34)</f>
        <v>1713202.53</v>
      </c>
      <c r="H34" s="15">
        <f>SUM(Apr!H34, May!H34, Jun!H34)</f>
        <v>-749640.53</v>
      </c>
      <c r="I34" s="16">
        <f t="shared" si="8"/>
        <v>-0.43756678902406243</v>
      </c>
    </row>
    <row r="35" spans="1:9" ht="15.6">
      <c r="A35" s="46" t="str">
        <v>Westport - Pine Hill</v>
      </c>
      <c r="B35" s="10" t="str">
        <v>MA</v>
      </c>
      <c r="C35" s="11">
        <f>SUM(Apr!C35, May!C35, Jun!C35)</f>
        <v>1757597</v>
      </c>
      <c r="D35" s="18">
        <f>SUM(Apr!D35, May!D35, Jun!D35)</f>
        <v>0</v>
      </c>
      <c r="E35" s="18">
        <f t="shared" si="6"/>
        <v>1757597</v>
      </c>
      <c r="F35" s="19" t="str">
        <f t="shared" si="7"/>
        <v/>
      </c>
      <c r="G35" s="18">
        <f>SUM(Apr!G35,May!G35,Jun!G35)</f>
        <v>1934927.1600000001</v>
      </c>
      <c r="H35" s="20">
        <f>SUM(Apr!H35, May!H35, Jun!H35)</f>
        <v>-177330.16000000003</v>
      </c>
      <c r="I35" s="19">
        <f t="shared" si="8"/>
        <v>-9.1646943443597126E-2</v>
      </c>
    </row>
    <row r="36" spans="1:9" ht="15.6">
      <c r="A36" s="45" t="str">
        <v>Oaks Landfill - ANEM</v>
      </c>
      <c r="B36" s="9" t="str">
        <v>MD</v>
      </c>
      <c r="C36" s="24">
        <f>SUM(Apr!C36, May!C36, Jun!C36)</f>
        <v>1024829.7919999999</v>
      </c>
      <c r="D36" s="13">
        <f>SUM(Apr!D36, May!D36, Jun!D36)</f>
        <v>1124374.6124</v>
      </c>
      <c r="E36" s="13">
        <f t="shared" si="6"/>
        <v>-99544.820400000084</v>
      </c>
      <c r="F36" s="14">
        <f t="shared" si="7"/>
        <v>-8.8533500580842611E-2</v>
      </c>
      <c r="G36" s="15">
        <f>SUM(Apr!G36,May!G36,Jun!G36)</f>
        <v>0</v>
      </c>
      <c r="H36" s="15">
        <f>SUM(Apr!H36, May!H36, Jun!H36)</f>
        <v>0</v>
      </c>
      <c r="I36" s="16" t="str">
        <f t="shared" si="8"/>
        <v/>
      </c>
    </row>
    <row r="37" spans="1:9" ht="15.6">
      <c r="A37" s="46" t="str">
        <v>Oaks Landfill - CS2</v>
      </c>
      <c r="B37" s="10" t="str">
        <v>MD</v>
      </c>
      <c r="C37" s="11">
        <f>SUM(Apr!C37, May!C37, Jun!C37)</f>
        <v>1034532.5009999999</v>
      </c>
      <c r="D37" s="18">
        <f>SUM(Apr!D37, May!D37, Jun!D37)</f>
        <v>1133362.818</v>
      </c>
      <c r="E37" s="18">
        <f t="shared" si="6"/>
        <v>-98830.317000000039</v>
      </c>
      <c r="F37" s="19">
        <f t="shared" si="7"/>
        <v>-8.7200952272637591E-2</v>
      </c>
      <c r="G37" s="18">
        <f>SUM(Apr!G37,May!G37,Jun!G37)</f>
        <v>0</v>
      </c>
      <c r="H37" s="20">
        <f>SUM(Apr!H37, May!H37, Jun!H37)</f>
        <v>0</v>
      </c>
      <c r="I37" s="19" t="str">
        <f t="shared" si="8"/>
        <v/>
      </c>
    </row>
    <row r="38" spans="1:9" ht="15.6">
      <c r="A38" s="45" t="str">
        <v>Oaks Landfill - CS1</v>
      </c>
      <c r="B38" s="9" t="str">
        <v>MD</v>
      </c>
      <c r="C38" s="24">
        <f>SUM(Apr!C38, May!C38, Jun!C38)</f>
        <v>1054530.3459999999</v>
      </c>
      <c r="D38" s="13">
        <f>SUM(Apr!D38, May!D38, Jun!D38)</f>
        <v>1133355.852</v>
      </c>
      <c r="E38" s="13">
        <f t="shared" si="6"/>
        <v>-78825.506000000052</v>
      </c>
      <c r="F38" s="14">
        <f t="shared" si="7"/>
        <v>-6.9550535130602609E-2</v>
      </c>
      <c r="G38" s="15">
        <f>SUM(Apr!G38,May!G38,Jun!G38)</f>
        <v>0</v>
      </c>
      <c r="H38" s="15">
        <f>SUM(Apr!H38, May!H38, Jun!H38)</f>
        <v>0</v>
      </c>
      <c r="I38" s="16" t="str">
        <f t="shared" si="8"/>
        <v/>
      </c>
    </row>
    <row r="39" spans="1:9" ht="15.6">
      <c r="A39" s="46" t="str">
        <v>Plympton - Upland Solar - PV &amp; BESS (IRA)</v>
      </c>
      <c r="B39" s="10" t="str">
        <v>MA</v>
      </c>
      <c r="C39" s="11">
        <f>SUM(Apr!C39, May!C39, Jun!C39)</f>
        <v>1349333</v>
      </c>
      <c r="D39" s="18">
        <f>SUM(Apr!D39, May!D39, Jun!D39)</f>
        <v>1362943.219</v>
      </c>
      <c r="E39" s="18">
        <f t="shared" si="6"/>
        <v>-13610.219000000041</v>
      </c>
      <c r="F39" s="19">
        <f t="shared" si="7"/>
        <v>-9.9859031618249987E-3</v>
      </c>
      <c r="G39" s="18">
        <f>SUM(Apr!G39,May!G39,Jun!G39)</f>
        <v>1465999.5</v>
      </c>
      <c r="H39" s="20">
        <f>SUM(Apr!H39, May!H39, Jun!H39)</f>
        <v>-116666.5</v>
      </c>
      <c r="I39" s="19">
        <f t="shared" si="8"/>
        <v>-7.958154146710146E-2</v>
      </c>
    </row>
    <row r="40" spans="1:9" ht="15.6">
      <c r="A40" s="45" t="str">
        <v>MA: Plymouth - Black Cat Solar - PV &amp; BESS (IRA)</v>
      </c>
      <c r="B40" s="9" t="str">
        <v>MA</v>
      </c>
      <c r="C40" s="24">
        <f>SUM(Apr!C40, May!C40, Jun!C40)</f>
        <v>0</v>
      </c>
      <c r="D40" s="13">
        <f>SUM(Apr!D40, May!D40, Jun!D40)</f>
        <v>0</v>
      </c>
      <c r="E40" s="13">
        <f t="shared" si="6"/>
        <v>0</v>
      </c>
      <c r="F40" s="14" t="str">
        <f t="shared" si="7"/>
        <v/>
      </c>
      <c r="G40" s="15">
        <f>SUM(Apr!G40,May!G40,Jun!G40)</f>
        <v>0</v>
      </c>
      <c r="H40" s="15">
        <f>SUM(Apr!H40, May!H40, Jun!H40)</f>
        <v>0</v>
      </c>
      <c r="I40" s="16" t="str">
        <f t="shared" si="8"/>
        <v/>
      </c>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sortState xmlns:xlrd2="http://schemas.microsoft.com/office/spreadsheetml/2017/richdata2" ref="A3:I4">
    <sortCondition ref="A3:A4"/>
  </sortState>
  <mergeCells count="4">
    <mergeCell ref="G1:I1"/>
    <mergeCell ref="A1:C1"/>
    <mergeCell ref="D1:F1"/>
    <mergeCell ref="A2:B2"/>
  </mergeCells>
  <conditionalFormatting sqref="F2 I2 F4:F100 I4:I100">
    <cfRule type="cellIs" dxfId="53" priority="1" stopIfTrue="1" operator="lessThanOrEqual">
      <formula>-0.1</formula>
    </cfRule>
    <cfRule type="expression" dxfId="52"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42"/>
  <sheetViews>
    <sheetView workbookViewId="0">
      <pane xSplit="2" ySplit="3" topLeftCell="C30" activePane="bottomRight" state="frozen"/>
      <selection pane="bottomRight" activeCell="I37" sqref="I37"/>
      <selection pane="bottomLeft" activeCell="K22" sqref="K22"/>
      <selection pane="topRight" activeCell="K22" sqref="K2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7" t="str" cm="1">
        <f t="array" ref="A1">portfolio</f>
        <v>Greenbacker Capital</v>
      </c>
      <c r="B1" s="117"/>
      <c r="C1" s="117"/>
      <c r="D1" s="118" t="s">
        <v>14</v>
      </c>
      <c r="E1" s="118"/>
      <c r="F1" s="118"/>
      <c r="G1" s="116" t="s">
        <v>15</v>
      </c>
      <c r="H1" s="116"/>
      <c r="I1" s="116"/>
    </row>
    <row r="2" spans="1:9" ht="19.5" customHeight="1">
      <c r="A2" s="119" t="s">
        <v>2</v>
      </c>
      <c r="B2" s="119"/>
      <c r="C2" s="5">
        <f>SUM(C4:C100)</f>
        <v>22125292.781525161</v>
      </c>
      <c r="D2" s="5">
        <f>SUM(D4:D100)</f>
        <v>20813178.394399997</v>
      </c>
      <c r="E2" s="5">
        <f>C2-D2</f>
        <v>1312114.3871251643</v>
      </c>
      <c r="F2" s="6">
        <f>IFERROR(E2/D2, 0)</f>
        <v>6.3042480214276275E-2</v>
      </c>
      <c r="G2" s="5">
        <f>SUM(G4:G100)</f>
        <v>17642406.41</v>
      </c>
      <c r="H2" s="7">
        <f>C2-G2</f>
        <v>4482886.371525161</v>
      </c>
      <c r="I2" s="6">
        <f>IFERROR(H2/G2, 0)</f>
        <v>0.25409721708849131</v>
      </c>
    </row>
    <row r="3" spans="1:9" ht="14.25" customHeight="1">
      <c r="A3" s="8" t="s">
        <v>3</v>
      </c>
      <c r="B3" s="8" t="s">
        <v>4</v>
      </c>
      <c r="C3" s="23" t="s">
        <v>5</v>
      </c>
      <c r="D3" s="35" t="s">
        <v>6</v>
      </c>
      <c r="E3" s="35" t="s">
        <v>7</v>
      </c>
      <c r="F3" s="36" t="s">
        <v>8</v>
      </c>
      <c r="G3" s="37" t="s">
        <v>9</v>
      </c>
      <c r="H3" s="38" t="s">
        <v>7</v>
      </c>
      <c r="I3" s="39" t="s">
        <v>8</v>
      </c>
    </row>
    <row r="4" spans="1:9" ht="15.6">
      <c r="A4" s="45" t="str" cm="1">
        <f t="array" ref="A4:A40">Sites[Site]</f>
        <v>10 Walpole Park South</v>
      </c>
      <c r="B4" s="9" t="str" cm="1">
        <f t="array" ref="B4:B40">Sites[State]</f>
        <v>MA</v>
      </c>
      <c r="C4" s="24">
        <f>SUM(Jul!C4, Aug!C4, Sep!C4)</f>
        <v>37675.75</v>
      </c>
      <c r="D4" s="13">
        <f>SUM(Jul!D4, Aug!D4, Sep!D4)</f>
        <v>51093.21</v>
      </c>
      <c r="E4" s="13">
        <f>IF(AND(ISNUMBER(C4),ISNUMBER(D4)), C4-D4, "")</f>
        <v>-13417.46</v>
      </c>
      <c r="F4" s="14">
        <f>IFERROR(E4/D4, "")</f>
        <v>-0.26260749716058163</v>
      </c>
      <c r="G4" s="15">
        <f>SUM(Jul!G4,Aug!G4,Sep!G4)</f>
        <v>58404.59</v>
      </c>
      <c r="H4" s="15">
        <f>SUM(Jul!H4, Aug!H4, Sep!H4)</f>
        <v>-20728.84</v>
      </c>
      <c r="I4" s="16">
        <f>IFERROR(H4/G4, "")</f>
        <v>-0.35491799531509427</v>
      </c>
    </row>
    <row r="5" spans="1:9" ht="15.6">
      <c r="A5" s="46" t="str">
        <v>15 Walpole Park South</v>
      </c>
      <c r="B5" s="10" t="str">
        <v>MA</v>
      </c>
      <c r="C5" s="11">
        <f>SUM(Jul!C5, Aug!C5, Sep!C5)</f>
        <v>207641</v>
      </c>
      <c r="D5" s="18">
        <f>SUM(Jul!D5, Aug!D5, Sep!D5)</f>
        <v>196277.2</v>
      </c>
      <c r="E5" s="18">
        <f t="shared" ref="E5:E15" si="0">IF(AND(ISNUMBER(C5),ISNUMBER(D5)), C5-D5, "")</f>
        <v>11363.799999999988</v>
      </c>
      <c r="F5" s="19">
        <f>IFERROR(E5/D5, "")</f>
        <v>5.7896688968458829E-2</v>
      </c>
      <c r="G5" s="18">
        <f>SUM(Jul!G5,Aug!G5,Sep!G5)</f>
        <v>205492.71000000002</v>
      </c>
      <c r="H5" s="20">
        <f>SUM(Jul!H5, Aug!H5, Sep!H5)</f>
        <v>2148.2899999999936</v>
      </c>
      <c r="I5" s="19">
        <f>IFERROR(H5/G5, "")</f>
        <v>1.0454336798614381E-2</v>
      </c>
    </row>
    <row r="6" spans="1:9" ht="15.6">
      <c r="A6" s="45" t="str">
        <v>19 Walpole Park South</v>
      </c>
      <c r="B6" s="9" t="str">
        <v>MA</v>
      </c>
      <c r="C6" s="24">
        <f>SUM(Jul!C6, Aug!C6, Sep!C6)</f>
        <v>129007.5</v>
      </c>
      <c r="D6" s="13">
        <f>SUM(Jul!D6, Aug!D6, Sep!D6)</f>
        <v>119522.72999999998</v>
      </c>
      <c r="E6" s="13">
        <f t="shared" si="0"/>
        <v>9484.7700000000186</v>
      </c>
      <c r="F6" s="14">
        <f t="shared" ref="F6:F15" si="1">IFERROR(E6/D6, "")</f>
        <v>7.9355366129940472E-2</v>
      </c>
      <c r="G6" s="15">
        <f>SUM(Jul!G6,Aug!G6,Sep!G6)</f>
        <v>131085.90000000002</v>
      </c>
      <c r="H6" s="15">
        <f>SUM(Jul!H6, Aug!H6, Sep!H6)</f>
        <v>-2078.4000000000015</v>
      </c>
      <c r="I6" s="16">
        <f t="shared" ref="I6:I15" si="2">IFERROR(H6/G6, "")</f>
        <v>-1.5855252166709015E-2</v>
      </c>
    </row>
    <row r="7" spans="1:9" ht="15.6">
      <c r="A7" s="46" t="str">
        <v>23 Walpole Park South</v>
      </c>
      <c r="B7" s="10" t="str">
        <v>MA</v>
      </c>
      <c r="C7" s="11">
        <f>SUM(Jul!C7, Aug!C7, Sep!C7)</f>
        <v>161185.75</v>
      </c>
      <c r="D7" s="18">
        <f>SUM(Jul!D7, Aug!D7, Sep!D7)</f>
        <v>159138.4</v>
      </c>
      <c r="E7" s="18">
        <f t="shared" si="0"/>
        <v>2047.3500000000058</v>
      </c>
      <c r="F7" s="19">
        <f t="shared" si="1"/>
        <v>1.2865216691885843E-2</v>
      </c>
      <c r="G7" s="18">
        <f>SUM(Jul!G7,Aug!G7,Sep!G7)</f>
        <v>172440.16999999998</v>
      </c>
      <c r="H7" s="20">
        <f>SUM(Jul!H7, Aug!H7, Sep!H7)</f>
        <v>-11254.419999999998</v>
      </c>
      <c r="I7" s="19">
        <f t="shared" si="2"/>
        <v>-6.5265651269074951E-2</v>
      </c>
    </row>
    <row r="8" spans="1:9" ht="15.6">
      <c r="A8" s="45" t="str">
        <v>24 Walpole Park South</v>
      </c>
      <c r="B8" s="9" t="str">
        <v>MA</v>
      </c>
      <c r="C8" s="24">
        <f>SUM(Jul!C8, Aug!C8, Sep!C8)</f>
        <v>250796</v>
      </c>
      <c r="D8" s="13">
        <f>SUM(Jul!D8, Aug!D8, Sep!D8)</f>
        <v>224934.80000000002</v>
      </c>
      <c r="E8" s="13">
        <f t="shared" si="0"/>
        <v>25861.199999999983</v>
      </c>
      <c r="F8" s="14">
        <f t="shared" si="1"/>
        <v>0.11497198299240483</v>
      </c>
      <c r="G8" s="15">
        <f>SUM(Jul!G8,Aug!G8,Sep!G8)</f>
        <v>264993.35000000003</v>
      </c>
      <c r="H8" s="15">
        <f>SUM(Jul!H8, Aug!H8, Sep!H8)</f>
        <v>-14197.350000000006</v>
      </c>
      <c r="I8" s="16">
        <f t="shared" si="2"/>
        <v>-5.3576250120993617E-2</v>
      </c>
    </row>
    <row r="9" spans="1:9" ht="15.6">
      <c r="A9" s="46" t="str">
        <v>25 Walpole Park South</v>
      </c>
      <c r="B9" s="10" t="str">
        <v>MA</v>
      </c>
      <c r="C9" s="11">
        <f>SUM(Jul!C9, Aug!C9, Sep!C9)</f>
        <v>240838</v>
      </c>
      <c r="D9" s="18">
        <f>SUM(Jul!D9, Aug!D9, Sep!D9)</f>
        <v>239181.94</v>
      </c>
      <c r="E9" s="18">
        <f t="shared" si="0"/>
        <v>1656.0599999999977</v>
      </c>
      <c r="F9" s="19">
        <f t="shared" si="1"/>
        <v>6.9238505214900322E-3</v>
      </c>
      <c r="G9" s="18">
        <f>SUM(Jul!G9,Aug!G9,Sep!G9)</f>
        <v>268087.14</v>
      </c>
      <c r="H9" s="20">
        <f>SUM(Jul!H9, Aug!H9, Sep!H9)</f>
        <v>-27249.14</v>
      </c>
      <c r="I9" s="19">
        <f t="shared" si="2"/>
        <v>-0.10164284642672528</v>
      </c>
    </row>
    <row r="10" spans="1:9" ht="15.6">
      <c r="A10" s="45" t="str">
        <v>3 Walpole Park South</v>
      </c>
      <c r="B10" s="9" t="str">
        <v>MA</v>
      </c>
      <c r="C10" s="24">
        <f>SUM(Jul!C10, Aug!C10, Sep!C10)</f>
        <v>312579.5</v>
      </c>
      <c r="D10" s="13">
        <f>SUM(Jul!D10, Aug!D10, Sep!D10)</f>
        <v>301747.71000000002</v>
      </c>
      <c r="E10" s="13">
        <f t="shared" si="0"/>
        <v>10831.789999999979</v>
      </c>
      <c r="F10" s="14">
        <f t="shared" si="1"/>
        <v>3.5896842431712171E-2</v>
      </c>
      <c r="G10" s="15">
        <f>SUM(Jul!G10,Aug!G10,Sep!G10)</f>
        <v>320634.8</v>
      </c>
      <c r="H10" s="15">
        <f>SUM(Jul!H10, Aug!H10, Sep!H10)</f>
        <v>-8055.3000000000029</v>
      </c>
      <c r="I10" s="16">
        <f t="shared" si="2"/>
        <v>-2.5122974798743005E-2</v>
      </c>
    </row>
    <row r="11" spans="1:9" ht="15.6">
      <c r="A11" s="46" t="str">
        <v>4 Walpole Park South</v>
      </c>
      <c r="B11" s="10" t="str">
        <v>MA</v>
      </c>
      <c r="C11" s="11">
        <f>SUM(Jul!C11, Aug!C11, Sep!C11)</f>
        <v>181032</v>
      </c>
      <c r="D11" s="18">
        <f>SUM(Jul!D11, Aug!D11, Sep!D11)</f>
        <v>168500.01</v>
      </c>
      <c r="E11" s="18">
        <f t="shared" si="0"/>
        <v>12531.989999999991</v>
      </c>
      <c r="F11" s="19">
        <f t="shared" si="1"/>
        <v>7.4373823479298246E-2</v>
      </c>
      <c r="G11" s="18">
        <f>SUM(Jul!G11,Aug!G11,Sep!G11)</f>
        <v>177764.50999999998</v>
      </c>
      <c r="H11" s="20">
        <f>SUM(Jul!H11, Aug!H11, Sep!H11)</f>
        <v>3267.4900000000052</v>
      </c>
      <c r="I11" s="19">
        <f t="shared" si="2"/>
        <v>1.83810030472337E-2</v>
      </c>
    </row>
    <row r="12" spans="1:9" ht="15.6">
      <c r="A12" s="45" t="str">
        <v>Brockton</v>
      </c>
      <c r="B12" s="9" t="str">
        <v>MA</v>
      </c>
      <c r="C12" s="24">
        <f>SUM(Jul!C12, Aug!C12, Sep!C12)</f>
        <v>282590.5</v>
      </c>
      <c r="D12" s="13">
        <f>SUM(Jul!D12, Aug!D12, Sep!D12)</f>
        <v>256056.65</v>
      </c>
      <c r="E12" s="13">
        <f t="shared" si="0"/>
        <v>26533.850000000006</v>
      </c>
      <c r="F12" s="14">
        <f t="shared" si="1"/>
        <v>0.10362492050099073</v>
      </c>
      <c r="G12" s="15">
        <f>SUM(Jul!G12,Aug!G12,Sep!G12)</f>
        <v>291819.96000000002</v>
      </c>
      <c r="H12" s="15">
        <f>SUM(Jul!H12, Aug!H12, Sep!H12)</f>
        <v>-9229.4600000000064</v>
      </c>
      <c r="I12" s="16">
        <f t="shared" si="2"/>
        <v>-3.162724030254821E-2</v>
      </c>
    </row>
    <row r="13" spans="1:9" ht="15.6">
      <c r="A13" s="46" t="str">
        <v>Canton</v>
      </c>
      <c r="B13" s="10" t="str">
        <v>MA</v>
      </c>
      <c r="C13" s="11">
        <f>SUM(Jul!C13, Aug!C13, Sep!C13)</f>
        <v>286174.5</v>
      </c>
      <c r="D13" s="18">
        <f>SUM(Jul!D13, Aug!D13, Sep!D13)</f>
        <v>260959.57</v>
      </c>
      <c r="E13" s="18">
        <f t="shared" si="0"/>
        <v>25214.929999999993</v>
      </c>
      <c r="F13" s="19">
        <f t="shared" si="1"/>
        <v>9.6623894651573769E-2</v>
      </c>
      <c r="G13" s="18">
        <f>SUM(Jul!G13,Aug!G13,Sep!G13)</f>
        <v>290070.59999999998</v>
      </c>
      <c r="H13" s="20">
        <f>SUM(Jul!H13, Aug!H13, Sep!H13)</f>
        <v>-3896.0999999999913</v>
      </c>
      <c r="I13" s="19">
        <f t="shared" si="2"/>
        <v>-1.3431557696643477E-2</v>
      </c>
    </row>
    <row r="14" spans="1:9" ht="15.6">
      <c r="A14" s="45" t="str">
        <v>Chelsea</v>
      </c>
      <c r="B14" s="9" t="str">
        <v>MA</v>
      </c>
      <c r="C14" s="24">
        <f>SUM(Jul!C14, Aug!C14, Sep!C14)</f>
        <v>498025</v>
      </c>
      <c r="D14" s="13">
        <f>SUM(Jul!D14, Aug!D14, Sep!D14)</f>
        <v>474182.3</v>
      </c>
      <c r="E14" s="13">
        <f t="shared" si="0"/>
        <v>23842.700000000012</v>
      </c>
      <c r="F14" s="14">
        <f t="shared" si="1"/>
        <v>5.0281716546568718E-2</v>
      </c>
      <c r="G14" s="15">
        <f>SUM(Jul!G14,Aug!G14,Sep!G14)</f>
        <v>468786.89999999997</v>
      </c>
      <c r="H14" s="15">
        <f>SUM(Jul!H14, Aug!H14, Sep!H14)</f>
        <v>29238.100000000006</v>
      </c>
      <c r="I14" s="16">
        <f t="shared" si="2"/>
        <v>6.2369703590266723E-2</v>
      </c>
    </row>
    <row r="15" spans="1:9" ht="15.6">
      <c r="A15" s="46" t="str">
        <v>Hamilton Landfill</v>
      </c>
      <c r="B15" s="10" t="str">
        <v>MA</v>
      </c>
      <c r="C15" s="11">
        <f>SUM(Jul!C15, Aug!C15, Sep!C15)</f>
        <v>404979.467</v>
      </c>
      <c r="D15" s="18">
        <f>SUM(Jul!D15, Aug!D15, Sep!D15)</f>
        <v>432028.717</v>
      </c>
      <c r="E15" s="18">
        <f t="shared" si="0"/>
        <v>-27049.25</v>
      </c>
      <c r="F15" s="19">
        <f t="shared" si="1"/>
        <v>-6.260984266932422E-2</v>
      </c>
      <c r="G15" s="18">
        <f>SUM(Jul!G15,Aug!G15,Sep!G15)</f>
        <v>0</v>
      </c>
      <c r="H15" s="20">
        <f>SUM(Jul!H15, Aug!H15, Sep!H15)</f>
        <v>0</v>
      </c>
      <c r="I15" s="19" t="str">
        <f t="shared" si="2"/>
        <v/>
      </c>
    </row>
    <row r="16" spans="1:9" ht="15.6">
      <c r="A16" s="45" t="str">
        <v>Holliston</v>
      </c>
      <c r="B16" s="9" t="str">
        <v>MA</v>
      </c>
      <c r="C16" s="24">
        <f>SUM(Jul!C16, Aug!C16, Sep!C16)</f>
        <v>588812</v>
      </c>
      <c r="D16" s="13">
        <f>SUM(Jul!D16, Aug!D16, Sep!D16)</f>
        <v>818699.1</v>
      </c>
      <c r="E16" s="13">
        <f t="shared" ref="E16:E19" si="3">IF(AND(ISNUMBER(C16),ISNUMBER(D16)), C16-D16, "")</f>
        <v>-229887.09999999998</v>
      </c>
      <c r="F16" s="14">
        <f t="shared" ref="F16:F19" si="4">IFERROR(E16/D16, "")</f>
        <v>-0.28079559388791314</v>
      </c>
      <c r="G16" s="15">
        <f>SUM(Jul!G16,Aug!G16,Sep!G16)</f>
        <v>763173.7</v>
      </c>
      <c r="H16" s="15">
        <f>SUM(Jul!H16, Aug!H16, Sep!H16)</f>
        <v>-174361.69999999995</v>
      </c>
      <c r="I16" s="16">
        <f t="shared" ref="I16:I19" si="5">IFERROR(H16/G16, "")</f>
        <v>-0.2284692200478082</v>
      </c>
    </row>
    <row r="17" spans="1:9" ht="15.6">
      <c r="A17" s="46" t="str">
        <v>Natick HS - Carports</v>
      </c>
      <c r="B17" s="10" t="str">
        <v>MA</v>
      </c>
      <c r="C17" s="11">
        <f>SUM(Jul!C17, Aug!C17, Sep!C17)</f>
        <v>248984.07699999999</v>
      </c>
      <c r="D17" s="18">
        <f>SUM(Jul!D17, Aug!D17, Sep!D17)</f>
        <v>290907.32</v>
      </c>
      <c r="E17" s="18">
        <f t="shared" si="3"/>
        <v>-41923.243000000017</v>
      </c>
      <c r="F17" s="19">
        <f t="shared" si="4"/>
        <v>-0.14411202509445281</v>
      </c>
      <c r="G17" s="18">
        <f>SUM(Jul!G17,Aug!G17,Sep!G17)</f>
        <v>0</v>
      </c>
      <c r="H17" s="20">
        <f>SUM(Jul!H17, Aug!H17, Sep!H17)</f>
        <v>0</v>
      </c>
      <c r="I17" s="19" t="str">
        <f t="shared" si="5"/>
        <v/>
      </c>
    </row>
    <row r="18" spans="1:9" ht="12.75" customHeight="1">
      <c r="A18" s="45" t="str">
        <v>Norton</v>
      </c>
      <c r="B18" s="9" t="str">
        <v>MA</v>
      </c>
      <c r="C18" s="24">
        <f>SUM(Jul!C18, Aug!C18, Sep!C18)</f>
        <v>756265.5</v>
      </c>
      <c r="D18" s="13">
        <f>SUM(Jul!D18, Aug!D18, Sep!D18)</f>
        <v>1452551</v>
      </c>
      <c r="E18" s="13">
        <f t="shared" si="3"/>
        <v>-696285.5</v>
      </c>
      <c r="F18" s="14">
        <f t="shared" si="4"/>
        <v>-0.47935356486622499</v>
      </c>
      <c r="G18" s="15">
        <f>SUM(Jul!G18,Aug!G18,Sep!G18)</f>
        <v>1621506.7000000002</v>
      </c>
      <c r="H18" s="15">
        <f>SUM(Jul!H18, Aug!H18, Sep!H18)</f>
        <v>-865241.20000000007</v>
      </c>
      <c r="I18" s="16">
        <f t="shared" si="5"/>
        <v>-0.53360322223768797</v>
      </c>
    </row>
    <row r="19" spans="1:9" ht="15.6">
      <c r="A19" s="46" t="str">
        <v>Palmer - Boston Rd.</v>
      </c>
      <c r="B19" s="10" t="str">
        <v>MA</v>
      </c>
      <c r="C19" s="11">
        <f>SUM(Jul!C19, Aug!C19, Sep!C19)</f>
        <v>248957</v>
      </c>
      <c r="D19" s="18">
        <f>SUM(Jul!D19, Aug!D19, Sep!D19)</f>
        <v>227835</v>
      </c>
      <c r="E19" s="18">
        <f t="shared" si="3"/>
        <v>21122</v>
      </c>
      <c r="F19" s="19">
        <f t="shared" si="4"/>
        <v>9.2707441789013981E-2</v>
      </c>
      <c r="G19" s="18">
        <f>SUM(Jul!G19,Aug!G19,Sep!G19)</f>
        <v>241724</v>
      </c>
      <c r="H19" s="20">
        <f>SUM(Jul!H19, Aug!H19, Sep!H19)</f>
        <v>7233</v>
      </c>
      <c r="I19" s="19">
        <f t="shared" si="5"/>
        <v>2.9922556303883768E-2</v>
      </c>
    </row>
    <row r="20" spans="1:9" ht="15.6">
      <c r="A20" s="45" t="str">
        <v>Shirley Bartkus</v>
      </c>
      <c r="B20" s="9" t="str">
        <v>MA</v>
      </c>
      <c r="C20" s="24">
        <f>SUM(Jul!C20, Aug!C20, Sep!C20)</f>
        <v>378940</v>
      </c>
      <c r="D20" s="13">
        <f>SUM(Jul!D20, Aug!D20, Sep!D20)</f>
        <v>346119.30000000005</v>
      </c>
      <c r="E20" s="13">
        <f t="shared" ref="E20:E40" si="6">IF(AND(ISNUMBER(C20),ISNUMBER(D20)), C20-D20, "")</f>
        <v>32820.699999999953</v>
      </c>
      <c r="F20" s="14">
        <f t="shared" ref="F20:F40" si="7">IFERROR(E20/D20, "")</f>
        <v>9.4824819072498845E-2</v>
      </c>
      <c r="G20" s="15">
        <f>SUM(Jul!G20,Aug!G20,Sep!G20)</f>
        <v>392654</v>
      </c>
      <c r="H20" s="15">
        <f>SUM(Jul!H20, Aug!H20, Sep!H20)</f>
        <v>-13714</v>
      </c>
      <c r="I20" s="16">
        <f t="shared" ref="I20:I40" si="8">IFERROR(H20/G20, "")</f>
        <v>-3.4926423772583495E-2</v>
      </c>
    </row>
    <row r="21" spans="1:9" ht="15.6">
      <c r="A21" s="46" t="str">
        <v>Stoughton</v>
      </c>
      <c r="B21" s="10" t="str">
        <v>MA</v>
      </c>
      <c r="C21" s="11">
        <f>SUM(Jul!C21, Aug!C21, Sep!C21)</f>
        <v>329844</v>
      </c>
      <c r="D21" s="18">
        <f>SUM(Jul!D21, Aug!D21, Sep!D21)</f>
        <v>184865.56</v>
      </c>
      <c r="E21" s="18">
        <f t="shared" si="6"/>
        <v>144978.44</v>
      </c>
      <c r="F21" s="19">
        <f t="shared" si="7"/>
        <v>0.78423715050007159</v>
      </c>
      <c r="G21" s="18">
        <f>SUM(Jul!G21,Aug!G21,Sep!G21)</f>
        <v>319496.63</v>
      </c>
      <c r="H21" s="20">
        <f>SUM(Jul!H21, Aug!H21, Sep!H21)</f>
        <v>10347.37000000001</v>
      </c>
      <c r="I21" s="19">
        <f t="shared" si="8"/>
        <v>3.2386476189122902E-2</v>
      </c>
    </row>
    <row r="22" spans="1:9" ht="15.6">
      <c r="A22" s="45" t="str">
        <v>Wellfleet Landfill</v>
      </c>
      <c r="B22" s="9" t="str">
        <v>MA</v>
      </c>
      <c r="C22" s="24">
        <f>SUM(Jul!C22, Aug!C22, Sep!C22)</f>
        <v>414184.68200000003</v>
      </c>
      <c r="D22" s="13">
        <f>SUM(Jul!D22, Aug!D22, Sep!D22)</f>
        <v>435949.74800000002</v>
      </c>
      <c r="E22" s="13">
        <f t="shared" si="6"/>
        <v>-21765.065999999992</v>
      </c>
      <c r="F22" s="14">
        <f t="shared" si="7"/>
        <v>-4.9925630419219762E-2</v>
      </c>
      <c r="G22" s="15">
        <f>SUM(Jul!G22,Aug!G22,Sep!G22)</f>
        <v>0</v>
      </c>
      <c r="H22" s="15">
        <f>SUM(Jul!H22, Aug!H22, Sep!H22)</f>
        <v>0</v>
      </c>
      <c r="I22" s="16" t="str">
        <f t="shared" si="8"/>
        <v/>
      </c>
    </row>
    <row r="23" spans="1:9" ht="15.6">
      <c r="A23" s="46" t="str">
        <v>Wilmington Garage &amp; Building 7</v>
      </c>
      <c r="B23" s="10" t="str">
        <v>MA</v>
      </c>
      <c r="C23" s="11">
        <f>SUM(Jul!C23, Aug!C23, Sep!C23)</f>
        <v>438797.625</v>
      </c>
      <c r="D23" s="18">
        <f>SUM(Jul!D23, Aug!D23, Sep!D23)</f>
        <v>484791.6</v>
      </c>
      <c r="E23" s="18">
        <f t="shared" si="6"/>
        <v>-45993.974999999977</v>
      </c>
      <c r="F23" s="19">
        <f t="shared" si="7"/>
        <v>-9.4873704494879821E-2</v>
      </c>
      <c r="G23" s="18">
        <f>SUM(Jul!G23,Aug!G23,Sep!G23)</f>
        <v>495449.3</v>
      </c>
      <c r="H23" s="20">
        <f>SUM(Jul!H23, Aug!H23, Sep!H23)</f>
        <v>-56651.674999999988</v>
      </c>
      <c r="I23" s="19">
        <f t="shared" si="8"/>
        <v>-0.11434404085342333</v>
      </c>
    </row>
    <row r="24" spans="1:9" ht="15.6">
      <c r="A24" s="45" t="str">
        <v>Woburn</v>
      </c>
      <c r="B24" s="9" t="str">
        <v>MA</v>
      </c>
      <c r="C24" s="24">
        <f>SUM(Jul!C24, Aug!C24, Sep!C24)</f>
        <v>711823.63562753098</v>
      </c>
      <c r="D24" s="13">
        <f>SUM(Jul!D24, Aug!D24, Sep!D24)</f>
        <v>678387.7</v>
      </c>
      <c r="E24" s="13">
        <f t="shared" si="6"/>
        <v>33435.935627531027</v>
      </c>
      <c r="F24" s="14">
        <f t="shared" si="7"/>
        <v>4.9287355339035527E-2</v>
      </c>
      <c r="G24" s="15">
        <f>SUM(Jul!G24,Aug!G24,Sep!G24)</f>
        <v>721775.7</v>
      </c>
      <c r="H24" s="15">
        <f>SUM(Jul!H24, Aug!H24, Sep!H24)</f>
        <v>-9952.0643724690017</v>
      </c>
      <c r="I24" s="16">
        <f t="shared" si="8"/>
        <v>-1.3788306218218489E-2</v>
      </c>
    </row>
    <row r="25" spans="1:9" ht="15.6">
      <c r="A25" s="46" t="str">
        <v>Friendship Solar 1</v>
      </c>
      <c r="B25" s="10" t="str">
        <v>MD</v>
      </c>
      <c r="C25" s="11">
        <f>SUM(Jul!C25, Aug!C25, Sep!C25)</f>
        <v>1369677</v>
      </c>
      <c r="D25" s="18">
        <f>SUM(Jul!D25, Aug!D25, Sep!D25)</f>
        <v>1447309.9</v>
      </c>
      <c r="E25" s="18">
        <f t="shared" si="6"/>
        <v>-77632.899999999907</v>
      </c>
      <c r="F25" s="19">
        <f t="shared" si="7"/>
        <v>-5.363944515269322E-2</v>
      </c>
      <c r="G25" s="18">
        <f>SUM(Jul!G25,Aug!G25,Sep!G25)</f>
        <v>1587460.7</v>
      </c>
      <c r="H25" s="20">
        <f>SUM(Jul!H25, Aug!H25, Sep!H25)</f>
        <v>-217783.7</v>
      </c>
      <c r="I25" s="19">
        <f t="shared" si="8"/>
        <v>-0.13718997893932117</v>
      </c>
    </row>
    <row r="26" spans="1:9" ht="15.6">
      <c r="A26" s="45" t="str">
        <v>Friendship Solar 2</v>
      </c>
      <c r="B26" s="9" t="str">
        <v>MD</v>
      </c>
      <c r="C26" s="24">
        <f>SUM(Jul!C26, Aug!C26, Sep!C26)</f>
        <v>1337183</v>
      </c>
      <c r="D26" s="13">
        <f>SUM(Jul!D26, Aug!D26, Sep!D26)</f>
        <v>1448558.1</v>
      </c>
      <c r="E26" s="13">
        <f t="shared" si="6"/>
        <v>-111375.10000000009</v>
      </c>
      <c r="F26" s="14">
        <f t="shared" si="7"/>
        <v>-7.6886871158291875E-2</v>
      </c>
      <c r="G26" s="15">
        <f>SUM(Jul!G26,Aug!G26,Sep!G26)</f>
        <v>1537933.8</v>
      </c>
      <c r="H26" s="15">
        <f>SUM(Jul!H26, Aug!H26, Sep!H26)</f>
        <v>-200750.8</v>
      </c>
      <c r="I26" s="16">
        <f t="shared" si="8"/>
        <v>-0.13053279666524006</v>
      </c>
    </row>
    <row r="27" spans="1:9" ht="15.6">
      <c r="A27" s="46" t="str">
        <v>101 Carnegie Center</v>
      </c>
      <c r="B27" s="10" t="str">
        <v>NJ</v>
      </c>
      <c r="C27" s="11">
        <f>SUM(Jul!C27, Aug!C27, Sep!C27)</f>
        <v>0</v>
      </c>
      <c r="D27" s="18">
        <f>SUM(Jul!D27, Aug!D27, Sep!D27)</f>
        <v>0</v>
      </c>
      <c r="E27" s="18">
        <f t="shared" si="6"/>
        <v>0</v>
      </c>
      <c r="F27" s="19" t="str">
        <f t="shared" si="7"/>
        <v/>
      </c>
      <c r="G27" s="18">
        <f>SUM(Jul!G27,Aug!G27,Sep!G27)</f>
        <v>0</v>
      </c>
      <c r="H27" s="20">
        <f>SUM(Jul!H27, Aug!H27, Sep!H27)</f>
        <v>0</v>
      </c>
      <c r="I27" s="19" t="str">
        <f t="shared" si="8"/>
        <v/>
      </c>
    </row>
    <row r="28" spans="1:9" ht="15.6">
      <c r="A28" s="45" t="str">
        <v>302 Carnegie Center</v>
      </c>
      <c r="B28" s="9" t="str">
        <v>NJ</v>
      </c>
      <c r="C28" s="24">
        <f>SUM(Jul!C28, Aug!C28, Sep!C28)</f>
        <v>257481.3</v>
      </c>
      <c r="D28" s="13">
        <f>SUM(Jul!D28, Aug!D28, Sep!D28)</f>
        <v>255453.29499999998</v>
      </c>
      <c r="E28" s="13">
        <f t="shared" si="6"/>
        <v>2028.0050000000047</v>
      </c>
      <c r="F28" s="14">
        <f t="shared" si="7"/>
        <v>7.9388484693454619E-3</v>
      </c>
      <c r="G28" s="15">
        <f>SUM(Jul!G28,Aug!G28,Sep!G28)</f>
        <v>0</v>
      </c>
      <c r="H28" s="15">
        <f>SUM(Jul!H28, Aug!H28, Sep!H28)</f>
        <v>0</v>
      </c>
      <c r="I28" s="16" t="str">
        <f t="shared" si="8"/>
        <v/>
      </c>
    </row>
    <row r="29" spans="1:9" ht="15.6">
      <c r="A29" s="46" t="str">
        <v>510 Carnegie Center</v>
      </c>
      <c r="B29" s="10" t="str">
        <v>NJ</v>
      </c>
      <c r="C29" s="11">
        <f>SUM(Jul!C29, Aug!C29, Sep!C29)</f>
        <v>688524.90999999992</v>
      </c>
      <c r="D29" s="18">
        <f>SUM(Jul!D29, Aug!D29, Sep!D29)</f>
        <v>666927.94999999995</v>
      </c>
      <c r="E29" s="18">
        <f t="shared" si="6"/>
        <v>21596.959999999963</v>
      </c>
      <c r="F29" s="19">
        <f t="shared" si="7"/>
        <v>3.2382748391336674E-2</v>
      </c>
      <c r="G29" s="18">
        <f>SUM(Jul!G29,Aug!G29,Sep!G29)</f>
        <v>0</v>
      </c>
      <c r="H29" s="20">
        <f>SUM(Jul!H29, Aug!H29, Sep!H29)</f>
        <v>0</v>
      </c>
      <c r="I29" s="19" t="str">
        <f t="shared" si="8"/>
        <v/>
      </c>
    </row>
    <row r="30" spans="1:9" ht="15.6">
      <c r="A30" s="45" t="str">
        <v>701 Carnegie Center</v>
      </c>
      <c r="B30" s="9" t="str">
        <v>NJ</v>
      </c>
      <c r="C30" s="24">
        <f>SUM(Jul!C30, Aug!C30, Sep!C30)</f>
        <v>530980.527</v>
      </c>
      <c r="D30" s="13">
        <f>SUM(Jul!D30, Aug!D30, Sep!D30)</f>
        <v>553979.42000000004</v>
      </c>
      <c r="E30" s="13">
        <f t="shared" si="6"/>
        <v>-22998.89300000004</v>
      </c>
      <c r="F30" s="14">
        <f t="shared" si="7"/>
        <v>-4.1515789521567495E-2</v>
      </c>
      <c r="G30" s="15">
        <f>SUM(Jul!G30,Aug!G30,Sep!G30)</f>
        <v>0</v>
      </c>
      <c r="H30" s="15">
        <f>SUM(Jul!H30, Aug!H30, Sep!H30)</f>
        <v>0</v>
      </c>
      <c r="I30" s="16" t="str">
        <f t="shared" si="8"/>
        <v/>
      </c>
    </row>
    <row r="31" spans="1:9" ht="15.6">
      <c r="A31" s="46" t="str">
        <v>Hudson County Correction</v>
      </c>
      <c r="B31" s="10" t="str">
        <v>NJ</v>
      </c>
      <c r="C31" s="11">
        <f>SUM(Jul!C31, Aug!C31, Sep!C31)</f>
        <v>675589.16189762903</v>
      </c>
      <c r="D31" s="18">
        <f>SUM(Jul!D31, Aug!D31, Sep!D31)</f>
        <v>684813.6</v>
      </c>
      <c r="E31" s="18">
        <f t="shared" si="6"/>
        <v>-9224.4381023709429</v>
      </c>
      <c r="F31" s="19">
        <f t="shared" si="7"/>
        <v>-1.3469998408867673E-2</v>
      </c>
      <c r="G31" s="18">
        <f>SUM(Jul!G31,Aug!G31,Sep!G31)</f>
        <v>683393.5</v>
      </c>
      <c r="H31" s="20">
        <f>SUM(Jul!H31, Aug!H31, Sep!H31)</f>
        <v>-7804.3381023709953</v>
      </c>
      <c r="I31" s="19">
        <f t="shared" si="8"/>
        <v>-1.1419977073781057E-2</v>
      </c>
    </row>
    <row r="32" spans="1:9" ht="15.6">
      <c r="A32" s="45" t="str">
        <v>ER Bison Solar</v>
      </c>
      <c r="B32" s="9" t="str">
        <v>PA</v>
      </c>
      <c r="C32" s="24">
        <f>SUM(Jul!C32, Aug!C32, Sep!C32)</f>
        <v>647773</v>
      </c>
      <c r="D32" s="13">
        <f>SUM(Jul!D32, Aug!D32, Sep!D32)</f>
        <v>0</v>
      </c>
      <c r="E32" s="13">
        <f t="shared" si="6"/>
        <v>647773</v>
      </c>
      <c r="F32" s="14" t="str">
        <f t="shared" si="7"/>
        <v/>
      </c>
      <c r="G32" s="15">
        <f>SUM(Jul!G32,Aug!G32,Sep!G32)</f>
        <v>701223</v>
      </c>
      <c r="H32" s="15">
        <f>SUM(Jul!H32, Aug!H32, Sep!H32)</f>
        <v>-53450</v>
      </c>
      <c r="I32" s="16">
        <f t="shared" si="8"/>
        <v>-7.6223968694694846E-2</v>
      </c>
    </row>
    <row r="33" spans="1:9" ht="15.6">
      <c r="A33" s="46" t="str">
        <v>Danville</v>
      </c>
      <c r="B33" s="10" t="str">
        <v>IL</v>
      </c>
      <c r="C33" s="11">
        <f>SUM(Jul!C33, Aug!C33, Sep!C33)</f>
        <v>1187710.8339999998</v>
      </c>
      <c r="D33" s="18">
        <f>SUM(Jul!D33, Aug!D33, Sep!D33)</f>
        <v>0</v>
      </c>
      <c r="E33" s="18">
        <f t="shared" si="6"/>
        <v>1187710.8339999998</v>
      </c>
      <c r="F33" s="19" t="str">
        <f t="shared" si="7"/>
        <v/>
      </c>
      <c r="G33" s="18">
        <f>SUM(Jul!G33,Aug!G33,Sep!G33)</f>
        <v>0</v>
      </c>
      <c r="H33" s="20">
        <f>SUM(Jul!H33, Aug!H33, Sep!H33)</f>
        <v>0</v>
      </c>
      <c r="I33" s="19" t="str">
        <f t="shared" si="8"/>
        <v/>
      </c>
    </row>
    <row r="34" spans="1:9" ht="15.6">
      <c r="A34" s="45" t="str">
        <v>Camden - Campbell Soup HQ</v>
      </c>
      <c r="B34" s="9" t="str">
        <v>NJ</v>
      </c>
      <c r="C34" s="24">
        <f>SUM(Jul!C34, Aug!C34, Sep!C34)</f>
        <v>986678</v>
      </c>
      <c r="D34" s="13">
        <f>SUM(Jul!D34, Aug!D34, Sep!D34)</f>
        <v>1858006.1703999999</v>
      </c>
      <c r="E34" s="13">
        <f t="shared" si="6"/>
        <v>-871328.17039999994</v>
      </c>
      <c r="F34" s="14">
        <f t="shared" si="7"/>
        <v>-0.46895870653239891</v>
      </c>
      <c r="G34" s="15">
        <f>SUM(Jul!G34,Aug!G34,Sep!G34)</f>
        <v>1678536.67</v>
      </c>
      <c r="H34" s="15">
        <f>SUM(Jul!H34, Aug!H34, Sep!H34)</f>
        <v>-691858.66999999993</v>
      </c>
      <c r="I34" s="16">
        <f t="shared" si="8"/>
        <v>-0.41217965765383008</v>
      </c>
    </row>
    <row r="35" spans="1:9" ht="15.6">
      <c r="A35" s="46" t="str">
        <v>Westport - Pine Hill</v>
      </c>
      <c r="B35" s="10" t="str">
        <v>MA</v>
      </c>
      <c r="C35" s="11">
        <f>SUM(Jul!C35, Aug!C35, Sep!C35)</f>
        <v>1779232</v>
      </c>
      <c r="D35" s="18">
        <f>SUM(Jul!D35, Aug!D35, Sep!D35)</f>
        <v>0</v>
      </c>
      <c r="E35" s="18">
        <f t="shared" si="6"/>
        <v>1779232</v>
      </c>
      <c r="F35" s="19" t="str">
        <f t="shared" si="7"/>
        <v/>
      </c>
      <c r="G35" s="18">
        <f>SUM(Jul!G35,Aug!G35,Sep!G35)</f>
        <v>1873157</v>
      </c>
      <c r="H35" s="20">
        <f>SUM(Jul!H35, Aug!H35, Sep!H35)</f>
        <v>-93925</v>
      </c>
      <c r="I35" s="19">
        <f t="shared" si="8"/>
        <v>-5.014262018613496E-2</v>
      </c>
    </row>
    <row r="36" spans="1:9" ht="15.6">
      <c r="A36" s="45" t="str">
        <v>Oaks Landfill - ANEM</v>
      </c>
      <c r="B36" s="9" t="str">
        <v>MD</v>
      </c>
      <c r="C36" s="24">
        <f>SUM(Jul!C36, Aug!C36, Sep!C36)</f>
        <v>1016234.6939999999</v>
      </c>
      <c r="D36" s="13">
        <f>SUM(Jul!D36, Aug!D36, Sep!D36)</f>
        <v>1158858.8050000002</v>
      </c>
      <c r="E36" s="13">
        <f t="shared" si="6"/>
        <v>-142624.11100000027</v>
      </c>
      <c r="F36" s="14">
        <f t="shared" si="7"/>
        <v>-0.12307289756494558</v>
      </c>
      <c r="G36" s="15">
        <f>SUM(Jul!G36,Aug!G36,Sep!G36)</f>
        <v>0</v>
      </c>
      <c r="H36" s="15">
        <f>SUM(Jul!H36, Aug!H36, Sep!H36)</f>
        <v>0</v>
      </c>
      <c r="I36" s="16" t="str">
        <f t="shared" si="8"/>
        <v/>
      </c>
    </row>
    <row r="37" spans="1:9" ht="15.6">
      <c r="A37" s="46" t="str">
        <v>Oaks Landfill - CS2</v>
      </c>
      <c r="B37" s="10" t="str">
        <v>MD</v>
      </c>
      <c r="C37" s="11">
        <f>SUM(Jul!C37, Aug!C37, Sep!C37)</f>
        <v>1055293.702</v>
      </c>
      <c r="D37" s="18">
        <f>SUM(Jul!D37, Aug!D37, Sep!D37)</f>
        <v>1192401.4309999999</v>
      </c>
      <c r="E37" s="18">
        <f t="shared" si="6"/>
        <v>-137107.72899999982</v>
      </c>
      <c r="F37" s="19">
        <f t="shared" si="7"/>
        <v>-0.11498453912875238</v>
      </c>
      <c r="G37" s="18">
        <f>SUM(Jul!G37,Aug!G37,Sep!G37)</f>
        <v>0</v>
      </c>
      <c r="H37" s="20">
        <f>SUM(Jul!H37, Aug!H37, Sep!H37)</f>
        <v>0</v>
      </c>
      <c r="I37" s="19" t="str">
        <f t="shared" si="8"/>
        <v/>
      </c>
    </row>
    <row r="38" spans="1:9" ht="15.6">
      <c r="A38" s="45" t="str">
        <v>Oaks Landfill - CS1</v>
      </c>
      <c r="B38" s="9" t="str">
        <v>MD</v>
      </c>
      <c r="C38" s="24">
        <f>SUM(Jul!C38, Aug!C38, Sep!C38)</f>
        <v>1076091.8960000002</v>
      </c>
      <c r="D38" s="13">
        <f>SUM(Jul!D38, Aug!D38, Sep!D38)</f>
        <v>1192396.0649999999</v>
      </c>
      <c r="E38" s="13">
        <f t="shared" si="6"/>
        <v>-116304.16899999976</v>
      </c>
      <c r="F38" s="14">
        <f t="shared" si="7"/>
        <v>-9.7538202627328999E-2</v>
      </c>
      <c r="G38" s="15">
        <f>SUM(Jul!G38,Aug!G38,Sep!G38)</f>
        <v>0</v>
      </c>
      <c r="H38" s="15">
        <f>SUM(Jul!H38, Aug!H38, Sep!H38)</f>
        <v>0</v>
      </c>
      <c r="I38" s="16" t="str">
        <f t="shared" si="8"/>
        <v/>
      </c>
    </row>
    <row r="39" spans="1:9" ht="15.6">
      <c r="A39" s="46" t="str">
        <v>Plympton - Upland Solar - PV &amp; BESS (IRA)</v>
      </c>
      <c r="B39" s="10" t="str">
        <v>MA</v>
      </c>
      <c r="C39" s="11">
        <f>SUM(Jul!C39, Aug!C39, Sep!C39)</f>
        <v>2302369</v>
      </c>
      <c r="D39" s="18">
        <f>SUM(Jul!D39, Aug!D39, Sep!D39)</f>
        <v>2433823.4929999998</v>
      </c>
      <c r="E39" s="18">
        <f t="shared" si="6"/>
        <v>-131454.49299999978</v>
      </c>
      <c r="F39" s="19">
        <f t="shared" si="7"/>
        <v>-5.4011514548232602E-2</v>
      </c>
      <c r="G39" s="18">
        <f>SUM(Jul!G39,Aug!G39,Sep!G39)</f>
        <v>2119613.08</v>
      </c>
      <c r="H39" s="20">
        <f>SUM(Jul!H39, Aug!H39, Sep!H39)</f>
        <v>182755.92000000004</v>
      </c>
      <c r="I39" s="19">
        <f t="shared" si="8"/>
        <v>8.6221358852909158E-2</v>
      </c>
    </row>
    <row r="40" spans="1:9" ht="15.6">
      <c r="A40" s="45" t="str">
        <v>MA: Plymouth - Black Cat Solar - PV &amp; BESS (IRA)</v>
      </c>
      <c r="B40" s="9" t="str">
        <v>MA</v>
      </c>
      <c r="C40" s="24">
        <f>SUM(Jul!C40, Aug!C40, Sep!C40)</f>
        <v>105340.26999999999</v>
      </c>
      <c r="D40" s="13">
        <f>SUM(Jul!D40, Aug!D40, Sep!D40)</f>
        <v>116920.6</v>
      </c>
      <c r="E40" s="13">
        <f t="shared" si="6"/>
        <v>-11580.330000000016</v>
      </c>
      <c r="F40" s="14">
        <f t="shared" si="7"/>
        <v>-9.9044394229930527E-2</v>
      </c>
      <c r="G40" s="15">
        <f>SUM(Jul!G40,Aug!G40,Sep!G40)</f>
        <v>255728</v>
      </c>
      <c r="H40" s="15">
        <f>SUM(Jul!H40, Aug!H40, Sep!H40)</f>
        <v>-150387.73000000001</v>
      </c>
      <c r="I40" s="16">
        <f t="shared" si="8"/>
        <v>-0.58807690202089724</v>
      </c>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mergeCells count="4">
    <mergeCell ref="G1:I1"/>
    <mergeCell ref="A1:C1"/>
    <mergeCell ref="D1:F1"/>
    <mergeCell ref="A2:B2"/>
  </mergeCells>
  <conditionalFormatting sqref="F2 I2 F4:F100 I4:I100">
    <cfRule type="cellIs" dxfId="51" priority="1" stopIfTrue="1" operator="lessThanOrEqual">
      <formula>-0.1</formula>
    </cfRule>
    <cfRule type="expression" dxfId="50"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42"/>
  <sheetViews>
    <sheetView workbookViewId="0">
      <pane xSplit="2" ySplit="3" topLeftCell="C30" activePane="bottomRight" state="frozen"/>
      <selection pane="bottomRight" activeCell="G51" sqref="G51"/>
      <selection pane="bottomLeft" activeCell="K22" sqref="K22"/>
      <selection pane="topRight" activeCell="K22" sqref="K2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7" t="str" cm="1">
        <f t="array" ref="A1">portfolio</f>
        <v>Greenbacker Capital</v>
      </c>
      <c r="B1" s="117"/>
      <c r="C1" s="117"/>
      <c r="D1" s="118" t="s">
        <v>16</v>
      </c>
      <c r="E1" s="118"/>
      <c r="F1" s="118"/>
      <c r="G1" s="116" t="s">
        <v>17</v>
      </c>
      <c r="H1" s="116"/>
      <c r="I1" s="116"/>
    </row>
    <row r="2" spans="1:9" ht="19.5" customHeight="1">
      <c r="A2" s="119" t="s">
        <v>2</v>
      </c>
      <c r="B2" s="119"/>
      <c r="C2" s="5">
        <f>SUM(C4:C100)</f>
        <v>11154159.009805467</v>
      </c>
      <c r="D2" s="5">
        <f>SUM(D4:D100)</f>
        <v>11121089.7163746</v>
      </c>
      <c r="E2" s="5">
        <f>C2-D2</f>
        <v>33069.293430866674</v>
      </c>
      <c r="F2" s="6">
        <f>IFERROR(E2/D2, 0)</f>
        <v>2.9735659251247403E-3</v>
      </c>
      <c r="G2" s="5">
        <f>SUM(G4:G100)</f>
        <v>8342102.9221290005</v>
      </c>
      <c r="H2" s="7">
        <f>C2-G2</f>
        <v>2812056.0876764664</v>
      </c>
      <c r="I2" s="6">
        <f>IFERROR(H2/G2, 0)</f>
        <v>0.33709199154291869</v>
      </c>
    </row>
    <row r="3" spans="1:9" ht="14.25" customHeight="1">
      <c r="A3" s="8" t="s">
        <v>3</v>
      </c>
      <c r="B3" s="8" t="s">
        <v>4</v>
      </c>
      <c r="C3" s="23" t="s">
        <v>5</v>
      </c>
      <c r="D3" s="35" t="s">
        <v>6</v>
      </c>
      <c r="E3" s="35" t="s">
        <v>7</v>
      </c>
      <c r="F3" s="36" t="s">
        <v>8</v>
      </c>
      <c r="G3" s="37" t="s">
        <v>9</v>
      </c>
      <c r="H3" s="38" t="s">
        <v>7</v>
      </c>
      <c r="I3" s="39" t="s">
        <v>8</v>
      </c>
    </row>
    <row r="4" spans="1:9" ht="15.6">
      <c r="A4" s="45" t="str" cm="1">
        <f t="array" ref="A4:A40">Sites[Site]</f>
        <v>10 Walpole Park South</v>
      </c>
      <c r="B4" s="9" t="str" cm="1">
        <f t="array" ref="B4:B40">Sites[State]</f>
        <v>MA</v>
      </c>
      <c r="C4" s="24">
        <f>SUM(Oct!C4, Nov!C4, Dec!C4)</f>
        <v>17181.5</v>
      </c>
      <c r="D4" s="13">
        <f>SUM(Oct!D4, Nov!D4, Dec!D4)</f>
        <v>25561.710999999999</v>
      </c>
      <c r="E4" s="13">
        <f>IF(AND(ISNUMBER(C4),ISNUMBER(D4)), C4-D4, "")</f>
        <v>-8380.2109999999993</v>
      </c>
      <c r="F4" s="14">
        <f>IFERROR(E4/D4, "")</f>
        <v>-0.32784233418490644</v>
      </c>
      <c r="G4" s="15">
        <f>SUM(Oct!G4,Nov!G4,Dec!G4)</f>
        <v>26832.976000000002</v>
      </c>
      <c r="H4" s="15">
        <f>SUM(Oct!H4, Nov!H4, Dec!H4)</f>
        <v>-9651.4760000000006</v>
      </c>
      <c r="I4" s="16">
        <f>IFERROR(H4/G4, "")</f>
        <v>-0.35968712527451296</v>
      </c>
    </row>
    <row r="5" spans="1:9" ht="15.6">
      <c r="A5" s="46" t="str">
        <v>15 Walpole Park South</v>
      </c>
      <c r="B5" s="10" t="str">
        <v>MA</v>
      </c>
      <c r="C5" s="11">
        <f>SUM(Oct!C5, Nov!C5, Dec!C5)</f>
        <v>95071.5</v>
      </c>
      <c r="D5" s="18">
        <f>SUM(Oct!D5, Nov!D5, Dec!D5)</f>
        <v>97438.67</v>
      </c>
      <c r="E5" s="18">
        <f t="shared" ref="E5:E15" si="0">IF(AND(ISNUMBER(C5),ISNUMBER(D5)), C5-D5, "")</f>
        <v>-2367.1699999999983</v>
      </c>
      <c r="F5" s="19">
        <f>IFERROR(E5/D5, "")</f>
        <v>-2.42939481829955E-2</v>
      </c>
      <c r="G5" s="18">
        <f>SUM(Oct!G5,Nov!G5,Dec!G5)</f>
        <v>88783.039999999994</v>
      </c>
      <c r="H5" s="20">
        <f>SUM(Oct!H5, Nov!H5, Dec!H5)</f>
        <v>6288.4599999999991</v>
      </c>
      <c r="I5" s="19">
        <f>IFERROR(H5/G5, "")</f>
        <v>7.0829518790976292E-2</v>
      </c>
    </row>
    <row r="6" spans="1:9" ht="15.6">
      <c r="A6" s="45" t="str">
        <v>19 Walpole Park South</v>
      </c>
      <c r="B6" s="9" t="str">
        <v>MA</v>
      </c>
      <c r="C6" s="24">
        <f>SUM(Oct!C6, Nov!C6, Dec!C6)</f>
        <v>54959.25</v>
      </c>
      <c r="D6" s="13">
        <f>SUM(Oct!D6, Nov!D6, Dec!D6)</f>
        <v>59692.42</v>
      </c>
      <c r="E6" s="13">
        <f t="shared" si="0"/>
        <v>-4733.1699999999983</v>
      </c>
      <c r="F6" s="14">
        <f t="shared" ref="F6:F15" si="1">IFERROR(E6/D6, "")</f>
        <v>-7.9292647207132805E-2</v>
      </c>
      <c r="G6" s="15">
        <f>SUM(Oct!G6,Nov!G6,Dec!G6)</f>
        <v>58063.409999999996</v>
      </c>
      <c r="H6" s="15">
        <f>SUM(Oct!H6, Nov!H6, Dec!H6)</f>
        <v>-3104.159999999998</v>
      </c>
      <c r="I6" s="16">
        <f t="shared" ref="I6:I15" si="2">IFERROR(H6/G6, "")</f>
        <v>-5.3461551775894636E-2</v>
      </c>
    </row>
    <row r="7" spans="1:9" ht="15.6">
      <c r="A7" s="46" t="str">
        <v>23 Walpole Park South</v>
      </c>
      <c r="B7" s="10" t="str">
        <v>MA</v>
      </c>
      <c r="C7" s="11">
        <f>SUM(Oct!C7, Nov!C7, Dec!C7)</f>
        <v>73340.25</v>
      </c>
      <c r="D7" s="18">
        <f>SUM(Oct!D7, Nov!D7, Dec!D7)</f>
        <v>77530.12</v>
      </c>
      <c r="E7" s="18">
        <f t="shared" si="0"/>
        <v>-4189.8699999999953</v>
      </c>
      <c r="F7" s="19">
        <f t="shared" si="1"/>
        <v>-5.4041835611759605E-2</v>
      </c>
      <c r="G7" s="18">
        <f>SUM(Oct!G7,Nov!G7,Dec!G7)</f>
        <v>74755.45</v>
      </c>
      <c r="H7" s="20">
        <f>SUM(Oct!H7, Nov!H7, Dec!H7)</f>
        <v>-1415.1999999999971</v>
      </c>
      <c r="I7" s="19">
        <f t="shared" si="2"/>
        <v>-1.8931061213597097E-2</v>
      </c>
    </row>
    <row r="8" spans="1:9" ht="15.6">
      <c r="A8" s="45" t="str">
        <v>24 Walpole Park South</v>
      </c>
      <c r="B8" s="9" t="str">
        <v>MA</v>
      </c>
      <c r="C8" s="24">
        <f>SUM(Oct!C8, Nov!C8, Dec!C8)</f>
        <v>102393</v>
      </c>
      <c r="D8" s="13">
        <f>SUM(Oct!D8, Nov!D8, Dec!D8)</f>
        <v>76034.998999999996</v>
      </c>
      <c r="E8" s="13">
        <f t="shared" si="0"/>
        <v>26358.001000000004</v>
      </c>
      <c r="F8" s="14">
        <f t="shared" si="1"/>
        <v>0.3466561629072949</v>
      </c>
      <c r="G8" s="15">
        <f>SUM(Oct!G8,Nov!G8,Dec!G8)</f>
        <v>115121.39</v>
      </c>
      <c r="H8" s="15">
        <f>SUM(Oct!H8, Nov!H8, Dec!H8)</f>
        <v>-12728.389999999996</v>
      </c>
      <c r="I8" s="16">
        <f t="shared" si="2"/>
        <v>-0.11056494366511728</v>
      </c>
    </row>
    <row r="9" spans="1:9" ht="15.6">
      <c r="A9" s="46" t="str">
        <v>25 Walpole Park South</v>
      </c>
      <c r="B9" s="10" t="str">
        <v>MA</v>
      </c>
      <c r="C9" s="11">
        <f>SUM(Oct!C9, Nov!C9, Dec!C9)</f>
        <v>107897</v>
      </c>
      <c r="D9" s="18">
        <f>SUM(Oct!D9, Nov!D9, Dec!D9)</f>
        <v>118276.00000000001</v>
      </c>
      <c r="E9" s="18">
        <f t="shared" si="0"/>
        <v>-10379.000000000015</v>
      </c>
      <c r="F9" s="19">
        <f t="shared" si="1"/>
        <v>-8.7752375798978766E-2</v>
      </c>
      <c r="G9" s="18">
        <f>SUM(Oct!G9,Nov!G9,Dec!G9)</f>
        <v>117107.48</v>
      </c>
      <c r="H9" s="20">
        <f>SUM(Oct!H9, Nov!H9, Dec!H9)</f>
        <v>-9210.48</v>
      </c>
      <c r="I9" s="19">
        <f t="shared" si="2"/>
        <v>-7.8649801020395968E-2</v>
      </c>
    </row>
    <row r="10" spans="1:9" ht="15.6">
      <c r="A10" s="45" t="str">
        <v>3 Walpole Park South</v>
      </c>
      <c r="B10" s="9" t="str">
        <v>MA</v>
      </c>
      <c r="C10" s="24">
        <f>SUM(Oct!C10, Nov!C10, Dec!C10)</f>
        <v>137065.5000000009</v>
      </c>
      <c r="D10" s="13">
        <f>SUM(Oct!D10, Nov!D10, Dec!D10)</f>
        <v>145088.64000000001</v>
      </c>
      <c r="E10" s="13">
        <f t="shared" si="0"/>
        <v>-8023.1399999991118</v>
      </c>
      <c r="F10" s="14">
        <f t="shared" si="1"/>
        <v>-5.5298195640948254E-2</v>
      </c>
      <c r="G10" s="15">
        <f>SUM(Oct!G10,Nov!G10,Dec!G10)</f>
        <v>138330.77000000002</v>
      </c>
      <c r="H10" s="15">
        <f>SUM(Oct!H10, Nov!H10, Dec!H10)</f>
        <v>-1265.2699999991019</v>
      </c>
      <c r="I10" s="16">
        <f t="shared" si="2"/>
        <v>-9.1466996099212172E-3</v>
      </c>
    </row>
    <row r="11" spans="1:9" ht="15.6">
      <c r="A11" s="46" t="str">
        <v>4 Walpole Park South</v>
      </c>
      <c r="B11" s="10" t="str">
        <v>MA</v>
      </c>
      <c r="C11" s="11">
        <f>SUM(Oct!C11, Nov!C11, Dec!C11)</f>
        <v>80467</v>
      </c>
      <c r="D11" s="18">
        <f>SUM(Oct!D11, Nov!D11, Dec!D11)</f>
        <v>86327.76</v>
      </c>
      <c r="E11" s="18">
        <f t="shared" si="0"/>
        <v>-5860.7599999999948</v>
      </c>
      <c r="F11" s="19">
        <f t="shared" si="1"/>
        <v>-6.7889633647392159E-2</v>
      </c>
      <c r="G11" s="18">
        <f>SUM(Oct!G11,Nov!G11,Dec!G11)</f>
        <v>79066</v>
      </c>
      <c r="H11" s="20">
        <f>SUM(Oct!H11, Nov!H11, Dec!H11)</f>
        <v>1401</v>
      </c>
      <c r="I11" s="19">
        <f t="shared" si="2"/>
        <v>1.7719373687805125E-2</v>
      </c>
    </row>
    <row r="12" spans="1:9" ht="15.6">
      <c r="A12" s="45" t="str">
        <v>Brockton</v>
      </c>
      <c r="B12" s="9" t="str">
        <v>MA</v>
      </c>
      <c r="C12" s="24">
        <f>SUM(Oct!C12, Nov!C12, Dec!C12)</f>
        <v>133420.5</v>
      </c>
      <c r="D12" s="13">
        <f>SUM(Oct!D12, Nov!D12, Dec!D12)</f>
        <v>124653.15</v>
      </c>
      <c r="E12" s="13">
        <f t="shared" si="0"/>
        <v>8767.3500000000058</v>
      </c>
      <c r="F12" s="14">
        <f t="shared" si="1"/>
        <v>7.0333962679643522E-2</v>
      </c>
      <c r="G12" s="15">
        <f>SUM(Oct!G12,Nov!G12,Dec!G12)</f>
        <v>134361.85999999999</v>
      </c>
      <c r="H12" s="15">
        <f>SUM(Oct!H12, Nov!H12, Dec!H12)</f>
        <v>-941.36000000000422</v>
      </c>
      <c r="I12" s="16">
        <f t="shared" si="2"/>
        <v>-7.0061548716280377E-3</v>
      </c>
    </row>
    <row r="13" spans="1:9" ht="15.6">
      <c r="A13" s="46" t="str">
        <v>Canton</v>
      </c>
      <c r="B13" s="10" t="str">
        <v>MA</v>
      </c>
      <c r="C13" s="11">
        <f>SUM(Oct!C13, Nov!C13, Dec!C13)</f>
        <v>123431</v>
      </c>
      <c r="D13" s="18">
        <f>SUM(Oct!D13, Nov!D13, Dec!D13)</f>
        <v>133309.52000000002</v>
      </c>
      <c r="E13" s="18">
        <f t="shared" si="0"/>
        <v>-9878.5200000000186</v>
      </c>
      <c r="F13" s="19">
        <f t="shared" si="1"/>
        <v>-7.4102134641247056E-2</v>
      </c>
      <c r="G13" s="18">
        <f>SUM(Oct!G13,Nov!G13,Dec!G13)</f>
        <v>131058.7</v>
      </c>
      <c r="H13" s="20">
        <f>SUM(Oct!H13, Nov!H13, Dec!H13)</f>
        <v>-7627.6999999999935</v>
      </c>
      <c r="I13" s="19">
        <f t="shared" si="2"/>
        <v>-5.820063833991939E-2</v>
      </c>
    </row>
    <row r="14" spans="1:9" ht="15.6">
      <c r="A14" s="45" t="str">
        <v>Chelsea</v>
      </c>
      <c r="B14" s="9" t="str">
        <v>MA</v>
      </c>
      <c r="C14" s="24">
        <f>SUM(Oct!C14, Nov!C14, Dec!C14)</f>
        <v>229817</v>
      </c>
      <c r="D14" s="13">
        <f>SUM(Oct!D14, Nov!D14, Dec!D14)</f>
        <v>222768.91000000003</v>
      </c>
      <c r="E14" s="13">
        <f t="shared" si="0"/>
        <v>7048.0899999999674</v>
      </c>
      <c r="F14" s="14">
        <f t="shared" si="1"/>
        <v>3.1638571109406453E-2</v>
      </c>
      <c r="G14" s="15">
        <f>SUM(Oct!G14,Nov!G14,Dec!G14)</f>
        <v>208841.41999999998</v>
      </c>
      <c r="H14" s="15">
        <f>SUM(Oct!H14, Nov!H14, Dec!H14)</f>
        <v>20975.579999999994</v>
      </c>
      <c r="I14" s="16">
        <f t="shared" si="2"/>
        <v>0.10043783460196735</v>
      </c>
    </row>
    <row r="15" spans="1:9" ht="15.6">
      <c r="A15" s="46" t="str">
        <v>Hamilton Landfill</v>
      </c>
      <c r="B15" s="10" t="str">
        <v>MA</v>
      </c>
      <c r="C15" s="11">
        <f>SUM(Oct!C15, Nov!C15, Dec!C15)</f>
        <v>170366.43800000002</v>
      </c>
      <c r="D15" s="18">
        <f>SUM(Oct!D15, Nov!D15, Dec!D15)</f>
        <v>219961.42099999997</v>
      </c>
      <c r="E15" s="18">
        <f t="shared" si="0"/>
        <v>-49594.982999999949</v>
      </c>
      <c r="F15" s="19">
        <f t="shared" si="1"/>
        <v>-0.22547127934766323</v>
      </c>
      <c r="G15" s="18">
        <f>SUM(Oct!G15,Nov!G15,Dec!G15)</f>
        <v>0</v>
      </c>
      <c r="H15" s="20">
        <f>SUM(Oct!H15, Nov!H15, Dec!H15)</f>
        <v>0</v>
      </c>
      <c r="I15" s="19" t="str">
        <f t="shared" si="2"/>
        <v/>
      </c>
    </row>
    <row r="16" spans="1:9" ht="15.6">
      <c r="A16" s="45" t="str">
        <v>Holliston</v>
      </c>
      <c r="B16" s="9" t="str">
        <v>MA</v>
      </c>
      <c r="C16" s="24">
        <f>SUM(Oct!C16, Nov!C16, Dec!C16)</f>
        <v>280409.06000000052</v>
      </c>
      <c r="D16" s="13">
        <f>SUM(Oct!D16, Nov!D16, Dec!D16)</f>
        <v>296325.93000000005</v>
      </c>
      <c r="E16" s="13">
        <f t="shared" ref="E16:E18" si="3">IF(AND(ISNUMBER(C16),ISNUMBER(D16)), C16-D16, "")</f>
        <v>-15916.86999999953</v>
      </c>
      <c r="F16" s="14">
        <f t="shared" ref="F16:F18" si="4">IFERROR(E16/D16, "")</f>
        <v>-5.371406410501952E-2</v>
      </c>
      <c r="G16" s="15">
        <f>SUM(Oct!G16,Nov!G16,Dec!G16)</f>
        <v>340808.42000000004</v>
      </c>
      <c r="H16" s="15">
        <f>SUM(Oct!H16, Nov!H16, Dec!H16)</f>
        <v>-60399.359999999506</v>
      </c>
      <c r="I16" s="16">
        <f t="shared" ref="I16:I18" si="5">IFERROR(H16/G16, "")</f>
        <v>-0.17722379042160841</v>
      </c>
    </row>
    <row r="17" spans="1:9" ht="15.6">
      <c r="A17" s="46" t="str">
        <v>Natick HS - Carports</v>
      </c>
      <c r="B17" s="10" t="str">
        <v>MA</v>
      </c>
      <c r="C17" s="11">
        <f>SUM(Oct!C17, Nov!C17, Dec!C17)</f>
        <v>101104.51</v>
      </c>
      <c r="D17" s="18">
        <f>SUM(Oct!D17, Nov!D17, Dec!D17)</f>
        <v>127256.80200000001</v>
      </c>
      <c r="E17" s="18">
        <f t="shared" si="3"/>
        <v>-26152.292000000016</v>
      </c>
      <c r="F17" s="19">
        <f t="shared" si="4"/>
        <v>-0.20550800891570428</v>
      </c>
      <c r="G17" s="18">
        <f>SUM(Oct!G17,Nov!G17,Dec!G17)</f>
        <v>0</v>
      </c>
      <c r="H17" s="20">
        <f>SUM(Oct!H17, Nov!H17, Dec!H17)</f>
        <v>0</v>
      </c>
      <c r="I17" s="19" t="str">
        <f t="shared" si="5"/>
        <v/>
      </c>
    </row>
    <row r="18" spans="1:9" ht="12.75" customHeight="1">
      <c r="A18" s="45" t="str">
        <v>Norton</v>
      </c>
      <c r="B18" s="9" t="str">
        <v>MA</v>
      </c>
      <c r="C18" s="24">
        <f>SUM(Oct!C18, Nov!C18, Dec!C18)</f>
        <v>338616.5</v>
      </c>
      <c r="D18" s="13">
        <f>SUM(Oct!D18, Nov!D18, Dec!D18)</f>
        <v>593307</v>
      </c>
      <c r="E18" s="13">
        <f t="shared" si="3"/>
        <v>-254690.5</v>
      </c>
      <c r="F18" s="14">
        <f t="shared" si="4"/>
        <v>-0.42927270367617437</v>
      </c>
      <c r="G18" s="15">
        <f>SUM(Oct!G18,Nov!G18,Dec!G18)</f>
        <v>666097</v>
      </c>
      <c r="H18" s="15">
        <f>SUM(Oct!H18, Nov!H18, Dec!H18)</f>
        <v>-327480.5</v>
      </c>
      <c r="I18" s="16">
        <f t="shared" si="5"/>
        <v>-0.49164085711240257</v>
      </c>
    </row>
    <row r="19" spans="1:9" ht="15.6">
      <c r="A19" s="46" t="str">
        <v>Palmer - Boston Rd.</v>
      </c>
      <c r="B19" s="10" t="str">
        <v>MA</v>
      </c>
      <c r="C19" s="11">
        <f>SUM(Oct!C19, Nov!C19, Dec!C19)</f>
        <v>129851.5</v>
      </c>
      <c r="D19" s="18">
        <f>SUM(Oct!D19, Nov!D19, Dec!D19)</f>
        <v>150654.79999999999</v>
      </c>
      <c r="E19" s="18">
        <f t="shared" ref="E19:E25" si="6">IF(AND(ISNUMBER(C19),ISNUMBER(D19)), C19-D19, "")</f>
        <v>-20803.299999999988</v>
      </c>
      <c r="F19" s="19">
        <f t="shared" ref="F19:F25" si="7">IFERROR(E19/D19, "")</f>
        <v>-0.13808587579021703</v>
      </c>
      <c r="G19" s="18">
        <f>SUM(Oct!G19,Nov!G19,Dec!G19)</f>
        <v>138243</v>
      </c>
      <c r="H19" s="20">
        <f>SUM(Oct!H19, Nov!H19, Dec!H19)</f>
        <v>-8391.5</v>
      </c>
      <c r="I19" s="19">
        <f t="shared" ref="I19:I25" si="8">IFERROR(H19/G19, "")</f>
        <v>-6.0701084322533509E-2</v>
      </c>
    </row>
    <row r="20" spans="1:9" ht="15.6">
      <c r="A20" s="45" t="str">
        <v>Shirley Bartkus</v>
      </c>
      <c r="B20" s="9" t="str">
        <v>MA</v>
      </c>
      <c r="C20" s="24">
        <f>SUM(Oct!C20, Nov!C20, Dec!C20)</f>
        <v>198283</v>
      </c>
      <c r="D20" s="13">
        <f>SUM(Oct!D20, Nov!D20, Dec!D20)</f>
        <v>284546.74</v>
      </c>
      <c r="E20" s="13">
        <f t="shared" si="6"/>
        <v>-86263.739999999991</v>
      </c>
      <c r="F20" s="14">
        <f t="shared" si="7"/>
        <v>-0.30316193395854751</v>
      </c>
      <c r="G20" s="15">
        <f>SUM(Oct!G20,Nov!G20,Dec!G20)</f>
        <v>101613</v>
      </c>
      <c r="H20" s="15">
        <f>SUM(Oct!H20, Nov!H20, Dec!H20)</f>
        <v>-3980</v>
      </c>
      <c r="I20" s="16">
        <f t="shared" si="8"/>
        <v>-3.9168216665190478E-2</v>
      </c>
    </row>
    <row r="21" spans="1:9" ht="15.6">
      <c r="A21" s="46" t="str">
        <v>Stoughton</v>
      </c>
      <c r="B21" s="10" t="str">
        <v>MA</v>
      </c>
      <c r="C21" s="11">
        <f>SUM(Oct!C21, Nov!C21, Dec!C21)</f>
        <v>158059</v>
      </c>
      <c r="D21" s="18">
        <f>SUM(Oct!D21, Nov!D21, Dec!D21)</f>
        <v>109150.85</v>
      </c>
      <c r="E21" s="18">
        <f t="shared" si="6"/>
        <v>48908.149999999994</v>
      </c>
      <c r="F21" s="19">
        <f t="shared" si="7"/>
        <v>0.44807850786320025</v>
      </c>
      <c r="G21" s="18">
        <f>SUM(Oct!G21,Nov!G21,Dec!G21)</f>
        <v>147796.43</v>
      </c>
      <c r="H21" s="20">
        <f>SUM(Oct!H21, Nov!H21, Dec!H21)</f>
        <v>10262.57</v>
      </c>
      <c r="I21" s="19">
        <f t="shared" si="8"/>
        <v>6.9437198178602832E-2</v>
      </c>
    </row>
    <row r="22" spans="1:9" ht="15.6">
      <c r="A22" s="45" t="str">
        <v>Wellfleet Landfill</v>
      </c>
      <c r="B22" s="9" t="str">
        <v>MA</v>
      </c>
      <c r="C22" s="24">
        <f>SUM(Oct!C22, Nov!C22, Dec!C22)</f>
        <v>178175.94999999998</v>
      </c>
      <c r="D22" s="13">
        <f>SUM(Oct!D22, Nov!D22, Dec!D22)</f>
        <v>172466.40399999998</v>
      </c>
      <c r="E22" s="13">
        <f t="shared" si="6"/>
        <v>5709.5460000000021</v>
      </c>
      <c r="F22" s="14">
        <f t="shared" si="7"/>
        <v>3.3105264953515255E-2</v>
      </c>
      <c r="G22" s="15">
        <f>SUM(Oct!G22,Nov!G22,Dec!G22)</f>
        <v>0</v>
      </c>
      <c r="H22" s="15">
        <f>SUM(Oct!H22, Nov!H22, Dec!H22)</f>
        <v>0</v>
      </c>
      <c r="I22" s="16" t="str">
        <f t="shared" si="8"/>
        <v/>
      </c>
    </row>
    <row r="23" spans="1:9" ht="15.6">
      <c r="A23" s="46" t="str">
        <v>Wilmington Garage &amp; Building 7</v>
      </c>
      <c r="B23" s="10" t="str">
        <v>MA</v>
      </c>
      <c r="C23" s="11">
        <f>SUM(Oct!C23, Nov!C23, Dec!C23)</f>
        <v>176293</v>
      </c>
      <c r="D23" s="18">
        <f>SUM(Oct!D23, Nov!D23, Dec!D23)</f>
        <v>221928.90000000002</v>
      </c>
      <c r="E23" s="18">
        <f t="shared" si="6"/>
        <v>-45635.900000000023</v>
      </c>
      <c r="F23" s="19">
        <f t="shared" si="7"/>
        <v>-0.20563297524567561</v>
      </c>
      <c r="G23" s="18">
        <f>SUM(Oct!G23,Nov!G23,Dec!G23)</f>
        <v>213913</v>
      </c>
      <c r="H23" s="20">
        <f>SUM(Oct!H23, Nov!H23, Dec!H23)</f>
        <v>-37619.999999999993</v>
      </c>
      <c r="I23" s="19">
        <f t="shared" si="8"/>
        <v>-0.17586588940363601</v>
      </c>
    </row>
    <row r="24" spans="1:9" ht="15.6">
      <c r="A24" s="45" t="str">
        <v>Woburn</v>
      </c>
      <c r="B24" s="9" t="str">
        <v>MA</v>
      </c>
      <c r="C24" s="24">
        <f>SUM(Oct!C24, Nov!C24, Dec!C24)</f>
        <v>322299</v>
      </c>
      <c r="D24" s="13">
        <f>SUM(Oct!D24, Nov!D24, Dec!D24)</f>
        <v>382942.9</v>
      </c>
      <c r="E24" s="13">
        <f t="shared" si="6"/>
        <v>-60643.900000000023</v>
      </c>
      <c r="F24" s="14">
        <f t="shared" si="7"/>
        <v>-0.15836277418905018</v>
      </c>
      <c r="G24" s="15">
        <f>SUM(Oct!G24,Nov!G24,Dec!G24)</f>
        <v>313904.94</v>
      </c>
      <c r="H24" s="15">
        <f>SUM(Oct!H24, Nov!H24, Dec!H24)</f>
        <v>8394.0599999999904</v>
      </c>
      <c r="I24" s="16">
        <f t="shared" si="8"/>
        <v>2.6740770629477797E-2</v>
      </c>
    </row>
    <row r="25" spans="1:9" ht="15.6">
      <c r="A25" s="46" t="str">
        <v>Friendship Solar 1</v>
      </c>
      <c r="B25" s="10" t="str">
        <v>MD</v>
      </c>
      <c r="C25" s="11">
        <f>SUM(Oct!C25, Nov!C25, Dec!C25)</f>
        <v>802793</v>
      </c>
      <c r="D25" s="18">
        <f>SUM(Oct!D25, Nov!D25, Dec!D25)</f>
        <v>831067.7</v>
      </c>
      <c r="E25" s="18">
        <f t="shared" si="6"/>
        <v>-28274.699999999953</v>
      </c>
      <c r="F25" s="19">
        <f t="shared" si="7"/>
        <v>-3.4022138027984913E-2</v>
      </c>
      <c r="G25" s="18">
        <f>SUM(Oct!G25,Nov!G25,Dec!G25)</f>
        <v>792736.70000000007</v>
      </c>
      <c r="H25" s="20">
        <f>SUM(Oct!H25, Nov!H25, Dec!H25)</f>
        <v>10056.300000000017</v>
      </c>
      <c r="I25" s="19">
        <f t="shared" si="8"/>
        <v>1.268554868217911E-2</v>
      </c>
    </row>
    <row r="26" spans="1:9" ht="15.6">
      <c r="A26" s="45" t="str">
        <v>Friendship Solar 2</v>
      </c>
      <c r="B26" s="9" t="str">
        <v>MD</v>
      </c>
      <c r="C26" s="24">
        <f>SUM(Oct!C26, Nov!C26, Dec!C26)</f>
        <v>799083</v>
      </c>
      <c r="D26" s="13">
        <f>SUM(Oct!D26, Nov!D26, Dec!D26)</f>
        <v>854087.5</v>
      </c>
      <c r="E26" s="13">
        <f t="shared" ref="E26:E40" si="9">IF(AND(ISNUMBER(C26),ISNUMBER(D26)), C26-D26, "")</f>
        <v>-55004.5</v>
      </c>
      <c r="F26" s="14">
        <f t="shared" ref="F26:F40" si="10">IFERROR(E26/D26, "")</f>
        <v>-6.440148111288363E-2</v>
      </c>
      <c r="G26" s="15">
        <f>SUM(Oct!G26,Nov!G26,Dec!G26)</f>
        <v>819037.2</v>
      </c>
      <c r="H26" s="15">
        <f>SUM(Oct!H26, Nov!H26, Dec!H26)</f>
        <v>-19954.200000000012</v>
      </c>
      <c r="I26" s="16">
        <f t="shared" ref="I26:I40" si="11">IFERROR(H26/G26, "")</f>
        <v>-2.4362995966483589E-2</v>
      </c>
    </row>
    <row r="27" spans="1:9" ht="15.6">
      <c r="A27" s="46" t="str">
        <v>101 Carnegie Center</v>
      </c>
      <c r="B27" s="10" t="str">
        <v>NJ</v>
      </c>
      <c r="C27" s="11">
        <f>SUM(Oct!C27, Nov!C27, Dec!C27)</f>
        <v>0</v>
      </c>
      <c r="D27" s="18">
        <f>SUM(Oct!D27, Nov!D27, Dec!D27)</f>
        <v>0</v>
      </c>
      <c r="E27" s="18">
        <f t="shared" si="9"/>
        <v>0</v>
      </c>
      <c r="F27" s="19" t="str">
        <f t="shared" si="10"/>
        <v/>
      </c>
      <c r="G27" s="18">
        <f>SUM(Oct!G27,Nov!G27,Dec!G27)</f>
        <v>0</v>
      </c>
      <c r="H27" s="20">
        <f>SUM(Oct!H27, Nov!H27, Dec!H27)</f>
        <v>0</v>
      </c>
      <c r="I27" s="19" t="str">
        <f t="shared" si="11"/>
        <v/>
      </c>
    </row>
    <row r="28" spans="1:9" ht="15.6">
      <c r="A28" s="45" t="str">
        <v>302 Carnegie Center</v>
      </c>
      <c r="B28" s="9" t="str">
        <v>NJ</v>
      </c>
      <c r="C28" s="24">
        <f>SUM(Oct!C28, Nov!C28, Dec!C28)</f>
        <v>123926.97100000001</v>
      </c>
      <c r="D28" s="13">
        <f>SUM(Oct!D28, Nov!D28, Dec!D28)</f>
        <v>130620.59</v>
      </c>
      <c r="E28" s="13">
        <f t="shared" si="9"/>
        <v>-6693.6189999999915</v>
      </c>
      <c r="F28" s="14">
        <f t="shared" si="10"/>
        <v>-5.1244746329809042E-2</v>
      </c>
      <c r="G28" s="15">
        <f>SUM(Oct!G28,Nov!G28,Dec!G28)</f>
        <v>0</v>
      </c>
      <c r="H28" s="15">
        <f>SUM(Oct!H28, Nov!H28, Dec!H28)</f>
        <v>0</v>
      </c>
      <c r="I28" s="16" t="str">
        <f t="shared" si="11"/>
        <v/>
      </c>
    </row>
    <row r="29" spans="1:9" ht="15.6">
      <c r="A29" s="46" t="str">
        <v>510 Carnegie Center</v>
      </c>
      <c r="B29" s="10" t="str">
        <v>NJ</v>
      </c>
      <c r="C29" s="11">
        <f>SUM(Oct!C29, Nov!C29, Dec!C29)</f>
        <v>289372.43</v>
      </c>
      <c r="D29" s="18">
        <f>SUM(Oct!D29, Nov!D29, Dec!D29)</f>
        <v>355055.05599999998</v>
      </c>
      <c r="E29" s="18">
        <f t="shared" si="9"/>
        <v>-65682.625999999989</v>
      </c>
      <c r="F29" s="19">
        <f t="shared" si="10"/>
        <v>-0.18499279165313448</v>
      </c>
      <c r="G29" s="18">
        <f>SUM(Oct!G29,Nov!G29,Dec!G29)</f>
        <v>0</v>
      </c>
      <c r="H29" s="20">
        <f>SUM(Oct!H29, Nov!H29, Dec!H29)</f>
        <v>0</v>
      </c>
      <c r="I29" s="19" t="str">
        <f t="shared" si="11"/>
        <v/>
      </c>
    </row>
    <row r="30" spans="1:9" ht="15.6">
      <c r="A30" s="45" t="str">
        <v>701 Carnegie Center</v>
      </c>
      <c r="B30" s="9" t="str">
        <v>NJ</v>
      </c>
      <c r="C30" s="24">
        <f>SUM(Oct!C30, Nov!C30, Dec!C31)</f>
        <v>243599.7899999989</v>
      </c>
      <c r="D30" s="13">
        <f>SUM(Oct!D30, Nov!D30, Dec!D31)</f>
        <v>291674.26699999999</v>
      </c>
      <c r="E30" s="13">
        <f t="shared" si="9"/>
        <v>-48074.47700000109</v>
      </c>
      <c r="F30" s="14">
        <f t="shared" si="10"/>
        <v>-0.1648224832943562</v>
      </c>
      <c r="G30" s="15">
        <f>SUM(Oct!G30,Nov!G30,Dec!G31)</f>
        <v>105955.3</v>
      </c>
      <c r="H30" s="15">
        <f>SUM(Oct!H30, Nov!H30, Dec!H31)</f>
        <v>-39265.233000001099</v>
      </c>
      <c r="I30" s="16">
        <f t="shared" si="11"/>
        <v>-0.3705830005672307</v>
      </c>
    </row>
    <row r="31" spans="1:9" ht="15.6">
      <c r="A31" s="46" t="str">
        <v>Hudson County Correction</v>
      </c>
      <c r="B31" s="10" t="str">
        <v>NJ</v>
      </c>
      <c r="C31" s="11">
        <f>SUM(Oct!C31, Nov!C31, Dec!C32)</f>
        <v>308745.6290066677</v>
      </c>
      <c r="D31" s="18">
        <f>SUM(Oct!D31, Nov!D31, Dec!D32)</f>
        <v>270042.40000000002</v>
      </c>
      <c r="E31" s="18">
        <f t="shared" si="9"/>
        <v>38703.22900666768</v>
      </c>
      <c r="F31" s="19">
        <f t="shared" si="10"/>
        <v>0.14332278563169221</v>
      </c>
      <c r="G31" s="18">
        <f>SUM(Oct!G31,Nov!G31,Dec!G32)</f>
        <v>367343.9</v>
      </c>
      <c r="H31" s="20">
        <f>SUM(Oct!H31, Nov!H31, Dec!H32)</f>
        <v>-58598.270993332306</v>
      </c>
      <c r="I31" s="19">
        <f t="shared" si="11"/>
        <v>-0.15951883505710127</v>
      </c>
    </row>
    <row r="32" spans="1:9" ht="15.6">
      <c r="A32" s="45" t="str">
        <v>ER Bison Solar</v>
      </c>
      <c r="B32" s="9" t="str">
        <v>PA</v>
      </c>
      <c r="C32" s="24">
        <f>SUM(Oct!C32, Nov!C32, Dec!C33)</f>
        <v>386694.1</v>
      </c>
      <c r="D32" s="13">
        <f>SUM(Oct!D32, Nov!D32, Dec!D33)</f>
        <v>0</v>
      </c>
      <c r="E32" s="13">
        <f t="shared" si="9"/>
        <v>386694.1</v>
      </c>
      <c r="F32" s="14" t="str">
        <f t="shared" si="10"/>
        <v/>
      </c>
      <c r="G32" s="15">
        <f>SUM(Oct!G32,Nov!G32,Dec!G33)</f>
        <v>261395</v>
      </c>
      <c r="H32" s="15">
        <f>SUM(Oct!H32, Nov!H32, Dec!H33)</f>
        <v>15661</v>
      </c>
      <c r="I32" s="16">
        <f t="shared" si="11"/>
        <v>5.9913158247097302E-2</v>
      </c>
    </row>
    <row r="33" spans="1:9" ht="15.6">
      <c r="A33" s="46" t="str">
        <v>Danville</v>
      </c>
      <c r="B33" s="10" t="str">
        <v>IL</v>
      </c>
      <c r="C33" s="11">
        <f>SUM(Oct!C33, Nov!C33, Dec!C34)</f>
        <v>597561.32299999997</v>
      </c>
      <c r="D33" s="18">
        <f>SUM(Oct!D33, Nov!D33, Dec!D34)</f>
        <v>164704.397</v>
      </c>
      <c r="E33" s="18">
        <f t="shared" si="9"/>
        <v>432856.92599999998</v>
      </c>
      <c r="F33" s="19">
        <f t="shared" si="10"/>
        <v>2.6280836084782848</v>
      </c>
      <c r="G33" s="18">
        <f>SUM(Oct!G33,Nov!G33,Dec!G34)</f>
        <v>212713.8</v>
      </c>
      <c r="H33" s="20">
        <f>SUM(Oct!H33, Nov!H33, Dec!H34)</f>
        <v>-107495.79999999999</v>
      </c>
      <c r="I33" s="19">
        <f t="shared" si="11"/>
        <v>-0.50535414251449595</v>
      </c>
    </row>
    <row r="34" spans="1:9" ht="15.6">
      <c r="A34" s="45" t="str">
        <v>Camden - Campbell Soup HQ</v>
      </c>
      <c r="B34" s="9" t="str">
        <v>NJ</v>
      </c>
      <c r="C34" s="24">
        <f>SUM(Oct!C34, Nov!C34, Dec!C35)</f>
        <v>584646</v>
      </c>
      <c r="D34" s="13">
        <f>SUM(Oct!D34, Nov!D34, Dec!D35)</f>
        <v>634026.98369999998</v>
      </c>
      <c r="E34" s="13">
        <f t="shared" si="9"/>
        <v>-49380.983699999982</v>
      </c>
      <c r="F34" s="14">
        <f t="shared" si="10"/>
        <v>-7.7884672055795953E-2</v>
      </c>
      <c r="G34" s="15">
        <f>SUM(Oct!G34,Nov!G34,Dec!G35)</f>
        <v>925351.76</v>
      </c>
      <c r="H34" s="15">
        <f>SUM(Oct!H34, Nov!H34, Dec!H35)</f>
        <v>-340705.76</v>
      </c>
      <c r="I34" s="16">
        <f t="shared" si="11"/>
        <v>-0.36819053545648417</v>
      </c>
    </row>
    <row r="35" spans="1:9" ht="15.6">
      <c r="A35" s="46" t="str">
        <v>Westport - Pine Hill</v>
      </c>
      <c r="B35" s="10" t="str">
        <v>MA</v>
      </c>
      <c r="C35" s="11">
        <f>SUM(Oct!C35, Nov!C35, Dec!C36)</f>
        <v>903931</v>
      </c>
      <c r="D35" s="18">
        <f>SUM(Oct!D35, Nov!D35, Dec!D36)</f>
        <v>217539.3</v>
      </c>
      <c r="E35" s="18">
        <f t="shared" si="9"/>
        <v>686391.7</v>
      </c>
      <c r="F35" s="19">
        <f t="shared" si="10"/>
        <v>3.1552537863273442</v>
      </c>
      <c r="G35" s="18">
        <f>SUM(Oct!G35,Nov!G35,Dec!G36)</f>
        <v>828941</v>
      </c>
      <c r="H35" s="20">
        <f>SUM(Oct!H35, Nov!H35, Dec!H36)</f>
        <v>-93181</v>
      </c>
      <c r="I35" s="19">
        <f t="shared" si="11"/>
        <v>-0.11240968898872175</v>
      </c>
    </row>
    <row r="36" spans="1:9" ht="15.6">
      <c r="A36" s="45" t="str">
        <v>Oaks Landfill - ANEM</v>
      </c>
      <c r="B36" s="9" t="str">
        <v>MD</v>
      </c>
      <c r="C36" s="24">
        <f>SUM(Oct!C36, Nov!C36, Dec!C37)</f>
        <v>752912.84</v>
      </c>
      <c r="D36" s="13">
        <f>SUM(Oct!D36, Nov!D36, Dec!D37)</f>
        <v>847610.29999999993</v>
      </c>
      <c r="E36" s="13">
        <f t="shared" si="9"/>
        <v>-94697.459999999963</v>
      </c>
      <c r="F36" s="14">
        <f t="shared" si="10"/>
        <v>-0.11172287547709127</v>
      </c>
      <c r="G36" s="15">
        <f>SUM(Oct!G36,Nov!G36,Dec!G37)</f>
        <v>0</v>
      </c>
      <c r="H36" s="15">
        <f>SUM(Oct!H36, Nov!H36, Dec!H37)</f>
        <v>0</v>
      </c>
      <c r="I36" s="16" t="str">
        <f t="shared" si="11"/>
        <v/>
      </c>
    </row>
    <row r="37" spans="1:9" ht="15.6">
      <c r="A37" s="46" t="str">
        <v>Oaks Landfill - CS2</v>
      </c>
      <c r="B37" s="10" t="str">
        <v>MD</v>
      </c>
      <c r="C37" s="11">
        <f>SUM(Oct!C37, Nov!C37, Dec!C38)</f>
        <v>718664.56600000011</v>
      </c>
      <c r="D37" s="18">
        <f>SUM(Oct!D37, Nov!D37, Dec!D38)</f>
        <v>856083.85000000009</v>
      </c>
      <c r="E37" s="18">
        <f t="shared" si="9"/>
        <v>-137419.28399999999</v>
      </c>
      <c r="F37" s="19">
        <f t="shared" si="10"/>
        <v>-0.1605208228142605</v>
      </c>
      <c r="G37" s="18">
        <f>SUM(Oct!G37,Nov!G37,Dec!G38)</f>
        <v>0</v>
      </c>
      <c r="H37" s="20">
        <f>SUM(Oct!H37, Nov!H37, Dec!H38)</f>
        <v>0</v>
      </c>
      <c r="I37" s="19" t="str">
        <f t="shared" si="11"/>
        <v/>
      </c>
    </row>
    <row r="38" spans="1:9" ht="15.6">
      <c r="A38" s="45" t="str">
        <v>Oaks Landfill - CS1</v>
      </c>
      <c r="B38" s="9" t="str">
        <v>MD</v>
      </c>
      <c r="C38" s="24">
        <f>SUM(Oct!C38, Nov!C38, Dec!C39)</f>
        <v>549887.73279879999</v>
      </c>
      <c r="D38" s="13">
        <f>SUM(Oct!D38, Nov!D38, Dec!D39)</f>
        <v>628355.43467459991</v>
      </c>
      <c r="E38" s="13">
        <f t="shared" si="9"/>
        <v>-78467.701875799918</v>
      </c>
      <c r="F38" s="14">
        <f t="shared" si="10"/>
        <v>-0.12487789162901916</v>
      </c>
      <c r="G38" s="15">
        <f>SUM(Oct!G38,Nov!G38,Dec!G39)</f>
        <v>270.866129</v>
      </c>
      <c r="H38" s="15">
        <f>SUM(Oct!H38, Nov!H38, Dec!H39)</f>
        <v>-53.6833302</v>
      </c>
      <c r="I38" s="16">
        <f t="shared" si="11"/>
        <v>-0.19819137371730963</v>
      </c>
    </row>
    <row r="39" spans="1:9" ht="15.6">
      <c r="A39" s="46" t="str">
        <v>Plympton - Upland Solar - PV &amp; BESS (IRA)</v>
      </c>
      <c r="B39" s="10" t="str">
        <v>MA</v>
      </c>
      <c r="C39" s="11">
        <f>SUM(Oct!C39, Nov!C39, Dec!C40)</f>
        <v>800642</v>
      </c>
      <c r="D39" s="18">
        <f>SUM(Oct!D39, Nov!D39, Dec!D40)</f>
        <v>1225062.051</v>
      </c>
      <c r="E39" s="18">
        <f t="shared" si="9"/>
        <v>-424420.05099999998</v>
      </c>
      <c r="F39" s="19">
        <f t="shared" si="10"/>
        <v>-0.34644779883072224</v>
      </c>
      <c r="G39" s="18">
        <f>SUM(Oct!G39,Nov!G39,Dec!G40)</f>
        <v>839107.11</v>
      </c>
      <c r="H39" s="20">
        <f>SUM(Oct!H39, Nov!H39, Dec!H40)</f>
        <v>-38465.109999999986</v>
      </c>
      <c r="I39" s="19">
        <f t="shared" si="11"/>
        <v>-4.5840524459386342E-2</v>
      </c>
    </row>
    <row r="40" spans="1:9" ht="15.6">
      <c r="A40" s="45" t="str">
        <v>MA: Plymouth - Black Cat Solar - PV &amp; BESS (IRA)</v>
      </c>
      <c r="B40" s="9" t="str">
        <v>MA</v>
      </c>
      <c r="C40" s="24">
        <f>SUM(Oct!C40, Nov!C40, Dec!C41)</f>
        <v>83197.17</v>
      </c>
      <c r="D40" s="13">
        <f>SUM(Oct!D40, Nov!D40, Dec!D41)</f>
        <v>89936.24</v>
      </c>
      <c r="E40" s="13">
        <f t="shared" si="9"/>
        <v>-6739.070000000007</v>
      </c>
      <c r="F40" s="14">
        <f t="shared" si="10"/>
        <v>-7.4931640459952598E-2</v>
      </c>
      <c r="G40" s="15">
        <f>SUM(Oct!G40,Nov!G40,Dec!G41)</f>
        <v>94552</v>
      </c>
      <c r="H40" s="15">
        <f>SUM(Oct!H40, Nov!H40, Dec!H41)</f>
        <v>-11354.830000000002</v>
      </c>
      <c r="I40" s="16">
        <f t="shared" si="11"/>
        <v>-0.12009084947965143</v>
      </c>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mergeCells count="4">
    <mergeCell ref="G1:I1"/>
    <mergeCell ref="A1:C1"/>
    <mergeCell ref="D1:F1"/>
    <mergeCell ref="A2:B2"/>
  </mergeCells>
  <conditionalFormatting sqref="F2 I2 F4:F100 I4:I100">
    <cfRule type="cellIs" dxfId="49" priority="1" stopIfTrue="1" operator="lessThanOrEqual">
      <formula>-0.1</formula>
    </cfRule>
    <cfRule type="expression" dxfId="48"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P341"/>
  <sheetViews>
    <sheetView zoomScale="85" zoomScaleNormal="85" workbookViewId="0">
      <pane xSplit="2" ySplit="3" topLeftCell="C34" activePane="bottomRight" state="frozen"/>
      <selection pane="bottomRight" activeCell="G36" sqref="G36"/>
      <selection pane="bottomLeft" activeCell="C4" sqref="C4"/>
      <selection pane="topRight" activeCell="C4" sqref="C4"/>
    </sheetView>
  </sheetViews>
  <sheetFormatPr defaultRowHeight="13.9"/>
  <cols>
    <col min="1" max="1" width="35.85546875" bestFit="1" customWidth="1"/>
    <col min="2" max="2" width="8.42578125" style="34" customWidth="1"/>
    <col min="3" max="3" width="11.7109375" style="44" customWidth="1"/>
    <col min="4" max="4" width="13.28515625" style="44" customWidth="1"/>
    <col min="5"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117" t="str" cm="1">
        <f t="array" ref="A1">portfolio</f>
        <v>Greenbacker Capital</v>
      </c>
      <c r="B1" s="117"/>
      <c r="C1" s="117"/>
      <c r="D1" s="118" t="s">
        <v>18</v>
      </c>
      <c r="E1" s="118"/>
      <c r="F1" s="118"/>
      <c r="G1" s="116" t="s">
        <v>19</v>
      </c>
      <c r="H1" s="116"/>
      <c r="I1" s="116"/>
      <c r="J1" s="4"/>
      <c r="K1" s="4"/>
    </row>
    <row r="2" spans="1:16" ht="19.5" customHeight="1">
      <c r="A2" s="119" t="s">
        <v>2</v>
      </c>
      <c r="B2" s="119"/>
      <c r="C2" s="5">
        <f>SUM(C4:C99)</f>
        <v>2570856.9447689694</v>
      </c>
      <c r="D2" s="5">
        <f>SUM(D4:D99)</f>
        <v>3159610.8918999997</v>
      </c>
      <c r="E2" s="5">
        <f>C2-D2</f>
        <v>-588753.94713103026</v>
      </c>
      <c r="F2" s="6">
        <f>IFERROR(E2/D2, 0)</f>
        <v>-0.1863374849860038</v>
      </c>
      <c r="G2" s="5">
        <f>SUM(G4:G99)</f>
        <v>1580526.4470000002</v>
      </c>
      <c r="H2" s="7">
        <f>C2-G2</f>
        <v>990330.49776896928</v>
      </c>
      <c r="I2" s="6">
        <f>IFERROR(H2/G2, 0)</f>
        <v>0.62658268050415555</v>
      </c>
      <c r="J2" s="26"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27" t="s">
        <v>3</v>
      </c>
      <c r="B3" s="8" t="s">
        <v>4</v>
      </c>
      <c r="C3" s="51" t="s">
        <v>5</v>
      </c>
      <c r="D3" s="52" t="s">
        <v>6</v>
      </c>
      <c r="E3" s="35" t="s">
        <v>7</v>
      </c>
      <c r="F3" s="36" t="s">
        <v>8</v>
      </c>
      <c r="G3" s="53" t="s">
        <v>9</v>
      </c>
      <c r="H3" s="38" t="s">
        <v>7</v>
      </c>
      <c r="I3" s="39" t="s">
        <v>8</v>
      </c>
      <c r="J3" s="25" t="s">
        <v>20</v>
      </c>
      <c r="K3" s="25" t="s">
        <v>21</v>
      </c>
    </row>
    <row r="4" spans="1:16" ht="15.6">
      <c r="A4" s="47" t="str" cm="1">
        <f t="array" ref="A4:A40">Sites[Site]</f>
        <v>10 Walpole Park South</v>
      </c>
      <c r="B4" s="29" t="str" cm="1">
        <f t="array" ref="B4:B40">Sites[State]</f>
        <v>MA</v>
      </c>
      <c r="C4" s="24">
        <v>6082.5625</v>
      </c>
      <c r="D4" s="13">
        <v>6594.4369999999999</v>
      </c>
      <c r="E4" s="13">
        <f>IF(AND(ISNUMBER(C4),ISNUMBER(D4)), C4-D4, "")</f>
        <v>-511.8744999999999</v>
      </c>
      <c r="F4" s="14">
        <f>IFERROR(E4/D4, "")</f>
        <v>-7.7622168503543199E-2</v>
      </c>
      <c r="G4" s="15">
        <v>6789.067</v>
      </c>
      <c r="H4" s="15">
        <f>IF(AND(ISNUMBER(C4),ISNUMBER(G4)), C4-G4, "")</f>
        <v>-706.50450000000001</v>
      </c>
      <c r="I4" s="16">
        <f>IFERROR(H4/G4, "")</f>
        <v>-0.10406503574055169</v>
      </c>
      <c r="J4" s="40" t="s">
        <v>22</v>
      </c>
      <c r="K4" s="40"/>
      <c r="L4" s="78"/>
      <c r="M4" s="78"/>
      <c r="N4" s="78"/>
      <c r="O4" s="78"/>
      <c r="P4" s="78"/>
    </row>
    <row r="5" spans="1:16" ht="15.6">
      <c r="A5" s="48" t="str">
        <v>15 Walpole Park South</v>
      </c>
      <c r="B5" s="31" t="str">
        <v>MA</v>
      </c>
      <c r="C5" s="11">
        <v>22096</v>
      </c>
      <c r="D5" s="18">
        <v>34986.43</v>
      </c>
      <c r="E5" s="18">
        <f t="shared" ref="E5:E15" si="0">IF(AND(ISNUMBER(C5),ISNUMBER(D5)), C5-D5, "")</f>
        <v>-12890.43</v>
      </c>
      <c r="F5" s="19">
        <f t="shared" ref="F5:F31" si="1">IFERROR(E5/D5, "")</f>
        <v>-0.36844084978090075</v>
      </c>
      <c r="G5" s="20">
        <v>21495.47</v>
      </c>
      <c r="H5" s="20">
        <f t="shared" ref="H5:H6" si="2">IF(AND(ISNUMBER(C5),ISNUMBER(G5)), C5-G5, "")</f>
        <v>600.52999999999884</v>
      </c>
      <c r="I5" s="19">
        <f t="shared" ref="I5:I6" si="3">IFERROR(H5/G5, "")</f>
        <v>2.7937514276263734E-2</v>
      </c>
      <c r="J5" s="41" t="s">
        <v>22</v>
      </c>
      <c r="K5" s="41"/>
      <c r="L5" s="78"/>
      <c r="M5" s="78"/>
      <c r="N5" s="78"/>
      <c r="O5" s="78"/>
      <c r="P5" s="78"/>
    </row>
    <row r="6" spans="1:16" ht="15.6">
      <c r="A6" s="47" t="str">
        <v>19 Walpole Park South</v>
      </c>
      <c r="B6" s="29" t="str">
        <v>MA</v>
      </c>
      <c r="C6" s="24">
        <v>12286.625</v>
      </c>
      <c r="D6" s="13">
        <v>18535.3</v>
      </c>
      <c r="E6" s="13">
        <f t="shared" si="0"/>
        <v>-6248.6749999999993</v>
      </c>
      <c r="F6" s="14">
        <f t="shared" si="1"/>
        <v>-0.33712294918344993</v>
      </c>
      <c r="G6" s="15">
        <v>14377.87</v>
      </c>
      <c r="H6" s="15">
        <f t="shared" si="2"/>
        <v>-2091.2450000000008</v>
      </c>
      <c r="I6" s="16">
        <f t="shared" si="3"/>
        <v>-0.14544887385961902</v>
      </c>
      <c r="J6" s="68" t="s">
        <v>22</v>
      </c>
      <c r="K6" s="40"/>
      <c r="L6" s="78"/>
      <c r="M6" s="78"/>
      <c r="N6" s="78"/>
      <c r="O6" s="78"/>
      <c r="P6" s="78"/>
    </row>
    <row r="7" spans="1:16" ht="72" customHeight="1">
      <c r="A7" s="48" t="str">
        <v>23 Walpole Park South</v>
      </c>
      <c r="B7" s="31" t="str">
        <v>MA</v>
      </c>
      <c r="C7" s="11">
        <v>17017.5</v>
      </c>
      <c r="D7" s="18">
        <v>24815.119999999999</v>
      </c>
      <c r="E7" s="18">
        <f t="shared" si="0"/>
        <v>-7797.619999999999</v>
      </c>
      <c r="F7" s="19">
        <f t="shared" si="1"/>
        <v>-0.3142285832186183</v>
      </c>
      <c r="G7" s="20">
        <v>18470.54</v>
      </c>
      <c r="H7" s="20">
        <f t="shared" ref="H7:H15" si="4">IF(AND(ISNUMBER(C7),ISNUMBER(G7)), C7-G7, "")</f>
        <v>-1453.0400000000009</v>
      </c>
      <c r="I7" s="19">
        <f t="shared" ref="I7:I15" si="5">IFERROR(H7/G7, "")</f>
        <v>-7.8667976139300794E-2</v>
      </c>
      <c r="J7" s="57" t="s">
        <v>23</v>
      </c>
      <c r="K7" s="74" t="s">
        <v>24</v>
      </c>
      <c r="L7" s="78"/>
      <c r="M7" s="78"/>
      <c r="N7" s="78"/>
      <c r="O7" s="78"/>
      <c r="P7" s="78"/>
    </row>
    <row r="8" spans="1:16" ht="92.25" customHeight="1">
      <c r="A8" s="47" t="str">
        <v>24 Walpole Park South</v>
      </c>
      <c r="B8" s="29" t="str">
        <v>MA</v>
      </c>
      <c r="C8" s="24">
        <v>23711.25</v>
      </c>
      <c r="D8" s="13">
        <v>19088.14</v>
      </c>
      <c r="E8" s="13">
        <f t="shared" si="0"/>
        <v>4623.1100000000006</v>
      </c>
      <c r="F8" s="14">
        <f t="shared" si="1"/>
        <v>0.24219803501022105</v>
      </c>
      <c r="G8" s="15">
        <v>28498.52</v>
      </c>
      <c r="H8" s="15">
        <f t="shared" si="4"/>
        <v>-4787.2700000000004</v>
      </c>
      <c r="I8" s="16">
        <f t="shared" si="5"/>
        <v>-0.16798310929830743</v>
      </c>
      <c r="J8" s="40" t="s">
        <v>25</v>
      </c>
      <c r="K8" s="75" t="s">
        <v>26</v>
      </c>
      <c r="L8" s="79" t="s">
        <v>27</v>
      </c>
      <c r="M8" s="79" t="s">
        <v>28</v>
      </c>
      <c r="N8" s="78"/>
      <c r="O8" s="78"/>
      <c r="P8" s="78"/>
    </row>
    <row r="9" spans="1:16" ht="92.25" customHeight="1">
      <c r="A9" s="48" t="str">
        <v>25 Walpole Park South</v>
      </c>
      <c r="B9" s="31" t="str">
        <v>MA</v>
      </c>
      <c r="C9" s="11">
        <v>24218</v>
      </c>
      <c r="D9" s="18">
        <v>32717.42</v>
      </c>
      <c r="E9" s="18">
        <f t="shared" si="0"/>
        <v>-8499.4199999999983</v>
      </c>
      <c r="F9" s="19">
        <f t="shared" si="1"/>
        <v>-0.25978270902779005</v>
      </c>
      <c r="G9" s="20">
        <v>28984.84</v>
      </c>
      <c r="H9" s="20">
        <f t="shared" si="4"/>
        <v>-4766.84</v>
      </c>
      <c r="I9" s="19">
        <f t="shared" si="5"/>
        <v>-0.1644597658638102</v>
      </c>
      <c r="J9" s="41" t="s">
        <v>29</v>
      </c>
      <c r="K9" s="76" t="s">
        <v>30</v>
      </c>
      <c r="L9" s="79" t="s">
        <v>31</v>
      </c>
      <c r="M9" s="78"/>
      <c r="N9" s="78"/>
      <c r="O9" s="78"/>
      <c r="P9" s="78"/>
    </row>
    <row r="10" spans="1:16" ht="72">
      <c r="A10" s="47" t="str">
        <v>3 Walpole Park South</v>
      </c>
      <c r="B10" s="29" t="str">
        <v>MA</v>
      </c>
      <c r="C10" s="24">
        <v>32137.687499999101</v>
      </c>
      <c r="D10" s="13">
        <v>51986.12</v>
      </c>
      <c r="E10" s="13">
        <f t="shared" si="0"/>
        <v>-19848.432500000901</v>
      </c>
      <c r="F10" s="14">
        <f t="shared" si="1"/>
        <v>-0.3818025369079458</v>
      </c>
      <c r="G10" s="15">
        <v>34626.19</v>
      </c>
      <c r="H10" s="15">
        <f t="shared" si="4"/>
        <v>-2488.5025000009009</v>
      </c>
      <c r="I10" s="16">
        <f t="shared" si="5"/>
        <v>-7.1867638339675854E-2</v>
      </c>
      <c r="J10" s="40" t="s">
        <v>32</v>
      </c>
      <c r="K10" s="75" t="s">
        <v>33</v>
      </c>
      <c r="L10" s="79" t="s">
        <v>34</v>
      </c>
      <c r="M10" s="79" t="s">
        <v>35</v>
      </c>
      <c r="N10" s="78"/>
      <c r="O10" s="78"/>
      <c r="P10" s="78"/>
    </row>
    <row r="11" spans="1:16" ht="15.6">
      <c r="A11" s="48" t="str">
        <v>4 Walpole Park South</v>
      </c>
      <c r="B11" s="31" t="str">
        <v>MA</v>
      </c>
      <c r="C11" s="11">
        <v>18926.5</v>
      </c>
      <c r="D11" s="18">
        <v>30719.42</v>
      </c>
      <c r="E11" s="18">
        <f t="shared" si="0"/>
        <v>-11792.919999999998</v>
      </c>
      <c r="F11" s="19">
        <f t="shared" si="1"/>
        <v>-0.38389136253223527</v>
      </c>
      <c r="G11" s="20">
        <v>19589.080000000002</v>
      </c>
      <c r="H11" s="20">
        <f t="shared" si="4"/>
        <v>-662.58000000000175</v>
      </c>
      <c r="I11" s="19">
        <f t="shared" si="5"/>
        <v>-3.3823946811182642E-2</v>
      </c>
      <c r="J11" s="41" t="s">
        <v>22</v>
      </c>
      <c r="K11" s="41"/>
      <c r="L11" s="78"/>
      <c r="M11" s="78"/>
      <c r="N11" s="78"/>
      <c r="O11" s="78"/>
      <c r="P11" s="78"/>
    </row>
    <row r="12" spans="1:16" ht="15.6">
      <c r="A12" s="47" t="str">
        <v>Brockton</v>
      </c>
      <c r="B12" s="29" t="str">
        <v>MA</v>
      </c>
      <c r="C12" s="24">
        <v>35242.5</v>
      </c>
      <c r="D12" s="13">
        <v>41958.95</v>
      </c>
      <c r="E12" s="13">
        <f t="shared" si="0"/>
        <v>-6716.4499999999971</v>
      </c>
      <c r="F12" s="14">
        <f t="shared" si="1"/>
        <v>-0.16007192744337018</v>
      </c>
      <c r="G12" s="15">
        <v>35711.300000000003</v>
      </c>
      <c r="H12" s="15">
        <f t="shared" si="4"/>
        <v>-468.80000000000291</v>
      </c>
      <c r="I12" s="16">
        <f t="shared" si="5"/>
        <v>-1.3127497458787635E-2</v>
      </c>
      <c r="J12" s="40" t="s">
        <v>22</v>
      </c>
      <c r="K12" s="40"/>
      <c r="L12" s="78"/>
      <c r="M12" s="78"/>
      <c r="N12" s="78"/>
      <c r="O12" s="78"/>
      <c r="P12" s="78"/>
    </row>
    <row r="13" spans="1:16" ht="15.6">
      <c r="A13" s="48" t="str">
        <v>Canton</v>
      </c>
      <c r="B13" s="31" t="str">
        <v>MA</v>
      </c>
      <c r="C13" s="11">
        <v>30237.25</v>
      </c>
      <c r="D13" s="18">
        <v>44905.17</v>
      </c>
      <c r="E13" s="18">
        <f t="shared" si="0"/>
        <v>-14667.919999999998</v>
      </c>
      <c r="F13" s="19">
        <f t="shared" si="1"/>
        <v>-0.32664212160871453</v>
      </c>
      <c r="G13" s="20">
        <v>30749.97</v>
      </c>
      <c r="H13" s="20">
        <f t="shared" si="4"/>
        <v>-512.72000000000116</v>
      </c>
      <c r="I13" s="19">
        <f t="shared" si="5"/>
        <v>-1.6673837405369863E-2</v>
      </c>
      <c r="J13" s="41" t="s">
        <v>22</v>
      </c>
      <c r="K13" s="41"/>
      <c r="L13" s="78"/>
      <c r="M13" s="78"/>
      <c r="N13" s="78"/>
      <c r="O13" s="78"/>
      <c r="P13" s="78"/>
    </row>
    <row r="14" spans="1:16" ht="171" customHeight="1">
      <c r="A14" s="47" t="str">
        <v>Chelsea</v>
      </c>
      <c r="B14" s="29" t="str">
        <v>MA</v>
      </c>
      <c r="C14" s="24">
        <v>66681</v>
      </c>
      <c r="D14" s="13">
        <v>78143.31</v>
      </c>
      <c r="E14" s="13">
        <f t="shared" si="0"/>
        <v>-11462.309999999998</v>
      </c>
      <c r="F14" s="14">
        <f t="shared" si="1"/>
        <v>-0.14668319015408995</v>
      </c>
      <c r="G14" s="15">
        <v>54727.88</v>
      </c>
      <c r="H14" s="15">
        <f t="shared" si="4"/>
        <v>11953.120000000003</v>
      </c>
      <c r="I14" s="16">
        <f t="shared" si="5"/>
        <v>0.21841006814077218</v>
      </c>
      <c r="J14" s="40" t="s">
        <v>36</v>
      </c>
      <c r="K14" s="75" t="s">
        <v>37</v>
      </c>
      <c r="L14" s="79" t="s">
        <v>38</v>
      </c>
      <c r="M14" s="79" t="s">
        <v>39</v>
      </c>
      <c r="N14" s="79" t="s">
        <v>40</v>
      </c>
      <c r="O14" s="79" t="s">
        <v>41</v>
      </c>
      <c r="P14" s="79" t="s">
        <v>42</v>
      </c>
    </row>
    <row r="15" spans="1:16" ht="15.6">
      <c r="A15" s="48" t="str">
        <v>Hamilton Landfill</v>
      </c>
      <c r="B15" s="31" t="str">
        <v>MA</v>
      </c>
      <c r="C15" s="11">
        <v>39385.699999999997</v>
      </c>
      <c r="D15" s="18">
        <v>87354.4</v>
      </c>
      <c r="E15" s="18">
        <f t="shared" si="0"/>
        <v>-47968.7</v>
      </c>
      <c r="F15" s="19">
        <f t="shared" si="1"/>
        <v>-0.54912746238311982</v>
      </c>
      <c r="G15" s="20">
        <v>0</v>
      </c>
      <c r="H15" s="20">
        <f t="shared" si="4"/>
        <v>39385.699999999997</v>
      </c>
      <c r="I15" s="19" t="str">
        <f t="shared" si="5"/>
        <v/>
      </c>
      <c r="J15" s="41" t="s">
        <v>22</v>
      </c>
      <c r="K15" s="41"/>
      <c r="L15" s="78"/>
      <c r="M15" s="78"/>
      <c r="N15" s="78"/>
      <c r="O15" s="78"/>
      <c r="P15" s="78"/>
    </row>
    <row r="16" spans="1:16" ht="28.9">
      <c r="A16" s="47" t="str">
        <v>Holliston</v>
      </c>
      <c r="B16" s="29" t="str">
        <v>MA</v>
      </c>
      <c r="C16" s="24">
        <v>79918</v>
      </c>
      <c r="D16" s="13">
        <v>88133.87</v>
      </c>
      <c r="E16" s="13">
        <f t="shared" ref="E16:E33" si="6">IF(AND(ISNUMBER(C16),ISNUMBER(D16)), C16-D16, "")</f>
        <v>-8215.8699999999953</v>
      </c>
      <c r="F16" s="14">
        <f t="shared" si="1"/>
        <v>-9.3220347637066159E-2</v>
      </c>
      <c r="G16" s="15">
        <v>84310.38</v>
      </c>
      <c r="H16" s="15">
        <f t="shared" ref="H16:H17" si="7">IF(AND(ISNUMBER(C16),ISNUMBER(G16)), C16-G16, "")</f>
        <v>-4392.3800000000047</v>
      </c>
      <c r="I16" s="16">
        <f t="shared" ref="I16:I31" si="8">IFERROR(H16/G16, "")</f>
        <v>-5.2097736957181361E-2</v>
      </c>
      <c r="J16" s="40" t="s">
        <v>43</v>
      </c>
      <c r="K16" s="75" t="s">
        <v>44</v>
      </c>
      <c r="L16" s="79" t="s">
        <v>45</v>
      </c>
      <c r="M16" s="78"/>
      <c r="N16" s="78"/>
      <c r="O16" s="78"/>
      <c r="P16" s="78"/>
    </row>
    <row r="17" spans="1:16" ht="15.6">
      <c r="A17" s="48" t="str">
        <v>Natick HS - Carports</v>
      </c>
      <c r="B17" s="31" t="str">
        <v>MA</v>
      </c>
      <c r="C17" s="11">
        <v>23101.5</v>
      </c>
      <c r="D17" s="18">
        <v>43562.15</v>
      </c>
      <c r="E17" s="18">
        <f t="shared" si="6"/>
        <v>-20460.650000000001</v>
      </c>
      <c r="F17" s="19">
        <f t="shared" si="1"/>
        <v>-0.46968870912018806</v>
      </c>
      <c r="G17" s="20">
        <v>0</v>
      </c>
      <c r="H17" s="20">
        <f t="shared" si="7"/>
        <v>23101.5</v>
      </c>
      <c r="I17" s="19" t="str">
        <f t="shared" si="8"/>
        <v/>
      </c>
      <c r="J17" s="92" t="s">
        <v>22</v>
      </c>
      <c r="K17" s="41"/>
      <c r="L17" s="78"/>
      <c r="M17" s="78"/>
      <c r="N17" s="78"/>
      <c r="O17" s="78"/>
      <c r="P17" s="78"/>
    </row>
    <row r="18" spans="1:16" ht="43.15">
      <c r="A18" s="47" t="str">
        <v>Norton</v>
      </c>
      <c r="B18" s="29" t="str">
        <v>MA</v>
      </c>
      <c r="C18" s="24">
        <v>0</v>
      </c>
      <c r="D18" s="13">
        <v>0</v>
      </c>
      <c r="E18" s="13">
        <f t="shared" si="6"/>
        <v>0</v>
      </c>
      <c r="F18" s="14" t="str">
        <f t="shared" si="1"/>
        <v/>
      </c>
      <c r="G18" s="15">
        <v>0</v>
      </c>
      <c r="H18" s="15">
        <f t="shared" ref="H18:H32" si="9">IF(AND(ISNUMBER(C18),ISNUMBER(G18)), C18-G18, "")</f>
        <v>0</v>
      </c>
      <c r="I18" s="16" t="str">
        <f t="shared" ref="I18:I32" si="10">IFERROR(H18/G18, "")</f>
        <v/>
      </c>
      <c r="J18" s="40" t="s">
        <v>46</v>
      </c>
      <c r="K18" s="75" t="s">
        <v>47</v>
      </c>
      <c r="L18" s="79" t="s">
        <v>48</v>
      </c>
      <c r="M18" s="79" t="s">
        <v>49</v>
      </c>
      <c r="N18" s="78"/>
      <c r="O18" s="78"/>
      <c r="P18" s="78"/>
    </row>
    <row r="19" spans="1:16" ht="43.15">
      <c r="A19" s="48" t="str">
        <v>Palmer - Boston Rd.</v>
      </c>
      <c r="B19" s="31" t="str">
        <v>MA</v>
      </c>
      <c r="C19" s="11">
        <v>34752</v>
      </c>
      <c r="D19" s="18">
        <v>49692.76</v>
      </c>
      <c r="E19" s="18">
        <f t="shared" si="6"/>
        <v>-14940.760000000002</v>
      </c>
      <c r="F19" s="19">
        <f t="shared" si="1"/>
        <v>-0.30066271223413638</v>
      </c>
      <c r="G19" s="20">
        <v>45090</v>
      </c>
      <c r="H19" s="20">
        <f t="shared" si="9"/>
        <v>-10338</v>
      </c>
      <c r="I19" s="19">
        <f t="shared" si="8"/>
        <v>-0.22927478376580174</v>
      </c>
      <c r="J19" s="41" t="s">
        <v>50</v>
      </c>
      <c r="K19" s="76" t="s">
        <v>51</v>
      </c>
      <c r="L19" s="78"/>
      <c r="M19" s="78"/>
      <c r="N19" s="78"/>
      <c r="O19" s="78"/>
      <c r="P19" s="78"/>
    </row>
    <row r="20" spans="1:16" ht="115.15">
      <c r="A20" s="82" t="str">
        <v>Shirley Bartkus</v>
      </c>
      <c r="B20" s="29" t="str">
        <v>MA</v>
      </c>
      <c r="C20" s="24">
        <v>52517.557775638103</v>
      </c>
      <c r="D20" s="13">
        <v>87390.5</v>
      </c>
      <c r="E20" s="13">
        <f t="shared" si="6"/>
        <v>-34872.942224361897</v>
      </c>
      <c r="F20" s="14">
        <f t="shared" si="1"/>
        <v>-0.39904729031601716</v>
      </c>
      <c r="G20" s="15">
        <v>65151</v>
      </c>
      <c r="H20" s="15">
        <f t="shared" si="9"/>
        <v>-12633.442224361897</v>
      </c>
      <c r="I20" s="16">
        <f t="shared" si="10"/>
        <v>-0.19391018133815133</v>
      </c>
      <c r="J20" s="40" t="s">
        <v>52</v>
      </c>
      <c r="K20" s="75" t="s">
        <v>53</v>
      </c>
      <c r="L20" s="79" t="s">
        <v>54</v>
      </c>
      <c r="M20" s="79" t="s">
        <v>55</v>
      </c>
      <c r="N20" s="79" t="s">
        <v>56</v>
      </c>
      <c r="O20" s="79" t="s">
        <v>57</v>
      </c>
      <c r="P20" s="78"/>
    </row>
    <row r="21" spans="1:16" ht="15.6">
      <c r="A21" s="48" t="str">
        <v>Stoughton</v>
      </c>
      <c r="B21" s="31" t="str">
        <v>MA</v>
      </c>
      <c r="C21" s="11">
        <v>42082</v>
      </c>
      <c r="D21" s="18">
        <v>42134.57</v>
      </c>
      <c r="E21" s="18">
        <f t="shared" si="6"/>
        <v>-52.569999999999709</v>
      </c>
      <c r="F21" s="19">
        <f t="shared" si="1"/>
        <v>-1.2476690755358298E-3</v>
      </c>
      <c r="G21" s="20">
        <v>35429.71</v>
      </c>
      <c r="H21" s="20">
        <f t="shared" si="9"/>
        <v>6652.2900000000009</v>
      </c>
      <c r="I21" s="19">
        <f t="shared" si="8"/>
        <v>0.18776021593177028</v>
      </c>
      <c r="J21" s="41"/>
      <c r="K21" s="41"/>
      <c r="L21" s="78"/>
      <c r="M21" s="78"/>
      <c r="N21" s="78"/>
      <c r="O21" s="78"/>
      <c r="P21" s="78"/>
    </row>
    <row r="22" spans="1:16" ht="28.9">
      <c r="A22" s="47" t="str">
        <v>Wellfleet Landfill</v>
      </c>
      <c r="B22" s="29" t="str">
        <v>MA</v>
      </c>
      <c r="C22" s="24">
        <v>37109.9</v>
      </c>
      <c r="D22" s="13">
        <v>40845.199999999997</v>
      </c>
      <c r="E22" s="13">
        <f t="shared" si="6"/>
        <v>-3735.2999999999956</v>
      </c>
      <c r="F22" s="14">
        <f t="shared" si="1"/>
        <v>-9.1450158158118841E-2</v>
      </c>
      <c r="G22" s="15">
        <v>0</v>
      </c>
      <c r="H22" s="15">
        <f t="shared" si="9"/>
        <v>37109.9</v>
      </c>
      <c r="I22" s="16" t="str">
        <f t="shared" si="10"/>
        <v/>
      </c>
      <c r="J22" s="40" t="s">
        <v>58</v>
      </c>
      <c r="K22" s="75" t="s">
        <v>59</v>
      </c>
      <c r="L22" s="78"/>
      <c r="M22" s="78"/>
      <c r="N22" s="78"/>
      <c r="O22" s="78"/>
      <c r="P22" s="78"/>
    </row>
    <row r="23" spans="1:16" ht="28.9">
      <c r="A23" s="48" t="str">
        <v>Wilmington Garage &amp; Building 7</v>
      </c>
      <c r="B23" s="31" t="str">
        <v>MA</v>
      </c>
      <c r="C23" s="11">
        <v>40128.75</v>
      </c>
      <c r="D23" s="18">
        <v>74682.38</v>
      </c>
      <c r="E23" s="18">
        <f t="shared" si="6"/>
        <v>-34553.630000000005</v>
      </c>
      <c r="F23" s="19">
        <f t="shared" si="1"/>
        <v>-0.46267446216898822</v>
      </c>
      <c r="G23" s="20">
        <v>51215.54</v>
      </c>
      <c r="H23" s="20">
        <f t="shared" si="9"/>
        <v>-11086.79</v>
      </c>
      <c r="I23" s="19">
        <f t="shared" si="8"/>
        <v>-0.21647316419977219</v>
      </c>
      <c r="J23" s="41" t="s">
        <v>60</v>
      </c>
      <c r="K23" s="76" t="s">
        <v>61</v>
      </c>
      <c r="L23" s="79" t="s">
        <v>62</v>
      </c>
      <c r="M23" s="78"/>
      <c r="N23" s="78"/>
      <c r="O23" s="78"/>
      <c r="P23" s="78"/>
    </row>
    <row r="24" spans="1:16" ht="213.75" customHeight="1">
      <c r="A24" s="47" t="str">
        <v>Woburn</v>
      </c>
      <c r="B24" s="29" t="str">
        <v>MA</v>
      </c>
      <c r="C24" s="24">
        <v>70710.5</v>
      </c>
      <c r="D24" s="13">
        <v>143603</v>
      </c>
      <c r="E24" s="13">
        <f t="shared" si="6"/>
        <v>-72892.5</v>
      </c>
      <c r="F24" s="14">
        <f t="shared" si="1"/>
        <v>-0.50759733431752818</v>
      </c>
      <c r="G24" s="15">
        <v>69288.009999999995</v>
      </c>
      <c r="H24" s="15">
        <f t="shared" si="9"/>
        <v>1422.4900000000052</v>
      </c>
      <c r="I24" s="16">
        <f t="shared" si="10"/>
        <v>2.0530103260289988E-2</v>
      </c>
      <c r="J24" s="40" t="s">
        <v>63</v>
      </c>
      <c r="K24" s="75" t="s">
        <v>64</v>
      </c>
      <c r="L24" s="79" t="s">
        <v>65</v>
      </c>
      <c r="M24" s="79" t="s">
        <v>66</v>
      </c>
      <c r="N24" s="79" t="s">
        <v>67</v>
      </c>
      <c r="O24" s="79" t="s">
        <v>68</v>
      </c>
      <c r="P24" s="79" t="s">
        <v>69</v>
      </c>
    </row>
    <row r="25" spans="1:16" ht="15.6">
      <c r="A25" s="48" t="str">
        <v>Friendship Solar 1</v>
      </c>
      <c r="B25" s="31" t="str">
        <v>MD</v>
      </c>
      <c r="C25" s="11">
        <v>249779</v>
      </c>
      <c r="D25" s="18">
        <v>269841.3</v>
      </c>
      <c r="E25" s="18">
        <f t="shared" si="6"/>
        <v>-20062.299999999988</v>
      </c>
      <c r="F25" s="19">
        <f t="shared" si="1"/>
        <v>-7.4348515219871791E-2</v>
      </c>
      <c r="G25" s="20">
        <v>251554.7</v>
      </c>
      <c r="H25" s="20">
        <f t="shared" si="9"/>
        <v>-1775.7000000000116</v>
      </c>
      <c r="I25" s="19">
        <f t="shared" si="8"/>
        <v>-7.0589020996229112E-3</v>
      </c>
      <c r="J25" s="41" t="s">
        <v>70</v>
      </c>
      <c r="K25" s="76" t="s">
        <v>71</v>
      </c>
      <c r="L25" s="78"/>
      <c r="M25" s="78"/>
      <c r="N25" s="78"/>
      <c r="O25" s="78"/>
      <c r="P25" s="78"/>
    </row>
    <row r="26" spans="1:16" ht="15.6">
      <c r="A26" s="47" t="str">
        <v>Friendship Solar 2</v>
      </c>
      <c r="B26" s="29" t="str">
        <v>MD</v>
      </c>
      <c r="C26" s="24">
        <v>244225</v>
      </c>
      <c r="D26" s="13">
        <v>284533.5</v>
      </c>
      <c r="E26" s="13">
        <f t="shared" si="6"/>
        <v>-40308.5</v>
      </c>
      <c r="F26" s="14">
        <f t="shared" si="1"/>
        <v>-0.14166521692524781</v>
      </c>
      <c r="G26" s="15">
        <v>248916.6</v>
      </c>
      <c r="H26" s="15">
        <f t="shared" si="9"/>
        <v>-4691.6000000000058</v>
      </c>
      <c r="I26" s="16">
        <f t="shared" si="10"/>
        <v>-1.8848080039659893E-2</v>
      </c>
      <c r="J26" s="68" t="s">
        <v>22</v>
      </c>
      <c r="K26" s="81"/>
      <c r="L26" s="79"/>
      <c r="M26" s="79"/>
      <c r="N26" s="79"/>
      <c r="O26" s="79"/>
      <c r="P26" s="79"/>
    </row>
    <row r="27" spans="1:16" ht="72">
      <c r="A27" s="48" t="str">
        <v>101 Carnegie Center</v>
      </c>
      <c r="B27" s="31" t="str">
        <v>NJ</v>
      </c>
      <c r="C27" s="69">
        <v>67113.5</v>
      </c>
      <c r="D27" s="18">
        <v>112416</v>
      </c>
      <c r="E27" s="18">
        <f t="shared" si="6"/>
        <v>-45302.5</v>
      </c>
      <c r="F27" s="70">
        <f t="shared" si="1"/>
        <v>-0.40298978793054369</v>
      </c>
      <c r="G27" s="63">
        <v>0</v>
      </c>
      <c r="H27" s="63">
        <f t="shared" si="9"/>
        <v>67113.5</v>
      </c>
      <c r="I27" s="70" t="str">
        <f t="shared" si="8"/>
        <v/>
      </c>
      <c r="J27" s="41" t="s">
        <v>72</v>
      </c>
      <c r="K27" s="77" t="s">
        <v>73</v>
      </c>
      <c r="L27" s="79" t="s">
        <v>74</v>
      </c>
      <c r="M27" s="78"/>
      <c r="N27" s="78"/>
      <c r="O27" s="78"/>
      <c r="P27" s="78"/>
    </row>
    <row r="28" spans="1:16" ht="15.6">
      <c r="A28" s="47" t="str">
        <v>302 Carnegie Center</v>
      </c>
      <c r="B28" s="29" t="str">
        <v>NJ</v>
      </c>
      <c r="C28" s="24">
        <v>32360.799999999999</v>
      </c>
      <c r="D28" s="13">
        <v>47003.55</v>
      </c>
      <c r="E28" s="13">
        <f t="shared" si="6"/>
        <v>-14642.750000000004</v>
      </c>
      <c r="F28" s="14">
        <f t="shared" si="1"/>
        <v>-0.31152434231031489</v>
      </c>
      <c r="G28" s="15">
        <v>0</v>
      </c>
      <c r="H28" s="15">
        <f t="shared" si="9"/>
        <v>32360.799999999999</v>
      </c>
      <c r="I28" s="16" t="str">
        <f t="shared" si="10"/>
        <v/>
      </c>
      <c r="J28" s="40" t="s">
        <v>22</v>
      </c>
      <c r="K28" s="40"/>
      <c r="L28" s="78"/>
      <c r="M28" s="78"/>
      <c r="N28" s="78"/>
      <c r="O28" s="78"/>
      <c r="P28" s="78"/>
    </row>
    <row r="29" spans="1:16" ht="94.5" customHeight="1">
      <c r="A29" s="48" t="str">
        <v>510 Carnegie Center</v>
      </c>
      <c r="B29" s="31" t="str">
        <v>NJ</v>
      </c>
      <c r="C29" s="11">
        <v>66360.399999999994</v>
      </c>
      <c r="D29" s="18">
        <v>119861.4</v>
      </c>
      <c r="E29" s="18">
        <f t="shared" si="6"/>
        <v>-53501</v>
      </c>
      <c r="F29" s="19">
        <f t="shared" si="1"/>
        <v>-0.44635720924334277</v>
      </c>
      <c r="G29" s="20">
        <v>0</v>
      </c>
      <c r="H29" s="20">
        <f t="shared" si="9"/>
        <v>66360.399999999994</v>
      </c>
      <c r="I29" s="19" t="str">
        <f t="shared" si="8"/>
        <v/>
      </c>
      <c r="J29" s="56" t="s">
        <v>75</v>
      </c>
      <c r="K29" s="77" t="s">
        <v>76</v>
      </c>
      <c r="L29" s="78"/>
      <c r="M29" s="78"/>
      <c r="N29" s="78"/>
      <c r="O29" s="78"/>
      <c r="P29" s="78"/>
    </row>
    <row r="30" spans="1:16" ht="15.6">
      <c r="A30" s="47" t="str">
        <v>701 Carnegie Center</v>
      </c>
      <c r="B30" s="29" t="str">
        <v>NJ</v>
      </c>
      <c r="C30" s="24">
        <v>61625.285000000003</v>
      </c>
      <c r="D30" s="13">
        <v>91246.2</v>
      </c>
      <c r="E30" s="13">
        <f t="shared" si="6"/>
        <v>-29620.914999999994</v>
      </c>
      <c r="F30" s="14">
        <f t="shared" si="1"/>
        <v>-0.3246262858069705</v>
      </c>
      <c r="G30" s="15">
        <v>0</v>
      </c>
      <c r="H30" s="15">
        <f t="shared" si="9"/>
        <v>61625.285000000003</v>
      </c>
      <c r="I30" s="16" t="str">
        <f t="shared" si="10"/>
        <v/>
      </c>
      <c r="J30" s="40" t="s">
        <v>22</v>
      </c>
      <c r="K30" s="40"/>
      <c r="L30" s="78"/>
      <c r="M30" s="78"/>
      <c r="N30" s="78"/>
      <c r="O30" s="78"/>
      <c r="P30" s="78"/>
    </row>
    <row r="31" spans="1:16" ht="15.6">
      <c r="A31" s="48" t="str">
        <v>Hudson County Correction</v>
      </c>
      <c r="B31" s="31" t="str">
        <v>NJ</v>
      </c>
      <c r="C31" s="11">
        <v>85632.076993332201</v>
      </c>
      <c r="D31" s="18">
        <v>85344.2</v>
      </c>
      <c r="E31" s="18">
        <f t="shared" si="6"/>
        <v>287.87699333220371</v>
      </c>
      <c r="F31" s="19">
        <f t="shared" si="1"/>
        <v>3.3731289687196518E-3</v>
      </c>
      <c r="G31" s="20">
        <v>86957.91</v>
      </c>
      <c r="H31" s="20">
        <f>IF(AND(ISNUMBER(C31),ISNUMBER(G31)), C31-G31, "")</f>
        <v>-1325.8330066678027</v>
      </c>
      <c r="I31" s="19">
        <f t="shared" si="8"/>
        <v>-1.524683616094042E-2</v>
      </c>
      <c r="J31" s="41"/>
      <c r="K31" s="41"/>
      <c r="L31" s="78"/>
      <c r="M31" s="78"/>
      <c r="N31" s="78"/>
      <c r="O31" s="78"/>
      <c r="P31" s="78"/>
    </row>
    <row r="32" spans="1:16" ht="57.6">
      <c r="A32" s="47" t="str">
        <v>ER Bison Solar</v>
      </c>
      <c r="B32" s="29" t="str">
        <v>PA</v>
      </c>
      <c r="C32" s="24">
        <v>93337</v>
      </c>
      <c r="D32" s="13">
        <v>0</v>
      </c>
      <c r="E32" s="13">
        <f t="shared" si="6"/>
        <v>93337</v>
      </c>
      <c r="F32" s="14" t="str">
        <f t="shared" ref="F32:F38" si="11">IFERROR(E32/D32, "")</f>
        <v/>
      </c>
      <c r="G32" s="15">
        <v>100651</v>
      </c>
      <c r="H32" s="15">
        <f t="shared" si="9"/>
        <v>-7314</v>
      </c>
      <c r="I32" s="16">
        <f t="shared" si="10"/>
        <v>-7.2666938232108971E-2</v>
      </c>
      <c r="J32" s="40" t="s">
        <v>77</v>
      </c>
      <c r="K32" s="75" t="s">
        <v>78</v>
      </c>
      <c r="L32" s="79" t="s">
        <v>79</v>
      </c>
      <c r="M32" s="79" t="s">
        <v>80</v>
      </c>
      <c r="N32" s="78"/>
      <c r="O32" s="78"/>
      <c r="P32" s="78"/>
    </row>
    <row r="33" spans="1:16" ht="15.6">
      <c r="A33" s="48" t="str">
        <v>Danville</v>
      </c>
      <c r="B33" s="31" t="str">
        <v>IL</v>
      </c>
      <c r="C33" s="11">
        <v>235052.1</v>
      </c>
      <c r="D33" s="18">
        <v>0</v>
      </c>
      <c r="E33" s="18">
        <f t="shared" si="6"/>
        <v>235052.1</v>
      </c>
      <c r="F33" s="19" t="str">
        <f t="shared" si="11"/>
        <v/>
      </c>
      <c r="G33" s="20">
        <v>0</v>
      </c>
      <c r="H33" s="20">
        <f>IF(AND(ISNUMBER(C33),ISNUMBER(G33)), C33-G33, "")</f>
        <v>235052.1</v>
      </c>
      <c r="I33" s="19" t="str">
        <f t="shared" ref="I33:I38" si="12">IFERROR(H33/G33, "")</f>
        <v/>
      </c>
      <c r="J33" s="41"/>
      <c r="K33" s="41"/>
      <c r="L33" s="78"/>
      <c r="M33" s="78"/>
      <c r="N33" s="78"/>
      <c r="O33" s="78"/>
      <c r="P33" s="78"/>
    </row>
    <row r="34" spans="1:16" ht="129.6">
      <c r="A34" s="47" t="str">
        <v>Camden - Campbell Soup HQ</v>
      </c>
      <c r="B34" s="29" t="str">
        <v>NJ</v>
      </c>
      <c r="C34" s="24">
        <v>136065</v>
      </c>
      <c r="D34" s="13">
        <v>211584.39490000001</v>
      </c>
      <c r="E34" s="13">
        <f>IF(AND(ISNUMBER(C34),ISNUMBER(D34)), C34-D34, "")</f>
        <v>-75519.394900000014</v>
      </c>
      <c r="F34" s="14">
        <f t="shared" si="11"/>
        <v>-0.35692327373997662</v>
      </c>
      <c r="G34" s="15">
        <v>247940.87</v>
      </c>
      <c r="H34" s="15">
        <f>IF(AND(ISNUMBER(C34),ISNUMBER(G34)), C34-G34, "")</f>
        <v>-111875.87</v>
      </c>
      <c r="I34" s="16">
        <f t="shared" si="12"/>
        <v>-0.45121996224341715</v>
      </c>
      <c r="J34" s="40" t="s">
        <v>81</v>
      </c>
      <c r="K34" s="75" t="s">
        <v>82</v>
      </c>
      <c r="L34" s="79" t="s">
        <v>83</v>
      </c>
      <c r="M34" s="79" t="s">
        <v>84</v>
      </c>
      <c r="N34" s="79" t="s">
        <v>85</v>
      </c>
      <c r="O34" s="79" t="s">
        <v>86</v>
      </c>
      <c r="P34" s="78"/>
    </row>
    <row r="35" spans="1:16" ht="15.6">
      <c r="A35" s="48" t="str">
        <v>Westport - Pine Hill</v>
      </c>
      <c r="B35" s="31" t="str">
        <v>MA</v>
      </c>
      <c r="C35" s="69"/>
      <c r="D35" s="18"/>
      <c r="E35" s="18" t="str">
        <f>IF(AND(ISNUMBER(C35),ISNUMBER(D35)), C35-D35, "")</f>
        <v/>
      </c>
      <c r="F35" s="70" t="str">
        <f t="shared" si="11"/>
        <v/>
      </c>
      <c r="G35" s="63"/>
      <c r="H35" s="63" t="str">
        <f>IF(AND(ISNUMBER(C35),ISNUMBER(G35)), C35-G35, "")</f>
        <v/>
      </c>
      <c r="I35" s="70" t="str">
        <f t="shared" si="12"/>
        <v/>
      </c>
      <c r="J35" s="41"/>
      <c r="K35" s="41"/>
      <c r="L35" s="78"/>
      <c r="M35" s="78"/>
      <c r="N35" s="78"/>
      <c r="O35" s="78"/>
      <c r="P35" s="78"/>
    </row>
    <row r="36" spans="1:16" ht="57.6">
      <c r="A36" s="47" t="str">
        <v>Oaks Landfill - ANEM</v>
      </c>
      <c r="B36" s="29" t="str">
        <v>MD</v>
      </c>
      <c r="C36" s="65">
        <v>191034.5</v>
      </c>
      <c r="D36" s="13">
        <v>295011.09999999998</v>
      </c>
      <c r="E36" s="13">
        <f>IF(AND(ISNUMBER(C36),ISNUMBER(D36)), C36-D36, "")</f>
        <v>-103976.59999999998</v>
      </c>
      <c r="F36" s="66">
        <f t="shared" si="11"/>
        <v>-0.35244978917742414</v>
      </c>
      <c r="G36" s="67"/>
      <c r="H36" s="67"/>
      <c r="I36" s="80" t="str">
        <f t="shared" si="12"/>
        <v/>
      </c>
      <c r="J36" s="68" t="s">
        <v>87</v>
      </c>
      <c r="K36" s="81" t="s">
        <v>88</v>
      </c>
      <c r="L36" s="78"/>
      <c r="M36" s="78"/>
      <c r="N36" s="78"/>
      <c r="O36" s="78"/>
      <c r="P36" s="78"/>
    </row>
    <row r="37" spans="1:16" ht="57.6">
      <c r="A37" s="48" t="str">
        <v>Oaks Landfill - CS2</v>
      </c>
      <c r="B37" s="31" t="str">
        <v>MD</v>
      </c>
      <c r="C37" s="69">
        <v>204995.4</v>
      </c>
      <c r="D37" s="18">
        <v>297441.8</v>
      </c>
      <c r="E37" s="18">
        <f>IF(AND(ISNUMBER(C37),ISNUMBER(D37)), C37-D37, "")</f>
        <v>-92446.399999999994</v>
      </c>
      <c r="F37" s="70">
        <f t="shared" si="11"/>
        <v>-0.31080500454206506</v>
      </c>
      <c r="G37" s="63">
        <v>0</v>
      </c>
      <c r="H37" s="63"/>
      <c r="I37" s="70" t="str">
        <f t="shared" si="12"/>
        <v/>
      </c>
      <c r="J37" s="41" t="s">
        <v>89</v>
      </c>
      <c r="K37" s="74" t="s">
        <v>90</v>
      </c>
      <c r="L37" s="78"/>
      <c r="M37" s="78"/>
      <c r="N37" s="78"/>
      <c r="O37" s="78"/>
      <c r="P37" s="78"/>
    </row>
    <row r="38" spans="1:16" ht="15.6">
      <c r="A38" s="47" t="str">
        <v>Oaks Landfill - CS1</v>
      </c>
      <c r="B38" s="29" t="str">
        <v>MD</v>
      </c>
      <c r="C38" s="65">
        <v>194934.1</v>
      </c>
      <c r="D38" s="13">
        <v>303478.8</v>
      </c>
      <c r="E38" s="13">
        <f>IF(AND(ISNUMBER(C38),ISNUMBER(D38)), C38-D38, "")</f>
        <v>-108544.69999999998</v>
      </c>
      <c r="F38" s="66">
        <f t="shared" si="11"/>
        <v>-0.35766814683595688</v>
      </c>
      <c r="G38" s="67">
        <v>0</v>
      </c>
      <c r="H38" s="67"/>
      <c r="I38" s="80" t="str">
        <f t="shared" si="12"/>
        <v/>
      </c>
      <c r="J38" s="68" t="s">
        <v>22</v>
      </c>
      <c r="K38" s="68"/>
      <c r="L38" s="78"/>
      <c r="M38" s="78"/>
      <c r="N38" s="78"/>
      <c r="O38" s="78"/>
      <c r="P38" s="78"/>
    </row>
    <row r="39" spans="1:16" ht="14.45">
      <c r="A39" s="21" t="str">
        <v>Plympton - Upland Solar - PV &amp; BESS (IRA)</v>
      </c>
      <c r="B39" s="33" t="str">
        <v>MA</v>
      </c>
      <c r="C39" s="54"/>
      <c r="D39" s="54"/>
      <c r="E39" s="21"/>
      <c r="F39" s="22"/>
      <c r="G39" s="21"/>
      <c r="H39" s="21"/>
      <c r="I39" s="22"/>
      <c r="J39" s="21"/>
      <c r="K39" s="21"/>
    </row>
    <row r="40" spans="1:16" ht="14.45">
      <c r="A40" s="21" t="str">
        <v>MA: Plymouth - Black Cat Solar - PV &amp; BESS (IRA)</v>
      </c>
      <c r="B40" s="33" t="str">
        <v>MA</v>
      </c>
      <c r="C40" s="54"/>
      <c r="D40" s="54"/>
      <c r="E40" s="21"/>
      <c r="F40" s="22"/>
      <c r="G40" s="21"/>
      <c r="H40" s="21"/>
      <c r="I40" s="22"/>
      <c r="J40" s="21"/>
      <c r="K40" s="21"/>
    </row>
    <row r="41" spans="1:16" ht="14.45">
      <c r="A41" s="21"/>
      <c r="B41" s="33"/>
      <c r="C41" s="54"/>
      <c r="D41" s="54"/>
      <c r="E41" s="21"/>
      <c r="F41" s="22"/>
      <c r="G41" s="21"/>
      <c r="H41" s="21"/>
      <c r="I41" s="22"/>
      <c r="J41" s="21"/>
      <c r="K41" s="21"/>
    </row>
    <row r="42" spans="1:16" ht="14.45">
      <c r="A42" s="21"/>
      <c r="B42" s="33"/>
      <c r="C42" s="54"/>
      <c r="D42" s="54"/>
      <c r="E42" s="21"/>
      <c r="F42" s="22"/>
      <c r="G42" s="21"/>
      <c r="H42" s="21"/>
      <c r="I42" s="22"/>
      <c r="J42" s="21"/>
      <c r="K42" s="21"/>
    </row>
    <row r="43" spans="1:16" ht="14.45">
      <c r="A43" s="21"/>
      <c r="B43" s="33"/>
      <c r="C43" s="54"/>
      <c r="D43" s="54"/>
      <c r="E43" s="21"/>
      <c r="F43" s="22"/>
      <c r="G43" s="21"/>
      <c r="H43" s="21"/>
      <c r="I43" s="22"/>
      <c r="J43" s="21"/>
      <c r="K43" s="21"/>
    </row>
    <row r="44" spans="1:16" ht="14.45">
      <c r="A44" s="21"/>
      <c r="B44" s="33"/>
      <c r="C44" s="54"/>
      <c r="D44" s="54"/>
      <c r="E44" s="21"/>
      <c r="F44" s="22"/>
      <c r="G44" s="21"/>
      <c r="H44" s="21"/>
      <c r="I44" s="22"/>
      <c r="J44" s="21"/>
      <c r="K44" s="21"/>
    </row>
    <row r="45" spans="1:16" ht="14.45">
      <c r="A45" s="21"/>
      <c r="B45" s="33"/>
      <c r="C45" s="54"/>
      <c r="D45" s="54"/>
      <c r="E45" s="21"/>
      <c r="F45" s="22"/>
      <c r="G45" s="21"/>
      <c r="H45" s="21"/>
      <c r="I45" s="22"/>
      <c r="J45" s="21"/>
      <c r="K45" s="21"/>
    </row>
    <row r="46" spans="1:16" ht="14.45">
      <c r="A46" s="21"/>
      <c r="B46" s="33"/>
      <c r="C46" s="54"/>
      <c r="D46" s="54"/>
      <c r="E46" s="21"/>
      <c r="F46" s="22"/>
      <c r="G46" s="21"/>
      <c r="H46" s="21"/>
      <c r="I46" s="22"/>
      <c r="J46" s="21"/>
      <c r="K46" s="21"/>
    </row>
    <row r="47" spans="1:16" ht="14.45">
      <c r="A47" s="21"/>
      <c r="B47" s="33"/>
      <c r="C47" s="54"/>
      <c r="D47" s="54"/>
      <c r="E47" s="21"/>
      <c r="F47" s="22"/>
      <c r="G47" s="21"/>
      <c r="H47" s="21"/>
      <c r="I47" s="22"/>
      <c r="J47" s="21"/>
      <c r="K47" s="21"/>
    </row>
    <row r="48" spans="1:16" ht="14.45">
      <c r="A48" s="21"/>
      <c r="B48" s="33"/>
      <c r="C48" s="54"/>
      <c r="D48" s="54"/>
      <c r="E48" s="21"/>
      <c r="F48" s="22"/>
      <c r="G48" s="21"/>
      <c r="H48" s="21"/>
      <c r="I48" s="22"/>
      <c r="J48" s="21"/>
      <c r="K48" s="21"/>
    </row>
    <row r="49" spans="1:11" ht="14.45">
      <c r="A49" s="21"/>
      <c r="B49" s="33"/>
      <c r="C49" s="54"/>
      <c r="D49" s="54"/>
      <c r="E49" s="21"/>
      <c r="F49" s="22"/>
      <c r="G49" s="21"/>
      <c r="H49" s="21"/>
      <c r="I49" s="22"/>
      <c r="J49" s="21"/>
      <c r="K49" s="21"/>
    </row>
    <row r="50" spans="1:11" ht="14.45">
      <c r="A50" s="21"/>
      <c r="B50" s="33"/>
      <c r="C50" s="54"/>
      <c r="D50" s="54"/>
      <c r="E50" s="21"/>
      <c r="F50" s="22"/>
      <c r="G50" s="21"/>
      <c r="H50" s="21"/>
      <c r="I50" s="22"/>
      <c r="J50" s="21"/>
      <c r="K50" s="21"/>
    </row>
    <row r="51" spans="1:11" ht="14.45">
      <c r="A51" s="21"/>
      <c r="B51" s="33"/>
      <c r="C51" s="54"/>
      <c r="D51" s="54"/>
      <c r="E51" s="21"/>
      <c r="F51" s="22"/>
      <c r="G51" s="21"/>
      <c r="H51" s="21"/>
      <c r="I51" s="22"/>
      <c r="J51" s="21"/>
      <c r="K51" s="21"/>
    </row>
    <row r="52" spans="1:11" ht="14.45">
      <c r="A52" s="21"/>
      <c r="B52" s="33"/>
      <c r="C52" s="54"/>
      <c r="D52" s="54"/>
      <c r="E52" s="21"/>
      <c r="F52" s="22"/>
      <c r="G52" s="21"/>
      <c r="H52" s="21"/>
      <c r="I52" s="22"/>
      <c r="J52" s="21"/>
      <c r="K52" s="21"/>
    </row>
    <row r="53" spans="1:11" ht="14.45">
      <c r="A53" s="21"/>
      <c r="B53" s="33"/>
      <c r="C53" s="54"/>
      <c r="D53" s="54"/>
      <c r="E53" s="21"/>
      <c r="F53" s="22"/>
      <c r="G53" s="21"/>
      <c r="H53" s="21"/>
      <c r="I53" s="22"/>
      <c r="J53" s="21"/>
      <c r="K53" s="21"/>
    </row>
    <row r="54" spans="1:11" ht="14.45">
      <c r="A54" s="21"/>
      <c r="B54" s="33"/>
      <c r="C54" s="54"/>
      <c r="D54" s="54"/>
      <c r="E54" s="21"/>
      <c r="F54" s="22"/>
      <c r="G54" s="21"/>
      <c r="H54" s="21"/>
      <c r="I54" s="22"/>
      <c r="J54" s="21"/>
      <c r="K54" s="21"/>
    </row>
    <row r="55" spans="1:11" ht="14.45">
      <c r="A55" s="21"/>
      <c r="B55" s="33"/>
      <c r="C55" s="54"/>
      <c r="D55" s="54"/>
      <c r="E55" s="21"/>
      <c r="F55" s="22"/>
      <c r="G55" s="21"/>
      <c r="H55" s="21"/>
      <c r="I55" s="22"/>
      <c r="J55" s="21"/>
      <c r="K55" s="21"/>
    </row>
    <row r="56" spans="1:11" ht="14.45">
      <c r="A56" s="21"/>
      <c r="B56" s="33"/>
      <c r="C56" s="54"/>
      <c r="D56" s="54"/>
      <c r="E56" s="21"/>
      <c r="F56" s="22"/>
      <c r="G56" s="21"/>
      <c r="H56" s="21"/>
      <c r="I56" s="22"/>
      <c r="J56" s="21"/>
      <c r="K56" s="21"/>
    </row>
    <row r="57" spans="1:11" ht="14.45">
      <c r="A57" s="21"/>
      <c r="B57" s="33"/>
      <c r="C57" s="54"/>
      <c r="D57" s="54"/>
      <c r="E57" s="21"/>
      <c r="F57" s="22"/>
      <c r="G57" s="21"/>
      <c r="H57" s="21"/>
      <c r="I57" s="22"/>
      <c r="J57" s="21"/>
      <c r="K57" s="21"/>
    </row>
    <row r="58" spans="1:11" ht="14.45">
      <c r="A58" s="21"/>
      <c r="B58" s="33"/>
      <c r="C58" s="54"/>
      <c r="D58" s="54"/>
      <c r="E58" s="21"/>
      <c r="F58" s="22"/>
      <c r="G58" s="21"/>
      <c r="H58" s="21"/>
      <c r="I58" s="22"/>
      <c r="J58" s="21"/>
      <c r="K58" s="21"/>
    </row>
    <row r="59" spans="1:11" ht="14.45">
      <c r="A59" s="21"/>
      <c r="B59" s="33"/>
      <c r="C59" s="54"/>
      <c r="D59" s="54"/>
      <c r="E59" s="21"/>
      <c r="F59" s="22"/>
      <c r="G59" s="21"/>
      <c r="H59" s="21"/>
      <c r="I59" s="22"/>
      <c r="J59" s="21"/>
      <c r="K59" s="21"/>
    </row>
    <row r="60" spans="1:11" ht="14.45">
      <c r="A60" s="21"/>
      <c r="B60" s="33"/>
      <c r="C60" s="54"/>
      <c r="D60" s="54"/>
      <c r="E60" s="21"/>
      <c r="F60" s="22"/>
      <c r="G60" s="21"/>
      <c r="H60" s="21"/>
      <c r="I60" s="22"/>
      <c r="J60" s="21"/>
      <c r="K60" s="21"/>
    </row>
    <row r="61" spans="1:11" ht="14.45">
      <c r="A61" s="21"/>
      <c r="B61" s="33"/>
      <c r="C61" s="54"/>
      <c r="D61" s="54"/>
      <c r="E61" s="21"/>
      <c r="F61" s="22"/>
      <c r="G61" s="21"/>
      <c r="H61" s="21"/>
      <c r="I61" s="22"/>
      <c r="J61" s="21"/>
      <c r="K61" s="21"/>
    </row>
    <row r="62" spans="1:11" ht="14.45">
      <c r="A62" s="21"/>
      <c r="B62" s="33"/>
      <c r="C62" s="54"/>
      <c r="D62" s="54"/>
      <c r="E62" s="21"/>
      <c r="F62" s="22"/>
      <c r="G62" s="21"/>
      <c r="H62" s="21"/>
      <c r="I62" s="22"/>
      <c r="J62" s="21"/>
      <c r="K62" s="21"/>
    </row>
    <row r="63" spans="1:11" ht="14.45">
      <c r="A63" s="21"/>
      <c r="B63" s="33"/>
      <c r="C63" s="54"/>
      <c r="D63" s="54"/>
      <c r="E63" s="21"/>
      <c r="F63" s="22"/>
      <c r="G63" s="21"/>
      <c r="H63" s="21"/>
      <c r="I63" s="22"/>
      <c r="J63" s="21"/>
      <c r="K63" s="21"/>
    </row>
    <row r="64" spans="1:11" ht="14.45">
      <c r="A64" s="21"/>
      <c r="B64" s="33"/>
      <c r="C64" s="54"/>
      <c r="D64" s="54"/>
      <c r="E64" s="21"/>
      <c r="F64" s="22"/>
      <c r="G64" s="21"/>
      <c r="H64" s="21"/>
      <c r="I64" s="22"/>
      <c r="J64" s="21"/>
      <c r="K64" s="21"/>
    </row>
    <row r="65" spans="1:11" ht="14.45">
      <c r="A65" s="21"/>
      <c r="B65" s="33"/>
      <c r="C65" s="54"/>
      <c r="D65" s="54"/>
      <c r="E65" s="21"/>
      <c r="F65" s="22"/>
      <c r="G65" s="21"/>
      <c r="H65" s="21"/>
      <c r="I65" s="22"/>
      <c r="J65" s="21"/>
      <c r="K65" s="21"/>
    </row>
    <row r="66" spans="1:11" ht="14.45">
      <c r="A66" s="21"/>
      <c r="B66" s="33"/>
      <c r="C66" s="54"/>
      <c r="D66" s="54"/>
      <c r="E66" s="21"/>
      <c r="F66" s="22"/>
      <c r="G66" s="21"/>
      <c r="H66" s="21"/>
      <c r="I66" s="22"/>
      <c r="J66" s="21"/>
      <c r="K66" s="21"/>
    </row>
    <row r="67" spans="1:11" ht="14.45">
      <c r="A67" s="21"/>
      <c r="B67" s="33"/>
      <c r="C67" s="54"/>
      <c r="D67" s="54"/>
      <c r="E67" s="21"/>
      <c r="F67" s="22"/>
      <c r="G67" s="21"/>
      <c r="H67" s="21"/>
      <c r="I67" s="22"/>
      <c r="J67" s="21"/>
      <c r="K67" s="21"/>
    </row>
    <row r="68" spans="1:11" ht="14.45">
      <c r="A68" s="21"/>
      <c r="B68" s="33"/>
      <c r="C68" s="54"/>
      <c r="D68" s="54"/>
      <c r="E68" s="21"/>
      <c r="F68" s="22"/>
      <c r="G68" s="21"/>
      <c r="H68" s="21"/>
      <c r="I68" s="22"/>
      <c r="J68" s="21"/>
      <c r="K68" s="21"/>
    </row>
    <row r="69" spans="1:11" ht="14.45">
      <c r="A69" s="21"/>
      <c r="B69" s="33"/>
      <c r="C69" s="54"/>
      <c r="D69" s="54"/>
      <c r="E69" s="21"/>
      <c r="F69" s="22"/>
      <c r="G69" s="21"/>
      <c r="H69" s="21"/>
      <c r="I69" s="22"/>
      <c r="J69" s="21"/>
      <c r="K69" s="21"/>
    </row>
    <row r="70" spans="1:11" ht="14.45">
      <c r="A70" s="21"/>
      <c r="B70" s="33"/>
      <c r="C70" s="54"/>
      <c r="D70" s="54"/>
      <c r="E70" s="21"/>
      <c r="F70" s="22"/>
      <c r="G70" s="21"/>
      <c r="H70" s="21"/>
      <c r="I70" s="22"/>
      <c r="J70" s="21"/>
      <c r="K70" s="21"/>
    </row>
    <row r="71" spans="1:11" ht="14.45">
      <c r="A71" s="21"/>
      <c r="B71" s="33"/>
      <c r="C71" s="54"/>
      <c r="D71" s="54"/>
      <c r="E71" s="21"/>
      <c r="F71" s="22"/>
      <c r="G71" s="21"/>
      <c r="H71" s="21"/>
      <c r="I71" s="22"/>
      <c r="J71" s="21"/>
      <c r="K71" s="21"/>
    </row>
    <row r="72" spans="1:11" ht="14.45">
      <c r="A72" s="21"/>
      <c r="B72" s="33"/>
      <c r="C72" s="54"/>
      <c r="D72" s="54"/>
      <c r="E72" s="21"/>
      <c r="F72" s="22"/>
      <c r="G72" s="21"/>
      <c r="H72" s="21"/>
      <c r="I72" s="22"/>
      <c r="J72" s="21"/>
      <c r="K72" s="21"/>
    </row>
    <row r="73" spans="1:11" ht="14.45">
      <c r="A73" s="21"/>
      <c r="B73" s="33"/>
      <c r="C73" s="54"/>
      <c r="D73" s="54"/>
      <c r="E73" s="21"/>
      <c r="F73" s="22"/>
      <c r="G73" s="21"/>
      <c r="H73" s="21"/>
      <c r="I73" s="22"/>
      <c r="J73" s="21"/>
      <c r="K73" s="21"/>
    </row>
    <row r="74" spans="1:11" ht="14.45">
      <c r="A74" s="21"/>
      <c r="B74" s="33"/>
      <c r="C74" s="54"/>
      <c r="D74" s="54"/>
      <c r="E74" s="21"/>
      <c r="F74" s="22"/>
      <c r="G74" s="21"/>
      <c r="H74" s="21"/>
      <c r="I74" s="22"/>
      <c r="J74" s="21"/>
      <c r="K74" s="21"/>
    </row>
    <row r="75" spans="1:11" ht="14.45">
      <c r="A75" s="21"/>
      <c r="B75" s="33"/>
      <c r="C75" s="54"/>
      <c r="D75" s="54"/>
      <c r="E75" s="21"/>
      <c r="F75" s="22"/>
      <c r="G75" s="21"/>
      <c r="H75" s="21"/>
      <c r="I75" s="22"/>
      <c r="J75" s="21"/>
      <c r="K75" s="21"/>
    </row>
    <row r="76" spans="1:11" ht="14.45">
      <c r="A76" s="21"/>
      <c r="B76" s="33"/>
      <c r="C76" s="54"/>
      <c r="D76" s="54"/>
      <c r="E76" s="21"/>
      <c r="F76" s="22"/>
      <c r="G76" s="21"/>
      <c r="H76" s="21"/>
      <c r="I76" s="22"/>
      <c r="J76" s="21"/>
      <c r="K76" s="21"/>
    </row>
    <row r="77" spans="1:11" ht="14.45">
      <c r="A77" s="21"/>
      <c r="B77" s="33"/>
      <c r="C77" s="54"/>
      <c r="D77" s="54"/>
      <c r="E77" s="21"/>
      <c r="F77" s="22"/>
      <c r="G77" s="21"/>
      <c r="H77" s="21"/>
      <c r="I77" s="22"/>
      <c r="J77" s="21"/>
      <c r="K77" s="21"/>
    </row>
    <row r="78" spans="1:11" ht="14.45">
      <c r="A78" s="21"/>
      <c r="B78" s="33"/>
      <c r="C78" s="54"/>
      <c r="D78" s="54"/>
      <c r="E78" s="21"/>
      <c r="F78" s="22"/>
      <c r="G78" s="21"/>
      <c r="H78" s="21"/>
      <c r="I78" s="22"/>
      <c r="J78" s="21"/>
      <c r="K78" s="21"/>
    </row>
    <row r="79" spans="1:11" ht="14.45">
      <c r="A79" s="21"/>
      <c r="B79" s="33"/>
      <c r="C79" s="54"/>
      <c r="D79" s="54"/>
      <c r="E79" s="21"/>
      <c r="F79" s="22"/>
      <c r="G79" s="21"/>
      <c r="H79" s="21"/>
      <c r="I79" s="22"/>
      <c r="J79" s="21"/>
      <c r="K79" s="21"/>
    </row>
    <row r="80" spans="1:11" ht="14.45">
      <c r="A80" s="21"/>
      <c r="B80" s="33"/>
      <c r="C80" s="54"/>
      <c r="D80" s="54"/>
      <c r="E80" s="21"/>
      <c r="F80" s="22"/>
      <c r="G80" s="21"/>
      <c r="H80" s="21"/>
      <c r="I80" s="22"/>
      <c r="J80" s="21"/>
      <c r="K80" s="21"/>
    </row>
    <row r="81" spans="1:11" ht="14.45">
      <c r="A81" s="21"/>
      <c r="B81" s="33"/>
      <c r="C81" s="54"/>
      <c r="D81" s="54"/>
      <c r="E81" s="21"/>
      <c r="F81" s="22"/>
      <c r="G81" s="21"/>
      <c r="H81" s="21"/>
      <c r="I81" s="22"/>
      <c r="J81" s="21"/>
      <c r="K81" s="21"/>
    </row>
    <row r="82" spans="1:11" ht="14.45">
      <c r="A82" s="21"/>
      <c r="B82" s="33"/>
      <c r="C82" s="54"/>
      <c r="D82" s="54"/>
      <c r="E82" s="21"/>
      <c r="F82" s="22"/>
      <c r="G82" s="21"/>
      <c r="H82" s="21"/>
      <c r="I82" s="22"/>
      <c r="J82" s="21"/>
      <c r="K82" s="21"/>
    </row>
    <row r="83" spans="1:11" ht="14.45">
      <c r="A83" s="21"/>
      <c r="B83" s="33"/>
      <c r="C83" s="54"/>
      <c r="D83" s="54"/>
      <c r="E83" s="21"/>
      <c r="F83" s="22"/>
      <c r="G83" s="21"/>
      <c r="H83" s="21"/>
      <c r="I83" s="22"/>
      <c r="J83" s="21"/>
      <c r="K83" s="21"/>
    </row>
    <row r="84" spans="1:11" ht="14.45">
      <c r="A84" s="21"/>
      <c r="B84" s="33"/>
      <c r="C84" s="54"/>
      <c r="D84" s="54"/>
      <c r="E84" s="21"/>
      <c r="F84" s="22"/>
      <c r="G84" s="21"/>
      <c r="H84" s="21"/>
      <c r="I84" s="22"/>
      <c r="J84" s="21"/>
      <c r="K84" s="21"/>
    </row>
    <row r="85" spans="1:11" ht="14.45">
      <c r="A85" s="21"/>
      <c r="B85" s="33"/>
      <c r="C85" s="54"/>
      <c r="D85" s="54"/>
      <c r="E85" s="21"/>
      <c r="F85" s="22"/>
      <c r="G85" s="21"/>
      <c r="H85" s="21"/>
      <c r="I85" s="22"/>
      <c r="J85" s="21"/>
      <c r="K85" s="21"/>
    </row>
    <row r="86" spans="1:11" ht="14.45">
      <c r="A86" s="21"/>
      <c r="B86" s="33"/>
      <c r="C86" s="54"/>
      <c r="D86" s="54"/>
      <c r="E86" s="21"/>
      <c r="F86" s="22"/>
      <c r="G86" s="21"/>
      <c r="H86" s="21"/>
      <c r="I86" s="22"/>
      <c r="J86" s="21"/>
      <c r="K86" s="21"/>
    </row>
    <row r="87" spans="1:11" ht="14.45">
      <c r="A87" s="21"/>
      <c r="B87" s="33"/>
      <c r="C87" s="54"/>
      <c r="D87" s="54"/>
      <c r="E87" s="21"/>
      <c r="F87" s="22"/>
      <c r="G87" s="21"/>
      <c r="H87" s="21"/>
      <c r="I87" s="22"/>
      <c r="J87" s="21"/>
      <c r="K87" s="21"/>
    </row>
    <row r="88" spans="1:11" ht="14.45">
      <c r="A88" s="21"/>
      <c r="B88" s="33"/>
      <c r="C88" s="54"/>
      <c r="D88" s="54"/>
      <c r="E88" s="21"/>
      <c r="F88" s="22"/>
      <c r="G88" s="21"/>
      <c r="H88" s="21"/>
      <c r="I88" s="22"/>
      <c r="J88" s="21"/>
      <c r="K88" s="21"/>
    </row>
    <row r="89" spans="1:11" ht="14.45">
      <c r="A89" s="21"/>
      <c r="B89" s="33"/>
      <c r="C89" s="54"/>
      <c r="D89" s="54"/>
      <c r="E89" s="21"/>
      <c r="F89" s="22"/>
      <c r="G89" s="21"/>
      <c r="H89" s="21"/>
      <c r="I89" s="22"/>
      <c r="J89" s="21"/>
      <c r="K89" s="21"/>
    </row>
    <row r="90" spans="1:11" ht="14.45">
      <c r="A90" s="21"/>
      <c r="B90" s="33"/>
      <c r="C90" s="54"/>
      <c r="D90" s="54"/>
      <c r="E90" s="21"/>
      <c r="F90" s="22"/>
      <c r="G90" s="21"/>
      <c r="H90" s="21"/>
      <c r="I90" s="22"/>
      <c r="J90" s="21"/>
      <c r="K90" s="21"/>
    </row>
    <row r="91" spans="1:11" ht="14.45">
      <c r="A91" s="21"/>
      <c r="B91" s="33"/>
      <c r="C91" s="54"/>
      <c r="D91" s="54"/>
      <c r="E91" s="21"/>
      <c r="F91" s="22"/>
      <c r="G91" s="21"/>
      <c r="H91" s="21"/>
      <c r="I91" s="22"/>
      <c r="J91" s="21"/>
      <c r="K91" s="21"/>
    </row>
    <row r="92" spans="1:11" ht="14.45">
      <c r="A92" s="21"/>
      <c r="B92" s="33"/>
      <c r="C92" s="54"/>
      <c r="D92" s="54"/>
      <c r="E92" s="21"/>
      <c r="F92" s="22"/>
      <c r="G92" s="21"/>
      <c r="H92" s="21"/>
      <c r="I92" s="22"/>
      <c r="J92" s="21"/>
      <c r="K92" s="21"/>
    </row>
    <row r="93" spans="1:11" ht="14.45">
      <c r="A93" s="21"/>
      <c r="B93" s="33"/>
      <c r="C93" s="54"/>
      <c r="D93" s="54"/>
      <c r="E93" s="21"/>
      <c r="F93" s="22"/>
      <c r="G93" s="21"/>
      <c r="H93" s="21"/>
      <c r="I93" s="22"/>
      <c r="J93" s="21"/>
      <c r="K93" s="21"/>
    </row>
    <row r="94" spans="1:11" ht="14.45">
      <c r="A94" s="21"/>
      <c r="B94" s="33"/>
      <c r="C94" s="54"/>
      <c r="D94" s="54"/>
      <c r="E94" s="21"/>
      <c r="F94" s="22"/>
      <c r="G94" s="21"/>
      <c r="H94" s="21"/>
      <c r="I94" s="22"/>
      <c r="J94" s="21"/>
      <c r="K94" s="21"/>
    </row>
    <row r="95" spans="1:11" ht="14.45">
      <c r="A95" s="21"/>
      <c r="B95" s="33"/>
      <c r="C95" s="54"/>
      <c r="D95" s="54"/>
      <c r="E95" s="21"/>
      <c r="F95" s="22"/>
      <c r="G95" s="21"/>
      <c r="H95" s="21"/>
      <c r="I95" s="22"/>
      <c r="J95" s="21"/>
      <c r="K95" s="21"/>
    </row>
    <row r="96" spans="1:11" ht="14.45">
      <c r="A96" s="21"/>
      <c r="B96" s="33"/>
      <c r="C96" s="54"/>
      <c r="D96" s="54"/>
      <c r="E96" s="21"/>
      <c r="F96" s="22"/>
      <c r="G96" s="21"/>
      <c r="H96" s="21"/>
      <c r="I96" s="22"/>
      <c r="J96" s="21"/>
      <c r="K96" s="21"/>
    </row>
    <row r="97" spans="1:11" ht="14.45">
      <c r="A97" s="21"/>
      <c r="B97" s="33"/>
      <c r="C97" s="54"/>
      <c r="D97" s="54"/>
      <c r="E97" s="21"/>
      <c r="F97" s="22"/>
      <c r="G97" s="21"/>
      <c r="H97" s="21"/>
      <c r="I97" s="22"/>
      <c r="J97" s="21"/>
      <c r="K97" s="21"/>
    </row>
    <row r="98" spans="1:11" ht="14.45">
      <c r="A98" s="21"/>
      <c r="B98" s="33"/>
      <c r="C98" s="54"/>
      <c r="D98" s="54"/>
      <c r="E98" s="21"/>
      <c r="F98" s="22"/>
      <c r="G98" s="21"/>
      <c r="H98" s="21"/>
      <c r="I98" s="22"/>
      <c r="J98" s="21"/>
      <c r="K98" s="21"/>
    </row>
    <row r="99" spans="1:11" ht="14.45">
      <c r="A99" s="21"/>
      <c r="B99" s="33"/>
      <c r="C99" s="54"/>
      <c r="D99" s="54"/>
      <c r="E99" s="21"/>
      <c r="F99" s="22"/>
      <c r="G99" s="21"/>
      <c r="H99" s="21"/>
      <c r="I99" s="22"/>
      <c r="J99" s="21"/>
      <c r="K99" s="21"/>
    </row>
    <row r="100" spans="1:11" ht="14.45">
      <c r="A100" s="21"/>
      <c r="B100" s="33"/>
      <c r="C100" s="54"/>
      <c r="D100" s="54"/>
      <c r="E100" s="21"/>
      <c r="F100" s="22"/>
      <c r="G100" s="21"/>
      <c r="H100" s="21"/>
      <c r="I100" s="22"/>
      <c r="J100" s="21"/>
      <c r="K100" s="21"/>
    </row>
    <row r="101" spans="1:11" ht="14.45">
      <c r="A101" s="21"/>
      <c r="B101" s="33"/>
      <c r="C101" s="54"/>
      <c r="D101" s="54"/>
      <c r="E101" s="21"/>
      <c r="F101" s="22"/>
      <c r="G101" s="21"/>
      <c r="H101" s="21"/>
      <c r="I101" s="22"/>
      <c r="J101" s="21"/>
      <c r="K101" s="21"/>
    </row>
    <row r="102" spans="1:11" ht="14.45">
      <c r="A102" s="21"/>
      <c r="B102" s="33"/>
      <c r="C102" s="54"/>
      <c r="D102" s="54"/>
      <c r="E102" s="21"/>
      <c r="F102" s="22"/>
      <c r="G102" s="21"/>
      <c r="H102" s="21"/>
      <c r="I102" s="22"/>
      <c r="J102" s="21"/>
      <c r="K102" s="21"/>
    </row>
    <row r="103" spans="1:11" ht="14.45">
      <c r="A103" s="21"/>
      <c r="B103" s="33"/>
      <c r="C103" s="54"/>
      <c r="D103" s="54"/>
      <c r="E103" s="21"/>
      <c r="F103" s="22"/>
      <c r="G103" s="21"/>
      <c r="H103" s="21"/>
      <c r="I103" s="22"/>
      <c r="J103" s="21"/>
      <c r="K103" s="21"/>
    </row>
    <row r="104" spans="1:11" ht="14.45">
      <c r="A104" s="21"/>
      <c r="B104" s="33"/>
      <c r="C104" s="54"/>
      <c r="D104" s="54"/>
      <c r="E104" s="21"/>
      <c r="F104" s="22"/>
      <c r="G104" s="21"/>
      <c r="H104" s="21"/>
      <c r="I104" s="22"/>
      <c r="J104" s="21"/>
      <c r="K104" s="21"/>
    </row>
    <row r="105" spans="1:11" ht="14.45">
      <c r="A105" s="21"/>
      <c r="B105" s="33"/>
      <c r="C105" s="54"/>
      <c r="D105" s="54"/>
      <c r="E105" s="21"/>
      <c r="F105" s="22"/>
      <c r="G105" s="21"/>
      <c r="H105" s="21"/>
      <c r="I105" s="22"/>
      <c r="J105" s="21"/>
      <c r="K105" s="21"/>
    </row>
    <row r="106" spans="1:11" ht="14.45">
      <c r="A106" s="21"/>
      <c r="B106" s="33"/>
      <c r="C106" s="54"/>
      <c r="D106" s="54"/>
      <c r="E106" s="21"/>
      <c r="F106" s="22"/>
      <c r="G106" s="21"/>
      <c r="H106" s="21"/>
      <c r="I106" s="22"/>
      <c r="J106" s="21"/>
      <c r="K106" s="21"/>
    </row>
    <row r="107" spans="1:11" ht="14.45">
      <c r="A107" s="21"/>
      <c r="B107" s="33"/>
      <c r="C107" s="54"/>
      <c r="D107" s="54"/>
      <c r="E107" s="21"/>
      <c r="F107" s="22"/>
      <c r="G107" s="21"/>
      <c r="H107" s="21"/>
      <c r="I107" s="22"/>
      <c r="J107" s="21"/>
      <c r="K107" s="21"/>
    </row>
    <row r="108" spans="1:11" ht="14.45">
      <c r="A108" s="21"/>
      <c r="B108" s="33"/>
      <c r="C108" s="54"/>
      <c r="D108" s="54"/>
      <c r="E108" s="21"/>
      <c r="F108" s="22"/>
      <c r="G108" s="21"/>
      <c r="H108" s="21"/>
      <c r="I108" s="22"/>
      <c r="J108" s="21"/>
      <c r="K108" s="21"/>
    </row>
    <row r="109" spans="1:11" ht="14.45">
      <c r="A109" s="21"/>
      <c r="B109" s="33"/>
      <c r="C109" s="54"/>
      <c r="D109" s="54"/>
      <c r="E109" s="21"/>
      <c r="F109" s="22"/>
      <c r="G109" s="21"/>
      <c r="H109" s="21"/>
      <c r="I109" s="22"/>
      <c r="J109" s="21"/>
      <c r="K109" s="21"/>
    </row>
    <row r="110" spans="1:11" ht="14.45">
      <c r="A110" s="21"/>
      <c r="B110" s="33"/>
      <c r="C110" s="54"/>
      <c r="D110" s="54"/>
      <c r="E110" s="21"/>
      <c r="F110" s="22"/>
      <c r="G110" s="21"/>
      <c r="H110" s="21"/>
      <c r="I110" s="22"/>
      <c r="J110" s="21"/>
      <c r="K110" s="21"/>
    </row>
    <row r="111" spans="1:11" ht="14.45">
      <c r="A111" s="21"/>
      <c r="B111" s="33"/>
      <c r="C111" s="54"/>
      <c r="D111" s="54"/>
      <c r="E111" s="21"/>
      <c r="F111" s="22"/>
      <c r="G111" s="21"/>
      <c r="H111" s="21"/>
      <c r="I111" s="22"/>
      <c r="J111" s="21"/>
      <c r="K111" s="21"/>
    </row>
    <row r="112" spans="1:11" ht="14.45">
      <c r="A112" s="21"/>
      <c r="B112" s="33"/>
      <c r="C112" s="54"/>
      <c r="D112" s="54"/>
      <c r="E112" s="21"/>
      <c r="F112" s="22"/>
      <c r="G112" s="21"/>
      <c r="H112" s="21"/>
      <c r="I112" s="22"/>
      <c r="J112" s="21"/>
      <c r="K112" s="21"/>
    </row>
    <row r="113" spans="1:11" ht="14.45">
      <c r="A113" s="21"/>
      <c r="B113" s="33"/>
      <c r="C113" s="54"/>
      <c r="D113" s="54"/>
      <c r="E113" s="21"/>
      <c r="F113" s="22"/>
      <c r="G113" s="21"/>
      <c r="H113" s="21"/>
      <c r="I113" s="22"/>
      <c r="J113" s="21"/>
      <c r="K113" s="21"/>
    </row>
    <row r="114" spans="1:11" ht="14.45">
      <c r="A114" s="21"/>
      <c r="B114" s="33"/>
      <c r="C114" s="54"/>
      <c r="D114" s="54"/>
      <c r="E114" s="21"/>
      <c r="F114" s="22"/>
      <c r="G114" s="21"/>
      <c r="H114" s="21"/>
      <c r="I114" s="22"/>
      <c r="J114" s="21"/>
      <c r="K114" s="21"/>
    </row>
    <row r="115" spans="1:11" ht="14.45">
      <c r="A115" s="21"/>
      <c r="B115" s="33"/>
      <c r="C115" s="54"/>
      <c r="D115" s="54"/>
      <c r="E115" s="21"/>
      <c r="F115" s="22"/>
      <c r="G115" s="21"/>
      <c r="H115" s="21"/>
      <c r="I115" s="22"/>
      <c r="J115" s="21"/>
      <c r="K115" s="21"/>
    </row>
    <row r="116" spans="1:11" ht="14.45">
      <c r="A116" s="21"/>
      <c r="B116" s="33"/>
      <c r="C116" s="54"/>
      <c r="D116" s="54"/>
      <c r="E116" s="21"/>
      <c r="F116" s="22"/>
      <c r="G116" s="21"/>
      <c r="H116" s="21"/>
      <c r="I116" s="22"/>
      <c r="J116" s="21"/>
      <c r="K116" s="21"/>
    </row>
    <row r="117" spans="1:11" ht="14.45">
      <c r="A117" s="21"/>
      <c r="B117" s="33"/>
      <c r="C117" s="54"/>
      <c r="D117" s="54"/>
      <c r="E117" s="21"/>
      <c r="F117" s="22"/>
      <c r="G117" s="21"/>
      <c r="H117" s="21"/>
      <c r="I117" s="22"/>
      <c r="J117" s="21"/>
      <c r="K117" s="21"/>
    </row>
    <row r="118" spans="1:11" ht="14.45">
      <c r="A118" s="21"/>
      <c r="B118" s="33"/>
      <c r="C118" s="54"/>
      <c r="D118" s="54"/>
      <c r="E118" s="21"/>
      <c r="F118" s="22"/>
      <c r="G118" s="21"/>
      <c r="H118" s="21"/>
      <c r="I118" s="22"/>
      <c r="J118" s="21"/>
      <c r="K118" s="21"/>
    </row>
    <row r="119" spans="1:11" ht="14.45">
      <c r="A119" s="21"/>
      <c r="B119" s="33"/>
      <c r="C119" s="54"/>
      <c r="D119" s="54"/>
      <c r="E119" s="21"/>
      <c r="F119" s="22"/>
      <c r="G119" s="21"/>
      <c r="H119" s="21"/>
      <c r="I119" s="22"/>
      <c r="J119" s="21"/>
      <c r="K119" s="21"/>
    </row>
    <row r="120" spans="1:11" ht="14.45">
      <c r="A120" s="21"/>
      <c r="B120" s="33"/>
      <c r="C120" s="54"/>
      <c r="D120" s="54"/>
      <c r="E120" s="21"/>
      <c r="F120" s="22"/>
      <c r="G120" s="21"/>
      <c r="H120" s="21"/>
      <c r="I120" s="22"/>
      <c r="J120" s="21"/>
      <c r="K120" s="21"/>
    </row>
    <row r="121" spans="1:11" ht="14.45">
      <c r="A121" s="21"/>
      <c r="B121" s="33"/>
      <c r="C121" s="54"/>
      <c r="D121" s="54"/>
      <c r="E121" s="21"/>
      <c r="F121" s="22"/>
      <c r="G121" s="21"/>
      <c r="H121" s="21"/>
      <c r="I121" s="22"/>
      <c r="J121" s="21"/>
      <c r="K121" s="21"/>
    </row>
    <row r="122" spans="1:11" ht="14.45">
      <c r="A122" s="21"/>
      <c r="B122" s="33"/>
      <c r="C122" s="54"/>
      <c r="D122" s="54"/>
      <c r="E122" s="21"/>
      <c r="F122" s="22"/>
      <c r="G122" s="21"/>
      <c r="H122" s="21"/>
      <c r="I122" s="22"/>
      <c r="J122" s="21"/>
      <c r="K122" s="21"/>
    </row>
    <row r="123" spans="1:11" ht="14.45">
      <c r="A123" s="21"/>
      <c r="B123" s="33"/>
      <c r="C123" s="54"/>
      <c r="D123" s="54"/>
      <c r="E123" s="21"/>
      <c r="F123" s="22"/>
      <c r="G123" s="21"/>
      <c r="H123" s="21"/>
      <c r="I123" s="22"/>
      <c r="J123" s="21"/>
      <c r="K123" s="21"/>
    </row>
    <row r="124" spans="1:11" ht="14.45">
      <c r="A124" s="21"/>
      <c r="B124" s="33"/>
      <c r="C124" s="54"/>
      <c r="D124" s="54"/>
      <c r="E124" s="21"/>
      <c r="F124" s="22"/>
      <c r="G124" s="21"/>
      <c r="H124" s="21"/>
      <c r="I124" s="22"/>
      <c r="J124" s="21"/>
      <c r="K124" s="21"/>
    </row>
    <row r="125" spans="1:11" ht="14.45">
      <c r="A125" s="21"/>
      <c r="B125" s="33"/>
      <c r="C125" s="54"/>
      <c r="D125" s="54"/>
      <c r="E125" s="21"/>
      <c r="F125" s="22"/>
      <c r="G125" s="21"/>
      <c r="H125" s="21"/>
      <c r="I125" s="22"/>
      <c r="J125" s="21"/>
      <c r="K125" s="21"/>
    </row>
    <row r="126" spans="1:11" ht="14.45">
      <c r="A126" s="21"/>
      <c r="B126" s="33"/>
      <c r="C126" s="54"/>
      <c r="D126" s="54"/>
      <c r="E126" s="21"/>
      <c r="F126" s="22"/>
      <c r="G126" s="21"/>
      <c r="H126" s="21"/>
      <c r="I126" s="22"/>
      <c r="J126" s="21"/>
      <c r="K126" s="21"/>
    </row>
    <row r="127" spans="1:11" ht="14.45">
      <c r="A127" s="21"/>
      <c r="B127" s="33"/>
      <c r="C127" s="54"/>
      <c r="D127" s="54"/>
      <c r="E127" s="21"/>
      <c r="F127" s="22"/>
      <c r="G127" s="21"/>
      <c r="H127" s="21"/>
      <c r="I127" s="22"/>
      <c r="J127" s="21"/>
      <c r="K127" s="21"/>
    </row>
    <row r="128" spans="1:11" ht="14.45">
      <c r="A128" s="21"/>
      <c r="B128" s="33"/>
      <c r="C128" s="54"/>
      <c r="D128" s="54"/>
      <c r="E128" s="21"/>
      <c r="F128" s="22"/>
      <c r="G128" s="21"/>
      <c r="H128" s="21"/>
      <c r="I128" s="22"/>
      <c r="J128" s="21"/>
      <c r="K128" s="21"/>
    </row>
    <row r="129" spans="1:11" ht="14.45">
      <c r="A129" s="21"/>
      <c r="B129" s="33"/>
      <c r="C129" s="54"/>
      <c r="D129" s="54"/>
      <c r="E129" s="21"/>
      <c r="F129" s="22"/>
      <c r="G129" s="21"/>
      <c r="H129" s="21"/>
      <c r="I129" s="22"/>
      <c r="J129" s="21"/>
      <c r="K129" s="21"/>
    </row>
    <row r="130" spans="1:11" ht="14.45">
      <c r="A130" s="21"/>
      <c r="B130" s="33"/>
      <c r="C130" s="54"/>
      <c r="D130" s="54"/>
      <c r="E130" s="21"/>
      <c r="F130" s="22"/>
      <c r="G130" s="21"/>
      <c r="H130" s="21"/>
      <c r="I130" s="22"/>
      <c r="J130" s="21"/>
      <c r="K130" s="21"/>
    </row>
    <row r="131" spans="1:11" ht="14.45">
      <c r="A131" s="21"/>
      <c r="B131" s="33"/>
      <c r="C131" s="54"/>
      <c r="D131" s="54"/>
      <c r="E131" s="21"/>
      <c r="F131" s="22"/>
      <c r="G131" s="21"/>
      <c r="H131" s="21"/>
      <c r="I131" s="22"/>
      <c r="J131" s="21"/>
      <c r="K131" s="21"/>
    </row>
    <row r="132" spans="1:11" ht="14.45">
      <c r="A132" s="21"/>
      <c r="B132" s="33"/>
      <c r="C132" s="54"/>
      <c r="D132" s="54"/>
      <c r="E132" s="21"/>
      <c r="F132" s="22"/>
      <c r="G132" s="21"/>
      <c r="H132" s="21"/>
      <c r="I132" s="22"/>
      <c r="J132" s="21"/>
      <c r="K132" s="21"/>
    </row>
    <row r="133" spans="1:11" ht="14.45">
      <c r="A133" s="21"/>
      <c r="B133" s="33"/>
      <c r="C133" s="54"/>
      <c r="D133" s="54"/>
      <c r="E133" s="21"/>
      <c r="F133" s="22"/>
      <c r="G133" s="21"/>
      <c r="H133" s="21"/>
      <c r="I133" s="22"/>
      <c r="J133" s="21"/>
      <c r="K133" s="21"/>
    </row>
    <row r="134" spans="1:11" ht="14.45">
      <c r="A134" s="21"/>
      <c r="B134" s="33"/>
      <c r="C134" s="54"/>
      <c r="D134" s="54"/>
      <c r="E134" s="21"/>
      <c r="F134" s="22"/>
      <c r="G134" s="21"/>
      <c r="H134" s="21"/>
      <c r="I134" s="22"/>
      <c r="J134" s="21"/>
      <c r="K134" s="21"/>
    </row>
    <row r="135" spans="1:11" ht="14.45">
      <c r="A135" s="21"/>
      <c r="B135" s="33"/>
      <c r="C135" s="54"/>
      <c r="D135" s="54"/>
      <c r="E135" s="21"/>
      <c r="F135" s="22"/>
      <c r="G135" s="21"/>
      <c r="H135" s="21"/>
      <c r="I135" s="22"/>
      <c r="J135" s="21"/>
      <c r="K135" s="21"/>
    </row>
    <row r="136" spans="1:11" ht="14.45">
      <c r="A136" s="21"/>
      <c r="B136" s="33"/>
      <c r="C136" s="54"/>
      <c r="D136" s="54"/>
      <c r="E136" s="21"/>
      <c r="F136" s="22"/>
      <c r="G136" s="21"/>
      <c r="H136" s="21"/>
      <c r="I136" s="22"/>
      <c r="J136" s="21"/>
      <c r="K136" s="21"/>
    </row>
    <row r="137" spans="1:11" ht="14.45">
      <c r="A137" s="21"/>
      <c r="B137" s="33"/>
      <c r="C137" s="54"/>
      <c r="D137" s="54"/>
      <c r="E137" s="21"/>
      <c r="F137" s="22"/>
      <c r="G137" s="21"/>
      <c r="H137" s="21"/>
      <c r="I137" s="22"/>
      <c r="J137" s="21"/>
      <c r="K137" s="21"/>
    </row>
    <row r="138" spans="1:11" ht="14.45">
      <c r="A138" s="21"/>
      <c r="B138" s="33"/>
      <c r="C138" s="54"/>
      <c r="D138" s="54"/>
      <c r="E138" s="21"/>
      <c r="F138" s="22"/>
      <c r="G138" s="21"/>
      <c r="H138" s="21"/>
      <c r="I138" s="22"/>
      <c r="J138" s="21"/>
      <c r="K138" s="21"/>
    </row>
    <row r="139" spans="1:11" ht="14.45">
      <c r="A139" s="21"/>
      <c r="B139" s="33"/>
      <c r="C139" s="54"/>
      <c r="D139" s="54"/>
      <c r="E139" s="21"/>
      <c r="F139" s="22"/>
      <c r="G139" s="21"/>
      <c r="H139" s="21"/>
      <c r="I139" s="22"/>
      <c r="J139" s="21"/>
      <c r="K139" s="21"/>
    </row>
    <row r="140" spans="1:11" ht="14.45">
      <c r="A140" s="21"/>
      <c r="B140" s="33"/>
      <c r="C140" s="54"/>
      <c r="D140" s="54"/>
      <c r="E140" s="21"/>
      <c r="F140" s="22"/>
      <c r="G140" s="21"/>
      <c r="H140" s="21"/>
      <c r="I140" s="22"/>
      <c r="J140" s="21"/>
      <c r="K140" s="21"/>
    </row>
    <row r="141" spans="1:11" ht="14.45">
      <c r="A141" s="21"/>
      <c r="B141" s="33"/>
      <c r="C141" s="54"/>
      <c r="D141" s="54"/>
      <c r="E141" s="21"/>
      <c r="F141" s="22"/>
      <c r="G141" s="21"/>
      <c r="H141" s="21"/>
      <c r="I141" s="22"/>
      <c r="J141" s="21"/>
      <c r="K141" s="21"/>
    </row>
    <row r="142" spans="1:11" ht="14.45">
      <c r="A142" s="21"/>
      <c r="B142" s="33"/>
      <c r="C142" s="54"/>
      <c r="D142" s="54"/>
      <c r="E142" s="21"/>
      <c r="F142" s="22"/>
      <c r="G142" s="21"/>
      <c r="H142" s="21"/>
      <c r="I142" s="22"/>
      <c r="J142" s="21"/>
      <c r="K142" s="21"/>
    </row>
    <row r="143" spans="1:11" ht="14.45">
      <c r="A143" s="21"/>
      <c r="B143" s="33"/>
      <c r="C143" s="54"/>
      <c r="D143" s="54"/>
      <c r="E143" s="21"/>
      <c r="F143" s="22"/>
      <c r="G143" s="21"/>
      <c r="H143" s="21"/>
      <c r="I143" s="22"/>
      <c r="J143" s="21"/>
      <c r="K143" s="21"/>
    </row>
    <row r="144" spans="1:11" ht="14.45">
      <c r="A144" s="21"/>
      <c r="B144" s="33"/>
      <c r="C144" s="54"/>
      <c r="D144" s="54"/>
      <c r="E144" s="21"/>
      <c r="F144" s="22"/>
      <c r="G144" s="21"/>
      <c r="H144" s="21"/>
      <c r="I144" s="22"/>
      <c r="J144" s="21"/>
      <c r="K144" s="21"/>
    </row>
    <row r="145" spans="1:11" ht="14.45">
      <c r="A145" s="21"/>
      <c r="B145" s="33"/>
      <c r="C145" s="54"/>
      <c r="D145" s="54"/>
      <c r="E145" s="21"/>
      <c r="F145" s="22"/>
      <c r="G145" s="21"/>
      <c r="H145" s="21"/>
      <c r="I145" s="22"/>
      <c r="J145" s="21"/>
      <c r="K145" s="21"/>
    </row>
    <row r="146" spans="1:11" ht="14.45">
      <c r="A146" s="21"/>
      <c r="B146" s="33"/>
      <c r="C146" s="54"/>
      <c r="D146" s="54"/>
      <c r="E146" s="21"/>
      <c r="F146" s="22"/>
      <c r="G146" s="21"/>
      <c r="H146" s="21"/>
      <c r="I146" s="22"/>
      <c r="J146" s="21"/>
      <c r="K146" s="21"/>
    </row>
    <row r="147" spans="1:11" ht="14.45">
      <c r="A147" s="21"/>
      <c r="B147" s="33"/>
      <c r="C147" s="54"/>
      <c r="D147" s="54"/>
      <c r="E147" s="21"/>
      <c r="F147" s="22"/>
      <c r="G147" s="21"/>
      <c r="H147" s="21"/>
      <c r="I147" s="22"/>
      <c r="J147" s="21"/>
      <c r="K147" s="21"/>
    </row>
    <row r="148" spans="1:11" ht="14.45">
      <c r="A148" s="21"/>
      <c r="B148" s="33"/>
      <c r="C148" s="54"/>
      <c r="D148" s="54"/>
      <c r="E148" s="21"/>
      <c r="F148" s="22"/>
      <c r="G148" s="21"/>
      <c r="H148" s="21"/>
      <c r="I148" s="22"/>
      <c r="J148" s="21"/>
      <c r="K148" s="21"/>
    </row>
    <row r="149" spans="1:11" ht="14.45">
      <c r="A149" s="21"/>
      <c r="B149" s="33"/>
      <c r="C149" s="54"/>
      <c r="D149" s="54"/>
      <c r="E149" s="21"/>
      <c r="F149" s="22"/>
      <c r="G149" s="21"/>
      <c r="H149" s="21"/>
      <c r="I149" s="22"/>
      <c r="J149" s="21"/>
      <c r="K149" s="21"/>
    </row>
    <row r="150" spans="1:11" ht="14.45">
      <c r="A150" s="21"/>
      <c r="B150" s="33"/>
      <c r="C150" s="54"/>
      <c r="D150" s="54"/>
      <c r="E150" s="21"/>
      <c r="F150" s="22"/>
      <c r="G150" s="21"/>
      <c r="H150" s="21"/>
      <c r="I150" s="22"/>
      <c r="J150" s="21"/>
      <c r="K150" s="21"/>
    </row>
    <row r="151" spans="1:11" ht="14.45">
      <c r="A151" s="21"/>
      <c r="B151" s="33"/>
      <c r="C151" s="54"/>
      <c r="D151" s="54"/>
      <c r="E151" s="21"/>
      <c r="F151" s="22"/>
      <c r="G151" s="21"/>
      <c r="H151" s="21"/>
      <c r="I151" s="22"/>
      <c r="J151" s="21"/>
      <c r="K151" s="21"/>
    </row>
    <row r="152" spans="1:11" ht="14.45">
      <c r="A152" s="21"/>
      <c r="B152" s="33"/>
      <c r="C152" s="54"/>
      <c r="D152" s="54"/>
      <c r="E152" s="21"/>
      <c r="F152" s="22"/>
      <c r="G152" s="21"/>
      <c r="H152" s="21"/>
      <c r="I152" s="22"/>
      <c r="J152" s="21"/>
      <c r="K152" s="21"/>
    </row>
    <row r="153" spans="1:11" ht="14.45">
      <c r="A153" s="21"/>
      <c r="B153" s="33"/>
      <c r="C153" s="54"/>
      <c r="D153" s="54"/>
      <c r="E153" s="21"/>
      <c r="F153" s="22"/>
      <c r="G153" s="21"/>
      <c r="H153" s="21"/>
      <c r="I153" s="22"/>
      <c r="J153" s="21"/>
      <c r="K153" s="21"/>
    </row>
    <row r="154" spans="1:11" ht="14.45">
      <c r="A154" s="21"/>
      <c r="B154" s="33"/>
      <c r="C154" s="54"/>
      <c r="D154" s="54"/>
      <c r="E154" s="21"/>
      <c r="F154" s="22"/>
      <c r="G154" s="21"/>
      <c r="H154" s="21"/>
      <c r="I154" s="22"/>
      <c r="J154" s="21"/>
      <c r="K154" s="21"/>
    </row>
    <row r="155" spans="1:11" ht="14.45">
      <c r="A155" s="21"/>
      <c r="B155" s="33"/>
      <c r="C155" s="54"/>
      <c r="D155" s="54"/>
      <c r="E155" s="21"/>
      <c r="F155" s="22"/>
      <c r="G155" s="21"/>
      <c r="H155" s="21"/>
      <c r="I155" s="22"/>
      <c r="J155" s="21"/>
      <c r="K155" s="21"/>
    </row>
    <row r="156" spans="1:11" ht="14.45">
      <c r="A156" s="21"/>
      <c r="B156" s="33"/>
      <c r="C156" s="54"/>
      <c r="D156" s="54"/>
      <c r="E156" s="21"/>
      <c r="F156" s="22"/>
      <c r="G156" s="21"/>
      <c r="H156" s="21"/>
      <c r="I156" s="22"/>
      <c r="J156" s="21"/>
      <c r="K156" s="21"/>
    </row>
    <row r="157" spans="1:11" ht="14.45">
      <c r="A157" s="21"/>
      <c r="B157" s="33"/>
      <c r="C157" s="54"/>
      <c r="D157" s="54"/>
      <c r="E157" s="21"/>
      <c r="F157" s="22"/>
      <c r="G157" s="21"/>
      <c r="H157" s="21"/>
      <c r="I157" s="22"/>
      <c r="J157" s="21"/>
      <c r="K157" s="21"/>
    </row>
    <row r="158" spans="1:11" ht="14.45">
      <c r="A158" s="21"/>
      <c r="B158" s="33"/>
      <c r="C158" s="54"/>
      <c r="D158" s="54"/>
      <c r="E158" s="21"/>
      <c r="F158" s="22"/>
      <c r="G158" s="21"/>
      <c r="H158" s="21"/>
      <c r="I158" s="22"/>
      <c r="J158" s="21"/>
      <c r="K158" s="21"/>
    </row>
    <row r="159" spans="1:11" ht="14.45">
      <c r="A159" s="21"/>
      <c r="B159" s="33"/>
      <c r="C159" s="54"/>
      <c r="D159" s="54"/>
      <c r="E159" s="21"/>
      <c r="F159" s="22"/>
      <c r="G159" s="21"/>
      <c r="H159" s="21"/>
      <c r="I159" s="22"/>
      <c r="J159" s="21"/>
      <c r="K159" s="21"/>
    </row>
    <row r="160" spans="1:11" ht="14.45">
      <c r="A160" s="21"/>
      <c r="B160" s="33"/>
      <c r="C160" s="54"/>
      <c r="D160" s="54"/>
      <c r="E160" s="21"/>
      <c r="F160" s="22"/>
      <c r="G160" s="21"/>
      <c r="H160" s="21"/>
      <c r="I160" s="22"/>
      <c r="J160" s="21"/>
      <c r="K160" s="21"/>
    </row>
    <row r="161" spans="1:11" ht="14.45">
      <c r="A161" s="21"/>
      <c r="B161" s="33"/>
      <c r="C161" s="54"/>
      <c r="D161" s="54"/>
      <c r="E161" s="21"/>
      <c r="F161" s="22"/>
      <c r="G161" s="21"/>
      <c r="H161" s="21"/>
      <c r="I161" s="22"/>
      <c r="J161" s="21"/>
      <c r="K161" s="21"/>
    </row>
    <row r="162" spans="1:11" ht="14.45">
      <c r="A162" s="21"/>
      <c r="B162" s="33"/>
      <c r="C162" s="54"/>
      <c r="D162" s="54"/>
      <c r="E162" s="21"/>
      <c r="F162" s="22"/>
      <c r="G162" s="21"/>
      <c r="H162" s="21"/>
      <c r="I162" s="22"/>
      <c r="J162" s="21"/>
      <c r="K162" s="21"/>
    </row>
    <row r="163" spans="1:11" ht="14.45">
      <c r="A163" s="21"/>
      <c r="B163" s="33"/>
      <c r="C163" s="54"/>
      <c r="D163" s="54"/>
      <c r="E163" s="21"/>
      <c r="F163" s="22"/>
      <c r="G163" s="21"/>
      <c r="H163" s="21"/>
      <c r="I163" s="22"/>
      <c r="J163" s="21"/>
      <c r="K163" s="21"/>
    </row>
    <row r="164" spans="1:11" ht="14.45">
      <c r="A164" s="21"/>
      <c r="B164" s="33"/>
      <c r="C164" s="54"/>
      <c r="D164" s="54"/>
      <c r="E164" s="21"/>
      <c r="F164" s="22"/>
      <c r="G164" s="21"/>
      <c r="H164" s="21"/>
      <c r="I164" s="22"/>
      <c r="J164" s="21"/>
      <c r="K164" s="21"/>
    </row>
    <row r="165" spans="1:11" ht="14.45">
      <c r="A165" s="21"/>
      <c r="B165" s="33"/>
      <c r="C165" s="54"/>
      <c r="D165" s="54"/>
      <c r="E165" s="21"/>
      <c r="F165" s="22"/>
      <c r="G165" s="21"/>
      <c r="H165" s="21"/>
      <c r="I165" s="22"/>
      <c r="J165" s="21"/>
      <c r="K165" s="21"/>
    </row>
    <row r="166" spans="1:11" ht="14.45">
      <c r="A166" s="21"/>
      <c r="B166" s="33"/>
      <c r="C166" s="54"/>
      <c r="D166" s="54"/>
      <c r="E166" s="21"/>
      <c r="F166" s="22"/>
      <c r="G166" s="21"/>
      <c r="H166" s="21"/>
      <c r="I166" s="22"/>
      <c r="J166" s="21"/>
      <c r="K166" s="21"/>
    </row>
    <row r="167" spans="1:11" ht="14.45">
      <c r="A167" s="21"/>
      <c r="B167" s="33"/>
      <c r="C167" s="54"/>
      <c r="D167" s="54"/>
      <c r="E167" s="21"/>
      <c r="F167" s="22"/>
      <c r="G167" s="21"/>
      <c r="H167" s="21"/>
      <c r="I167" s="22"/>
      <c r="J167" s="21"/>
      <c r="K167" s="21"/>
    </row>
    <row r="168" spans="1:11" ht="14.45">
      <c r="A168" s="21"/>
      <c r="B168" s="33"/>
      <c r="C168" s="54"/>
      <c r="D168" s="54"/>
      <c r="E168" s="21"/>
      <c r="F168" s="22"/>
      <c r="G168" s="21"/>
      <c r="H168" s="21"/>
      <c r="I168" s="22"/>
      <c r="J168" s="21"/>
      <c r="K168" s="21"/>
    </row>
    <row r="169" spans="1:11" ht="14.45">
      <c r="A169" s="21"/>
      <c r="B169" s="33"/>
      <c r="C169" s="54"/>
      <c r="D169" s="54"/>
      <c r="E169" s="21"/>
      <c r="F169" s="22"/>
      <c r="G169" s="21"/>
      <c r="H169" s="21"/>
      <c r="I169" s="22"/>
      <c r="J169" s="21"/>
      <c r="K169" s="21"/>
    </row>
    <row r="170" spans="1:11" ht="14.45">
      <c r="A170" s="21"/>
      <c r="B170" s="33"/>
      <c r="C170" s="54"/>
      <c r="D170" s="54"/>
      <c r="E170" s="21"/>
      <c r="F170" s="22"/>
      <c r="G170" s="21"/>
      <c r="H170" s="21"/>
      <c r="I170" s="22"/>
      <c r="J170" s="21"/>
      <c r="K170" s="21"/>
    </row>
    <row r="171" spans="1:11" ht="14.45">
      <c r="A171" s="21"/>
      <c r="B171" s="33"/>
      <c r="C171" s="54"/>
      <c r="D171" s="54"/>
      <c r="E171" s="21"/>
      <c r="F171" s="22"/>
      <c r="G171" s="21"/>
      <c r="H171" s="21"/>
      <c r="I171" s="22"/>
      <c r="J171" s="21"/>
      <c r="K171" s="21"/>
    </row>
    <row r="172" spans="1:11" ht="14.45">
      <c r="A172" s="21"/>
      <c r="B172" s="33"/>
      <c r="C172" s="54"/>
      <c r="D172" s="54"/>
      <c r="E172" s="21"/>
      <c r="F172" s="22"/>
      <c r="G172" s="21"/>
      <c r="H172" s="21"/>
      <c r="I172" s="22"/>
      <c r="J172" s="21"/>
      <c r="K172" s="21"/>
    </row>
    <row r="173" spans="1:11" ht="14.45">
      <c r="A173" s="21"/>
      <c r="B173" s="33"/>
      <c r="C173" s="54"/>
      <c r="D173" s="54"/>
      <c r="E173" s="21"/>
      <c r="F173" s="22"/>
      <c r="G173" s="21"/>
      <c r="H173" s="21"/>
      <c r="I173" s="22"/>
      <c r="J173" s="21"/>
      <c r="K173" s="21"/>
    </row>
    <row r="174" spans="1:11" ht="14.45">
      <c r="A174" s="21"/>
      <c r="B174" s="33"/>
      <c r="C174" s="54"/>
      <c r="D174" s="54"/>
      <c r="E174" s="21"/>
      <c r="F174" s="22"/>
      <c r="G174" s="21"/>
      <c r="H174" s="21"/>
      <c r="I174" s="22"/>
      <c r="J174" s="21"/>
      <c r="K174" s="21"/>
    </row>
    <row r="175" spans="1:11" ht="14.45">
      <c r="A175" s="21"/>
      <c r="B175" s="33"/>
      <c r="C175" s="54"/>
      <c r="D175" s="54"/>
      <c r="E175" s="21"/>
      <c r="F175" s="22"/>
      <c r="G175" s="21"/>
      <c r="H175" s="21"/>
      <c r="I175" s="22"/>
      <c r="J175" s="21"/>
      <c r="K175" s="21"/>
    </row>
    <row r="176" spans="1:11" ht="14.45">
      <c r="A176" s="21"/>
      <c r="B176" s="33"/>
      <c r="C176" s="54"/>
      <c r="D176" s="54"/>
      <c r="E176" s="21"/>
      <c r="F176" s="22"/>
      <c r="G176" s="21"/>
      <c r="H176" s="21"/>
      <c r="I176" s="22"/>
      <c r="J176" s="21"/>
      <c r="K176" s="21"/>
    </row>
    <row r="177" spans="1:11" ht="14.45">
      <c r="A177" s="21"/>
      <c r="B177" s="33"/>
      <c r="C177" s="54"/>
      <c r="D177" s="54"/>
      <c r="E177" s="21"/>
      <c r="F177" s="22"/>
      <c r="G177" s="21"/>
      <c r="H177" s="21"/>
      <c r="I177" s="22"/>
      <c r="J177" s="21"/>
      <c r="K177" s="21"/>
    </row>
    <row r="178" spans="1:11" ht="14.45">
      <c r="A178" s="21"/>
      <c r="B178" s="33"/>
      <c r="C178" s="54"/>
      <c r="D178" s="54"/>
      <c r="E178" s="21"/>
      <c r="F178" s="22"/>
      <c r="G178" s="21"/>
      <c r="H178" s="21"/>
      <c r="I178" s="22"/>
      <c r="J178" s="21"/>
      <c r="K178" s="21"/>
    </row>
    <row r="179" spans="1:11" ht="14.45">
      <c r="A179" s="21"/>
      <c r="B179" s="33"/>
      <c r="C179" s="54"/>
      <c r="D179" s="54"/>
      <c r="E179" s="21"/>
      <c r="F179" s="22"/>
      <c r="G179" s="21"/>
      <c r="H179" s="21"/>
      <c r="I179" s="22"/>
      <c r="J179" s="21"/>
      <c r="K179" s="21"/>
    </row>
    <row r="180" spans="1:11" ht="14.45">
      <c r="A180" s="21"/>
      <c r="B180" s="33"/>
      <c r="C180" s="54"/>
      <c r="D180" s="54"/>
      <c r="E180" s="21"/>
      <c r="F180" s="22"/>
      <c r="G180" s="21"/>
      <c r="H180" s="21"/>
      <c r="I180" s="22"/>
      <c r="J180" s="21"/>
      <c r="K180" s="21"/>
    </row>
    <row r="181" spans="1:11" ht="14.45">
      <c r="A181" s="21"/>
      <c r="B181" s="33"/>
      <c r="C181" s="54"/>
      <c r="D181" s="54"/>
      <c r="E181" s="21"/>
      <c r="F181" s="22"/>
      <c r="G181" s="21"/>
      <c r="H181" s="21"/>
      <c r="I181" s="22"/>
      <c r="J181" s="21"/>
      <c r="K181" s="21"/>
    </row>
    <row r="182" spans="1:11" ht="14.45">
      <c r="A182" s="21"/>
      <c r="B182" s="33"/>
      <c r="C182" s="54"/>
      <c r="D182" s="54"/>
      <c r="E182" s="21"/>
      <c r="F182" s="22"/>
      <c r="G182" s="21"/>
      <c r="H182" s="21"/>
      <c r="I182" s="22"/>
      <c r="J182" s="21"/>
      <c r="K182" s="21"/>
    </row>
    <row r="183" spans="1:11" ht="14.45">
      <c r="A183" s="21"/>
      <c r="B183" s="33"/>
      <c r="C183" s="54"/>
      <c r="D183" s="54"/>
      <c r="E183" s="21"/>
      <c r="F183" s="22"/>
      <c r="G183" s="21"/>
      <c r="H183" s="21"/>
      <c r="I183" s="22"/>
      <c r="J183" s="21"/>
      <c r="K183" s="21"/>
    </row>
    <row r="184" spans="1:11" ht="14.45">
      <c r="A184" s="21"/>
      <c r="B184" s="33"/>
      <c r="C184" s="54"/>
      <c r="D184" s="54"/>
      <c r="E184" s="21"/>
      <c r="F184" s="22"/>
      <c r="G184" s="21"/>
      <c r="H184" s="21"/>
      <c r="I184" s="22"/>
      <c r="J184" s="21"/>
      <c r="K184" s="21"/>
    </row>
    <row r="185" spans="1:11" ht="14.45">
      <c r="A185" s="21"/>
      <c r="B185" s="33"/>
      <c r="C185" s="54"/>
      <c r="D185" s="54"/>
      <c r="E185" s="21"/>
      <c r="F185" s="22"/>
      <c r="G185" s="21"/>
      <c r="H185" s="21"/>
      <c r="I185" s="22"/>
      <c r="J185" s="21"/>
      <c r="K185" s="21"/>
    </row>
    <row r="186" spans="1:11" ht="14.45">
      <c r="A186" s="21"/>
      <c r="B186" s="33"/>
      <c r="C186" s="54"/>
      <c r="D186" s="54"/>
      <c r="E186" s="21"/>
      <c r="F186" s="22"/>
      <c r="G186" s="21"/>
      <c r="H186" s="21"/>
      <c r="I186" s="22"/>
      <c r="J186" s="21"/>
      <c r="K186" s="21"/>
    </row>
    <row r="187" spans="1:11" ht="14.45">
      <c r="A187" s="21"/>
      <c r="B187" s="33"/>
      <c r="C187" s="54"/>
      <c r="D187" s="54"/>
      <c r="E187" s="21"/>
      <c r="F187" s="22"/>
      <c r="G187" s="21"/>
      <c r="H187" s="21"/>
      <c r="I187" s="22"/>
      <c r="J187" s="21"/>
      <c r="K187" s="21"/>
    </row>
    <row r="188" spans="1:11" ht="14.45">
      <c r="A188" s="21"/>
      <c r="B188" s="33"/>
      <c r="C188" s="54"/>
      <c r="D188" s="54"/>
      <c r="E188" s="21"/>
      <c r="F188" s="22"/>
      <c r="G188" s="21"/>
      <c r="H188" s="21"/>
      <c r="I188" s="22"/>
      <c r="J188" s="21"/>
      <c r="K188" s="21"/>
    </row>
    <row r="189" spans="1:11" ht="14.45">
      <c r="A189" s="21"/>
      <c r="B189" s="33"/>
      <c r="C189" s="54"/>
      <c r="D189" s="54"/>
      <c r="E189" s="21"/>
      <c r="F189" s="22"/>
      <c r="G189" s="21"/>
      <c r="H189" s="21"/>
      <c r="I189" s="22"/>
      <c r="J189" s="21"/>
      <c r="K189" s="21"/>
    </row>
    <row r="190" spans="1:11" ht="14.45">
      <c r="A190" s="21"/>
      <c r="B190" s="33"/>
      <c r="C190" s="54"/>
      <c r="D190" s="54"/>
      <c r="E190" s="21"/>
      <c r="F190" s="22"/>
      <c r="G190" s="21"/>
      <c r="H190" s="21"/>
      <c r="I190" s="22"/>
      <c r="J190" s="21"/>
      <c r="K190" s="21"/>
    </row>
    <row r="191" spans="1:11" ht="14.45">
      <c r="A191" s="21"/>
      <c r="B191" s="33"/>
      <c r="C191" s="54"/>
      <c r="D191" s="54"/>
      <c r="E191" s="21"/>
      <c r="F191" s="22"/>
      <c r="G191" s="21"/>
      <c r="H191" s="21"/>
      <c r="I191" s="22"/>
      <c r="J191" s="21"/>
      <c r="K191" s="21"/>
    </row>
    <row r="192" spans="1:11" ht="14.45">
      <c r="A192" s="21"/>
      <c r="B192" s="33"/>
      <c r="C192" s="54"/>
      <c r="D192" s="54"/>
      <c r="E192" s="21"/>
      <c r="F192" s="22"/>
      <c r="G192" s="21"/>
      <c r="H192" s="21"/>
      <c r="I192" s="22"/>
      <c r="J192" s="21"/>
      <c r="K192" s="21"/>
    </row>
    <row r="193" spans="1:11" ht="14.45">
      <c r="A193" s="21"/>
      <c r="B193" s="33"/>
      <c r="C193" s="54"/>
      <c r="D193" s="54"/>
      <c r="E193" s="21"/>
      <c r="F193" s="22"/>
      <c r="G193" s="21"/>
      <c r="H193" s="21"/>
      <c r="I193" s="22"/>
      <c r="J193" s="21"/>
      <c r="K193" s="21"/>
    </row>
    <row r="194" spans="1:11" ht="14.45">
      <c r="A194" s="21"/>
      <c r="B194" s="33"/>
      <c r="C194" s="54"/>
      <c r="D194" s="54"/>
      <c r="E194" s="21"/>
      <c r="F194" s="22"/>
      <c r="G194" s="21"/>
      <c r="H194" s="21"/>
      <c r="I194" s="22"/>
      <c r="J194" s="21"/>
      <c r="K194" s="21"/>
    </row>
    <row r="195" spans="1:11" ht="14.45">
      <c r="A195" s="21"/>
      <c r="B195" s="33"/>
      <c r="C195" s="54"/>
      <c r="D195" s="54"/>
      <c r="E195" s="21"/>
      <c r="F195" s="22"/>
      <c r="G195" s="21"/>
      <c r="H195" s="21"/>
      <c r="I195" s="22"/>
      <c r="J195" s="21"/>
      <c r="K195" s="21"/>
    </row>
    <row r="196" spans="1:11" ht="14.45">
      <c r="A196" s="21"/>
      <c r="B196" s="33"/>
      <c r="C196" s="54"/>
      <c r="D196" s="54"/>
      <c r="E196" s="21"/>
      <c r="F196" s="22"/>
      <c r="G196" s="21"/>
      <c r="H196" s="21"/>
      <c r="I196" s="22"/>
      <c r="J196" s="21"/>
      <c r="K196" s="21"/>
    </row>
    <row r="197" spans="1:11" ht="14.45">
      <c r="A197" s="21"/>
      <c r="B197" s="33"/>
      <c r="C197" s="54"/>
      <c r="D197" s="54"/>
      <c r="E197" s="21"/>
      <c r="F197" s="22"/>
      <c r="G197" s="21"/>
      <c r="H197" s="21"/>
      <c r="I197" s="22"/>
      <c r="J197" s="21"/>
      <c r="K197" s="21"/>
    </row>
    <row r="198" spans="1:11" ht="14.45">
      <c r="A198" s="21"/>
      <c r="B198" s="33"/>
      <c r="C198" s="54"/>
      <c r="D198" s="54"/>
      <c r="E198" s="21"/>
      <c r="F198" s="22"/>
      <c r="G198" s="21"/>
      <c r="H198" s="21"/>
      <c r="I198" s="22"/>
      <c r="J198" s="21"/>
      <c r="K198" s="21"/>
    </row>
    <row r="199" spans="1:11" ht="14.45">
      <c r="A199" s="21"/>
      <c r="B199" s="33"/>
      <c r="C199" s="54"/>
      <c r="D199" s="54"/>
      <c r="E199" s="21"/>
      <c r="F199" s="22"/>
      <c r="G199" s="21"/>
      <c r="H199" s="21"/>
      <c r="I199" s="22"/>
      <c r="J199" s="21"/>
      <c r="K199" s="21"/>
    </row>
    <row r="200" spans="1:11" ht="14.45">
      <c r="A200" s="21"/>
      <c r="B200" s="33"/>
      <c r="C200" s="54"/>
      <c r="D200" s="54"/>
      <c r="E200" s="21"/>
      <c r="F200" s="22"/>
      <c r="G200" s="21"/>
      <c r="H200" s="21"/>
      <c r="I200" s="22"/>
      <c r="J200" s="21"/>
      <c r="K200" s="21"/>
    </row>
    <row r="201" spans="1:11" ht="14.45">
      <c r="A201" s="21"/>
      <c r="B201" s="33"/>
      <c r="C201" s="54"/>
      <c r="D201" s="54"/>
      <c r="E201" s="21"/>
      <c r="F201" s="22"/>
      <c r="G201" s="21"/>
      <c r="H201" s="21"/>
      <c r="I201" s="22"/>
      <c r="J201" s="21"/>
      <c r="K201" s="21"/>
    </row>
    <row r="202" spans="1:11" ht="14.45">
      <c r="A202" s="21"/>
      <c r="B202" s="33"/>
      <c r="C202" s="54"/>
      <c r="D202" s="54"/>
      <c r="E202" s="21"/>
      <c r="F202" s="22"/>
      <c r="G202" s="21"/>
      <c r="H202" s="21"/>
      <c r="I202" s="22"/>
      <c r="J202" s="21"/>
      <c r="K202" s="21"/>
    </row>
    <row r="203" spans="1:11" ht="14.45">
      <c r="A203" s="21"/>
      <c r="B203" s="33"/>
      <c r="C203" s="54"/>
      <c r="D203" s="54"/>
      <c r="E203" s="21"/>
      <c r="F203" s="22"/>
      <c r="G203" s="21"/>
      <c r="H203" s="21"/>
      <c r="I203" s="22"/>
      <c r="J203" s="21"/>
      <c r="K203" s="21"/>
    </row>
    <row r="204" spans="1:11" ht="14.45">
      <c r="A204" s="21"/>
      <c r="B204" s="33"/>
      <c r="C204" s="54"/>
      <c r="D204" s="54"/>
      <c r="E204" s="21"/>
      <c r="F204" s="22"/>
      <c r="G204" s="21"/>
      <c r="H204" s="21"/>
      <c r="I204" s="22"/>
      <c r="J204" s="21"/>
      <c r="K204" s="21"/>
    </row>
    <row r="205" spans="1:11" ht="14.45">
      <c r="A205" s="21"/>
      <c r="B205" s="33"/>
      <c r="C205" s="54"/>
      <c r="D205" s="54"/>
      <c r="E205" s="21"/>
      <c r="F205" s="22"/>
      <c r="G205" s="21"/>
      <c r="H205" s="21"/>
      <c r="I205" s="22"/>
      <c r="J205" s="21"/>
      <c r="K205" s="21"/>
    </row>
    <row r="206" spans="1:11" ht="14.45">
      <c r="A206" s="21"/>
      <c r="B206" s="33"/>
      <c r="C206" s="54"/>
      <c r="D206" s="54"/>
      <c r="E206" s="21"/>
      <c r="F206" s="22"/>
      <c r="G206" s="21"/>
      <c r="H206" s="21"/>
      <c r="I206" s="22"/>
      <c r="J206" s="21"/>
      <c r="K206" s="21"/>
    </row>
    <row r="207" spans="1:11" ht="14.45">
      <c r="A207" s="21"/>
      <c r="B207" s="33"/>
      <c r="C207" s="54"/>
      <c r="D207" s="54"/>
      <c r="E207" s="21"/>
      <c r="F207" s="22"/>
      <c r="G207" s="21"/>
      <c r="H207" s="21"/>
      <c r="I207" s="22"/>
      <c r="J207" s="21"/>
      <c r="K207" s="21"/>
    </row>
    <row r="208" spans="1:11" ht="14.45">
      <c r="A208" s="21"/>
      <c r="B208" s="33"/>
      <c r="C208" s="54"/>
      <c r="D208" s="54"/>
      <c r="E208" s="21"/>
      <c r="F208" s="22"/>
      <c r="G208" s="21"/>
      <c r="H208" s="21"/>
      <c r="I208" s="22"/>
      <c r="J208" s="21"/>
      <c r="K208" s="21"/>
    </row>
    <row r="209" spans="1:11" ht="14.45">
      <c r="A209" s="21"/>
      <c r="B209" s="33"/>
      <c r="C209" s="54"/>
      <c r="D209" s="54"/>
      <c r="E209" s="21"/>
      <c r="F209" s="22"/>
      <c r="G209" s="21"/>
      <c r="H209" s="21"/>
      <c r="I209" s="22"/>
      <c r="J209" s="21"/>
      <c r="K209" s="21"/>
    </row>
    <row r="210" spans="1:11" ht="14.45">
      <c r="A210" s="21"/>
      <c r="B210" s="33"/>
      <c r="C210" s="54"/>
      <c r="D210" s="54"/>
      <c r="E210" s="21"/>
      <c r="F210" s="22"/>
      <c r="G210" s="21"/>
      <c r="H210" s="21"/>
      <c r="I210" s="22"/>
      <c r="J210" s="21"/>
      <c r="K210" s="21"/>
    </row>
    <row r="211" spans="1:11" ht="14.45">
      <c r="A211" s="21"/>
      <c r="B211" s="33"/>
      <c r="C211" s="54"/>
      <c r="D211" s="54"/>
      <c r="E211" s="21"/>
      <c r="F211" s="22"/>
      <c r="G211" s="21"/>
      <c r="H211" s="21"/>
      <c r="I211" s="22"/>
      <c r="J211" s="21"/>
      <c r="K211" s="21"/>
    </row>
    <row r="212" spans="1:11" ht="14.45">
      <c r="A212" s="21"/>
      <c r="B212" s="33"/>
      <c r="C212" s="54"/>
      <c r="D212" s="54"/>
      <c r="E212" s="21"/>
      <c r="F212" s="22"/>
      <c r="G212" s="21"/>
      <c r="H212" s="21"/>
      <c r="I212" s="22"/>
      <c r="J212" s="21"/>
      <c r="K212" s="21"/>
    </row>
    <row r="213" spans="1:11" ht="14.45">
      <c r="A213" s="21"/>
      <c r="B213" s="33"/>
      <c r="C213" s="54"/>
      <c r="D213" s="54"/>
      <c r="E213" s="21"/>
      <c r="F213" s="22"/>
      <c r="G213" s="21"/>
      <c r="H213" s="21"/>
      <c r="I213" s="22"/>
      <c r="J213" s="21"/>
      <c r="K213" s="21"/>
    </row>
    <row r="214" spans="1:11" ht="14.45">
      <c r="A214" s="21"/>
      <c r="B214" s="33"/>
      <c r="C214" s="54"/>
      <c r="D214" s="54"/>
      <c r="E214" s="21"/>
      <c r="F214" s="22"/>
      <c r="G214" s="21"/>
      <c r="H214" s="21"/>
      <c r="I214" s="22"/>
      <c r="J214" s="21"/>
      <c r="K214" s="21"/>
    </row>
    <row r="215" spans="1:11" ht="14.45">
      <c r="A215" s="21"/>
      <c r="B215" s="33"/>
      <c r="C215" s="54"/>
      <c r="D215" s="54"/>
      <c r="E215" s="21"/>
      <c r="F215" s="22"/>
      <c r="G215" s="21"/>
      <c r="H215" s="21"/>
      <c r="I215" s="22"/>
      <c r="J215" s="21"/>
      <c r="K215" s="21"/>
    </row>
    <row r="216" spans="1:11" ht="14.45">
      <c r="A216" s="21"/>
      <c r="B216" s="33"/>
      <c r="C216" s="54"/>
      <c r="D216" s="54"/>
      <c r="E216" s="21"/>
      <c r="F216" s="22"/>
      <c r="G216" s="21"/>
      <c r="H216" s="21"/>
      <c r="I216" s="22"/>
      <c r="J216" s="21"/>
      <c r="K216" s="21"/>
    </row>
    <row r="217" spans="1:11" ht="14.45">
      <c r="A217" s="21"/>
      <c r="B217" s="33"/>
      <c r="C217" s="54"/>
      <c r="D217" s="54"/>
      <c r="E217" s="21"/>
      <c r="F217" s="22"/>
      <c r="G217" s="21"/>
      <c r="H217" s="21"/>
      <c r="I217" s="22"/>
      <c r="J217" s="21"/>
      <c r="K217" s="21"/>
    </row>
    <row r="218" spans="1:11" ht="14.45">
      <c r="A218" s="21"/>
      <c r="B218" s="33"/>
      <c r="C218" s="54"/>
      <c r="D218" s="54"/>
      <c r="E218" s="21"/>
      <c r="F218" s="22"/>
      <c r="G218" s="21"/>
      <c r="H218" s="21"/>
      <c r="I218" s="22"/>
      <c r="J218" s="21"/>
      <c r="K218" s="21"/>
    </row>
    <row r="219" spans="1:11" ht="14.45">
      <c r="A219" s="21"/>
      <c r="B219" s="33"/>
      <c r="C219" s="54"/>
      <c r="D219" s="54"/>
      <c r="E219" s="21"/>
      <c r="F219" s="22"/>
      <c r="G219" s="21"/>
      <c r="H219" s="21"/>
      <c r="I219" s="22"/>
      <c r="J219" s="21"/>
      <c r="K219" s="21"/>
    </row>
    <row r="220" spans="1:11" ht="14.45">
      <c r="A220" s="21"/>
      <c r="B220" s="33"/>
      <c r="C220" s="54"/>
      <c r="D220" s="54"/>
      <c r="E220" s="21"/>
      <c r="F220" s="22"/>
      <c r="G220" s="21"/>
      <c r="H220" s="21"/>
      <c r="I220" s="22"/>
      <c r="J220" s="21"/>
      <c r="K220" s="21"/>
    </row>
    <row r="221" spans="1:11" ht="14.45">
      <c r="A221" s="21"/>
      <c r="B221" s="33"/>
      <c r="C221" s="54"/>
      <c r="D221" s="54"/>
      <c r="E221" s="21"/>
      <c r="F221" s="22"/>
      <c r="G221" s="21"/>
      <c r="H221" s="21"/>
      <c r="I221" s="22"/>
      <c r="J221" s="21"/>
      <c r="K221" s="21"/>
    </row>
    <row r="222" spans="1:11" ht="14.45">
      <c r="A222" s="21"/>
      <c r="B222" s="33"/>
      <c r="C222" s="54"/>
      <c r="D222" s="54"/>
      <c r="E222" s="21"/>
      <c r="F222" s="22"/>
      <c r="G222" s="21"/>
      <c r="H222" s="21"/>
      <c r="I222" s="22"/>
      <c r="J222" s="21"/>
      <c r="K222" s="21"/>
    </row>
    <row r="223" spans="1:11" ht="14.45">
      <c r="A223" s="21"/>
      <c r="B223" s="33"/>
      <c r="C223" s="54"/>
      <c r="D223" s="54"/>
      <c r="E223" s="21"/>
      <c r="F223" s="22"/>
      <c r="G223" s="21"/>
      <c r="H223" s="21"/>
      <c r="I223" s="22"/>
      <c r="J223" s="21"/>
      <c r="K223" s="21"/>
    </row>
    <row r="224" spans="1:11" ht="14.45">
      <c r="A224" s="21"/>
      <c r="B224" s="33"/>
      <c r="C224" s="54"/>
      <c r="D224" s="54"/>
      <c r="E224" s="21"/>
      <c r="F224" s="22"/>
      <c r="G224" s="21"/>
      <c r="H224" s="21"/>
      <c r="I224" s="22"/>
      <c r="J224" s="21"/>
      <c r="K224" s="21"/>
    </row>
    <row r="225" spans="1:11" ht="14.45">
      <c r="A225" s="21"/>
      <c r="B225" s="33"/>
      <c r="C225" s="54"/>
      <c r="D225" s="54"/>
      <c r="E225" s="21"/>
      <c r="F225" s="22"/>
      <c r="G225" s="21"/>
      <c r="H225" s="21"/>
      <c r="I225" s="22"/>
      <c r="J225" s="21"/>
      <c r="K225" s="21"/>
    </row>
    <row r="226" spans="1:11" ht="14.45">
      <c r="A226" s="21"/>
      <c r="B226" s="33"/>
      <c r="C226" s="54"/>
      <c r="D226" s="54"/>
      <c r="E226" s="21"/>
      <c r="F226" s="22"/>
      <c r="G226" s="21"/>
      <c r="H226" s="21"/>
      <c r="I226" s="22"/>
      <c r="J226" s="21"/>
      <c r="K226" s="21"/>
    </row>
    <row r="227" spans="1:11" ht="14.45">
      <c r="A227" s="21"/>
      <c r="B227" s="33"/>
      <c r="C227" s="54"/>
      <c r="D227" s="54"/>
      <c r="E227" s="21"/>
      <c r="F227" s="22"/>
      <c r="G227" s="21"/>
      <c r="H227" s="21"/>
      <c r="I227" s="22"/>
      <c r="J227" s="21"/>
      <c r="K227" s="21"/>
    </row>
    <row r="228" spans="1:11" ht="14.45">
      <c r="A228" s="21"/>
      <c r="B228" s="33"/>
      <c r="C228" s="54"/>
      <c r="D228" s="54"/>
      <c r="E228" s="21"/>
      <c r="F228" s="22"/>
      <c r="G228" s="21"/>
      <c r="H228" s="21"/>
      <c r="I228" s="22"/>
      <c r="J228" s="21"/>
      <c r="K228" s="21"/>
    </row>
    <row r="229" spans="1:11" ht="14.45">
      <c r="A229" s="21"/>
      <c r="B229" s="33"/>
      <c r="C229" s="54"/>
      <c r="D229" s="54"/>
      <c r="E229" s="21"/>
      <c r="F229" s="22"/>
      <c r="G229" s="21"/>
      <c r="H229" s="21"/>
      <c r="I229" s="22"/>
      <c r="J229" s="21"/>
      <c r="K229" s="21"/>
    </row>
    <row r="230" spans="1:11" ht="14.45">
      <c r="A230" s="21"/>
      <c r="B230" s="33"/>
      <c r="C230" s="54"/>
      <c r="D230" s="54"/>
      <c r="E230" s="21"/>
      <c r="F230" s="22"/>
      <c r="G230" s="21"/>
      <c r="H230" s="21"/>
      <c r="I230" s="22"/>
      <c r="J230" s="21"/>
      <c r="K230" s="21"/>
    </row>
    <row r="231" spans="1:11" ht="14.45">
      <c r="A231" s="21"/>
      <c r="B231" s="33"/>
      <c r="C231" s="54"/>
      <c r="D231" s="54"/>
      <c r="E231" s="21"/>
      <c r="F231" s="22"/>
      <c r="G231" s="21"/>
      <c r="H231" s="21"/>
      <c r="I231" s="22"/>
      <c r="J231" s="21"/>
      <c r="K231" s="21"/>
    </row>
    <row r="232" spans="1:11" ht="14.45">
      <c r="A232" s="21"/>
      <c r="B232" s="33"/>
      <c r="C232" s="54"/>
      <c r="D232" s="54"/>
      <c r="E232" s="21"/>
      <c r="F232" s="22"/>
      <c r="G232" s="21"/>
      <c r="H232" s="21"/>
      <c r="I232" s="22"/>
      <c r="J232" s="21"/>
      <c r="K232" s="21"/>
    </row>
    <row r="233" spans="1:11" ht="14.45">
      <c r="A233" s="21"/>
      <c r="B233" s="33"/>
      <c r="C233" s="54"/>
      <c r="D233" s="54"/>
      <c r="E233" s="21"/>
      <c r="F233" s="22"/>
      <c r="G233" s="21"/>
      <c r="H233" s="21"/>
      <c r="I233" s="22"/>
      <c r="J233" s="21"/>
      <c r="K233" s="21"/>
    </row>
    <row r="234" spans="1:11" ht="14.45">
      <c r="A234" s="21"/>
      <c r="B234" s="33"/>
      <c r="C234" s="54"/>
      <c r="D234" s="54"/>
      <c r="E234" s="21"/>
      <c r="F234" s="22"/>
      <c r="G234" s="21"/>
      <c r="H234" s="21"/>
      <c r="I234" s="22"/>
      <c r="J234" s="21"/>
      <c r="K234" s="21"/>
    </row>
    <row r="235" spans="1:11" ht="14.45">
      <c r="A235" s="21"/>
      <c r="B235" s="33"/>
      <c r="C235" s="54"/>
      <c r="D235" s="54"/>
      <c r="E235" s="21"/>
      <c r="F235" s="22"/>
      <c r="G235" s="21"/>
      <c r="H235" s="21"/>
      <c r="I235" s="22"/>
      <c r="J235" s="21"/>
      <c r="K235" s="21"/>
    </row>
    <row r="236" spans="1:11" ht="14.45">
      <c r="A236" s="21"/>
      <c r="B236" s="33"/>
      <c r="C236" s="54"/>
      <c r="D236" s="54"/>
      <c r="E236" s="21"/>
      <c r="F236" s="22"/>
      <c r="G236" s="21"/>
      <c r="H236" s="21"/>
      <c r="I236" s="22"/>
      <c r="J236" s="21"/>
      <c r="K236" s="21"/>
    </row>
    <row r="237" spans="1:11" ht="14.45">
      <c r="A237" s="21"/>
      <c r="B237" s="33"/>
      <c r="C237" s="54"/>
      <c r="D237" s="54"/>
      <c r="E237" s="21"/>
      <c r="F237" s="22"/>
      <c r="G237" s="21"/>
      <c r="H237" s="21"/>
      <c r="I237" s="22"/>
      <c r="J237" s="21"/>
      <c r="K237" s="21"/>
    </row>
    <row r="238" spans="1:11" ht="14.45">
      <c r="A238" s="21"/>
      <c r="B238" s="33"/>
      <c r="C238" s="54"/>
      <c r="D238" s="54"/>
      <c r="E238" s="21"/>
      <c r="F238" s="22"/>
      <c r="G238" s="21"/>
      <c r="H238" s="21"/>
      <c r="I238" s="22"/>
      <c r="J238" s="21"/>
      <c r="K238" s="21"/>
    </row>
    <row r="239" spans="1:11" ht="14.45">
      <c r="A239" s="21"/>
      <c r="B239" s="33"/>
      <c r="C239" s="54"/>
      <c r="D239" s="54"/>
      <c r="E239" s="21"/>
      <c r="F239" s="22"/>
      <c r="G239" s="21"/>
      <c r="H239" s="21"/>
      <c r="I239" s="22"/>
      <c r="J239" s="21"/>
      <c r="K239" s="21"/>
    </row>
    <row r="240" spans="1:11" ht="14.45">
      <c r="A240" s="21"/>
      <c r="B240" s="33"/>
      <c r="C240" s="54"/>
      <c r="D240" s="54"/>
      <c r="E240" s="21"/>
      <c r="F240" s="22"/>
      <c r="G240" s="21"/>
      <c r="H240" s="21"/>
      <c r="I240" s="22"/>
      <c r="J240" s="21"/>
      <c r="K240" s="21"/>
    </row>
    <row r="241" spans="1:11" ht="14.45">
      <c r="A241" s="21"/>
      <c r="B241" s="33"/>
      <c r="C241" s="54"/>
      <c r="D241" s="54"/>
      <c r="E241" s="21"/>
      <c r="F241" s="22"/>
      <c r="G241" s="21"/>
      <c r="H241" s="21"/>
      <c r="I241" s="22"/>
      <c r="J241" s="21"/>
      <c r="K241" s="21"/>
    </row>
    <row r="242" spans="1:11" ht="14.45">
      <c r="A242" s="21"/>
      <c r="B242" s="33"/>
      <c r="C242" s="54"/>
      <c r="D242" s="54"/>
      <c r="E242" s="21"/>
      <c r="F242" s="22"/>
      <c r="G242" s="21"/>
      <c r="H242" s="21"/>
      <c r="I242" s="22"/>
      <c r="J242" s="21"/>
      <c r="K242" s="21"/>
    </row>
    <row r="243" spans="1:11" ht="14.45">
      <c r="A243" s="21"/>
      <c r="B243" s="33"/>
      <c r="C243" s="54"/>
      <c r="D243" s="54"/>
      <c r="E243" s="21"/>
      <c r="F243" s="22"/>
      <c r="G243" s="21"/>
      <c r="H243" s="21"/>
      <c r="I243" s="22"/>
      <c r="J243" s="21"/>
      <c r="K243" s="21"/>
    </row>
    <row r="244" spans="1:11" ht="14.45">
      <c r="A244" s="21"/>
      <c r="B244" s="33"/>
      <c r="C244" s="54"/>
      <c r="D244" s="54"/>
      <c r="E244" s="21"/>
      <c r="F244" s="22"/>
      <c r="G244" s="21"/>
      <c r="H244" s="21"/>
      <c r="I244" s="22"/>
      <c r="J244" s="21"/>
      <c r="K244" s="21"/>
    </row>
    <row r="245" spans="1:11" ht="14.45">
      <c r="A245" s="21"/>
      <c r="B245" s="33"/>
      <c r="C245" s="54"/>
      <c r="D245" s="54"/>
      <c r="E245" s="21"/>
      <c r="F245" s="22"/>
      <c r="G245" s="21"/>
      <c r="H245" s="21"/>
      <c r="I245" s="22"/>
      <c r="J245" s="21"/>
      <c r="K245" s="21"/>
    </row>
    <row r="246" spans="1:11" ht="14.45">
      <c r="A246" s="21"/>
      <c r="B246" s="33"/>
      <c r="C246" s="54"/>
      <c r="D246" s="54"/>
      <c r="E246" s="21"/>
      <c r="F246" s="22"/>
      <c r="G246" s="21"/>
      <c r="H246" s="21"/>
      <c r="I246" s="22"/>
      <c r="J246" s="21"/>
      <c r="K246" s="21"/>
    </row>
    <row r="247" spans="1:11" ht="14.45">
      <c r="A247" s="21"/>
      <c r="B247" s="33"/>
      <c r="C247" s="54"/>
      <c r="D247" s="54"/>
      <c r="E247" s="21"/>
      <c r="F247" s="22"/>
      <c r="G247" s="21"/>
      <c r="H247" s="21"/>
      <c r="I247" s="22"/>
      <c r="J247" s="21"/>
      <c r="K247" s="21"/>
    </row>
    <row r="248" spans="1:11" ht="14.45">
      <c r="A248" s="21"/>
      <c r="B248" s="33"/>
      <c r="C248" s="54"/>
      <c r="D248" s="54"/>
      <c r="E248" s="21"/>
      <c r="F248" s="22"/>
      <c r="G248" s="21"/>
      <c r="H248" s="21"/>
      <c r="I248" s="22"/>
      <c r="J248" s="21"/>
      <c r="K248" s="21"/>
    </row>
    <row r="249" spans="1:11" ht="14.45">
      <c r="A249" s="21"/>
      <c r="B249" s="33"/>
      <c r="C249" s="54"/>
      <c r="D249" s="54"/>
      <c r="E249" s="21"/>
      <c r="F249" s="22"/>
      <c r="G249" s="21"/>
      <c r="H249" s="21"/>
      <c r="I249" s="22"/>
      <c r="J249" s="21"/>
      <c r="K249" s="21"/>
    </row>
    <row r="250" spans="1:11" ht="14.45">
      <c r="A250" s="21"/>
      <c r="B250" s="33"/>
      <c r="C250" s="54"/>
      <c r="D250" s="54"/>
      <c r="E250" s="21"/>
      <c r="F250" s="22"/>
      <c r="G250" s="21"/>
      <c r="H250" s="21"/>
      <c r="I250" s="22"/>
      <c r="J250" s="21"/>
      <c r="K250" s="21"/>
    </row>
    <row r="251" spans="1:11" ht="14.45">
      <c r="A251" s="21"/>
      <c r="B251" s="33"/>
      <c r="C251" s="54"/>
      <c r="D251" s="54"/>
      <c r="E251" s="21"/>
      <c r="F251" s="22"/>
      <c r="G251" s="21"/>
      <c r="H251" s="21"/>
      <c r="I251" s="22"/>
      <c r="J251" s="21"/>
      <c r="K251" s="21"/>
    </row>
    <row r="252" spans="1:11" ht="14.45">
      <c r="A252" s="21"/>
      <c r="B252" s="33"/>
      <c r="C252" s="54"/>
      <c r="D252" s="54"/>
      <c r="E252" s="21"/>
      <c r="F252" s="22"/>
      <c r="G252" s="21"/>
      <c r="H252" s="21"/>
      <c r="I252" s="22"/>
      <c r="J252" s="21"/>
      <c r="K252" s="21"/>
    </row>
    <row r="253" spans="1:11" ht="14.45">
      <c r="A253" s="21"/>
      <c r="B253" s="33"/>
      <c r="C253" s="54"/>
      <c r="D253" s="54"/>
      <c r="E253" s="21"/>
      <c r="F253" s="22"/>
      <c r="G253" s="21"/>
      <c r="H253" s="21"/>
      <c r="I253" s="22"/>
      <c r="J253" s="21"/>
      <c r="K253" s="21"/>
    </row>
    <row r="254" spans="1:11" ht="14.45">
      <c r="A254" s="21"/>
      <c r="B254" s="33"/>
      <c r="C254" s="54"/>
      <c r="D254" s="54"/>
      <c r="E254" s="21"/>
      <c r="F254" s="22"/>
      <c r="G254" s="21"/>
      <c r="H254" s="21"/>
      <c r="I254" s="22"/>
      <c r="J254" s="21"/>
      <c r="K254" s="21"/>
    </row>
    <row r="255" spans="1:11" ht="14.45">
      <c r="A255" s="21"/>
      <c r="B255" s="33"/>
      <c r="C255" s="54"/>
      <c r="D255" s="54"/>
      <c r="E255" s="21"/>
      <c r="F255" s="22"/>
      <c r="G255" s="21"/>
      <c r="H255" s="21"/>
      <c r="I255" s="22"/>
      <c r="J255" s="21"/>
      <c r="K255" s="21"/>
    </row>
    <row r="256" spans="1:11" ht="14.45">
      <c r="A256" s="21"/>
      <c r="B256" s="33"/>
      <c r="C256" s="54"/>
      <c r="D256" s="54"/>
      <c r="E256" s="21"/>
      <c r="F256" s="22"/>
      <c r="G256" s="21"/>
      <c r="H256" s="21"/>
      <c r="I256" s="22"/>
      <c r="J256" s="21"/>
      <c r="K256" s="21"/>
    </row>
    <row r="257" spans="1:11" ht="14.45">
      <c r="A257" s="21"/>
      <c r="B257" s="33"/>
      <c r="C257" s="54"/>
      <c r="D257" s="54"/>
      <c r="E257" s="21"/>
      <c r="F257" s="22"/>
      <c r="G257" s="21"/>
      <c r="H257" s="21"/>
      <c r="I257" s="22"/>
      <c r="J257" s="21"/>
      <c r="K257" s="21"/>
    </row>
    <row r="258" spans="1:11" ht="14.45">
      <c r="A258" s="21"/>
      <c r="B258" s="33"/>
      <c r="C258" s="54"/>
      <c r="D258" s="54"/>
      <c r="E258" s="21"/>
      <c r="F258" s="22"/>
      <c r="G258" s="21"/>
      <c r="H258" s="21"/>
      <c r="I258" s="22"/>
      <c r="J258" s="21"/>
      <c r="K258" s="21"/>
    </row>
    <row r="259" spans="1:11" ht="14.45">
      <c r="A259" s="21"/>
      <c r="B259" s="33"/>
      <c r="C259" s="54"/>
      <c r="D259" s="54"/>
      <c r="E259" s="21"/>
      <c r="F259" s="22"/>
      <c r="G259" s="21"/>
      <c r="H259" s="21"/>
      <c r="I259" s="22"/>
      <c r="J259" s="21"/>
      <c r="K259" s="21"/>
    </row>
    <row r="260" spans="1:11" ht="14.45">
      <c r="A260" s="21"/>
      <c r="B260" s="33"/>
      <c r="C260" s="54"/>
      <c r="D260" s="54"/>
      <c r="E260" s="21"/>
      <c r="F260" s="22"/>
      <c r="G260" s="21"/>
      <c r="H260" s="21"/>
      <c r="I260" s="22"/>
      <c r="J260" s="21"/>
      <c r="K260" s="21"/>
    </row>
    <row r="261" spans="1:11" ht="14.45">
      <c r="A261" s="21"/>
      <c r="B261" s="33"/>
      <c r="C261" s="54"/>
      <c r="D261" s="54"/>
      <c r="E261" s="21"/>
      <c r="F261" s="22"/>
      <c r="G261" s="21"/>
      <c r="H261" s="21"/>
      <c r="I261" s="22"/>
      <c r="J261" s="21"/>
      <c r="K261" s="21"/>
    </row>
    <row r="262" spans="1:11" ht="14.45">
      <c r="A262" s="21"/>
      <c r="B262" s="33"/>
      <c r="C262" s="54"/>
      <c r="D262" s="54"/>
      <c r="E262" s="21"/>
      <c r="F262" s="22"/>
      <c r="G262" s="21"/>
      <c r="H262" s="21"/>
      <c r="I262" s="22"/>
      <c r="J262" s="21"/>
      <c r="K262" s="21"/>
    </row>
    <row r="263" spans="1:11" ht="14.45">
      <c r="A263" s="21"/>
      <c r="B263" s="33"/>
      <c r="C263" s="54"/>
      <c r="D263" s="54"/>
      <c r="E263" s="21"/>
      <c r="F263" s="22"/>
      <c r="G263" s="21"/>
      <c r="H263" s="21"/>
      <c r="I263" s="22"/>
      <c r="J263" s="21"/>
      <c r="K263" s="21"/>
    </row>
    <row r="264" spans="1:11" ht="14.45">
      <c r="A264" s="21"/>
      <c r="B264" s="33"/>
      <c r="C264" s="54"/>
      <c r="D264" s="54"/>
      <c r="E264" s="21"/>
      <c r="F264" s="22"/>
      <c r="G264" s="21"/>
      <c r="H264" s="21"/>
      <c r="I264" s="22"/>
      <c r="J264" s="21"/>
      <c r="K264" s="21"/>
    </row>
    <row r="265" spans="1:11" ht="14.45">
      <c r="A265" s="21"/>
      <c r="B265" s="33"/>
      <c r="C265" s="54"/>
      <c r="D265" s="54"/>
      <c r="E265" s="21"/>
      <c r="F265" s="22"/>
      <c r="G265" s="21"/>
      <c r="H265" s="21"/>
      <c r="I265" s="22"/>
      <c r="J265" s="21"/>
      <c r="K265" s="21"/>
    </row>
    <row r="266" spans="1:11" ht="14.45">
      <c r="A266" s="21"/>
      <c r="B266" s="33"/>
      <c r="C266" s="54"/>
      <c r="D266" s="54"/>
      <c r="E266" s="21"/>
      <c r="F266" s="22"/>
      <c r="G266" s="21"/>
      <c r="H266" s="21"/>
      <c r="I266" s="22"/>
      <c r="J266" s="21"/>
      <c r="K266" s="21"/>
    </row>
    <row r="267" spans="1:11" ht="14.45">
      <c r="A267" s="21"/>
      <c r="B267" s="33"/>
      <c r="C267" s="54"/>
      <c r="D267" s="54"/>
      <c r="E267" s="21"/>
      <c r="F267" s="22"/>
      <c r="G267" s="21"/>
      <c r="H267" s="21"/>
      <c r="I267" s="22"/>
      <c r="J267" s="21"/>
      <c r="K267" s="21"/>
    </row>
    <row r="268" spans="1:11" ht="14.45">
      <c r="A268" s="21"/>
      <c r="B268" s="33"/>
      <c r="C268" s="54"/>
      <c r="D268" s="54"/>
      <c r="E268" s="21"/>
      <c r="F268" s="22"/>
      <c r="G268" s="21"/>
      <c r="H268" s="21"/>
      <c r="I268" s="22"/>
      <c r="J268" s="21"/>
      <c r="K268" s="21"/>
    </row>
    <row r="269" spans="1:11" ht="14.45">
      <c r="A269" s="21"/>
      <c r="B269" s="33"/>
      <c r="C269" s="54"/>
      <c r="D269" s="54"/>
      <c r="E269" s="21"/>
      <c r="F269" s="22"/>
      <c r="G269" s="21"/>
      <c r="H269" s="21"/>
      <c r="I269" s="22"/>
      <c r="J269" s="21"/>
      <c r="K269" s="21"/>
    </row>
    <row r="270" spans="1:11" ht="14.45">
      <c r="A270" s="21"/>
      <c r="B270" s="33"/>
      <c r="C270" s="54"/>
      <c r="D270" s="54"/>
      <c r="E270" s="21"/>
      <c r="F270" s="22"/>
      <c r="G270" s="21"/>
      <c r="H270" s="21"/>
      <c r="I270" s="22"/>
      <c r="J270" s="21"/>
      <c r="K270" s="21"/>
    </row>
    <row r="271" spans="1:11" ht="14.45">
      <c r="A271" s="21"/>
      <c r="B271" s="33"/>
      <c r="C271" s="54"/>
      <c r="D271" s="54"/>
      <c r="E271" s="21"/>
      <c r="F271" s="22"/>
      <c r="G271" s="21"/>
      <c r="H271" s="21"/>
      <c r="I271" s="22"/>
      <c r="J271" s="21"/>
      <c r="K271" s="21"/>
    </row>
    <row r="272" spans="1:11" ht="14.45">
      <c r="A272" s="21"/>
      <c r="B272" s="33"/>
      <c r="C272" s="54"/>
      <c r="D272" s="54"/>
      <c r="E272" s="21"/>
      <c r="F272" s="22"/>
      <c r="G272" s="21"/>
      <c r="H272" s="21"/>
      <c r="I272" s="22"/>
      <c r="J272" s="21"/>
      <c r="K272" s="21"/>
    </row>
    <row r="273" spans="1:11" ht="14.45">
      <c r="A273" s="21"/>
      <c r="B273" s="33"/>
      <c r="C273" s="54"/>
      <c r="D273" s="54"/>
      <c r="E273" s="21"/>
      <c r="F273" s="22"/>
      <c r="G273" s="21"/>
      <c r="H273" s="21"/>
      <c r="I273" s="22"/>
      <c r="J273" s="21"/>
      <c r="K273" s="21"/>
    </row>
    <row r="274" spans="1:11" ht="14.45">
      <c r="A274" s="21"/>
      <c r="B274" s="33"/>
      <c r="C274" s="54"/>
      <c r="D274" s="54"/>
      <c r="E274" s="21"/>
      <c r="F274" s="22"/>
      <c r="G274" s="21"/>
      <c r="H274" s="21"/>
      <c r="I274" s="22"/>
      <c r="J274" s="21"/>
      <c r="K274" s="21"/>
    </row>
    <row r="275" spans="1:11" ht="14.45">
      <c r="A275" s="21"/>
      <c r="B275" s="33"/>
      <c r="C275" s="54"/>
      <c r="D275" s="54"/>
      <c r="E275" s="21"/>
      <c r="F275" s="22"/>
      <c r="G275" s="21"/>
      <c r="H275" s="21"/>
      <c r="I275" s="22"/>
      <c r="J275" s="21"/>
      <c r="K275" s="21"/>
    </row>
    <row r="276" spans="1:11" ht="14.45">
      <c r="A276" s="21"/>
      <c r="B276" s="33"/>
      <c r="C276" s="54"/>
      <c r="D276" s="54"/>
      <c r="E276" s="21"/>
      <c r="F276" s="22"/>
      <c r="G276" s="21"/>
      <c r="H276" s="21"/>
      <c r="I276" s="22"/>
      <c r="J276" s="21"/>
      <c r="K276" s="21"/>
    </row>
    <row r="277" spans="1:11" ht="14.45">
      <c r="A277" s="21"/>
      <c r="B277" s="33"/>
      <c r="C277" s="54"/>
      <c r="D277" s="54"/>
      <c r="E277" s="21"/>
      <c r="F277" s="22"/>
      <c r="G277" s="21"/>
      <c r="H277" s="21"/>
      <c r="I277" s="22"/>
      <c r="J277" s="21"/>
      <c r="K277" s="21"/>
    </row>
    <row r="278" spans="1:11" ht="14.45">
      <c r="A278" s="21"/>
      <c r="B278" s="33"/>
      <c r="C278" s="54"/>
      <c r="D278" s="54"/>
      <c r="E278" s="21"/>
      <c r="F278" s="22"/>
      <c r="G278" s="21"/>
      <c r="H278" s="21"/>
      <c r="I278" s="22"/>
      <c r="J278" s="21"/>
      <c r="K278" s="21"/>
    </row>
    <row r="279" spans="1:11" ht="14.45">
      <c r="A279" s="21"/>
      <c r="B279" s="33"/>
      <c r="C279" s="54"/>
      <c r="D279" s="54"/>
      <c r="E279" s="21"/>
      <c r="F279" s="22"/>
      <c r="G279" s="21"/>
      <c r="H279" s="21"/>
      <c r="I279" s="22"/>
      <c r="J279" s="21"/>
      <c r="K279" s="21"/>
    </row>
    <row r="280" spans="1:11" ht="14.45">
      <c r="A280" s="21"/>
      <c r="B280" s="33"/>
      <c r="C280" s="54"/>
      <c r="D280" s="54"/>
      <c r="E280" s="21"/>
      <c r="F280" s="22"/>
      <c r="G280" s="21"/>
      <c r="H280" s="21"/>
      <c r="I280" s="22"/>
      <c r="J280" s="21"/>
      <c r="K280" s="21"/>
    </row>
    <row r="281" spans="1:11" ht="14.45">
      <c r="A281" s="21"/>
      <c r="B281" s="33"/>
      <c r="C281" s="54"/>
      <c r="D281" s="54"/>
      <c r="E281" s="21"/>
      <c r="F281" s="22"/>
      <c r="G281" s="21"/>
      <c r="H281" s="21"/>
      <c r="I281" s="22"/>
      <c r="J281" s="21"/>
      <c r="K281" s="21"/>
    </row>
    <row r="282" spans="1:11" ht="14.45">
      <c r="A282" s="21"/>
      <c r="B282" s="33"/>
      <c r="C282" s="54"/>
      <c r="D282" s="54"/>
      <c r="E282" s="21"/>
      <c r="F282" s="22"/>
      <c r="G282" s="21"/>
      <c r="H282" s="21"/>
      <c r="I282" s="22"/>
      <c r="J282" s="21"/>
      <c r="K282" s="21"/>
    </row>
    <row r="283" spans="1:11" ht="14.45">
      <c r="A283" s="21"/>
      <c r="B283" s="33"/>
      <c r="C283" s="54"/>
      <c r="D283" s="54"/>
      <c r="E283" s="21"/>
      <c r="F283" s="22"/>
      <c r="G283" s="21"/>
      <c r="H283" s="21"/>
      <c r="I283" s="22"/>
      <c r="J283" s="21"/>
      <c r="K283" s="21"/>
    </row>
    <row r="284" spans="1:11" ht="14.45">
      <c r="A284" s="21"/>
      <c r="B284" s="33"/>
      <c r="C284" s="54"/>
      <c r="D284" s="54"/>
      <c r="E284" s="21"/>
      <c r="F284" s="22"/>
      <c r="G284" s="21"/>
      <c r="H284" s="21"/>
      <c r="I284" s="22"/>
      <c r="J284" s="21"/>
      <c r="K284" s="21"/>
    </row>
    <row r="285" spans="1:11" ht="14.45">
      <c r="A285" s="21"/>
      <c r="B285" s="33"/>
      <c r="C285" s="54"/>
      <c r="D285" s="54"/>
      <c r="E285" s="21"/>
      <c r="F285" s="22"/>
      <c r="G285" s="21"/>
      <c r="H285" s="21"/>
      <c r="I285" s="22"/>
      <c r="J285" s="21"/>
      <c r="K285" s="21"/>
    </row>
    <row r="286" spans="1:11" ht="14.45">
      <c r="A286" s="21"/>
      <c r="B286" s="33"/>
      <c r="C286" s="54"/>
      <c r="D286" s="54"/>
      <c r="E286" s="21"/>
      <c r="F286" s="22"/>
      <c r="G286" s="21"/>
      <c r="H286" s="21"/>
      <c r="I286" s="22"/>
      <c r="J286" s="21"/>
      <c r="K286" s="21"/>
    </row>
    <row r="287" spans="1:11" ht="14.45">
      <c r="A287" s="21"/>
      <c r="B287" s="33"/>
      <c r="C287" s="54"/>
      <c r="D287" s="54"/>
      <c r="E287" s="21"/>
      <c r="F287" s="22"/>
      <c r="G287" s="21"/>
      <c r="H287" s="21"/>
      <c r="I287" s="22"/>
      <c r="J287" s="21"/>
      <c r="K287" s="21"/>
    </row>
    <row r="288" spans="1:11" ht="14.45">
      <c r="A288" s="21"/>
      <c r="B288" s="33"/>
      <c r="C288" s="54"/>
      <c r="D288" s="54"/>
      <c r="E288" s="21"/>
      <c r="F288" s="22"/>
      <c r="G288" s="21"/>
      <c r="H288" s="21"/>
      <c r="I288" s="22"/>
      <c r="J288" s="21"/>
      <c r="K288" s="21"/>
    </row>
    <row r="289" spans="1:11" ht="14.45">
      <c r="A289" s="21"/>
      <c r="B289" s="33"/>
      <c r="C289" s="54"/>
      <c r="D289" s="54"/>
      <c r="E289" s="21"/>
      <c r="F289" s="22"/>
      <c r="G289" s="21"/>
      <c r="H289" s="21"/>
      <c r="I289" s="22"/>
      <c r="J289" s="21"/>
      <c r="K289" s="21"/>
    </row>
    <row r="290" spans="1:11" ht="14.45">
      <c r="A290" s="21"/>
      <c r="B290" s="33"/>
      <c r="C290" s="54"/>
      <c r="D290" s="54"/>
      <c r="E290" s="21"/>
      <c r="F290" s="22"/>
      <c r="G290" s="21"/>
      <c r="H290" s="21"/>
      <c r="I290" s="22"/>
      <c r="J290" s="21"/>
      <c r="K290" s="21"/>
    </row>
    <row r="291" spans="1:11" ht="14.45">
      <c r="A291" s="21"/>
      <c r="B291" s="33"/>
      <c r="C291" s="54"/>
      <c r="D291" s="54"/>
      <c r="E291" s="21"/>
      <c r="F291" s="22"/>
      <c r="G291" s="21"/>
      <c r="H291" s="21"/>
      <c r="I291" s="22"/>
      <c r="J291" s="21"/>
      <c r="K291" s="21"/>
    </row>
    <row r="292" spans="1:11" ht="14.45">
      <c r="A292" s="21"/>
      <c r="B292" s="33"/>
      <c r="C292" s="54"/>
      <c r="D292" s="54"/>
      <c r="E292" s="21"/>
      <c r="F292" s="22"/>
      <c r="G292" s="21"/>
      <c r="H292" s="21"/>
      <c r="I292" s="22"/>
      <c r="J292" s="21"/>
      <c r="K292" s="21"/>
    </row>
    <row r="293" spans="1:11" ht="14.45">
      <c r="A293" s="21"/>
      <c r="B293" s="33"/>
      <c r="C293" s="54"/>
      <c r="D293" s="54"/>
      <c r="E293" s="21"/>
      <c r="F293" s="22"/>
      <c r="G293" s="21"/>
      <c r="H293" s="21"/>
      <c r="I293" s="22"/>
      <c r="J293" s="21"/>
      <c r="K293" s="21"/>
    </row>
    <row r="294" spans="1:11" ht="14.45">
      <c r="A294" s="21"/>
      <c r="B294" s="33"/>
      <c r="C294" s="54"/>
      <c r="D294" s="54"/>
      <c r="E294" s="21"/>
      <c r="F294" s="22"/>
      <c r="G294" s="21"/>
      <c r="H294" s="21"/>
      <c r="I294" s="22"/>
      <c r="J294" s="21"/>
      <c r="K294" s="21"/>
    </row>
    <row r="295" spans="1:11" ht="14.45">
      <c r="A295" s="21"/>
      <c r="B295" s="33"/>
      <c r="C295" s="54"/>
      <c r="D295" s="54"/>
      <c r="E295" s="21"/>
      <c r="F295" s="22"/>
      <c r="G295" s="21"/>
      <c r="H295" s="21"/>
      <c r="I295" s="22"/>
      <c r="J295" s="21"/>
      <c r="K295" s="21"/>
    </row>
    <row r="296" spans="1:11" ht="14.45">
      <c r="A296" s="21"/>
      <c r="B296" s="33"/>
      <c r="C296" s="54"/>
      <c r="D296" s="54"/>
      <c r="E296" s="21"/>
      <c r="F296" s="22"/>
      <c r="G296" s="21"/>
      <c r="H296" s="21"/>
      <c r="I296" s="22"/>
      <c r="J296" s="21"/>
      <c r="K296" s="21"/>
    </row>
    <row r="297" spans="1:11" ht="14.45">
      <c r="A297" s="21"/>
      <c r="B297" s="33"/>
      <c r="C297" s="54"/>
      <c r="D297" s="54"/>
      <c r="E297" s="21"/>
      <c r="F297" s="22"/>
      <c r="G297" s="21"/>
      <c r="H297" s="21"/>
      <c r="I297" s="22"/>
      <c r="J297" s="21"/>
      <c r="K297" s="21"/>
    </row>
    <row r="298" spans="1:11" ht="14.45">
      <c r="A298" s="21"/>
      <c r="B298" s="33"/>
      <c r="C298" s="54"/>
      <c r="D298" s="54"/>
      <c r="E298" s="21"/>
      <c r="F298" s="22"/>
      <c r="G298" s="21"/>
      <c r="H298" s="21"/>
      <c r="I298" s="22"/>
      <c r="J298" s="21"/>
      <c r="K298" s="21"/>
    </row>
    <row r="299" spans="1:11" ht="14.45">
      <c r="A299" s="21"/>
      <c r="B299" s="33"/>
      <c r="C299" s="54"/>
      <c r="D299" s="54"/>
      <c r="E299" s="21"/>
      <c r="F299" s="22"/>
      <c r="G299" s="21"/>
      <c r="H299" s="21"/>
      <c r="I299" s="22"/>
      <c r="J299" s="21"/>
      <c r="K299" s="21"/>
    </row>
    <row r="300" spans="1:11" ht="14.45">
      <c r="A300" s="21"/>
      <c r="B300" s="33"/>
      <c r="C300" s="54"/>
      <c r="D300" s="54"/>
      <c r="E300" s="21"/>
      <c r="F300" s="22"/>
      <c r="G300" s="21"/>
      <c r="H300" s="21"/>
      <c r="I300" s="22"/>
      <c r="J300" s="21"/>
      <c r="K300" s="21"/>
    </row>
    <row r="301" spans="1:11" ht="14.45">
      <c r="A301" s="21"/>
      <c r="B301" s="33"/>
      <c r="C301" s="54"/>
      <c r="D301" s="54"/>
      <c r="E301" s="21"/>
      <c r="F301" s="22"/>
      <c r="G301" s="21"/>
      <c r="H301" s="21"/>
      <c r="I301" s="22"/>
      <c r="J301" s="21"/>
      <c r="K301" s="21"/>
    </row>
    <row r="302" spans="1:11" ht="14.45">
      <c r="A302" s="21"/>
      <c r="B302" s="33"/>
      <c r="C302" s="54"/>
      <c r="D302" s="54"/>
      <c r="E302" s="21"/>
      <c r="F302" s="22"/>
      <c r="G302" s="21"/>
      <c r="H302" s="21"/>
      <c r="I302" s="22"/>
      <c r="J302" s="21"/>
      <c r="K302" s="21"/>
    </row>
    <row r="303" spans="1:11" ht="14.45">
      <c r="A303" s="21"/>
      <c r="B303" s="33"/>
      <c r="C303" s="54"/>
      <c r="D303" s="54"/>
      <c r="E303" s="21"/>
      <c r="F303" s="22"/>
      <c r="G303" s="21"/>
      <c r="H303" s="21"/>
      <c r="I303" s="22"/>
      <c r="J303" s="21"/>
      <c r="K303" s="21"/>
    </row>
    <row r="304" spans="1:11" ht="14.45">
      <c r="A304" s="21"/>
      <c r="B304" s="33"/>
      <c r="C304" s="54"/>
      <c r="D304" s="54"/>
      <c r="E304" s="21"/>
      <c r="F304" s="22"/>
      <c r="G304" s="21"/>
      <c r="H304" s="21"/>
      <c r="I304" s="22"/>
      <c r="J304" s="21"/>
      <c r="K304" s="21"/>
    </row>
    <row r="305" spans="1:11" ht="14.45">
      <c r="A305" s="21"/>
      <c r="B305" s="33"/>
      <c r="C305" s="54"/>
      <c r="D305" s="54"/>
      <c r="E305" s="21"/>
      <c r="F305" s="22"/>
      <c r="G305" s="21"/>
      <c r="H305" s="21"/>
      <c r="I305" s="22"/>
      <c r="J305" s="21"/>
      <c r="K305" s="21"/>
    </row>
    <row r="306" spans="1:11" ht="14.45">
      <c r="A306" s="21"/>
      <c r="B306" s="33"/>
      <c r="C306" s="54"/>
      <c r="D306" s="54"/>
      <c r="E306" s="21"/>
      <c r="F306" s="22"/>
      <c r="G306" s="21"/>
      <c r="H306" s="21"/>
      <c r="I306" s="22"/>
      <c r="J306" s="21"/>
      <c r="K306" s="21"/>
    </row>
    <row r="307" spans="1:11" ht="14.45">
      <c r="A307" s="21"/>
      <c r="B307" s="33"/>
      <c r="C307" s="54"/>
      <c r="D307" s="54"/>
      <c r="E307" s="21"/>
      <c r="F307" s="22"/>
      <c r="G307" s="21"/>
      <c r="H307" s="21"/>
      <c r="I307" s="22"/>
      <c r="J307" s="21"/>
      <c r="K307" s="21"/>
    </row>
    <row r="308" spans="1:11" ht="14.45">
      <c r="A308" s="21"/>
      <c r="B308" s="33"/>
      <c r="C308" s="54"/>
      <c r="D308" s="54"/>
      <c r="E308" s="21"/>
      <c r="F308" s="22"/>
      <c r="G308" s="21"/>
      <c r="H308" s="21"/>
      <c r="I308" s="22"/>
      <c r="J308" s="21"/>
      <c r="K308" s="21"/>
    </row>
    <row r="309" spans="1:11" ht="14.45">
      <c r="A309" s="21"/>
      <c r="B309" s="33"/>
      <c r="C309" s="54"/>
      <c r="D309" s="54"/>
      <c r="E309" s="21"/>
      <c r="F309" s="22"/>
      <c r="G309" s="21"/>
      <c r="H309" s="21"/>
      <c r="I309" s="22"/>
      <c r="J309" s="21"/>
      <c r="K309" s="21"/>
    </row>
    <row r="310" spans="1:11" ht="14.45">
      <c r="A310" s="21"/>
      <c r="B310" s="33"/>
      <c r="C310" s="54"/>
      <c r="D310" s="54"/>
      <c r="E310" s="21"/>
      <c r="F310" s="22"/>
      <c r="G310" s="21"/>
      <c r="H310" s="21"/>
      <c r="I310" s="22"/>
      <c r="J310" s="21"/>
      <c r="K310" s="21"/>
    </row>
    <row r="311" spans="1:11" ht="14.45">
      <c r="A311" s="21"/>
      <c r="B311" s="33"/>
      <c r="C311" s="54"/>
      <c r="D311" s="54"/>
      <c r="E311" s="21"/>
      <c r="F311" s="22"/>
      <c r="G311" s="21"/>
      <c r="H311" s="21"/>
      <c r="I311" s="22"/>
      <c r="J311" s="21"/>
      <c r="K311" s="21"/>
    </row>
    <row r="312" spans="1:11" ht="14.45">
      <c r="A312" s="21"/>
      <c r="B312" s="33"/>
      <c r="C312" s="54"/>
      <c r="D312" s="54"/>
      <c r="E312" s="21"/>
      <c r="F312" s="22"/>
      <c r="G312" s="21"/>
      <c r="H312" s="21"/>
      <c r="I312" s="22"/>
      <c r="J312" s="21"/>
      <c r="K312" s="21"/>
    </row>
    <row r="313" spans="1:11" ht="14.45">
      <c r="A313" s="21"/>
      <c r="B313" s="33"/>
      <c r="C313" s="54"/>
      <c r="D313" s="54"/>
      <c r="E313" s="21"/>
      <c r="F313" s="22"/>
      <c r="G313" s="21"/>
      <c r="H313" s="21"/>
      <c r="I313" s="22"/>
      <c r="J313" s="21"/>
      <c r="K313" s="21"/>
    </row>
    <row r="314" spans="1:11" ht="14.45">
      <c r="A314" s="21"/>
      <c r="B314" s="33"/>
      <c r="C314" s="54"/>
      <c r="D314" s="54"/>
      <c r="E314" s="21"/>
      <c r="F314" s="22"/>
      <c r="G314" s="21"/>
      <c r="H314" s="21"/>
      <c r="I314" s="22"/>
      <c r="J314" s="21"/>
      <c r="K314" s="21"/>
    </row>
    <row r="315" spans="1:11" ht="14.45">
      <c r="A315" s="21"/>
      <c r="B315" s="33"/>
      <c r="C315" s="54"/>
      <c r="D315" s="54"/>
      <c r="E315" s="21"/>
      <c r="F315" s="22"/>
      <c r="G315" s="21"/>
      <c r="H315" s="21"/>
      <c r="I315" s="22"/>
      <c r="J315" s="21"/>
      <c r="K315" s="21"/>
    </row>
    <row r="316" spans="1:11" ht="14.45">
      <c r="A316" s="21"/>
      <c r="B316" s="33"/>
      <c r="C316" s="54"/>
      <c r="D316" s="54"/>
      <c r="E316" s="21"/>
      <c r="F316" s="22"/>
      <c r="G316" s="21"/>
      <c r="H316" s="21"/>
      <c r="I316" s="22"/>
      <c r="J316" s="21"/>
      <c r="K316" s="21"/>
    </row>
    <row r="317" spans="1:11" ht="14.45">
      <c r="A317" s="21"/>
      <c r="B317" s="33"/>
      <c r="C317" s="54"/>
      <c r="D317" s="54"/>
      <c r="E317" s="21"/>
      <c r="F317" s="22"/>
      <c r="G317" s="21"/>
      <c r="H317" s="21"/>
      <c r="I317" s="22"/>
      <c r="J317" s="21"/>
      <c r="K317" s="21"/>
    </row>
    <row r="318" spans="1:11" ht="14.45">
      <c r="A318" s="21"/>
      <c r="B318" s="33"/>
      <c r="C318" s="54"/>
      <c r="D318" s="54"/>
      <c r="E318" s="21"/>
      <c r="F318" s="22"/>
      <c r="G318" s="21"/>
      <c r="H318" s="21"/>
      <c r="I318" s="22"/>
      <c r="J318" s="21"/>
      <c r="K318" s="21"/>
    </row>
    <row r="319" spans="1:11" ht="14.45">
      <c r="A319" s="21"/>
      <c r="B319" s="33"/>
      <c r="C319" s="54"/>
      <c r="D319" s="54"/>
      <c r="E319" s="21"/>
      <c r="F319" s="22"/>
      <c r="G319" s="21"/>
      <c r="H319" s="21"/>
      <c r="I319" s="22"/>
      <c r="J319" s="21"/>
      <c r="K319" s="21"/>
    </row>
    <row r="320" spans="1:11" ht="14.45">
      <c r="A320" s="21"/>
      <c r="B320" s="33"/>
      <c r="C320" s="54"/>
      <c r="D320" s="54"/>
      <c r="E320" s="21"/>
      <c r="F320" s="22"/>
      <c r="G320" s="21"/>
      <c r="H320" s="21"/>
      <c r="I320" s="22"/>
      <c r="J320" s="21"/>
      <c r="K320" s="21"/>
    </row>
    <row r="321" spans="1:11" ht="14.45">
      <c r="A321" s="21"/>
      <c r="B321" s="33"/>
      <c r="C321" s="54"/>
      <c r="D321" s="54"/>
      <c r="E321" s="21"/>
      <c r="F321" s="22"/>
      <c r="G321" s="21"/>
      <c r="H321" s="21"/>
      <c r="I321" s="22"/>
      <c r="J321" s="21"/>
      <c r="K321" s="21"/>
    </row>
    <row r="322" spans="1:11" ht="14.45">
      <c r="A322" s="21"/>
      <c r="B322" s="33"/>
      <c r="C322" s="54"/>
      <c r="D322" s="54"/>
      <c r="E322" s="21"/>
      <c r="F322" s="22"/>
      <c r="G322" s="21"/>
      <c r="H322" s="21"/>
      <c r="I322" s="22"/>
      <c r="J322" s="21"/>
      <c r="K322" s="21"/>
    </row>
    <row r="323" spans="1:11" ht="14.45">
      <c r="A323" s="21"/>
      <c r="B323" s="33"/>
      <c r="C323" s="54"/>
      <c r="D323" s="54"/>
      <c r="E323" s="21"/>
      <c r="F323" s="22"/>
      <c r="G323" s="21"/>
      <c r="H323" s="21"/>
      <c r="I323" s="22"/>
      <c r="J323" s="21"/>
      <c r="K323" s="21"/>
    </row>
    <row r="324" spans="1:11" ht="14.45">
      <c r="A324" s="21"/>
      <c r="B324" s="33"/>
      <c r="C324" s="54"/>
      <c r="D324" s="54"/>
      <c r="E324" s="21"/>
      <c r="F324" s="22"/>
      <c r="G324" s="21"/>
      <c r="H324" s="21"/>
      <c r="I324" s="22"/>
      <c r="J324" s="21"/>
      <c r="K324" s="21"/>
    </row>
    <row r="325" spans="1:11" ht="14.45">
      <c r="A325" s="21"/>
      <c r="B325" s="33"/>
      <c r="C325" s="54"/>
      <c r="D325" s="54"/>
      <c r="E325" s="21"/>
      <c r="F325" s="22"/>
      <c r="G325" s="21"/>
      <c r="H325" s="21"/>
      <c r="I325" s="22"/>
      <c r="J325" s="21"/>
      <c r="K325" s="21"/>
    </row>
    <row r="326" spans="1:11" ht="14.45">
      <c r="A326" s="21"/>
      <c r="B326" s="33"/>
      <c r="C326" s="54"/>
      <c r="D326" s="54"/>
      <c r="E326" s="21"/>
      <c r="F326" s="22"/>
      <c r="G326" s="21"/>
      <c r="H326" s="21"/>
      <c r="I326" s="22"/>
      <c r="J326" s="21"/>
      <c r="K326" s="21"/>
    </row>
    <row r="327" spans="1:11" ht="14.45">
      <c r="A327" s="21"/>
      <c r="B327" s="33"/>
      <c r="C327" s="54"/>
      <c r="D327" s="54"/>
      <c r="E327" s="21"/>
      <c r="F327" s="22"/>
      <c r="G327" s="21"/>
      <c r="H327" s="21"/>
      <c r="I327" s="22"/>
      <c r="J327" s="21"/>
      <c r="K327" s="21"/>
    </row>
    <row r="328" spans="1:11" ht="14.45">
      <c r="A328" s="21"/>
      <c r="B328" s="33"/>
      <c r="C328" s="54"/>
      <c r="D328" s="54"/>
      <c r="E328" s="21"/>
      <c r="F328" s="22"/>
      <c r="G328" s="21"/>
      <c r="H328" s="21"/>
      <c r="I328" s="22"/>
      <c r="J328" s="21"/>
      <c r="K328" s="21"/>
    </row>
    <row r="329" spans="1:11" ht="14.45">
      <c r="A329" s="21"/>
      <c r="B329" s="33"/>
      <c r="C329" s="54"/>
      <c r="D329" s="54"/>
      <c r="E329" s="21"/>
      <c r="F329" s="22"/>
      <c r="G329" s="21"/>
      <c r="H329" s="21"/>
      <c r="I329" s="22"/>
      <c r="J329" s="21"/>
      <c r="K329" s="21"/>
    </row>
    <row r="330" spans="1:11" ht="14.45">
      <c r="A330" s="21"/>
      <c r="B330" s="33"/>
      <c r="C330" s="54"/>
      <c r="D330" s="54"/>
      <c r="E330" s="21"/>
      <c r="F330" s="22"/>
      <c r="G330" s="21"/>
      <c r="H330" s="21"/>
      <c r="I330" s="22"/>
      <c r="J330" s="21"/>
      <c r="K330" s="21"/>
    </row>
    <row r="331" spans="1:11" ht="14.45">
      <c r="A331" s="21"/>
      <c r="B331" s="33"/>
      <c r="C331" s="54"/>
      <c r="D331" s="54"/>
      <c r="E331" s="21"/>
      <c r="F331" s="22"/>
      <c r="G331" s="21"/>
      <c r="H331" s="21"/>
      <c r="I331" s="22"/>
      <c r="J331" s="21"/>
      <c r="K331" s="21"/>
    </row>
    <row r="332" spans="1:11" ht="14.45">
      <c r="A332" s="21"/>
      <c r="B332" s="33"/>
      <c r="C332" s="54"/>
      <c r="D332" s="54"/>
      <c r="E332" s="21"/>
      <c r="F332" s="22"/>
      <c r="G332" s="21"/>
      <c r="H332" s="21"/>
      <c r="I332" s="22"/>
      <c r="J332" s="21"/>
      <c r="K332" s="21"/>
    </row>
    <row r="333" spans="1:11" ht="14.45">
      <c r="A333" s="21"/>
      <c r="B333" s="33"/>
      <c r="C333" s="54"/>
      <c r="D333" s="54"/>
      <c r="E333" s="21"/>
      <c r="F333" s="22"/>
      <c r="G333" s="21"/>
      <c r="H333" s="21"/>
      <c r="I333" s="22"/>
      <c r="J333" s="21"/>
      <c r="K333" s="21"/>
    </row>
    <row r="334" spans="1:11" ht="14.45">
      <c r="A334" s="21"/>
      <c r="B334" s="33"/>
      <c r="C334" s="54"/>
      <c r="D334" s="54"/>
      <c r="E334" s="21"/>
      <c r="F334" s="22"/>
      <c r="G334" s="21"/>
      <c r="H334" s="21"/>
      <c r="I334" s="22"/>
      <c r="J334" s="21"/>
      <c r="K334" s="21"/>
    </row>
    <row r="335" spans="1:11" ht="14.45">
      <c r="A335" s="21"/>
      <c r="B335" s="33"/>
      <c r="C335" s="54"/>
      <c r="D335" s="54"/>
      <c r="E335" s="21"/>
      <c r="F335" s="22"/>
      <c r="G335" s="21"/>
      <c r="H335" s="21"/>
      <c r="I335" s="22"/>
      <c r="J335" s="21"/>
      <c r="K335" s="21"/>
    </row>
    <row r="336" spans="1:11" ht="14.45">
      <c r="A336" s="21"/>
      <c r="B336" s="33"/>
      <c r="C336" s="54"/>
      <c r="D336" s="54"/>
      <c r="E336" s="21"/>
      <c r="F336" s="22"/>
      <c r="G336" s="21"/>
      <c r="H336" s="21"/>
      <c r="I336" s="22"/>
      <c r="J336" s="21"/>
      <c r="K336" s="21"/>
    </row>
    <row r="337" spans="1:11" ht="14.45">
      <c r="A337" s="21"/>
      <c r="B337" s="33"/>
      <c r="C337" s="54"/>
      <c r="D337" s="54"/>
      <c r="E337" s="21"/>
      <c r="F337" s="22"/>
      <c r="G337" s="21"/>
      <c r="H337" s="21"/>
      <c r="I337" s="22"/>
      <c r="J337" s="21"/>
      <c r="K337" s="21"/>
    </row>
    <row r="338" spans="1:11" ht="14.45">
      <c r="A338" s="21"/>
      <c r="B338" s="33"/>
      <c r="C338" s="54"/>
      <c r="D338" s="54"/>
      <c r="E338" s="21"/>
      <c r="F338" s="22"/>
      <c r="G338" s="21"/>
      <c r="H338" s="21"/>
      <c r="I338" s="22"/>
      <c r="J338" s="21"/>
      <c r="K338" s="21"/>
    </row>
    <row r="339" spans="1:11" ht="14.45">
      <c r="A339" s="21"/>
      <c r="B339" s="33"/>
      <c r="C339" s="54"/>
      <c r="D339" s="54"/>
      <c r="E339" s="21"/>
      <c r="F339" s="22"/>
      <c r="G339" s="21"/>
      <c r="H339" s="21"/>
      <c r="I339" s="22"/>
      <c r="J339" s="21"/>
      <c r="K339" s="21"/>
    </row>
    <row r="340" spans="1:11" ht="14.45">
      <c r="A340" s="21"/>
      <c r="B340" s="33"/>
      <c r="C340" s="54"/>
      <c r="D340" s="54"/>
      <c r="E340" s="21"/>
      <c r="F340" s="22"/>
      <c r="G340" s="21"/>
      <c r="H340" s="21"/>
      <c r="I340" s="22"/>
      <c r="J340" s="21"/>
      <c r="K340" s="21"/>
    </row>
    <row r="341" spans="1:11" ht="14.45">
      <c r="A341" s="21"/>
      <c r="B341" s="33"/>
      <c r="C341" s="54"/>
      <c r="D341" s="54"/>
      <c r="E341" s="21"/>
      <c r="F341" s="22"/>
      <c r="G341" s="21"/>
      <c r="H341" s="21"/>
      <c r="I341" s="22"/>
      <c r="J341" s="21"/>
      <c r="K341" s="21"/>
    </row>
  </sheetData>
  <mergeCells count="4">
    <mergeCell ref="D1:F1"/>
    <mergeCell ref="A1:C1"/>
    <mergeCell ref="G1:I1"/>
    <mergeCell ref="A2:B2"/>
  </mergeCells>
  <conditionalFormatting sqref="F2 I2">
    <cfRule type="cellIs" dxfId="47" priority="68" stopIfTrue="1" operator="lessThanOrEqual">
      <formula>-0.1</formula>
    </cfRule>
    <cfRule type="expression" dxfId="46" priority="69">
      <formula>AND(ISNUMBER(F2), F2&gt;=0.1)</formula>
    </cfRule>
  </conditionalFormatting>
  <conditionalFormatting sqref="F4:F99 I4:I99">
    <cfRule type="cellIs" dxfId="45" priority="1" stopIfTrue="1" operator="lessThanOrEqual">
      <formula>-0.1</formula>
    </cfRule>
    <cfRule type="expression" dxfId="44" priority="2">
      <formula>AND(ISNUMBER(F4), F4&gt;=0.1)</formula>
    </cfRule>
  </conditionalFormatting>
  <hyperlinks>
    <hyperlink ref="K7" r:id="rId1" display="https://us3.assetplanner.com/service_request?ID=095312" xr:uid="{6907B3AA-CFC8-4831-91F1-145E82A27823}"/>
    <hyperlink ref="K8" r:id="rId2" display="https://us3.assetplanner.com/service_request?ID=089997" xr:uid="{7EB456F8-C42D-45DC-994E-9AAE7FB93951}"/>
    <hyperlink ref="L8" r:id="rId3" display="https://us3.assetplanner.com/service_request?ID=095693" xr:uid="{2DD5270D-2385-4F11-A97D-50FA73198A6D}"/>
    <hyperlink ref="M8" r:id="rId4" display="https://us3.assetplanner.com/service_request?ID=094233" xr:uid="{EDBF15C9-245A-4B5F-9255-2EFC9D78D5C5}"/>
    <hyperlink ref="K9" r:id="rId5" display="https://us3.assetplanner.com/service_request?ID=089170" xr:uid="{6ED4DEC8-F813-461F-AA5C-CC88CDBCF9B0}"/>
    <hyperlink ref="L9" r:id="rId6" display="https://us3.assetplanner.com/service_request?ID=095220" xr:uid="{F0692556-E063-43D2-ACF3-BB44C9B2CE69}"/>
    <hyperlink ref="K10" r:id="rId7" display="https://us3.assetplanner.com/service_request?ID=089564" xr:uid="{756953FD-5336-4FC8-AE3E-4683EBFD52FD}"/>
    <hyperlink ref="L10" r:id="rId8" display="https://us3.assetplanner.com/service_request?ID=093404" xr:uid="{E1C99063-CB53-4BCD-BD63-39F6413B37F6}"/>
    <hyperlink ref="M10" r:id="rId9" display="https://us3.assetplanner.com/service_request?ID=093406" xr:uid="{A857FEB4-924D-486B-8394-9B8CCC301715}"/>
    <hyperlink ref="K14" r:id="rId10" display="https://us3.assetplanner.com/service_request?ID=093500" xr:uid="{4EA386F9-53BE-4A9B-AB1D-EF694AD79208}"/>
    <hyperlink ref="L14" r:id="rId11" display="https://us3.assetplanner.com/service_request?ID=094025" xr:uid="{C8F14314-D4AB-4C44-993D-59E1294CC152}"/>
    <hyperlink ref="M14" r:id="rId12" display="https://us3.assetplanner.com/service_request?ID=094028" xr:uid="{CBE5C8FE-AB63-461C-B5E6-FDCA244F58EF}"/>
    <hyperlink ref="N14" r:id="rId13" display="https://us3.assetplanner.com/service_request?ID=095517" xr:uid="{461EF8D7-46A6-4A5C-8550-56D9DBD3A2F5}"/>
    <hyperlink ref="O14" r:id="rId14" display="https://us3.assetplanner.com/service_request?ID=095697" xr:uid="{49BDF839-0FA1-438A-98D9-3B437B4E1EF7}"/>
    <hyperlink ref="P14" r:id="rId15" display="https://us3.assetplanner.com/service_request?ID=096199" xr:uid="{93B6412D-B79A-4CA2-B68E-FFCD2BE620B9}"/>
    <hyperlink ref="K16" r:id="rId16" display="https://us3.assetplanner.com/service_request?ID=095300" xr:uid="{9CC1CEFB-F3A6-40CC-B668-F34A6D893E14}"/>
    <hyperlink ref="L16" r:id="rId17" display="https://us3.assetplanner.com/service_request?ID=095690" xr:uid="{CF845071-F702-441F-B286-70D0A3F232B8}"/>
    <hyperlink ref="K18" r:id="rId18" display="https://us3.assetplanner.com/service_request?ID=092249" xr:uid="{CFD452B4-F7B4-490F-9321-AD161652848F}"/>
    <hyperlink ref="L18" r:id="rId19" display="https://us3.assetplanner.com/service_request?ID=093403" xr:uid="{4E0250EA-4D7C-47D8-90D4-815DB7F54FA4}"/>
    <hyperlink ref="M18" r:id="rId20" display="https://us3.assetplanner.com/service_request?ID=096031" xr:uid="{56FA491C-6300-46CD-BD79-48961BBF9347}"/>
    <hyperlink ref="K19" r:id="rId21" display="https://us3.assetplanner.com/service_request?ID=096132" xr:uid="{1D0D862D-4802-4325-96B6-599EDA6A1F21}"/>
    <hyperlink ref="K20" r:id="rId22" display="https://us3.assetplanner.com/service_request?ID=095279" xr:uid="{91EC6225-380F-4F72-97FE-4CDD9C63DFD5}"/>
    <hyperlink ref="L20" r:id="rId23" display="https://us3.assetplanner.com/service_request?ID=095309" xr:uid="{040F34E5-B7E0-4CB2-8FF0-7658A625ED22}"/>
    <hyperlink ref="M20" r:id="rId24" display="https://us3.assetplanner.com/service_request?ID=095058" xr:uid="{A997705C-00B1-4D04-A6C6-A50317138A2C}"/>
    <hyperlink ref="N20" r:id="rId25" display="https://us3.assetplanner.com/service_request?ID=095843" xr:uid="{15D36DB6-00B8-480E-A02B-A0EDCB35054C}"/>
    <hyperlink ref="O20" r:id="rId26" display="https://us3.assetplanner.com/service_request?ID=089983" xr:uid="{FFCB6D8A-EF99-46CB-8CCF-B13BA796F225}"/>
    <hyperlink ref="K22" r:id="rId27" display="https://us3.assetplanner.com/service_request?ID=095497" xr:uid="{3045037B-B630-4370-B72C-819B5E6E7DC9}"/>
    <hyperlink ref="K23" r:id="rId28" display="https://us3.assetplanner.com/service_request?ID=094678" xr:uid="{36847EF9-4EDA-4855-ACD6-556BB84FDC86}"/>
    <hyperlink ref="L23" r:id="rId29" display="https://us3.assetplanner.com/service_request?ID=096154" xr:uid="{72167950-D9FD-430D-AC95-7E5D888A56EF}"/>
    <hyperlink ref="K24" r:id="rId30" display="https://us3.assetplanner.com/service_request?ID=095079" xr:uid="{76D2F976-7DFA-45B2-AAD3-1BBD9B69D56D}"/>
    <hyperlink ref="L24" r:id="rId31" display="https://us3.assetplanner.com/service_request?ID=095518" xr:uid="{CB157764-494C-4BA6-A487-EDD493C8ECB0}"/>
    <hyperlink ref="M24" r:id="rId32" display="https://us3.assetplanner.com/service_request?ID=095538" xr:uid="{7476B7B3-7B22-4FD1-A84D-9471EFE4B6F7}"/>
    <hyperlink ref="N24" r:id="rId33" display="https://us3.assetplanner.com/service_request?ID=095579" xr:uid="{86BF380E-A57F-40AC-ABA5-7922EFA1BAE2}"/>
    <hyperlink ref="O24" r:id="rId34" display="https://us3.assetplanner.com/service_request?ID=095616" xr:uid="{CBD521D9-9F2F-40BD-8656-9515C24B6997}"/>
    <hyperlink ref="P24" r:id="rId35" display="https://us3.assetplanner.com/service_request?ID=095972" xr:uid="{B99078BB-A609-4F2F-B8A5-BCFA59078771}"/>
    <hyperlink ref="K25" r:id="rId36" display="https://us3.assetplanner.com/service_request?ID=092108" xr:uid="{F86D28E7-5DDD-47DC-9187-F6C403058250}"/>
    <hyperlink ref="K27" r:id="rId37" display="https://us3.assetplanner.com/service_request?ID=095495" xr:uid="{370908B6-08A3-46B6-B3DB-C54B55B3292C}"/>
    <hyperlink ref="L27" r:id="rId38" display="https://us3.assetplanner.com/service_request?ID=095674" xr:uid="{93C66986-790D-4851-AF2F-3F9DCB34F35F}"/>
    <hyperlink ref="K29" r:id="rId39" display="https://us3.assetplanner.com/service_request?ID=095494" xr:uid="{8E3F0A26-9B27-46F3-AB17-84336D0EE53D}"/>
    <hyperlink ref="K32" r:id="rId40" display="https://us3.assetplanner.com/service_request?ID=095360" xr:uid="{395319AD-FD75-456E-85AD-6EE5D8108BDD}"/>
    <hyperlink ref="L32" r:id="rId41" display="https://us3.assetplanner.com/service_request?ID=092627" xr:uid="{CA45240E-D889-44CD-BD72-D6F88898EBD9}"/>
    <hyperlink ref="M32" r:id="rId42" display="https://us3.assetplanner.com/service_request?ID=095903" xr:uid="{701CB526-6040-44D7-AF13-741857884BF7}"/>
    <hyperlink ref="K34" r:id="rId43" display="https://us3.assetplanner.com/service_request?ID=094890" xr:uid="{C38CEEDF-85E4-4BB0-A3C7-36FD9549F0D7}"/>
    <hyperlink ref="L34" r:id="rId44" display="https://us3.assetplanner.com/service_request?ID=094283" xr:uid="{6CB861B5-9116-4E80-80CD-A88DA5C83C50}"/>
    <hyperlink ref="M34" r:id="rId45" display="https://us3.assetplanner.com/service_request?ID=095761" xr:uid="{08A12539-88CD-4867-B0DD-95C7EE609D4D}"/>
    <hyperlink ref="N34" r:id="rId46" display="https://us3.assetplanner.com/service_request?ID=094889" xr:uid="{3F49DB2D-27AF-4191-96E9-6EE562D94428}"/>
    <hyperlink ref="O34" r:id="rId47" display="https://us3.assetplanner.com/service_request?ID=095199" xr:uid="{12304C6F-161D-4C47-9052-CDD14A1A4F01}"/>
    <hyperlink ref="K36" r:id="rId48" display="https://us3.assetplanner.com/service_request?ID=095429" xr:uid="{C8C2518D-DE69-4258-8B22-8BDB868CF881}"/>
    <hyperlink ref="K37" r:id="rId49" display="https://us3.assetplanner.com/service_request?ID=095620" xr:uid="{99777BD6-94EA-450F-8E83-0B4BD14C7264}"/>
  </hyperlinks>
  <pageMargins left="0.4" right="0.7" top="0.25" bottom="0.25" header="0.3" footer="0.3"/>
  <pageSetup fitToHeight="99" orientation="landscape" r:id="rId5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R342"/>
  <sheetViews>
    <sheetView zoomScale="70" zoomScaleNormal="70" workbookViewId="0">
      <pane xSplit="2" ySplit="3" topLeftCell="D19" activePane="bottomRight" state="frozen"/>
      <selection pane="bottomRight" activeCell="D34" sqref="D34"/>
      <selection pane="bottomLeft" activeCell="F38" sqref="F38"/>
      <selection pane="topRight" activeCell="F38" sqref="F38"/>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8.140625" customWidth="1"/>
  </cols>
  <sheetData>
    <row r="1" spans="1:12" ht="19.5" customHeight="1">
      <c r="A1" s="117" t="str" cm="1">
        <f t="array" ref="A1">portfolio</f>
        <v>Greenbacker Capital</v>
      </c>
      <c r="B1" s="117"/>
      <c r="C1" s="117"/>
      <c r="D1" s="118" t="s">
        <v>91</v>
      </c>
      <c r="E1" s="118"/>
      <c r="F1" s="118"/>
      <c r="G1" s="116" t="s">
        <v>92</v>
      </c>
      <c r="H1" s="116"/>
      <c r="I1" s="116"/>
      <c r="J1" s="4"/>
      <c r="K1" s="4"/>
    </row>
    <row r="2" spans="1:12" ht="19.5" customHeight="1">
      <c r="A2" s="119" t="s">
        <v>2</v>
      </c>
      <c r="B2" s="119"/>
      <c r="C2" s="5">
        <f>SUM(C4:C100)</f>
        <v>3016821.2016065367</v>
      </c>
      <c r="D2" s="5">
        <f>SUM(D4:D100)</f>
        <v>3451366.0270000002</v>
      </c>
      <c r="E2" s="5">
        <f>C2-D2</f>
        <v>-434544.82539346348</v>
      </c>
      <c r="F2" s="6">
        <f>IFERROR(E2/D2, 0)</f>
        <v>-0.12590516971947452</v>
      </c>
      <c r="G2" s="5">
        <f>SUM(G4:G100)</f>
        <v>2547649.923</v>
      </c>
      <c r="H2" s="7">
        <f>C2-G2</f>
        <v>469171.2786065368</v>
      </c>
      <c r="I2" s="6">
        <f>IFERROR(H2/G2, 0)</f>
        <v>0.18415845692569152</v>
      </c>
      <c r="J2" s="26"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23" t="s">
        <v>5</v>
      </c>
      <c r="D3" s="35" t="s">
        <v>6</v>
      </c>
      <c r="E3" s="35" t="s">
        <v>7</v>
      </c>
      <c r="F3" s="36" t="s">
        <v>8</v>
      </c>
      <c r="G3" s="37" t="s">
        <v>9</v>
      </c>
      <c r="H3" s="38" t="s">
        <v>7</v>
      </c>
      <c r="I3" s="39" t="s">
        <v>8</v>
      </c>
      <c r="J3" s="25" t="s">
        <v>20</v>
      </c>
      <c r="K3" s="25" t="s">
        <v>21</v>
      </c>
    </row>
    <row r="4" spans="1:12" ht="15.6">
      <c r="A4" s="47" t="str" cm="1">
        <f t="array" ref="A4:A40">Sites[Site]</f>
        <v>10 Walpole Park South</v>
      </c>
      <c r="B4" s="29" t="str" cm="1">
        <f t="array" ref="B4:B40">Sites[State]</f>
        <v>MA</v>
      </c>
      <c r="C4" s="24">
        <v>6516.625</v>
      </c>
      <c r="D4" s="13">
        <v>9844.4950000000008</v>
      </c>
      <c r="E4" s="13">
        <f t="shared" ref="E4:E33" si="0">IF(AND(ISNUMBER(C4),ISNUMBER(D4)), C4-D4, "")</f>
        <v>-3327.8700000000008</v>
      </c>
      <c r="F4" s="14">
        <f t="shared" ref="F4:F13" si="1">IFERROR(E4/D4, "")</f>
        <v>-0.33804374932386078</v>
      </c>
      <c r="G4" s="15">
        <v>9440.3729999999996</v>
      </c>
      <c r="H4" s="15">
        <f t="shared" ref="H4:H17" si="2">IF(AND(ISNUMBER(C4),ISNUMBER(G4)), C4-G4, "")</f>
        <v>-2923.7479999999996</v>
      </c>
      <c r="I4" s="16">
        <f t="shared" ref="I4:I15" si="3">IFERROR(H4/G4, "")</f>
        <v>-0.30970683043985653</v>
      </c>
      <c r="J4" s="40" t="s">
        <v>22</v>
      </c>
      <c r="K4" s="40"/>
    </row>
    <row r="5" spans="1:12" ht="15.6">
      <c r="A5" s="48" t="str">
        <v>15 Walpole Park South</v>
      </c>
      <c r="B5" s="31" t="str">
        <v>MA</v>
      </c>
      <c r="C5" s="11">
        <v>21837.250000000498</v>
      </c>
      <c r="D5" s="18">
        <v>36784.89</v>
      </c>
      <c r="E5" s="18">
        <f t="shared" si="0"/>
        <v>-14947.639999999501</v>
      </c>
      <c r="F5" s="19">
        <f t="shared" si="1"/>
        <v>-0.40635271710747267</v>
      </c>
      <c r="G5" s="20">
        <v>32560.05</v>
      </c>
      <c r="H5" s="20">
        <f t="shared" si="2"/>
        <v>-10722.799999999501</v>
      </c>
      <c r="I5" s="19">
        <f t="shared" si="3"/>
        <v>-0.32932381860591436</v>
      </c>
      <c r="J5" s="41" t="s">
        <v>22</v>
      </c>
      <c r="K5" s="41"/>
    </row>
    <row r="6" spans="1:12" ht="15.6">
      <c r="A6" s="47" t="str">
        <v>19 Walpole Park South</v>
      </c>
      <c r="B6" s="29" t="str">
        <v>MA</v>
      </c>
      <c r="C6" s="24">
        <v>12228.625</v>
      </c>
      <c r="D6" s="13">
        <v>22549.93</v>
      </c>
      <c r="E6" s="13">
        <f t="shared" si="0"/>
        <v>-10321.305</v>
      </c>
      <c r="F6" s="14">
        <f t="shared" si="1"/>
        <v>-0.45770895962869951</v>
      </c>
      <c r="G6" s="15">
        <v>20740.84</v>
      </c>
      <c r="H6" s="15">
        <f t="shared" si="2"/>
        <v>-8512.2150000000001</v>
      </c>
      <c r="I6" s="16">
        <f t="shared" si="3"/>
        <v>-0.4104084019740763</v>
      </c>
      <c r="J6" s="68" t="s">
        <v>22</v>
      </c>
      <c r="K6" s="40"/>
    </row>
    <row r="7" spans="1:12" ht="28.9">
      <c r="A7" s="48" t="str">
        <v>23 Walpole Park South</v>
      </c>
      <c r="B7" s="31" t="str">
        <v>MA</v>
      </c>
      <c r="C7" s="11">
        <v>16135.25</v>
      </c>
      <c r="D7" s="18">
        <v>28847.06</v>
      </c>
      <c r="E7" s="18">
        <f t="shared" si="0"/>
        <v>-12711.810000000001</v>
      </c>
      <c r="F7" s="19">
        <f t="shared" si="1"/>
        <v>-0.44066223733025134</v>
      </c>
      <c r="G7" s="20">
        <v>26843.33</v>
      </c>
      <c r="H7" s="20">
        <f t="shared" si="2"/>
        <v>-10708.080000000002</v>
      </c>
      <c r="I7" s="19">
        <f t="shared" si="3"/>
        <v>-0.39891026932947593</v>
      </c>
      <c r="J7" s="41" t="s">
        <v>93</v>
      </c>
      <c r="K7" s="76" t="s">
        <v>24</v>
      </c>
    </row>
    <row r="8" spans="1:12" ht="57.6">
      <c r="A8" s="49" t="str">
        <v>24 Walpole Park South</v>
      </c>
      <c r="B8" s="29" t="str">
        <v>MA</v>
      </c>
      <c r="C8" s="24">
        <v>26878.500000000899</v>
      </c>
      <c r="D8" s="13">
        <v>36446.019999999997</v>
      </c>
      <c r="E8" s="13">
        <f t="shared" si="0"/>
        <v>-9567.5199999990982</v>
      </c>
      <c r="F8" s="14">
        <f t="shared" si="1"/>
        <v>-0.26251206578932623</v>
      </c>
      <c r="G8" s="15">
        <v>41222.639999999999</v>
      </c>
      <c r="H8" s="15">
        <f t="shared" si="2"/>
        <v>-14344.139999999101</v>
      </c>
      <c r="I8" s="16">
        <f t="shared" si="3"/>
        <v>-0.34796752464177699</v>
      </c>
      <c r="J8" s="40" t="s">
        <v>94</v>
      </c>
      <c r="K8" s="75" t="s">
        <v>95</v>
      </c>
    </row>
    <row r="9" spans="1:12" ht="43.15">
      <c r="A9" s="48" t="str">
        <v>25 Walpole Park South</v>
      </c>
      <c r="B9" s="31" t="str">
        <v>MA</v>
      </c>
      <c r="C9" s="11">
        <v>26057.5</v>
      </c>
      <c r="D9" s="18">
        <v>44560.800000000003</v>
      </c>
      <c r="E9" s="18">
        <f t="shared" si="0"/>
        <v>-18503.300000000003</v>
      </c>
      <c r="F9" s="19">
        <f t="shared" si="1"/>
        <v>-0.41523715911743059</v>
      </c>
      <c r="G9" s="20">
        <v>42155.98</v>
      </c>
      <c r="H9" s="20">
        <f t="shared" si="2"/>
        <v>-16098.480000000003</v>
      </c>
      <c r="I9" s="19">
        <f t="shared" si="3"/>
        <v>-0.38187891729714268</v>
      </c>
      <c r="J9" s="41" t="s">
        <v>96</v>
      </c>
      <c r="K9" s="76" t="s">
        <v>30</v>
      </c>
      <c r="L9" s="79" t="s">
        <v>31</v>
      </c>
    </row>
    <row r="10" spans="1:12" ht="28.9">
      <c r="A10" s="49" t="str">
        <v>3 Walpole Park South</v>
      </c>
      <c r="B10" s="29" t="str">
        <v>MA</v>
      </c>
      <c r="C10" s="24">
        <v>29594.500000000899</v>
      </c>
      <c r="D10" s="13">
        <v>56389.79</v>
      </c>
      <c r="E10" s="13">
        <f t="shared" si="0"/>
        <v>-26795.289999999102</v>
      </c>
      <c r="F10" s="14">
        <f t="shared" si="1"/>
        <v>-0.47517981535308257</v>
      </c>
      <c r="G10" s="15">
        <v>49000.49</v>
      </c>
      <c r="H10" s="15">
        <f t="shared" si="2"/>
        <v>-19405.989999999099</v>
      </c>
      <c r="I10" s="16">
        <f t="shared" si="3"/>
        <v>-0.39603665187836079</v>
      </c>
      <c r="J10" s="40" t="s">
        <v>97</v>
      </c>
      <c r="K10" s="75" t="s">
        <v>98</v>
      </c>
      <c r="L10" s="79" t="s">
        <v>34</v>
      </c>
    </row>
    <row r="11" spans="1:12" ht="15.6">
      <c r="A11" s="48" t="str">
        <v>4 Walpole Park South</v>
      </c>
      <c r="B11" s="31" t="str">
        <v>MA</v>
      </c>
      <c r="C11" s="11">
        <v>18725</v>
      </c>
      <c r="D11" s="18">
        <v>32601.8</v>
      </c>
      <c r="E11" s="18">
        <f t="shared" si="0"/>
        <v>-13876.8</v>
      </c>
      <c r="F11" s="19">
        <f t="shared" si="1"/>
        <v>-0.42564520977369347</v>
      </c>
      <c r="G11" s="20">
        <v>28311.4</v>
      </c>
      <c r="H11" s="20">
        <f t="shared" si="2"/>
        <v>-9586.4000000000015</v>
      </c>
      <c r="I11" s="19">
        <f t="shared" si="3"/>
        <v>-0.3386056500208397</v>
      </c>
      <c r="J11" s="41" t="s">
        <v>22</v>
      </c>
      <c r="K11" s="42"/>
    </row>
    <row r="12" spans="1:12" ht="15.6">
      <c r="A12" s="49" t="str">
        <v>Brockton</v>
      </c>
      <c r="B12" s="29" t="str">
        <v>MA</v>
      </c>
      <c r="C12" s="24">
        <v>40084</v>
      </c>
      <c r="D12" s="13">
        <v>46732.03</v>
      </c>
      <c r="E12" s="13">
        <f t="shared" si="0"/>
        <v>-6648.0299999999988</v>
      </c>
      <c r="F12" s="14">
        <f t="shared" si="1"/>
        <v>-0.14225853231712809</v>
      </c>
      <c r="G12" s="15">
        <v>45176.38</v>
      </c>
      <c r="H12" s="15">
        <f t="shared" si="2"/>
        <v>-5092.3799999999974</v>
      </c>
      <c r="I12" s="16">
        <f t="shared" si="3"/>
        <v>-0.11272217915645294</v>
      </c>
      <c r="J12" s="40" t="s">
        <v>22</v>
      </c>
      <c r="K12" s="40"/>
    </row>
    <row r="13" spans="1:12" ht="15.6">
      <c r="A13" s="48" t="str">
        <v>Canton</v>
      </c>
      <c r="B13" s="31" t="str">
        <v>MA</v>
      </c>
      <c r="C13" s="11">
        <v>30642</v>
      </c>
      <c r="D13" s="18">
        <v>51143.48</v>
      </c>
      <c r="E13" s="18">
        <f t="shared" si="0"/>
        <v>-20501.480000000003</v>
      </c>
      <c r="F13" s="19">
        <f t="shared" si="1"/>
        <v>-0.40086204536726877</v>
      </c>
      <c r="G13" s="20">
        <v>47910.52</v>
      </c>
      <c r="H13" s="20">
        <f t="shared" si="2"/>
        <v>-17268.519999999997</v>
      </c>
      <c r="I13" s="19">
        <f t="shared" si="3"/>
        <v>-0.3604327400328779</v>
      </c>
      <c r="J13" s="92" t="s">
        <v>22</v>
      </c>
      <c r="K13" s="42"/>
    </row>
    <row r="14" spans="1:12" ht="43.15">
      <c r="A14" s="49" t="str">
        <v>Chelsea</v>
      </c>
      <c r="B14" s="29" t="str">
        <v>MA</v>
      </c>
      <c r="C14" s="24">
        <v>57572</v>
      </c>
      <c r="D14" s="13">
        <v>85329.99</v>
      </c>
      <c r="E14" s="13">
        <f t="shared" si="0"/>
        <v>-27757.990000000005</v>
      </c>
      <c r="F14" s="14">
        <f t="shared" ref="F14:F33" si="4">IFERROR(E14/D14, "")</f>
        <v>-0.32530169053107827</v>
      </c>
      <c r="G14" s="15">
        <v>76722.240000000005</v>
      </c>
      <c r="H14" s="15">
        <f t="shared" si="2"/>
        <v>-19150.240000000005</v>
      </c>
      <c r="I14" s="16">
        <f t="shared" si="3"/>
        <v>-0.24960480820163755</v>
      </c>
      <c r="J14" s="40" t="s">
        <v>99</v>
      </c>
      <c r="K14" s="75" t="s">
        <v>100</v>
      </c>
      <c r="L14" s="79" t="s">
        <v>101</v>
      </c>
    </row>
    <row r="15" spans="1:12" ht="57.6">
      <c r="A15" s="48" t="str">
        <v>Hamilton Landfill</v>
      </c>
      <c r="B15" s="31" t="str">
        <v>MA</v>
      </c>
      <c r="C15" s="11">
        <v>37244.9</v>
      </c>
      <c r="D15" s="18">
        <v>84502.5</v>
      </c>
      <c r="E15" s="18">
        <f t="shared" si="0"/>
        <v>-47257.599999999999</v>
      </c>
      <c r="F15" s="19">
        <f t="shared" si="4"/>
        <v>-0.5592449927516937</v>
      </c>
      <c r="G15" s="20">
        <v>0</v>
      </c>
      <c r="H15" s="20">
        <f t="shared" si="2"/>
        <v>37244.9</v>
      </c>
      <c r="I15" s="19" t="str">
        <f t="shared" si="3"/>
        <v/>
      </c>
      <c r="J15" s="41" t="s">
        <v>102</v>
      </c>
      <c r="K15" s="76" t="s">
        <v>103</v>
      </c>
    </row>
    <row r="16" spans="1:12" ht="28.9">
      <c r="A16" s="49" t="str">
        <v>Holliston</v>
      </c>
      <c r="B16" s="29" t="str">
        <v>MA</v>
      </c>
      <c r="C16" s="24">
        <v>58828</v>
      </c>
      <c r="D16" s="13">
        <v>110053.2</v>
      </c>
      <c r="E16" s="13">
        <f t="shared" si="0"/>
        <v>-51225.2</v>
      </c>
      <c r="F16" s="14">
        <f t="shared" si="4"/>
        <v>-0.46545852369581253</v>
      </c>
      <c r="G16" s="15">
        <v>122550.9</v>
      </c>
      <c r="H16" s="15">
        <f t="shared" si="2"/>
        <v>-63722.899999999994</v>
      </c>
      <c r="I16" s="16">
        <f t="shared" ref="I16:I31" si="5">IFERROR(H16/G16, "")</f>
        <v>-0.51997088556673188</v>
      </c>
      <c r="J16" s="40" t="s">
        <v>104</v>
      </c>
      <c r="K16" s="75" t="s">
        <v>105</v>
      </c>
    </row>
    <row r="17" spans="1:13" ht="15.6">
      <c r="A17" s="48" t="str">
        <v>Natick HS - Carports</v>
      </c>
      <c r="B17" s="31" t="str">
        <v>MA</v>
      </c>
      <c r="C17" s="11">
        <v>20164.900000000001</v>
      </c>
      <c r="D17" s="18">
        <v>49332.800000000003</v>
      </c>
      <c r="E17" s="18">
        <f t="shared" si="0"/>
        <v>-29167.9</v>
      </c>
      <c r="F17" s="19">
        <f t="shared" si="4"/>
        <v>-0.59124760808224952</v>
      </c>
      <c r="G17" s="20">
        <v>0</v>
      </c>
      <c r="H17" s="20">
        <f t="shared" si="2"/>
        <v>20164.900000000001</v>
      </c>
      <c r="I17" s="19" t="str">
        <f t="shared" si="5"/>
        <v/>
      </c>
      <c r="J17" s="41" t="s">
        <v>22</v>
      </c>
      <c r="K17" s="42"/>
    </row>
    <row r="18" spans="1:13" ht="27.75" customHeight="1">
      <c r="A18" s="47" t="str">
        <v>Norton</v>
      </c>
      <c r="B18" s="29" t="str">
        <v>MA</v>
      </c>
      <c r="C18" s="24">
        <v>0</v>
      </c>
      <c r="D18" s="13">
        <v>0</v>
      </c>
      <c r="E18" s="13">
        <f t="shared" si="0"/>
        <v>0</v>
      </c>
      <c r="F18" s="14" t="str">
        <f t="shared" si="4"/>
        <v/>
      </c>
      <c r="G18" s="15">
        <v>0</v>
      </c>
      <c r="H18" s="15">
        <f t="shared" ref="H18:H33" si="6">IF(AND(ISNUMBER(C18),ISNUMBER(G18)), C18-G18, "")</f>
        <v>0</v>
      </c>
      <c r="I18" s="16" t="str">
        <f t="shared" si="5"/>
        <v/>
      </c>
      <c r="J18" s="40" t="s">
        <v>46</v>
      </c>
      <c r="K18" s="75" t="s">
        <v>106</v>
      </c>
      <c r="L18" s="79" t="s">
        <v>48</v>
      </c>
    </row>
    <row r="19" spans="1:13" ht="15.6">
      <c r="A19" s="48" t="str">
        <v>Palmer - Boston Rd.</v>
      </c>
      <c r="B19" s="31" t="str">
        <v>MA</v>
      </c>
      <c r="C19" s="11">
        <v>44869.5</v>
      </c>
      <c r="D19" s="18">
        <v>50040.7</v>
      </c>
      <c r="E19" s="18">
        <f t="shared" si="0"/>
        <v>-5171.1999999999971</v>
      </c>
      <c r="F19" s="19">
        <f t="shared" si="4"/>
        <v>-0.10333988133659196</v>
      </c>
      <c r="G19" s="20">
        <v>62743</v>
      </c>
      <c r="H19" s="20">
        <f t="shared" si="6"/>
        <v>-17873.5</v>
      </c>
      <c r="I19" s="19">
        <f t="shared" si="5"/>
        <v>-0.28486843153817953</v>
      </c>
      <c r="J19" s="41" t="s">
        <v>22</v>
      </c>
      <c r="K19" s="42"/>
    </row>
    <row r="20" spans="1:13" ht="28.9">
      <c r="A20" s="49" t="str">
        <v>Shirley Bartkus</v>
      </c>
      <c r="B20" s="29" t="str">
        <v>MA</v>
      </c>
      <c r="C20" s="24">
        <v>47532.5</v>
      </c>
      <c r="D20" s="13">
        <v>102227.3</v>
      </c>
      <c r="E20" s="13">
        <f t="shared" si="0"/>
        <v>-54694.8</v>
      </c>
      <c r="F20" s="14">
        <f t="shared" si="4"/>
        <v>-0.53503124899121857</v>
      </c>
      <c r="G20" s="15">
        <v>77292</v>
      </c>
      <c r="H20" s="15">
        <f t="shared" si="6"/>
        <v>-29759.5</v>
      </c>
      <c r="I20" s="16">
        <f t="shared" si="5"/>
        <v>-0.38502691093515501</v>
      </c>
      <c r="J20" s="40" t="s">
        <v>107</v>
      </c>
      <c r="K20" s="75" t="s">
        <v>108</v>
      </c>
    </row>
    <row r="21" spans="1:13" ht="15.6">
      <c r="A21" s="48" t="str">
        <v>Stoughton</v>
      </c>
      <c r="B21" s="31" t="str">
        <v>MA</v>
      </c>
      <c r="C21" s="11">
        <v>40713.5</v>
      </c>
      <c r="D21" s="18">
        <v>44340.04</v>
      </c>
      <c r="E21" s="18">
        <f t="shared" si="0"/>
        <v>-3626.5400000000009</v>
      </c>
      <c r="F21" s="19">
        <f t="shared" si="4"/>
        <v>-8.1789281200468036E-2</v>
      </c>
      <c r="G21" s="20">
        <v>49251.51</v>
      </c>
      <c r="H21" s="20">
        <f t="shared" si="6"/>
        <v>-8538.010000000002</v>
      </c>
      <c r="I21" s="19">
        <f t="shared" si="5"/>
        <v>-0.17335529408133887</v>
      </c>
      <c r="J21" s="56" t="s">
        <v>22</v>
      </c>
      <c r="K21" s="55"/>
    </row>
    <row r="22" spans="1:13" ht="15.6">
      <c r="A22" s="49" t="str">
        <v>Wellfleet Landfill</v>
      </c>
      <c r="B22" s="29" t="str">
        <v>MA</v>
      </c>
      <c r="C22" s="24">
        <v>70649.399999999994</v>
      </c>
      <c r="D22" s="13">
        <v>63196.6</v>
      </c>
      <c r="E22" s="13">
        <f t="shared" si="0"/>
        <v>7452.7999999999956</v>
      </c>
      <c r="F22" s="14">
        <f t="shared" si="4"/>
        <v>0.11793039498960381</v>
      </c>
      <c r="G22" s="15">
        <v>0</v>
      </c>
      <c r="H22" s="15">
        <f t="shared" si="6"/>
        <v>70649.399999999994</v>
      </c>
      <c r="I22" s="16" t="str">
        <f t="shared" si="5"/>
        <v/>
      </c>
      <c r="J22" s="40"/>
      <c r="K22" s="40"/>
    </row>
    <row r="23" spans="1:13" ht="28.9">
      <c r="A23" s="48" t="str">
        <v>Wilmington Garage &amp; Building 7</v>
      </c>
      <c r="B23" s="31" t="str">
        <v>MA</v>
      </c>
      <c r="C23" s="11">
        <v>24053.5</v>
      </c>
      <c r="D23" s="18">
        <v>86845</v>
      </c>
      <c r="E23" s="18">
        <f t="shared" si="0"/>
        <v>-62791.5</v>
      </c>
      <c r="F23" s="19">
        <f t="shared" si="4"/>
        <v>-0.72302953537912373</v>
      </c>
      <c r="G23" s="20">
        <v>78334.27</v>
      </c>
      <c r="H23" s="20">
        <f t="shared" si="6"/>
        <v>-54280.770000000004</v>
      </c>
      <c r="I23" s="19">
        <f t="shared" si="5"/>
        <v>-0.69293771423414041</v>
      </c>
      <c r="J23" s="41" t="s">
        <v>109</v>
      </c>
      <c r="K23" s="74" t="s">
        <v>110</v>
      </c>
    </row>
    <row r="24" spans="1:13" ht="72">
      <c r="A24" s="49" t="str">
        <v>Woburn</v>
      </c>
      <c r="B24" s="29" t="str">
        <v>MA</v>
      </c>
      <c r="C24" s="24">
        <v>42553</v>
      </c>
      <c r="D24" s="13">
        <v>149835.20000000001</v>
      </c>
      <c r="E24" s="13">
        <f t="shared" si="0"/>
        <v>-107282.20000000001</v>
      </c>
      <c r="F24" s="14">
        <f t="shared" si="4"/>
        <v>-0.71600131344303608</v>
      </c>
      <c r="G24" s="15">
        <v>111577.8</v>
      </c>
      <c r="H24" s="15">
        <f t="shared" si="6"/>
        <v>-69024.800000000003</v>
      </c>
      <c r="I24" s="16">
        <f t="shared" si="5"/>
        <v>-0.61862485189706196</v>
      </c>
      <c r="J24" s="40" t="s">
        <v>111</v>
      </c>
      <c r="K24" s="75" t="s">
        <v>112</v>
      </c>
      <c r="L24" s="83" t="s">
        <v>113</v>
      </c>
    </row>
    <row r="25" spans="1:13" ht="28.9">
      <c r="A25" s="48" t="str">
        <v>Friendship Solar 1</v>
      </c>
      <c r="B25" s="31" t="str">
        <v>MD</v>
      </c>
      <c r="C25" s="11">
        <v>252166</v>
      </c>
      <c r="D25" s="18">
        <v>261838.7</v>
      </c>
      <c r="E25" s="18">
        <f t="shared" si="0"/>
        <v>-9672.7000000000116</v>
      </c>
      <c r="F25" s="19">
        <f t="shared" si="4"/>
        <v>-3.6941445248544279E-2</v>
      </c>
      <c r="G25" s="20">
        <v>309128.40000000002</v>
      </c>
      <c r="H25" s="20">
        <f t="shared" si="6"/>
        <v>-56962.400000000023</v>
      </c>
      <c r="I25" s="19">
        <f t="shared" si="5"/>
        <v>-0.18426776705084366</v>
      </c>
      <c r="J25" s="41" t="s">
        <v>114</v>
      </c>
      <c r="K25" s="74" t="s">
        <v>115</v>
      </c>
    </row>
    <row r="26" spans="1:13" ht="15.6">
      <c r="A26" s="49" t="str">
        <v>Friendship Solar 2</v>
      </c>
      <c r="B26" s="29" t="str">
        <v>MD</v>
      </c>
      <c r="C26" s="24">
        <v>251622</v>
      </c>
      <c r="D26" s="13">
        <v>269520.3</v>
      </c>
      <c r="E26" s="13">
        <f t="shared" si="0"/>
        <v>-17898.299999999988</v>
      </c>
      <c r="F26" s="14">
        <f t="shared" si="4"/>
        <v>-6.640798485308895E-2</v>
      </c>
      <c r="G26" s="15">
        <v>320858.40000000002</v>
      </c>
      <c r="H26" s="15">
        <f t="shared" si="6"/>
        <v>-69236.400000000023</v>
      </c>
      <c r="I26" s="16">
        <f t="shared" si="5"/>
        <v>-0.21578490698700742</v>
      </c>
      <c r="J26" s="40" t="s">
        <v>22</v>
      </c>
      <c r="K26" s="40"/>
    </row>
    <row r="27" spans="1:13" ht="100.9">
      <c r="A27" s="48" t="str">
        <v>101 Carnegie Center</v>
      </c>
      <c r="B27" s="31" t="str">
        <v>NJ</v>
      </c>
      <c r="C27" s="11">
        <v>100716.62</v>
      </c>
      <c r="D27" s="18">
        <v>116147.902</v>
      </c>
      <c r="E27" s="18">
        <f t="shared" si="0"/>
        <v>-15431.282000000007</v>
      </c>
      <c r="F27" s="19">
        <f t="shared" si="4"/>
        <v>-0.13285889572073378</v>
      </c>
      <c r="G27" s="20">
        <v>0</v>
      </c>
      <c r="H27" s="20">
        <f t="shared" si="6"/>
        <v>100716.62</v>
      </c>
      <c r="I27" s="19" t="str">
        <f t="shared" si="5"/>
        <v/>
      </c>
      <c r="J27" s="41" t="s">
        <v>116</v>
      </c>
      <c r="K27" s="74" t="s">
        <v>117</v>
      </c>
      <c r="L27" s="79" t="s">
        <v>118</v>
      </c>
      <c r="M27" s="79" t="s">
        <v>74</v>
      </c>
    </row>
    <row r="28" spans="1:13" ht="15.6">
      <c r="A28" s="49" t="str">
        <v>302 Carnegie Center</v>
      </c>
      <c r="B28" s="29" t="str">
        <v>NJ</v>
      </c>
      <c r="C28" s="24">
        <v>44694.589</v>
      </c>
      <c r="D28" s="13">
        <v>48280.5</v>
      </c>
      <c r="E28" s="13">
        <f t="shared" si="0"/>
        <v>-3585.9110000000001</v>
      </c>
      <c r="F28" s="14">
        <f t="shared" si="4"/>
        <v>-7.427244953966923E-2</v>
      </c>
      <c r="G28" s="15">
        <v>0</v>
      </c>
      <c r="H28" s="15">
        <f t="shared" si="6"/>
        <v>44694.589</v>
      </c>
      <c r="I28" s="16" t="str">
        <f t="shared" si="5"/>
        <v/>
      </c>
      <c r="J28" s="40"/>
      <c r="K28" s="40"/>
    </row>
    <row r="29" spans="1:13" ht="86.45">
      <c r="A29" s="48" t="str">
        <v>510 Carnegie Center</v>
      </c>
      <c r="B29" s="31" t="str">
        <v>NJ</v>
      </c>
      <c r="C29" s="11">
        <v>109429.522</v>
      </c>
      <c r="D29" s="18">
        <v>125043.8</v>
      </c>
      <c r="E29" s="18">
        <f t="shared" si="0"/>
        <v>-15614.278000000006</v>
      </c>
      <c r="F29" s="19">
        <f t="shared" si="4"/>
        <v>-0.12487046938752665</v>
      </c>
      <c r="G29" s="20">
        <v>0</v>
      </c>
      <c r="H29" s="20">
        <f t="shared" si="6"/>
        <v>109429.522</v>
      </c>
      <c r="I29" s="19" t="str">
        <f t="shared" si="5"/>
        <v/>
      </c>
      <c r="J29" s="56" t="s">
        <v>119</v>
      </c>
      <c r="K29" s="74" t="s">
        <v>76</v>
      </c>
    </row>
    <row r="30" spans="1:13" ht="43.15">
      <c r="A30" s="49" t="str">
        <v>701 Carnegie Center</v>
      </c>
      <c r="B30" s="29" t="str">
        <v>NJ</v>
      </c>
      <c r="C30" s="24">
        <v>85922.263000000006</v>
      </c>
      <c r="D30" s="13">
        <v>98223</v>
      </c>
      <c r="E30" s="13">
        <f t="shared" si="0"/>
        <v>-12300.736999999994</v>
      </c>
      <c r="F30" s="14">
        <f t="shared" si="4"/>
        <v>-0.12523275607546089</v>
      </c>
      <c r="G30" s="15">
        <v>0</v>
      </c>
      <c r="H30" s="15">
        <f t="shared" si="6"/>
        <v>85922.263000000006</v>
      </c>
      <c r="I30" s="16" t="str">
        <f t="shared" si="5"/>
        <v/>
      </c>
      <c r="J30" s="40" t="s">
        <v>120</v>
      </c>
      <c r="K30" s="75" t="s">
        <v>121</v>
      </c>
    </row>
    <row r="31" spans="1:13" ht="15.6">
      <c r="A31" s="48" t="str">
        <v>Hudson County Correction</v>
      </c>
      <c r="B31" s="31" t="str">
        <v>NJ</v>
      </c>
      <c r="C31" s="11">
        <v>112037.28900666699</v>
      </c>
      <c r="D31" s="18">
        <v>99361.98</v>
      </c>
      <c r="E31" s="18">
        <f t="shared" si="0"/>
        <v>12675.309006666997</v>
      </c>
      <c r="F31" s="19">
        <f t="shared" si="4"/>
        <v>0.1275669929953791</v>
      </c>
      <c r="G31" s="20">
        <v>104683.2</v>
      </c>
      <c r="H31" s="20">
        <f t="shared" si="6"/>
        <v>7354.0890066669963</v>
      </c>
      <c r="I31" s="19">
        <f t="shared" si="5"/>
        <v>7.0250899921544208E-2</v>
      </c>
      <c r="J31" s="41"/>
      <c r="K31" s="42"/>
    </row>
    <row r="32" spans="1:13" ht="15.6">
      <c r="A32" s="49" t="str">
        <v>ER Bison Solar</v>
      </c>
      <c r="B32" s="29" t="str">
        <v>PA</v>
      </c>
      <c r="C32" s="24">
        <v>123697</v>
      </c>
      <c r="D32" s="13">
        <v>0</v>
      </c>
      <c r="E32" s="13">
        <f t="shared" si="0"/>
        <v>123697</v>
      </c>
      <c r="F32" s="14" t="str">
        <f t="shared" si="4"/>
        <v/>
      </c>
      <c r="G32" s="15">
        <v>138798</v>
      </c>
      <c r="H32" s="15">
        <f t="shared" si="6"/>
        <v>-15101</v>
      </c>
      <c r="I32" s="16">
        <f t="shared" ref="I32:I38" si="7">IFERROR(H32/G32, "")</f>
        <v>-0.10879839767143619</v>
      </c>
      <c r="J32" s="40" t="s">
        <v>22</v>
      </c>
      <c r="K32" s="40"/>
    </row>
    <row r="33" spans="1:18" ht="15.6">
      <c r="A33" s="48" t="str">
        <v>Danville</v>
      </c>
      <c r="B33" s="31" t="str">
        <v>IL</v>
      </c>
      <c r="C33" s="11">
        <v>245073.86</v>
      </c>
      <c r="D33" s="18">
        <v>0</v>
      </c>
      <c r="E33" s="18">
        <f t="shared" si="0"/>
        <v>245073.86</v>
      </c>
      <c r="F33" s="19" t="str">
        <f t="shared" si="4"/>
        <v/>
      </c>
      <c r="G33" s="20">
        <v>0</v>
      </c>
      <c r="H33" s="20">
        <f t="shared" si="6"/>
        <v>245073.86</v>
      </c>
      <c r="I33" s="19" t="str">
        <f t="shared" si="7"/>
        <v/>
      </c>
      <c r="J33" s="41"/>
      <c r="K33" s="42"/>
    </row>
    <row r="34" spans="1:18" ht="158.44999999999999">
      <c r="A34" s="49" t="str">
        <v>Camden - Campbell Soup HQ</v>
      </c>
      <c r="B34" s="29" t="str">
        <v>NJ</v>
      </c>
      <c r="C34" s="24">
        <v>176271</v>
      </c>
      <c r="D34" s="13">
        <v>288404.21999999997</v>
      </c>
      <c r="E34" s="13">
        <f>IF(AND(ISNUMBER(C34),ISNUMBER(D34)), C34-D34, "")</f>
        <v>-112133.21999999997</v>
      </c>
      <c r="F34" s="14">
        <f>IFERROR(E34/D34, "")</f>
        <v>-0.38880575325839539</v>
      </c>
      <c r="G34" s="15">
        <v>330103.7</v>
      </c>
      <c r="H34" s="15">
        <f>IF(AND(ISNUMBER(C34),ISNUMBER(G34)), C34-G34, "")</f>
        <v>-153832.70000000001</v>
      </c>
      <c r="I34" s="16">
        <f t="shared" si="7"/>
        <v>-0.46601325583445447</v>
      </c>
      <c r="J34" s="40" t="s">
        <v>122</v>
      </c>
      <c r="K34" s="75" t="s">
        <v>123</v>
      </c>
      <c r="L34" s="79" t="s">
        <v>124</v>
      </c>
      <c r="M34" s="79" t="s">
        <v>86</v>
      </c>
      <c r="N34" s="79" t="s">
        <v>84</v>
      </c>
      <c r="O34" s="79" t="s">
        <v>125</v>
      </c>
      <c r="P34" s="79" t="s">
        <v>126</v>
      </c>
      <c r="Q34" s="79" t="s">
        <v>127</v>
      </c>
      <c r="R34" s="79" t="s">
        <v>128</v>
      </c>
    </row>
    <row r="35" spans="1:18" ht="43.15">
      <c r="A35" s="48" t="str">
        <v>Westport - Pine Hill</v>
      </c>
      <c r="B35" s="31" t="str">
        <v>MA</v>
      </c>
      <c r="C35" s="69">
        <v>149810.508599867</v>
      </c>
      <c r="D35" s="18">
        <v>177997.7</v>
      </c>
      <c r="E35" s="18">
        <f>IF(AND(ISNUMBER(C35),ISNUMBER(D35)), C35-D35, "")</f>
        <v>-28187.191400133015</v>
      </c>
      <c r="F35" s="70">
        <f>IFERROR(E35/D35, "")</f>
        <v>-0.15835705405256928</v>
      </c>
      <c r="G35" s="63">
        <v>422244.5</v>
      </c>
      <c r="H35" s="63">
        <f>IF(AND(ISNUMBER(C35),ISNUMBER(G35)), C35-G35, "")</f>
        <v>-272433.991400133</v>
      </c>
      <c r="I35" s="70">
        <f t="shared" si="7"/>
        <v>-0.64520435766512763</v>
      </c>
      <c r="J35" s="41" t="s">
        <v>129</v>
      </c>
      <c r="K35" s="74" t="s">
        <v>130</v>
      </c>
      <c r="L35" s="79" t="s">
        <v>131</v>
      </c>
    </row>
    <row r="36" spans="1:18" ht="15.6">
      <c r="A36" s="49" t="str">
        <v>Oaks Landfill - ANEM</v>
      </c>
      <c r="B36" s="29" t="str">
        <v>MD</v>
      </c>
      <c r="C36" s="65">
        <v>227626.1</v>
      </c>
      <c r="D36" s="13">
        <v>255454.2</v>
      </c>
      <c r="E36" s="13">
        <f>IF(AND(ISNUMBER(C36),ISNUMBER(D36)), C36-D36, "")</f>
        <v>-27828.100000000006</v>
      </c>
      <c r="F36" s="66">
        <f>IFERROR(E36/D36, "")</f>
        <v>-0.10893577009107701</v>
      </c>
      <c r="G36" s="67">
        <v>0</v>
      </c>
      <c r="H36" s="67">
        <f>IF(AND(ISNUMBER(C36),ISNUMBER(G36)), C36-G36, "")</f>
        <v>227626.1</v>
      </c>
      <c r="I36" s="80" t="str">
        <f t="shared" si="7"/>
        <v/>
      </c>
      <c r="J36" s="68" t="s">
        <v>22</v>
      </c>
      <c r="K36" s="68"/>
    </row>
    <row r="37" spans="1:18" ht="43.15">
      <c r="A37" s="48" t="str">
        <v>Oaks Landfill - CS2</v>
      </c>
      <c r="B37" s="31" t="str">
        <v>MD</v>
      </c>
      <c r="C37" s="69">
        <v>232986.3</v>
      </c>
      <c r="D37" s="18">
        <v>257135.7</v>
      </c>
      <c r="E37" s="18">
        <f>IF(AND(ISNUMBER(C37),ISNUMBER(D37)), C37-D37, "")</f>
        <v>-24149.400000000023</v>
      </c>
      <c r="F37" s="70">
        <f>IFERROR(E37/D37, "")</f>
        <v>-9.3916947355034808E-2</v>
      </c>
      <c r="G37" s="63">
        <v>0</v>
      </c>
      <c r="H37" s="63">
        <f>IF(AND(ISNUMBER(C37),ISNUMBER(G37)), C37-G37, "")</f>
        <v>232986.3</v>
      </c>
      <c r="I37" s="70" t="str">
        <f t="shared" si="7"/>
        <v/>
      </c>
      <c r="J37" s="41" t="s">
        <v>132</v>
      </c>
      <c r="K37" s="74" t="s">
        <v>133</v>
      </c>
    </row>
    <row r="38" spans="1:18" ht="15.6">
      <c r="A38" s="49" t="str">
        <v>Oaks Landfill - CS1</v>
      </c>
      <c r="B38" s="29" t="str">
        <v>MD</v>
      </c>
      <c r="C38" s="65">
        <v>231887.7</v>
      </c>
      <c r="D38" s="13">
        <v>262354.40000000002</v>
      </c>
      <c r="E38" s="13">
        <f>IF(AND(ISNUMBER(C38),ISNUMBER(D38)), C38-D38, "")</f>
        <v>-30466.700000000012</v>
      </c>
      <c r="F38" s="66">
        <f>IFERROR(E38/D38, "")</f>
        <v>-0.1161280313956999</v>
      </c>
      <c r="G38" s="67">
        <v>0</v>
      </c>
      <c r="H38" s="67">
        <f>IF(AND(ISNUMBER(C38),ISNUMBER(G38)), C38-G38, "")</f>
        <v>231887.7</v>
      </c>
      <c r="I38" s="80" t="str">
        <f t="shared" si="7"/>
        <v/>
      </c>
      <c r="J38" s="68" t="s">
        <v>22</v>
      </c>
      <c r="K38" s="68"/>
    </row>
    <row r="39" spans="1:18" ht="14.45">
      <c r="A39" s="21" t="str">
        <v>Plympton - Upland Solar - PV &amp; BESS (IRA)</v>
      </c>
      <c r="B39" s="33" t="str">
        <v>MA</v>
      </c>
      <c r="C39" s="21"/>
      <c r="D39" s="21"/>
      <c r="E39" s="21"/>
      <c r="F39" s="22"/>
      <c r="G39" s="21"/>
      <c r="H39" s="21"/>
      <c r="I39" s="22"/>
      <c r="J39" s="21"/>
      <c r="K39" s="21"/>
    </row>
    <row r="40" spans="1:18" ht="14.45">
      <c r="A40" s="21" t="str">
        <v>MA: Plymouth - Black Cat Solar - PV &amp; BESS (IRA)</v>
      </c>
      <c r="B40" s="33" t="str">
        <v>MA</v>
      </c>
      <c r="C40" s="21"/>
      <c r="D40" s="21"/>
      <c r="E40" s="21"/>
      <c r="F40" s="22"/>
      <c r="G40" s="21"/>
      <c r="H40" s="21"/>
      <c r="I40" s="22"/>
      <c r="J40" s="21"/>
      <c r="K40" s="21"/>
    </row>
    <row r="41" spans="1:18" ht="14.45">
      <c r="A41" s="21"/>
      <c r="B41" s="33"/>
      <c r="C41" s="21"/>
      <c r="D41" s="21"/>
      <c r="E41" s="21"/>
      <c r="F41" s="22"/>
      <c r="G41" s="21"/>
      <c r="H41" s="21"/>
      <c r="I41" s="22"/>
      <c r="J41" s="21"/>
      <c r="K41" s="21"/>
    </row>
    <row r="42" spans="1:18" ht="14.45">
      <c r="A42" s="21"/>
      <c r="B42" s="33"/>
      <c r="C42" s="21"/>
      <c r="D42" s="21"/>
      <c r="E42" s="21"/>
      <c r="F42" s="22"/>
      <c r="G42" s="21"/>
      <c r="H42" s="21"/>
      <c r="I42" s="22"/>
      <c r="J42" s="21"/>
      <c r="K42" s="21"/>
    </row>
    <row r="43" spans="1:18" ht="14.45">
      <c r="A43" s="21"/>
      <c r="B43" s="33"/>
      <c r="C43" s="21"/>
      <c r="D43" s="21"/>
      <c r="E43" s="21"/>
      <c r="F43" s="22"/>
      <c r="G43" s="21"/>
      <c r="H43" s="21"/>
      <c r="I43" s="22"/>
      <c r="J43" s="21"/>
      <c r="K43" s="21"/>
    </row>
    <row r="44" spans="1:18" ht="14.45">
      <c r="A44" s="21"/>
      <c r="B44" s="33"/>
      <c r="C44" s="21"/>
      <c r="D44" s="21"/>
      <c r="E44" s="21"/>
      <c r="F44" s="22"/>
      <c r="G44" s="21"/>
      <c r="H44" s="21"/>
      <c r="I44" s="22"/>
      <c r="J44" s="21"/>
      <c r="K44" s="21"/>
    </row>
    <row r="45" spans="1:18" ht="14.45">
      <c r="A45" s="21"/>
      <c r="B45" s="33"/>
      <c r="C45" s="21"/>
      <c r="D45" s="21"/>
      <c r="E45" s="21"/>
      <c r="F45" s="22"/>
      <c r="G45" s="21"/>
      <c r="H45" s="21"/>
      <c r="I45" s="22"/>
      <c r="J45" s="21"/>
      <c r="K45" s="21"/>
    </row>
    <row r="46" spans="1:18" ht="14.45">
      <c r="A46" s="21"/>
      <c r="B46" s="33"/>
      <c r="C46" s="21"/>
      <c r="D46" s="21"/>
      <c r="E46" s="21"/>
      <c r="F46" s="22"/>
      <c r="G46" s="21"/>
      <c r="H46" s="21"/>
      <c r="I46" s="22"/>
      <c r="J46" s="21"/>
      <c r="K46" s="21"/>
    </row>
    <row r="47" spans="1:18" ht="14.45">
      <c r="A47" s="21"/>
      <c r="B47" s="33"/>
      <c r="C47" s="21"/>
      <c r="D47" s="21"/>
      <c r="E47" s="21"/>
      <c r="F47" s="22"/>
      <c r="G47" s="21"/>
      <c r="H47" s="21"/>
      <c r="I47" s="22"/>
      <c r="J47" s="21"/>
      <c r="K47" s="21"/>
    </row>
    <row r="48" spans="1:18"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F4:F100 I4:I100">
    <cfRule type="cellIs" dxfId="43" priority="1" stopIfTrue="1" operator="lessThanOrEqual">
      <formula>-0.1</formula>
    </cfRule>
    <cfRule type="expression" dxfId="42" priority="2">
      <formula>AND(ISNUMBER(F2), F2&gt;=0.1)</formula>
    </cfRule>
  </conditionalFormatting>
  <hyperlinks>
    <hyperlink ref="K7" r:id="rId1" display="https://us3.assetplanner.com/service_request?ID=095312" xr:uid="{E0560ED5-4518-44A2-898E-A1C59702489B}"/>
    <hyperlink ref="K8" r:id="rId2" display="https://us3.assetplanner.com/service_request?ID=089997" xr:uid="{3A878D55-F7C7-4C2B-AEC5-67DB41A87B13}"/>
    <hyperlink ref="K9" r:id="rId3" display="https://us3.assetplanner.com/service_request?ID=089170" xr:uid="{70DED271-087B-4B71-9F45-BB954FE3EF2D}"/>
    <hyperlink ref="L9" r:id="rId4" display="https://us3.assetplanner.com/service_request?ID=095220" xr:uid="{B91A8E59-2869-436A-8A68-678284BACF3B}"/>
    <hyperlink ref="K10" r:id="rId5" display="https://us3.assetplanner.com/service_request?ID=089564" xr:uid="{8C5DB2FD-D01E-4418-8B9D-EAF9FC2D9F6A}"/>
    <hyperlink ref="L10" r:id="rId6" display="https://us3.assetplanner.com/service_request?ID=093404" xr:uid="{9EF059E9-A44A-4E38-9B55-E1DA0C3C3450}"/>
    <hyperlink ref="K14" r:id="rId7" display="https://us3.assetplanner.com/service_request?ID=096199" xr:uid="{3CFE5C8D-D983-479B-B784-2A6179E5AA21}"/>
    <hyperlink ref="L14" r:id="rId8" display="https://us3.assetplanner.com/service_request?ID=093500" xr:uid="{CF750A34-11F4-492B-89A1-83C987E44772}"/>
    <hyperlink ref="K15" r:id="rId9" display="https://us3.assetplanner.com/service_request?ID=096206" xr:uid="{57893A00-FC3F-41AA-B8D5-03A814BAEC45}"/>
    <hyperlink ref="K16" r:id="rId10" display="https://us3.assetplanner.com/service_request?ID=096522" xr:uid="{BD6E4EC0-861A-410C-8F19-00860A4AB48F}"/>
    <hyperlink ref="K18" r:id="rId11" display="https://us3.assetplanner.com/service_request?ID=096031" xr:uid="{9947C0FA-7E76-4B09-89C6-A80C446BA6A0}"/>
    <hyperlink ref="L18" r:id="rId12" display="https://us3.assetplanner.com/service_request?ID=093403" xr:uid="{D6B89374-8082-445E-8458-C53AFF37F4B6}"/>
    <hyperlink ref="K20" r:id="rId13" display="https://us3.assetplanner.com/service_request?ID=089983" xr:uid="{51ABCBA7-4C69-4CAA-AC08-39AC821270D0}"/>
    <hyperlink ref="K23" r:id="rId14" display="https://us3.assetplanner.com/service_request?ID=094678" xr:uid="{9A08AFFB-AC89-4C70-9C0C-AE75671C34BA}"/>
    <hyperlink ref="K24" r:id="rId15" display="https://us3.assetplanner.com/service_request?ID=095518" xr:uid="{B2E8231F-B7A8-4C91-B7E0-C46E3721B97A}"/>
    <hyperlink ref="L24" r:id="rId16" display="https://us3.assetplanner.com/service_request?ID=097183" xr:uid="{42FF7695-66DD-44C2-8FCC-67B7315F9391}"/>
    <hyperlink ref="K25" r:id="rId17" display="https://us3.assetplanner.com/service_request?ID=097175" xr:uid="{DA8A6B87-1F43-4C7F-81F8-5A934EEAD7CC}"/>
    <hyperlink ref="K27" r:id="rId18" display="https://us3.assetplanner.com/service_request?ID=095495" xr:uid="{699C54BC-48E6-4406-97FF-DBE79FD02AE8}"/>
    <hyperlink ref="L27" r:id="rId19" display="https://us3.assetplanner.com/service_request?ID=095573" xr:uid="{48CD44E5-DA77-4A87-8CC8-F9F692C6D3DC}"/>
    <hyperlink ref="M27" r:id="rId20" display="https://us3.assetplanner.com/service_request?ID=095674" xr:uid="{0580C4AF-0A74-48A3-B72E-C6C282B38427}"/>
    <hyperlink ref="K29" r:id="rId21" display="https://us3.assetplanner.com/service_request?ID=095494" xr:uid="{1B9A0CF3-B81E-433E-97A4-6AC19E97C823}"/>
    <hyperlink ref="K30" r:id="rId22" display="https://us3.assetplanner.com/service_request?ID=097872" xr:uid="{81E5D564-19E6-4CE5-B66D-2A856FFB5A45}"/>
    <hyperlink ref="K34" r:id="rId23" display="https://us3.assetplanner.com/service_request?ID=093773" xr:uid="{828626C7-A5C1-4F1A-AD9D-AFE89001CA72}"/>
    <hyperlink ref="L34" r:id="rId24" display="https://us3.assetplanner.com/service_request?ID=094890" xr:uid="{98F3E6BC-5154-4278-AFCF-9B3C14C5266F}"/>
    <hyperlink ref="M34" r:id="rId25" display="https://us3.assetplanner.com/service_request?ID=095199" xr:uid="{57469786-0BBE-4A51-B464-ED61F0D9D453}"/>
    <hyperlink ref="N34" r:id="rId26" display="https://us3.assetplanner.com/service_request?ID=095761" xr:uid="{0CEE18C1-EB81-4EEC-B4FC-4F764C993921}"/>
    <hyperlink ref="O34" r:id="rId27" display="https://us3.assetplanner.com/service_request?ID=096555" xr:uid="{26112CF1-7D47-49CB-983D-BC5DE80A6ADE}"/>
    <hyperlink ref="P34" r:id="rId28" display="https://us3.assetplanner.com/service_request?ID=096557" xr:uid="{9271E435-1C7B-4885-ABED-C44E6C7DA428}"/>
    <hyperlink ref="Q34" r:id="rId29" display="https://us3.assetplanner.com/service_request?ID=096558" xr:uid="{3BE9689E-9733-4C5A-B41E-1851F210BA40}"/>
    <hyperlink ref="R34" r:id="rId30" display="https://us3.assetplanner.com/service_request?ID=097964" xr:uid="{9BFEBA40-1601-4908-8153-B0C603462A4A}"/>
    <hyperlink ref="K35" r:id="rId31" display="https://us3.assetplanner.com/service_request?ID=097196" xr:uid="{C54580EF-7D2B-4818-B0E5-B00DB7C39B87}"/>
    <hyperlink ref="L35" r:id="rId32" display="https://us3.assetplanner.com/service_request?ID=097608" xr:uid="{912EB012-4586-415F-8851-5C9777D1DD66}"/>
    <hyperlink ref="K37" r:id="rId33" display="https://us3.assetplanner.com/service_request?ID=096221" xr:uid="{09F44825-4AFE-4859-B92C-6ED0FEA15574}"/>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42"/>
  <sheetViews>
    <sheetView zoomScale="70" zoomScaleNormal="70" workbookViewId="0">
      <pane xSplit="2" ySplit="3" topLeftCell="C23" activePane="bottomRight" state="frozen"/>
      <selection pane="bottomRight" activeCell="Q23" sqref="Q23"/>
      <selection pane="bottomLeft" activeCell="F38" sqref="F38"/>
      <selection pane="topRight" activeCell="F38" sqref="F38"/>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0.140625" bestFit="1" customWidth="1"/>
  </cols>
  <sheetData>
    <row r="1" spans="1:14" ht="19.5" customHeight="1">
      <c r="A1" s="117" t="str" cm="1">
        <f t="array" ref="A1">portfolio</f>
        <v>Greenbacker Capital</v>
      </c>
      <c r="B1" s="117"/>
      <c r="C1" s="117"/>
      <c r="D1" s="118" t="s">
        <v>134</v>
      </c>
      <c r="E1" s="118"/>
      <c r="F1" s="118"/>
      <c r="G1" s="116" t="s">
        <v>135</v>
      </c>
      <c r="H1" s="116"/>
      <c r="I1" s="116"/>
      <c r="J1" s="4"/>
      <c r="K1" s="4"/>
    </row>
    <row r="2" spans="1:14" ht="19.5" customHeight="1">
      <c r="A2" s="119" t="s">
        <v>2</v>
      </c>
      <c r="B2" s="119"/>
      <c r="C2" s="5">
        <f>SUM(C4:C100)</f>
        <v>5699417.2968085995</v>
      </c>
      <c r="D2" s="5">
        <f>SUM(D4:D100)</f>
        <v>5438941.7810000014</v>
      </c>
      <c r="E2" s="5">
        <f>C2-D2</f>
        <v>260475.51580859814</v>
      </c>
      <c r="F2" s="6">
        <f>IFERROR(E2/D2, 0)</f>
        <v>4.789084463424928E-2</v>
      </c>
      <c r="G2" s="5">
        <f>SUM(G4:G100)</f>
        <v>3579098.96</v>
      </c>
      <c r="H2" s="7">
        <f>C2-G2</f>
        <v>2120318.3368085995</v>
      </c>
      <c r="I2" s="6">
        <f>IFERROR(H2/G2, 0)</f>
        <v>0.59241679554135596</v>
      </c>
      <c r="J2" s="26"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23" t="s">
        <v>5</v>
      </c>
      <c r="D3" s="35" t="s">
        <v>6</v>
      </c>
      <c r="E3" s="35" t="s">
        <v>7</v>
      </c>
      <c r="F3" s="36" t="s">
        <v>8</v>
      </c>
      <c r="G3" s="37" t="s">
        <v>9</v>
      </c>
      <c r="H3" s="38" t="s">
        <v>7</v>
      </c>
      <c r="I3" s="39" t="s">
        <v>8</v>
      </c>
      <c r="J3" s="25" t="s">
        <v>20</v>
      </c>
      <c r="K3" s="25" t="s">
        <v>21</v>
      </c>
    </row>
    <row r="4" spans="1:14" ht="15.6">
      <c r="A4" s="32" t="str" cm="1">
        <f t="array" ref="A4:A40">Sites[Site]</f>
        <v>10 Walpole Park South</v>
      </c>
      <c r="B4" s="29" t="str" cm="1">
        <f t="array" ref="B4:B40">Sites[State]</f>
        <v>MA</v>
      </c>
      <c r="C4" s="24">
        <v>15881.3125</v>
      </c>
      <c r="D4" s="13">
        <v>13711.22</v>
      </c>
      <c r="E4" s="13">
        <f>IF(AND(ISNUMBER(C4),ISNUMBER(D4)), C4-D4, "")</f>
        <v>2170.0925000000007</v>
      </c>
      <c r="F4" s="14">
        <f>IFERROR(E4/D4, "")</f>
        <v>0.15827129168666251</v>
      </c>
      <c r="G4" s="15">
        <v>14665.34</v>
      </c>
      <c r="H4" s="15">
        <f>IF(AND(ISNUMBER(C4),ISNUMBER(G4)), C4-G4, "")</f>
        <v>1215.9724999999999</v>
      </c>
      <c r="I4" s="16">
        <f>IFERROR(H4/G4, "")</f>
        <v>8.2914715922031118E-2</v>
      </c>
      <c r="J4" s="40"/>
      <c r="K4" s="59"/>
    </row>
    <row r="5" spans="1:14" ht="15.6">
      <c r="A5" s="30" t="str">
        <v>15 Walpole Park South</v>
      </c>
      <c r="B5" s="31" t="str">
        <v>MA</v>
      </c>
      <c r="C5" s="11">
        <v>55602.249999999498</v>
      </c>
      <c r="D5" s="18">
        <v>52420.93</v>
      </c>
      <c r="E5" s="18">
        <f t="shared" ref="E5:E33" si="0">IF(AND(ISNUMBER(C5),ISNUMBER(D5)), C5-D5, "")</f>
        <v>3181.3199999994977</v>
      </c>
      <c r="F5" s="19">
        <f>IFERROR(E5/D5, "")</f>
        <v>6.0687973296152845E-2</v>
      </c>
      <c r="G5" s="20">
        <v>51284.97</v>
      </c>
      <c r="H5" s="20">
        <f t="shared" ref="H5:H33" si="1">IF(AND(ISNUMBER(C5),ISNUMBER(G5)), C5-G5, "")</f>
        <v>4317.2799999994968</v>
      </c>
      <c r="I5" s="19">
        <f t="shared" ref="I5:I33" si="2">IFERROR(H5/G5, "")</f>
        <v>8.418216877185454E-2</v>
      </c>
      <c r="J5" s="41" t="s">
        <v>136</v>
      </c>
      <c r="K5" s="86" t="s">
        <v>137</v>
      </c>
    </row>
    <row r="6" spans="1:14" ht="15.6">
      <c r="A6" s="28" t="str">
        <v>19 Walpole Park South</v>
      </c>
      <c r="B6" s="29" t="str">
        <v>MA</v>
      </c>
      <c r="C6" s="24">
        <v>34560.875</v>
      </c>
      <c r="D6" s="13">
        <v>32112.47</v>
      </c>
      <c r="E6" s="13">
        <f t="shared" si="0"/>
        <v>2448.4049999999988</v>
      </c>
      <c r="F6" s="14">
        <f t="shared" ref="F6:F33" si="3">IFERROR(E6/D6, "")</f>
        <v>7.6244680026170478E-2</v>
      </c>
      <c r="G6" s="15">
        <v>32649.65</v>
      </c>
      <c r="H6" s="15">
        <f t="shared" si="1"/>
        <v>1911.2249999999985</v>
      </c>
      <c r="I6" s="16">
        <f t="shared" si="2"/>
        <v>5.8537380952016285E-2</v>
      </c>
      <c r="J6" s="40"/>
      <c r="K6" s="59"/>
    </row>
    <row r="7" spans="1:14" ht="15.6">
      <c r="A7" s="30" t="str">
        <v>23 Walpole Park South</v>
      </c>
      <c r="B7" s="31" t="str">
        <v>MA</v>
      </c>
      <c r="C7" s="11">
        <v>42986.25</v>
      </c>
      <c r="D7" s="18">
        <v>41135.599999999999</v>
      </c>
      <c r="E7" s="18">
        <f t="shared" si="0"/>
        <v>1850.6500000000015</v>
      </c>
      <c r="F7" s="19">
        <f t="shared" si="3"/>
        <v>4.4989011950719124E-2</v>
      </c>
      <c r="G7" s="20">
        <v>42820.09</v>
      </c>
      <c r="H7" s="20">
        <f t="shared" si="1"/>
        <v>166.16000000000349</v>
      </c>
      <c r="I7" s="19">
        <f t="shared" si="2"/>
        <v>3.880421549791313E-3</v>
      </c>
      <c r="J7" s="41" t="s">
        <v>138</v>
      </c>
      <c r="K7" s="86" t="s">
        <v>24</v>
      </c>
    </row>
    <row r="8" spans="1:14" ht="15.6">
      <c r="A8" s="28" t="str">
        <v>24 Walpole Park South</v>
      </c>
      <c r="B8" s="29" t="str">
        <v>MA</v>
      </c>
      <c r="C8" s="24">
        <v>69935.749999999098</v>
      </c>
      <c r="D8" s="13">
        <v>56960.42</v>
      </c>
      <c r="E8" s="13">
        <f t="shared" si="0"/>
        <v>12975.3299999991</v>
      </c>
      <c r="F8" s="14">
        <f t="shared" si="3"/>
        <v>0.22779554645136219</v>
      </c>
      <c r="G8" s="15">
        <v>65930.880000000005</v>
      </c>
      <c r="H8" s="15">
        <f t="shared" si="1"/>
        <v>4004.8699999990931</v>
      </c>
      <c r="I8" s="16">
        <f t="shared" si="2"/>
        <v>6.0743463457473841E-2</v>
      </c>
      <c r="J8" s="40"/>
      <c r="K8" s="59"/>
    </row>
    <row r="9" spans="1:14" ht="28.9">
      <c r="A9" s="30" t="str">
        <v>25 Walpole Park South</v>
      </c>
      <c r="B9" s="31" t="str">
        <v>MA</v>
      </c>
      <c r="C9" s="11">
        <v>65028.562801932901</v>
      </c>
      <c r="D9" s="18">
        <v>63346.3</v>
      </c>
      <c r="E9" s="18">
        <f t="shared" si="0"/>
        <v>1682.2628019328986</v>
      </c>
      <c r="F9" s="19">
        <f t="shared" si="3"/>
        <v>2.6556607125165929E-2</v>
      </c>
      <c r="G9" s="20">
        <v>66893.02</v>
      </c>
      <c r="H9" s="20">
        <f t="shared" si="1"/>
        <v>-1864.4571980671026</v>
      </c>
      <c r="I9" s="19">
        <f t="shared" si="2"/>
        <v>-2.7872223410859646E-2</v>
      </c>
      <c r="J9" s="41" t="s">
        <v>29</v>
      </c>
      <c r="K9" s="86" t="s">
        <v>139</v>
      </c>
      <c r="L9" s="79" t="s">
        <v>140</v>
      </c>
    </row>
    <row r="10" spans="1:14" ht="28.9">
      <c r="A10" s="28" t="str">
        <v>3 Walpole Park South</v>
      </c>
      <c r="B10" s="29" t="str">
        <v>MA</v>
      </c>
      <c r="C10" s="24">
        <v>81146.5</v>
      </c>
      <c r="D10" s="13">
        <v>79301.39</v>
      </c>
      <c r="E10" s="13">
        <f t="shared" si="0"/>
        <v>1845.1100000000006</v>
      </c>
      <c r="F10" s="14">
        <f t="shared" si="3"/>
        <v>2.3267057487895239E-2</v>
      </c>
      <c r="G10" s="15">
        <v>78331.8</v>
      </c>
      <c r="H10" s="15">
        <f t="shared" si="1"/>
        <v>2814.6999999999971</v>
      </c>
      <c r="I10" s="16">
        <f t="shared" si="2"/>
        <v>3.5933043795750859E-2</v>
      </c>
      <c r="J10" s="40" t="s">
        <v>141</v>
      </c>
      <c r="K10" s="87" t="s">
        <v>98</v>
      </c>
      <c r="L10" s="79" t="s">
        <v>34</v>
      </c>
    </row>
    <row r="11" spans="1:14" ht="15.6">
      <c r="A11" s="30" t="str">
        <v>4 Walpole Park South</v>
      </c>
      <c r="B11" s="31" t="str">
        <v>MA</v>
      </c>
      <c r="C11" s="11">
        <v>48608</v>
      </c>
      <c r="D11" s="18">
        <v>45312.79</v>
      </c>
      <c r="E11" s="18">
        <f t="shared" si="0"/>
        <v>3295.2099999999991</v>
      </c>
      <c r="F11" s="19">
        <f t="shared" si="3"/>
        <v>7.2721410445042101E-2</v>
      </c>
      <c r="G11" s="20">
        <v>44443.09</v>
      </c>
      <c r="H11" s="20">
        <f t="shared" si="1"/>
        <v>4164.9100000000035</v>
      </c>
      <c r="I11" s="19">
        <f t="shared" si="2"/>
        <v>9.3713330913759676E-2</v>
      </c>
      <c r="J11" s="41"/>
      <c r="K11" s="84"/>
    </row>
    <row r="12" spans="1:14" ht="144">
      <c r="A12" s="28" t="str">
        <v>Brockton</v>
      </c>
      <c r="B12" s="29" t="str">
        <v>MA</v>
      </c>
      <c r="C12" s="24">
        <v>74050</v>
      </c>
      <c r="D12" s="13">
        <v>64781.95</v>
      </c>
      <c r="E12" s="13">
        <f t="shared" si="0"/>
        <v>9268.0500000000029</v>
      </c>
      <c r="F12" s="14">
        <f t="shared" si="3"/>
        <v>0.14306531371778719</v>
      </c>
      <c r="G12" s="15">
        <v>72718.59</v>
      </c>
      <c r="H12" s="15">
        <f t="shared" si="1"/>
        <v>1331.4100000000035</v>
      </c>
      <c r="I12" s="16">
        <f t="shared" si="2"/>
        <v>1.8309073374497546E-2</v>
      </c>
      <c r="J12" s="40" t="s">
        <v>142</v>
      </c>
      <c r="K12" s="87" t="s">
        <v>143</v>
      </c>
      <c r="L12" s="79" t="s">
        <v>144</v>
      </c>
      <c r="M12" s="79" t="s">
        <v>145</v>
      </c>
      <c r="N12" s="79" t="s">
        <v>146</v>
      </c>
    </row>
    <row r="13" spans="1:14" ht="44.25" customHeight="1">
      <c r="A13" s="30" t="str">
        <v>Canton</v>
      </c>
      <c r="B13" s="31" t="str">
        <v>MA</v>
      </c>
      <c r="C13" s="11">
        <v>74662.75</v>
      </c>
      <c r="D13" s="18">
        <v>71127.05</v>
      </c>
      <c r="E13" s="18">
        <f t="shared" si="0"/>
        <v>3535.6999999999971</v>
      </c>
      <c r="F13" s="19">
        <f t="shared" si="3"/>
        <v>4.9709639300378645E-2</v>
      </c>
      <c r="G13" s="20">
        <v>68863.199999999997</v>
      </c>
      <c r="H13" s="20">
        <f t="shared" si="1"/>
        <v>5799.5500000000029</v>
      </c>
      <c r="I13" s="19">
        <f t="shared" si="2"/>
        <v>8.4218421450063363E-2</v>
      </c>
      <c r="J13" s="41" t="s">
        <v>147</v>
      </c>
      <c r="K13" s="74" t="s">
        <v>148</v>
      </c>
    </row>
    <row r="14" spans="1:14" ht="28.9">
      <c r="A14" s="28" t="str">
        <v>Chelsea</v>
      </c>
      <c r="B14" s="29" t="str">
        <v>MA</v>
      </c>
      <c r="C14" s="24">
        <v>127374</v>
      </c>
      <c r="D14" s="13">
        <v>120696.5</v>
      </c>
      <c r="E14" s="13">
        <f>IF(AND(ISNUMBER(C14),ISNUMBER(D14)), C14-D14, "")</f>
        <v>6677.5</v>
      </c>
      <c r="F14" s="14">
        <f>IFERROR(E14/D14, "")</f>
        <v>5.5324719440911711E-2</v>
      </c>
      <c r="G14" s="15">
        <v>115863.3</v>
      </c>
      <c r="H14" s="15">
        <f>IF(AND(ISNUMBER(C14),ISNUMBER(G14)), C14-G14, "")</f>
        <v>11510.699999999997</v>
      </c>
      <c r="I14" s="16">
        <f>IFERROR(H14/G14, "")</f>
        <v>9.9347248006918465E-2</v>
      </c>
      <c r="J14" s="40" t="s">
        <v>149</v>
      </c>
      <c r="K14" s="87" t="s">
        <v>150</v>
      </c>
    </row>
    <row r="15" spans="1:14" ht="15.6">
      <c r="A15" s="30" t="str">
        <v>Hamilton Landfill</v>
      </c>
      <c r="B15" s="31" t="str">
        <v>MA</v>
      </c>
      <c r="C15" s="11">
        <v>100039</v>
      </c>
      <c r="D15" s="18">
        <v>106573.1</v>
      </c>
      <c r="E15" s="18">
        <f t="shared" si="0"/>
        <v>-6534.1000000000058</v>
      </c>
      <c r="F15" s="19">
        <f t="shared" si="3"/>
        <v>-6.1310968715370062E-2</v>
      </c>
      <c r="G15" s="20">
        <v>0</v>
      </c>
      <c r="H15" s="20">
        <f t="shared" si="1"/>
        <v>100039</v>
      </c>
      <c r="I15" s="19" t="str">
        <f t="shared" si="2"/>
        <v/>
      </c>
      <c r="J15" s="41"/>
      <c r="K15" s="84"/>
    </row>
    <row r="16" spans="1:14" ht="86.45">
      <c r="A16" s="28" t="str">
        <v>Holliston</v>
      </c>
      <c r="B16" s="29" t="str">
        <v>MA</v>
      </c>
      <c r="C16" s="24">
        <v>190892</v>
      </c>
      <c r="D16" s="13">
        <v>179461.6</v>
      </c>
      <c r="E16" s="13">
        <f t="shared" si="0"/>
        <v>11430.399999999994</v>
      </c>
      <c r="F16" s="14">
        <f t="shared" si="3"/>
        <v>6.3692734267386419E-2</v>
      </c>
      <c r="G16" s="15">
        <v>185164.4</v>
      </c>
      <c r="H16" s="15">
        <f t="shared" si="1"/>
        <v>5727.6000000000058</v>
      </c>
      <c r="I16" s="16">
        <f t="shared" si="2"/>
        <v>3.0932511865131775E-2</v>
      </c>
      <c r="J16" s="59" t="s">
        <v>151</v>
      </c>
      <c r="K16" s="87" t="s">
        <v>152</v>
      </c>
      <c r="L16" s="79" t="s">
        <v>153</v>
      </c>
      <c r="M16" s="79" t="s">
        <v>154</v>
      </c>
    </row>
    <row r="17" spans="1:15" ht="21.75" customHeight="1">
      <c r="A17" s="30" t="str">
        <v>Natick HS - Carports</v>
      </c>
      <c r="B17" s="31" t="str">
        <v>MA</v>
      </c>
      <c r="C17" s="11">
        <v>62036.5</v>
      </c>
      <c r="D17" s="18">
        <v>71227.899999999994</v>
      </c>
      <c r="E17" s="18">
        <f t="shared" si="0"/>
        <v>-9191.3999999999942</v>
      </c>
      <c r="F17" s="19">
        <f t="shared" si="3"/>
        <v>-0.12904213096272663</v>
      </c>
      <c r="G17" s="20">
        <v>0</v>
      </c>
      <c r="H17" s="20">
        <f t="shared" si="1"/>
        <v>62036.5</v>
      </c>
      <c r="I17" s="19" t="str">
        <f t="shared" si="2"/>
        <v/>
      </c>
      <c r="J17" s="41" t="s">
        <v>155</v>
      </c>
      <c r="K17" s="84"/>
    </row>
    <row r="18" spans="1:15" ht="52.9">
      <c r="A18" s="32" t="str">
        <v>Norton</v>
      </c>
      <c r="B18" s="29" t="str">
        <v>MA</v>
      </c>
      <c r="C18" s="24">
        <v>0</v>
      </c>
      <c r="D18" s="13">
        <v>0</v>
      </c>
      <c r="E18" s="13">
        <f t="shared" si="0"/>
        <v>0</v>
      </c>
      <c r="F18" s="14" t="str">
        <f t="shared" si="3"/>
        <v/>
      </c>
      <c r="G18" s="15">
        <v>0</v>
      </c>
      <c r="H18" s="15">
        <f t="shared" si="1"/>
        <v>0</v>
      </c>
      <c r="I18" s="16" t="str">
        <f t="shared" si="2"/>
        <v/>
      </c>
      <c r="J18" s="40" t="s">
        <v>46</v>
      </c>
      <c r="K18" s="87" t="s">
        <v>156</v>
      </c>
      <c r="L18" s="79" t="s">
        <v>48</v>
      </c>
      <c r="M18" s="79" t="s">
        <v>157</v>
      </c>
      <c r="N18" s="79" t="s">
        <v>158</v>
      </c>
      <c r="O18" s="79" t="s">
        <v>159</v>
      </c>
    </row>
    <row r="19" spans="1:15" ht="43.15">
      <c r="A19" s="30" t="str">
        <v>Palmer - Boston Rd.</v>
      </c>
      <c r="B19" s="31" t="str">
        <v>MA</v>
      </c>
      <c r="C19" s="11">
        <v>63894.5</v>
      </c>
      <c r="D19" s="18">
        <v>64442.6</v>
      </c>
      <c r="E19" s="18">
        <f t="shared" si="0"/>
        <v>-548.09999999999854</v>
      </c>
      <c r="F19" s="19">
        <f t="shared" si="3"/>
        <v>-8.5052434259325124E-3</v>
      </c>
      <c r="G19" s="20">
        <v>69178</v>
      </c>
      <c r="H19" s="20">
        <f t="shared" si="1"/>
        <v>-5283.5</v>
      </c>
      <c r="I19" s="19">
        <f t="shared" si="2"/>
        <v>-7.637543727774726E-2</v>
      </c>
      <c r="J19" s="41" t="s">
        <v>160</v>
      </c>
      <c r="K19" s="74" t="s">
        <v>161</v>
      </c>
    </row>
    <row r="20" spans="1:15" ht="23.25" customHeight="1">
      <c r="A20" s="28" t="str">
        <v>Shirley Bartkus</v>
      </c>
      <c r="B20" s="29" t="str">
        <v>MA</v>
      </c>
      <c r="C20" s="24">
        <v>117832.5</v>
      </c>
      <c r="D20" s="13">
        <v>118581.9</v>
      </c>
      <c r="E20" s="13">
        <f t="shared" si="0"/>
        <v>-749.39999999999418</v>
      </c>
      <c r="F20" s="14">
        <f t="shared" si="3"/>
        <v>-6.3196828521046994E-3</v>
      </c>
      <c r="G20" s="15">
        <v>98185</v>
      </c>
      <c r="H20" s="15">
        <f t="shared" si="1"/>
        <v>19647.5</v>
      </c>
      <c r="I20" s="16">
        <f t="shared" si="2"/>
        <v>0.20010694097876458</v>
      </c>
      <c r="J20" s="40" t="s">
        <v>162</v>
      </c>
      <c r="K20" s="87" t="s">
        <v>163</v>
      </c>
    </row>
    <row r="21" spans="1:15" ht="41.25" customHeight="1">
      <c r="A21" s="30" t="str">
        <v>Stoughton</v>
      </c>
      <c r="B21" s="31" t="str">
        <v>MA</v>
      </c>
      <c r="C21" s="11">
        <v>89022.5</v>
      </c>
      <c r="D21" s="18">
        <v>54902.01</v>
      </c>
      <c r="E21" s="18">
        <f t="shared" si="0"/>
        <v>34120.49</v>
      </c>
      <c r="F21" s="19">
        <f t="shared" si="3"/>
        <v>0.62147979645918239</v>
      </c>
      <c r="G21" s="20">
        <v>78249.83</v>
      </c>
      <c r="H21" s="20">
        <f t="shared" si="1"/>
        <v>10772.669999999998</v>
      </c>
      <c r="I21" s="19">
        <f t="shared" si="2"/>
        <v>0.13767020324516996</v>
      </c>
      <c r="J21" s="41" t="s">
        <v>164</v>
      </c>
      <c r="K21" s="74" t="s">
        <v>165</v>
      </c>
    </row>
    <row r="22" spans="1:15" ht="15.6">
      <c r="A22" s="28" t="str">
        <v>Wellfleet Landfill</v>
      </c>
      <c r="B22" s="29" t="str">
        <v>MA</v>
      </c>
      <c r="C22" s="24">
        <v>102954.7</v>
      </c>
      <c r="D22" s="13">
        <v>92926</v>
      </c>
      <c r="E22" s="13">
        <f t="shared" si="0"/>
        <v>10028.699999999997</v>
      </c>
      <c r="F22" s="14">
        <f t="shared" si="3"/>
        <v>0.1079213567785119</v>
      </c>
      <c r="G22" s="15">
        <v>0</v>
      </c>
      <c r="H22" s="15">
        <f t="shared" si="1"/>
        <v>102954.7</v>
      </c>
      <c r="I22" s="16" t="str">
        <f t="shared" si="2"/>
        <v/>
      </c>
      <c r="J22" s="40"/>
      <c r="K22" s="59"/>
    </row>
    <row r="23" spans="1:15" ht="43.15">
      <c r="A23" s="30" t="str">
        <v>Wilmington Garage &amp; Building 7</v>
      </c>
      <c r="B23" s="31" t="str">
        <v>MA</v>
      </c>
      <c r="C23" s="11">
        <v>117952.875</v>
      </c>
      <c r="D23" s="18">
        <v>121692.5</v>
      </c>
      <c r="E23" s="18">
        <f t="shared" si="0"/>
        <v>-3739.625</v>
      </c>
      <c r="F23" s="19">
        <f t="shared" si="3"/>
        <v>-3.0730118947346795E-2</v>
      </c>
      <c r="G23" s="20">
        <v>114526.39999999999</v>
      </c>
      <c r="H23" s="20">
        <f t="shared" si="1"/>
        <v>3426.4750000000058</v>
      </c>
      <c r="I23" s="19">
        <f t="shared" si="2"/>
        <v>2.9918647578200362E-2</v>
      </c>
      <c r="J23" s="41" t="s">
        <v>166</v>
      </c>
      <c r="K23" s="74" t="s">
        <v>110</v>
      </c>
    </row>
    <row r="24" spans="1:15" ht="15.6">
      <c r="A24" s="28" t="str">
        <v>Woburn</v>
      </c>
      <c r="B24" s="29" t="str">
        <v>MA</v>
      </c>
      <c r="C24" s="24">
        <v>183281</v>
      </c>
      <c r="D24" s="13">
        <v>189838</v>
      </c>
      <c r="E24" s="13">
        <f t="shared" si="0"/>
        <v>-6557</v>
      </c>
      <c r="F24" s="14">
        <f t="shared" si="3"/>
        <v>-3.4539976190225349E-2</v>
      </c>
      <c r="G24" s="15">
        <v>164413.6</v>
      </c>
      <c r="H24" s="15">
        <f t="shared" si="1"/>
        <v>18867.399999999994</v>
      </c>
      <c r="I24" s="16">
        <f t="shared" si="2"/>
        <v>0.11475571363926095</v>
      </c>
      <c r="J24" s="40"/>
      <c r="K24" s="59"/>
    </row>
    <row r="25" spans="1:15" ht="15.6">
      <c r="A25" s="30" t="str">
        <v>Friendship Solar 1</v>
      </c>
      <c r="B25" s="31" t="str">
        <v>MD</v>
      </c>
      <c r="C25" s="11">
        <v>403852</v>
      </c>
      <c r="D25" s="18">
        <v>427665.1</v>
      </c>
      <c r="E25" s="18">
        <f t="shared" si="0"/>
        <v>-23813.099999999977</v>
      </c>
      <c r="F25" s="19">
        <f t="shared" si="3"/>
        <v>-5.5681653705200583E-2</v>
      </c>
      <c r="G25" s="20">
        <v>437046.2</v>
      </c>
      <c r="H25" s="20">
        <f t="shared" si="1"/>
        <v>-33194.200000000012</v>
      </c>
      <c r="I25" s="19">
        <f t="shared" si="2"/>
        <v>-7.5951238107092589E-2</v>
      </c>
      <c r="J25" s="41"/>
      <c r="K25" s="57"/>
    </row>
    <row r="26" spans="1:15" ht="15.6">
      <c r="A26" s="28" t="str">
        <v>Friendship Solar 2</v>
      </c>
      <c r="B26" s="29" t="str">
        <v>MD</v>
      </c>
      <c r="C26" s="24">
        <v>404705</v>
      </c>
      <c r="D26" s="13">
        <v>431811.1</v>
      </c>
      <c r="E26" s="13">
        <f t="shared" si="0"/>
        <v>-27106.099999999977</v>
      </c>
      <c r="F26" s="14">
        <f t="shared" si="3"/>
        <v>-6.2773050530660235E-2</v>
      </c>
      <c r="G26" s="15">
        <v>430790.5</v>
      </c>
      <c r="H26" s="15">
        <f t="shared" si="1"/>
        <v>-26085.5</v>
      </c>
      <c r="I26" s="16">
        <f t="shared" si="2"/>
        <v>-6.0552635213636324E-2</v>
      </c>
      <c r="J26" s="40"/>
      <c r="K26" s="59"/>
    </row>
    <row r="27" spans="1:15" ht="28.9">
      <c r="A27" s="30" t="str">
        <v>101 Carnegie Center</v>
      </c>
      <c r="B27" s="31" t="str">
        <v>NJ</v>
      </c>
      <c r="C27" s="11">
        <v>174877.234</v>
      </c>
      <c r="D27" s="18">
        <v>187657.80600000001</v>
      </c>
      <c r="E27" s="18">
        <f t="shared" si="0"/>
        <v>-12780.572000000015</v>
      </c>
      <c r="F27" s="19">
        <f t="shared" si="3"/>
        <v>-6.8105730704322603E-2</v>
      </c>
      <c r="G27" s="20">
        <v>0</v>
      </c>
      <c r="H27" s="20">
        <f t="shared" si="1"/>
        <v>174877.234</v>
      </c>
      <c r="I27" s="19" t="str">
        <f t="shared" si="2"/>
        <v/>
      </c>
      <c r="J27" s="41" t="s">
        <v>167</v>
      </c>
      <c r="K27" s="74" t="s">
        <v>168</v>
      </c>
    </row>
    <row r="28" spans="1:15" ht="28.9">
      <c r="A28" s="28" t="str">
        <v>302 Carnegie Center</v>
      </c>
      <c r="B28" s="29" t="str">
        <v>NJ</v>
      </c>
      <c r="C28" s="24">
        <v>75714.134999999995</v>
      </c>
      <c r="D28" s="13">
        <v>80222.7</v>
      </c>
      <c r="E28" s="13">
        <f t="shared" si="0"/>
        <v>-4508.5650000000023</v>
      </c>
      <c r="F28" s="14">
        <f t="shared" si="3"/>
        <v>-5.6200614040664329E-2</v>
      </c>
      <c r="G28" s="15">
        <v>0</v>
      </c>
      <c r="H28" s="15">
        <f t="shared" si="1"/>
        <v>75714.134999999995</v>
      </c>
      <c r="I28" s="16" t="str">
        <f t="shared" si="2"/>
        <v/>
      </c>
      <c r="J28" s="40" t="s">
        <v>169</v>
      </c>
      <c r="K28" s="87" t="s">
        <v>170</v>
      </c>
    </row>
    <row r="29" spans="1:15" ht="15.6">
      <c r="A29" s="30" t="str">
        <v>510 Carnegie Center</v>
      </c>
      <c r="B29" s="31" t="str">
        <v>NJ</v>
      </c>
      <c r="C29" s="11">
        <v>190586.93100000001</v>
      </c>
      <c r="D29" s="18">
        <v>205883.2</v>
      </c>
      <c r="E29" s="18">
        <f t="shared" si="0"/>
        <v>-15296.269</v>
      </c>
      <c r="F29" s="19">
        <f t="shared" si="3"/>
        <v>-7.4295858039898341E-2</v>
      </c>
      <c r="G29" s="20">
        <v>0</v>
      </c>
      <c r="H29" s="20">
        <f t="shared" si="1"/>
        <v>190586.93100000001</v>
      </c>
      <c r="I29" s="19" t="str">
        <f t="shared" si="2"/>
        <v/>
      </c>
      <c r="J29" s="41" t="s">
        <v>171</v>
      </c>
      <c r="K29" s="86" t="s">
        <v>172</v>
      </c>
    </row>
    <row r="30" spans="1:15" ht="15.6">
      <c r="A30" s="28" t="str">
        <v>701 Carnegie Center</v>
      </c>
      <c r="B30" s="29" t="str">
        <v>NJ</v>
      </c>
      <c r="C30" s="24">
        <v>148168</v>
      </c>
      <c r="D30" s="13">
        <v>164382</v>
      </c>
      <c r="E30" s="13">
        <f t="shared" si="0"/>
        <v>-16214</v>
      </c>
      <c r="F30" s="14">
        <f t="shared" si="3"/>
        <v>-9.8636103709651909E-2</v>
      </c>
      <c r="G30" s="15">
        <v>0</v>
      </c>
      <c r="H30" s="15">
        <f t="shared" si="1"/>
        <v>148168</v>
      </c>
      <c r="I30" s="16" t="str">
        <f t="shared" si="2"/>
        <v/>
      </c>
      <c r="J30" s="40"/>
      <c r="K30" s="59"/>
    </row>
    <row r="31" spans="1:15" ht="57.6">
      <c r="A31" s="30" t="str">
        <v>Hudson County Correction</v>
      </c>
      <c r="B31" s="31" t="str">
        <v>NJ</v>
      </c>
      <c r="C31" s="11">
        <v>184845.18900666799</v>
      </c>
      <c r="D31" s="18">
        <v>151457.60000000001</v>
      </c>
      <c r="E31" s="18">
        <f t="shared" si="0"/>
        <v>33387.589006667986</v>
      </c>
      <c r="F31" s="19">
        <f t="shared" si="3"/>
        <v>0.22044182006494217</v>
      </c>
      <c r="G31" s="20">
        <v>173075.9</v>
      </c>
      <c r="H31" s="20">
        <f t="shared" si="1"/>
        <v>11769.289006667997</v>
      </c>
      <c r="I31" s="19">
        <f t="shared" si="2"/>
        <v>6.8000738442891229E-2</v>
      </c>
      <c r="J31" s="56" t="s">
        <v>173</v>
      </c>
      <c r="K31" s="74" t="s">
        <v>174</v>
      </c>
    </row>
    <row r="32" spans="1:15" ht="72">
      <c r="A32" s="28" t="str">
        <v>ER Bison Solar</v>
      </c>
      <c r="B32" s="29" t="str">
        <v>PA</v>
      </c>
      <c r="C32" s="24">
        <v>209695</v>
      </c>
      <c r="D32" s="13">
        <v>0</v>
      </c>
      <c r="E32" s="13">
        <f t="shared" si="0"/>
        <v>209695</v>
      </c>
      <c r="F32" s="14" t="str">
        <f t="shared" si="3"/>
        <v/>
      </c>
      <c r="G32" s="15">
        <v>195491</v>
      </c>
      <c r="H32" s="15">
        <f t="shared" si="1"/>
        <v>14204</v>
      </c>
      <c r="I32" s="16">
        <f t="shared" si="2"/>
        <v>7.2658076330879687E-2</v>
      </c>
      <c r="J32" s="40" t="s">
        <v>175</v>
      </c>
      <c r="K32" s="87" t="s">
        <v>176</v>
      </c>
      <c r="L32" s="79" t="s">
        <v>177</v>
      </c>
    </row>
    <row r="33" spans="1:17" ht="28.9">
      <c r="A33" s="30" t="str">
        <v>Danville</v>
      </c>
      <c r="B33" s="31" t="str">
        <v>IL</v>
      </c>
      <c r="C33" s="11">
        <v>308677.77</v>
      </c>
      <c r="D33" s="18">
        <v>0</v>
      </c>
      <c r="E33" s="18">
        <f t="shared" si="0"/>
        <v>308677.77</v>
      </c>
      <c r="F33" s="19" t="str">
        <f t="shared" si="3"/>
        <v/>
      </c>
      <c r="G33" s="20">
        <v>0</v>
      </c>
      <c r="H33" s="20">
        <f t="shared" si="1"/>
        <v>308677.77</v>
      </c>
      <c r="I33" s="19" t="str">
        <f t="shared" si="2"/>
        <v/>
      </c>
      <c r="J33" s="41" t="s">
        <v>178</v>
      </c>
      <c r="K33" s="74" t="s">
        <v>179</v>
      </c>
    </row>
    <row r="34" spans="1:17" ht="199.5" customHeight="1">
      <c r="A34" s="28" t="str">
        <v>Camden - Campbell Soup HQ</v>
      </c>
      <c r="B34" s="29" t="str">
        <v>NJ</v>
      </c>
      <c r="C34" s="24">
        <v>303913</v>
      </c>
      <c r="D34" s="13">
        <v>471798.8</v>
      </c>
      <c r="E34" s="13">
        <f>IF(AND(ISNUMBER(C34),ISNUMBER(D34)), C34-D34, "")</f>
        <v>-167885.8</v>
      </c>
      <c r="F34" s="14">
        <f>IFERROR(E34/D34, "")</f>
        <v>-0.35584193940298275</v>
      </c>
      <c r="G34" s="15">
        <v>439964.44</v>
      </c>
      <c r="H34" s="15">
        <f>IF(AND(ISNUMBER(C34),ISNUMBER(G34)), C34-G34, "")</f>
        <v>-136051.44</v>
      </c>
      <c r="I34" s="16">
        <f t="shared" ref="I34:I39" si="4">IFERROR(H34/G34, "")</f>
        <v>-0.30923280981526596</v>
      </c>
      <c r="J34" s="40" t="s">
        <v>180</v>
      </c>
      <c r="K34" s="87" t="s">
        <v>181</v>
      </c>
      <c r="L34" s="79" t="s">
        <v>124</v>
      </c>
      <c r="M34" s="79" t="s">
        <v>84</v>
      </c>
      <c r="N34" s="79" t="s">
        <v>125</v>
      </c>
      <c r="O34" s="79" t="s">
        <v>126</v>
      </c>
      <c r="P34" s="79" t="s">
        <v>127</v>
      </c>
      <c r="Q34" s="79" t="s">
        <v>128</v>
      </c>
    </row>
    <row r="35" spans="1:17" ht="15.6">
      <c r="A35" s="30" t="str">
        <v>Westport - Pine Hill</v>
      </c>
      <c r="B35" s="31" t="str">
        <v>MA</v>
      </c>
      <c r="C35" s="69">
        <v>551029.8125</v>
      </c>
      <c r="D35" s="18">
        <v>533238.69999999995</v>
      </c>
      <c r="E35" s="18">
        <f>IF(AND(ISNUMBER(C35),ISNUMBER(D35)), C35-D35, "")</f>
        <v>17791.112500000047</v>
      </c>
      <c r="F35" s="70">
        <f>IFERROR(E35/D35, "")</f>
        <v>3.3364256007675452E-2</v>
      </c>
      <c r="G35" s="63">
        <v>538549.76000000001</v>
      </c>
      <c r="H35" s="63">
        <f>IF(AND(ISNUMBER(C35),ISNUMBER(G35)), C35-G35, "")</f>
        <v>12480.052499999991</v>
      </c>
      <c r="I35" s="70">
        <f t="shared" si="4"/>
        <v>2.3173443620140115E-2</v>
      </c>
      <c r="J35" s="41"/>
      <c r="K35" s="84"/>
    </row>
    <row r="36" spans="1:17" ht="15.6">
      <c r="A36" s="28" t="str">
        <v>Oaks Landfill - ANEM</v>
      </c>
      <c r="B36" s="29" t="str">
        <v>MD</v>
      </c>
      <c r="C36" s="65">
        <v>345718.2</v>
      </c>
      <c r="D36" s="13">
        <v>380651.9</v>
      </c>
      <c r="E36" s="13">
        <f>IF(AND(ISNUMBER(C36),ISNUMBER(D36)), C36-D36, "")</f>
        <v>-34933.700000000012</v>
      </c>
      <c r="F36" s="66">
        <f>IFERROR(E36/D36, "")</f>
        <v>-9.1773349876882293E-2</v>
      </c>
      <c r="G36" s="67">
        <v>0</v>
      </c>
      <c r="H36" s="67">
        <f>IF(AND(ISNUMBER(C36),ISNUMBER(G36)), C36-G36, "")</f>
        <v>345718.2</v>
      </c>
      <c r="I36" s="80" t="str">
        <f t="shared" si="4"/>
        <v/>
      </c>
      <c r="J36" s="68"/>
      <c r="K36" s="85"/>
    </row>
    <row r="37" spans="1:17" ht="86.45">
      <c r="A37" s="30" t="str">
        <v>Oaks Landfill - CS2</v>
      </c>
      <c r="B37" s="31" t="str">
        <v>MD</v>
      </c>
      <c r="C37" s="69">
        <v>327686</v>
      </c>
      <c r="D37" s="18">
        <v>381811.4</v>
      </c>
      <c r="E37" s="18">
        <f>IF(AND(ISNUMBER(C37),ISNUMBER(D37)), C37-D37, "")</f>
        <v>-54125.400000000023</v>
      </c>
      <c r="F37" s="70">
        <f>IFERROR(E37/D37, "")</f>
        <v>-0.14175951791905642</v>
      </c>
      <c r="G37" s="63">
        <v>0</v>
      </c>
      <c r="H37" s="63">
        <f>IF(AND(ISNUMBER(C37),ISNUMBER(G37)), C37-G37, "")</f>
        <v>327686</v>
      </c>
      <c r="I37" s="70" t="str">
        <f t="shared" si="4"/>
        <v/>
      </c>
      <c r="J37" s="41" t="s">
        <v>182</v>
      </c>
      <c r="K37" s="74" t="s">
        <v>183</v>
      </c>
    </row>
    <row r="38" spans="1:17" ht="15.6">
      <c r="A38" s="28" t="str">
        <v>Oaks Landfill - CS1</v>
      </c>
      <c r="B38" s="29" t="str">
        <v>MD</v>
      </c>
      <c r="C38" s="65">
        <v>352207.2</v>
      </c>
      <c r="D38" s="13">
        <v>381809.245</v>
      </c>
      <c r="E38" s="13">
        <f>IF(AND(ISNUMBER(C38),ISNUMBER(D38)), C38-D38, "")</f>
        <v>-29602.044999999984</v>
      </c>
      <c r="F38" s="66">
        <f>IFERROR(E38/D38, "")</f>
        <v>-7.7530980162620167E-2</v>
      </c>
      <c r="G38" s="67">
        <v>0</v>
      </c>
      <c r="H38" s="67">
        <f>IF(AND(ISNUMBER(C38),ISNUMBER(G38)), C38-G38, "")</f>
        <v>352207.2</v>
      </c>
      <c r="I38" s="80" t="str">
        <f t="shared" si="4"/>
        <v/>
      </c>
      <c r="J38" s="68"/>
      <c r="K38" s="85"/>
    </row>
    <row r="39" spans="1:17" ht="14.45">
      <c r="A39" s="21" t="str">
        <v>Plympton - Upland Solar - PV &amp; BESS (IRA)</v>
      </c>
      <c r="B39" s="33" t="str">
        <v>MA</v>
      </c>
      <c r="C39" s="21"/>
      <c r="D39" s="21"/>
      <c r="E39" s="21"/>
      <c r="F39" s="22"/>
      <c r="G39" s="21"/>
      <c r="H39" s="21"/>
      <c r="I39" s="70" t="str">
        <f t="shared" si="4"/>
        <v/>
      </c>
      <c r="J39" s="21"/>
      <c r="K39" s="21"/>
    </row>
    <row r="40" spans="1:17" ht="14.45">
      <c r="A40" s="21" t="str">
        <v>MA: Plymouth - Black Cat Solar - PV &amp; BESS (IRA)</v>
      </c>
      <c r="B40" s="33" t="str">
        <v>MA</v>
      </c>
      <c r="C40" s="21"/>
      <c r="D40" s="21"/>
      <c r="E40" s="21"/>
      <c r="F40" s="22"/>
      <c r="G40" s="21"/>
      <c r="H40" s="21"/>
      <c r="I40" s="22"/>
      <c r="J40" s="21"/>
      <c r="K40" s="21"/>
    </row>
    <row r="41" spans="1:17" ht="14.45">
      <c r="A41" s="21"/>
      <c r="B41" s="33"/>
      <c r="C41" s="21"/>
      <c r="D41" s="21"/>
      <c r="E41" s="21"/>
      <c r="F41" s="22"/>
      <c r="G41" s="21"/>
      <c r="H41" s="21"/>
      <c r="I41" s="22"/>
      <c r="J41" s="21"/>
      <c r="K41" s="21"/>
    </row>
    <row r="42" spans="1:17" ht="14.45">
      <c r="A42" s="21"/>
      <c r="B42" s="33"/>
      <c r="C42" s="21"/>
      <c r="D42" s="21"/>
      <c r="E42" s="21"/>
      <c r="F42" s="22"/>
      <c r="G42" s="21"/>
      <c r="H42" s="21"/>
      <c r="I42" s="22"/>
      <c r="J42" s="21"/>
      <c r="K42" s="21"/>
    </row>
    <row r="43" spans="1:17" ht="14.45">
      <c r="A43" s="21"/>
      <c r="B43" s="33"/>
      <c r="C43" s="21"/>
      <c r="D43" s="21"/>
      <c r="E43" s="21"/>
      <c r="F43" s="22"/>
      <c r="G43" s="21"/>
      <c r="H43" s="21"/>
      <c r="I43" s="22"/>
      <c r="J43" s="21"/>
      <c r="K43" s="21"/>
    </row>
    <row r="44" spans="1:17" ht="14.45">
      <c r="A44" s="21"/>
      <c r="B44" s="33"/>
      <c r="C44" s="21"/>
      <c r="D44" s="21"/>
      <c r="E44" s="21"/>
      <c r="F44" s="22"/>
      <c r="G44" s="21"/>
      <c r="H44" s="21"/>
      <c r="I44" s="22"/>
      <c r="K44" s="21"/>
    </row>
    <row r="45" spans="1:17" ht="14.45">
      <c r="A45" s="21"/>
      <c r="B45" s="33"/>
      <c r="C45" s="21"/>
      <c r="D45" s="21"/>
      <c r="E45" s="21"/>
      <c r="F45" s="22"/>
      <c r="G45" s="21"/>
      <c r="H45" s="21"/>
      <c r="I45" s="22"/>
      <c r="J45" s="21"/>
      <c r="K45" s="21"/>
    </row>
    <row r="46" spans="1:17" ht="14.45">
      <c r="A46" s="21"/>
      <c r="B46" s="33"/>
      <c r="C46" s="21"/>
      <c r="D46" s="21"/>
      <c r="E46" s="21"/>
      <c r="F46" s="22"/>
      <c r="G46" s="21"/>
      <c r="H46" s="21"/>
      <c r="I46" s="22"/>
      <c r="J46" s="21"/>
      <c r="K46" s="21"/>
    </row>
    <row r="47" spans="1:17" ht="14.45">
      <c r="A47" s="21"/>
      <c r="B47" s="33"/>
      <c r="C47" s="21"/>
      <c r="D47" s="21"/>
      <c r="E47" s="21"/>
      <c r="F47" s="22"/>
      <c r="G47" s="21"/>
      <c r="H47" s="21"/>
      <c r="I47" s="22"/>
      <c r="J47" s="21"/>
      <c r="K47" s="21"/>
    </row>
    <row r="48" spans="1:17"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F4:F100 I4:I100">
    <cfRule type="cellIs" dxfId="41" priority="3" stopIfTrue="1" operator="lessThanOrEqual">
      <formula>-0.1</formula>
    </cfRule>
    <cfRule type="expression" dxfId="40" priority="4">
      <formula>AND(ISNUMBER(F2), F2&gt;=0.1)</formula>
    </cfRule>
  </conditionalFormatting>
  <hyperlinks>
    <hyperlink ref="K5" r:id="rId1" display="https://us3.assetplanner.com/service_request?ID=070225" xr:uid="{F76C7544-B553-4E62-BA41-42BA906C8014}"/>
    <hyperlink ref="K7" r:id="rId2" display="https://us3.assetplanner.com/service_request?ID=095312" xr:uid="{74EE5626-A13C-44E7-8EAB-0196E431E600}"/>
    <hyperlink ref="K9" r:id="rId3" display="https://us3.assetplanner.com/service_request?ID=095220" xr:uid="{A95795F8-2870-4CEE-84D1-81ADED8BB6BC}"/>
    <hyperlink ref="L9" r:id="rId4" display="https://us3.assetplanner.com/service_request?ID=089170" xr:uid="{26874078-DBB9-4B42-82D3-53EFF020C035}"/>
    <hyperlink ref="K10" r:id="rId5" display="https://us3.assetplanner.com/service_request?ID=089564" xr:uid="{790BE236-09FB-4487-B580-61A7724921D7}"/>
    <hyperlink ref="L10" r:id="rId6" display="https://us3.assetplanner.com/service_request?ID=093404" xr:uid="{E6DB9336-BC31-49C3-973C-611D2DE73EE4}"/>
    <hyperlink ref="K12" r:id="rId7" display="https://us3.assetplanner.com/service_request?ID=098239" xr:uid="{8EE1C8D2-4C96-4ADA-A82D-3821B10F8395}"/>
    <hyperlink ref="L12" r:id="rId8" display="https://us3.assetplanner.com/service_request?ID=098314" xr:uid="{B546B6B3-0CD8-47B6-BAC4-9F7BFD9FDFB8}"/>
    <hyperlink ref="M12" r:id="rId9" display="https://us3.assetplanner.com/service_request?ID=098404" xr:uid="{0244006F-E0CB-43AD-98F9-7C348DBAC0FC}"/>
    <hyperlink ref="N12" r:id="rId10" display="https://us3.assetplanner.com/service_request?ID=099133" xr:uid="{9EC5FE45-655B-49E3-99F1-2D3DC1D878C0}"/>
    <hyperlink ref="K13" r:id="rId11" display="https://us3.assetplanner.com/service_request?ID=098378" xr:uid="{25ADC872-9392-4C0D-906B-242B6096BF2B}"/>
    <hyperlink ref="K14" r:id="rId12" display="https://us3.assetplanner.com/service_request?ID=093500" xr:uid="{440E62FB-E077-429C-A18A-08F097F7DFE4}"/>
    <hyperlink ref="K16" r:id="rId13" display="https://us3.assetplanner.com/service_request?ID=098367" xr:uid="{5C3120A9-3BAD-4C1F-A6DC-98E7D52628B7}"/>
    <hyperlink ref="L16" r:id="rId14" display="https://us3.assetplanner.com/service_request?ID=098369" xr:uid="{14D730BB-3427-4F81-859F-2EF9B0B20C18}"/>
    <hyperlink ref="M16" r:id="rId15" display="https://us3.assetplanner.com/service_request?ID=099134" xr:uid="{790603F5-1147-4541-88B2-BC38706104E5}"/>
    <hyperlink ref="K18" r:id="rId16" display="https://us3.assetplanner.com/service_request?ID=096031" xr:uid="{DFB5AF8C-A7CD-4B78-BEAB-1389958A7D35}"/>
    <hyperlink ref="L18" r:id="rId17" display="https://us3.assetplanner.com/service_request?ID=093403" xr:uid="{96A788FE-F859-43F3-8BA5-AE712504CFF9}"/>
    <hyperlink ref="M18" r:id="rId18" display="https://us3.assetplanner.com/service_request?ID=097902" xr:uid="{3C14B2C7-5FFA-4FF1-9FFC-DF78383E1931}"/>
    <hyperlink ref="N18" r:id="rId19" display="https://us3.assetplanner.com/service_request?ID=098208" xr:uid="{A655F552-A7FA-4796-A639-5EBB388CC270}"/>
    <hyperlink ref="O18" r:id="rId20" display="https://us3.assetplanner.com/service_request?ID=099015" xr:uid="{EE6EE315-89C6-4AD4-A01C-B54E792B712F}"/>
    <hyperlink ref="K19" r:id="rId21" display="https://us3.assetplanner.com/service_request?ID=098246" xr:uid="{589EC932-30EC-4800-BA92-DDD64329AB7B}"/>
    <hyperlink ref="K20" r:id="rId22" display="https://us3.assetplanner.com/service_request?ID=098268" xr:uid="{BF4D25E7-C270-43A8-B6EF-69439F685B1B}"/>
    <hyperlink ref="K21" r:id="rId23" display="https://us3.assetplanner.com/service_request?ID=098865" xr:uid="{4221599E-0E30-4CDF-9A23-3FF00697BC49}"/>
    <hyperlink ref="K23" r:id="rId24" display="https://us3.assetplanner.com/service_request?ID=094678" xr:uid="{1F603F33-3F12-44F9-B8AD-E05C7ECB4858}"/>
    <hyperlink ref="K27" r:id="rId25" display="https://us3.assetplanner.com/service_request?ID=095573" xr:uid="{C3A055C8-FA93-4DF5-B70B-33F24ECED8EA}"/>
    <hyperlink ref="K28" r:id="rId26" display="https://us3.assetplanner.com/service_request?ID=097601" xr:uid="{1CFDFF72-3F16-4B5A-86AE-4EDA4AE6BC38}"/>
    <hyperlink ref="K29" r:id="rId27" display="https://us3.assetplanner.com/service_request?ID=098621" xr:uid="{5BD28B54-7244-44F7-A1DF-893657270B86}"/>
    <hyperlink ref="K31" r:id="rId28" display="https://us3.assetplanner.com/service_request?ID=098681" xr:uid="{ADA2B7A2-8BD3-48F0-B877-225B0BB1333C}"/>
    <hyperlink ref="K32" r:id="rId29" display="https://us3.assetplanner.com/service_request?ID=098348" xr:uid="{62A1E005-52E8-4FE3-B283-F0A1D3E8CC06}"/>
    <hyperlink ref="L32" r:id="rId30" display="https://us3.assetplanner.com/service_request?ID=098978" xr:uid="{2E8F0FEB-F153-49B4-A46E-8A9D18A504EA}"/>
    <hyperlink ref="K33" r:id="rId31" display="https://us3.assetplanner.com/service_request?ID=099112" xr:uid="{EBFC87FA-66A1-4AB9-B89A-2CDFE7FDBD43}"/>
    <hyperlink ref="K34" r:id="rId32" display="https://us3.assetplanner.com/service_request?ID=093773" xr:uid="{B843DAAB-E49D-4AAC-80D4-E1D1F6D0CA63}"/>
    <hyperlink ref="L34" r:id="rId33" display="https://us3.assetplanner.com/service_request?ID=094890" xr:uid="{788464AB-5621-4D49-953C-A3A7415951D5}"/>
    <hyperlink ref="M34" r:id="rId34" display="https://us3.assetplanner.com/service_request?ID=095761" xr:uid="{9D6E5548-D9D6-496A-8B80-5BE38399FB40}"/>
    <hyperlink ref="N34" r:id="rId35" display="https://us3.assetplanner.com/service_request?ID=096555" xr:uid="{FCFADFC6-3AFB-4767-A654-07BD38260D8D}"/>
    <hyperlink ref="O34" r:id="rId36" display="https://us3.assetplanner.com/service_request?ID=096557" xr:uid="{1C46D549-F12F-4AD3-87C7-8F65AAA1C433}"/>
    <hyperlink ref="P34" r:id="rId37" display="https://us3.assetplanner.com/service_request?ID=096558" xr:uid="{82C256E0-BB71-4774-ACBA-D13953E5ABF1}"/>
    <hyperlink ref="Q34" r:id="rId38" display="https://us3.assetplanner.com/service_request?ID=097964" xr:uid="{AA2EF6D6-0D19-46BE-B78F-4A9D589ACC61}"/>
    <hyperlink ref="K37" r:id="rId39" display="https://us3.assetplanner.com/service_request?ID=096221" xr:uid="{74510EEF-5BE7-42F4-A095-AB68549404F9}"/>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T342"/>
  <sheetViews>
    <sheetView zoomScale="70" zoomScaleNormal="70" workbookViewId="0">
      <pane xSplit="2" ySplit="3" topLeftCell="G32" activePane="bottomRight" state="frozen"/>
      <selection pane="bottomRight" activeCell="W35" sqref="W35"/>
      <selection pane="bottomLeft" activeCell="F38" sqref="F38"/>
      <selection pane="topRight" activeCell="F38" sqref="F38"/>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0" ht="19.5" customHeight="1">
      <c r="A1" s="117" t="str" cm="1">
        <f t="array" ref="A1">portfolio</f>
        <v>Greenbacker Capital</v>
      </c>
      <c r="B1" s="117"/>
      <c r="C1" s="117"/>
      <c r="D1" s="118" t="s">
        <v>184</v>
      </c>
      <c r="E1" s="118"/>
      <c r="F1" s="118"/>
      <c r="G1" s="116" t="s">
        <v>185</v>
      </c>
      <c r="H1" s="116"/>
      <c r="I1" s="116"/>
      <c r="J1" s="4"/>
      <c r="K1" s="4"/>
    </row>
    <row r="2" spans="1:20" ht="19.5" customHeight="1">
      <c r="A2" s="119" t="s">
        <v>2</v>
      </c>
      <c r="B2" s="119"/>
      <c r="C2" s="5">
        <f>SUM(C4:C100)</f>
        <v>5757250.0876000002</v>
      </c>
      <c r="D2" s="5">
        <f>SUM(D4:D100)</f>
        <v>5030180.3633299628</v>
      </c>
      <c r="E2" s="5">
        <f>C2-D2</f>
        <v>727069.72427003738</v>
      </c>
      <c r="F2" s="6">
        <f>IFERROR(E2/D2, 0)</f>
        <v>0.14454148196561278</v>
      </c>
      <c r="G2" s="5">
        <f>SUM(G4:G100)</f>
        <v>4229865.09</v>
      </c>
      <c r="H2" s="7">
        <f>C2-G2</f>
        <v>1527384.9976000004</v>
      </c>
      <c r="I2" s="6">
        <f>IFERROR(H2/G2, 0)</f>
        <v>0.36109544042219094</v>
      </c>
      <c r="J2" s="26"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0" ht="14.25" customHeight="1">
      <c r="A3" s="8" t="s">
        <v>3</v>
      </c>
      <c r="B3" s="8" t="s">
        <v>4</v>
      </c>
      <c r="C3" s="23" t="s">
        <v>5</v>
      </c>
      <c r="D3" s="35" t="s">
        <v>6</v>
      </c>
      <c r="E3" s="35" t="s">
        <v>7</v>
      </c>
      <c r="F3" s="36" t="s">
        <v>8</v>
      </c>
      <c r="G3" s="37" t="s">
        <v>9</v>
      </c>
      <c r="H3" s="38" t="s">
        <v>7</v>
      </c>
      <c r="I3" s="39" t="s">
        <v>8</v>
      </c>
      <c r="J3" s="25" t="s">
        <v>20</v>
      </c>
      <c r="K3" s="25" t="s">
        <v>21</v>
      </c>
    </row>
    <row r="4" spans="1:20" ht="43.15">
      <c r="A4" s="32" t="str" cm="1">
        <f t="array" ref="A4:A40">Sites[Site]</f>
        <v>10 Walpole Park South</v>
      </c>
      <c r="B4" s="29" t="str" cm="1">
        <f t="array" ref="B4:B40">Sites[State]</f>
        <v>MA</v>
      </c>
      <c r="C4" s="24">
        <v>17430.6875</v>
      </c>
      <c r="D4" s="13">
        <v>14974.71</v>
      </c>
      <c r="E4" s="13">
        <f>IF(AND(ISNUMBER(C4),ISNUMBER(D4)), C4-D4, "")</f>
        <v>2455.9775000000009</v>
      </c>
      <c r="F4" s="14">
        <f>IFERROR(E4/D4, "")</f>
        <v>0.16400835141381709</v>
      </c>
      <c r="G4" s="15">
        <v>17864.88</v>
      </c>
      <c r="H4" s="15">
        <f>IF(AND(ISNUMBER(C4),ISNUMBER(G4)), C4-G4, "")</f>
        <v>-434.19250000000102</v>
      </c>
      <c r="I4" s="16">
        <f>IFERROR(H4/G4, "")</f>
        <v>-2.430424945479628E-2</v>
      </c>
      <c r="J4" s="40" t="s">
        <v>186</v>
      </c>
      <c r="K4" s="75" t="s">
        <v>187</v>
      </c>
      <c r="L4" s="78"/>
      <c r="M4" s="78"/>
      <c r="N4" s="78"/>
      <c r="O4" s="78"/>
      <c r="P4" s="78"/>
      <c r="Q4" s="78"/>
      <c r="R4" s="78"/>
      <c r="S4" s="78"/>
      <c r="T4" s="78"/>
    </row>
    <row r="5" spans="1:20" ht="15.6">
      <c r="A5" s="30" t="str">
        <v>15 Walpole Park South</v>
      </c>
      <c r="B5" s="31" t="str">
        <v>MA</v>
      </c>
      <c r="C5" s="11">
        <v>61346.5</v>
      </c>
      <c r="D5" s="18">
        <v>58290.96</v>
      </c>
      <c r="E5" s="18">
        <f t="shared" ref="E5:E38" si="0">IF(AND(ISNUMBER(C5),ISNUMBER(D5)), C5-D5, "")</f>
        <v>3055.5400000000009</v>
      </c>
      <c r="F5" s="19">
        <f>IFERROR(E5/D5, "")</f>
        <v>5.2418762703513561E-2</v>
      </c>
      <c r="G5" s="20">
        <v>62988.5</v>
      </c>
      <c r="H5" s="20">
        <f t="shared" ref="H5:H38" si="1">IF(AND(ISNUMBER(C5),ISNUMBER(G5)), C5-G5, "")</f>
        <v>-1642</v>
      </c>
      <c r="I5" s="19">
        <f t="shared" ref="I5:I38" si="2">IFERROR(H5/G5, "")</f>
        <v>-2.6068250553672494E-2</v>
      </c>
      <c r="J5" s="41" t="s">
        <v>136</v>
      </c>
      <c r="K5" s="76" t="s">
        <v>137</v>
      </c>
      <c r="L5" s="78"/>
      <c r="M5" s="78"/>
      <c r="N5" s="78"/>
      <c r="O5" s="78"/>
      <c r="P5" s="78"/>
      <c r="Q5" s="78"/>
      <c r="R5" s="78"/>
      <c r="S5" s="78"/>
      <c r="T5" s="78"/>
    </row>
    <row r="6" spans="1:20" ht="15.6">
      <c r="A6" s="28" t="str">
        <v>19 Walpole Park South</v>
      </c>
      <c r="B6" s="29" t="str">
        <v>MA</v>
      </c>
      <c r="C6" s="24">
        <v>38723.5</v>
      </c>
      <c r="D6" s="13">
        <v>35777.089999999997</v>
      </c>
      <c r="E6" s="13">
        <f t="shared" si="0"/>
        <v>2946.4100000000035</v>
      </c>
      <c r="F6" s="14">
        <f t="shared" ref="F6:F38" si="3">IFERROR(E6/D6, "")</f>
        <v>8.2354657687363719E-2</v>
      </c>
      <c r="G6" s="15">
        <v>40058.730000000003</v>
      </c>
      <c r="H6" s="15">
        <f t="shared" si="1"/>
        <v>-1335.2300000000032</v>
      </c>
      <c r="I6" s="16">
        <f t="shared" si="2"/>
        <v>-3.3331810569131946E-2</v>
      </c>
      <c r="J6" s="40"/>
      <c r="K6" s="40"/>
      <c r="L6" s="78"/>
      <c r="M6" s="78"/>
      <c r="N6" s="78"/>
      <c r="O6" s="78"/>
      <c r="P6" s="78"/>
      <c r="Q6" s="78"/>
      <c r="R6" s="78"/>
      <c r="S6" s="78"/>
      <c r="T6" s="78"/>
    </row>
    <row r="7" spans="1:20" ht="15.6">
      <c r="A7" s="30" t="str">
        <v>23 Walpole Park South</v>
      </c>
      <c r="B7" s="31" t="str">
        <v>MA</v>
      </c>
      <c r="C7" s="11">
        <v>47950.5</v>
      </c>
      <c r="D7" s="18">
        <v>45953.57</v>
      </c>
      <c r="E7" s="18">
        <f t="shared" si="0"/>
        <v>1996.9300000000003</v>
      </c>
      <c r="F7" s="19">
        <f t="shared" si="3"/>
        <v>4.3455383335832237E-2</v>
      </c>
      <c r="G7" s="20">
        <v>52671.75</v>
      </c>
      <c r="H7" s="20">
        <f t="shared" si="1"/>
        <v>-4721.25</v>
      </c>
      <c r="I7" s="19">
        <f t="shared" si="2"/>
        <v>-8.9635335829927804E-2</v>
      </c>
      <c r="J7" s="41" t="s">
        <v>138</v>
      </c>
      <c r="K7" s="76" t="s">
        <v>24</v>
      </c>
      <c r="L7" s="78"/>
      <c r="M7" s="78"/>
      <c r="N7" s="78"/>
      <c r="O7" s="78"/>
      <c r="P7" s="78"/>
      <c r="Q7" s="78"/>
      <c r="R7" s="78"/>
      <c r="S7" s="78"/>
      <c r="T7" s="78"/>
    </row>
    <row r="8" spans="1:20" ht="15.6">
      <c r="A8" s="28" t="str">
        <v>24 Walpole Park South</v>
      </c>
      <c r="B8" s="29" t="str">
        <v>MA</v>
      </c>
      <c r="C8" s="24">
        <v>79297.25</v>
      </c>
      <c r="D8" s="13">
        <v>66368.429999999993</v>
      </c>
      <c r="E8" s="13">
        <f t="shared" si="0"/>
        <v>12928.820000000007</v>
      </c>
      <c r="F8" s="14">
        <f t="shared" si="3"/>
        <v>0.19480376438014291</v>
      </c>
      <c r="G8" s="15">
        <v>81047.66</v>
      </c>
      <c r="H8" s="15">
        <f t="shared" si="1"/>
        <v>-1750.4100000000035</v>
      </c>
      <c r="I8" s="16">
        <f t="shared" si="2"/>
        <v>-2.1597292259887619E-2</v>
      </c>
      <c r="J8" s="40"/>
      <c r="K8" s="40"/>
      <c r="L8" s="78"/>
      <c r="M8" s="78"/>
      <c r="N8" s="78"/>
      <c r="O8" s="78"/>
      <c r="P8" s="78"/>
      <c r="Q8" s="78"/>
      <c r="R8" s="78"/>
      <c r="S8" s="78"/>
      <c r="T8" s="78"/>
    </row>
    <row r="9" spans="1:20" ht="33.75" customHeight="1">
      <c r="A9" s="30" t="str">
        <v>25 Walpole Park South</v>
      </c>
      <c r="B9" s="31" t="str">
        <v>MA</v>
      </c>
      <c r="C9" s="11">
        <v>72551.9372</v>
      </c>
      <c r="D9" s="18">
        <v>70550.84</v>
      </c>
      <c r="E9" s="18">
        <f t="shared" si="0"/>
        <v>2001.0972000000038</v>
      </c>
      <c r="F9" s="19">
        <f t="shared" si="3"/>
        <v>2.8363903250478717E-2</v>
      </c>
      <c r="G9" s="20">
        <v>82096.83</v>
      </c>
      <c r="H9" s="20">
        <f t="shared" si="1"/>
        <v>-9544.8928000000014</v>
      </c>
      <c r="I9" s="19">
        <f t="shared" si="2"/>
        <v>-0.11626384112516891</v>
      </c>
      <c r="J9" s="56" t="s">
        <v>29</v>
      </c>
      <c r="K9" s="76" t="s">
        <v>188</v>
      </c>
      <c r="L9" s="79" t="s">
        <v>140</v>
      </c>
      <c r="M9" s="78"/>
      <c r="N9" s="78"/>
      <c r="O9" s="78"/>
      <c r="P9" s="78"/>
      <c r="Q9" s="78"/>
      <c r="R9" s="78"/>
      <c r="S9" s="78"/>
      <c r="T9" s="78"/>
    </row>
    <row r="10" spans="1:20" ht="54" customHeight="1">
      <c r="A10" s="28" t="str">
        <v>3 Walpole Park South</v>
      </c>
      <c r="B10" s="29" t="str">
        <v>MA</v>
      </c>
      <c r="C10" s="24">
        <v>92536</v>
      </c>
      <c r="D10" s="13">
        <v>88494.54</v>
      </c>
      <c r="E10" s="13">
        <f t="shared" si="0"/>
        <v>4041.4600000000064</v>
      </c>
      <c r="F10" s="14">
        <f t="shared" si="3"/>
        <v>4.5669032236339176E-2</v>
      </c>
      <c r="G10" s="15">
        <v>98407.39</v>
      </c>
      <c r="H10" s="15">
        <f t="shared" si="1"/>
        <v>-5871.3899999999994</v>
      </c>
      <c r="I10" s="16">
        <f t="shared" si="2"/>
        <v>-5.9664116688797453E-2</v>
      </c>
      <c r="J10" s="40" t="s">
        <v>189</v>
      </c>
      <c r="K10" s="75" t="s">
        <v>190</v>
      </c>
      <c r="L10" s="79" t="s">
        <v>191</v>
      </c>
      <c r="M10" s="79" t="s">
        <v>34</v>
      </c>
      <c r="N10" s="78"/>
      <c r="O10" s="78"/>
      <c r="P10" s="78"/>
      <c r="Q10" s="78"/>
      <c r="R10" s="78"/>
      <c r="S10" s="78"/>
      <c r="T10" s="78"/>
    </row>
    <row r="11" spans="1:20" ht="15.6">
      <c r="A11" s="30" t="str">
        <v>4 Walpole Park South</v>
      </c>
      <c r="B11" s="31" t="str">
        <v>MA</v>
      </c>
      <c r="C11" s="11">
        <v>53698.75</v>
      </c>
      <c r="D11" s="18">
        <v>50156.83</v>
      </c>
      <c r="E11" s="18">
        <f t="shared" si="0"/>
        <v>3541.9199999999983</v>
      </c>
      <c r="F11" s="19">
        <f t="shared" si="3"/>
        <v>7.0616903021981217E-2</v>
      </c>
      <c r="G11" s="20">
        <v>54177.5</v>
      </c>
      <c r="H11" s="20">
        <f t="shared" si="1"/>
        <v>-478.75</v>
      </c>
      <c r="I11" s="19">
        <f t="shared" si="2"/>
        <v>-8.8366941996216135E-3</v>
      </c>
      <c r="J11" s="41"/>
      <c r="K11" s="42"/>
      <c r="L11" s="78"/>
      <c r="M11" s="78"/>
      <c r="N11" s="78"/>
      <c r="O11" s="78"/>
      <c r="P11" s="78"/>
      <c r="Q11" s="78"/>
      <c r="R11" s="78"/>
      <c r="S11" s="78"/>
      <c r="T11" s="78"/>
    </row>
    <row r="12" spans="1:20" ht="28.9">
      <c r="A12" s="28" t="str">
        <v>Brockton</v>
      </c>
      <c r="B12" s="29" t="str">
        <v>MA</v>
      </c>
      <c r="C12" s="24">
        <v>87651.5</v>
      </c>
      <c r="D12" s="13">
        <v>76452.89</v>
      </c>
      <c r="E12" s="13">
        <f t="shared" si="0"/>
        <v>11198.61</v>
      </c>
      <c r="F12" s="14">
        <f t="shared" si="3"/>
        <v>0.14647726201063166</v>
      </c>
      <c r="G12" s="15">
        <v>90182.96</v>
      </c>
      <c r="H12" s="15">
        <f t="shared" si="1"/>
        <v>-2531.4600000000064</v>
      </c>
      <c r="I12" s="16">
        <f t="shared" si="2"/>
        <v>-2.8070269594167304E-2</v>
      </c>
      <c r="J12" s="40" t="s">
        <v>192</v>
      </c>
      <c r="K12" s="75" t="s">
        <v>193</v>
      </c>
      <c r="L12" s="78"/>
      <c r="M12" s="78"/>
      <c r="N12" s="78"/>
      <c r="O12" s="78"/>
      <c r="P12" s="78"/>
      <c r="Q12" s="78"/>
      <c r="R12" s="78"/>
      <c r="S12" s="78"/>
      <c r="T12" s="78"/>
    </row>
    <row r="13" spans="1:20" ht="15.6">
      <c r="A13" s="30" t="str">
        <v>Canton</v>
      </c>
      <c r="B13" s="31" t="str">
        <v>MA</v>
      </c>
      <c r="C13" s="11">
        <v>84271</v>
      </c>
      <c r="D13" s="18">
        <v>78052.84</v>
      </c>
      <c r="E13" s="18">
        <f t="shared" si="0"/>
        <v>6218.1600000000035</v>
      </c>
      <c r="F13" s="19">
        <f t="shared" si="3"/>
        <v>7.9666031370543386E-2</v>
      </c>
      <c r="G13" s="20">
        <v>82093.69</v>
      </c>
      <c r="H13" s="20">
        <f t="shared" si="1"/>
        <v>2177.3099999999977</v>
      </c>
      <c r="I13" s="19">
        <f t="shared" si="2"/>
        <v>2.6522257679000634E-2</v>
      </c>
      <c r="J13" s="56"/>
      <c r="K13" s="55"/>
      <c r="L13" s="78"/>
      <c r="M13" s="78"/>
      <c r="N13" s="78"/>
      <c r="O13" s="78"/>
      <c r="P13" s="78"/>
      <c r="Q13" s="78"/>
      <c r="R13" s="78"/>
      <c r="S13" s="78"/>
      <c r="T13" s="78"/>
    </row>
    <row r="14" spans="1:20" ht="28.9">
      <c r="A14" s="28" t="str">
        <v>Chelsea</v>
      </c>
      <c r="B14" s="29" t="str">
        <v>MA</v>
      </c>
      <c r="C14" s="24">
        <v>148626</v>
      </c>
      <c r="D14" s="13">
        <v>141253.6</v>
      </c>
      <c r="E14" s="13">
        <f t="shared" si="0"/>
        <v>7372.3999999999942</v>
      </c>
      <c r="F14" s="14">
        <f t="shared" si="3"/>
        <v>5.2192652081079663E-2</v>
      </c>
      <c r="G14" s="15">
        <v>145954.70000000001</v>
      </c>
      <c r="H14" s="15">
        <f t="shared" si="1"/>
        <v>2671.2999999999884</v>
      </c>
      <c r="I14" s="16">
        <f t="shared" si="2"/>
        <v>1.830225405553907E-2</v>
      </c>
      <c r="J14" s="40" t="s">
        <v>194</v>
      </c>
      <c r="K14" s="75" t="s">
        <v>195</v>
      </c>
      <c r="L14" s="78"/>
      <c r="M14" s="78"/>
      <c r="N14" s="78"/>
      <c r="O14" s="78"/>
      <c r="P14" s="78"/>
      <c r="Q14" s="78"/>
      <c r="R14" s="78"/>
      <c r="S14" s="78"/>
      <c r="T14" s="78"/>
    </row>
    <row r="15" spans="1:20" ht="15.6">
      <c r="A15" s="30" t="str">
        <v>Hamilton Landfill</v>
      </c>
      <c r="B15" s="31" t="str">
        <v>MA</v>
      </c>
      <c r="C15" s="11">
        <v>114374.32</v>
      </c>
      <c r="D15" s="18">
        <v>118843.8</v>
      </c>
      <c r="E15" s="18">
        <f t="shared" si="0"/>
        <v>-4469.4799999999959</v>
      </c>
      <c r="F15" s="19">
        <f t="shared" si="3"/>
        <v>-3.7608019938776743E-2</v>
      </c>
      <c r="G15" s="20"/>
      <c r="H15" s="20" t="str">
        <f t="shared" si="1"/>
        <v/>
      </c>
      <c r="I15" s="19" t="str">
        <f t="shared" si="2"/>
        <v/>
      </c>
      <c r="J15" s="41"/>
      <c r="K15" s="42"/>
      <c r="L15" s="78"/>
      <c r="M15" s="78"/>
      <c r="N15" s="78"/>
      <c r="O15" s="78"/>
      <c r="P15" s="78"/>
      <c r="Q15" s="78"/>
      <c r="R15" s="78"/>
      <c r="S15" s="78"/>
      <c r="T15" s="78"/>
    </row>
    <row r="16" spans="1:20" ht="129.6">
      <c r="A16" s="28" t="str">
        <v>Holliston</v>
      </c>
      <c r="B16" s="29" t="str">
        <v>MA</v>
      </c>
      <c r="C16" s="24">
        <v>220987</v>
      </c>
      <c r="D16" s="13">
        <v>232448.3</v>
      </c>
      <c r="E16" s="13">
        <f t="shared" si="0"/>
        <v>-11461.299999999988</v>
      </c>
      <c r="F16" s="14">
        <f t="shared" si="3"/>
        <v>-4.9306878131610291E-2</v>
      </c>
      <c r="G16" s="15">
        <v>222646.5</v>
      </c>
      <c r="H16" s="15">
        <f t="shared" si="1"/>
        <v>-1659.5</v>
      </c>
      <c r="I16" s="16">
        <f t="shared" si="2"/>
        <v>-7.4535193681463663E-3</v>
      </c>
      <c r="J16" s="40" t="s">
        <v>196</v>
      </c>
      <c r="K16" s="75" t="s">
        <v>197</v>
      </c>
      <c r="L16" s="79" t="s">
        <v>198</v>
      </c>
      <c r="M16" s="79" t="s">
        <v>199</v>
      </c>
      <c r="N16" s="79" t="s">
        <v>200</v>
      </c>
      <c r="O16" s="78"/>
      <c r="P16" s="78"/>
      <c r="Q16" s="78"/>
      <c r="R16" s="78"/>
      <c r="S16" s="78"/>
      <c r="T16" s="78"/>
    </row>
    <row r="17" spans="1:20" ht="15.6">
      <c r="A17" s="30" t="str">
        <v>Natick HS - Carports</v>
      </c>
      <c r="B17" s="31" t="str">
        <v>MA</v>
      </c>
      <c r="C17" s="11">
        <v>75020.899999999994</v>
      </c>
      <c r="D17" s="18">
        <v>84347.6</v>
      </c>
      <c r="E17" s="18">
        <f t="shared" si="0"/>
        <v>-9326.7000000000116</v>
      </c>
      <c r="F17" s="19">
        <f t="shared" si="3"/>
        <v>-0.11057457473597365</v>
      </c>
      <c r="G17" s="89" t="s">
        <v>201</v>
      </c>
      <c r="H17" s="20" t="str">
        <f t="shared" si="1"/>
        <v/>
      </c>
      <c r="I17" s="19" t="str">
        <f t="shared" si="2"/>
        <v/>
      </c>
      <c r="J17" s="41"/>
      <c r="K17" s="42"/>
      <c r="L17" s="78"/>
      <c r="M17" s="78"/>
      <c r="N17" s="78"/>
      <c r="O17" s="78"/>
      <c r="P17" s="78"/>
      <c r="Q17" s="78"/>
      <c r="R17" s="78"/>
      <c r="S17" s="78"/>
      <c r="T17" s="78"/>
    </row>
    <row r="18" spans="1:20" ht="66">
      <c r="A18" s="32" t="str">
        <v>Norton</v>
      </c>
      <c r="B18" s="29" t="str">
        <v>MA</v>
      </c>
      <c r="C18" s="24">
        <v>0</v>
      </c>
      <c r="D18" s="13">
        <v>0</v>
      </c>
      <c r="E18" s="13">
        <f t="shared" si="0"/>
        <v>0</v>
      </c>
      <c r="F18" s="14" t="str">
        <f t="shared" si="3"/>
        <v/>
      </c>
      <c r="G18" s="15">
        <v>0</v>
      </c>
      <c r="H18" s="15">
        <f t="shared" si="1"/>
        <v>0</v>
      </c>
      <c r="I18" s="16" t="str">
        <f t="shared" si="2"/>
        <v/>
      </c>
      <c r="J18" s="40" t="s">
        <v>46</v>
      </c>
      <c r="K18" s="87" t="s">
        <v>202</v>
      </c>
      <c r="L18" s="79" t="s">
        <v>49</v>
      </c>
      <c r="M18" s="79" t="s">
        <v>48</v>
      </c>
      <c r="N18" s="79" t="s">
        <v>157</v>
      </c>
      <c r="O18" s="79" t="s">
        <v>158</v>
      </c>
      <c r="P18" s="79" t="s">
        <v>159</v>
      </c>
      <c r="Q18" s="78"/>
      <c r="R18" s="78"/>
      <c r="S18" s="78"/>
      <c r="T18" s="78"/>
    </row>
    <row r="19" spans="1:20" ht="43.15">
      <c r="A19" s="30" t="str">
        <v>Palmer - Boston Rd.</v>
      </c>
      <c r="B19" s="31" t="str">
        <v>MA</v>
      </c>
      <c r="C19" s="11">
        <v>71757</v>
      </c>
      <c r="D19" s="18">
        <v>66418.320000000007</v>
      </c>
      <c r="E19" s="18">
        <f t="shared" si="0"/>
        <v>5338.679999999993</v>
      </c>
      <c r="F19" s="19">
        <f t="shared" si="3"/>
        <v>8.0379630198415028E-2</v>
      </c>
      <c r="G19" s="20">
        <v>75993</v>
      </c>
      <c r="H19" s="20">
        <f t="shared" si="1"/>
        <v>-4236</v>
      </c>
      <c r="I19" s="19">
        <f t="shared" si="2"/>
        <v>-5.5741976234653191E-2</v>
      </c>
      <c r="J19" s="41" t="s">
        <v>203</v>
      </c>
      <c r="K19" s="77" t="s">
        <v>204</v>
      </c>
      <c r="L19" s="78"/>
      <c r="M19" s="78"/>
      <c r="N19" s="78"/>
      <c r="O19" s="78"/>
      <c r="P19" s="78"/>
      <c r="Q19" s="78"/>
      <c r="R19" s="78"/>
      <c r="S19" s="78"/>
      <c r="T19" s="78"/>
    </row>
    <row r="20" spans="1:20" ht="28.9">
      <c r="A20" s="28" t="str">
        <v>Shirley Bartkus</v>
      </c>
      <c r="B20" s="29" t="str">
        <v>MA</v>
      </c>
      <c r="C20" s="24">
        <v>129216.5</v>
      </c>
      <c r="D20" s="13">
        <v>113056.8</v>
      </c>
      <c r="E20" s="13">
        <f t="shared" si="0"/>
        <v>16159.699999999997</v>
      </c>
      <c r="F20" s="14">
        <f t="shared" si="3"/>
        <v>0.14293434804452274</v>
      </c>
      <c r="G20" s="15">
        <v>124491</v>
      </c>
      <c r="H20" s="15">
        <f t="shared" si="1"/>
        <v>4725.5</v>
      </c>
      <c r="I20" s="16">
        <f t="shared" si="2"/>
        <v>3.7958567285988544E-2</v>
      </c>
      <c r="J20" s="40" t="s">
        <v>205</v>
      </c>
      <c r="K20" s="75" t="s">
        <v>206</v>
      </c>
      <c r="L20" s="78"/>
      <c r="M20" s="78"/>
      <c r="N20" s="78"/>
      <c r="O20" s="78"/>
      <c r="P20" s="78"/>
      <c r="Q20" s="78"/>
      <c r="R20" s="78"/>
      <c r="S20" s="78"/>
      <c r="T20" s="78"/>
    </row>
    <row r="21" spans="1:20" ht="28.9">
      <c r="A21" s="30" t="str">
        <v>Stoughton</v>
      </c>
      <c r="B21" s="31" t="str">
        <v>MA</v>
      </c>
      <c r="C21" s="11">
        <v>100062</v>
      </c>
      <c r="D21" s="18">
        <v>57277.2</v>
      </c>
      <c r="E21" s="18">
        <f t="shared" si="0"/>
        <v>42784.800000000003</v>
      </c>
      <c r="F21" s="19">
        <f t="shared" si="3"/>
        <v>0.74697785506274761</v>
      </c>
      <c r="G21" s="20">
        <v>98616.66</v>
      </c>
      <c r="H21" s="20">
        <f t="shared" si="1"/>
        <v>1445.3399999999965</v>
      </c>
      <c r="I21" s="19">
        <f t="shared" si="2"/>
        <v>1.4656144306651599E-2</v>
      </c>
      <c r="J21" s="41" t="s">
        <v>207</v>
      </c>
      <c r="K21" s="77" t="s">
        <v>208</v>
      </c>
      <c r="L21" s="78"/>
      <c r="M21" s="78"/>
      <c r="N21" s="78"/>
      <c r="O21" s="78"/>
      <c r="P21" s="78"/>
      <c r="Q21" s="78"/>
      <c r="R21" s="78"/>
      <c r="S21" s="78"/>
      <c r="T21" s="78"/>
    </row>
    <row r="22" spans="1:20" ht="31.5" customHeight="1">
      <c r="A22" s="28" t="str">
        <v>Wellfleet Landfill</v>
      </c>
      <c r="B22" s="29" t="str">
        <v>MA</v>
      </c>
      <c r="C22" s="24">
        <v>116013.7</v>
      </c>
      <c r="D22" s="13">
        <v>126774.39999999999</v>
      </c>
      <c r="E22" s="13">
        <f t="shared" si="0"/>
        <v>-10760.699999999997</v>
      </c>
      <c r="F22" s="14">
        <f t="shared" si="3"/>
        <v>-8.4880701466542127E-2</v>
      </c>
      <c r="G22" s="88" t="s">
        <v>201</v>
      </c>
      <c r="H22" s="15" t="str">
        <f t="shared" si="1"/>
        <v/>
      </c>
      <c r="I22" s="16" t="str">
        <f t="shared" si="2"/>
        <v/>
      </c>
      <c r="J22" s="40"/>
      <c r="K22" s="40"/>
      <c r="L22" s="78"/>
      <c r="M22" s="78"/>
      <c r="N22" s="78"/>
      <c r="O22" s="78"/>
      <c r="P22" s="78"/>
      <c r="Q22" s="78"/>
      <c r="R22" s="78"/>
      <c r="S22" s="78"/>
      <c r="T22" s="78"/>
    </row>
    <row r="23" spans="1:20" ht="25.5" customHeight="1">
      <c r="A23" s="30" t="str">
        <v>Wilmington Garage &amp; Building 7</v>
      </c>
      <c r="B23" s="31" t="str">
        <v>MA</v>
      </c>
      <c r="C23" s="11">
        <v>143787.75</v>
      </c>
      <c r="D23" s="18">
        <v>145754.9</v>
      </c>
      <c r="E23" s="18">
        <f t="shared" si="0"/>
        <v>-1967.1499999999942</v>
      </c>
      <c r="F23" s="19">
        <f t="shared" si="3"/>
        <v>-1.3496287260325342E-2</v>
      </c>
      <c r="G23" s="20">
        <v>142094.1</v>
      </c>
      <c r="H23" s="20">
        <f t="shared" si="1"/>
        <v>1693.6499999999942</v>
      </c>
      <c r="I23" s="19">
        <f t="shared" si="2"/>
        <v>1.1919214098263011E-2</v>
      </c>
      <c r="J23" s="41" t="s">
        <v>209</v>
      </c>
      <c r="K23" s="77" t="s">
        <v>110</v>
      </c>
      <c r="L23" s="78"/>
      <c r="M23" s="78"/>
      <c r="N23" s="78"/>
      <c r="O23" s="78"/>
      <c r="P23" s="78"/>
      <c r="Q23" s="78"/>
      <c r="R23" s="78"/>
      <c r="S23" s="78"/>
      <c r="T23" s="78"/>
    </row>
    <row r="24" spans="1:20" ht="15.6">
      <c r="A24" s="28" t="str">
        <v>Woburn</v>
      </c>
      <c r="B24" s="29" t="str">
        <v>MA</v>
      </c>
      <c r="C24" s="24">
        <v>211624</v>
      </c>
      <c r="D24" s="13">
        <v>205620.1</v>
      </c>
      <c r="E24" s="13">
        <f t="shared" si="0"/>
        <v>6003.8999999999942</v>
      </c>
      <c r="F24" s="14">
        <f t="shared" si="3"/>
        <v>2.9198993678147194E-2</v>
      </c>
      <c r="G24" s="15">
        <v>200462.1</v>
      </c>
      <c r="H24" s="15">
        <f t="shared" si="1"/>
        <v>11161.899999999994</v>
      </c>
      <c r="I24" s="16">
        <f t="shared" si="2"/>
        <v>5.5680849397467119E-2</v>
      </c>
      <c r="J24" s="40"/>
      <c r="K24" s="40"/>
      <c r="L24" s="78"/>
      <c r="M24" s="78"/>
      <c r="N24" s="78"/>
      <c r="O24" s="78"/>
      <c r="P24" s="78"/>
      <c r="Q24" s="78"/>
      <c r="R24" s="78"/>
      <c r="S24" s="78"/>
      <c r="T24" s="78"/>
    </row>
    <row r="25" spans="1:20" ht="43.15">
      <c r="A25" s="30" t="str">
        <v>Friendship Solar 1</v>
      </c>
      <c r="B25" s="31" t="str">
        <v>MD</v>
      </c>
      <c r="C25" s="11">
        <v>410415</v>
      </c>
      <c r="D25" s="18">
        <v>431138.7</v>
      </c>
      <c r="E25" s="18">
        <f t="shared" si="0"/>
        <v>-20723.700000000012</v>
      </c>
      <c r="F25" s="19">
        <f t="shared" si="3"/>
        <v>-4.806736208092665E-2</v>
      </c>
      <c r="G25" s="20">
        <v>513850.3</v>
      </c>
      <c r="H25" s="20">
        <f t="shared" si="1"/>
        <v>-103435.29999999999</v>
      </c>
      <c r="I25" s="19">
        <f t="shared" si="2"/>
        <v>-0.20129461829641823</v>
      </c>
      <c r="J25" s="41" t="s">
        <v>210</v>
      </c>
      <c r="K25" s="77" t="s">
        <v>211</v>
      </c>
      <c r="L25" s="78"/>
      <c r="M25" s="78"/>
      <c r="N25" s="78"/>
      <c r="O25" s="78"/>
      <c r="P25" s="78"/>
      <c r="Q25" s="78"/>
      <c r="R25" s="78"/>
      <c r="S25" s="78"/>
      <c r="T25" s="78"/>
    </row>
    <row r="26" spans="1:20" ht="138" customHeight="1">
      <c r="A26" s="28" t="str">
        <v>Friendship Solar 2</v>
      </c>
      <c r="B26" s="29" t="str">
        <v>MD</v>
      </c>
      <c r="C26" s="24">
        <v>392850</v>
      </c>
      <c r="D26" s="13">
        <v>430700</v>
      </c>
      <c r="E26" s="13">
        <f t="shared" si="0"/>
        <v>-37850</v>
      </c>
      <c r="F26" s="14">
        <f t="shared" si="3"/>
        <v>-8.7880195031344324E-2</v>
      </c>
      <c r="G26" s="15">
        <v>500221.2</v>
      </c>
      <c r="H26" s="15">
        <f t="shared" si="1"/>
        <v>-107371.20000000001</v>
      </c>
      <c r="I26" s="16">
        <f t="shared" si="2"/>
        <v>-0.21464743997255617</v>
      </c>
      <c r="J26" s="40" t="s">
        <v>212</v>
      </c>
      <c r="K26" s="75" t="s">
        <v>213</v>
      </c>
      <c r="L26" s="79" t="s">
        <v>214</v>
      </c>
      <c r="M26" s="78"/>
      <c r="N26" s="78"/>
      <c r="O26" s="78"/>
      <c r="P26" s="78"/>
      <c r="Q26" s="78"/>
      <c r="R26" s="78"/>
      <c r="S26" s="78"/>
      <c r="T26" s="78"/>
    </row>
    <row r="27" spans="1:20" ht="28.9">
      <c r="A27" s="30" t="str">
        <v>101 Carnegie Center</v>
      </c>
      <c r="B27" s="31" t="str">
        <v>NJ</v>
      </c>
      <c r="C27" s="11">
        <v>8598.3700000000008</v>
      </c>
      <c r="D27" s="18">
        <v>9359.61</v>
      </c>
      <c r="E27" s="18">
        <f t="shared" si="0"/>
        <v>-761.23999999999978</v>
      </c>
      <c r="F27" s="19">
        <f t="shared" si="3"/>
        <v>-8.1332448681088174E-2</v>
      </c>
      <c r="G27" s="89" t="s">
        <v>201</v>
      </c>
      <c r="H27" s="20" t="str">
        <f t="shared" si="1"/>
        <v/>
      </c>
      <c r="I27" s="19" t="str">
        <f t="shared" si="2"/>
        <v/>
      </c>
      <c r="J27" s="41" t="s">
        <v>215</v>
      </c>
      <c r="K27" s="77" t="s">
        <v>216</v>
      </c>
      <c r="L27" s="78"/>
      <c r="M27" s="78"/>
      <c r="N27" s="78"/>
      <c r="O27" s="78"/>
      <c r="P27" s="78"/>
      <c r="Q27" s="78"/>
      <c r="R27" s="78"/>
      <c r="S27" s="78"/>
      <c r="T27" s="78"/>
    </row>
    <row r="28" spans="1:20" ht="15.6">
      <c r="A28" s="28" t="str">
        <v>302 Carnegie Center</v>
      </c>
      <c r="B28" s="29" t="str">
        <v>NJ</v>
      </c>
      <c r="C28" s="24">
        <v>75065.2</v>
      </c>
      <c r="D28" s="13">
        <v>78635.600000000006</v>
      </c>
      <c r="E28" s="13">
        <f t="shared" si="0"/>
        <v>-3570.4000000000087</v>
      </c>
      <c r="F28" s="14">
        <f t="shared" si="3"/>
        <v>-4.5404371556903085E-2</v>
      </c>
      <c r="G28" s="88" t="s">
        <v>201</v>
      </c>
      <c r="H28" s="15" t="str">
        <f t="shared" si="1"/>
        <v/>
      </c>
      <c r="I28" s="16" t="str">
        <f t="shared" si="2"/>
        <v/>
      </c>
      <c r="J28" s="40"/>
      <c r="K28" s="40"/>
      <c r="L28" s="78"/>
      <c r="M28" s="78"/>
      <c r="N28" s="78"/>
      <c r="O28" s="78"/>
      <c r="P28" s="78"/>
      <c r="Q28" s="78"/>
      <c r="R28" s="78"/>
      <c r="S28" s="78"/>
      <c r="T28" s="78"/>
    </row>
    <row r="29" spans="1:20" ht="15.6">
      <c r="A29" s="30" t="str">
        <v>510 Carnegie Center</v>
      </c>
      <c r="B29" s="31" t="str">
        <v>NJ</v>
      </c>
      <c r="C29" s="11">
        <v>191332.14</v>
      </c>
      <c r="D29" s="18">
        <v>206221.44</v>
      </c>
      <c r="E29" s="18">
        <f t="shared" si="0"/>
        <v>-14889.299999999988</v>
      </c>
      <c r="F29" s="19">
        <f t="shared" si="3"/>
        <v>-7.2200543260681274E-2</v>
      </c>
      <c r="G29" s="89" t="s">
        <v>201</v>
      </c>
      <c r="H29" s="20" t="str">
        <f t="shared" si="1"/>
        <v/>
      </c>
      <c r="I29" s="19" t="str">
        <f t="shared" si="2"/>
        <v/>
      </c>
      <c r="J29" s="41"/>
      <c r="K29" s="42"/>
      <c r="L29" s="78"/>
      <c r="M29" s="78"/>
      <c r="N29" s="78"/>
      <c r="O29" s="78"/>
      <c r="P29" s="78"/>
      <c r="Q29" s="78"/>
      <c r="R29" s="78"/>
      <c r="S29" s="78"/>
      <c r="T29" s="78"/>
    </row>
    <row r="30" spans="1:20" ht="15.6">
      <c r="A30" s="28" t="str">
        <v>701 Carnegie Center</v>
      </c>
      <c r="B30" s="29" t="str">
        <v>NJ</v>
      </c>
      <c r="C30" s="24">
        <v>148093.07</v>
      </c>
      <c r="D30" s="13">
        <v>165557.03</v>
      </c>
      <c r="E30" s="13">
        <f t="shared" si="0"/>
        <v>-17463.959999999992</v>
      </c>
      <c r="F30" s="14">
        <f t="shared" si="3"/>
        <v>-0.10548606724824668</v>
      </c>
      <c r="G30" s="88" t="s">
        <v>201</v>
      </c>
      <c r="H30" s="15" t="str">
        <f t="shared" si="1"/>
        <v/>
      </c>
      <c r="I30" s="16" t="str">
        <f t="shared" si="2"/>
        <v/>
      </c>
      <c r="J30" s="40"/>
      <c r="K30" s="40"/>
      <c r="L30" s="78"/>
      <c r="M30" s="78"/>
      <c r="N30" s="78"/>
      <c r="O30" s="78"/>
      <c r="P30" s="78"/>
      <c r="Q30" s="78"/>
      <c r="R30" s="78"/>
      <c r="S30" s="78"/>
      <c r="T30" s="78"/>
    </row>
    <row r="31" spans="1:20" ht="158.25" customHeight="1">
      <c r="A31" s="30" t="str">
        <v>Hudson County Correction</v>
      </c>
      <c r="B31" s="31" t="str">
        <v>NJ</v>
      </c>
      <c r="C31" s="11">
        <v>196136.41990000001</v>
      </c>
      <c r="D31" s="18">
        <v>206152.9</v>
      </c>
      <c r="E31" s="18">
        <f t="shared" si="0"/>
        <v>-10016.480099999986</v>
      </c>
      <c r="F31" s="19">
        <f t="shared" si="3"/>
        <v>-4.8587626465599013E-2</v>
      </c>
      <c r="G31" s="20">
        <v>218963.9</v>
      </c>
      <c r="H31" s="20">
        <f t="shared" si="1"/>
        <v>-22827.480099999986</v>
      </c>
      <c r="I31" s="19">
        <f t="shared" si="2"/>
        <v>-0.10425225391034772</v>
      </c>
      <c r="J31" s="57" t="s">
        <v>217</v>
      </c>
      <c r="K31" s="74" t="s">
        <v>218</v>
      </c>
      <c r="L31" s="79" t="s">
        <v>219</v>
      </c>
      <c r="M31" s="79" t="s">
        <v>220</v>
      </c>
      <c r="N31" s="78"/>
      <c r="O31" s="78"/>
      <c r="P31" s="78"/>
      <c r="Q31" s="78"/>
      <c r="R31" s="78"/>
      <c r="S31" s="78"/>
      <c r="T31" s="78"/>
    </row>
    <row r="32" spans="1:20" ht="15.6">
      <c r="A32" s="28" t="str">
        <v>ER Bison Solar</v>
      </c>
      <c r="B32" s="29" t="str">
        <v>PA</v>
      </c>
      <c r="C32" s="24">
        <v>210689</v>
      </c>
      <c r="D32" s="13">
        <v>0</v>
      </c>
      <c r="E32" s="13">
        <f t="shared" si="0"/>
        <v>210689</v>
      </c>
      <c r="F32" s="14" t="str">
        <f t="shared" si="3"/>
        <v/>
      </c>
      <c r="G32" s="15">
        <v>216099</v>
      </c>
      <c r="H32" s="15">
        <f t="shared" si="1"/>
        <v>-5410</v>
      </c>
      <c r="I32" s="16">
        <f t="shared" si="2"/>
        <v>-2.503482200287831E-2</v>
      </c>
      <c r="J32" s="40"/>
      <c r="K32" s="40"/>
      <c r="L32" s="78"/>
      <c r="M32" s="78"/>
      <c r="N32" s="78"/>
      <c r="O32" s="78"/>
      <c r="P32" s="78"/>
      <c r="Q32" s="78"/>
      <c r="R32" s="78"/>
      <c r="S32" s="78"/>
      <c r="T32" s="78"/>
    </row>
    <row r="33" spans="1:20" ht="15.6">
      <c r="A33" s="30" t="str">
        <v>Danville</v>
      </c>
      <c r="B33" s="31" t="str">
        <v>IL</v>
      </c>
      <c r="C33" s="11">
        <v>317870.75</v>
      </c>
      <c r="D33" s="18">
        <v>0</v>
      </c>
      <c r="E33" s="18">
        <f t="shared" si="0"/>
        <v>317870.75</v>
      </c>
      <c r="F33" s="19" t="str">
        <f t="shared" si="3"/>
        <v/>
      </c>
      <c r="G33" s="89" t="s">
        <v>201</v>
      </c>
      <c r="H33" s="20" t="str">
        <f t="shared" si="1"/>
        <v/>
      </c>
      <c r="I33" s="19" t="str">
        <f t="shared" si="2"/>
        <v/>
      </c>
      <c r="J33" s="41"/>
      <c r="K33" s="42"/>
      <c r="L33" s="78"/>
      <c r="M33" s="78"/>
      <c r="N33" s="78"/>
      <c r="O33" s="78"/>
      <c r="P33" s="78"/>
      <c r="Q33" s="78"/>
      <c r="R33" s="78"/>
      <c r="S33" s="78"/>
      <c r="T33" s="78"/>
    </row>
    <row r="34" spans="1:20" ht="203.25" customHeight="1">
      <c r="A34" s="28" t="str">
        <v>Camden - Campbell Soup HQ</v>
      </c>
      <c r="B34" s="29" t="str">
        <v>NJ</v>
      </c>
      <c r="C34" s="24">
        <v>307862</v>
      </c>
      <c r="D34" s="13">
        <v>540245.51132996345</v>
      </c>
      <c r="E34" s="13">
        <f t="shared" si="0"/>
        <v>-232383.51132996345</v>
      </c>
      <c r="F34" s="14">
        <f t="shared" si="3"/>
        <v>-0.43014427044083586</v>
      </c>
      <c r="G34" s="15">
        <v>540594.74</v>
      </c>
      <c r="H34" s="15">
        <f t="shared" si="1"/>
        <v>-232732.74</v>
      </c>
      <c r="I34" s="16">
        <f t="shared" si="2"/>
        <v>-0.43051240195196866</v>
      </c>
      <c r="J34" s="40" t="s">
        <v>180</v>
      </c>
      <c r="K34" s="75" t="s">
        <v>181</v>
      </c>
      <c r="L34" s="79" t="s">
        <v>124</v>
      </c>
      <c r="M34" s="79" t="s">
        <v>84</v>
      </c>
      <c r="N34" s="79" t="s">
        <v>125</v>
      </c>
      <c r="O34" s="79" t="s">
        <v>126</v>
      </c>
      <c r="P34" s="79" t="s">
        <v>127</v>
      </c>
      <c r="Q34" s="79" t="s">
        <v>128</v>
      </c>
      <c r="R34" s="78"/>
      <c r="S34" s="78"/>
      <c r="T34" s="78"/>
    </row>
    <row r="35" spans="1:20" ht="43.15">
      <c r="A35" s="30" t="str">
        <v>Westport - Pine Hill</v>
      </c>
      <c r="B35" s="31" t="str">
        <v>MA</v>
      </c>
      <c r="C35" s="11">
        <v>553297</v>
      </c>
      <c r="D35" s="18" t="s">
        <v>201</v>
      </c>
      <c r="E35" s="18" t="str">
        <f t="shared" si="0"/>
        <v/>
      </c>
      <c r="F35" s="19" t="str">
        <f t="shared" si="3"/>
        <v/>
      </c>
      <c r="G35" s="20">
        <v>568288</v>
      </c>
      <c r="H35" s="20">
        <f t="shared" si="1"/>
        <v>-14991</v>
      </c>
      <c r="I35" s="19">
        <f t="shared" si="2"/>
        <v>-2.6379230249450984E-2</v>
      </c>
      <c r="J35" s="41" t="s">
        <v>221</v>
      </c>
      <c r="K35" s="77" t="s">
        <v>222</v>
      </c>
      <c r="L35" s="78"/>
      <c r="M35" s="78"/>
      <c r="N35" s="78"/>
      <c r="O35" s="78"/>
      <c r="P35" s="78"/>
      <c r="Q35" s="78"/>
      <c r="R35" s="78"/>
      <c r="S35" s="78"/>
      <c r="T35" s="78"/>
    </row>
    <row r="36" spans="1:20" ht="15.6">
      <c r="A36" s="28" t="str">
        <v>Oaks Landfill - ANEM</v>
      </c>
      <c r="B36" s="29" t="str">
        <v>MD</v>
      </c>
      <c r="C36" s="24">
        <v>327800.23</v>
      </c>
      <c r="D36" s="13">
        <v>360342.22</v>
      </c>
      <c r="E36" s="13">
        <f t="shared" si="0"/>
        <v>-32541.989999999991</v>
      </c>
      <c r="F36" s="14">
        <f t="shared" si="3"/>
        <v>-9.030856833817584E-2</v>
      </c>
      <c r="G36" s="88" t="s">
        <v>201</v>
      </c>
      <c r="H36" s="15" t="str">
        <f t="shared" si="1"/>
        <v/>
      </c>
      <c r="I36" s="16" t="str">
        <f t="shared" si="2"/>
        <v/>
      </c>
      <c r="J36" s="40"/>
      <c r="K36" s="40"/>
      <c r="L36" s="78"/>
      <c r="M36" s="78"/>
      <c r="N36" s="78"/>
      <c r="O36" s="78"/>
      <c r="P36" s="78"/>
      <c r="Q36" s="78"/>
      <c r="R36" s="78"/>
      <c r="S36" s="78"/>
      <c r="T36" s="78"/>
    </row>
    <row r="37" spans="1:20" ht="112.5" customHeight="1">
      <c r="A37" s="30" t="str">
        <v>Oaks Landfill - CS2</v>
      </c>
      <c r="B37" s="31" t="str">
        <v>MD</v>
      </c>
      <c r="C37" s="11">
        <v>314572.28899999999</v>
      </c>
      <c r="D37" s="18">
        <v>362480.951</v>
      </c>
      <c r="E37" s="18">
        <f t="shared" si="0"/>
        <v>-47908.662000000011</v>
      </c>
      <c r="F37" s="19">
        <f t="shared" si="3"/>
        <v>-0.13216877153911466</v>
      </c>
      <c r="G37" s="89" t="s">
        <v>201</v>
      </c>
      <c r="H37" s="20" t="str">
        <f t="shared" si="1"/>
        <v/>
      </c>
      <c r="I37" s="19" t="str">
        <f t="shared" si="2"/>
        <v/>
      </c>
      <c r="J37" s="56" t="s">
        <v>223</v>
      </c>
      <c r="K37" s="77" t="s">
        <v>224</v>
      </c>
      <c r="L37" s="78"/>
      <c r="M37" s="78"/>
      <c r="N37" s="78"/>
      <c r="O37" s="78"/>
      <c r="P37" s="78"/>
      <c r="Q37" s="78"/>
      <c r="R37" s="78"/>
      <c r="S37" s="78"/>
      <c r="T37" s="78"/>
    </row>
    <row r="38" spans="1:20" ht="15.6">
      <c r="A38" s="28" t="str">
        <v>Oaks Landfill - CS1</v>
      </c>
      <c r="B38" s="29" t="str">
        <v>MD</v>
      </c>
      <c r="C38" s="24">
        <v>335741.82400000002</v>
      </c>
      <c r="D38" s="13">
        <v>362478.68099999998</v>
      </c>
      <c r="E38" s="13">
        <f t="shared" si="0"/>
        <v>-26736.85699999996</v>
      </c>
      <c r="F38" s="14">
        <f t="shared" si="3"/>
        <v>-7.3761184868138388E-2</v>
      </c>
      <c r="G38" s="88" t="s">
        <v>201</v>
      </c>
      <c r="H38" s="15" t="str">
        <f t="shared" si="1"/>
        <v/>
      </c>
      <c r="I38" s="16" t="str">
        <f t="shared" si="2"/>
        <v/>
      </c>
      <c r="J38" s="40"/>
      <c r="K38" s="40"/>
      <c r="L38" s="78"/>
      <c r="M38" s="78"/>
      <c r="N38" s="78"/>
      <c r="O38" s="78"/>
      <c r="P38" s="78"/>
      <c r="Q38" s="78"/>
      <c r="R38" s="78"/>
      <c r="S38" s="78"/>
      <c r="T38" s="78"/>
    </row>
    <row r="39" spans="1:20" ht="15.6">
      <c r="A39" s="30" t="str">
        <v>Plympton - Upland Solar - PV &amp; BESS (IRA)</v>
      </c>
      <c r="B39" s="31" t="str">
        <v>MA</v>
      </c>
      <c r="C39" s="11"/>
      <c r="D39" s="18"/>
      <c r="E39" s="18"/>
      <c r="F39" s="19"/>
      <c r="G39" s="89"/>
      <c r="H39" s="20"/>
      <c r="I39" s="19"/>
      <c r="J39" s="41"/>
      <c r="K39" s="42"/>
      <c r="L39" s="78"/>
      <c r="M39" s="78"/>
      <c r="N39" s="78"/>
      <c r="O39" s="78"/>
      <c r="P39" s="78"/>
      <c r="Q39" s="78"/>
      <c r="R39" s="78"/>
      <c r="S39" s="78"/>
      <c r="T39" s="78"/>
    </row>
    <row r="40" spans="1:20" ht="14.45">
      <c r="A40" s="21" t="str">
        <v>MA: Plymouth - Black Cat Solar - PV &amp; BESS (IRA)</v>
      </c>
      <c r="B40" s="33" t="str">
        <v>MA</v>
      </c>
      <c r="C40" s="21"/>
      <c r="D40" s="21"/>
      <c r="E40" s="21"/>
      <c r="F40" s="22"/>
      <c r="G40" s="21"/>
      <c r="H40" s="21"/>
      <c r="I40" s="22"/>
      <c r="J40" s="21"/>
      <c r="K40" s="21"/>
      <c r="L40" s="78"/>
      <c r="M40" s="78"/>
      <c r="N40" s="78"/>
      <c r="O40" s="78"/>
      <c r="P40" s="78"/>
      <c r="Q40" s="78"/>
      <c r="R40" s="78"/>
      <c r="S40" s="78"/>
      <c r="T40" s="78"/>
    </row>
    <row r="41" spans="1:20" ht="14.45">
      <c r="A41" s="21"/>
      <c r="B41" s="33"/>
      <c r="C41" s="21"/>
      <c r="D41" s="21"/>
      <c r="E41" s="21"/>
      <c r="F41" s="22"/>
      <c r="G41" s="21"/>
      <c r="H41" s="21"/>
      <c r="I41" s="22"/>
      <c r="J41" s="21"/>
      <c r="K41" s="21"/>
    </row>
    <row r="42" spans="1:20" ht="14.45">
      <c r="A42" s="21"/>
      <c r="B42" s="33"/>
      <c r="C42" s="21"/>
      <c r="D42" s="21"/>
      <c r="E42" s="21"/>
      <c r="F42" s="22"/>
      <c r="G42" s="21"/>
      <c r="H42" s="21"/>
      <c r="I42" s="22"/>
      <c r="J42" s="21"/>
      <c r="K42" s="21"/>
    </row>
    <row r="43" spans="1:20" ht="14.45">
      <c r="A43" s="21"/>
      <c r="B43" s="33"/>
      <c r="C43" s="21"/>
      <c r="D43" s="21"/>
      <c r="E43" s="21"/>
      <c r="F43" s="22"/>
      <c r="G43" s="21"/>
      <c r="H43" s="21"/>
      <c r="I43" s="22"/>
      <c r="J43" s="21"/>
      <c r="K43" s="21"/>
    </row>
    <row r="44" spans="1:20" ht="14.45">
      <c r="A44" s="21"/>
      <c r="B44" s="33"/>
      <c r="C44" s="21"/>
      <c r="D44" s="21"/>
      <c r="E44" s="21"/>
      <c r="F44" s="22"/>
      <c r="G44" s="21"/>
      <c r="H44" s="21"/>
      <c r="I44" s="22"/>
      <c r="J44" s="21"/>
      <c r="K44" s="21"/>
    </row>
    <row r="45" spans="1:20" ht="14.45">
      <c r="A45" s="21"/>
      <c r="B45" s="33"/>
      <c r="C45" s="21"/>
      <c r="D45" s="21"/>
      <c r="E45" s="21"/>
      <c r="F45" s="22"/>
      <c r="G45" s="21"/>
      <c r="H45" s="21"/>
      <c r="I45" s="22"/>
      <c r="J45" s="21"/>
      <c r="K45" s="21"/>
    </row>
    <row r="46" spans="1:20" ht="14.45">
      <c r="A46" s="21"/>
      <c r="B46" s="33"/>
      <c r="C46" s="21"/>
      <c r="D46" s="21"/>
      <c r="E46" s="21"/>
      <c r="F46" s="22"/>
      <c r="G46" s="21"/>
      <c r="H46" s="21"/>
      <c r="I46" s="22"/>
      <c r="J46" s="21"/>
      <c r="K46" s="21"/>
    </row>
    <row r="47" spans="1:20" ht="14.45">
      <c r="A47" s="21"/>
      <c r="B47" s="33"/>
      <c r="C47" s="21"/>
      <c r="D47" s="21"/>
      <c r="E47" s="21"/>
      <c r="F47" s="22"/>
      <c r="G47" s="21"/>
      <c r="H47" s="21"/>
      <c r="I47" s="22"/>
      <c r="J47" s="21"/>
      <c r="K47" s="21"/>
    </row>
    <row r="48" spans="1:20"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39" priority="3" stopIfTrue="1" operator="lessThanOrEqual">
      <formula>-0.1</formula>
    </cfRule>
    <cfRule type="expression" dxfId="38" priority="4">
      <formula>AND(ISNUMBER(F2), F2&gt;=0.1)</formula>
    </cfRule>
  </conditionalFormatting>
  <conditionalFormatting sqref="F4:F100 I4:I100">
    <cfRule type="cellIs" dxfId="37" priority="1" stopIfTrue="1" operator="lessThanOrEqual">
      <formula>-0.1</formula>
    </cfRule>
    <cfRule type="expression" dxfId="36" priority="2">
      <formula>AND(ISNUMBER(F4), F4&gt;=0.1)</formula>
    </cfRule>
  </conditionalFormatting>
  <hyperlinks>
    <hyperlink ref="K4" r:id="rId1" display="https://us3.assetplanner.com/service_request?ID=099342" xr:uid="{46F78789-47E2-458D-A2E5-0B2B72F3E3BE}"/>
    <hyperlink ref="K5" r:id="rId2" display="https://us3.assetplanner.com/service_request?ID=070225" xr:uid="{B8D13476-4051-4615-9474-966965D7F0BA}"/>
    <hyperlink ref="K7" r:id="rId3" display="https://us3.assetplanner.com/service_request?ID=095312" xr:uid="{3CAC3CB6-B67D-42BE-B3AA-BA5BBC2AD89A}"/>
    <hyperlink ref="K9" r:id="rId4" display="https://us3.assetplanner.com/service_request?ID=095220" xr:uid="{5B272D64-1AEB-4850-898E-72FC765B35B8}"/>
    <hyperlink ref="L9" r:id="rId5" display="https://us3.assetplanner.com/service_request?ID=089170" xr:uid="{B3C6E8A8-7F0D-4137-B157-0D6ED00C59E2}"/>
    <hyperlink ref="K10" r:id="rId6" display="https://us3.assetplanner.com/service_request?ID=099314" xr:uid="{0F7CAA12-C829-4F62-9A88-80A7D70F1031}"/>
    <hyperlink ref="L10" r:id="rId7" display="https://us3.assetplanner.com/service_request?ID=089564" xr:uid="{DDC4F07B-1F80-417A-8D8B-98D37E3BD0FB}"/>
    <hyperlink ref="M10" r:id="rId8" display="https://us3.assetplanner.com/service_request?ID=093404" xr:uid="{8D073AA5-AB8A-4B86-A6B1-F25D250579EC}"/>
    <hyperlink ref="K12" r:id="rId9" display="https://us3.assetplanner.com/service_request?ID=099133" xr:uid="{F6D0313D-C300-4EFE-9C83-254F7451AEEE}"/>
    <hyperlink ref="K14" r:id="rId10" display="https://us3.assetplanner.com/service_request?ID=093500" xr:uid="{77B96240-587C-45E9-843E-6416468E0545}"/>
    <hyperlink ref="K16" r:id="rId11" display="https://us3.assetplanner.com/service_request?ID=099134" xr:uid="{C0D3CCB8-6FD0-451F-9855-2D63B2BA7102}"/>
    <hyperlink ref="L16" r:id="rId12" display="https://us3.assetplanner.com/service_request?ID=10005," xr:uid="{666EDA7F-4716-4539-90AF-BC66C4794D77}"/>
    <hyperlink ref="M16" r:id="rId13" display="https://us3.assetplanner.com/service_request?ID=100102" xr:uid="{B69D9E0B-8F72-4171-8FC2-7FF4EB693F33}"/>
    <hyperlink ref="N16" r:id="rId14" display="https://us3.assetplanner.com/service_request?ID=100488" xr:uid="{169B0AE3-0605-46EC-9A0C-FDF94A049C9B}"/>
    <hyperlink ref="K18" r:id="rId15" display="https://us3.assetplanner.com/service_request?ID=098208" xr:uid="{60304F0C-5ADA-4DD2-9561-72BF08D582C6}"/>
    <hyperlink ref="L18" r:id="rId16" display="https://us3.assetplanner.com/service_request?ID=096031" xr:uid="{078AF55A-F77F-4FC8-A6AD-83DB126DC744}"/>
    <hyperlink ref="M18" r:id="rId17" display="https://us3.assetplanner.com/service_request?ID=093403" xr:uid="{2EF6101C-9900-44F9-A4BD-478DD7D65665}"/>
    <hyperlink ref="N18" r:id="rId18" display="https://us3.assetplanner.com/service_request?ID=097902" xr:uid="{5FAACD1D-E229-45B0-885B-345AB086D981}"/>
    <hyperlink ref="O18" r:id="rId19" display="https://us3.assetplanner.com/service_request?ID=098208" xr:uid="{46D8BC97-C2F6-426F-BC80-4C982C0648F5}"/>
    <hyperlink ref="P18" r:id="rId20" display="https://us3.assetplanner.com/service_request?ID=099015" xr:uid="{8480C563-BFFB-431A-A0E7-BB0074537249}"/>
    <hyperlink ref="K19" r:id="rId21" display="https://us3.assetplanner.com/service_request?ID=100025" xr:uid="{28C15D85-B324-4BD0-B0F0-FB1588541F03}"/>
    <hyperlink ref="K20" r:id="rId22" display="https://us3.assetplanner.com/service_request?ID=100098" xr:uid="{F6CD9803-25C4-4BFC-9CF1-5CFDD097C878}"/>
    <hyperlink ref="K21" r:id="rId23" display="https://us3.assetplanner.com/service_request?ID=099721" xr:uid="{307F42C3-00D1-4449-BFDE-3BEFB61C90F4}"/>
    <hyperlink ref="K23" r:id="rId24" display="https://us3.assetplanner.com/service_request?ID=094678" xr:uid="{089ECC0F-1BCB-436F-80DC-81EB91584978}"/>
    <hyperlink ref="K25" r:id="rId25" display="https://us3.assetplanner.com/service_request?ID=099514" xr:uid="{C0A616EE-85C9-433A-A277-483A4A6FC11A}"/>
    <hyperlink ref="K26" r:id="rId26" display="https://us3.assetplanner.com/service_request?ID=099517" xr:uid="{DB181013-302B-4BB0-A6AA-D624D09CC84D}"/>
    <hyperlink ref="L26" r:id="rId27" display="https://us3.assetplanner.com/service_request?ID=099512" xr:uid="{0CBA0081-9E4F-49DF-B097-C291D6149D86}"/>
    <hyperlink ref="K27" r:id="rId28" display="https://us3.assetplanner.com/service_request?ID=099808" xr:uid="{D9CDFB4C-8396-444D-9C43-1A76B9ED9515}"/>
    <hyperlink ref="K31" r:id="rId29" display="https://us3.assetplanner.com/service_request?ID=098681" xr:uid="{622E26BB-1BFD-41E4-95A6-877069B5E85D}"/>
    <hyperlink ref="L31" r:id="rId30" display="https://us3.assetplanner.com/service_request?ID=100367" xr:uid="{43CEFB28-133B-434C-BBFE-B39390F6FB11}"/>
    <hyperlink ref="M31" r:id="rId31" display="https://us3.assetplanner.com/service_request?ID=100422" xr:uid="{5F2CC2FB-65DF-414D-BCED-31146DBB39B9}"/>
    <hyperlink ref="K34" r:id="rId32" display="https://us3.assetplanner.com/service_request?ID=093773" xr:uid="{28276F80-B9A1-4B2C-8ACF-6B5911D3346F}"/>
    <hyperlink ref="L34" r:id="rId33" display="https://us3.assetplanner.com/service_request?ID=094890" xr:uid="{1164CA64-B375-4506-989A-5BE1612D699D}"/>
    <hyperlink ref="M34" r:id="rId34" display="https://us3.assetplanner.com/service_request?ID=095761" xr:uid="{F33B3593-AAFB-4D00-A716-3AC8F5DE968B}"/>
    <hyperlink ref="N34" r:id="rId35" display="https://us3.assetplanner.com/service_request?ID=096555" xr:uid="{E7FBBDDB-2BD7-498D-B905-801DBDF1667F}"/>
    <hyperlink ref="O34" r:id="rId36" display="https://us3.assetplanner.com/service_request?ID=096557" xr:uid="{319A9F2B-5400-4E79-B1B6-AF728E97FD8B}"/>
    <hyperlink ref="P34" r:id="rId37" display="https://us3.assetplanner.com/service_request?ID=096558" xr:uid="{65D4FE0A-6351-44B6-9795-DE1A6CA54EA9}"/>
    <hyperlink ref="Q34" r:id="rId38" display="https://us3.assetplanner.com/service_request?ID=097964" xr:uid="{79CD6E2B-7D9A-4AD8-BFFE-7EA89ABCAAF7}"/>
    <hyperlink ref="K35" r:id="rId39" display="https://us3.assetplanner.com/service_request?ID=099355" xr:uid="{0FA3714F-42FC-40A6-B253-D17F960199F4}"/>
    <hyperlink ref="K37" r:id="rId40" display="https://us3.assetplanner.com/service_request?ID=096221" xr:uid="{D770CB1C-2455-4C8D-882E-D17421063A1D}"/>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AI342"/>
  <sheetViews>
    <sheetView zoomScale="70" zoomScaleNormal="70" workbookViewId="0">
      <pane xSplit="2" ySplit="3" topLeftCell="C16" activePane="bottomRight" state="frozen"/>
      <selection pane="bottomRight" activeCell="Y16" sqref="Y16"/>
      <selection pane="bottomLeft" activeCell="F38" sqref="F38"/>
      <selection pane="topRight" activeCell="F38" sqref="F38"/>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138.28515625" bestFit="1" customWidth="1"/>
    <col min="11" max="11" width="20.5703125" bestFit="1" customWidth="1"/>
  </cols>
  <sheetData>
    <row r="1" spans="1:35" ht="19.5" customHeight="1">
      <c r="A1" s="117" t="str" cm="1">
        <f t="array" ref="A1">portfolio</f>
        <v>Greenbacker Capital</v>
      </c>
      <c r="B1" s="117"/>
      <c r="C1" s="117"/>
      <c r="D1" s="118" t="s">
        <v>225</v>
      </c>
      <c r="E1" s="118"/>
      <c r="F1" s="118"/>
      <c r="G1" s="116" t="s">
        <v>226</v>
      </c>
      <c r="H1" s="116"/>
      <c r="I1" s="116"/>
      <c r="J1" s="4"/>
      <c r="K1" s="4"/>
    </row>
    <row r="2" spans="1:35" ht="19.5" customHeight="1">
      <c r="A2" s="119" t="s">
        <v>2</v>
      </c>
      <c r="B2" s="119"/>
      <c r="C2" s="5">
        <f>SUM(C4:C100)</f>
        <v>6440601.337595745</v>
      </c>
      <c r="D2" s="5">
        <f>SUM(D4:D100)</f>
        <v>5691590.5207000002</v>
      </c>
      <c r="E2" s="5">
        <f>C2-D2</f>
        <v>749010.81689574476</v>
      </c>
      <c r="F2" s="6">
        <f>IFERROR(E2/D2, 0)</f>
        <v>0.13159956152355545</v>
      </c>
      <c r="G2" s="5">
        <f>SUM(G4:G100)</f>
        <v>5611330.2899999991</v>
      </c>
      <c r="H2" s="7">
        <f>C2-G2</f>
        <v>829271.04759574588</v>
      </c>
      <c r="I2" s="6">
        <f>IFERROR(H2/G2, 0)</f>
        <v>0.14778510704914252</v>
      </c>
      <c r="J2" s="26"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35" ht="14.25" customHeight="1">
      <c r="A3" s="8" t="s">
        <v>3</v>
      </c>
      <c r="B3" s="8" t="s">
        <v>4</v>
      </c>
      <c r="C3" s="23" t="s">
        <v>5</v>
      </c>
      <c r="D3" s="35" t="s">
        <v>6</v>
      </c>
      <c r="E3" s="35" t="s">
        <v>7</v>
      </c>
      <c r="F3" s="36" t="s">
        <v>8</v>
      </c>
      <c r="G3" s="37" t="s">
        <v>9</v>
      </c>
      <c r="H3" s="38" t="s">
        <v>7</v>
      </c>
      <c r="I3" s="39" t="s">
        <v>8</v>
      </c>
      <c r="J3" s="25" t="s">
        <v>20</v>
      </c>
      <c r="K3" s="25" t="s">
        <v>21</v>
      </c>
    </row>
    <row r="4" spans="1:35" ht="15.6">
      <c r="A4" s="32" t="str" cm="1">
        <f t="array" ref="A4:A40">Sites[Site]</f>
        <v>10 Walpole Park South</v>
      </c>
      <c r="B4" s="29" t="str" cm="1">
        <f t="array" ref="B4:B40">Sites[State]</f>
        <v>MA</v>
      </c>
      <c r="C4" s="24">
        <v>17203.25</v>
      </c>
      <c r="D4" s="13">
        <v>15001.07</v>
      </c>
      <c r="E4" s="13">
        <f>IF(AND(ISNUMBER(C4),ISNUMBER(D4)), C4-D4, "")</f>
        <v>2202.1800000000003</v>
      </c>
      <c r="F4" s="14">
        <f>IFERROR(E4/D4, "")</f>
        <v>0.1468015281576581</v>
      </c>
      <c r="G4" s="15">
        <v>20052.080000000002</v>
      </c>
      <c r="H4" s="15">
        <f>IF(AND(ISNUMBER(C4),ISNUMBER(G4)), C4-G4, "")</f>
        <v>-2848.8300000000017</v>
      </c>
      <c r="I4" s="16">
        <f>IFERROR(H4/G4, "")</f>
        <v>-0.14207154569501027</v>
      </c>
      <c r="J4" s="40" t="s">
        <v>227</v>
      </c>
      <c r="K4" s="40"/>
      <c r="L4" s="78"/>
      <c r="M4" s="78"/>
      <c r="N4" s="78"/>
      <c r="O4" s="78"/>
      <c r="P4" s="78"/>
      <c r="Q4" s="78"/>
      <c r="R4" s="78"/>
      <c r="S4" s="78"/>
      <c r="T4" s="78"/>
      <c r="U4" s="78"/>
      <c r="V4" s="78"/>
      <c r="W4" s="78"/>
      <c r="X4" s="78"/>
      <c r="Y4" s="78"/>
      <c r="Z4" s="78"/>
      <c r="AA4" s="78"/>
      <c r="AB4" s="78"/>
      <c r="AC4" s="78"/>
      <c r="AD4" s="78"/>
      <c r="AE4" s="78"/>
      <c r="AF4" s="78"/>
      <c r="AG4" s="78"/>
      <c r="AH4" s="78"/>
      <c r="AI4" s="78"/>
    </row>
    <row r="5" spans="1:35" ht="15.6">
      <c r="A5" s="30" t="str">
        <v>15 Walpole Park South</v>
      </c>
      <c r="B5" s="31" t="str">
        <v>MA</v>
      </c>
      <c r="C5" s="11">
        <v>59750</v>
      </c>
      <c r="D5" s="18">
        <v>56670.34</v>
      </c>
      <c r="E5" s="18">
        <f t="shared" ref="E5:E39" si="0">IF(AND(ISNUMBER(C5),ISNUMBER(D5)), C5-D5, "")</f>
        <v>3079.6600000000035</v>
      </c>
      <c r="F5" s="19">
        <f>IFERROR(E5/D5, "")</f>
        <v>5.4343418444286792E-2</v>
      </c>
      <c r="G5" s="20">
        <v>71158.2</v>
      </c>
      <c r="H5" s="20">
        <f t="shared" ref="H5:H39" si="1">IF(AND(ISNUMBER(C5),ISNUMBER(G5)), C5-G5, "")</f>
        <v>-11408.199999999997</v>
      </c>
      <c r="I5" s="19">
        <f t="shared" ref="I5:I39" si="2">IFERROR(H5/G5, "")</f>
        <v>-0.16032164950771657</v>
      </c>
      <c r="J5" s="41" t="s">
        <v>227</v>
      </c>
      <c r="K5" s="41"/>
      <c r="L5" s="78"/>
      <c r="M5" s="78"/>
      <c r="N5" s="78"/>
      <c r="O5" s="78"/>
      <c r="P5" s="78"/>
      <c r="Q5" s="78"/>
      <c r="R5" s="78"/>
      <c r="S5" s="78"/>
      <c r="T5" s="78"/>
      <c r="U5" s="78"/>
      <c r="V5" s="78"/>
      <c r="W5" s="78"/>
      <c r="X5" s="78"/>
      <c r="Y5" s="78"/>
      <c r="Z5" s="78"/>
      <c r="AA5" s="78"/>
      <c r="AB5" s="78"/>
      <c r="AC5" s="78"/>
      <c r="AD5" s="78"/>
      <c r="AE5" s="78"/>
      <c r="AF5" s="78"/>
      <c r="AG5" s="78"/>
      <c r="AH5" s="78"/>
      <c r="AI5" s="78"/>
    </row>
    <row r="6" spans="1:35" ht="15.6">
      <c r="A6" s="28" t="str">
        <v>19 Walpole Park South</v>
      </c>
      <c r="B6" s="29" t="str">
        <v>MA</v>
      </c>
      <c r="C6" s="24">
        <v>37901.5</v>
      </c>
      <c r="D6" s="13">
        <v>35216.589999999997</v>
      </c>
      <c r="E6" s="13">
        <f t="shared" si="0"/>
        <v>2684.9100000000035</v>
      </c>
      <c r="F6" s="14">
        <f t="shared" ref="F6:F39" si="3">IFERROR(E6/D6, "")</f>
        <v>7.6239919878670931E-2</v>
      </c>
      <c r="G6" s="15">
        <v>45131.29</v>
      </c>
      <c r="H6" s="15">
        <f t="shared" si="1"/>
        <v>-7229.7900000000009</v>
      </c>
      <c r="I6" s="16">
        <f t="shared" si="2"/>
        <v>-0.16019462328685932</v>
      </c>
      <c r="J6" s="40" t="s">
        <v>227</v>
      </c>
      <c r="K6" s="40"/>
      <c r="L6" s="78"/>
      <c r="M6" s="78"/>
      <c r="N6" s="78"/>
      <c r="O6" s="78"/>
      <c r="P6" s="78"/>
      <c r="Q6" s="78"/>
      <c r="R6" s="78"/>
      <c r="S6" s="78"/>
      <c r="T6" s="78"/>
      <c r="U6" s="78"/>
      <c r="V6" s="78"/>
      <c r="W6" s="78"/>
      <c r="X6" s="78"/>
      <c r="Y6" s="78"/>
      <c r="Z6" s="78"/>
      <c r="AA6" s="78"/>
      <c r="AB6" s="78"/>
      <c r="AC6" s="78"/>
      <c r="AD6" s="78"/>
      <c r="AE6" s="78"/>
      <c r="AF6" s="78"/>
      <c r="AG6" s="78"/>
      <c r="AH6" s="78"/>
      <c r="AI6" s="78"/>
    </row>
    <row r="7" spans="1:35" ht="15.6">
      <c r="A7" s="30" t="str">
        <v>23 Walpole Park South</v>
      </c>
      <c r="B7" s="31" t="str">
        <v>MA</v>
      </c>
      <c r="C7" s="11">
        <v>46911</v>
      </c>
      <c r="D7" s="18">
        <v>45692.54</v>
      </c>
      <c r="E7" s="18">
        <f t="shared" si="0"/>
        <v>1218.4599999999991</v>
      </c>
      <c r="F7" s="19">
        <f t="shared" si="3"/>
        <v>2.6666497419491213E-2</v>
      </c>
      <c r="G7" s="20">
        <v>59661.02</v>
      </c>
      <c r="H7" s="20">
        <f t="shared" si="1"/>
        <v>-12750.019999999997</v>
      </c>
      <c r="I7" s="19">
        <f t="shared" si="2"/>
        <v>-0.21370771066267386</v>
      </c>
      <c r="J7" s="41" t="s">
        <v>228</v>
      </c>
      <c r="K7" s="76" t="s">
        <v>24</v>
      </c>
      <c r="L7" s="78"/>
      <c r="M7" s="78"/>
      <c r="N7" s="78"/>
      <c r="O7" s="78"/>
      <c r="P7" s="78"/>
      <c r="Q7" s="78"/>
      <c r="R7" s="78"/>
      <c r="S7" s="78"/>
      <c r="T7" s="78"/>
      <c r="U7" s="78"/>
      <c r="V7" s="78"/>
      <c r="W7" s="78"/>
      <c r="X7" s="78"/>
      <c r="Y7" s="78"/>
      <c r="Z7" s="78"/>
      <c r="AA7" s="78"/>
      <c r="AB7" s="78"/>
      <c r="AC7" s="78"/>
      <c r="AD7" s="78"/>
      <c r="AE7" s="78"/>
      <c r="AF7" s="78"/>
      <c r="AG7" s="78"/>
      <c r="AH7" s="78"/>
      <c r="AI7" s="78"/>
    </row>
    <row r="8" spans="1:35" ht="15.6">
      <c r="A8" s="28" t="str">
        <v>24 Walpole Park South</v>
      </c>
      <c r="B8" s="29" t="str">
        <v>MA</v>
      </c>
      <c r="C8" s="24">
        <v>76807.157499999696</v>
      </c>
      <c r="D8" s="13">
        <v>63676.02</v>
      </c>
      <c r="E8" s="13">
        <f t="shared" si="0"/>
        <v>13131.137499999699</v>
      </c>
      <c r="F8" s="14">
        <f t="shared" si="3"/>
        <v>0.20621793730198118</v>
      </c>
      <c r="G8" s="15">
        <v>91695.8</v>
      </c>
      <c r="H8" s="15">
        <f t="shared" si="1"/>
        <v>-14888.642500000307</v>
      </c>
      <c r="I8" s="16">
        <f t="shared" si="2"/>
        <v>-0.16236995042303254</v>
      </c>
      <c r="J8" s="40" t="s">
        <v>227</v>
      </c>
      <c r="K8" s="40"/>
      <c r="L8" s="78"/>
      <c r="M8" s="78"/>
      <c r="N8" s="78"/>
      <c r="O8" s="78"/>
      <c r="P8" s="78"/>
      <c r="Q8" s="78"/>
      <c r="R8" s="78"/>
      <c r="S8" s="78"/>
      <c r="T8" s="78"/>
      <c r="U8" s="78"/>
      <c r="V8" s="78"/>
      <c r="W8" s="78"/>
      <c r="X8" s="78"/>
      <c r="Y8" s="78"/>
      <c r="Z8" s="78"/>
      <c r="AA8" s="78"/>
      <c r="AB8" s="78"/>
      <c r="AC8" s="78"/>
      <c r="AD8" s="78"/>
      <c r="AE8" s="78"/>
      <c r="AF8" s="78"/>
      <c r="AG8" s="78"/>
      <c r="AH8" s="78"/>
      <c r="AI8" s="78"/>
    </row>
    <row r="9" spans="1:35" ht="25.5" customHeight="1">
      <c r="A9" s="30" t="str">
        <v>25 Walpole Park South</v>
      </c>
      <c r="B9" s="31" t="str">
        <v>MA</v>
      </c>
      <c r="C9" s="11">
        <v>70780</v>
      </c>
      <c r="D9" s="18">
        <v>68916.45</v>
      </c>
      <c r="E9" s="18">
        <f t="shared" si="0"/>
        <v>1863.5500000000029</v>
      </c>
      <c r="F9" s="19">
        <f t="shared" si="3"/>
        <v>2.7040713791845097E-2</v>
      </c>
      <c r="G9" s="20">
        <v>92909.61</v>
      </c>
      <c r="H9" s="20">
        <f t="shared" si="1"/>
        <v>-22129.61</v>
      </c>
      <c r="I9" s="19">
        <f t="shared" si="2"/>
        <v>-0.23818429546739031</v>
      </c>
      <c r="J9" s="41" t="s">
        <v>29</v>
      </c>
      <c r="K9" s="76" t="s">
        <v>229</v>
      </c>
      <c r="L9" s="79" t="s">
        <v>31</v>
      </c>
      <c r="M9" s="78"/>
      <c r="N9" s="78"/>
      <c r="O9" s="78"/>
      <c r="P9" s="78"/>
      <c r="Q9" s="78"/>
      <c r="R9" s="78"/>
      <c r="S9" s="78"/>
      <c r="T9" s="78"/>
      <c r="U9" s="78"/>
      <c r="V9" s="78"/>
      <c r="W9" s="78"/>
      <c r="X9" s="78"/>
      <c r="Y9" s="78"/>
      <c r="Z9" s="78"/>
      <c r="AA9" s="78"/>
      <c r="AB9" s="78"/>
      <c r="AC9" s="78"/>
      <c r="AD9" s="78"/>
      <c r="AE9" s="78"/>
      <c r="AF9" s="78"/>
      <c r="AG9" s="78"/>
      <c r="AH9" s="78"/>
      <c r="AI9" s="78"/>
    </row>
    <row r="10" spans="1:35" ht="15.75" customHeight="1">
      <c r="A10" s="28" t="str">
        <v>3 Walpole Park South</v>
      </c>
      <c r="B10" s="29" t="str">
        <v>MA</v>
      </c>
      <c r="C10" s="24">
        <v>92356.5</v>
      </c>
      <c r="D10" s="13">
        <v>86038.81</v>
      </c>
      <c r="E10" s="13">
        <f t="shared" si="0"/>
        <v>6317.6900000000023</v>
      </c>
      <c r="F10" s="14">
        <f t="shared" si="3"/>
        <v>7.3428374939169927E-2</v>
      </c>
      <c r="G10" s="15">
        <v>111378.9</v>
      </c>
      <c r="H10" s="15">
        <f t="shared" si="1"/>
        <v>-19022.399999999994</v>
      </c>
      <c r="I10" s="16">
        <f t="shared" si="2"/>
        <v>-0.17078997907143989</v>
      </c>
      <c r="J10" s="40" t="s">
        <v>227</v>
      </c>
      <c r="K10" s="40"/>
      <c r="L10" s="78"/>
      <c r="M10" s="78"/>
      <c r="N10" s="78"/>
      <c r="O10" s="78"/>
      <c r="P10" s="78"/>
      <c r="Q10" s="78"/>
      <c r="R10" s="78"/>
      <c r="S10" s="78"/>
      <c r="T10" s="78"/>
      <c r="U10" s="78"/>
      <c r="V10" s="78"/>
      <c r="W10" s="78"/>
      <c r="X10" s="78"/>
      <c r="Y10" s="78"/>
      <c r="Z10" s="78"/>
      <c r="AA10" s="78"/>
      <c r="AB10" s="78"/>
      <c r="AC10" s="78"/>
      <c r="AD10" s="78"/>
      <c r="AE10" s="78"/>
      <c r="AF10" s="78"/>
      <c r="AG10" s="78"/>
      <c r="AH10" s="78"/>
      <c r="AI10" s="78"/>
    </row>
    <row r="11" spans="1:35" ht="35.25" customHeight="1">
      <c r="A11" s="30" t="str">
        <v>4 Walpole Park South</v>
      </c>
      <c r="B11" s="31" t="str">
        <v>MA</v>
      </c>
      <c r="C11" s="11">
        <v>52249.25</v>
      </c>
      <c r="D11" s="18">
        <v>48130.67</v>
      </c>
      <c r="E11" s="18">
        <f t="shared" si="0"/>
        <v>4118.5800000000017</v>
      </c>
      <c r="F11" s="19">
        <f t="shared" si="3"/>
        <v>8.5570801320654838E-2</v>
      </c>
      <c r="G11" s="20">
        <v>60816.56</v>
      </c>
      <c r="H11" s="20">
        <f t="shared" si="1"/>
        <v>-8567.3099999999977</v>
      </c>
      <c r="I11" s="19">
        <f t="shared" si="2"/>
        <v>-0.1408713350442708</v>
      </c>
      <c r="J11" s="56" t="s">
        <v>141</v>
      </c>
      <c r="K11" s="76" t="s">
        <v>230</v>
      </c>
      <c r="L11" s="79" t="s">
        <v>191</v>
      </c>
      <c r="M11" s="78"/>
      <c r="N11" s="78"/>
      <c r="O11" s="78"/>
      <c r="P11" s="78"/>
      <c r="Q11" s="78"/>
      <c r="R11" s="78"/>
      <c r="S11" s="78"/>
      <c r="T11" s="78"/>
      <c r="U11" s="78"/>
      <c r="V11" s="78"/>
      <c r="W11" s="78"/>
      <c r="X11" s="78"/>
      <c r="Y11" s="78"/>
      <c r="Z11" s="78"/>
      <c r="AA11" s="78"/>
      <c r="AB11" s="78"/>
      <c r="AC11" s="78"/>
      <c r="AD11" s="78"/>
      <c r="AE11" s="78"/>
      <c r="AF11" s="78"/>
      <c r="AG11" s="78"/>
      <c r="AH11" s="78"/>
      <c r="AI11" s="78"/>
    </row>
    <row r="12" spans="1:35" ht="15.6">
      <c r="A12" s="28" t="str">
        <v>Brockton</v>
      </c>
      <c r="B12" s="29" t="str">
        <v>MA</v>
      </c>
      <c r="C12" s="24">
        <v>89623.5</v>
      </c>
      <c r="D12" s="13">
        <v>77995.23</v>
      </c>
      <c r="E12" s="13">
        <f t="shared" si="0"/>
        <v>11628.270000000004</v>
      </c>
      <c r="F12" s="14">
        <f t="shared" si="3"/>
        <v>0.14908950201185386</v>
      </c>
      <c r="G12" s="15">
        <v>103286.1</v>
      </c>
      <c r="H12" s="15">
        <f t="shared" si="1"/>
        <v>-13662.600000000006</v>
      </c>
      <c r="I12" s="16">
        <f t="shared" si="2"/>
        <v>-0.13227917406117576</v>
      </c>
      <c r="J12" s="40" t="s">
        <v>227</v>
      </c>
      <c r="K12" s="40"/>
      <c r="L12" s="78"/>
      <c r="M12" s="78"/>
      <c r="N12" s="78"/>
      <c r="O12" s="78"/>
      <c r="P12" s="78"/>
      <c r="Q12" s="78"/>
      <c r="R12" s="78"/>
      <c r="S12" s="78"/>
      <c r="T12" s="78"/>
      <c r="U12" s="78"/>
      <c r="V12" s="78"/>
      <c r="W12" s="78"/>
      <c r="X12" s="78"/>
      <c r="Y12" s="78"/>
      <c r="Z12" s="78"/>
      <c r="AA12" s="78"/>
      <c r="AB12" s="78"/>
      <c r="AC12" s="78"/>
      <c r="AD12" s="78"/>
      <c r="AE12" s="78"/>
      <c r="AF12" s="78"/>
      <c r="AG12" s="78"/>
      <c r="AH12" s="78"/>
      <c r="AI12" s="78"/>
    </row>
    <row r="13" spans="1:35" ht="15.6">
      <c r="A13" s="30" t="str">
        <v>Canton</v>
      </c>
      <c r="B13" s="31" t="str">
        <v>MA</v>
      </c>
      <c r="C13" s="11">
        <v>81933.75</v>
      </c>
      <c r="D13" s="18">
        <v>75433.98</v>
      </c>
      <c r="E13" s="18">
        <f t="shared" si="0"/>
        <v>6499.7700000000041</v>
      </c>
      <c r="F13" s="19">
        <f t="shared" si="3"/>
        <v>8.6165014758600889E-2</v>
      </c>
      <c r="G13" s="20">
        <v>102038.9</v>
      </c>
      <c r="H13" s="20">
        <f t="shared" si="1"/>
        <v>-20105.149999999994</v>
      </c>
      <c r="I13" s="19">
        <f t="shared" si="2"/>
        <v>-0.19703417030171821</v>
      </c>
      <c r="J13" s="41" t="s">
        <v>227</v>
      </c>
      <c r="K13" s="42"/>
      <c r="L13" s="78"/>
      <c r="M13" s="78"/>
      <c r="N13" s="78"/>
      <c r="O13" s="78"/>
      <c r="P13" s="78"/>
      <c r="Q13" s="78"/>
      <c r="R13" s="78"/>
      <c r="S13" s="78"/>
      <c r="T13" s="78"/>
      <c r="U13" s="78"/>
      <c r="V13" s="78"/>
      <c r="W13" s="78"/>
      <c r="X13" s="78"/>
      <c r="Y13" s="78"/>
      <c r="Z13" s="78"/>
      <c r="AA13" s="78"/>
      <c r="AB13" s="78"/>
      <c r="AC13" s="78"/>
      <c r="AD13" s="78"/>
      <c r="AE13" s="78"/>
      <c r="AF13" s="78"/>
      <c r="AG13" s="78"/>
      <c r="AH13" s="78"/>
      <c r="AI13" s="78"/>
    </row>
    <row r="14" spans="1:35" ht="15.6">
      <c r="A14" s="28" t="str">
        <v>Chelsea</v>
      </c>
      <c r="B14" s="29" t="str">
        <v>MA</v>
      </c>
      <c r="C14" s="24">
        <v>144715</v>
      </c>
      <c r="D14" s="13">
        <v>135571.1</v>
      </c>
      <c r="E14" s="13">
        <f t="shared" si="0"/>
        <v>9143.8999999999942</v>
      </c>
      <c r="F14" s="14">
        <f t="shared" si="3"/>
        <v>6.7447265678304544E-2</v>
      </c>
      <c r="G14" s="15">
        <v>163526</v>
      </c>
      <c r="H14" s="15">
        <f t="shared" si="1"/>
        <v>-18811</v>
      </c>
      <c r="I14" s="16">
        <f t="shared" si="2"/>
        <v>-0.11503369494759243</v>
      </c>
      <c r="J14" s="40"/>
      <c r="K14" s="40"/>
      <c r="L14" s="78"/>
      <c r="M14" s="78"/>
      <c r="N14" s="78"/>
      <c r="O14" s="78"/>
      <c r="P14" s="78"/>
      <c r="Q14" s="78"/>
      <c r="R14" s="78"/>
      <c r="S14" s="78"/>
      <c r="T14" s="78"/>
      <c r="U14" s="78"/>
      <c r="V14" s="78"/>
      <c r="W14" s="78"/>
      <c r="X14" s="78"/>
      <c r="Y14" s="78"/>
      <c r="Z14" s="78"/>
      <c r="AA14" s="78"/>
      <c r="AB14" s="78"/>
      <c r="AC14" s="78"/>
      <c r="AD14" s="78"/>
      <c r="AE14" s="78"/>
      <c r="AF14" s="78"/>
      <c r="AG14" s="78"/>
      <c r="AH14" s="78"/>
      <c r="AI14" s="78"/>
    </row>
    <row r="15" spans="1:35" ht="45" customHeight="1">
      <c r="A15" s="30" t="str">
        <v>Hamilton Landfill</v>
      </c>
      <c r="B15" s="31" t="str">
        <v>MA</v>
      </c>
      <c r="C15" s="11">
        <v>116749.25</v>
      </c>
      <c r="D15" s="18">
        <v>122098.24000000001</v>
      </c>
      <c r="E15" s="18">
        <f t="shared" si="0"/>
        <v>-5348.9900000000052</v>
      </c>
      <c r="F15" s="19">
        <f t="shared" si="3"/>
        <v>-4.3808903387960424E-2</v>
      </c>
      <c r="G15" s="89" t="s">
        <v>201</v>
      </c>
      <c r="H15" s="20" t="str">
        <f t="shared" si="1"/>
        <v/>
      </c>
      <c r="I15" s="19" t="str">
        <f t="shared" si="2"/>
        <v/>
      </c>
      <c r="J15" s="56" t="s">
        <v>231</v>
      </c>
      <c r="K15" s="77" t="s">
        <v>232</v>
      </c>
      <c r="L15" s="78"/>
      <c r="M15" s="78"/>
      <c r="N15" s="78"/>
      <c r="O15" s="78"/>
      <c r="P15" s="78"/>
      <c r="Q15" s="78"/>
      <c r="R15" s="78"/>
      <c r="S15" s="78"/>
      <c r="T15" s="78"/>
      <c r="U15" s="78"/>
      <c r="V15" s="78"/>
      <c r="W15" s="78"/>
      <c r="X15" s="78"/>
      <c r="Y15" s="78"/>
      <c r="Z15" s="78"/>
      <c r="AA15" s="78"/>
      <c r="AB15" s="78"/>
      <c r="AC15" s="78"/>
      <c r="AD15" s="78"/>
      <c r="AE15" s="78"/>
      <c r="AF15" s="78"/>
      <c r="AG15" s="78"/>
      <c r="AH15" s="78"/>
      <c r="AI15" s="78"/>
    </row>
    <row r="16" spans="1:35" ht="312" customHeight="1">
      <c r="A16" s="28" t="str">
        <v>Holliston</v>
      </c>
      <c r="B16" s="29" t="str">
        <v>MA</v>
      </c>
      <c r="C16" s="24">
        <v>204073</v>
      </c>
      <c r="D16" s="13">
        <v>235790.7</v>
      </c>
      <c r="E16" s="13">
        <f t="shared" si="0"/>
        <v>-31717.700000000012</v>
      </c>
      <c r="F16" s="14">
        <f t="shared" si="3"/>
        <v>-0.13451633164497162</v>
      </c>
      <c r="G16" s="15">
        <v>280158.3</v>
      </c>
      <c r="H16" s="15">
        <f t="shared" si="1"/>
        <v>-76085.299999999988</v>
      </c>
      <c r="I16" s="16">
        <f t="shared" si="2"/>
        <v>-0.2715796747767244</v>
      </c>
      <c r="J16" s="40" t="s">
        <v>233</v>
      </c>
      <c r="K16" s="75" t="s">
        <v>234</v>
      </c>
      <c r="L16" s="79" t="s">
        <v>235</v>
      </c>
      <c r="M16" s="79" t="s">
        <v>236</v>
      </c>
      <c r="N16" s="79" t="s">
        <v>237</v>
      </c>
      <c r="O16" s="79" t="s">
        <v>238</v>
      </c>
      <c r="P16" s="79" t="s">
        <v>239</v>
      </c>
      <c r="Q16" s="79" t="s">
        <v>240</v>
      </c>
      <c r="R16" s="79" t="s">
        <v>241</v>
      </c>
      <c r="S16" s="79" t="s">
        <v>242</v>
      </c>
      <c r="T16" s="79" t="s">
        <v>243</v>
      </c>
      <c r="U16" s="79" t="s">
        <v>244</v>
      </c>
      <c r="V16" s="79" t="s">
        <v>245</v>
      </c>
      <c r="W16" s="79" t="s">
        <v>246</v>
      </c>
      <c r="X16" s="79" t="s">
        <v>247</v>
      </c>
      <c r="Y16" s="78"/>
      <c r="Z16" s="78"/>
      <c r="AA16" s="78"/>
      <c r="AB16" s="78"/>
      <c r="AC16" s="78"/>
      <c r="AD16" s="78"/>
      <c r="AE16" s="78"/>
      <c r="AF16" s="78"/>
      <c r="AG16" s="78"/>
      <c r="AH16" s="78"/>
      <c r="AI16" s="78"/>
    </row>
    <row r="17" spans="1:35" ht="15.6">
      <c r="A17" s="30" t="str">
        <v>Natick HS - Carports</v>
      </c>
      <c r="B17" s="31" t="str">
        <v>MA</v>
      </c>
      <c r="C17" s="11">
        <v>72747.351999999999</v>
      </c>
      <c r="D17" s="18">
        <v>81077.694000000003</v>
      </c>
      <c r="E17" s="18">
        <f t="shared" si="0"/>
        <v>-8330.3420000000042</v>
      </c>
      <c r="F17" s="19">
        <f t="shared" si="3"/>
        <v>-0.10274517674368</v>
      </c>
      <c r="G17" s="20"/>
      <c r="H17" s="20" t="str">
        <f t="shared" si="1"/>
        <v/>
      </c>
      <c r="I17" s="19" t="str">
        <f t="shared" si="2"/>
        <v/>
      </c>
      <c r="J17" s="41"/>
      <c r="K17" s="42"/>
      <c r="L17" s="91"/>
      <c r="M17" s="78"/>
      <c r="N17" s="78"/>
      <c r="O17" s="78"/>
      <c r="P17" s="78"/>
      <c r="Q17" s="78"/>
      <c r="R17" s="78"/>
      <c r="S17" s="78"/>
      <c r="T17" s="78"/>
      <c r="U17" s="78"/>
      <c r="V17" s="78"/>
      <c r="W17" s="78"/>
      <c r="X17" s="78"/>
      <c r="Y17" s="78"/>
      <c r="Z17" s="78"/>
      <c r="AA17" s="78"/>
      <c r="AB17" s="78"/>
      <c r="AC17" s="78"/>
      <c r="AD17" s="78"/>
      <c r="AE17" s="78"/>
      <c r="AF17" s="78"/>
      <c r="AG17" s="78"/>
      <c r="AH17" s="78"/>
      <c r="AI17" s="78"/>
    </row>
    <row r="18" spans="1:35" ht="49.5" customHeight="1">
      <c r="A18" s="60" t="str">
        <v>Norton</v>
      </c>
      <c r="B18" s="29" t="str">
        <v>MA</v>
      </c>
      <c r="C18" s="24">
        <v>0</v>
      </c>
      <c r="D18" s="13">
        <v>0</v>
      </c>
      <c r="E18" s="13">
        <f t="shared" si="0"/>
        <v>0</v>
      </c>
      <c r="F18" s="14" t="str">
        <f t="shared" si="3"/>
        <v/>
      </c>
      <c r="G18" s="15">
        <v>0</v>
      </c>
      <c r="H18" s="15">
        <f t="shared" si="1"/>
        <v>0</v>
      </c>
      <c r="I18" s="16" t="str">
        <f t="shared" si="2"/>
        <v/>
      </c>
      <c r="J18" s="40" t="s">
        <v>46</v>
      </c>
      <c r="K18" s="75" t="s">
        <v>248</v>
      </c>
      <c r="L18" s="79" t="s">
        <v>158</v>
      </c>
      <c r="M18" s="79" t="s">
        <v>49</v>
      </c>
      <c r="N18" s="79" t="s">
        <v>48</v>
      </c>
      <c r="O18" s="79" t="s">
        <v>157</v>
      </c>
      <c r="P18" s="79" t="s">
        <v>158</v>
      </c>
      <c r="Q18" s="79" t="s">
        <v>159</v>
      </c>
      <c r="R18" s="78"/>
      <c r="S18" s="78"/>
      <c r="T18" s="78"/>
      <c r="U18" s="78"/>
      <c r="V18" s="78"/>
      <c r="W18" s="78"/>
      <c r="X18" s="78"/>
      <c r="Y18" s="78"/>
      <c r="Z18" s="78"/>
      <c r="AA18" s="78"/>
      <c r="AB18" s="78"/>
      <c r="AC18" s="78"/>
      <c r="AD18" s="78"/>
      <c r="AE18" s="78"/>
      <c r="AF18" s="78"/>
      <c r="AG18" s="78"/>
      <c r="AH18" s="78"/>
      <c r="AI18" s="78"/>
    </row>
    <row r="19" spans="1:35" ht="28.9">
      <c r="A19" s="30" t="str">
        <v>Palmer - Boston Rd.</v>
      </c>
      <c r="B19" s="31" t="str">
        <v>MA</v>
      </c>
      <c r="C19" s="11">
        <v>68130.999999999098</v>
      </c>
      <c r="D19" s="18">
        <v>58922.82</v>
      </c>
      <c r="E19" s="18">
        <f t="shared" si="0"/>
        <v>9208.1799999990981</v>
      </c>
      <c r="F19" s="19">
        <f t="shared" si="3"/>
        <v>0.15627527670941577</v>
      </c>
      <c r="G19" s="20">
        <v>81652</v>
      </c>
      <c r="H19" s="20">
        <f t="shared" si="1"/>
        <v>-13521.000000000902</v>
      </c>
      <c r="I19" s="19">
        <f t="shared" si="2"/>
        <v>-0.16559300445795452</v>
      </c>
      <c r="J19" s="56" t="s">
        <v>249</v>
      </c>
      <c r="K19" s="76" t="s">
        <v>250</v>
      </c>
      <c r="L19" s="78"/>
      <c r="M19" s="78"/>
      <c r="N19" s="78"/>
      <c r="O19" s="78"/>
      <c r="P19" s="78"/>
      <c r="Q19" s="78"/>
      <c r="R19" s="78"/>
      <c r="S19" s="78"/>
      <c r="T19" s="78"/>
      <c r="U19" s="78"/>
      <c r="V19" s="78"/>
      <c r="W19" s="78"/>
      <c r="X19" s="78"/>
      <c r="Y19" s="78"/>
      <c r="Z19" s="78"/>
      <c r="AA19" s="78"/>
      <c r="AB19" s="78"/>
      <c r="AC19" s="78"/>
      <c r="AD19" s="78"/>
      <c r="AE19" s="78"/>
      <c r="AF19" s="78"/>
      <c r="AG19" s="78"/>
      <c r="AH19" s="78"/>
      <c r="AI19" s="78"/>
    </row>
    <row r="20" spans="1:35" ht="158.44999999999999">
      <c r="A20" s="28" t="str">
        <v>Shirley Bartkus</v>
      </c>
      <c r="B20" s="29" t="str">
        <v>MA</v>
      </c>
      <c r="C20" s="24">
        <v>34798</v>
      </c>
      <c r="D20" s="13">
        <v>92842.06</v>
      </c>
      <c r="E20" s="13">
        <f t="shared" si="0"/>
        <v>-58044.06</v>
      </c>
      <c r="F20" s="14">
        <f t="shared" si="3"/>
        <v>-0.62519142724752119</v>
      </c>
      <c r="G20" s="15">
        <v>135175</v>
      </c>
      <c r="H20" s="15">
        <f t="shared" si="1"/>
        <v>-100377</v>
      </c>
      <c r="I20" s="16">
        <f t="shared" si="2"/>
        <v>-0.74257074163121883</v>
      </c>
      <c r="J20" s="90" t="s">
        <v>251</v>
      </c>
      <c r="K20" s="75" t="s">
        <v>252</v>
      </c>
      <c r="L20" s="79" t="s">
        <v>253</v>
      </c>
      <c r="M20" s="78"/>
      <c r="N20" s="78"/>
      <c r="O20" s="78"/>
      <c r="P20" s="78"/>
      <c r="Q20" s="78"/>
      <c r="R20" s="78"/>
      <c r="S20" s="78"/>
      <c r="T20" s="78"/>
      <c r="U20" s="78"/>
      <c r="V20" s="78"/>
      <c r="W20" s="78"/>
      <c r="X20" s="78"/>
      <c r="Y20" s="78"/>
      <c r="Z20" s="78"/>
      <c r="AA20" s="78"/>
      <c r="AB20" s="78"/>
      <c r="AC20" s="78"/>
      <c r="AD20" s="78"/>
      <c r="AE20" s="78"/>
      <c r="AF20" s="78"/>
      <c r="AG20" s="78"/>
      <c r="AH20" s="78"/>
      <c r="AI20" s="78"/>
    </row>
    <row r="21" spans="1:35" ht="34.5" customHeight="1">
      <c r="A21" s="30" t="str">
        <v>Stoughton</v>
      </c>
      <c r="B21" s="31" t="str">
        <v>MA</v>
      </c>
      <c r="C21" s="11">
        <v>99048</v>
      </c>
      <c r="D21" s="18">
        <v>56128.29</v>
      </c>
      <c r="E21" s="18">
        <f t="shared" si="0"/>
        <v>42919.71</v>
      </c>
      <c r="F21" s="19">
        <f t="shared" si="3"/>
        <v>0.7646716121228706</v>
      </c>
      <c r="G21" s="20">
        <v>112975.9</v>
      </c>
      <c r="H21" s="20">
        <f t="shared" si="1"/>
        <v>-13927.899999999994</v>
      </c>
      <c r="I21" s="19">
        <f t="shared" si="2"/>
        <v>-0.12328204510873554</v>
      </c>
      <c r="J21" s="93" t="s">
        <v>254</v>
      </c>
      <c r="K21" s="77" t="s">
        <v>255</v>
      </c>
      <c r="L21" s="78"/>
      <c r="M21" s="78"/>
      <c r="N21" s="78"/>
      <c r="O21" s="78"/>
      <c r="P21" s="78"/>
      <c r="Q21" s="78"/>
      <c r="R21" s="78"/>
      <c r="S21" s="78"/>
      <c r="T21" s="78"/>
      <c r="U21" s="78"/>
      <c r="V21" s="78"/>
      <c r="W21" s="78"/>
      <c r="X21" s="78"/>
      <c r="Y21" s="78"/>
      <c r="Z21" s="78"/>
      <c r="AA21" s="78"/>
      <c r="AB21" s="78"/>
      <c r="AC21" s="78"/>
      <c r="AD21" s="78"/>
      <c r="AE21" s="78"/>
      <c r="AF21" s="78"/>
      <c r="AG21" s="78"/>
      <c r="AH21" s="78"/>
      <c r="AI21" s="78"/>
    </row>
    <row r="22" spans="1:35" ht="43.15">
      <c r="A22" s="28" t="str">
        <v>Wellfleet Landfill</v>
      </c>
      <c r="B22" s="29" t="str">
        <v>MA</v>
      </c>
      <c r="C22" s="24">
        <v>134879.04000000001</v>
      </c>
      <c r="D22" s="13">
        <v>140535.09599999999</v>
      </c>
      <c r="E22" s="13">
        <f t="shared" si="0"/>
        <v>-5656.0559999999823</v>
      </c>
      <c r="F22" s="14">
        <f t="shared" si="3"/>
        <v>-4.0246572998391683E-2</v>
      </c>
      <c r="G22" s="88" t="s">
        <v>201</v>
      </c>
      <c r="H22" s="15" t="str">
        <f t="shared" si="1"/>
        <v/>
      </c>
      <c r="I22" s="16" t="str">
        <f t="shared" si="2"/>
        <v/>
      </c>
      <c r="J22" s="40" t="s">
        <v>256</v>
      </c>
      <c r="K22" s="75" t="s">
        <v>257</v>
      </c>
      <c r="L22" s="79" t="s">
        <v>258</v>
      </c>
      <c r="M22" s="78"/>
      <c r="N22" s="78"/>
      <c r="O22" s="78"/>
      <c r="P22" s="78"/>
      <c r="Q22" s="78"/>
      <c r="R22" s="78"/>
      <c r="S22" s="78"/>
      <c r="T22" s="78"/>
      <c r="U22" s="78"/>
      <c r="V22" s="78"/>
      <c r="W22" s="78"/>
      <c r="X22" s="78"/>
      <c r="Y22" s="78"/>
      <c r="Z22" s="78"/>
      <c r="AA22" s="78"/>
      <c r="AB22" s="78"/>
      <c r="AC22" s="78"/>
      <c r="AD22" s="78"/>
      <c r="AE22" s="78"/>
      <c r="AF22" s="78"/>
      <c r="AG22" s="78"/>
      <c r="AH22" s="78"/>
      <c r="AI22" s="78"/>
    </row>
    <row r="23" spans="1:35" ht="86.45">
      <c r="A23" s="30" t="str">
        <v>Wilmington Garage &amp; Building 7</v>
      </c>
      <c r="B23" s="31" t="str">
        <v>MA</v>
      </c>
      <c r="C23" s="11">
        <v>135928.75</v>
      </c>
      <c r="D23" s="18">
        <v>138958.5</v>
      </c>
      <c r="E23" s="18">
        <f t="shared" si="0"/>
        <v>-3029.75</v>
      </c>
      <c r="F23" s="19">
        <f t="shared" si="3"/>
        <v>-2.1803272199973373E-2</v>
      </c>
      <c r="G23" s="20">
        <v>179515.6</v>
      </c>
      <c r="H23" s="20">
        <f t="shared" si="1"/>
        <v>-43586.850000000006</v>
      </c>
      <c r="I23" s="19">
        <f t="shared" si="2"/>
        <v>-0.24280257537506492</v>
      </c>
      <c r="J23" s="56" t="s">
        <v>259</v>
      </c>
      <c r="K23" s="77" t="s">
        <v>260</v>
      </c>
      <c r="L23" s="79" t="s">
        <v>261</v>
      </c>
      <c r="M23" s="79" t="s">
        <v>262</v>
      </c>
      <c r="N23" s="79" t="s">
        <v>263</v>
      </c>
      <c r="O23" s="78"/>
      <c r="P23" s="78"/>
      <c r="Q23" s="78"/>
      <c r="R23" s="78"/>
      <c r="S23" s="78"/>
      <c r="T23" s="78"/>
      <c r="U23" s="78"/>
      <c r="V23" s="78"/>
      <c r="W23" s="78"/>
      <c r="X23" s="78"/>
      <c r="Y23" s="78"/>
      <c r="Z23" s="78"/>
      <c r="AA23" s="78"/>
      <c r="AB23" s="78"/>
      <c r="AC23" s="78"/>
      <c r="AD23" s="78"/>
      <c r="AE23" s="78"/>
      <c r="AF23" s="78"/>
      <c r="AG23" s="78"/>
      <c r="AH23" s="78"/>
      <c r="AI23" s="78"/>
    </row>
    <row r="24" spans="1:35" ht="15.6">
      <c r="A24" s="28" t="str">
        <v>Woburn</v>
      </c>
      <c r="B24" s="29" t="str">
        <v>MA</v>
      </c>
      <c r="C24" s="24">
        <v>200396</v>
      </c>
      <c r="D24" s="13">
        <v>190361.5</v>
      </c>
      <c r="E24" s="13">
        <f t="shared" si="0"/>
        <v>10034.5</v>
      </c>
      <c r="F24" s="14">
        <f t="shared" si="3"/>
        <v>5.2712864733677763E-2</v>
      </c>
      <c r="G24" s="15">
        <v>255073</v>
      </c>
      <c r="H24" s="15">
        <f t="shared" si="1"/>
        <v>-54677</v>
      </c>
      <c r="I24" s="16">
        <f t="shared" si="2"/>
        <v>-0.21435824254233102</v>
      </c>
      <c r="J24" s="40"/>
      <c r="K24" s="40"/>
      <c r="L24" s="78"/>
      <c r="M24" s="78"/>
      <c r="N24" s="78"/>
      <c r="O24" s="78"/>
      <c r="P24" s="78"/>
      <c r="Q24" s="78"/>
      <c r="R24" s="78"/>
      <c r="S24" s="78"/>
      <c r="T24" s="78"/>
      <c r="U24" s="78"/>
      <c r="V24" s="78"/>
      <c r="W24" s="78"/>
      <c r="X24" s="78"/>
      <c r="Y24" s="78"/>
      <c r="Z24" s="78"/>
      <c r="AA24" s="78"/>
      <c r="AB24" s="78"/>
      <c r="AC24" s="78"/>
      <c r="AD24" s="78"/>
      <c r="AE24" s="78"/>
      <c r="AF24" s="78"/>
      <c r="AG24" s="78"/>
      <c r="AH24" s="78"/>
      <c r="AI24" s="78"/>
    </row>
    <row r="25" spans="1:35" ht="15.6">
      <c r="A25" s="30" t="str">
        <v>Friendship Solar 1</v>
      </c>
      <c r="B25" s="31" t="str">
        <v>MD</v>
      </c>
      <c r="C25" s="11">
        <v>424170</v>
      </c>
      <c r="D25" s="18">
        <v>449813.8</v>
      </c>
      <c r="E25" s="18">
        <f t="shared" si="0"/>
        <v>-25643.799999999988</v>
      </c>
      <c r="F25" s="19">
        <f t="shared" si="3"/>
        <v>-5.7009811615383939E-2</v>
      </c>
      <c r="G25" s="20">
        <v>573700.1</v>
      </c>
      <c r="H25" s="20">
        <f t="shared" si="1"/>
        <v>-149530.09999999998</v>
      </c>
      <c r="I25" s="19">
        <f t="shared" si="2"/>
        <v>-0.26064157911075836</v>
      </c>
      <c r="J25" s="41"/>
      <c r="K25" s="41"/>
      <c r="L25" s="78"/>
      <c r="M25" s="78"/>
      <c r="N25" s="78"/>
      <c r="O25" s="78"/>
      <c r="P25" s="78"/>
      <c r="Q25" s="78"/>
      <c r="R25" s="78"/>
      <c r="S25" s="78"/>
      <c r="T25" s="78"/>
      <c r="U25" s="78"/>
      <c r="V25" s="78"/>
      <c r="W25" s="78"/>
      <c r="X25" s="78"/>
      <c r="Y25" s="78"/>
      <c r="Z25" s="78"/>
      <c r="AA25" s="78"/>
      <c r="AB25" s="78"/>
      <c r="AC25" s="78"/>
      <c r="AD25" s="78"/>
      <c r="AE25" s="78"/>
      <c r="AF25" s="78"/>
      <c r="AG25" s="78"/>
      <c r="AH25" s="78"/>
      <c r="AI25" s="78"/>
    </row>
    <row r="26" spans="1:35" ht="28.9">
      <c r="A26" s="28" t="str">
        <v>Friendship Solar 2</v>
      </c>
      <c r="B26" s="29" t="str">
        <v>MD</v>
      </c>
      <c r="C26" s="24">
        <v>407433</v>
      </c>
      <c r="D26" s="13">
        <v>448067.2</v>
      </c>
      <c r="E26" s="13">
        <f t="shared" si="0"/>
        <v>-40634.200000000012</v>
      </c>
      <c r="F26" s="14">
        <f t="shared" si="3"/>
        <v>-9.0687736125295515E-2</v>
      </c>
      <c r="G26" s="15">
        <v>563512.19999999995</v>
      </c>
      <c r="H26" s="15">
        <f t="shared" si="1"/>
        <v>-156079.19999999995</v>
      </c>
      <c r="I26" s="16">
        <f t="shared" si="2"/>
        <v>-0.27697572474917131</v>
      </c>
      <c r="J26" s="40" t="s">
        <v>264</v>
      </c>
      <c r="K26" s="75" t="s">
        <v>265</v>
      </c>
      <c r="L26" s="78"/>
      <c r="M26" s="78"/>
      <c r="N26" s="78"/>
      <c r="O26" s="78"/>
      <c r="P26" s="78"/>
      <c r="Q26" s="78"/>
      <c r="R26" s="78"/>
      <c r="S26" s="78"/>
      <c r="T26" s="78"/>
      <c r="U26" s="78"/>
      <c r="V26" s="78"/>
      <c r="W26" s="78"/>
      <c r="X26" s="78"/>
      <c r="Y26" s="78"/>
      <c r="Z26" s="78"/>
      <c r="AA26" s="78"/>
      <c r="AB26" s="78"/>
      <c r="AC26" s="78"/>
      <c r="AD26" s="78"/>
      <c r="AE26" s="78"/>
      <c r="AF26" s="78"/>
      <c r="AG26" s="78"/>
      <c r="AH26" s="78"/>
      <c r="AI26" s="78"/>
    </row>
    <row r="27" spans="1:35" ht="26.45">
      <c r="A27" s="30" t="str">
        <v>101 Carnegie Center</v>
      </c>
      <c r="B27" s="31" t="str">
        <v>NJ</v>
      </c>
      <c r="C27" s="11">
        <v>0</v>
      </c>
      <c r="D27" s="18">
        <v>0</v>
      </c>
      <c r="E27" s="18">
        <f t="shared" si="0"/>
        <v>0</v>
      </c>
      <c r="F27" s="19" t="str">
        <f t="shared" si="3"/>
        <v/>
      </c>
      <c r="G27" s="89" t="s">
        <v>201</v>
      </c>
      <c r="H27" s="20" t="str">
        <f t="shared" si="1"/>
        <v/>
      </c>
      <c r="I27" s="19" t="str">
        <f t="shared" si="2"/>
        <v/>
      </c>
      <c r="J27" s="56" t="s">
        <v>215</v>
      </c>
      <c r="K27" s="77" t="s">
        <v>266</v>
      </c>
      <c r="L27" s="79" t="s">
        <v>267</v>
      </c>
      <c r="M27" s="78"/>
      <c r="N27" s="78"/>
      <c r="O27" s="78"/>
      <c r="P27" s="78"/>
      <c r="Q27" s="78"/>
      <c r="R27" s="78"/>
      <c r="S27" s="78"/>
      <c r="T27" s="78"/>
      <c r="U27" s="78"/>
      <c r="V27" s="78"/>
      <c r="W27" s="78"/>
      <c r="X27" s="78"/>
      <c r="Y27" s="78"/>
      <c r="Z27" s="78"/>
      <c r="AA27" s="78"/>
      <c r="AB27" s="78"/>
      <c r="AC27" s="78"/>
      <c r="AD27" s="78"/>
      <c r="AE27" s="78"/>
      <c r="AF27" s="78"/>
      <c r="AG27" s="78"/>
      <c r="AH27" s="78"/>
      <c r="AI27" s="78"/>
    </row>
    <row r="28" spans="1:35" ht="15.6">
      <c r="A28" s="28" t="str">
        <v>302 Carnegie Center</v>
      </c>
      <c r="B28" s="29" t="str">
        <v>NJ</v>
      </c>
      <c r="C28" s="24">
        <v>76268.028999999995</v>
      </c>
      <c r="D28" s="13">
        <v>74823.407999999996</v>
      </c>
      <c r="E28" s="13">
        <f t="shared" si="0"/>
        <v>1444.6209999999992</v>
      </c>
      <c r="F28" s="14">
        <f t="shared" si="3"/>
        <v>1.9307072995124724E-2</v>
      </c>
      <c r="G28" s="88" t="s">
        <v>201</v>
      </c>
      <c r="H28" s="15" t="str">
        <f t="shared" si="1"/>
        <v/>
      </c>
      <c r="I28" s="16" t="str">
        <f t="shared" si="2"/>
        <v/>
      </c>
      <c r="J28" s="40"/>
      <c r="K28" s="40"/>
      <c r="L28" s="78"/>
      <c r="M28" s="78"/>
      <c r="N28" s="78"/>
      <c r="O28" s="78"/>
      <c r="P28" s="78"/>
      <c r="Q28" s="78"/>
      <c r="R28" s="78"/>
      <c r="S28" s="78"/>
      <c r="T28" s="78"/>
      <c r="U28" s="78"/>
      <c r="V28" s="78"/>
      <c r="W28" s="78"/>
      <c r="X28" s="78"/>
      <c r="Y28" s="78"/>
      <c r="Z28" s="78"/>
      <c r="AA28" s="78"/>
      <c r="AB28" s="78"/>
      <c r="AC28" s="78"/>
      <c r="AD28" s="78"/>
      <c r="AE28" s="78"/>
      <c r="AF28" s="78"/>
      <c r="AG28" s="78"/>
      <c r="AH28" s="78"/>
      <c r="AI28" s="78"/>
    </row>
    <row r="29" spans="1:35" ht="15.6">
      <c r="A29" s="30" t="str">
        <v>510 Carnegie Center</v>
      </c>
      <c r="B29" s="31" t="str">
        <v>NJ</v>
      </c>
      <c r="C29" s="11">
        <v>197541.614</v>
      </c>
      <c r="D29" s="18">
        <v>214328.97</v>
      </c>
      <c r="E29" s="18">
        <f t="shared" si="0"/>
        <v>-16787.356</v>
      </c>
      <c r="F29" s="19">
        <f t="shared" si="3"/>
        <v>-7.8325183945035515E-2</v>
      </c>
      <c r="G29" s="89" t="s">
        <v>201</v>
      </c>
      <c r="H29" s="20" t="str">
        <f t="shared" si="1"/>
        <v/>
      </c>
      <c r="I29" s="19" t="str">
        <f t="shared" si="2"/>
        <v/>
      </c>
      <c r="J29" s="41"/>
      <c r="K29" s="42"/>
      <c r="L29" s="78"/>
      <c r="M29" s="78"/>
      <c r="N29" s="78"/>
      <c r="O29" s="78"/>
      <c r="P29" s="78"/>
      <c r="Q29" s="78"/>
      <c r="R29" s="78"/>
      <c r="S29" s="78"/>
      <c r="T29" s="78"/>
      <c r="U29" s="78"/>
      <c r="V29" s="78"/>
      <c r="W29" s="78"/>
      <c r="X29" s="78"/>
      <c r="Y29" s="78"/>
      <c r="Z29" s="78"/>
      <c r="AA29" s="78"/>
      <c r="AB29" s="78"/>
      <c r="AC29" s="78"/>
      <c r="AD29" s="78"/>
      <c r="AE29" s="78"/>
      <c r="AF29" s="78"/>
      <c r="AG29" s="78"/>
      <c r="AH29" s="78"/>
      <c r="AI29" s="78"/>
    </row>
    <row r="30" spans="1:35" ht="15.6">
      <c r="A30" s="28" t="str">
        <v>701 Carnegie Center</v>
      </c>
      <c r="B30" s="29" t="str">
        <v>NJ</v>
      </c>
      <c r="C30" s="24">
        <v>152829.22</v>
      </c>
      <c r="D30" s="13">
        <v>173131.71900000001</v>
      </c>
      <c r="E30" s="13">
        <f t="shared" si="0"/>
        <v>-20302.499000000011</v>
      </c>
      <c r="F30" s="14">
        <f t="shared" si="3"/>
        <v>-0.1172662012326003</v>
      </c>
      <c r="G30" s="88" t="s">
        <v>201</v>
      </c>
      <c r="H30" s="15" t="str">
        <f t="shared" si="1"/>
        <v/>
      </c>
      <c r="I30" s="16" t="str">
        <f t="shared" si="2"/>
        <v/>
      </c>
      <c r="J30" s="40"/>
      <c r="K30" s="40"/>
      <c r="L30" s="78"/>
      <c r="M30" s="78"/>
      <c r="N30" s="78"/>
      <c r="O30" s="78"/>
      <c r="P30" s="78"/>
      <c r="Q30" s="78"/>
      <c r="R30" s="78"/>
      <c r="S30" s="78"/>
      <c r="T30" s="78"/>
      <c r="U30" s="78"/>
      <c r="V30" s="78"/>
      <c r="W30" s="78"/>
      <c r="X30" s="78"/>
      <c r="Y30" s="78"/>
      <c r="Z30" s="78"/>
      <c r="AA30" s="78"/>
      <c r="AB30" s="78"/>
      <c r="AC30" s="78"/>
      <c r="AD30" s="78"/>
      <c r="AE30" s="78"/>
      <c r="AF30" s="78"/>
      <c r="AG30" s="78"/>
      <c r="AH30" s="78"/>
      <c r="AI30" s="78"/>
    </row>
    <row r="31" spans="1:35" ht="28.9">
      <c r="A31" s="30" t="str">
        <v>Hudson County Correction</v>
      </c>
      <c r="B31" s="31" t="str">
        <v>NJ</v>
      </c>
      <c r="C31" s="11">
        <v>199202.463095746</v>
      </c>
      <c r="D31" s="18">
        <v>200509.3</v>
      </c>
      <c r="E31" s="18">
        <f t="shared" si="0"/>
        <v>-1306.8369042539853</v>
      </c>
      <c r="F31" s="19">
        <f t="shared" si="3"/>
        <v>-6.5175874847400363E-3</v>
      </c>
      <c r="G31" s="20">
        <v>246912.8</v>
      </c>
      <c r="H31" s="20">
        <f t="shared" si="1"/>
        <v>-47710.336904253985</v>
      </c>
      <c r="I31" s="19">
        <f t="shared" si="2"/>
        <v>-0.19322747506104984</v>
      </c>
      <c r="J31" s="56" t="s">
        <v>268</v>
      </c>
      <c r="K31" s="77" t="s">
        <v>269</v>
      </c>
      <c r="L31" s="79" t="s">
        <v>219</v>
      </c>
      <c r="M31" s="78"/>
      <c r="N31" s="78"/>
      <c r="O31" s="78"/>
      <c r="P31" s="78"/>
      <c r="Q31" s="78"/>
      <c r="R31" s="78"/>
      <c r="S31" s="78"/>
      <c r="T31" s="78"/>
      <c r="U31" s="78"/>
      <c r="V31" s="78"/>
      <c r="W31" s="78"/>
      <c r="X31" s="78"/>
      <c r="Y31" s="78"/>
      <c r="Z31" s="78"/>
      <c r="AA31" s="78"/>
      <c r="AB31" s="78"/>
      <c r="AC31" s="78"/>
      <c r="AD31" s="78"/>
      <c r="AE31" s="78"/>
      <c r="AF31" s="78"/>
      <c r="AG31" s="78"/>
      <c r="AH31" s="78"/>
      <c r="AI31" s="78"/>
    </row>
    <row r="32" spans="1:35" ht="43.15">
      <c r="A32" s="28" t="str">
        <v>ER Bison Solar</v>
      </c>
      <c r="B32" s="29" t="str">
        <v>PA</v>
      </c>
      <c r="C32" s="24">
        <v>181513</v>
      </c>
      <c r="D32" s="13">
        <v>0</v>
      </c>
      <c r="E32" s="13">
        <f t="shared" si="0"/>
        <v>181513</v>
      </c>
      <c r="F32" s="14" t="str">
        <f t="shared" si="3"/>
        <v/>
      </c>
      <c r="G32" s="15">
        <v>238828</v>
      </c>
      <c r="H32" s="15">
        <f t="shared" si="1"/>
        <v>-57315</v>
      </c>
      <c r="I32" s="16">
        <f t="shared" si="2"/>
        <v>-0.23998442393689182</v>
      </c>
      <c r="J32" s="40" t="s">
        <v>270</v>
      </c>
      <c r="K32" s="75" t="s">
        <v>271</v>
      </c>
      <c r="L32" s="78"/>
      <c r="M32" s="78"/>
      <c r="N32" s="78"/>
      <c r="O32" s="78"/>
      <c r="P32" s="78"/>
      <c r="Q32" s="78"/>
      <c r="R32" s="78"/>
      <c r="S32" s="78"/>
      <c r="T32" s="78"/>
      <c r="U32" s="78"/>
      <c r="V32" s="78"/>
      <c r="W32" s="78"/>
      <c r="X32" s="78"/>
      <c r="Y32" s="78"/>
      <c r="Z32" s="78"/>
      <c r="AA32" s="78"/>
      <c r="AB32" s="78"/>
      <c r="AC32" s="78"/>
      <c r="AD32" s="78"/>
      <c r="AE32" s="78"/>
      <c r="AF32" s="78"/>
      <c r="AG32" s="78"/>
      <c r="AH32" s="78"/>
      <c r="AI32" s="78"/>
    </row>
    <row r="33" spans="1:35" ht="15.6">
      <c r="A33" s="30" t="str">
        <v>Danville</v>
      </c>
      <c r="B33" s="31" t="str">
        <v>IL</v>
      </c>
      <c r="C33" s="11">
        <v>370476.38699999999</v>
      </c>
      <c r="D33" s="18" t="s">
        <v>201</v>
      </c>
      <c r="E33" s="18" t="str">
        <f t="shared" si="0"/>
        <v/>
      </c>
      <c r="F33" s="19" t="str">
        <f t="shared" si="3"/>
        <v/>
      </c>
      <c r="G33" s="89" t="s">
        <v>201</v>
      </c>
      <c r="H33" s="20" t="str">
        <f t="shared" si="1"/>
        <v/>
      </c>
      <c r="I33" s="19" t="str">
        <f t="shared" si="2"/>
        <v/>
      </c>
      <c r="J33" s="56" t="s">
        <v>272</v>
      </c>
      <c r="K33" s="77" t="s">
        <v>273</v>
      </c>
      <c r="L33" s="78"/>
      <c r="M33" s="78"/>
      <c r="N33" s="78"/>
      <c r="O33" s="78"/>
      <c r="P33" s="78"/>
      <c r="Q33" s="78"/>
      <c r="R33" s="78"/>
      <c r="S33" s="78"/>
      <c r="T33" s="78"/>
      <c r="U33" s="78"/>
      <c r="V33" s="78"/>
      <c r="W33" s="78"/>
      <c r="X33" s="78"/>
      <c r="Y33" s="78"/>
      <c r="Z33" s="78"/>
      <c r="AA33" s="78"/>
      <c r="AB33" s="78"/>
      <c r="AC33" s="78"/>
      <c r="AD33" s="78"/>
      <c r="AE33" s="78"/>
      <c r="AF33" s="78"/>
      <c r="AG33" s="78"/>
      <c r="AH33" s="78"/>
      <c r="AI33" s="78"/>
    </row>
    <row r="34" spans="1:35" ht="171.75" customHeight="1">
      <c r="A34" s="28" t="str">
        <v>Camden - Campbell Soup HQ</v>
      </c>
      <c r="B34" s="29" t="str">
        <v>NJ</v>
      </c>
      <c r="C34" s="24">
        <v>311575</v>
      </c>
      <c r="D34" s="13">
        <v>523613.48629999999</v>
      </c>
      <c r="E34" s="13">
        <f t="shared" si="0"/>
        <v>-212038.48629999999</v>
      </c>
      <c r="F34" s="14">
        <f t="shared" si="3"/>
        <v>-0.40495230135939297</v>
      </c>
      <c r="G34" s="15">
        <v>613173.27</v>
      </c>
      <c r="H34" s="15">
        <f t="shared" si="1"/>
        <v>-301598.27</v>
      </c>
      <c r="I34" s="16">
        <f t="shared" si="2"/>
        <v>-0.49186467309639903</v>
      </c>
      <c r="J34" s="40" t="s">
        <v>274</v>
      </c>
      <c r="K34" s="75" t="s">
        <v>275</v>
      </c>
      <c r="L34" s="79" t="s">
        <v>276</v>
      </c>
      <c r="M34" s="79" t="s">
        <v>84</v>
      </c>
      <c r="N34" s="79" t="s">
        <v>125</v>
      </c>
      <c r="O34" s="79" t="s">
        <v>126</v>
      </c>
      <c r="P34" s="79" t="s">
        <v>127</v>
      </c>
      <c r="Q34" s="79" t="s">
        <v>128</v>
      </c>
      <c r="R34" s="79" t="s">
        <v>277</v>
      </c>
      <c r="S34" s="79" t="s">
        <v>124</v>
      </c>
      <c r="T34" s="79" t="s">
        <v>277</v>
      </c>
      <c r="U34" s="79" t="s">
        <v>278</v>
      </c>
      <c r="V34" s="78"/>
      <c r="W34" s="78"/>
      <c r="X34" s="78"/>
      <c r="Y34" s="78"/>
      <c r="Z34" s="78"/>
      <c r="AA34" s="78"/>
      <c r="AB34" s="78"/>
      <c r="AC34" s="78"/>
      <c r="AD34" s="78"/>
      <c r="AE34" s="78"/>
      <c r="AF34" s="78"/>
      <c r="AG34" s="78"/>
      <c r="AH34" s="78"/>
      <c r="AI34" s="78"/>
    </row>
    <row r="35" spans="1:35" ht="28.9">
      <c r="A35" s="30" t="str">
        <v>Westport - Pine Hill</v>
      </c>
      <c r="B35" s="31" t="str">
        <v>MA</v>
      </c>
      <c r="C35" s="11">
        <v>598098</v>
      </c>
      <c r="D35" s="18" t="s">
        <v>201</v>
      </c>
      <c r="E35" s="18" t="str">
        <f t="shared" si="0"/>
        <v/>
      </c>
      <c r="F35" s="19" t="str">
        <f t="shared" si="3"/>
        <v/>
      </c>
      <c r="G35" s="20">
        <v>675183.16</v>
      </c>
      <c r="H35" s="20">
        <f t="shared" si="1"/>
        <v>-77085.160000000033</v>
      </c>
      <c r="I35" s="19">
        <f t="shared" si="2"/>
        <v>-0.11416925742046059</v>
      </c>
      <c r="J35" s="56" t="s">
        <v>279</v>
      </c>
      <c r="K35" s="77" t="s">
        <v>280</v>
      </c>
      <c r="L35" s="91"/>
      <c r="M35" s="78"/>
      <c r="N35" s="78"/>
      <c r="O35" s="78"/>
      <c r="P35" s="78"/>
      <c r="Q35" s="78"/>
      <c r="R35" s="78"/>
      <c r="S35" s="78"/>
      <c r="T35" s="78"/>
      <c r="U35" s="78"/>
      <c r="V35" s="78"/>
      <c r="W35" s="78"/>
      <c r="X35" s="78"/>
      <c r="Y35" s="78"/>
      <c r="Z35" s="78"/>
      <c r="AA35" s="78"/>
      <c r="AB35" s="78"/>
      <c r="AC35" s="78"/>
      <c r="AD35" s="78"/>
      <c r="AE35" s="78"/>
      <c r="AF35" s="78"/>
      <c r="AG35" s="78"/>
      <c r="AH35" s="78"/>
      <c r="AI35" s="78"/>
    </row>
    <row r="36" spans="1:35" ht="15.6">
      <c r="A36" s="28" t="str">
        <v>Oaks Landfill - ANEM</v>
      </c>
      <c r="B36" s="29" t="str">
        <v>MD</v>
      </c>
      <c r="C36" s="24">
        <v>330959.217</v>
      </c>
      <c r="D36" s="13">
        <v>363582.99939999997</v>
      </c>
      <c r="E36" s="13">
        <f t="shared" si="0"/>
        <v>-32623.782399999967</v>
      </c>
      <c r="F36" s="14">
        <f t="shared" si="3"/>
        <v>-8.9728569415613801E-2</v>
      </c>
      <c r="G36" s="88" t="s">
        <v>201</v>
      </c>
      <c r="H36" s="15" t="str">
        <f t="shared" si="1"/>
        <v/>
      </c>
      <c r="I36" s="16" t="str">
        <f t="shared" si="2"/>
        <v/>
      </c>
      <c r="J36" s="40" t="s">
        <v>281</v>
      </c>
      <c r="K36" s="75" t="s">
        <v>282</v>
      </c>
      <c r="L36" s="78"/>
      <c r="M36" s="78"/>
      <c r="N36" s="78"/>
      <c r="O36" s="78"/>
      <c r="P36" s="78"/>
      <c r="Q36" s="78"/>
      <c r="R36" s="78"/>
      <c r="S36" s="78"/>
      <c r="T36" s="78"/>
      <c r="U36" s="78"/>
      <c r="V36" s="78"/>
      <c r="W36" s="78"/>
      <c r="X36" s="78"/>
      <c r="Y36" s="78"/>
      <c r="Z36" s="78"/>
      <c r="AA36" s="78"/>
      <c r="AB36" s="78"/>
      <c r="AC36" s="78"/>
      <c r="AD36" s="78"/>
      <c r="AE36" s="78"/>
      <c r="AF36" s="78"/>
      <c r="AG36" s="78"/>
      <c r="AH36" s="78"/>
      <c r="AI36" s="78"/>
    </row>
    <row r="37" spans="1:35" ht="57.6">
      <c r="A37" s="30" t="str">
        <v>Oaks Landfill - CS2</v>
      </c>
      <c r="B37" s="31" t="str">
        <v>MD</v>
      </c>
      <c r="C37" s="11">
        <v>337324.63799999998</v>
      </c>
      <c r="D37" s="18">
        <v>367081.712</v>
      </c>
      <c r="E37" s="18">
        <f t="shared" si="0"/>
        <v>-29757.074000000022</v>
      </c>
      <c r="F37" s="19">
        <f t="shared" si="3"/>
        <v>-8.10638967489615E-2</v>
      </c>
      <c r="G37" s="89" t="s">
        <v>201</v>
      </c>
      <c r="H37" s="20" t="str">
        <f t="shared" si="1"/>
        <v/>
      </c>
      <c r="I37" s="19" t="str">
        <f t="shared" si="2"/>
        <v/>
      </c>
      <c r="J37" s="56" t="s">
        <v>283</v>
      </c>
      <c r="K37" s="77" t="s">
        <v>284</v>
      </c>
      <c r="L37" s="79" t="s">
        <v>285</v>
      </c>
      <c r="M37" s="79" t="s">
        <v>286</v>
      </c>
      <c r="N37" s="78"/>
      <c r="O37" s="78"/>
      <c r="P37" s="78"/>
      <c r="Q37" s="78"/>
      <c r="R37" s="78"/>
      <c r="S37" s="78"/>
      <c r="T37" s="78"/>
      <c r="U37" s="78"/>
      <c r="V37" s="78"/>
      <c r="W37" s="78"/>
      <c r="X37" s="78"/>
      <c r="Y37" s="78"/>
      <c r="Z37" s="78"/>
      <c r="AA37" s="78"/>
      <c r="AB37" s="78"/>
      <c r="AC37" s="78"/>
      <c r="AD37" s="78"/>
      <c r="AE37" s="78"/>
      <c r="AF37" s="78"/>
      <c r="AG37" s="78"/>
      <c r="AH37" s="78"/>
      <c r="AI37" s="78"/>
    </row>
    <row r="38" spans="1:35" ht="15.6">
      <c r="A38" s="28" t="str">
        <v>Oaks Landfill - CS1</v>
      </c>
      <c r="B38" s="29" t="str">
        <v>MD</v>
      </c>
      <c r="C38" s="24">
        <v>340690.47</v>
      </c>
      <c r="D38" s="13">
        <v>367079.14199999999</v>
      </c>
      <c r="E38" s="13">
        <f t="shared" si="0"/>
        <v>-26388.67200000002</v>
      </c>
      <c r="F38" s="14">
        <f t="shared" si="3"/>
        <v>-7.188823602513493E-2</v>
      </c>
      <c r="G38" s="88" t="s">
        <v>201</v>
      </c>
      <c r="H38" s="15" t="str">
        <f t="shared" si="1"/>
        <v/>
      </c>
      <c r="I38" s="16" t="str">
        <f t="shared" si="2"/>
        <v/>
      </c>
      <c r="J38" s="40" t="s">
        <v>287</v>
      </c>
      <c r="K38" s="75" t="s">
        <v>288</v>
      </c>
      <c r="L38" s="78"/>
      <c r="M38" s="78"/>
      <c r="N38" s="78"/>
      <c r="O38" s="78"/>
      <c r="P38" s="78"/>
      <c r="Q38" s="78"/>
      <c r="R38" s="78"/>
      <c r="S38" s="78"/>
      <c r="T38" s="78"/>
      <c r="U38" s="78"/>
      <c r="V38" s="78"/>
      <c r="W38" s="78"/>
      <c r="X38" s="78"/>
      <c r="Y38" s="78"/>
      <c r="Z38" s="78"/>
      <c r="AA38" s="78"/>
      <c r="AB38" s="78"/>
      <c r="AC38" s="78"/>
      <c r="AD38" s="78"/>
      <c r="AE38" s="78"/>
      <c r="AF38" s="78"/>
      <c r="AG38" s="78"/>
      <c r="AH38" s="78"/>
      <c r="AI38" s="78"/>
    </row>
    <row r="39" spans="1:35" ht="57.6">
      <c r="A39" s="30" t="str">
        <v>Plympton - Upland Solar - PV &amp; BESS (IRA)</v>
      </c>
      <c r="B39" s="31" t="str">
        <v>MA</v>
      </c>
      <c r="C39" s="11">
        <v>675539</v>
      </c>
      <c r="D39" s="18">
        <v>684501.08400000003</v>
      </c>
      <c r="E39" s="18">
        <f t="shared" si="0"/>
        <v>-8962.0840000000317</v>
      </c>
      <c r="F39" s="19">
        <f t="shared" si="3"/>
        <v>-1.3092870427068646E-2</v>
      </c>
      <c r="G39" s="20">
        <v>733816.5</v>
      </c>
      <c r="H39" s="20">
        <f t="shared" si="1"/>
        <v>-58277.5</v>
      </c>
      <c r="I39" s="19">
        <f t="shared" si="2"/>
        <v>-7.9416993212880871E-2</v>
      </c>
      <c r="J39" s="56" t="s">
        <v>289</v>
      </c>
      <c r="K39" s="77" t="s">
        <v>290</v>
      </c>
      <c r="L39" s="78"/>
      <c r="M39" s="78"/>
      <c r="N39" s="78"/>
      <c r="O39" s="78"/>
      <c r="P39" s="78"/>
      <c r="Q39" s="78"/>
      <c r="R39" s="78"/>
      <c r="S39" s="78"/>
      <c r="T39" s="78"/>
      <c r="U39" s="78"/>
      <c r="V39" s="78"/>
      <c r="W39" s="78"/>
      <c r="X39" s="78"/>
      <c r="Y39" s="78"/>
      <c r="Z39" s="78"/>
      <c r="AA39" s="78"/>
      <c r="AB39" s="78"/>
      <c r="AC39" s="78"/>
      <c r="AD39" s="78"/>
      <c r="AE39" s="78"/>
      <c r="AF39" s="78"/>
      <c r="AG39" s="78"/>
      <c r="AH39" s="78"/>
      <c r="AI39" s="78"/>
    </row>
    <row r="40" spans="1:35" ht="14.45">
      <c r="A40" s="21" t="str">
        <v>MA: Plymouth - Black Cat Solar - PV &amp; BESS (IRA)</v>
      </c>
      <c r="B40" s="33" t="str">
        <v>MA</v>
      </c>
      <c r="C40" s="21"/>
      <c r="D40" s="21"/>
      <c r="E40" s="21"/>
      <c r="F40" s="22"/>
      <c r="G40" s="21"/>
      <c r="H40" s="21"/>
      <c r="I40" s="22"/>
      <c r="J40" s="21"/>
      <c r="K40" s="21"/>
      <c r="L40" s="78"/>
      <c r="M40" s="78"/>
      <c r="N40" s="78"/>
      <c r="O40" s="78"/>
      <c r="P40" s="78"/>
      <c r="Q40" s="78"/>
      <c r="R40" s="78"/>
      <c r="S40" s="78"/>
      <c r="T40" s="78"/>
      <c r="U40" s="78"/>
      <c r="V40" s="78"/>
      <c r="W40" s="78"/>
      <c r="X40" s="78"/>
      <c r="Y40" s="78"/>
      <c r="Z40" s="78"/>
      <c r="AA40" s="78"/>
      <c r="AB40" s="78"/>
      <c r="AC40" s="78"/>
      <c r="AD40" s="78"/>
      <c r="AE40" s="78"/>
      <c r="AF40" s="78"/>
      <c r="AG40" s="78"/>
      <c r="AH40" s="78"/>
      <c r="AI40" s="78"/>
    </row>
    <row r="41" spans="1:35" ht="14.45">
      <c r="A41" s="21"/>
      <c r="B41" s="33"/>
      <c r="C41" s="21"/>
      <c r="D41" s="21"/>
      <c r="E41" s="21"/>
      <c r="F41" s="22"/>
      <c r="G41" s="21"/>
      <c r="H41" s="21"/>
      <c r="I41" s="22"/>
      <c r="J41" s="21"/>
      <c r="K41" s="21"/>
      <c r="L41" s="78"/>
      <c r="M41" s="78"/>
      <c r="N41" s="78"/>
      <c r="O41" s="78"/>
      <c r="P41" s="78"/>
      <c r="Q41" s="78"/>
      <c r="R41" s="78"/>
      <c r="S41" s="78"/>
      <c r="T41" s="78"/>
      <c r="U41" s="78"/>
      <c r="V41" s="78"/>
      <c r="W41" s="78"/>
      <c r="X41" s="78"/>
      <c r="Y41" s="78"/>
      <c r="Z41" s="78"/>
      <c r="AA41" s="78"/>
      <c r="AB41" s="78"/>
      <c r="AC41" s="78"/>
      <c r="AD41" s="78"/>
      <c r="AE41" s="78"/>
      <c r="AF41" s="78"/>
      <c r="AG41" s="78"/>
      <c r="AH41" s="78"/>
      <c r="AI41" s="78"/>
    </row>
    <row r="42" spans="1:35" ht="14.45">
      <c r="A42" s="21"/>
      <c r="B42" s="33"/>
      <c r="C42" s="21"/>
      <c r="D42" s="21"/>
      <c r="E42" s="21"/>
      <c r="F42" s="22"/>
      <c r="G42" s="21"/>
      <c r="H42" s="21"/>
      <c r="I42" s="22"/>
      <c r="J42" s="21"/>
      <c r="K42" s="21"/>
      <c r="L42" s="78"/>
      <c r="M42" s="78"/>
      <c r="N42" s="78"/>
      <c r="O42" s="78"/>
      <c r="P42" s="78"/>
      <c r="Q42" s="78"/>
      <c r="R42" s="78"/>
      <c r="S42" s="78"/>
      <c r="T42" s="78"/>
      <c r="U42" s="78"/>
      <c r="V42" s="78"/>
      <c r="W42" s="78"/>
      <c r="X42" s="78"/>
      <c r="Y42" s="78"/>
      <c r="Z42" s="78"/>
      <c r="AA42" s="78"/>
      <c r="AB42" s="78"/>
      <c r="AC42" s="78"/>
      <c r="AD42" s="78"/>
      <c r="AE42" s="78"/>
      <c r="AF42" s="78"/>
      <c r="AG42" s="78"/>
      <c r="AH42" s="78"/>
      <c r="AI42" s="78"/>
    </row>
    <row r="43" spans="1:35" ht="14.45">
      <c r="A43" s="21"/>
      <c r="B43" s="33"/>
      <c r="C43" s="21"/>
      <c r="D43" s="21"/>
      <c r="E43" s="21"/>
      <c r="F43" s="22"/>
      <c r="G43" s="21"/>
      <c r="H43" s="21"/>
      <c r="I43" s="22"/>
      <c r="J43" s="21"/>
      <c r="K43" s="21"/>
      <c r="L43" s="78"/>
      <c r="M43" s="78"/>
      <c r="N43" s="78"/>
      <c r="O43" s="78"/>
      <c r="P43" s="78"/>
      <c r="Q43" s="78"/>
      <c r="R43" s="78"/>
      <c r="S43" s="78"/>
      <c r="T43" s="78"/>
      <c r="U43" s="78"/>
      <c r="V43" s="78"/>
      <c r="W43" s="78"/>
      <c r="X43" s="78"/>
      <c r="Y43" s="78"/>
      <c r="Z43" s="78"/>
      <c r="AA43" s="78"/>
      <c r="AB43" s="78"/>
      <c r="AC43" s="78"/>
      <c r="AD43" s="78"/>
      <c r="AE43" s="78"/>
      <c r="AF43" s="78"/>
      <c r="AG43" s="78"/>
      <c r="AH43" s="78"/>
      <c r="AI43" s="78"/>
    </row>
    <row r="44" spans="1:35" ht="14.45">
      <c r="A44" s="21"/>
      <c r="B44" s="33"/>
      <c r="C44" s="21"/>
      <c r="D44" s="21"/>
      <c r="E44" s="21"/>
      <c r="F44" s="22"/>
      <c r="G44" s="21"/>
      <c r="H44" s="21"/>
      <c r="I44" s="22"/>
      <c r="J44" s="21"/>
      <c r="K44" s="21"/>
      <c r="L44" s="78"/>
      <c r="M44" s="78"/>
      <c r="N44" s="78"/>
      <c r="O44" s="78"/>
      <c r="P44" s="78"/>
      <c r="Q44" s="78"/>
      <c r="R44" s="78"/>
      <c r="S44" s="78"/>
      <c r="T44" s="78"/>
      <c r="U44" s="78"/>
      <c r="V44" s="78"/>
      <c r="W44" s="78"/>
      <c r="X44" s="78"/>
      <c r="Y44" s="78"/>
      <c r="Z44" s="78"/>
      <c r="AA44" s="78"/>
      <c r="AB44" s="78"/>
      <c r="AC44" s="78"/>
      <c r="AD44" s="78"/>
      <c r="AE44" s="78"/>
      <c r="AF44" s="78"/>
      <c r="AG44" s="78"/>
      <c r="AH44" s="78"/>
      <c r="AI44" s="78"/>
    </row>
    <row r="45" spans="1:35" ht="14.45">
      <c r="A45" s="21"/>
      <c r="B45" s="33"/>
      <c r="C45" s="21"/>
      <c r="D45" s="21"/>
      <c r="E45" s="21"/>
      <c r="F45" s="22"/>
      <c r="G45" s="21"/>
      <c r="H45" s="21"/>
      <c r="I45" s="22"/>
      <c r="J45" s="21"/>
      <c r="K45" s="21"/>
      <c r="L45" s="78"/>
      <c r="M45" s="78"/>
      <c r="N45" s="78"/>
      <c r="O45" s="78"/>
      <c r="P45" s="78"/>
      <c r="Q45" s="78"/>
      <c r="R45" s="78"/>
      <c r="S45" s="78"/>
      <c r="T45" s="78"/>
      <c r="U45" s="78"/>
      <c r="V45" s="78"/>
      <c r="W45" s="78"/>
      <c r="X45" s="78"/>
      <c r="Y45" s="78"/>
      <c r="Z45" s="78"/>
      <c r="AA45" s="78"/>
      <c r="AB45" s="78"/>
      <c r="AC45" s="78"/>
      <c r="AD45" s="78"/>
      <c r="AE45" s="78"/>
      <c r="AF45" s="78"/>
      <c r="AG45" s="78"/>
      <c r="AH45" s="78"/>
      <c r="AI45" s="78"/>
    </row>
    <row r="46" spans="1:35" ht="14.45">
      <c r="A46" s="21"/>
      <c r="B46" s="33"/>
      <c r="C46" s="21"/>
      <c r="D46" s="21"/>
      <c r="E46" s="21"/>
      <c r="F46" s="22"/>
      <c r="G46" s="21"/>
      <c r="H46" s="21"/>
      <c r="I46" s="22"/>
      <c r="J46" s="21"/>
      <c r="K46" s="21"/>
      <c r="L46" s="78"/>
      <c r="M46" s="78"/>
      <c r="N46" s="78"/>
      <c r="O46" s="78"/>
      <c r="P46" s="78"/>
      <c r="Q46" s="78"/>
      <c r="R46" s="78"/>
      <c r="S46" s="78"/>
      <c r="T46" s="78"/>
      <c r="U46" s="78"/>
      <c r="V46" s="78"/>
      <c r="W46" s="78"/>
      <c r="X46" s="78"/>
      <c r="Y46" s="78"/>
      <c r="Z46" s="78"/>
      <c r="AA46" s="78"/>
      <c r="AB46" s="78"/>
      <c r="AC46" s="78"/>
      <c r="AD46" s="78"/>
      <c r="AE46" s="78"/>
      <c r="AF46" s="78"/>
      <c r="AG46" s="78"/>
      <c r="AH46" s="78"/>
      <c r="AI46" s="78"/>
    </row>
    <row r="47" spans="1:35" ht="14.45">
      <c r="A47" s="21"/>
      <c r="B47" s="33"/>
      <c r="C47" s="21"/>
      <c r="D47" s="21"/>
      <c r="E47" s="21"/>
      <c r="F47" s="22"/>
      <c r="G47" s="21"/>
      <c r="H47" s="21"/>
      <c r="I47" s="22"/>
      <c r="J47" s="21"/>
      <c r="K47" s="21"/>
      <c r="L47" s="78"/>
      <c r="M47" s="78"/>
      <c r="N47" s="78"/>
      <c r="O47" s="78"/>
      <c r="P47" s="78"/>
      <c r="Q47" s="78"/>
      <c r="R47" s="78"/>
      <c r="S47" s="78"/>
      <c r="T47" s="78"/>
      <c r="U47" s="78"/>
      <c r="V47" s="78"/>
      <c r="W47" s="78"/>
      <c r="X47" s="78"/>
      <c r="Y47" s="78"/>
      <c r="Z47" s="78"/>
      <c r="AA47" s="78"/>
      <c r="AB47" s="78"/>
      <c r="AC47" s="78"/>
      <c r="AD47" s="78"/>
      <c r="AE47" s="78"/>
      <c r="AF47" s="78"/>
      <c r="AG47" s="78"/>
      <c r="AH47" s="78"/>
      <c r="AI47" s="78"/>
    </row>
    <row r="48" spans="1:35" ht="14.45">
      <c r="A48" s="21"/>
      <c r="B48" s="33"/>
      <c r="C48" s="21"/>
      <c r="D48" s="21"/>
      <c r="E48" s="21"/>
      <c r="F48" s="22"/>
      <c r="G48" s="21"/>
      <c r="H48" s="21"/>
      <c r="I48" s="22"/>
      <c r="J48" s="21"/>
      <c r="K48" s="21"/>
      <c r="L48" s="78"/>
      <c r="M48" s="78"/>
      <c r="N48" s="78"/>
      <c r="O48" s="78"/>
      <c r="P48" s="78"/>
      <c r="Q48" s="78"/>
      <c r="R48" s="78"/>
      <c r="S48" s="78"/>
      <c r="T48" s="78"/>
      <c r="U48" s="78"/>
      <c r="V48" s="78"/>
      <c r="W48" s="78"/>
      <c r="X48" s="78"/>
      <c r="Y48" s="78"/>
      <c r="Z48" s="78"/>
      <c r="AA48" s="78"/>
      <c r="AB48" s="78"/>
      <c r="AC48" s="78"/>
      <c r="AD48" s="78"/>
      <c r="AE48" s="78"/>
      <c r="AF48" s="78"/>
      <c r="AG48" s="78"/>
      <c r="AH48" s="78"/>
      <c r="AI48" s="78"/>
    </row>
    <row r="49" spans="1:35" ht="14.45">
      <c r="A49" s="21"/>
      <c r="B49" s="33"/>
      <c r="C49" s="21"/>
      <c r="D49" s="21"/>
      <c r="E49" s="21"/>
      <c r="F49" s="22"/>
      <c r="G49" s="21"/>
      <c r="H49" s="21"/>
      <c r="I49" s="22"/>
      <c r="J49" s="21"/>
      <c r="K49" s="21"/>
      <c r="L49" s="78"/>
      <c r="M49" s="78"/>
      <c r="N49" s="78"/>
      <c r="O49" s="78"/>
      <c r="P49" s="78"/>
      <c r="Q49" s="78"/>
      <c r="R49" s="78"/>
      <c r="S49" s="78"/>
      <c r="T49" s="78"/>
      <c r="U49" s="78"/>
      <c r="V49" s="78"/>
      <c r="W49" s="78"/>
      <c r="X49" s="78"/>
      <c r="Y49" s="78"/>
      <c r="Z49" s="78"/>
      <c r="AA49" s="78"/>
      <c r="AB49" s="78"/>
      <c r="AC49" s="78"/>
      <c r="AD49" s="78"/>
      <c r="AE49" s="78"/>
      <c r="AF49" s="78"/>
      <c r="AG49" s="78"/>
      <c r="AH49" s="78"/>
      <c r="AI49" s="78"/>
    </row>
    <row r="50" spans="1:35" ht="14.45">
      <c r="A50" s="21"/>
      <c r="B50" s="33"/>
      <c r="C50" s="21"/>
      <c r="D50" s="21"/>
      <c r="E50" s="21"/>
      <c r="F50" s="22"/>
      <c r="G50" s="21"/>
      <c r="H50" s="21"/>
      <c r="I50" s="22"/>
      <c r="J50" s="21"/>
      <c r="K50" s="21"/>
    </row>
    <row r="51" spans="1:35" ht="14.45">
      <c r="A51" s="21"/>
      <c r="B51" s="33"/>
      <c r="C51" s="21"/>
      <c r="D51" s="21"/>
      <c r="E51" s="21"/>
      <c r="F51" s="22"/>
      <c r="G51" s="21"/>
      <c r="H51" s="21"/>
      <c r="I51" s="22"/>
      <c r="J51" s="21"/>
      <c r="K51" s="21"/>
    </row>
    <row r="52" spans="1:35" ht="14.45">
      <c r="A52" s="21"/>
      <c r="B52" s="33"/>
      <c r="C52" s="21"/>
      <c r="D52" s="21"/>
      <c r="E52" s="21"/>
      <c r="F52" s="22"/>
      <c r="G52" s="21"/>
      <c r="H52" s="21"/>
      <c r="I52" s="22"/>
      <c r="J52" s="21"/>
      <c r="K52" s="21"/>
    </row>
    <row r="53" spans="1:35" ht="14.45">
      <c r="A53" s="21"/>
      <c r="B53" s="33"/>
      <c r="C53" s="21"/>
      <c r="D53" s="21"/>
      <c r="E53" s="21"/>
      <c r="F53" s="22"/>
      <c r="G53" s="21"/>
      <c r="H53" s="21"/>
      <c r="I53" s="22"/>
      <c r="J53" s="21"/>
      <c r="K53" s="21"/>
    </row>
    <row r="54" spans="1:35" ht="14.45">
      <c r="A54" s="21"/>
      <c r="B54" s="33"/>
      <c r="C54" s="21"/>
      <c r="D54" s="21"/>
      <c r="E54" s="21"/>
      <c r="F54" s="22"/>
      <c r="G54" s="21"/>
      <c r="H54" s="21"/>
      <c r="I54" s="22"/>
      <c r="J54" s="21"/>
      <c r="K54" s="21"/>
    </row>
    <row r="55" spans="1:35" ht="14.45">
      <c r="A55" s="21"/>
      <c r="B55" s="33"/>
      <c r="C55" s="21"/>
      <c r="D55" s="21"/>
      <c r="E55" s="21"/>
      <c r="F55" s="22"/>
      <c r="G55" s="21"/>
      <c r="H55" s="21"/>
      <c r="I55" s="22"/>
      <c r="J55" s="21"/>
      <c r="K55" s="21"/>
    </row>
    <row r="56" spans="1:35" ht="14.45">
      <c r="A56" s="21"/>
      <c r="B56" s="33"/>
      <c r="C56" s="21"/>
      <c r="D56" s="21"/>
      <c r="E56" s="21"/>
      <c r="F56" s="22"/>
      <c r="G56" s="21"/>
      <c r="H56" s="21"/>
      <c r="I56" s="22"/>
      <c r="J56" s="21"/>
      <c r="K56" s="21"/>
    </row>
    <row r="57" spans="1:35" ht="14.45">
      <c r="A57" s="21"/>
      <c r="B57" s="33"/>
      <c r="C57" s="21"/>
      <c r="D57" s="21"/>
      <c r="E57" s="21"/>
      <c r="F57" s="22"/>
      <c r="G57" s="21"/>
      <c r="H57" s="21"/>
      <c r="I57" s="22"/>
      <c r="J57" s="21"/>
      <c r="K57" s="21"/>
    </row>
    <row r="58" spans="1:35" ht="14.45">
      <c r="A58" s="21"/>
      <c r="B58" s="33"/>
      <c r="C58" s="21"/>
      <c r="D58" s="21"/>
      <c r="E58" s="21"/>
      <c r="F58" s="22"/>
      <c r="G58" s="21"/>
      <c r="H58" s="21"/>
      <c r="I58" s="22"/>
      <c r="J58" s="21"/>
      <c r="K58" s="21"/>
    </row>
    <row r="59" spans="1:35" ht="14.45">
      <c r="A59" s="21"/>
      <c r="B59" s="33"/>
      <c r="C59" s="21"/>
      <c r="D59" s="21"/>
      <c r="E59" s="21"/>
      <c r="F59" s="22"/>
      <c r="G59" s="21"/>
      <c r="H59" s="21"/>
      <c r="I59" s="22"/>
      <c r="J59" s="21"/>
      <c r="K59" s="21"/>
    </row>
    <row r="60" spans="1:35" ht="14.45">
      <c r="A60" s="21"/>
      <c r="B60" s="33"/>
      <c r="C60" s="21"/>
      <c r="D60" s="21"/>
      <c r="E60" s="21"/>
      <c r="F60" s="22"/>
      <c r="G60" s="21"/>
      <c r="H60" s="21"/>
      <c r="I60" s="22"/>
      <c r="J60" s="21"/>
      <c r="K60" s="21"/>
    </row>
    <row r="61" spans="1:35" ht="14.45">
      <c r="A61" s="21"/>
      <c r="B61" s="33"/>
      <c r="C61" s="21"/>
      <c r="D61" s="21"/>
      <c r="E61" s="21"/>
      <c r="F61" s="22"/>
      <c r="G61" s="21"/>
      <c r="H61" s="21"/>
      <c r="I61" s="22"/>
      <c r="J61" s="21"/>
      <c r="K61" s="21"/>
    </row>
    <row r="62" spans="1:35" ht="14.45">
      <c r="A62" s="21"/>
      <c r="B62" s="33"/>
      <c r="C62" s="21"/>
      <c r="D62" s="21"/>
      <c r="E62" s="21"/>
      <c r="F62" s="22"/>
      <c r="G62" s="21"/>
      <c r="H62" s="21"/>
      <c r="I62" s="22"/>
      <c r="J62" s="21"/>
      <c r="K62" s="21"/>
    </row>
    <row r="63" spans="1:35" ht="14.45">
      <c r="A63" s="21"/>
      <c r="B63" s="33"/>
      <c r="C63" s="21"/>
      <c r="D63" s="21"/>
      <c r="E63" s="21"/>
      <c r="F63" s="22"/>
      <c r="G63" s="21"/>
      <c r="H63" s="21"/>
      <c r="I63" s="22"/>
      <c r="J63" s="21"/>
      <c r="K63" s="21"/>
    </row>
    <row r="64" spans="1:35"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35" priority="3" stopIfTrue="1" operator="lessThanOrEqual">
      <formula>-0.1</formula>
    </cfRule>
    <cfRule type="expression" dxfId="34" priority="4">
      <formula>AND(ISNUMBER(F2), F2&gt;=0.1)</formula>
    </cfRule>
  </conditionalFormatting>
  <conditionalFormatting sqref="F4:F100 I4:I100">
    <cfRule type="cellIs" dxfId="33" priority="1" stopIfTrue="1" operator="lessThanOrEqual">
      <formula>-0.1</formula>
    </cfRule>
    <cfRule type="expression" dxfId="32" priority="2">
      <formula>AND(ISNUMBER(F4), F4&gt;=0.1)</formula>
    </cfRule>
  </conditionalFormatting>
  <hyperlinks>
    <hyperlink ref="K7" r:id="rId1" display="https://us3.assetplanner.com/service_request?ID=095312" xr:uid="{E575672F-F39B-44E5-85A7-038044570F8E}"/>
    <hyperlink ref="K9" r:id="rId2" display="https://us3.assetplanner.com/service_request?ID=089170" xr:uid="{5BD404F0-542C-40FD-954B-A33E75418558}"/>
    <hyperlink ref="L9" r:id="rId3" display="https://us3.assetplanner.com/service_request?ID=095220" xr:uid="{F7AEE8CF-B7DF-4C44-BC2D-760E72CB0981}"/>
    <hyperlink ref="K11" r:id="rId4" display="https://us3.assetplanner.com/service_request?ID=093404" xr:uid="{18CB8BE4-4999-4AE5-A7FE-4E3D2074F740}"/>
    <hyperlink ref="L11" r:id="rId5" display="https://us3.assetplanner.com/service_request?ID=089564" xr:uid="{0E453EAD-0C9A-469C-84A1-E5F333710A0E}"/>
    <hyperlink ref="K15" r:id="rId6" display="https://us3.assetplanner.com/service_request?ID=101866" xr:uid="{BD49C384-CD99-49FE-9AB3-8C8A393F0B05}"/>
    <hyperlink ref="K16" r:id="rId7" display="https://us3.assetplanner.com/service_request?ID=100488" xr:uid="{F0E29983-8F5F-417D-98D8-8FABCEBD63CC}"/>
    <hyperlink ref="L16" r:id="rId8" display="https://us3.assetplanner.com/service_request?ID=101380" xr:uid="{9BDFF867-3280-4B63-9CD5-362A345CD1A8}"/>
    <hyperlink ref="M16" r:id="rId9" display="https://us3.assetplanner.com/service_request?ID=101381" xr:uid="{32D810FC-8839-4CDD-9202-ADF146791B60}"/>
    <hyperlink ref="N16" r:id="rId10" display="https://us3.assetplanner.com/service_request?ID=101443" xr:uid="{257563C4-1F1F-4E22-90EF-B5FB714B8E84}"/>
    <hyperlink ref="O16" r:id="rId11" display="https://us3.assetplanner.com/service_request?ID=101950" xr:uid="{D1FB3F41-EB7F-46EE-87CD-6E58407F7724}"/>
    <hyperlink ref="P16" r:id="rId12" display="https://us3.assetplanner.com/service_request?ID=101655" xr:uid="{61EFE74B-482A-491A-96DE-59C22E514593}"/>
    <hyperlink ref="Q16" r:id="rId13" display="https://us3.assetplanner.com/service_request?ID=101656" xr:uid="{0E6CABEE-73A0-4140-9B53-F3874BFC8870}"/>
    <hyperlink ref="R16" r:id="rId14" display="https://us3.assetplanner.com/service_request?ID=101674" xr:uid="{71565DE6-69CC-43AF-93B0-E37299DF1524}"/>
    <hyperlink ref="S16" r:id="rId15" display="https://us3.assetplanner.com/service_request?ID=101815" xr:uid="{9217B535-404C-4A04-9529-2A8C11B85590}"/>
    <hyperlink ref="T16" r:id="rId16" display="https://us3.assetplanner.com/service_request?ID=101858" xr:uid="{15C8DF15-C4D7-480F-9531-B364C6002613}"/>
    <hyperlink ref="U16" r:id="rId17" display="https://us3.assetplanner.com/service_request?ID=101930" xr:uid="{F32D062C-1AA4-4CAE-9FDB-47892EC9D2C2}"/>
    <hyperlink ref="V16" r:id="rId18" display="https://us3.assetplanner.com/service_request?ID=101949" xr:uid="{689BE2EA-ABC0-4BEC-AF8C-A8DBC12C1146}"/>
    <hyperlink ref="W16" r:id="rId19" display="https://us3.assetplanner.com/service_request?ID=101976" xr:uid="{FE087B2D-D6F2-4B05-B878-0F6D066B6410}"/>
    <hyperlink ref="X16" r:id="rId20" display="https://us3.assetplanner.com/service_request?ID=101977" xr:uid="{C441AA98-AB62-4667-AB01-AD4CB4C7184E}"/>
    <hyperlink ref="K18" r:id="rId21" display="https://us3.assetplanner.com/service_request?ID=101769" xr:uid="{812B4EC9-00A8-427F-9290-7204856E251A}"/>
    <hyperlink ref="L18" r:id="rId22" display="https://us3.assetplanner.com/service_request?ID=098208" xr:uid="{71C94C6B-86EA-49EB-9FE1-2CA685683449}"/>
    <hyperlink ref="M18" r:id="rId23" display="https://us3.assetplanner.com/service_request?ID=096031" xr:uid="{DDFEC555-652F-4343-9E9B-67E55CB74ADD}"/>
    <hyperlink ref="N18" r:id="rId24" display="https://us3.assetplanner.com/service_request?ID=093403" xr:uid="{6683417B-BBA3-46B9-BCAA-3553478D9397}"/>
    <hyperlink ref="O18" r:id="rId25" display="https://us3.assetplanner.com/service_request?ID=097902" xr:uid="{9312CE7E-E9B1-46F6-8C17-55E6BFE213D5}"/>
    <hyperlink ref="P18" r:id="rId26" display="https://us3.assetplanner.com/service_request?ID=098208" xr:uid="{280504F2-835F-40B5-874A-DA859EAD7E72}"/>
    <hyperlink ref="Q18" r:id="rId27" display="https://us3.assetplanner.com/service_request?ID=099015" xr:uid="{24D0651B-FE19-4F15-979E-350FB5E9BDFB}"/>
    <hyperlink ref="K19" r:id="rId28" display="https://us3.assetplanner.com/service_request?ID=101576" xr:uid="{9F207CE4-86BC-400B-A9F4-F0A5851263B5}"/>
    <hyperlink ref="K20" r:id="rId29" display="https://us3.assetplanner.com/service_request?ID=100989" xr:uid="{FFC1FA63-AC5A-4018-A85D-110A3FCB950B}"/>
    <hyperlink ref="L20" r:id="rId30" display="https://us3.assetplanner.com/service_request?ID=101269" xr:uid="{948326C1-2DF5-4984-8979-8D99BAF50168}"/>
    <hyperlink ref="K21" r:id="rId31" display="https://us3.assetplanner.com/service_request?ID=099721" xr:uid="{0F8A5E3F-C42C-4FE2-AF44-ADF2166FFD5E}"/>
    <hyperlink ref="K22" r:id="rId32" display="https://us3.assetplanner.com/service_request?ID=101843" xr:uid="{044E0A24-1BFD-41A5-BB28-72AF67DC0CFD}"/>
    <hyperlink ref="L22" r:id="rId33" display="https://us3.assetplanner.com/service_request?ID=101988" xr:uid="{00F794F2-6891-4FE0-827A-876F72202E47}"/>
    <hyperlink ref="K23" r:id="rId34" display="https://us3.assetplanner.com/service_request?ID=101014" xr:uid="{26A9E6AA-7887-4B9F-9FF2-B1846B188115}"/>
    <hyperlink ref="L23" r:id="rId35" display="https://us3.assetplanner.com/service_request?ID=094678" xr:uid="{1B210CE5-3B3D-42E1-ADC4-F40591FFFF29}"/>
    <hyperlink ref="M23" r:id="rId36" display="https://us3.assetplanner.com/service_request?ID=101014" xr:uid="{1328665E-B27C-4A93-BDEB-52ADE3C4D96F}"/>
    <hyperlink ref="N23" r:id="rId37" display="https://us3.assetplanner.com/service_request?ID=101984" xr:uid="{CF943896-F7B4-4FDB-8029-CF9098CDF962}"/>
    <hyperlink ref="K26" r:id="rId38" display="https://us3.assetplanner.com/service_request?ID=099517" xr:uid="{0D1AD91A-37CD-43C7-AE91-E461665843CC}"/>
    <hyperlink ref="K27" r:id="rId39" display="https://us3.assetplanner.com/service_request?ID=099808" xr:uid="{8F374F44-221F-490C-8EF5-9A96FCF4279A}"/>
    <hyperlink ref="L27" r:id="rId40" display="https://us3.assetplanner.com/service_request?ID=102263" xr:uid="{4F3C6638-6187-4984-ACDD-E14EF037A0F0}"/>
    <hyperlink ref="K31" r:id="rId41" display="https://us3.assetplanner.com/service_request?ID=098681" xr:uid="{5B1609A6-5CD4-4F87-9332-B6825195AB5C}"/>
    <hyperlink ref="L31" r:id="rId42" display="https://us3.assetplanner.com/service_request?ID=100367" xr:uid="{66C69417-9E3D-4B03-BA83-BEAF572DDEE7}"/>
    <hyperlink ref="K32" r:id="rId43" display="https://us3.assetplanner.com/service_request?ID=101270" xr:uid="{FB2D6778-68DF-435E-8B2D-6EE2CC49E1E2}"/>
    <hyperlink ref="K33" r:id="rId44" display="https://us3.assetplanner.com/service_request?ID=101887" xr:uid="{2EA1EE2D-47C5-4AA8-9F62-0351BF502BBF}"/>
    <hyperlink ref="K34" r:id="rId45" display="https://us3.assetplanner.com/service_request?ID=094890" xr:uid="{769D759E-0A2B-4047-9C5C-523F303ED4BC}"/>
    <hyperlink ref="L34" r:id="rId46" display="https://us3.assetplanner.com/service_request?ID=093773" xr:uid="{7EA55957-24F1-424E-A97C-CCD5F8C346BF}"/>
    <hyperlink ref="M34" r:id="rId47" display="https://us3.assetplanner.com/service_request?ID=095761" xr:uid="{759B65C3-340E-497D-86A3-270D2623BAF4}"/>
    <hyperlink ref="N34" r:id="rId48" display="https://us3.assetplanner.com/service_request?ID=096555" xr:uid="{9977F263-7C05-45A5-B27C-AFF2DD1F6E75}"/>
    <hyperlink ref="O34" r:id="rId49" display="https://us3.assetplanner.com/service_request?ID=096557" xr:uid="{31CFE366-BCED-4635-8845-B816C7D9F581}"/>
    <hyperlink ref="P34" r:id="rId50" display="https://us3.assetplanner.com/service_request?ID=096558" xr:uid="{06457824-A5BC-4128-BB5F-B396D8074C84}"/>
    <hyperlink ref="Q34" r:id="rId51" display="https://us3.assetplanner.com/service_request?ID=097964" xr:uid="{BD8642D4-3F65-481D-946D-5B037F881179}"/>
    <hyperlink ref="R34" r:id="rId52" display="https://us3.assetplanner.com/service_request?ID=100899" xr:uid="{FA1FD048-3960-4E94-B7EB-BF53EE3C23FC}"/>
    <hyperlink ref="S34" r:id="rId53" display="https://us3.assetplanner.com/service_request?ID=094890" xr:uid="{96126B45-0B68-4F93-ACEC-D01947CF7B36}"/>
    <hyperlink ref="T34" r:id="rId54" display="https://us3.assetplanner.com/service_request?ID=100899" xr:uid="{25C9F071-3D64-4CD4-8A2D-899AF6E826C4}"/>
    <hyperlink ref="U34" r:id="rId55" display="https://us3.assetplanner.com/service_request?ID=098933" xr:uid="{1FA2B2CE-DD88-4844-A6DD-7C53AB5E0BD4}"/>
    <hyperlink ref="K35" r:id="rId56" display="https://us3.assetplanner.com/service_request?ID=101856" xr:uid="{DF018F32-CAA2-4A4F-8538-2A7C9057738A}"/>
    <hyperlink ref="K36" r:id="rId57" display="https://us3.assetplanner.com/service_request?ID=101611" xr:uid="{11AF6895-AF9E-4AB7-9B4C-CE0D14C6A694}"/>
    <hyperlink ref="K37" r:id="rId58" display="https://us3.assetplanner.com/service_request?ID=100965" xr:uid="{9CB707F5-B721-454D-83A4-DB3CF7613CC4}"/>
    <hyperlink ref="L37" r:id="rId59" display="https://us3.assetplanner.com/service_request?ID=101170" xr:uid="{8745F696-2234-4721-9757-E440B7358EF8}"/>
    <hyperlink ref="M37" r:id="rId60" display="https://us3.assetplanner.com/service_request?ID=101613" xr:uid="{86736959-1CC7-4DDE-9260-91C9AF060FC0}"/>
    <hyperlink ref="K38" r:id="rId61" display="https://us3.assetplanner.com/service_request?ID=101612" xr:uid="{AD43CB91-A78C-4B94-826C-5FC7BB109FEA}"/>
    <hyperlink ref="K39" r:id="rId62" display="https://us3.assetplanner.com/service_request?ID=101952" xr:uid="{2B53AD6B-A80E-47F9-AE51-10B3EBB6B649}"/>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Q342"/>
  <sheetViews>
    <sheetView zoomScale="50" zoomScaleNormal="50" workbookViewId="0">
      <pane xSplit="2" ySplit="3" topLeftCell="C20" activePane="bottomRight" state="frozen"/>
      <selection pane="bottomRight" activeCell="I25" sqref="I25"/>
      <selection pane="bottomLeft" activeCell="F38" sqref="F38"/>
      <selection pane="topRight" activeCell="F38" sqref="F38"/>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117" t="str" cm="1">
        <f t="array" ref="A1">portfolio</f>
        <v>Greenbacker Capital</v>
      </c>
      <c r="B1" s="117"/>
      <c r="C1" s="117"/>
      <c r="D1" s="118" t="s">
        <v>291</v>
      </c>
      <c r="E1" s="118"/>
      <c r="F1" s="118"/>
      <c r="G1" s="116" t="s">
        <v>292</v>
      </c>
      <c r="H1" s="116"/>
      <c r="I1" s="116"/>
      <c r="J1" s="4"/>
      <c r="K1" s="4"/>
    </row>
    <row r="2" spans="1:17" ht="19.5" customHeight="1">
      <c r="A2" s="119" t="s">
        <v>2</v>
      </c>
      <c r="B2" s="119"/>
      <c r="C2" s="5">
        <f>SUM(C4:C100)</f>
        <v>7151459.6588535653</v>
      </c>
      <c r="D2" s="5">
        <f>SUM(D4:D100)</f>
        <v>6725438.1723999996</v>
      </c>
      <c r="E2" s="5">
        <f>C2-D2</f>
        <v>426021.48645356577</v>
      </c>
      <c r="F2" s="6">
        <f>IFERROR(E2/D2, 0)</f>
        <v>6.3344792641449307E-2</v>
      </c>
      <c r="G2" s="5">
        <f>SUM(G4:G100)</f>
        <v>6218386.1500000004</v>
      </c>
      <c r="H2" s="7">
        <f>C2-G2</f>
        <v>933073.50885356497</v>
      </c>
      <c r="I2" s="6">
        <f>IFERROR(H2/G2, 0)</f>
        <v>0.15005075052368128</v>
      </c>
      <c r="J2" s="26"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7" ht="14.25" customHeight="1">
      <c r="A3" s="8" t="s">
        <v>3</v>
      </c>
      <c r="B3" s="8" t="s">
        <v>4</v>
      </c>
      <c r="C3" s="23" t="s">
        <v>5</v>
      </c>
      <c r="D3" s="35" t="s">
        <v>6</v>
      </c>
      <c r="E3" s="35" t="s">
        <v>7</v>
      </c>
      <c r="F3" s="36" t="s">
        <v>8</v>
      </c>
      <c r="G3" s="37" t="s">
        <v>9</v>
      </c>
      <c r="H3" s="38" t="s">
        <v>7</v>
      </c>
      <c r="I3" s="39" t="s">
        <v>8</v>
      </c>
      <c r="J3" s="25" t="s">
        <v>20</v>
      </c>
      <c r="K3" s="25" t="s">
        <v>21</v>
      </c>
    </row>
    <row r="4" spans="1:17" ht="40.5" customHeight="1">
      <c r="A4" s="32" t="str" cm="1">
        <f t="array" ref="A4:A40">Sites[Site]</f>
        <v>10 Walpole Park South</v>
      </c>
      <c r="B4" s="29" t="str" cm="1">
        <f t="array" ref="B4:B40">Sites[State]</f>
        <v>MA</v>
      </c>
      <c r="C4" s="24">
        <v>18400</v>
      </c>
      <c r="D4" s="13">
        <v>17913.740000000002</v>
      </c>
      <c r="E4" s="13">
        <f>IF(AND(ISNUMBER(C4),ISNUMBER(D4)), C4-D4, "")</f>
        <v>486.2599999999984</v>
      </c>
      <c r="F4" s="14">
        <f>IFERROR(E4/D4, "")</f>
        <v>2.7144527050185968E-2</v>
      </c>
      <c r="G4" s="15">
        <v>20616.23</v>
      </c>
      <c r="H4" s="15">
        <f>IF(AND(ISNUMBER(C4),ISNUMBER(G4)), C4-G4, "")</f>
        <v>-2216.2299999999996</v>
      </c>
      <c r="I4" s="16">
        <f>IFERROR(H4/G4, "")</f>
        <v>-0.10749928575690122</v>
      </c>
      <c r="J4" s="40" t="s">
        <v>293</v>
      </c>
      <c r="K4" s="75" t="s">
        <v>294</v>
      </c>
      <c r="L4" s="78"/>
      <c r="M4" s="78"/>
      <c r="N4" s="78"/>
      <c r="O4" s="78"/>
      <c r="P4" s="78"/>
    </row>
    <row r="5" spans="1:17" ht="15.6">
      <c r="A5" s="30" t="str">
        <v>15 Walpole Park South</v>
      </c>
      <c r="B5" s="31" t="str">
        <v>MA</v>
      </c>
      <c r="C5" s="11">
        <v>68928</v>
      </c>
      <c r="D5" s="18">
        <v>65669.009999999995</v>
      </c>
      <c r="E5" s="18">
        <f t="shared" ref="E5:E39" si="0">IF(AND(ISNUMBER(C5),ISNUMBER(D5)), C5-D5, "")</f>
        <v>3258.9900000000052</v>
      </c>
      <c r="F5" s="19">
        <f>IFERROR(E5/D5, "")</f>
        <v>4.9627518368253236E-2</v>
      </c>
      <c r="G5" s="20">
        <v>72904.19</v>
      </c>
      <c r="H5" s="20">
        <f t="shared" ref="H5:H39" si="1">IF(AND(ISNUMBER(C5),ISNUMBER(G5)), C5-G5, "")</f>
        <v>-3976.1900000000023</v>
      </c>
      <c r="I5" s="19">
        <f t="shared" ref="I5:I39" si="2">IFERROR(H5/G5, "")</f>
        <v>-5.4539937965156764E-2</v>
      </c>
      <c r="J5" s="41"/>
      <c r="K5" s="41"/>
      <c r="L5" s="78"/>
      <c r="M5" s="78"/>
      <c r="N5" s="78"/>
      <c r="O5" s="78"/>
      <c r="P5" s="78"/>
    </row>
    <row r="6" spans="1:17" ht="15.6">
      <c r="A6" s="28" t="str">
        <v>19 Walpole Park South</v>
      </c>
      <c r="B6" s="29" t="str">
        <v>MA</v>
      </c>
      <c r="C6" s="24">
        <v>43383.25</v>
      </c>
      <c r="D6" s="13">
        <v>40137.629999999997</v>
      </c>
      <c r="E6" s="13">
        <f t="shared" si="0"/>
        <v>3245.6200000000026</v>
      </c>
      <c r="F6" s="14">
        <f t="shared" ref="F6:F39" si="3">IFERROR(E6/D6, "")</f>
        <v>8.0862273133715246E-2</v>
      </c>
      <c r="G6" s="15">
        <v>46403.23</v>
      </c>
      <c r="H6" s="15">
        <f t="shared" si="1"/>
        <v>-3019.9800000000032</v>
      </c>
      <c r="I6" s="16">
        <f t="shared" si="2"/>
        <v>-6.5081245421924352E-2</v>
      </c>
      <c r="J6" s="40"/>
      <c r="K6" s="40"/>
      <c r="L6" s="78"/>
      <c r="M6" s="78"/>
      <c r="N6" s="78"/>
      <c r="O6" s="78"/>
      <c r="P6" s="78"/>
    </row>
    <row r="7" spans="1:17" ht="15.6">
      <c r="A7" s="30" t="str">
        <v>23 Walpole Park South</v>
      </c>
      <c r="B7" s="31" t="str">
        <v>MA</v>
      </c>
      <c r="C7" s="11">
        <v>54242.25</v>
      </c>
      <c r="D7" s="18">
        <v>53408.95</v>
      </c>
      <c r="E7" s="18">
        <f t="shared" si="0"/>
        <v>833.30000000000291</v>
      </c>
      <c r="F7" s="19">
        <f t="shared" si="3"/>
        <v>1.5602253929350848E-2</v>
      </c>
      <c r="G7" s="20">
        <v>61140.12</v>
      </c>
      <c r="H7" s="20">
        <f t="shared" si="1"/>
        <v>-6897.8700000000026</v>
      </c>
      <c r="I7" s="19">
        <f t="shared" si="2"/>
        <v>-0.11282068141181277</v>
      </c>
      <c r="J7" s="41" t="s">
        <v>228</v>
      </c>
      <c r="K7" s="76" t="s">
        <v>24</v>
      </c>
      <c r="L7" s="78"/>
      <c r="M7" s="78"/>
      <c r="N7" s="78"/>
      <c r="O7" s="78"/>
      <c r="P7" s="78"/>
    </row>
    <row r="8" spans="1:17" ht="33" customHeight="1">
      <c r="A8" s="28" t="str">
        <v>24 Walpole Park South</v>
      </c>
      <c r="B8" s="29" t="str">
        <v>MA</v>
      </c>
      <c r="C8" s="24">
        <v>88969.842500000304</v>
      </c>
      <c r="D8" s="13">
        <v>76860.19</v>
      </c>
      <c r="E8" s="13">
        <f t="shared" si="0"/>
        <v>12109.652500000302</v>
      </c>
      <c r="F8" s="14">
        <f t="shared" si="3"/>
        <v>0.15755428785695563</v>
      </c>
      <c r="G8" s="15">
        <v>93947.49</v>
      </c>
      <c r="H8" s="15">
        <f t="shared" si="1"/>
        <v>-4977.6474999997008</v>
      </c>
      <c r="I8" s="16">
        <f t="shared" si="2"/>
        <v>-5.2983294178478857E-2</v>
      </c>
      <c r="J8" s="40"/>
      <c r="K8" s="40"/>
      <c r="L8" s="78"/>
      <c r="M8" s="78"/>
      <c r="N8" s="78"/>
      <c r="O8" s="78"/>
      <c r="P8" s="78"/>
    </row>
    <row r="9" spans="1:17" ht="54" customHeight="1">
      <c r="A9" s="30" t="str">
        <v>25 Walpole Park South</v>
      </c>
      <c r="B9" s="31" t="str">
        <v>MA</v>
      </c>
      <c r="C9" s="11">
        <v>81562.5</v>
      </c>
      <c r="D9" s="18">
        <v>81180.88</v>
      </c>
      <c r="E9" s="18">
        <f t="shared" si="0"/>
        <v>381.61999999999534</v>
      </c>
      <c r="F9" s="19">
        <f t="shared" si="3"/>
        <v>4.7008605967315863E-3</v>
      </c>
      <c r="G9" s="20">
        <v>95151.08</v>
      </c>
      <c r="H9" s="20">
        <f t="shared" si="1"/>
        <v>-13588.580000000002</v>
      </c>
      <c r="I9" s="19">
        <f t="shared" si="2"/>
        <v>-0.14281057030566549</v>
      </c>
      <c r="J9" s="56" t="s">
        <v>29</v>
      </c>
      <c r="K9" s="77" t="s">
        <v>229</v>
      </c>
      <c r="L9" s="79" t="s">
        <v>31</v>
      </c>
      <c r="M9" s="78"/>
      <c r="N9" s="78"/>
      <c r="O9" s="78"/>
      <c r="P9" s="78"/>
    </row>
    <row r="10" spans="1:17" ht="28.9">
      <c r="A10" s="28" t="str">
        <v>3 Walpole Park South</v>
      </c>
      <c r="B10" s="29" t="str">
        <v>MA</v>
      </c>
      <c r="C10" s="24">
        <v>106786.5</v>
      </c>
      <c r="D10" s="13">
        <v>104346</v>
      </c>
      <c r="E10" s="13">
        <f t="shared" si="0"/>
        <v>2440.5</v>
      </c>
      <c r="F10" s="14">
        <f t="shared" si="3"/>
        <v>2.3388534299350238E-2</v>
      </c>
      <c r="G10" s="15">
        <v>114922.9</v>
      </c>
      <c r="H10" s="15">
        <f t="shared" si="1"/>
        <v>-8136.3999999999942</v>
      </c>
      <c r="I10" s="16">
        <f t="shared" si="2"/>
        <v>-7.0798770306005107E-2</v>
      </c>
      <c r="J10" s="40" t="s">
        <v>141</v>
      </c>
      <c r="K10" s="75" t="s">
        <v>230</v>
      </c>
      <c r="L10" s="79" t="s">
        <v>191</v>
      </c>
      <c r="M10" s="78"/>
      <c r="N10" s="78"/>
      <c r="O10" s="78"/>
      <c r="P10" s="78"/>
    </row>
    <row r="11" spans="1:17" ht="15.6">
      <c r="A11" s="30" t="str">
        <v>4 Walpole Park South</v>
      </c>
      <c r="B11" s="31" t="str">
        <v>MA</v>
      </c>
      <c r="C11" s="11">
        <v>60227</v>
      </c>
      <c r="D11" s="18">
        <v>56103.45</v>
      </c>
      <c r="E11" s="18">
        <f t="shared" si="0"/>
        <v>4123.5500000000029</v>
      </c>
      <c r="F11" s="19">
        <f t="shared" si="3"/>
        <v>7.3499045067638505E-2</v>
      </c>
      <c r="G11" s="20">
        <v>62625.19</v>
      </c>
      <c r="H11" s="20">
        <f t="shared" si="1"/>
        <v>-2398.1900000000023</v>
      </c>
      <c r="I11" s="19">
        <f t="shared" si="2"/>
        <v>-3.8294334915391109E-2</v>
      </c>
      <c r="J11" s="41"/>
      <c r="K11" s="41"/>
      <c r="L11" s="78"/>
      <c r="M11" s="78"/>
      <c r="N11" s="78"/>
      <c r="O11" s="78"/>
      <c r="P11" s="78"/>
    </row>
    <row r="12" spans="1:17" ht="43.15">
      <c r="A12" s="28" t="str">
        <v>Brockton</v>
      </c>
      <c r="B12" s="29" t="str">
        <v>MA</v>
      </c>
      <c r="C12" s="24">
        <v>99513</v>
      </c>
      <c r="D12" s="13">
        <v>86975.77</v>
      </c>
      <c r="E12" s="13">
        <f t="shared" si="0"/>
        <v>12537.229999999996</v>
      </c>
      <c r="F12" s="14">
        <f t="shared" si="3"/>
        <v>0.14414623750959601</v>
      </c>
      <c r="G12" s="15">
        <v>105560</v>
      </c>
      <c r="H12" s="15">
        <f t="shared" si="1"/>
        <v>-6047</v>
      </c>
      <c r="I12" s="16">
        <f t="shared" si="2"/>
        <v>-5.7284956422887459E-2</v>
      </c>
      <c r="J12" s="40" t="s">
        <v>295</v>
      </c>
      <c r="K12" s="75" t="s">
        <v>296</v>
      </c>
      <c r="L12" s="79" t="s">
        <v>297</v>
      </c>
      <c r="M12" s="78"/>
      <c r="N12" s="78"/>
      <c r="O12" s="78"/>
      <c r="P12" s="78"/>
    </row>
    <row r="13" spans="1:17" ht="15.6">
      <c r="A13" s="30" t="str">
        <v>Canton</v>
      </c>
      <c r="B13" s="31" t="str">
        <v>MA</v>
      </c>
      <c r="C13" s="11">
        <v>94800</v>
      </c>
      <c r="D13" s="18">
        <v>86873.94</v>
      </c>
      <c r="E13" s="18">
        <f t="shared" si="0"/>
        <v>7926.0599999999977</v>
      </c>
      <c r="F13" s="19">
        <f t="shared" si="3"/>
        <v>9.1236336236160093E-2</v>
      </c>
      <c r="G13" s="20">
        <v>100923.9</v>
      </c>
      <c r="H13" s="20">
        <f t="shared" si="1"/>
        <v>-6123.8999999999942</v>
      </c>
      <c r="I13" s="19">
        <f t="shared" si="2"/>
        <v>-6.0678392333233203E-2</v>
      </c>
      <c r="J13" s="41"/>
      <c r="K13" s="41"/>
      <c r="L13" s="78"/>
      <c r="M13" s="78"/>
      <c r="N13" s="78"/>
      <c r="O13" s="78"/>
      <c r="P13" s="78"/>
    </row>
    <row r="14" spans="1:17" ht="57" customHeight="1">
      <c r="A14" s="28" t="str">
        <v>Chelsea</v>
      </c>
      <c r="B14" s="29" t="str">
        <v>MA</v>
      </c>
      <c r="C14" s="24">
        <v>163439</v>
      </c>
      <c r="D14" s="13">
        <v>157297.9</v>
      </c>
      <c r="E14" s="13">
        <f t="shared" si="0"/>
        <v>6141.1000000000058</v>
      </c>
      <c r="F14" s="14">
        <f t="shared" si="3"/>
        <v>3.9041207797434078E-2</v>
      </c>
      <c r="G14" s="15">
        <v>167426.6</v>
      </c>
      <c r="H14" s="15">
        <f t="shared" si="1"/>
        <v>-3987.6000000000058</v>
      </c>
      <c r="I14" s="16">
        <f t="shared" si="2"/>
        <v>-2.3817003988613552E-2</v>
      </c>
      <c r="J14" s="40" t="s">
        <v>298</v>
      </c>
      <c r="K14" s="75" t="s">
        <v>299</v>
      </c>
      <c r="L14" s="79" t="s">
        <v>300</v>
      </c>
      <c r="M14" s="78"/>
      <c r="N14" s="78"/>
      <c r="O14" s="78"/>
      <c r="P14" s="78"/>
    </row>
    <row r="15" spans="1:17" ht="15.6">
      <c r="A15" s="30" t="str">
        <v>Hamilton Landfill</v>
      </c>
      <c r="B15" s="31" t="str">
        <v>MA</v>
      </c>
      <c r="C15" s="11">
        <v>130165.96</v>
      </c>
      <c r="D15" s="18">
        <v>136601.24</v>
      </c>
      <c r="E15" s="18">
        <f t="shared" si="0"/>
        <v>-6435.2799999999843</v>
      </c>
      <c r="F15" s="19">
        <f t="shared" si="3"/>
        <v>-4.7109967669400253E-2</v>
      </c>
      <c r="G15" s="89" t="s">
        <v>201</v>
      </c>
      <c r="H15" s="20" t="str">
        <f t="shared" si="1"/>
        <v/>
      </c>
      <c r="I15" s="19" t="str">
        <f t="shared" si="2"/>
        <v/>
      </c>
      <c r="J15" s="41"/>
      <c r="K15" s="56"/>
      <c r="L15" s="78"/>
      <c r="M15" s="78"/>
      <c r="N15" s="78"/>
      <c r="O15" s="78"/>
      <c r="P15" s="78"/>
    </row>
    <row r="16" spans="1:17" ht="172.9">
      <c r="A16" s="28" t="str">
        <v>Holliston</v>
      </c>
      <c r="B16" s="29" t="str">
        <v>MA</v>
      </c>
      <c r="C16" s="24">
        <v>226544</v>
      </c>
      <c r="D16" s="13">
        <v>287247.90000000002</v>
      </c>
      <c r="E16" s="13">
        <f t="shared" si="0"/>
        <v>-60703.900000000023</v>
      </c>
      <c r="F16" s="14">
        <f t="shared" si="3"/>
        <v>-0.21132930823863297</v>
      </c>
      <c r="G16" s="15">
        <v>281631.8</v>
      </c>
      <c r="H16" s="15">
        <f t="shared" si="1"/>
        <v>-55087.799999999988</v>
      </c>
      <c r="I16" s="16">
        <f t="shared" si="2"/>
        <v>-0.19560220117188468</v>
      </c>
      <c r="J16" s="40" t="s">
        <v>301</v>
      </c>
      <c r="K16" s="75" t="s">
        <v>302</v>
      </c>
      <c r="L16" s="79" t="s">
        <v>243</v>
      </c>
      <c r="M16" s="79" t="s">
        <v>246</v>
      </c>
      <c r="N16" s="79" t="s">
        <v>247</v>
      </c>
      <c r="O16" s="79" t="s">
        <v>303</v>
      </c>
      <c r="P16" s="79" t="s">
        <v>304</v>
      </c>
      <c r="Q16" s="79" t="s">
        <v>305</v>
      </c>
    </row>
    <row r="17" spans="1:16" ht="15.6">
      <c r="A17" s="30" t="str">
        <v>Natick HS - Carports</v>
      </c>
      <c r="B17" s="31" t="str">
        <v>MA</v>
      </c>
      <c r="C17" s="11">
        <v>83630.028999999995</v>
      </c>
      <c r="D17" s="18">
        <v>97231.437999999995</v>
      </c>
      <c r="E17" s="18">
        <f t="shared" si="0"/>
        <v>-13601.409</v>
      </c>
      <c r="F17" s="19">
        <f t="shared" si="3"/>
        <v>-0.13988694685354752</v>
      </c>
      <c r="G17" s="89" t="s">
        <v>201</v>
      </c>
      <c r="H17" s="20" t="str">
        <f t="shared" si="1"/>
        <v/>
      </c>
      <c r="I17" s="19" t="str">
        <f t="shared" si="2"/>
        <v/>
      </c>
      <c r="J17" s="41"/>
      <c r="K17" s="41"/>
      <c r="L17" s="91"/>
      <c r="M17" s="78"/>
      <c r="N17" s="78"/>
      <c r="O17" s="78"/>
      <c r="P17" s="78"/>
    </row>
    <row r="18" spans="1:16" ht="102" customHeight="1">
      <c r="A18" s="32" t="str">
        <v>Norton</v>
      </c>
      <c r="B18" s="29" t="str">
        <v>MA</v>
      </c>
      <c r="C18" s="24">
        <v>36513.499878104798</v>
      </c>
      <c r="D18" s="13">
        <v>291741.2</v>
      </c>
      <c r="E18" s="13">
        <f t="shared" si="0"/>
        <v>-255227.70012189521</v>
      </c>
      <c r="F18" s="14">
        <f t="shared" si="3"/>
        <v>-0.87484284057889383</v>
      </c>
      <c r="G18" s="15">
        <v>599800.19999999995</v>
      </c>
      <c r="H18" s="15">
        <f t="shared" si="1"/>
        <v>-563286.70012189518</v>
      </c>
      <c r="I18" s="16">
        <f t="shared" si="2"/>
        <v>-0.93912389512690264</v>
      </c>
      <c r="J18" s="40" t="s">
        <v>306</v>
      </c>
      <c r="K18" s="75" t="s">
        <v>307</v>
      </c>
      <c r="L18" s="79" t="s">
        <v>308</v>
      </c>
      <c r="M18" s="79" t="s">
        <v>309</v>
      </c>
      <c r="N18" s="78"/>
      <c r="O18" s="78"/>
      <c r="P18" s="78"/>
    </row>
    <row r="19" spans="1:16" ht="28.9">
      <c r="A19" s="30" t="str">
        <v>Palmer - Boston Rd.</v>
      </c>
      <c r="B19" s="31" t="str">
        <v>MA</v>
      </c>
      <c r="C19" s="11">
        <v>79858.500000000902</v>
      </c>
      <c r="D19" s="18">
        <v>65606.45</v>
      </c>
      <c r="E19" s="18">
        <f t="shared" si="0"/>
        <v>14252.050000000905</v>
      </c>
      <c r="F19" s="19">
        <f t="shared" si="3"/>
        <v>0.21723550047290938</v>
      </c>
      <c r="G19" s="20">
        <v>84844</v>
      </c>
      <c r="H19" s="20">
        <f t="shared" si="1"/>
        <v>-4985.4999999990978</v>
      </c>
      <c r="I19" s="19">
        <f t="shared" si="2"/>
        <v>-5.8760784498598576E-2</v>
      </c>
      <c r="J19" s="41" t="s">
        <v>310</v>
      </c>
      <c r="K19" s="56" t="s">
        <v>311</v>
      </c>
      <c r="L19" s="78"/>
      <c r="M19" s="78"/>
      <c r="N19" s="78"/>
      <c r="O19" s="78"/>
      <c r="P19" s="78"/>
    </row>
    <row r="20" spans="1:16" ht="43.15">
      <c r="A20" s="28" t="str">
        <v>Shirley Bartkus</v>
      </c>
      <c r="B20" s="29" t="str">
        <v>MA</v>
      </c>
      <c r="C20" s="24">
        <v>127539</v>
      </c>
      <c r="D20" s="13">
        <v>104461.5</v>
      </c>
      <c r="E20" s="13">
        <f t="shared" si="0"/>
        <v>23077.5</v>
      </c>
      <c r="F20" s="14">
        <f t="shared" si="3"/>
        <v>0.22091871167846527</v>
      </c>
      <c r="G20" s="15">
        <v>145881</v>
      </c>
      <c r="H20" s="15">
        <f t="shared" si="1"/>
        <v>-18342</v>
      </c>
      <c r="I20" s="16">
        <f t="shared" si="2"/>
        <v>-0.12573261768153496</v>
      </c>
      <c r="J20" s="40" t="s">
        <v>312</v>
      </c>
      <c r="K20" s="75" t="s">
        <v>313</v>
      </c>
      <c r="L20" s="79" t="s">
        <v>314</v>
      </c>
      <c r="M20" s="78"/>
      <c r="N20" s="78"/>
      <c r="O20" s="78"/>
      <c r="P20" s="78"/>
    </row>
    <row r="21" spans="1:16" ht="28.9">
      <c r="A21" s="30" t="str">
        <v>Stoughton</v>
      </c>
      <c r="B21" s="31" t="str">
        <v>MA</v>
      </c>
      <c r="C21" s="11">
        <v>110018</v>
      </c>
      <c r="D21" s="18">
        <v>72767.740000000005</v>
      </c>
      <c r="E21" s="18">
        <f t="shared" si="0"/>
        <v>37250.259999999995</v>
      </c>
      <c r="F21" s="19">
        <f t="shared" si="3"/>
        <v>0.51190623757175902</v>
      </c>
      <c r="G21" s="20">
        <v>111961.8</v>
      </c>
      <c r="H21" s="20">
        <f t="shared" si="1"/>
        <v>-1943.8000000000029</v>
      </c>
      <c r="I21" s="19">
        <f t="shared" si="2"/>
        <v>-1.7361278578943914E-2</v>
      </c>
      <c r="J21" s="41" t="s">
        <v>315</v>
      </c>
      <c r="K21" s="77" t="s">
        <v>316</v>
      </c>
      <c r="L21" s="78"/>
      <c r="M21" s="78"/>
      <c r="N21" s="78"/>
      <c r="O21" s="78"/>
      <c r="P21" s="78"/>
    </row>
    <row r="22" spans="1:16" ht="15.6">
      <c r="A22" s="28" t="str">
        <v>Wellfleet Landfill</v>
      </c>
      <c r="B22" s="29" t="str">
        <v>MA</v>
      </c>
      <c r="C22" s="24">
        <v>140687.79300000001</v>
      </c>
      <c r="D22" s="13">
        <v>154673.19</v>
      </c>
      <c r="E22" s="13">
        <f t="shared" si="0"/>
        <v>-13985.396999999997</v>
      </c>
      <c r="F22" s="14">
        <f t="shared" si="3"/>
        <v>-9.0419011853314704E-2</v>
      </c>
      <c r="G22" s="88" t="s">
        <v>201</v>
      </c>
      <c r="H22" s="15" t="str">
        <f t="shared" si="1"/>
        <v/>
      </c>
      <c r="I22" s="16" t="str">
        <f t="shared" si="2"/>
        <v/>
      </c>
      <c r="J22" s="40"/>
      <c r="K22" s="40"/>
      <c r="L22" s="78"/>
      <c r="M22" s="78"/>
      <c r="N22" s="78"/>
      <c r="O22" s="78"/>
      <c r="P22" s="78"/>
    </row>
    <row r="23" spans="1:16" ht="39.6">
      <c r="A23" s="30" t="str">
        <v>Wilmington Garage &amp; Building 7</v>
      </c>
      <c r="B23" s="31" t="str">
        <v>MA</v>
      </c>
      <c r="C23" s="11">
        <v>149306.125</v>
      </c>
      <c r="D23" s="18">
        <v>161361.1</v>
      </c>
      <c r="E23" s="18">
        <f t="shared" si="0"/>
        <v>-12054.975000000006</v>
      </c>
      <c r="F23" s="19">
        <f t="shared" si="3"/>
        <v>-7.4708061608405027E-2</v>
      </c>
      <c r="G23" s="20">
        <v>176620.5</v>
      </c>
      <c r="H23" s="20">
        <f t="shared" si="1"/>
        <v>-27314.375</v>
      </c>
      <c r="I23" s="19">
        <f t="shared" si="2"/>
        <v>-0.1546500830877503</v>
      </c>
      <c r="J23" s="41" t="s">
        <v>317</v>
      </c>
      <c r="K23" s="76" t="s">
        <v>318</v>
      </c>
      <c r="L23" s="79" t="s">
        <v>319</v>
      </c>
      <c r="M23" s="79" t="s">
        <v>320</v>
      </c>
      <c r="N23" s="78"/>
      <c r="O23" s="78"/>
      <c r="P23" s="78"/>
    </row>
    <row r="24" spans="1:16" ht="15.6">
      <c r="A24" s="28" t="str">
        <v>Woburn</v>
      </c>
      <c r="B24" s="29" t="str">
        <v>MA</v>
      </c>
      <c r="C24" s="24">
        <v>233898.36437246899</v>
      </c>
      <c r="D24" s="13">
        <v>219532.5</v>
      </c>
      <c r="E24" s="13">
        <f t="shared" si="0"/>
        <v>14365.86437246899</v>
      </c>
      <c r="F24" s="14">
        <f t="shared" si="3"/>
        <v>6.5438440196640538E-2</v>
      </c>
      <c r="G24" s="15">
        <v>248509.7</v>
      </c>
      <c r="H24" s="15">
        <f t="shared" si="1"/>
        <v>-14611.335627531022</v>
      </c>
      <c r="I24" s="16">
        <f t="shared" si="2"/>
        <v>-5.8795836249172652E-2</v>
      </c>
      <c r="J24" s="40"/>
      <c r="K24" s="40"/>
      <c r="L24" s="78"/>
      <c r="M24" s="78"/>
      <c r="N24" s="78"/>
      <c r="O24" s="78"/>
      <c r="P24" s="78"/>
    </row>
    <row r="25" spans="1:16" ht="15.6">
      <c r="A25" s="30" t="str">
        <v>Friendship Solar 1</v>
      </c>
      <c r="B25" s="31" t="str">
        <v>MD</v>
      </c>
      <c r="C25" s="11">
        <v>482191</v>
      </c>
      <c r="D25" s="18">
        <v>472697.1</v>
      </c>
      <c r="E25" s="18">
        <f t="shared" si="0"/>
        <v>9493.9000000000233</v>
      </c>
      <c r="F25" s="19">
        <f t="shared" si="3"/>
        <v>2.0084531933874831E-2</v>
      </c>
      <c r="G25" s="20">
        <v>575811.69999999995</v>
      </c>
      <c r="H25" s="20">
        <f t="shared" si="1"/>
        <v>-93620.699999999953</v>
      </c>
      <c r="I25" s="19">
        <f t="shared" si="2"/>
        <v>-0.16258908945406972</v>
      </c>
      <c r="J25" s="41" t="s">
        <v>321</v>
      </c>
      <c r="K25" s="41"/>
      <c r="L25" s="78"/>
      <c r="M25" s="78"/>
      <c r="N25" s="78"/>
      <c r="O25" s="78"/>
      <c r="P25" s="78"/>
    </row>
    <row r="26" spans="1:16" ht="57.6">
      <c r="A26" s="28" t="str">
        <v>Friendship Solar 2</v>
      </c>
      <c r="B26" s="29" t="str">
        <v>MD</v>
      </c>
      <c r="C26" s="24">
        <v>461893</v>
      </c>
      <c r="D26" s="13">
        <v>489968.4</v>
      </c>
      <c r="E26" s="13">
        <f t="shared" si="0"/>
        <v>-28075.400000000023</v>
      </c>
      <c r="F26" s="14">
        <f t="shared" si="3"/>
        <v>-5.7300429986913488E-2</v>
      </c>
      <c r="G26" s="15">
        <v>571049.5</v>
      </c>
      <c r="H26" s="15">
        <f t="shared" si="1"/>
        <v>-109156.5</v>
      </c>
      <c r="I26" s="16">
        <f t="shared" si="2"/>
        <v>-0.19115067958206775</v>
      </c>
      <c r="J26" s="40" t="s">
        <v>322</v>
      </c>
      <c r="K26" s="75" t="s">
        <v>323</v>
      </c>
      <c r="L26" s="78"/>
      <c r="M26" s="78"/>
      <c r="N26" s="78"/>
      <c r="O26" s="78"/>
      <c r="P26" s="78"/>
    </row>
    <row r="27" spans="1:16" ht="34.5" customHeight="1">
      <c r="A27" s="30" t="str">
        <v>101 Carnegie Center</v>
      </c>
      <c r="B27" s="31" t="str">
        <v>NJ</v>
      </c>
      <c r="C27" s="11">
        <v>0</v>
      </c>
      <c r="D27" s="18">
        <v>0</v>
      </c>
      <c r="E27" s="18">
        <f t="shared" si="0"/>
        <v>0</v>
      </c>
      <c r="F27" s="19" t="str">
        <f t="shared" si="3"/>
        <v/>
      </c>
      <c r="G27" s="20">
        <v>0</v>
      </c>
      <c r="H27" s="20">
        <f t="shared" si="1"/>
        <v>0</v>
      </c>
      <c r="I27" s="19" t="str">
        <f t="shared" si="2"/>
        <v/>
      </c>
      <c r="J27" s="56" t="s">
        <v>324</v>
      </c>
      <c r="K27" s="77" t="s">
        <v>325</v>
      </c>
      <c r="L27" s="79" t="s">
        <v>267</v>
      </c>
      <c r="M27" s="78"/>
      <c r="N27" s="78"/>
      <c r="O27" s="78"/>
      <c r="P27" s="78"/>
    </row>
    <row r="28" spans="1:16" ht="15.6">
      <c r="A28" s="28" t="str">
        <v>302 Carnegie Center</v>
      </c>
      <c r="B28" s="29" t="str">
        <v>NJ</v>
      </c>
      <c r="C28" s="24">
        <v>84258.116999999998</v>
      </c>
      <c r="D28" s="13">
        <v>79858.785999999993</v>
      </c>
      <c r="E28" s="13">
        <f t="shared" si="0"/>
        <v>4399.3310000000056</v>
      </c>
      <c r="F28" s="14">
        <f t="shared" si="3"/>
        <v>5.5088879012010102E-2</v>
      </c>
      <c r="G28" s="88" t="s">
        <v>201</v>
      </c>
      <c r="H28" s="15" t="str">
        <f t="shared" si="1"/>
        <v/>
      </c>
      <c r="I28" s="16" t="str">
        <f t="shared" si="2"/>
        <v/>
      </c>
      <c r="J28" s="40"/>
      <c r="K28" s="40"/>
      <c r="L28" s="78"/>
      <c r="M28" s="78"/>
      <c r="N28" s="78"/>
      <c r="O28" s="78"/>
      <c r="P28" s="78"/>
    </row>
    <row r="29" spans="1:16" ht="15.6">
      <c r="A29" s="30" t="str">
        <v>510 Carnegie Center</v>
      </c>
      <c r="B29" s="31" t="str">
        <v>NJ</v>
      </c>
      <c r="C29" s="11">
        <v>214712.43900000001</v>
      </c>
      <c r="D29" s="18">
        <v>238390.91899999999</v>
      </c>
      <c r="E29" s="18">
        <f t="shared" si="0"/>
        <v>-23678.479999999981</v>
      </c>
      <c r="F29" s="19">
        <f t="shared" si="3"/>
        <v>-9.9326266702298258E-2</v>
      </c>
      <c r="G29" s="89" t="s">
        <v>201</v>
      </c>
      <c r="H29" s="20" t="str">
        <f t="shared" si="1"/>
        <v/>
      </c>
      <c r="I29" s="19" t="str">
        <f t="shared" si="2"/>
        <v/>
      </c>
      <c r="J29" s="41"/>
      <c r="K29" s="41"/>
      <c r="L29" s="78"/>
      <c r="M29" s="78"/>
      <c r="N29" s="78"/>
      <c r="O29" s="78"/>
      <c r="P29" s="78"/>
    </row>
    <row r="30" spans="1:16" ht="28.9">
      <c r="A30" s="28" t="str">
        <v>701 Carnegie Center</v>
      </c>
      <c r="B30" s="29" t="str">
        <v>NJ</v>
      </c>
      <c r="C30" s="24">
        <v>164770.63200000001</v>
      </c>
      <c r="D30" s="13">
        <v>189887.21799999999</v>
      </c>
      <c r="E30" s="13">
        <f t="shared" si="0"/>
        <v>-25116.585999999981</v>
      </c>
      <c r="F30" s="14">
        <f t="shared" si="3"/>
        <v>-0.13227107261111162</v>
      </c>
      <c r="G30" s="88" t="s">
        <v>201</v>
      </c>
      <c r="H30" s="15" t="str">
        <f t="shared" si="1"/>
        <v/>
      </c>
      <c r="I30" s="16" t="str">
        <f t="shared" si="2"/>
        <v/>
      </c>
      <c r="J30" s="40" t="s">
        <v>326</v>
      </c>
      <c r="K30" s="75" t="s">
        <v>327</v>
      </c>
      <c r="L30" s="78"/>
      <c r="M30" s="78"/>
      <c r="N30" s="78"/>
      <c r="O30" s="78"/>
      <c r="P30" s="78"/>
    </row>
    <row r="31" spans="1:16" ht="86.45">
      <c r="A31" s="30" t="str">
        <v>Hudson County Correction</v>
      </c>
      <c r="B31" s="31" t="str">
        <v>NJ</v>
      </c>
      <c r="C31" s="11">
        <v>212262.30710298999</v>
      </c>
      <c r="D31" s="18">
        <v>205394.4</v>
      </c>
      <c r="E31" s="18">
        <f t="shared" si="0"/>
        <v>6867.9071029899933</v>
      </c>
      <c r="F31" s="19">
        <f t="shared" si="3"/>
        <v>3.3437655082076211E-2</v>
      </c>
      <c r="G31" s="20">
        <v>247311.5</v>
      </c>
      <c r="H31" s="20">
        <f t="shared" si="1"/>
        <v>-35049.192897010013</v>
      </c>
      <c r="I31" s="19">
        <f t="shared" si="2"/>
        <v>-0.141720837474238</v>
      </c>
      <c r="J31" s="41" t="s">
        <v>328</v>
      </c>
      <c r="K31" s="74" t="s">
        <v>329</v>
      </c>
      <c r="L31" s="79" t="s">
        <v>220</v>
      </c>
      <c r="M31" s="79" t="s">
        <v>330</v>
      </c>
      <c r="N31" s="78"/>
      <c r="O31" s="78"/>
      <c r="P31" s="78"/>
    </row>
    <row r="32" spans="1:16" ht="28.9">
      <c r="A32" s="28" t="str">
        <v>ER Bison Solar</v>
      </c>
      <c r="B32" s="29" t="str">
        <v>PA</v>
      </c>
      <c r="C32" s="24">
        <v>212581</v>
      </c>
      <c r="D32" s="13">
        <v>200043.6</v>
      </c>
      <c r="E32" s="13">
        <f t="shared" si="0"/>
        <v>12537.399999999994</v>
      </c>
      <c r="F32" s="14">
        <f t="shared" si="3"/>
        <v>6.2673337212487648E-2</v>
      </c>
      <c r="G32" s="15">
        <v>250270</v>
      </c>
      <c r="H32" s="15">
        <f t="shared" si="1"/>
        <v>-37689</v>
      </c>
      <c r="I32" s="16">
        <f t="shared" si="2"/>
        <v>-0.15059335917209413</v>
      </c>
      <c r="J32" s="40" t="s">
        <v>331</v>
      </c>
      <c r="K32" s="75" t="s">
        <v>332</v>
      </c>
      <c r="L32" s="78"/>
      <c r="M32" s="78"/>
      <c r="N32" s="78"/>
      <c r="O32" s="78"/>
      <c r="P32" s="78"/>
    </row>
    <row r="33" spans="1:16" ht="28.9">
      <c r="A33" s="30" t="str">
        <v>Danville</v>
      </c>
      <c r="B33" s="31" t="str">
        <v>IL</v>
      </c>
      <c r="C33" s="11">
        <v>369453.57900000003</v>
      </c>
      <c r="D33" s="18" t="s">
        <v>201</v>
      </c>
      <c r="E33" s="18" t="str">
        <f t="shared" si="0"/>
        <v/>
      </c>
      <c r="F33" s="19" t="str">
        <f t="shared" si="3"/>
        <v/>
      </c>
      <c r="G33" s="89" t="s">
        <v>201</v>
      </c>
      <c r="H33" s="20" t="str">
        <f t="shared" si="1"/>
        <v/>
      </c>
      <c r="I33" s="19" t="str">
        <f t="shared" si="2"/>
        <v/>
      </c>
      <c r="J33" s="41" t="s">
        <v>333</v>
      </c>
      <c r="K33" s="76" t="s">
        <v>334</v>
      </c>
      <c r="L33" s="79" t="s">
        <v>335</v>
      </c>
      <c r="M33" s="78"/>
      <c r="N33" s="78"/>
      <c r="O33" s="78"/>
      <c r="P33" s="78"/>
    </row>
    <row r="34" spans="1:16" ht="72">
      <c r="A34" s="28" t="str">
        <v>Camden - Campbell Soup HQ</v>
      </c>
      <c r="B34" s="29" t="str">
        <v>NJ</v>
      </c>
      <c r="C34" s="24">
        <v>344125</v>
      </c>
      <c r="D34" s="13">
        <v>544716.31940000004</v>
      </c>
      <c r="E34" s="13">
        <f t="shared" si="0"/>
        <v>-200591.31940000004</v>
      </c>
      <c r="F34" s="14">
        <f t="shared" si="3"/>
        <v>-0.36824914594251462</v>
      </c>
      <c r="G34" s="15">
        <v>559434.52</v>
      </c>
      <c r="H34" s="15">
        <f t="shared" si="1"/>
        <v>-215309.52000000002</v>
      </c>
      <c r="I34" s="16">
        <f t="shared" si="2"/>
        <v>-0.38486992186324148</v>
      </c>
      <c r="J34" s="40" t="s">
        <v>336</v>
      </c>
      <c r="K34" s="75" t="s">
        <v>337</v>
      </c>
      <c r="L34" s="78"/>
      <c r="M34" s="78"/>
      <c r="N34" s="78"/>
      <c r="O34" s="78"/>
      <c r="P34" s="78"/>
    </row>
    <row r="35" spans="1:16" ht="28.9">
      <c r="A35" s="30" t="str">
        <v>Westport - Pine Hill</v>
      </c>
      <c r="B35" s="31" t="str">
        <v>MA</v>
      </c>
      <c r="C35" s="11">
        <v>606202</v>
      </c>
      <c r="D35" s="18" t="s">
        <v>201</v>
      </c>
      <c r="E35" s="18" t="str">
        <f t="shared" si="0"/>
        <v/>
      </c>
      <c r="F35" s="19" t="str">
        <f t="shared" si="3"/>
        <v/>
      </c>
      <c r="G35" s="20">
        <v>691456</v>
      </c>
      <c r="H35" s="20">
        <f t="shared" si="1"/>
        <v>-85254</v>
      </c>
      <c r="I35" s="19">
        <f t="shared" si="2"/>
        <v>-0.123296348574602</v>
      </c>
      <c r="J35" s="41" t="s">
        <v>338</v>
      </c>
      <c r="K35" s="41" t="s">
        <v>339</v>
      </c>
      <c r="L35" s="78"/>
      <c r="M35" s="78"/>
      <c r="N35" s="78"/>
      <c r="O35" s="78"/>
      <c r="P35" s="78"/>
    </row>
    <row r="36" spans="1:16" ht="28.9">
      <c r="A36" s="28" t="str">
        <v>Oaks Landfill - ANEM</v>
      </c>
      <c r="B36" s="29" t="str">
        <v>MD</v>
      </c>
      <c r="C36" s="24">
        <v>366070.34499999997</v>
      </c>
      <c r="D36" s="13">
        <v>400449.39299999998</v>
      </c>
      <c r="E36" s="13">
        <f t="shared" si="0"/>
        <v>-34379.04800000001</v>
      </c>
      <c r="F36" s="14">
        <f t="shared" si="3"/>
        <v>-8.5851167715467136E-2</v>
      </c>
      <c r="G36" s="88" t="s">
        <v>201</v>
      </c>
      <c r="H36" s="15" t="str">
        <f t="shared" si="1"/>
        <v/>
      </c>
      <c r="I36" s="16" t="str">
        <f t="shared" si="2"/>
        <v/>
      </c>
      <c r="J36" s="40" t="s">
        <v>340</v>
      </c>
      <c r="K36" s="75" t="s">
        <v>341</v>
      </c>
      <c r="L36" s="78"/>
      <c r="M36" s="78"/>
      <c r="N36" s="78"/>
      <c r="O36" s="78"/>
      <c r="P36" s="78"/>
    </row>
    <row r="37" spans="1:16" ht="15.6">
      <c r="A37" s="30" t="str">
        <v>Oaks Landfill - CS2</v>
      </c>
      <c r="B37" s="31" t="str">
        <v>MD</v>
      </c>
      <c r="C37" s="11">
        <v>382635.57400000002</v>
      </c>
      <c r="D37" s="18">
        <v>403800.15500000003</v>
      </c>
      <c r="E37" s="18">
        <f t="shared" si="0"/>
        <v>-21164.581000000006</v>
      </c>
      <c r="F37" s="19">
        <f t="shared" si="3"/>
        <v>-5.2413503902691679E-2</v>
      </c>
      <c r="G37" s="89" t="s">
        <v>201</v>
      </c>
      <c r="H37" s="20" t="str">
        <f t="shared" si="1"/>
        <v/>
      </c>
      <c r="I37" s="19" t="str">
        <f t="shared" si="2"/>
        <v/>
      </c>
      <c r="J37" s="41"/>
      <c r="K37" s="42"/>
      <c r="L37" s="78"/>
      <c r="M37" s="78"/>
      <c r="N37" s="78"/>
      <c r="O37" s="78"/>
      <c r="P37" s="78"/>
    </row>
    <row r="38" spans="1:16" ht="15.6">
      <c r="A38" s="28" t="str">
        <v>Oaks Landfill - CS1</v>
      </c>
      <c r="B38" s="29" t="str">
        <v>MD</v>
      </c>
      <c r="C38" s="24">
        <v>378098.05200000003</v>
      </c>
      <c r="D38" s="13">
        <v>403798.02899999998</v>
      </c>
      <c r="E38" s="13">
        <f t="shared" si="0"/>
        <v>-25699.976999999955</v>
      </c>
      <c r="F38" s="14">
        <f t="shared" si="3"/>
        <v>-6.3645622698173088E-2</v>
      </c>
      <c r="G38" s="88" t="s">
        <v>201</v>
      </c>
      <c r="H38" s="15" t="str">
        <f t="shared" si="1"/>
        <v/>
      </c>
      <c r="I38" s="16" t="str">
        <f t="shared" si="2"/>
        <v/>
      </c>
      <c r="J38" s="40"/>
      <c r="K38" s="40"/>
      <c r="L38" s="78"/>
      <c r="M38" s="78"/>
      <c r="N38" s="78"/>
      <c r="O38" s="78"/>
      <c r="P38" s="78"/>
    </row>
    <row r="39" spans="1:16" ht="57.6">
      <c r="A39" s="30" t="str">
        <v>Plympton - Upland Solar - PV &amp; BESS (IRA)</v>
      </c>
      <c r="B39" s="31" t="str">
        <v>MA</v>
      </c>
      <c r="C39" s="11">
        <v>673794</v>
      </c>
      <c r="D39" s="18">
        <v>678442.13500000001</v>
      </c>
      <c r="E39" s="18">
        <f t="shared" si="0"/>
        <v>-4648.1350000000093</v>
      </c>
      <c r="F39" s="19">
        <f t="shared" si="3"/>
        <v>-6.8511885689411219E-3</v>
      </c>
      <c r="G39" s="20">
        <v>732183</v>
      </c>
      <c r="H39" s="20">
        <f t="shared" si="1"/>
        <v>-58389</v>
      </c>
      <c r="I39" s="19">
        <f t="shared" si="2"/>
        <v>-7.9746456828415843E-2</v>
      </c>
      <c r="J39" s="41" t="s">
        <v>342</v>
      </c>
      <c r="K39" s="77" t="s">
        <v>343</v>
      </c>
      <c r="L39" s="79" t="s">
        <v>344</v>
      </c>
      <c r="M39" s="78"/>
      <c r="N39" s="78"/>
      <c r="O39" s="78"/>
      <c r="P39" s="78"/>
    </row>
    <row r="40" spans="1:16" ht="14.45">
      <c r="A40" s="21" t="str">
        <v>MA: Plymouth - Black Cat Solar - PV &amp; BESS (IRA)</v>
      </c>
      <c r="B40" s="33" t="str">
        <v>MA</v>
      </c>
      <c r="C40" s="21"/>
      <c r="D40" s="21"/>
      <c r="E40" s="21"/>
      <c r="F40" s="22"/>
      <c r="G40" s="21"/>
      <c r="H40" s="21"/>
      <c r="I40" s="22"/>
      <c r="J40" s="21"/>
      <c r="K40" s="21"/>
    </row>
    <row r="41" spans="1:16" ht="14.45">
      <c r="A41" s="21"/>
      <c r="B41" s="33"/>
      <c r="C41" s="21"/>
      <c r="D41" s="21"/>
      <c r="E41" s="21"/>
      <c r="F41" s="22"/>
      <c r="G41" s="21"/>
      <c r="H41" s="21"/>
      <c r="I41" s="22"/>
      <c r="J41" s="21"/>
      <c r="K41" s="21"/>
    </row>
    <row r="42" spans="1:16" ht="14.45">
      <c r="A42" s="21"/>
      <c r="B42" s="33"/>
      <c r="C42" s="21"/>
      <c r="D42" s="21"/>
      <c r="E42" s="21"/>
      <c r="F42" s="22"/>
      <c r="G42" s="21"/>
      <c r="H42" s="21"/>
      <c r="I42" s="22"/>
      <c r="J42" s="21"/>
      <c r="K42" s="21"/>
    </row>
    <row r="43" spans="1:16" ht="14.45">
      <c r="A43" s="21"/>
      <c r="B43" s="33"/>
      <c r="C43" s="21"/>
      <c r="D43" s="21"/>
      <c r="E43" s="21"/>
      <c r="F43" s="22"/>
      <c r="G43" s="21"/>
      <c r="H43" s="21"/>
      <c r="I43" s="22"/>
      <c r="J43" s="21"/>
      <c r="K43" s="21"/>
    </row>
    <row r="44" spans="1:16" ht="14.45">
      <c r="A44" s="21"/>
      <c r="B44" s="33"/>
      <c r="C44" s="21"/>
      <c r="D44" s="21"/>
      <c r="E44" s="21"/>
      <c r="F44" s="22"/>
      <c r="G44" s="21"/>
      <c r="H44" s="21"/>
      <c r="I44" s="22"/>
      <c r="J44" s="21"/>
      <c r="K44" s="21"/>
    </row>
    <row r="45" spans="1:16" ht="14.45">
      <c r="A45" s="21"/>
      <c r="B45" s="33"/>
      <c r="C45" s="21"/>
      <c r="D45" s="21"/>
      <c r="E45" s="21"/>
      <c r="F45" s="22"/>
      <c r="G45" s="21"/>
      <c r="H45" s="21"/>
      <c r="I45" s="22"/>
      <c r="J45" s="21"/>
      <c r="K45" s="21"/>
    </row>
    <row r="46" spans="1:16" ht="14.45">
      <c r="A46" s="21"/>
      <c r="B46" s="33"/>
      <c r="C46" s="21"/>
      <c r="D46" s="21"/>
      <c r="E46" s="21"/>
      <c r="F46" s="22"/>
      <c r="G46" s="21"/>
      <c r="H46" s="21"/>
      <c r="I46" s="22"/>
      <c r="J46" s="21"/>
      <c r="K46" s="21"/>
    </row>
    <row r="47" spans="1:16" ht="14.45">
      <c r="A47" s="21"/>
      <c r="B47" s="33"/>
      <c r="C47" s="21"/>
      <c r="D47" s="21"/>
      <c r="E47" s="21"/>
      <c r="F47" s="22"/>
      <c r="G47" s="21"/>
      <c r="H47" s="21"/>
      <c r="I47" s="22"/>
      <c r="J47" s="21"/>
      <c r="K47" s="21"/>
    </row>
    <row r="48" spans="1:16"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31" priority="3" stopIfTrue="1" operator="lessThanOrEqual">
      <formula>-0.1</formula>
    </cfRule>
    <cfRule type="expression" dxfId="30" priority="4">
      <formula>AND(ISNUMBER(F2), F2&gt;=0.1)</formula>
    </cfRule>
  </conditionalFormatting>
  <conditionalFormatting sqref="F4:F100 I4:I100">
    <cfRule type="cellIs" dxfId="29" priority="1" stopIfTrue="1" operator="lessThanOrEqual">
      <formula>-0.1</formula>
    </cfRule>
    <cfRule type="expression" dxfId="28" priority="2">
      <formula>AND(ISNUMBER(F4), F4&gt;=0.1)</formula>
    </cfRule>
  </conditionalFormatting>
  <hyperlinks>
    <hyperlink ref="K4" r:id="rId1" display="https://us3.assetplanner.com/service_request?ID=103463" xr:uid="{F37BC945-EF82-4FB8-9E85-B02B61DD06BE}"/>
    <hyperlink ref="K7" r:id="rId2" display="https://us3.assetplanner.com/service_request?ID=095312" xr:uid="{D3EB3D33-85F5-4FFB-AD2A-65AED51461D2}"/>
    <hyperlink ref="K9" r:id="rId3" display="https://us3.assetplanner.com/service_request?ID=089170" xr:uid="{16BC0E6F-B4D4-4E63-BCE5-E707287E05B5}"/>
    <hyperlink ref="L9" r:id="rId4" display="https://us3.assetplanner.com/service_request?ID=095220" xr:uid="{E0947C43-425A-47BA-95B6-5A391C044F6D}"/>
    <hyperlink ref="K10" r:id="rId5" display="https://us3.assetplanner.com/service_request?ID=093404" xr:uid="{7850224D-EE00-48F9-AD79-B65180531FC7}"/>
    <hyperlink ref="L10" r:id="rId6" display="https://us3.assetplanner.com/service_request?ID=089564" xr:uid="{716DC6F0-17AC-458B-8FDF-0FCABD9E2BFB}"/>
    <hyperlink ref="K12" r:id="rId7" display="https://us3.assetplanner.com/service_request?ID=103002" xr:uid="{B406F30C-61B3-4231-B475-B1A0334F8036}"/>
    <hyperlink ref="L12" r:id="rId8" display="https://us3.assetplanner.com/service_request?ID=103598" xr:uid="{A792FBFA-AE7B-4E44-B309-0A9CC9BC8A1D}"/>
    <hyperlink ref="K14" r:id="rId9" display="https://us3.assetplanner.com/service_request?ID=093500" xr:uid="{C7D20C4C-F83E-4FC0-829E-47A6E2CAE05D}"/>
    <hyperlink ref="L14" r:id="rId10" display="https://us3.assetplanner.com/service_request?ID=103483" xr:uid="{C94FC9C0-0F62-4863-8320-E30E37772D5B}"/>
    <hyperlink ref="K16" r:id="rId11" display="https://us3.assetplanner.com/service_request?ID=101656" xr:uid="{AB6FE1CB-89B8-4D40-B3AC-BA408873176B}"/>
    <hyperlink ref="L16" r:id="rId12" display="https://us3.assetplanner.com/service_request?ID=101858" xr:uid="{D9A9771F-B8E1-4A16-B05D-090E0073427E}"/>
    <hyperlink ref="M16" r:id="rId13" display="https://us3.assetplanner.com/service_request?ID=101976" xr:uid="{518AA991-C558-4D21-93F8-FB4230050035}"/>
    <hyperlink ref="N16" r:id="rId14" display="https://us3.assetplanner.com/service_request?ID=101977" xr:uid="{7C14A229-78C8-456E-BF77-263241F53055}"/>
    <hyperlink ref="O16" r:id="rId15" display="https://us3.assetplanner.com/service_request?ID=102370" xr:uid="{8F508C0B-E5C4-4EE8-8DD7-4AB9B4362E66}"/>
    <hyperlink ref="P16" r:id="rId16" display="https://us3.assetplanner.com/service_request?ID=102560" xr:uid="{C48FAE14-C2D6-4A5E-9D78-FA64C1F88BD9}"/>
    <hyperlink ref="Q16" r:id="rId17" display="https://us3.assetplanner.com/service_request?ID=103297" xr:uid="{E916DD91-B785-4A9E-9822-847E7C87B8AD}"/>
    <hyperlink ref="K18" r:id="rId18" display="https://us3.assetplanner.com/service_request?ID=098208" xr:uid="{75F2A29A-D523-41E4-BA63-0251A6BE5C9E}"/>
    <hyperlink ref="L18" r:id="rId19" display="https://us3.assetplanner.com/service_request?ID=103072" xr:uid="{C3FDF387-04AE-4755-9C83-4778CBDD87CF}"/>
    <hyperlink ref="M18" r:id="rId20" display="https://us3.assetplanner.com/service_request?ID=102884" xr:uid="{7B3B191C-8F1E-44D1-8028-EAD8F50A8FA8}"/>
    <hyperlink ref="K20" r:id="rId21" display="https://us3.assetplanner.com/service_request?ID=103539" xr:uid="{A54B5658-D292-4F87-BE20-5B88D5B22989}"/>
    <hyperlink ref="L20" r:id="rId22" display="https://us3.assetplanner.com/service_request?ID=103727" xr:uid="{F0869300-C601-4FAC-82DF-F3FE39E86291}"/>
    <hyperlink ref="K21" r:id="rId23" display="https://us3.assetplanner.com/service_request?ID=102989" xr:uid="{61A257FC-E74C-4C67-960B-D8BAF87931AC}"/>
    <hyperlink ref="K23" r:id="rId24" display="https://us3.assetplanner.com/service_request?ID=101984" xr:uid="{EE68F5FC-B63D-4C9E-8373-54DF63A62C71}"/>
    <hyperlink ref="L23" r:id="rId25" display="https://us3.assetplanner.com/service_request?ID=102369" xr:uid="{CB811CFA-1BA9-4F62-B4A2-743AF7639C35}"/>
    <hyperlink ref="M23" r:id="rId26" display="https://us3.assetplanner.com/service_request?ID=102365" xr:uid="{3167B862-0C62-4CAA-81FE-CFA94D2C0CF8}"/>
    <hyperlink ref="K26" r:id="rId27" display="https://us3.assetplanner.com/service_request?ID=099517" xr:uid="{0E6FCA1E-EB9D-4249-971D-ABCBB2102806}"/>
    <hyperlink ref="K27" r:id="rId28" display="https://us3.assetplanner.com/service_request?ID=103030" xr:uid="{5080E341-6198-4C9F-BF15-DB325D4230CF}"/>
    <hyperlink ref="L27" r:id="rId29" display="https://us3.assetplanner.com/service_request?ID=102263" xr:uid="{ADFEC9A9-4261-41B7-A653-619F6A5B719E}"/>
    <hyperlink ref="K30" r:id="rId30" display="https://us3.assetplanner.com/service_request?ID=102734" xr:uid="{8462D29E-4FB6-4F86-A366-43206264AEF9}"/>
    <hyperlink ref="K31" r:id="rId31" display="https://us3.assetplanner.com/service_request?ID=100367" xr:uid="{C5FA639B-780F-4B73-BF77-C2083A91413A}"/>
    <hyperlink ref="L31" r:id="rId32" display="https://us3.assetplanner.com/service_request?ID=100422" xr:uid="{5D69C44D-2F1D-4FFF-A129-6C8A3AF8F302}"/>
    <hyperlink ref="M31" r:id="rId33" display="https://us3.assetplanner.com/service_request?ID=103520" xr:uid="{76E7BFE6-BD86-4E0D-A9A8-45D57E739814}"/>
    <hyperlink ref="K32" r:id="rId34" display="https://us3.assetplanner.com/service_request?ID=103402" xr:uid="{91812BB6-D083-4268-86E0-58248FDD6218}"/>
    <hyperlink ref="K33" r:id="rId35" display="https://us3.assetplanner.com/service_request?ID=102373" xr:uid="{A6B0F7C6-AAEA-490D-94EF-97C50EE9FFEF}"/>
    <hyperlink ref="L33" r:id="rId36" display="https://us3.assetplanner.com/service_request?ID=103289" xr:uid="{FD6BA7F5-68E2-47A5-AA4D-6F7A241EBF3C}"/>
    <hyperlink ref="K34" r:id="rId37" display="https://us3.assetplanner.com/service_request?ID=097964" xr:uid="{D576371E-2D89-45C7-BA06-EFCFF22FF011}"/>
    <hyperlink ref="K36" r:id="rId38" display="https://us3.assetplanner.com/service_request?ID=102988" xr:uid="{19E88755-BF4C-4A3C-AC86-DE32E78686C9}"/>
    <hyperlink ref="K39" r:id="rId39" display="https://us3.assetplanner.com/service_request?ID=103415" xr:uid="{C4D3CF9F-0BE3-4916-9E0E-C6FAEADB51D8}"/>
    <hyperlink ref="L39" r:id="rId40" display="https://us3.assetplanner.com/service_request?ID=102968" xr:uid="{430AE1F4-1A16-4516-BD8F-1A14E4132D65}"/>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T342"/>
  <sheetViews>
    <sheetView zoomScale="80" zoomScaleNormal="80" workbookViewId="0">
      <pane xSplit="2" ySplit="3" topLeftCell="G9" activePane="bottomRight" state="frozen"/>
      <selection pane="bottomRight" activeCell="O9" sqref="O9"/>
      <selection pane="bottomLeft" activeCell="F38" sqref="F38"/>
      <selection pane="topRight" activeCell="F38" sqref="F38"/>
    </sheetView>
  </sheetViews>
  <sheetFormatPr defaultRowHeight="13.9"/>
  <cols>
    <col min="1" max="1" width="46.85546875" customWidth="1"/>
    <col min="2" max="2" width="8.42578125" style="34" customWidth="1"/>
    <col min="3" max="3" width="11.7109375" customWidth="1"/>
    <col min="4" max="5" width="13.28515625" customWidth="1"/>
    <col min="6" max="6" width="13.28515625" style="1" customWidth="1"/>
    <col min="7" max="7" width="13.28515625" customWidth="1"/>
    <col min="8" max="8" width="20.7109375" customWidth="1"/>
    <col min="9" max="9" width="13.28515625" style="1" customWidth="1"/>
    <col min="10" max="10" width="71.5703125" customWidth="1"/>
    <col min="11" max="11" width="20.5703125" bestFit="1" customWidth="1"/>
    <col min="12" max="17" width="8.85546875" style="78"/>
  </cols>
  <sheetData>
    <row r="1" spans="1:20" ht="19.5" customHeight="1">
      <c r="A1" s="117" t="str" cm="1">
        <f t="array" ref="A1">portfolio</f>
        <v>Greenbacker Capital</v>
      </c>
      <c r="B1" s="117"/>
      <c r="C1" s="117"/>
      <c r="D1" s="118">
        <f>IF(AND(ISNUMBER(C27),ISNUMBER(G27)), C27-G27, "")</f>
        <v>0</v>
      </c>
      <c r="E1" s="118"/>
      <c r="F1" s="118"/>
      <c r="G1" s="116" t="s">
        <v>345</v>
      </c>
      <c r="H1" s="116"/>
      <c r="I1" s="116"/>
      <c r="J1" s="4"/>
      <c r="K1" s="4"/>
    </row>
    <row r="2" spans="1:20" ht="19.5" customHeight="1">
      <c r="A2" s="119" t="s">
        <v>2</v>
      </c>
      <c r="B2" s="119"/>
      <c r="C2" s="5">
        <f>SUM(C4:C100)</f>
        <v>7842000.9965318274</v>
      </c>
      <c r="D2" s="5">
        <f>SUM(D4:D100)</f>
        <v>7524043.2715999987</v>
      </c>
      <c r="E2" s="5">
        <f>C2-D2</f>
        <v>317957.72493182868</v>
      </c>
      <c r="F2" s="6">
        <f>IFERROR(E2/D2, 0)</f>
        <v>4.2258891058213503E-2</v>
      </c>
      <c r="G2" s="5">
        <f>SUM(G4:G100)</f>
        <v>6515445.9000000004</v>
      </c>
      <c r="H2" s="7">
        <f>C2-G2</f>
        <v>1326555.096531827</v>
      </c>
      <c r="I2" s="6">
        <f>IFERROR(H2/G2, 0)</f>
        <v>0.20360158259188782</v>
      </c>
      <c r="J2" s="2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0" ht="14.25" customHeight="1">
      <c r="A3" s="8" t="s">
        <v>3</v>
      </c>
      <c r="B3" s="8" t="s">
        <v>4</v>
      </c>
      <c r="C3" s="23" t="s">
        <v>5</v>
      </c>
      <c r="D3" s="35" t="s">
        <v>6</v>
      </c>
      <c r="E3" s="35" t="s">
        <v>7</v>
      </c>
      <c r="F3" s="36" t="s">
        <v>8</v>
      </c>
      <c r="G3" s="37" t="s">
        <v>9</v>
      </c>
      <c r="H3" s="38" t="s">
        <v>7</v>
      </c>
      <c r="I3" s="39" t="s">
        <v>8</v>
      </c>
      <c r="J3" s="25" t="s">
        <v>20</v>
      </c>
      <c r="K3" s="25" t="s">
        <v>21</v>
      </c>
    </row>
    <row r="4" spans="1:20" ht="28.9">
      <c r="A4" s="32" t="str" cm="1">
        <f t="array" ref="A4:A40">Sites[Site]</f>
        <v>10 Walpole Park South</v>
      </c>
      <c r="B4" s="29" t="str" cm="1">
        <f t="array" ref="B4:B40">Sites[State]</f>
        <v>MA</v>
      </c>
      <c r="C4" s="24">
        <v>13497.375</v>
      </c>
      <c r="D4" s="13">
        <v>18604.54</v>
      </c>
      <c r="E4" s="13">
        <f>IF(AND(ISNUMBER(C4),ISNUMBER(D4)), C4-D4, "")</f>
        <v>-5107.1650000000009</v>
      </c>
      <c r="F4" s="14">
        <f>IFERROR(E4/D4, "")</f>
        <v>-0.27451175895775981</v>
      </c>
      <c r="G4" s="15">
        <v>21626.49</v>
      </c>
      <c r="H4" s="15">
        <f>IF(AND(ISNUMBER(C4),ISNUMBER(G4)), C4-G4, "")</f>
        <v>-8129.1150000000016</v>
      </c>
      <c r="I4" s="16">
        <f>IFERROR(H4/G4, "")</f>
        <v>-0.37588693310842403</v>
      </c>
      <c r="J4" s="40" t="s">
        <v>293</v>
      </c>
      <c r="K4" s="75" t="s">
        <v>346</v>
      </c>
    </row>
    <row r="5" spans="1:20" ht="15.6">
      <c r="A5" s="30" t="str">
        <v>15 Walpole Park South</v>
      </c>
      <c r="B5" s="31" t="str">
        <v>MA</v>
      </c>
      <c r="C5" s="11">
        <v>74135.75</v>
      </c>
      <c r="D5" s="18">
        <v>70332.98</v>
      </c>
      <c r="E5" s="18">
        <f t="shared" ref="E5:E6" si="0">IF(AND(ISNUMBER(C5),ISNUMBER(D5)), C5-D5, "")</f>
        <v>3802.7700000000041</v>
      </c>
      <c r="F5" s="19">
        <f>IFERROR(E5/D5, "")</f>
        <v>5.4068091526905365E-2</v>
      </c>
      <c r="G5" s="20">
        <v>76192.38</v>
      </c>
      <c r="H5" s="20">
        <f t="shared" ref="H5:H6" si="1">IF(AND(ISNUMBER(C5),ISNUMBER(G5)), C5-G5, "")</f>
        <v>-2056.6300000000047</v>
      </c>
      <c r="I5" s="19">
        <f t="shared" ref="I5:I6" si="2">IFERROR(H5/G5, "")</f>
        <v>-2.6992594272550675E-2</v>
      </c>
      <c r="J5" s="41"/>
      <c r="K5" s="41"/>
    </row>
    <row r="6" spans="1:20" ht="15.6">
      <c r="A6" s="28" t="str">
        <v>19 Walpole Park South</v>
      </c>
      <c r="B6" s="29" t="str">
        <v>MA</v>
      </c>
      <c r="C6" s="24">
        <v>46526.5</v>
      </c>
      <c r="D6" s="13">
        <v>42863.31</v>
      </c>
      <c r="E6" s="13">
        <f t="shared" si="0"/>
        <v>3663.1900000000023</v>
      </c>
      <c r="F6" s="14">
        <f t="shared" ref="F6:F39" si="3">IFERROR(E6/D6, "")</f>
        <v>8.5462135332059111E-2</v>
      </c>
      <c r="G6" s="15">
        <v>48635.4</v>
      </c>
      <c r="H6" s="15">
        <f t="shared" si="1"/>
        <v>-2108.9000000000015</v>
      </c>
      <c r="I6" s="16">
        <f t="shared" si="2"/>
        <v>-4.3361419871122707E-2</v>
      </c>
      <c r="J6" s="40"/>
      <c r="K6" s="40"/>
    </row>
    <row r="7" spans="1:20" ht="15.6">
      <c r="A7" s="30" t="str">
        <v>23 Walpole Park South</v>
      </c>
      <c r="B7" s="31" t="str">
        <v>MA</v>
      </c>
      <c r="C7" s="11">
        <v>57808.500000000502</v>
      </c>
      <c r="D7" s="18">
        <v>57441.02</v>
      </c>
      <c r="E7" s="18">
        <f t="shared" ref="E7:E39" si="4">IF(AND(ISNUMBER(C7),ISNUMBER(D7)), C7-D7, "")</f>
        <v>367.48000000050524</v>
      </c>
      <c r="F7" s="19">
        <f t="shared" si="3"/>
        <v>6.3975187070234004E-3</v>
      </c>
      <c r="G7" s="20">
        <v>63977.14</v>
      </c>
      <c r="H7" s="20">
        <f t="shared" ref="H7:H39" si="5">IF(AND(ISNUMBER(C7),ISNUMBER(G7)), C7-G7, "")</f>
        <v>-6168.6399999994974</v>
      </c>
      <c r="I7" s="19">
        <f t="shared" ref="I7:I39" si="6">IFERROR(H7/G7, "")</f>
        <v>-9.6419439818652378E-2</v>
      </c>
      <c r="J7" s="41" t="s">
        <v>228</v>
      </c>
      <c r="K7" s="76" t="s">
        <v>347</v>
      </c>
    </row>
    <row r="8" spans="1:20" ht="28.9">
      <c r="A8" s="28" t="str">
        <v>24 Walpole Park South</v>
      </c>
      <c r="B8" s="29" t="str">
        <v>MA</v>
      </c>
      <c r="C8" s="24">
        <v>95278</v>
      </c>
      <c r="D8" s="13">
        <v>82238.63</v>
      </c>
      <c r="E8" s="13">
        <f t="shared" si="4"/>
        <v>13039.369999999995</v>
      </c>
      <c r="F8" s="14">
        <f t="shared" si="3"/>
        <v>0.15855529208110586</v>
      </c>
      <c r="G8" s="15">
        <v>98236.06</v>
      </c>
      <c r="H8" s="15">
        <f t="shared" si="5"/>
        <v>-2958.0599999999977</v>
      </c>
      <c r="I8" s="16">
        <f t="shared" si="6"/>
        <v>-3.011175326046258E-2</v>
      </c>
      <c r="J8" s="40" t="s">
        <v>348</v>
      </c>
      <c r="K8" s="75" t="s">
        <v>349</v>
      </c>
      <c r="L8" s="79" t="s">
        <v>350</v>
      </c>
    </row>
    <row r="9" spans="1:20" ht="72">
      <c r="A9" s="30" t="str">
        <v>25 Walpole Park South</v>
      </c>
      <c r="B9" s="31" t="str">
        <v>MA</v>
      </c>
      <c r="C9" s="11">
        <v>86553.5</v>
      </c>
      <c r="D9" s="18">
        <v>86274.12</v>
      </c>
      <c r="E9" s="18">
        <f t="shared" si="4"/>
        <v>279.38000000000466</v>
      </c>
      <c r="F9" s="19">
        <f t="shared" si="3"/>
        <v>3.2382828129687638E-3</v>
      </c>
      <c r="G9" s="20">
        <v>99351.83</v>
      </c>
      <c r="H9" s="20">
        <f t="shared" si="5"/>
        <v>-12798.330000000002</v>
      </c>
      <c r="I9" s="19">
        <f t="shared" si="6"/>
        <v>-0.12881826132442656</v>
      </c>
      <c r="J9" s="41" t="s">
        <v>351</v>
      </c>
      <c r="K9" s="77" t="s">
        <v>352</v>
      </c>
      <c r="L9" s="79" t="s">
        <v>353</v>
      </c>
      <c r="M9" s="79" t="s">
        <v>354</v>
      </c>
    </row>
    <row r="10" spans="1:20" ht="15.6">
      <c r="A10" s="28" t="str">
        <v>3 Walpole Park South</v>
      </c>
      <c r="B10" s="29" t="str">
        <v>MA</v>
      </c>
      <c r="C10" s="24">
        <v>113672</v>
      </c>
      <c r="D10" s="13">
        <v>108590.6</v>
      </c>
      <c r="E10" s="13">
        <f t="shared" si="4"/>
        <v>5081.3999999999942</v>
      </c>
      <c r="F10" s="14">
        <f t="shared" si="3"/>
        <v>4.6794105567148483E-2</v>
      </c>
      <c r="G10" s="15">
        <v>120114.8</v>
      </c>
      <c r="H10" s="15">
        <f t="shared" si="5"/>
        <v>-6442.8000000000029</v>
      </c>
      <c r="I10" s="16">
        <f t="shared" si="6"/>
        <v>-5.3638685657387788E-2</v>
      </c>
      <c r="J10" s="40"/>
      <c r="K10" s="40"/>
    </row>
    <row r="11" spans="1:20" ht="15.6">
      <c r="A11" s="30" t="str">
        <v>4 Walpole Park South</v>
      </c>
      <c r="B11" s="31" t="str">
        <v>MA</v>
      </c>
      <c r="C11" s="11">
        <v>64767</v>
      </c>
      <c r="D11" s="18">
        <v>60102.06</v>
      </c>
      <c r="E11" s="18">
        <f t="shared" si="4"/>
        <v>4664.9400000000023</v>
      </c>
      <c r="F11" s="19">
        <f t="shared" si="3"/>
        <v>7.7616973528028863E-2</v>
      </c>
      <c r="G11" s="20">
        <v>65830.289999999994</v>
      </c>
      <c r="H11" s="20">
        <f t="shared" si="5"/>
        <v>-1063.2899999999936</v>
      </c>
      <c r="I11" s="19">
        <f t="shared" si="6"/>
        <v>-1.6151987177938813E-2</v>
      </c>
      <c r="J11" s="41"/>
      <c r="K11" s="42"/>
    </row>
    <row r="12" spans="1:20" ht="162.75" customHeight="1">
      <c r="A12" s="28" t="str">
        <v>Brockton</v>
      </c>
      <c r="B12" s="29" t="str">
        <v>MA</v>
      </c>
      <c r="C12" s="24">
        <v>102275.5</v>
      </c>
      <c r="D12" s="13">
        <v>92513.42</v>
      </c>
      <c r="E12" s="13">
        <f t="shared" si="4"/>
        <v>9762.0800000000017</v>
      </c>
      <c r="F12" s="14">
        <f t="shared" si="3"/>
        <v>0.10552069094408142</v>
      </c>
      <c r="G12" s="15">
        <v>109667.7</v>
      </c>
      <c r="H12" s="15">
        <f t="shared" si="5"/>
        <v>-7392.1999999999971</v>
      </c>
      <c r="I12" s="16">
        <f t="shared" si="6"/>
        <v>-6.7405443900072651E-2</v>
      </c>
      <c r="J12" s="40" t="s">
        <v>355</v>
      </c>
      <c r="K12" s="75" t="s">
        <v>356</v>
      </c>
      <c r="L12" s="79" t="s">
        <v>297</v>
      </c>
      <c r="M12" s="79" t="s">
        <v>357</v>
      </c>
      <c r="N12" s="79" t="s">
        <v>358</v>
      </c>
    </row>
    <row r="13" spans="1:20" ht="15.6">
      <c r="A13" s="30" t="str">
        <v>Canton</v>
      </c>
      <c r="B13" s="31" t="str">
        <v>MA</v>
      </c>
      <c r="C13" s="11">
        <v>101729</v>
      </c>
      <c r="D13" s="18">
        <v>92881.65</v>
      </c>
      <c r="E13" s="18">
        <f t="shared" si="4"/>
        <v>8847.3500000000058</v>
      </c>
      <c r="F13" s="19">
        <f t="shared" si="3"/>
        <v>9.525401411365976E-2</v>
      </c>
      <c r="G13" s="20">
        <v>108283</v>
      </c>
      <c r="H13" s="20">
        <f t="shared" si="5"/>
        <v>-6554</v>
      </c>
      <c r="I13" s="19">
        <f t="shared" si="6"/>
        <v>-6.0526583120157365E-2</v>
      </c>
      <c r="J13" s="41"/>
      <c r="K13" s="42"/>
    </row>
    <row r="14" spans="1:20" ht="15.6">
      <c r="A14" s="28" t="str">
        <v>Chelsea</v>
      </c>
      <c r="B14" s="29" t="str">
        <v>MA</v>
      </c>
      <c r="C14" s="24">
        <v>178727</v>
      </c>
      <c r="D14" s="13">
        <v>170301.5</v>
      </c>
      <c r="E14" s="13">
        <f t="shared" si="4"/>
        <v>8425.5</v>
      </c>
      <c r="F14" s="14">
        <f t="shared" si="3"/>
        <v>4.9474021074388655E-2</v>
      </c>
      <c r="G14" s="15">
        <v>173649.4</v>
      </c>
      <c r="H14" s="15">
        <f t="shared" si="5"/>
        <v>5077.6000000000058</v>
      </c>
      <c r="I14" s="16">
        <f t="shared" si="6"/>
        <v>2.9240527177174271E-2</v>
      </c>
      <c r="J14" s="40"/>
      <c r="K14" s="40"/>
    </row>
    <row r="15" spans="1:20" ht="15.6">
      <c r="A15" s="30" t="str">
        <v>Hamilton Landfill</v>
      </c>
      <c r="B15" s="31" t="str">
        <v>MA</v>
      </c>
      <c r="C15" s="11">
        <v>144916</v>
      </c>
      <c r="D15" s="18">
        <v>153086.5</v>
      </c>
      <c r="E15" s="18">
        <f t="shared" si="4"/>
        <v>-8170.5</v>
      </c>
      <c r="F15" s="19">
        <f t="shared" si="3"/>
        <v>-5.3371786538982863E-2</v>
      </c>
      <c r="G15" s="96" t="s">
        <v>201</v>
      </c>
      <c r="H15" s="20" t="str">
        <f t="shared" si="5"/>
        <v/>
      </c>
      <c r="I15" s="19" t="str">
        <f t="shared" si="6"/>
        <v/>
      </c>
      <c r="J15" s="41"/>
      <c r="K15" s="42"/>
    </row>
    <row r="16" spans="1:20" ht="158.44999999999999">
      <c r="A16" s="28" t="str">
        <v>Holliston</v>
      </c>
      <c r="B16" s="29" t="str">
        <v>MA</v>
      </c>
      <c r="C16" s="24">
        <v>215858</v>
      </c>
      <c r="D16" s="13">
        <v>307655.5</v>
      </c>
      <c r="E16" s="13">
        <f t="shared" si="4"/>
        <v>-91797.5</v>
      </c>
      <c r="F16" s="14">
        <f t="shared" si="3"/>
        <v>-0.29837756841662183</v>
      </c>
      <c r="G16" s="15">
        <v>289182.8</v>
      </c>
      <c r="H16" s="15">
        <f t="shared" si="5"/>
        <v>-73324.799999999988</v>
      </c>
      <c r="I16" s="16">
        <f t="shared" si="6"/>
        <v>-0.25355864871631367</v>
      </c>
      <c r="J16" s="40" t="s">
        <v>359</v>
      </c>
      <c r="K16" s="75" t="s">
        <v>360</v>
      </c>
      <c r="L16" s="79" t="s">
        <v>247</v>
      </c>
      <c r="M16" s="79" t="s">
        <v>361</v>
      </c>
      <c r="N16" s="79" t="s">
        <v>305</v>
      </c>
      <c r="O16" s="79" t="s">
        <v>303</v>
      </c>
      <c r="P16" s="79" t="s">
        <v>244</v>
      </c>
      <c r="Q16" s="79" t="s">
        <v>304</v>
      </c>
      <c r="R16" s="83" t="s">
        <v>361</v>
      </c>
      <c r="S16" s="83" t="s">
        <v>305</v>
      </c>
      <c r="T16" s="83" t="s">
        <v>243</v>
      </c>
    </row>
    <row r="17" spans="1:12" ht="15.6">
      <c r="A17" s="30" t="str">
        <v>Natick HS - Carports</v>
      </c>
      <c r="B17" s="31" t="str">
        <v>MA</v>
      </c>
      <c r="C17" s="11">
        <v>90536.9</v>
      </c>
      <c r="D17" s="18">
        <v>105520.8</v>
      </c>
      <c r="E17" s="18">
        <f t="shared" si="4"/>
        <v>-14983.900000000009</v>
      </c>
      <c r="F17" s="19">
        <f t="shared" si="3"/>
        <v>-0.14199949204327497</v>
      </c>
      <c r="G17" s="96" t="s">
        <v>201</v>
      </c>
      <c r="H17" s="20" t="str">
        <f t="shared" si="5"/>
        <v/>
      </c>
      <c r="I17" s="19" t="str">
        <f t="shared" si="6"/>
        <v/>
      </c>
      <c r="J17" s="92" t="s">
        <v>362</v>
      </c>
      <c r="K17" s="42"/>
    </row>
    <row r="18" spans="1:12" ht="79.5" customHeight="1">
      <c r="A18" s="32" t="str">
        <v>Norton</v>
      </c>
      <c r="B18" s="29" t="str">
        <v>MA</v>
      </c>
      <c r="C18" s="24">
        <v>272584</v>
      </c>
      <c r="D18" s="13">
        <v>505487.2</v>
      </c>
      <c r="E18" s="13">
        <f t="shared" si="4"/>
        <v>-232903.2</v>
      </c>
      <c r="F18" s="14">
        <f t="shared" si="3"/>
        <v>-0.46074994579486883</v>
      </c>
      <c r="G18" s="15">
        <v>619158</v>
      </c>
      <c r="H18" s="15">
        <f t="shared" si="5"/>
        <v>-346574</v>
      </c>
      <c r="I18" s="16">
        <f t="shared" si="6"/>
        <v>-0.55975049987240733</v>
      </c>
      <c r="J18" s="40" t="s">
        <v>363</v>
      </c>
      <c r="K18" s="75" t="s">
        <v>364</v>
      </c>
      <c r="L18" s="79" t="s">
        <v>365</v>
      </c>
    </row>
    <row r="19" spans="1:12" ht="28.9">
      <c r="A19" s="30" t="str">
        <v>Palmer - Boston Rd.</v>
      </c>
      <c r="B19" s="31" t="str">
        <v>MA</v>
      </c>
      <c r="C19" s="11">
        <v>86956</v>
      </c>
      <c r="D19" s="18">
        <v>73842.399999999994</v>
      </c>
      <c r="E19" s="18">
        <f t="shared" si="4"/>
        <v>13113.600000000006</v>
      </c>
      <c r="F19" s="19">
        <f t="shared" si="3"/>
        <v>0.1775890274422284</v>
      </c>
      <c r="G19" s="20">
        <v>89737</v>
      </c>
      <c r="H19" s="20">
        <f t="shared" si="5"/>
        <v>-2781</v>
      </c>
      <c r="I19" s="19">
        <f t="shared" si="6"/>
        <v>-3.0990561306930252E-2</v>
      </c>
      <c r="J19" s="41" t="s">
        <v>366</v>
      </c>
      <c r="K19" s="76" t="s">
        <v>367</v>
      </c>
      <c r="L19" s="79" t="s">
        <v>368</v>
      </c>
    </row>
    <row r="20" spans="1:12" ht="15.6">
      <c r="A20" s="28" t="str">
        <v>Shirley Bartkus</v>
      </c>
      <c r="B20" s="29" t="str">
        <v>MA</v>
      </c>
      <c r="C20" s="24">
        <v>139964</v>
      </c>
      <c r="D20" s="13">
        <v>113162</v>
      </c>
      <c r="E20" s="13">
        <f t="shared" si="4"/>
        <v>26802</v>
      </c>
      <c r="F20" s="14">
        <f t="shared" si="3"/>
        <v>0.23684629115780917</v>
      </c>
      <c r="G20" s="15">
        <v>145881</v>
      </c>
      <c r="H20" s="15">
        <f t="shared" si="5"/>
        <v>-5917</v>
      </c>
      <c r="I20" s="16">
        <f t="shared" si="6"/>
        <v>-4.0560456810688164E-2</v>
      </c>
      <c r="J20" s="40" t="s">
        <v>369</v>
      </c>
      <c r="K20" s="75" t="s">
        <v>370</v>
      </c>
    </row>
    <row r="21" spans="1:12" ht="43.15">
      <c r="A21" s="30" t="str">
        <v>Stoughton</v>
      </c>
      <c r="B21" s="31" t="str">
        <v>MA</v>
      </c>
      <c r="C21" s="11">
        <v>118507.705</v>
      </c>
      <c r="D21" s="18">
        <v>68185.98</v>
      </c>
      <c r="E21" s="18">
        <f t="shared" si="4"/>
        <v>50321.725000000006</v>
      </c>
      <c r="F21" s="19">
        <f t="shared" si="3"/>
        <v>0.73800691872434787</v>
      </c>
      <c r="G21" s="20">
        <v>118095.7</v>
      </c>
      <c r="H21" s="20">
        <f t="shared" si="5"/>
        <v>412.00500000000466</v>
      </c>
      <c r="I21" s="19">
        <f t="shared" si="6"/>
        <v>3.4887383706604445E-3</v>
      </c>
      <c r="J21" s="41" t="s">
        <v>371</v>
      </c>
      <c r="K21" s="76" t="s">
        <v>372</v>
      </c>
    </row>
    <row r="22" spans="1:12" ht="15.6">
      <c r="A22" s="28" t="str">
        <v>Wellfleet Landfill</v>
      </c>
      <c r="B22" s="29" t="str">
        <v>MA</v>
      </c>
      <c r="C22" s="24">
        <v>145676</v>
      </c>
      <c r="D22" s="13">
        <v>159415.70000000001</v>
      </c>
      <c r="E22" s="13">
        <f t="shared" si="4"/>
        <v>-13739.700000000012</v>
      </c>
      <c r="F22" s="14">
        <f t="shared" si="3"/>
        <v>-8.6187872336288149E-2</v>
      </c>
      <c r="G22" s="97" t="s">
        <v>201</v>
      </c>
      <c r="H22" s="15" t="str">
        <f t="shared" si="5"/>
        <v/>
      </c>
      <c r="I22" s="16" t="str">
        <f t="shared" si="6"/>
        <v/>
      </c>
      <c r="J22" s="40"/>
      <c r="K22" s="40"/>
    </row>
    <row r="23" spans="1:12" ht="28.9">
      <c r="A23" s="30" t="str">
        <v>Wilmington Garage &amp; Building 7</v>
      </c>
      <c r="B23" s="31" t="str">
        <v>MA</v>
      </c>
      <c r="C23" s="11">
        <v>162723.625</v>
      </c>
      <c r="D23" s="18">
        <v>174997.4</v>
      </c>
      <c r="E23" s="18">
        <f t="shared" si="4"/>
        <v>-12273.774999999994</v>
      </c>
      <c r="F23" s="19">
        <f t="shared" si="3"/>
        <v>-7.013689917678774E-2</v>
      </c>
      <c r="G23" s="20">
        <v>190684.79999999999</v>
      </c>
      <c r="H23" s="20">
        <f t="shared" si="5"/>
        <v>-27961.174999999988</v>
      </c>
      <c r="I23" s="19">
        <f t="shared" si="6"/>
        <v>-0.14663557346993566</v>
      </c>
      <c r="J23" s="41" t="s">
        <v>373</v>
      </c>
      <c r="K23" s="76" t="s">
        <v>374</v>
      </c>
      <c r="L23" s="79" t="s">
        <v>261</v>
      </c>
    </row>
    <row r="24" spans="1:12" ht="15.6">
      <c r="A24" s="28" t="str">
        <v>Woburn</v>
      </c>
      <c r="B24" s="29" t="str">
        <v>MA</v>
      </c>
      <c r="C24" s="24">
        <v>255003.63562753101</v>
      </c>
      <c r="D24" s="13">
        <v>238566.39999999999</v>
      </c>
      <c r="E24" s="13">
        <f t="shared" si="4"/>
        <v>16437.235627531016</v>
      </c>
      <c r="F24" s="14">
        <f t="shared" si="3"/>
        <v>6.8900044715144368E-2</v>
      </c>
      <c r="G24" s="15">
        <v>271772</v>
      </c>
      <c r="H24" s="15">
        <f t="shared" si="5"/>
        <v>-16768.36437246899</v>
      </c>
      <c r="I24" s="16">
        <f t="shared" si="6"/>
        <v>-6.1700117644455613E-2</v>
      </c>
      <c r="J24" s="40"/>
      <c r="K24" s="40"/>
    </row>
    <row r="25" spans="1:12" ht="15.6">
      <c r="A25" s="30" t="str">
        <v>Friendship Solar 1</v>
      </c>
      <c r="B25" s="31" t="str">
        <v>MD</v>
      </c>
      <c r="C25" s="11">
        <v>515903</v>
      </c>
      <c r="D25" s="18">
        <v>551522.9</v>
      </c>
      <c r="E25" s="18">
        <f t="shared" si="4"/>
        <v>-35619.900000000023</v>
      </c>
      <c r="F25" s="19">
        <f t="shared" si="3"/>
        <v>-6.4584625588529551E-2</v>
      </c>
      <c r="G25" s="20">
        <v>606037.69999999995</v>
      </c>
      <c r="H25" s="20">
        <f t="shared" si="5"/>
        <v>-90134.699999999953</v>
      </c>
      <c r="I25" s="19">
        <f t="shared" si="6"/>
        <v>-0.14872787617007979</v>
      </c>
      <c r="J25" s="41" t="s">
        <v>375</v>
      </c>
      <c r="K25" s="76" t="s">
        <v>376</v>
      </c>
    </row>
    <row r="26" spans="1:12" ht="28.9">
      <c r="A26" s="28" t="str">
        <v>Friendship Solar 2</v>
      </c>
      <c r="B26" s="29" t="str">
        <v>MD</v>
      </c>
      <c r="C26" s="24">
        <v>492814</v>
      </c>
      <c r="D26" s="13">
        <v>551368.80000000005</v>
      </c>
      <c r="E26" s="13">
        <f t="shared" si="4"/>
        <v>-58554.800000000047</v>
      </c>
      <c r="F26" s="14">
        <f t="shared" si="3"/>
        <v>-0.10619897244820534</v>
      </c>
      <c r="G26" s="15">
        <v>590638.69999999995</v>
      </c>
      <c r="H26" s="15">
        <f t="shared" si="5"/>
        <v>-97824.699999999953</v>
      </c>
      <c r="I26" s="16">
        <f t="shared" si="6"/>
        <v>-0.16562527988768763</v>
      </c>
      <c r="J26" s="40" t="s">
        <v>377</v>
      </c>
      <c r="K26" s="75" t="s">
        <v>323</v>
      </c>
    </row>
    <row r="27" spans="1:12" ht="28.9">
      <c r="A27" s="30" t="str">
        <v>101 Carnegie Center</v>
      </c>
      <c r="B27" s="31" t="str">
        <v>NJ</v>
      </c>
      <c r="C27" s="11">
        <v>0</v>
      </c>
      <c r="D27" s="18">
        <v>0</v>
      </c>
      <c r="E27" s="18">
        <f t="shared" si="4"/>
        <v>0</v>
      </c>
      <c r="F27" s="19" t="str">
        <f t="shared" si="3"/>
        <v/>
      </c>
      <c r="G27" s="20">
        <v>0</v>
      </c>
      <c r="H27" s="20">
        <f t="shared" si="5"/>
        <v>0</v>
      </c>
      <c r="I27" s="19" t="str">
        <f t="shared" si="6"/>
        <v/>
      </c>
      <c r="J27" s="56" t="s">
        <v>324</v>
      </c>
      <c r="K27" s="77" t="s">
        <v>325</v>
      </c>
      <c r="L27" s="79" t="s">
        <v>267</v>
      </c>
    </row>
    <row r="28" spans="1:12" ht="15.6">
      <c r="A28" s="28" t="str">
        <v>302 Carnegie Center</v>
      </c>
      <c r="B28" s="29" t="str">
        <v>NJ</v>
      </c>
      <c r="C28" s="24">
        <v>92546.8</v>
      </c>
      <c r="D28" s="13">
        <v>92245.8</v>
      </c>
      <c r="E28" s="13">
        <f t="shared" si="4"/>
        <v>301</v>
      </c>
      <c r="F28" s="14">
        <f t="shared" si="3"/>
        <v>3.2630211890405849E-3</v>
      </c>
      <c r="G28" s="97" t="s">
        <v>201</v>
      </c>
      <c r="H28" s="15" t="str">
        <f t="shared" si="5"/>
        <v/>
      </c>
      <c r="I28" s="16" t="str">
        <f t="shared" si="6"/>
        <v/>
      </c>
      <c r="J28" s="40"/>
      <c r="K28" s="40"/>
    </row>
    <row r="29" spans="1:12" ht="15.6">
      <c r="A29" s="30" t="str">
        <v>510 Carnegie Center</v>
      </c>
      <c r="B29" s="31" t="str">
        <v>NJ</v>
      </c>
      <c r="C29" s="11">
        <v>242290.4</v>
      </c>
      <c r="D29" s="18">
        <v>271693.8</v>
      </c>
      <c r="E29" s="18">
        <f t="shared" si="4"/>
        <v>-29403.399999999994</v>
      </c>
      <c r="F29" s="19">
        <f t="shared" si="3"/>
        <v>-0.10822256525544563</v>
      </c>
      <c r="G29" s="96" t="s">
        <v>201</v>
      </c>
      <c r="H29" s="20" t="str">
        <f t="shared" si="5"/>
        <v/>
      </c>
      <c r="I29" s="19" t="str">
        <f t="shared" si="6"/>
        <v/>
      </c>
      <c r="J29" s="41" t="s">
        <v>378</v>
      </c>
      <c r="K29" s="76" t="s">
        <v>379</v>
      </c>
    </row>
    <row r="30" spans="1:12" ht="28.9">
      <c r="A30" s="28" t="str">
        <v>701 Carnegie Center</v>
      </c>
      <c r="B30" s="29" t="str">
        <v>NJ</v>
      </c>
      <c r="C30" s="24">
        <v>185598.4</v>
      </c>
      <c r="D30" s="13">
        <v>214455</v>
      </c>
      <c r="E30" s="13">
        <f t="shared" si="4"/>
        <v>-28856.600000000006</v>
      </c>
      <c r="F30" s="14">
        <f t="shared" si="3"/>
        <v>-0.13455783264554338</v>
      </c>
      <c r="G30" s="97" t="s">
        <v>201</v>
      </c>
      <c r="H30" s="15" t="str">
        <f t="shared" si="5"/>
        <v/>
      </c>
      <c r="I30" s="16" t="str">
        <f t="shared" si="6"/>
        <v/>
      </c>
      <c r="J30" s="40" t="s">
        <v>380</v>
      </c>
      <c r="K30" s="75" t="s">
        <v>381</v>
      </c>
      <c r="L30" s="79" t="s">
        <v>382</v>
      </c>
    </row>
    <row r="31" spans="1:12" ht="15.6">
      <c r="A31" s="30" t="str">
        <v>Hudson County Correction</v>
      </c>
      <c r="B31" s="31" t="str">
        <v>NJ</v>
      </c>
      <c r="C31" s="11">
        <v>245644.70590429701</v>
      </c>
      <c r="D31" s="18">
        <v>244718.2</v>
      </c>
      <c r="E31" s="18">
        <f t="shared" si="4"/>
        <v>926.50590429699514</v>
      </c>
      <c r="F31" s="19">
        <f t="shared" si="3"/>
        <v>3.7860114380417766E-3</v>
      </c>
      <c r="G31" s="20">
        <v>251265</v>
      </c>
      <c r="H31" s="20">
        <f t="shared" si="5"/>
        <v>-5620.2940957029932</v>
      </c>
      <c r="I31" s="19">
        <f t="shared" si="6"/>
        <v>-2.2367994331494612E-2</v>
      </c>
      <c r="J31" s="41"/>
      <c r="K31" s="55"/>
    </row>
    <row r="32" spans="1:12" ht="15.6">
      <c r="A32" s="28" t="str">
        <v>ER Bison Solar</v>
      </c>
      <c r="B32" s="29" t="str">
        <v>PA</v>
      </c>
      <c r="C32" s="24">
        <v>236748</v>
      </c>
      <c r="D32" s="13">
        <v>0</v>
      </c>
      <c r="E32" s="13">
        <f t="shared" si="4"/>
        <v>236748</v>
      </c>
      <c r="F32" s="14" t="str">
        <f t="shared" si="3"/>
        <v/>
      </c>
      <c r="G32" s="15">
        <v>265007</v>
      </c>
      <c r="H32" s="15">
        <f t="shared" si="5"/>
        <v>-28259</v>
      </c>
      <c r="I32" s="16">
        <f t="shared" si="6"/>
        <v>-0.10663491907760927</v>
      </c>
      <c r="J32" s="40" t="s">
        <v>383</v>
      </c>
      <c r="K32" s="75" t="s">
        <v>332</v>
      </c>
    </row>
    <row r="33" spans="1:12" ht="15.6">
      <c r="A33" s="30" t="str">
        <v>Danville</v>
      </c>
      <c r="B33" s="31" t="str">
        <v>IL</v>
      </c>
      <c r="C33" s="11">
        <v>383312</v>
      </c>
      <c r="D33" s="18" t="s">
        <v>201</v>
      </c>
      <c r="E33" s="18" t="str">
        <f t="shared" si="4"/>
        <v/>
      </c>
      <c r="F33" s="19" t="str">
        <f t="shared" si="3"/>
        <v/>
      </c>
      <c r="G33" s="96" t="s">
        <v>201</v>
      </c>
      <c r="H33" s="20" t="str">
        <f t="shared" si="5"/>
        <v/>
      </c>
      <c r="I33" s="19" t="str">
        <f t="shared" si="6"/>
        <v/>
      </c>
      <c r="J33" s="41"/>
      <c r="K33" s="55"/>
    </row>
    <row r="34" spans="1:12" ht="100.9">
      <c r="A34" s="28" t="str">
        <v>Camden - Campbell Soup HQ</v>
      </c>
      <c r="B34" s="29" t="str">
        <v>NJ</v>
      </c>
      <c r="C34" s="24">
        <v>352821</v>
      </c>
      <c r="D34" s="13">
        <v>731357.36159999995</v>
      </c>
      <c r="E34" s="13">
        <f t="shared" si="4"/>
        <v>-378536.36159999995</v>
      </c>
      <c r="F34" s="14">
        <f t="shared" si="3"/>
        <v>-0.5175805720638007</v>
      </c>
      <c r="G34" s="15">
        <v>641267.71</v>
      </c>
      <c r="H34" s="15">
        <f t="shared" si="5"/>
        <v>-288446.70999999996</v>
      </c>
      <c r="I34" s="16">
        <f t="shared" si="6"/>
        <v>-0.44980700805908341</v>
      </c>
      <c r="J34" s="40" t="s">
        <v>384</v>
      </c>
      <c r="K34" s="75" t="s">
        <v>385</v>
      </c>
      <c r="L34" s="79" t="s">
        <v>386</v>
      </c>
    </row>
    <row r="35" spans="1:12" ht="15.6">
      <c r="A35" s="30" t="str">
        <v>Westport - Pine Hill</v>
      </c>
      <c r="B35" s="31" t="str">
        <v>MA</v>
      </c>
      <c r="C35" s="11">
        <v>597149</v>
      </c>
      <c r="D35" s="18" t="s">
        <v>201</v>
      </c>
      <c r="E35" s="18" t="str">
        <f t="shared" si="4"/>
        <v/>
      </c>
      <c r="F35" s="19" t="str">
        <f t="shared" si="3"/>
        <v/>
      </c>
      <c r="G35" s="20">
        <v>668674</v>
      </c>
      <c r="H35" s="20">
        <f t="shared" si="5"/>
        <v>-71525</v>
      </c>
      <c r="I35" s="19">
        <f t="shared" si="6"/>
        <v>-0.10696542709900489</v>
      </c>
      <c r="J35" s="41" t="s">
        <v>387</v>
      </c>
      <c r="K35" s="77" t="s">
        <v>388</v>
      </c>
    </row>
    <row r="36" spans="1:12" ht="28.9">
      <c r="A36" s="28" t="str">
        <v>Oaks Landfill - ANEM</v>
      </c>
      <c r="B36" s="29" t="str">
        <v>MD</v>
      </c>
      <c r="C36" s="24">
        <v>370529.6</v>
      </c>
      <c r="D36" s="13">
        <v>418822.8</v>
      </c>
      <c r="E36" s="13">
        <f t="shared" si="4"/>
        <v>-48293.200000000012</v>
      </c>
      <c r="F36" s="14">
        <f t="shared" si="3"/>
        <v>-0.11530699856836832</v>
      </c>
      <c r="G36" s="97" t="s">
        <v>201</v>
      </c>
      <c r="H36" s="15" t="str">
        <f t="shared" si="5"/>
        <v/>
      </c>
      <c r="I36" s="16" t="str">
        <f t="shared" si="6"/>
        <v/>
      </c>
      <c r="J36" s="40" t="s">
        <v>389</v>
      </c>
      <c r="K36" s="75" t="s">
        <v>341</v>
      </c>
    </row>
    <row r="37" spans="1:12" ht="43.15">
      <c r="A37" s="30" t="str">
        <v>Oaks Landfill - CS2</v>
      </c>
      <c r="B37" s="31" t="str">
        <v>MD</v>
      </c>
      <c r="C37" s="11">
        <v>371365.8</v>
      </c>
      <c r="D37" s="18">
        <v>431349.8</v>
      </c>
      <c r="E37" s="18">
        <f t="shared" si="4"/>
        <v>-59984</v>
      </c>
      <c r="F37" s="19">
        <f t="shared" si="3"/>
        <v>-0.13906115176128517</v>
      </c>
      <c r="G37" s="96" t="s">
        <v>201</v>
      </c>
      <c r="H37" s="20" t="str">
        <f t="shared" si="5"/>
        <v/>
      </c>
      <c r="I37" s="19" t="str">
        <f t="shared" si="6"/>
        <v/>
      </c>
      <c r="J37" s="41" t="s">
        <v>390</v>
      </c>
      <c r="K37" s="77" t="s">
        <v>391</v>
      </c>
    </row>
    <row r="38" spans="1:12" ht="15.6">
      <c r="A38" s="28" t="str">
        <v>Oaks Landfill - CS1</v>
      </c>
      <c r="B38" s="29" t="str">
        <v>MD</v>
      </c>
      <c r="C38" s="24">
        <v>392282.3</v>
      </c>
      <c r="D38" s="13">
        <v>431348.5</v>
      </c>
      <c r="E38" s="13">
        <f t="shared" si="4"/>
        <v>-39066.200000000012</v>
      </c>
      <c r="F38" s="14">
        <f t="shared" si="3"/>
        <v>-9.056760368936026E-2</v>
      </c>
      <c r="G38" s="97" t="s">
        <v>201</v>
      </c>
      <c r="H38" s="15" t="str">
        <f t="shared" si="5"/>
        <v/>
      </c>
      <c r="I38" s="16" t="str">
        <f t="shared" si="6"/>
        <v/>
      </c>
      <c r="J38" s="40"/>
      <c r="K38" s="40"/>
    </row>
    <row r="39" spans="1:12" ht="15.6">
      <c r="A39" s="30" t="str">
        <v>Plympton - Upland Solar - PV &amp; BESS (IRA)</v>
      </c>
      <c r="B39" s="31" t="str">
        <v>MA</v>
      </c>
      <c r="C39" s="11">
        <v>795300</v>
      </c>
      <c r="D39" s="18">
        <v>803096.6</v>
      </c>
      <c r="E39" s="18">
        <f t="shared" si="4"/>
        <v>-7796.5999999999767</v>
      </c>
      <c r="F39" s="19">
        <f t="shared" si="3"/>
        <v>-9.7081720928714893E-3</v>
      </c>
      <c r="G39" s="20">
        <v>782480</v>
      </c>
      <c r="H39" s="20">
        <f t="shared" si="5"/>
        <v>12820</v>
      </c>
      <c r="I39" s="19">
        <f t="shared" si="6"/>
        <v>1.6383805336877621E-2</v>
      </c>
      <c r="J39" s="41"/>
      <c r="K39" s="55"/>
    </row>
    <row r="40" spans="1:12" ht="14.45">
      <c r="A40" s="21" t="str">
        <v>MA: Plymouth - Black Cat Solar - PV &amp; BESS (IRA)</v>
      </c>
      <c r="B40" s="33" t="str">
        <v>MA</v>
      </c>
      <c r="C40" s="21"/>
      <c r="D40" s="21"/>
      <c r="E40" s="21"/>
      <c r="F40" s="22"/>
      <c r="G40" s="21"/>
      <c r="H40" s="21"/>
      <c r="I40" s="22"/>
      <c r="J40" s="21"/>
      <c r="K40" s="21"/>
    </row>
    <row r="41" spans="1:12" ht="14.45">
      <c r="A41" s="21"/>
      <c r="B41" s="33"/>
      <c r="C41" s="21"/>
      <c r="D41" s="21"/>
      <c r="E41" s="21"/>
      <c r="F41" s="22"/>
      <c r="G41" s="21"/>
      <c r="H41" s="21"/>
      <c r="I41" s="22"/>
      <c r="J41" s="21"/>
      <c r="K41" s="21"/>
    </row>
    <row r="42" spans="1:12" ht="14.45">
      <c r="A42" s="21"/>
      <c r="B42" s="33"/>
      <c r="C42" s="21"/>
      <c r="D42" s="21"/>
      <c r="E42" s="21"/>
      <c r="F42" s="22"/>
      <c r="G42" s="21"/>
      <c r="H42" s="21"/>
      <c r="I42" s="22"/>
      <c r="J42" s="21"/>
      <c r="K42" s="21"/>
    </row>
    <row r="43" spans="1:12" ht="14.45">
      <c r="A43" s="21"/>
      <c r="B43" s="33"/>
      <c r="C43" s="21"/>
      <c r="D43" s="21"/>
      <c r="E43" s="21"/>
      <c r="F43" s="22"/>
      <c r="G43" s="21"/>
      <c r="H43" s="21"/>
      <c r="I43" s="22"/>
      <c r="J43" s="21"/>
      <c r="K43" s="21"/>
    </row>
    <row r="44" spans="1:12" ht="14.45">
      <c r="A44" s="21"/>
      <c r="B44" s="33"/>
      <c r="C44" s="21"/>
      <c r="D44" s="21"/>
      <c r="E44" s="21"/>
      <c r="F44" s="22"/>
      <c r="G44" s="21"/>
      <c r="H44" s="21"/>
      <c r="I44" s="22"/>
      <c r="J44" s="21"/>
      <c r="K44" s="21"/>
    </row>
    <row r="45" spans="1:12" ht="14.45">
      <c r="A45" s="21"/>
      <c r="B45" s="33"/>
      <c r="C45" s="21"/>
      <c r="D45" s="21"/>
      <c r="E45" s="21"/>
      <c r="F45" s="22"/>
      <c r="G45" s="21"/>
      <c r="H45" s="21"/>
      <c r="I45" s="22"/>
      <c r="J45" s="21"/>
      <c r="K45" s="21"/>
    </row>
    <row r="46" spans="1:12" ht="14.45">
      <c r="A46" s="21"/>
      <c r="B46" s="33"/>
      <c r="C46" s="21"/>
      <c r="D46" s="21"/>
      <c r="E46" s="21"/>
      <c r="F46" s="22"/>
      <c r="G46" s="21"/>
      <c r="H46" s="21"/>
      <c r="I46" s="22"/>
      <c r="J46" s="21"/>
      <c r="K46" s="21"/>
    </row>
    <row r="47" spans="1:12" ht="14.45">
      <c r="A47" s="21"/>
      <c r="B47" s="33"/>
      <c r="C47" s="21"/>
      <c r="D47" s="21"/>
      <c r="E47" s="21"/>
      <c r="F47" s="22"/>
      <c r="G47" s="21"/>
      <c r="H47" s="21"/>
      <c r="I47" s="22"/>
      <c r="J47" s="21"/>
      <c r="K47" s="21"/>
    </row>
    <row r="48" spans="1:12"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sortState xmlns:xlrd2="http://schemas.microsoft.com/office/spreadsheetml/2017/richdata2" ref="A3:K15">
    <sortCondition ref="A3:A15"/>
  </sortState>
  <mergeCells count="4">
    <mergeCell ref="G1:I1"/>
    <mergeCell ref="A1:C1"/>
    <mergeCell ref="D1:F1"/>
    <mergeCell ref="A2:B2"/>
  </mergeCells>
  <conditionalFormatting sqref="F2 I2">
    <cfRule type="cellIs" dxfId="27" priority="3" stopIfTrue="1" operator="lessThanOrEqual">
      <formula>-0.1</formula>
    </cfRule>
    <cfRule type="expression" dxfId="26" priority="4">
      <formula>AND(ISNUMBER(F2), F2&gt;=0.1)</formula>
    </cfRule>
  </conditionalFormatting>
  <conditionalFormatting sqref="F4:F100 I4:I100">
    <cfRule type="cellIs" dxfId="25" priority="1" stopIfTrue="1" operator="lessThanOrEqual">
      <formula>-0.1</formula>
    </cfRule>
    <cfRule type="expression" dxfId="24" priority="2">
      <formula>AND(ISNUMBER(F4), F4&gt;=0.1)</formula>
    </cfRule>
  </conditionalFormatting>
  <hyperlinks>
    <hyperlink ref="K7" r:id="rId1" display="https://us3.assetplanner.com/service_request?ID=095312" xr:uid="{0BD3BCDA-3C5D-4570-9501-A02B7DA69AD9}"/>
    <hyperlink ref="K4" r:id="rId2" display="https://us3.assetplanner.com/service_request?ID=103652" xr:uid="{C69E5678-B4D2-4FF8-8B5E-0648C31C4B5D}"/>
    <hyperlink ref="K8" r:id="rId3" display="https://us3.assetplanner.com/service_request?ID=103942" xr:uid="{82E2FF11-A566-4A33-90AA-D0E7CCFEF02A}"/>
    <hyperlink ref="L8" r:id="rId4" display="https://us3.assetplanner.com/service_request?ID=105460" xr:uid="{248821B2-5AAE-45BD-8FD8-60B00CD7E064}"/>
    <hyperlink ref="K9" r:id="rId5" display="https://us3.assetplanner.com/service_request?ID=103903" xr:uid="{AAB556A9-5CFE-44AF-B68D-52F10FE4D658}"/>
    <hyperlink ref="L9" r:id="rId6" display="https://us3.assetplanner.com/service_request?ID=103973" xr:uid="{40227F4D-F957-4641-8AD0-838988B1729D}"/>
    <hyperlink ref="M9" r:id="rId7" display="https://us3.assetplanner.com/service_request?ID=105461" xr:uid="{5A1191D1-5122-4336-9375-65013442919E}"/>
    <hyperlink ref="K12" r:id="rId8" display="https://us3.assetplanner.com/service_request?ID=103598" xr:uid="{F14E3FD6-87BF-44F6-B825-740EC4673419}"/>
    <hyperlink ref="L12" r:id="rId9" display="https://us3.assetplanner.com/service_request?ID=103598" xr:uid="{259FFE8A-B17B-46EB-A205-1511E436C25A}"/>
    <hyperlink ref="M12" r:id="rId10" display="https://us3.assetplanner.com/service_request?ID=104530" xr:uid="{8B50D739-83A0-4035-B405-D0B77E8A9D02}"/>
    <hyperlink ref="N12" r:id="rId11" display="https://us3.assetplanner.com/service_request?ID=104352" xr:uid="{C25DE865-A154-4EB1-804F-EE3956CC16A0}"/>
    <hyperlink ref="K16" r:id="rId12" display="https://us3.assetplanner.com/service_request?ID=101656" xr:uid="{9227D80A-9067-46BE-BB7B-F05618FDD463}"/>
    <hyperlink ref="L16" r:id="rId13" display="https://us3.assetplanner.com/service_request?ID=101977" xr:uid="{8F9CDAEF-213A-4CBC-9D3F-769BF5642B32}"/>
    <hyperlink ref="M16" r:id="rId14" display="https://us3.assetplanner.com/service_request?ID=103968" xr:uid="{B2ACF162-68A4-40AD-BDF2-C0E418F45727}"/>
    <hyperlink ref="N16" r:id="rId15" display="https://us3.assetplanner.com/service_request?ID=103297" xr:uid="{6282FCAB-52B5-4DB3-ABCC-06B88EBCA3CD}"/>
    <hyperlink ref="O16" r:id="rId16" display="https://us3.assetplanner.com/service_request?ID=102370" xr:uid="{D91901D3-1717-40DF-9C6C-1D50AF0D1B3F}"/>
    <hyperlink ref="P16" r:id="rId17" display="https://us3.assetplanner.com/service_request?ID=101930" xr:uid="{D7CD5E13-BC6C-4660-8A1F-30BF3B2A5DB3}"/>
    <hyperlink ref="Q16" r:id="rId18" display="https://us3.assetplanner.com/service_request?ID=102560" xr:uid="{0DEF0F61-0587-459A-AB6A-3510FF85513E}"/>
    <hyperlink ref="R16" r:id="rId19" display="https://us3.assetplanner.com/service_request?ID=103968" xr:uid="{35ECD585-400C-4406-9000-C75D69330D54}"/>
    <hyperlink ref="S16" r:id="rId20" display="https://us3.assetplanner.com/service_request?ID=103297" xr:uid="{82C651B7-F17F-4411-B682-25CC47F70BE7}"/>
    <hyperlink ref="T16" r:id="rId21" display="https://us3.assetplanner.com/service_request?ID=101858" xr:uid="{F9B16BF7-449B-4DF6-9C3B-7EA62EA35567}"/>
    <hyperlink ref="K18" r:id="rId22" display="https://us3.assetplanner.com/service_request?ID=103964" xr:uid="{8C1AF8D1-59CD-4EA8-ABF8-52B7F6099795}"/>
    <hyperlink ref="L18" r:id="rId23" display="https://us3.assetplanner.com/service_request?ID=104593" xr:uid="{9F745872-D5AB-4DE1-95EA-22D1761C97BC}"/>
    <hyperlink ref="K19" r:id="rId24" display="https://us3.assetplanner.com/service_request?ID=105481" xr:uid="{E6F19E7F-A7B9-4414-840B-0684323120EB}"/>
    <hyperlink ref="L19" r:id="rId25" display="https://us3.assetplanner.com/service_request?ID=105479" xr:uid="{0A777D7E-789F-48EA-BCEA-D332D8749EAF}"/>
    <hyperlink ref="K20" r:id="rId26" display="https://us3.assetplanner.com/service_request?ID=104416" xr:uid="{F95C87A1-EC2B-4E60-A894-45F24016C595}"/>
    <hyperlink ref="K21" r:id="rId27" display="https://us3.assetplanner.com/service_request?ID=102989" xr:uid="{071D5A91-F40C-4B38-A92C-E9EF4E5E6E6C}"/>
    <hyperlink ref="K23" r:id="rId28" display="https://us3.assetplanner.com/service_request?ID=102369" xr:uid="{3AC83213-BCB7-4BEC-89C4-7C7264BFBE2F}"/>
    <hyperlink ref="L23" r:id="rId29" display="https://us3.assetplanner.com/service_request?ID=094678" xr:uid="{D4EBD452-9233-4942-B2DF-BFE44EE7D07E}"/>
    <hyperlink ref="K25" r:id="rId30" display="https://us3.assetplanner.com/service_request?ID=105454" xr:uid="{C589F047-A06D-48FB-B608-1D326D631BC7}"/>
    <hyperlink ref="K26" r:id="rId31" display="https://us3.assetplanner.com/service_request?ID=099517" xr:uid="{4436711F-05CA-4729-A85E-5020C2557312}"/>
    <hyperlink ref="K27" r:id="rId32" display="https://us3.assetplanner.com/service_request?ID=103030" xr:uid="{CB639F42-E717-42C6-9162-B7F46911D396}"/>
    <hyperlink ref="L27" r:id="rId33" display="https://us3.assetplanner.com/service_request?ID=102263" xr:uid="{C7E515F9-D57B-4957-860E-1FB7D716FD45}"/>
    <hyperlink ref="K29" r:id="rId34" display="https://us3.assetplanner.com/service_request?ID=104357" xr:uid="{4EE9F769-BFF3-4B86-82A9-1BF08C66619E}"/>
    <hyperlink ref="K30" r:id="rId35" display="https://us3.assetplanner.com/service_request?ID=104346" xr:uid="{916BC01C-21C3-4C16-888A-2C96AC411009}"/>
    <hyperlink ref="L30" r:id="rId36" display="https://us3.assetplanner.com/service_request?ID=104356" xr:uid="{E9FAF845-486A-4361-BC74-051B674949A5}"/>
    <hyperlink ref="K32" r:id="rId37" display="https://us3.assetplanner.com/service_request?ID=103402" xr:uid="{11AB2788-5B92-4497-9A6A-D10E576FF818}"/>
    <hyperlink ref="K34" r:id="rId38" display="https://us3.assetplanner.com/service_request?ID=097964" xr:uid="{79228038-F8C0-4EDA-BD40-FE9F9D61434E}"/>
    <hyperlink ref="L34" r:id="rId39" display="https://us3.assetplanner.com/service_request?ID=105456" xr:uid="{80849EA0-C35E-4AEC-8E27-46D26BA8B1A6}"/>
    <hyperlink ref="K35" r:id="rId40" display="https://us3.assetplanner.com/service_request?ID=104012" xr:uid="{F02B59FE-6D84-497B-AD71-42C32A0DA333}"/>
    <hyperlink ref="K36" r:id="rId41" display="https://us3.assetplanner.com/service_request?ID=102988" xr:uid="{A4278D02-D814-46CD-907D-FFEBA5CE331C}"/>
    <hyperlink ref="K37" r:id="rId42" display="https://us3.assetplanner.com/service_request?ID=104114" xr:uid="{AAA963E9-E3FC-47E1-A912-7B0993CC78AB}"/>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V342"/>
  <sheetViews>
    <sheetView zoomScale="70" zoomScaleNormal="70" workbookViewId="0">
      <pane xSplit="2" ySplit="3" topLeftCell="E4" activePane="bottomRight" state="frozen"/>
      <selection pane="bottomRight" activeCell="J8" sqref="J8"/>
      <selection pane="bottomLeft" activeCell="F38" sqref="F38"/>
      <selection pane="topRight" activeCell="F38" sqref="F38"/>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7" width="8.85546875" style="78"/>
    <col min="18" max="18" width="8.85546875" style="78" customWidth="1"/>
    <col min="19" max="22" width="8.85546875" style="78"/>
  </cols>
  <sheetData>
    <row r="1" spans="1:21" ht="19.5" customHeight="1">
      <c r="A1" s="117" t="str" cm="1">
        <f t="array" ref="A1">portfolio</f>
        <v>Greenbacker Capital</v>
      </c>
      <c r="B1" s="117"/>
      <c r="C1" s="117"/>
      <c r="D1" s="118" t="s">
        <v>392</v>
      </c>
      <c r="E1" s="118"/>
      <c r="F1" s="118"/>
      <c r="G1" s="116" t="s">
        <v>393</v>
      </c>
      <c r="H1" s="116"/>
      <c r="I1" s="116"/>
      <c r="J1" s="4"/>
      <c r="K1" s="4"/>
    </row>
    <row r="2" spans="1:21" ht="19.5" customHeight="1">
      <c r="A2" s="119" t="s">
        <v>2</v>
      </c>
      <c r="B2" s="119"/>
      <c r="C2" s="5">
        <f>SUM(C4:C100)</f>
        <v>7942539.6249999991</v>
      </c>
      <c r="D2" s="5">
        <f>SUM(D4:D100)</f>
        <v>7316584.3209999995</v>
      </c>
      <c r="E2" s="5">
        <f>C2-D2</f>
        <v>625955.30399999954</v>
      </c>
      <c r="F2" s="6">
        <f>IFERROR(E2/D2, 0)</f>
        <v>8.5552940626049762E-2</v>
      </c>
      <c r="G2" s="5">
        <f>SUM(G4:G100)</f>
        <v>6111458.4399999995</v>
      </c>
      <c r="H2" s="7">
        <f>C2-G2</f>
        <v>1831081.1849999996</v>
      </c>
      <c r="I2" s="6">
        <f>IFERROR(H2/G2, 0)</f>
        <v>0.29961443785912412</v>
      </c>
      <c r="J2" s="26" t="str">
        <f ca="1">IF(AND(TODAY()&gt;DATE(2024, 8, 1), COUNTA(Sites[Site])&lt;&gt;(COUNT(C:C)-1)), "Some sites are missing actual data; if new sites were added, make sure they are aligned correctly (including prior months!)", "")</f>
        <v/>
      </c>
      <c r="K2" s="4"/>
    </row>
    <row r="3" spans="1:21" ht="14.25" customHeight="1">
      <c r="A3" s="8" t="s">
        <v>3</v>
      </c>
      <c r="B3" s="8" t="s">
        <v>4</v>
      </c>
      <c r="C3" s="23" t="s">
        <v>5</v>
      </c>
      <c r="D3" s="35" t="s">
        <v>6</v>
      </c>
      <c r="E3" s="35" t="s">
        <v>7</v>
      </c>
      <c r="F3" s="36" t="s">
        <v>8</v>
      </c>
      <c r="G3" s="37" t="s">
        <v>9</v>
      </c>
      <c r="H3" s="38" t="s">
        <v>7</v>
      </c>
      <c r="I3" s="39" t="s">
        <v>8</v>
      </c>
      <c r="J3" s="25" t="s">
        <v>20</v>
      </c>
      <c r="K3" s="25" t="s">
        <v>21</v>
      </c>
    </row>
    <row r="4" spans="1:21" ht="28.9">
      <c r="A4" s="32" t="str" cm="1">
        <f t="array" ref="A4:A40">Sites[Site]</f>
        <v>10 Walpole Park South</v>
      </c>
      <c r="B4" s="29" t="str" cm="1">
        <f t="array" ref="B4:B40">Sites[State]</f>
        <v>MA</v>
      </c>
      <c r="C4" s="24">
        <v>13614</v>
      </c>
      <c r="D4" s="13">
        <v>18559.38</v>
      </c>
      <c r="E4" s="13">
        <f>IF(AND(ISNUMBER(C4),ISNUMBER(D4)), C4-D4, "")</f>
        <v>-4945.380000000001</v>
      </c>
      <c r="F4" s="14">
        <f t="shared" ref="F4:F40" si="0">IFERROR(E4/D4, "")</f>
        <v>-0.26646256502102983</v>
      </c>
      <c r="G4" s="15">
        <v>19929.8</v>
      </c>
      <c r="H4" s="15">
        <f>IF(AND(ISNUMBER(C4),ISNUMBER(G4)), C4-G4, "")</f>
        <v>-6315.7999999999993</v>
      </c>
      <c r="I4" s="16">
        <f>IFERROR(H4/G4, "")</f>
        <v>-0.31690232716836092</v>
      </c>
      <c r="J4" s="40" t="s">
        <v>293</v>
      </c>
      <c r="K4" s="75" t="s">
        <v>346</v>
      </c>
    </row>
    <row r="5" spans="1:21" ht="15.6">
      <c r="A5" s="30" t="str">
        <v>15 Walpole Park South</v>
      </c>
      <c r="B5" s="31" t="str">
        <v>MA</v>
      </c>
      <c r="C5" s="11">
        <v>74980.25</v>
      </c>
      <c r="D5" s="18">
        <v>70967.92</v>
      </c>
      <c r="E5" s="18">
        <f t="shared" ref="E5:E6" si="1">IF(AND(ISNUMBER(C5),ISNUMBER(D5)), C5-D5, "")</f>
        <v>4012.3300000000017</v>
      </c>
      <c r="F5" s="19">
        <f t="shared" si="0"/>
        <v>5.653723541566389E-2</v>
      </c>
      <c r="G5" s="20">
        <v>70147.08</v>
      </c>
      <c r="H5" s="20">
        <f t="shared" ref="H5:H6" si="2">IF(AND(ISNUMBER(C5),ISNUMBER(G5)), C5-G5, "")</f>
        <v>4833.1699999999983</v>
      </c>
      <c r="I5" s="19">
        <f t="shared" ref="I5:I6" si="3">IFERROR(H5/G5, "")</f>
        <v>6.8900515887475255E-2</v>
      </c>
      <c r="J5" s="41"/>
      <c r="K5" s="41"/>
    </row>
    <row r="6" spans="1:21" ht="15.6">
      <c r="A6" s="28" t="str">
        <v>19 Walpole Park South</v>
      </c>
      <c r="B6" s="29" t="str">
        <v>MA</v>
      </c>
      <c r="C6" s="24">
        <v>46806.25</v>
      </c>
      <c r="D6" s="13">
        <v>43300.49</v>
      </c>
      <c r="E6" s="13">
        <f t="shared" si="1"/>
        <v>3505.760000000002</v>
      </c>
      <c r="F6" s="14">
        <f t="shared" si="0"/>
        <v>8.0963517964808301E-2</v>
      </c>
      <c r="G6" s="15">
        <v>44744.55</v>
      </c>
      <c r="H6" s="15">
        <f t="shared" si="2"/>
        <v>2061.6999999999971</v>
      </c>
      <c r="I6" s="16">
        <f t="shared" si="3"/>
        <v>4.6077120006794058E-2</v>
      </c>
      <c r="J6" s="40"/>
      <c r="K6" s="40"/>
    </row>
    <row r="7" spans="1:21" ht="15.6">
      <c r="A7" s="30" t="str">
        <v>23 Walpole Park South</v>
      </c>
      <c r="B7" s="31" t="str">
        <v>MA</v>
      </c>
      <c r="C7" s="11">
        <v>58284.249999999498</v>
      </c>
      <c r="D7" s="18">
        <v>57525.06</v>
      </c>
      <c r="E7" s="18">
        <f t="shared" ref="E7:E42" si="4">IF(AND(ISNUMBER(C7),ISNUMBER(D7)), C7-D7, "")</f>
        <v>759.18999999950029</v>
      </c>
      <c r="F7" s="19">
        <f t="shared" si="0"/>
        <v>1.3197552510149495E-2</v>
      </c>
      <c r="G7" s="20">
        <v>59023.25</v>
      </c>
      <c r="H7" s="20">
        <f t="shared" ref="H7:H39" si="5">IF(AND(ISNUMBER(C7),ISNUMBER(G7)), C7-G7, "")</f>
        <v>-739.00000000050204</v>
      </c>
      <c r="I7" s="19">
        <f t="shared" ref="I7:I39" si="6">IFERROR(H7/G7, "")</f>
        <v>-1.2520489806991348E-2</v>
      </c>
      <c r="J7" s="41" t="s">
        <v>228</v>
      </c>
      <c r="K7" s="76" t="s">
        <v>347</v>
      </c>
    </row>
    <row r="8" spans="1:21" ht="86.45">
      <c r="A8" s="28" t="str">
        <v>24 Walpole Park South</v>
      </c>
      <c r="B8" s="29" t="str">
        <v>MA</v>
      </c>
      <c r="C8" s="24">
        <v>90023</v>
      </c>
      <c r="D8" s="13">
        <v>82675.100000000006</v>
      </c>
      <c r="E8" s="13">
        <f t="shared" si="4"/>
        <v>7347.8999999999942</v>
      </c>
      <c r="F8" s="14">
        <f t="shared" si="0"/>
        <v>8.8876820227613798E-2</v>
      </c>
      <c r="G8" s="15">
        <v>90707.27</v>
      </c>
      <c r="H8" s="15">
        <f t="shared" si="5"/>
        <v>-684.27000000000407</v>
      </c>
      <c r="I8" s="16">
        <f t="shared" si="6"/>
        <v>-7.5437172786702103E-3</v>
      </c>
      <c r="J8" s="40" t="s">
        <v>394</v>
      </c>
      <c r="K8" s="75" t="s">
        <v>395</v>
      </c>
      <c r="L8" s="79" t="s">
        <v>396</v>
      </c>
      <c r="M8" s="79" t="s">
        <v>397</v>
      </c>
      <c r="N8" s="79" t="s">
        <v>398</v>
      </c>
    </row>
    <row r="9" spans="1:21" ht="28.9">
      <c r="A9" s="30" t="str">
        <v>25 Walpole Park South</v>
      </c>
      <c r="B9" s="31" t="str">
        <v>MA</v>
      </c>
      <c r="C9" s="11">
        <v>87949</v>
      </c>
      <c r="D9" s="18">
        <v>86323.38</v>
      </c>
      <c r="E9" s="18">
        <f t="shared" si="4"/>
        <v>1625.6199999999953</v>
      </c>
      <c r="F9" s="19">
        <f t="shared" si="0"/>
        <v>1.8831746393618915E-2</v>
      </c>
      <c r="G9" s="20">
        <v>91715.88</v>
      </c>
      <c r="H9" s="20">
        <f t="shared" si="5"/>
        <v>-3766.8800000000047</v>
      </c>
      <c r="I9" s="19">
        <f t="shared" si="6"/>
        <v>-4.107118636380095E-2</v>
      </c>
      <c r="J9" s="41" t="s">
        <v>399</v>
      </c>
      <c r="K9" s="76" t="s">
        <v>400</v>
      </c>
      <c r="L9" s="79" t="s">
        <v>401</v>
      </c>
    </row>
    <row r="10" spans="1:21" ht="15.6">
      <c r="A10" s="28" t="str">
        <v>3 Walpole Park South</v>
      </c>
      <c r="B10" s="29" t="str">
        <v>MA</v>
      </c>
      <c r="C10" s="24">
        <v>113159.5</v>
      </c>
      <c r="D10" s="13">
        <v>109707.1</v>
      </c>
      <c r="E10" s="13">
        <f t="shared" si="4"/>
        <v>3452.3999999999942</v>
      </c>
      <c r="F10" s="14">
        <f t="shared" si="0"/>
        <v>3.146924857187907E-2</v>
      </c>
      <c r="G10" s="15">
        <v>109395.7</v>
      </c>
      <c r="H10" s="15">
        <f t="shared" si="5"/>
        <v>3763.8000000000029</v>
      </c>
      <c r="I10" s="16">
        <f t="shared" si="6"/>
        <v>3.4405374251455983E-2</v>
      </c>
      <c r="J10" s="40"/>
      <c r="K10" s="40"/>
    </row>
    <row r="11" spans="1:21" ht="15.6">
      <c r="A11" s="30" t="str">
        <v>4 Walpole Park South</v>
      </c>
      <c r="B11" s="31" t="str">
        <v>MA</v>
      </c>
      <c r="C11" s="11">
        <v>65391.5</v>
      </c>
      <c r="D11" s="18">
        <v>61111.39</v>
      </c>
      <c r="E11" s="18">
        <f t="shared" si="4"/>
        <v>4280.1100000000006</v>
      </c>
      <c r="F11" s="19">
        <f t="shared" si="0"/>
        <v>7.0037844009111894E-2</v>
      </c>
      <c r="G11" s="20">
        <v>60710.73</v>
      </c>
      <c r="H11" s="20">
        <f t="shared" si="5"/>
        <v>4680.7699999999968</v>
      </c>
      <c r="I11" s="19">
        <f t="shared" si="6"/>
        <v>7.7099550606622533E-2</v>
      </c>
      <c r="J11" s="56"/>
      <c r="K11" s="55"/>
    </row>
    <row r="12" spans="1:21" ht="15.6">
      <c r="A12" s="28" t="str">
        <v>Brockton</v>
      </c>
      <c r="B12" s="29" t="str">
        <v>MA</v>
      </c>
      <c r="C12" s="24">
        <v>102060.5</v>
      </c>
      <c r="D12" s="13">
        <v>93589.29</v>
      </c>
      <c r="E12" s="13">
        <f t="shared" si="4"/>
        <v>8471.2100000000064</v>
      </c>
      <c r="F12" s="14">
        <f t="shared" si="0"/>
        <v>9.0514737316631066E-2</v>
      </c>
      <c r="G12" s="15">
        <v>100260.8</v>
      </c>
      <c r="H12" s="15">
        <f t="shared" si="5"/>
        <v>1799.6999999999971</v>
      </c>
      <c r="I12" s="16">
        <f t="shared" si="6"/>
        <v>1.7950185915133303E-2</v>
      </c>
      <c r="J12" s="40"/>
      <c r="K12" s="40"/>
    </row>
    <row r="13" spans="1:21" ht="15.6">
      <c r="A13" s="30" t="str">
        <v>Canton</v>
      </c>
      <c r="B13" s="31" t="str">
        <v>MA</v>
      </c>
      <c r="C13" s="11">
        <v>103974</v>
      </c>
      <c r="D13" s="18">
        <v>94242.23</v>
      </c>
      <c r="E13" s="18">
        <f t="shared" si="4"/>
        <v>9731.7700000000041</v>
      </c>
      <c r="F13" s="19">
        <f t="shared" si="0"/>
        <v>0.10326336717626487</v>
      </c>
      <c r="G13" s="20">
        <v>99963.4</v>
      </c>
      <c r="H13" s="20">
        <f t="shared" si="5"/>
        <v>4010.6000000000058</v>
      </c>
      <c r="I13" s="19">
        <f t="shared" si="6"/>
        <v>4.0120684170406429E-2</v>
      </c>
      <c r="J13" s="41"/>
      <c r="K13" s="42"/>
    </row>
    <row r="14" spans="1:21" ht="28.9">
      <c r="A14" s="28" t="str">
        <v>Chelsea</v>
      </c>
      <c r="B14" s="29" t="str">
        <v>MA</v>
      </c>
      <c r="C14" s="24">
        <v>179603</v>
      </c>
      <c r="D14" s="13">
        <v>172507.3</v>
      </c>
      <c r="E14" s="13">
        <f t="shared" si="4"/>
        <v>7095.7000000000116</v>
      </c>
      <c r="F14" s="14">
        <f t="shared" si="0"/>
        <v>4.1132752063246091E-2</v>
      </c>
      <c r="G14" s="15">
        <v>161481.29999999999</v>
      </c>
      <c r="H14" s="15">
        <f t="shared" si="5"/>
        <v>18121.700000000012</v>
      </c>
      <c r="I14" s="16">
        <f t="shared" si="6"/>
        <v>0.1122216628179239</v>
      </c>
      <c r="J14" s="40" t="s">
        <v>402</v>
      </c>
      <c r="K14" s="75" t="s">
        <v>403</v>
      </c>
    </row>
    <row r="15" spans="1:21" ht="15.6">
      <c r="A15" s="30" t="str">
        <v>Hamilton Landfill</v>
      </c>
      <c r="B15" s="31" t="str">
        <v>MA</v>
      </c>
      <c r="C15" s="11">
        <v>145429.44</v>
      </c>
      <c r="D15" s="18">
        <v>155639.17300000001</v>
      </c>
      <c r="E15" s="18">
        <f t="shared" si="4"/>
        <v>-10209.733000000007</v>
      </c>
      <c r="F15" s="19">
        <f t="shared" si="0"/>
        <v>-6.559873586580936E-2</v>
      </c>
      <c r="G15" s="89" t="s">
        <v>201</v>
      </c>
      <c r="H15" s="20" t="str">
        <f t="shared" si="5"/>
        <v/>
      </c>
      <c r="I15" s="19" t="str">
        <f t="shared" si="6"/>
        <v/>
      </c>
      <c r="J15" s="41"/>
      <c r="K15" s="42"/>
    </row>
    <row r="16" spans="1:21" ht="216">
      <c r="A16" s="28" t="str">
        <v>Holliston</v>
      </c>
      <c r="B16" s="29" t="str">
        <v>MA</v>
      </c>
      <c r="C16" s="24">
        <v>214304</v>
      </c>
      <c r="D16" s="13">
        <v>300514</v>
      </c>
      <c r="E16" s="13">
        <f t="shared" si="4"/>
        <v>-86210</v>
      </c>
      <c r="F16" s="14">
        <f t="shared" si="0"/>
        <v>-0.28687515390297957</v>
      </c>
      <c r="G16" s="15">
        <v>264829.09999999998</v>
      </c>
      <c r="H16" s="15">
        <f t="shared" si="5"/>
        <v>-50525.099999999977</v>
      </c>
      <c r="I16" s="16">
        <f t="shared" si="6"/>
        <v>-0.19078379226452072</v>
      </c>
      <c r="J16" s="40" t="s">
        <v>404</v>
      </c>
      <c r="K16" s="75" t="s">
        <v>405</v>
      </c>
      <c r="L16" s="79" t="s">
        <v>247</v>
      </c>
      <c r="M16" s="79" t="s">
        <v>361</v>
      </c>
      <c r="N16" s="79" t="s">
        <v>305</v>
      </c>
      <c r="O16" s="79" t="s">
        <v>303</v>
      </c>
      <c r="P16" s="79" t="s">
        <v>244</v>
      </c>
      <c r="Q16" s="79" t="s">
        <v>304</v>
      </c>
      <c r="R16" s="79" t="s">
        <v>361</v>
      </c>
      <c r="S16" s="79" t="s">
        <v>305</v>
      </c>
      <c r="T16" s="79" t="s">
        <v>243</v>
      </c>
      <c r="U16" s="79" t="s">
        <v>240</v>
      </c>
    </row>
    <row r="17" spans="1:14" ht="15.6">
      <c r="A17" s="30" t="str">
        <v>Natick HS - Carports</v>
      </c>
      <c r="B17" s="31" t="str">
        <v>MA</v>
      </c>
      <c r="C17" s="11">
        <v>91027.03</v>
      </c>
      <c r="D17" s="18">
        <v>106483.66</v>
      </c>
      <c r="E17" s="18">
        <f t="shared" si="4"/>
        <v>-15456.630000000005</v>
      </c>
      <c r="F17" s="19">
        <f t="shared" si="0"/>
        <v>-0.14515494677774979</v>
      </c>
      <c r="G17" s="20" t="s">
        <v>201</v>
      </c>
      <c r="H17" s="20" t="str">
        <f t="shared" si="5"/>
        <v/>
      </c>
      <c r="I17" s="19" t="str">
        <f t="shared" si="6"/>
        <v/>
      </c>
      <c r="J17" s="41" t="s">
        <v>362</v>
      </c>
      <c r="K17" s="42"/>
    </row>
    <row r="18" spans="1:14" ht="30.75" customHeight="1">
      <c r="A18" s="32" t="str">
        <v>Norton</v>
      </c>
      <c r="B18" s="29" t="str">
        <v>MA</v>
      </c>
      <c r="C18" s="24">
        <v>280135.5</v>
      </c>
      <c r="D18" s="13">
        <v>581556.6</v>
      </c>
      <c r="E18" s="13">
        <f t="shared" si="4"/>
        <v>-301421.09999999998</v>
      </c>
      <c r="F18" s="14">
        <f t="shared" si="0"/>
        <v>-0.51830054030854433</v>
      </c>
      <c r="G18" s="15">
        <v>563907.80000000005</v>
      </c>
      <c r="H18" s="15">
        <f t="shared" si="5"/>
        <v>-283772.30000000005</v>
      </c>
      <c r="I18" s="16">
        <f t="shared" si="6"/>
        <v>-0.50322464062387506</v>
      </c>
      <c r="J18" s="40" t="s">
        <v>406</v>
      </c>
      <c r="K18" s="40" t="s">
        <v>407</v>
      </c>
    </row>
    <row r="19" spans="1:14" ht="15.6">
      <c r="A19" s="30" t="str">
        <v>Palmer - Boston Rd.</v>
      </c>
      <c r="B19" s="31" t="str">
        <v>MA</v>
      </c>
      <c r="C19" s="11">
        <v>88134</v>
      </c>
      <c r="D19" s="18">
        <v>81668.320000000007</v>
      </c>
      <c r="E19" s="18">
        <f t="shared" si="4"/>
        <v>6465.679999999993</v>
      </c>
      <c r="F19" s="19">
        <f t="shared" si="0"/>
        <v>7.9169989048384889E-2</v>
      </c>
      <c r="G19" s="20">
        <v>80844</v>
      </c>
      <c r="H19" s="20">
        <f t="shared" si="5"/>
        <v>7290</v>
      </c>
      <c r="I19" s="19">
        <f t="shared" si="6"/>
        <v>9.0173667804660823E-2</v>
      </c>
      <c r="J19" s="41"/>
      <c r="K19" s="42"/>
    </row>
    <row r="20" spans="1:14" ht="28.9">
      <c r="A20" s="28" t="str">
        <v>Shirley Bartkus</v>
      </c>
      <c r="B20" s="29" t="str">
        <v>MA</v>
      </c>
      <c r="C20" s="24">
        <v>123112</v>
      </c>
      <c r="D20" s="13">
        <v>122776.7</v>
      </c>
      <c r="E20" s="13">
        <f t="shared" si="4"/>
        <v>335.30000000000291</v>
      </c>
      <c r="F20" s="14">
        <f t="shared" si="0"/>
        <v>2.7309741995020466E-3</v>
      </c>
      <c r="G20" s="15">
        <v>138832</v>
      </c>
      <c r="H20" s="15">
        <f t="shared" si="5"/>
        <v>-15720</v>
      </c>
      <c r="I20" s="16">
        <f t="shared" si="6"/>
        <v>-0.11323037916330529</v>
      </c>
      <c r="J20" s="40" t="s">
        <v>408</v>
      </c>
      <c r="K20" s="75" t="s">
        <v>409</v>
      </c>
      <c r="L20" s="79" t="s">
        <v>410</v>
      </c>
    </row>
    <row r="21" spans="1:14" ht="28.9">
      <c r="A21" s="30" t="str">
        <v>Stoughton</v>
      </c>
      <c r="B21" s="31" t="str">
        <v>MA</v>
      </c>
      <c r="C21" s="11">
        <v>120908.295</v>
      </c>
      <c r="D21" s="18">
        <v>66461.77</v>
      </c>
      <c r="E21" s="18">
        <f t="shared" si="4"/>
        <v>54446.524999999994</v>
      </c>
      <c r="F21" s="19">
        <f t="shared" si="0"/>
        <v>0.81921569347310474</v>
      </c>
      <c r="G21" s="20">
        <v>109937.7</v>
      </c>
      <c r="H21" s="20">
        <f t="shared" si="5"/>
        <v>10970.595000000001</v>
      </c>
      <c r="I21" s="19">
        <f t="shared" si="6"/>
        <v>9.9789198791679301E-2</v>
      </c>
      <c r="J21" s="41" t="s">
        <v>411</v>
      </c>
      <c r="K21" s="42"/>
    </row>
    <row r="22" spans="1:14" ht="15.6">
      <c r="A22" s="28" t="str">
        <v>Wellfleet Landfill</v>
      </c>
      <c r="B22" s="29" t="str">
        <v>MA</v>
      </c>
      <c r="C22" s="24">
        <v>155354.88</v>
      </c>
      <c r="D22" s="13">
        <v>150351.48000000001</v>
      </c>
      <c r="E22" s="13">
        <f t="shared" si="4"/>
        <v>5003.3999999999942</v>
      </c>
      <c r="F22" s="14">
        <f t="shared" si="0"/>
        <v>3.3278022936654793E-2</v>
      </c>
      <c r="G22" s="88" t="s">
        <v>201</v>
      </c>
      <c r="H22" s="15" t="str">
        <f t="shared" si="5"/>
        <v/>
      </c>
      <c r="I22" s="16" t="str">
        <f t="shared" si="6"/>
        <v/>
      </c>
      <c r="J22" s="40"/>
      <c r="K22" s="40"/>
    </row>
    <row r="23" spans="1:14" ht="57.6">
      <c r="A23" s="30" t="str">
        <v>Wilmington Garage &amp; Building 7</v>
      </c>
      <c r="B23" s="31" t="str">
        <v>MA</v>
      </c>
      <c r="C23" s="11">
        <v>158982.875</v>
      </c>
      <c r="D23" s="18">
        <v>177411.8</v>
      </c>
      <c r="E23" s="18">
        <f t="shared" si="4"/>
        <v>-18428.924999999988</v>
      </c>
      <c r="F23" s="19">
        <f t="shared" si="0"/>
        <v>-0.10387654597946692</v>
      </c>
      <c r="G23" s="20">
        <v>170167.3</v>
      </c>
      <c r="H23" s="20">
        <f t="shared" si="5"/>
        <v>-11184.424999999988</v>
      </c>
      <c r="I23" s="19">
        <f t="shared" si="6"/>
        <v>-6.5726053125365391E-2</v>
      </c>
      <c r="J23" s="41" t="s">
        <v>412</v>
      </c>
      <c r="K23" s="76" t="s">
        <v>413</v>
      </c>
      <c r="L23" s="79" t="s">
        <v>261</v>
      </c>
      <c r="M23" s="79" t="s">
        <v>414</v>
      </c>
      <c r="N23" s="79" t="s">
        <v>415</v>
      </c>
    </row>
    <row r="24" spans="1:14" ht="15.6">
      <c r="A24" s="28" t="str">
        <v>Woburn</v>
      </c>
      <c r="B24" s="29" t="str">
        <v>MA</v>
      </c>
      <c r="C24" s="24">
        <v>259757</v>
      </c>
      <c r="D24" s="13">
        <v>244754.9</v>
      </c>
      <c r="E24" s="13">
        <f t="shared" si="4"/>
        <v>15002.100000000006</v>
      </c>
      <c r="F24" s="14">
        <f t="shared" si="0"/>
        <v>6.129438062322759E-2</v>
      </c>
      <c r="G24" s="15">
        <v>247813.2</v>
      </c>
      <c r="H24" s="15">
        <f t="shared" si="5"/>
        <v>11943.799999999988</v>
      </c>
      <c r="I24" s="16">
        <f t="shared" si="6"/>
        <v>4.819678693467494E-2</v>
      </c>
      <c r="J24" s="40"/>
      <c r="K24" s="40"/>
    </row>
    <row r="25" spans="1:14" ht="28.9">
      <c r="A25" s="30" t="str">
        <v>Friendship Solar 1</v>
      </c>
      <c r="B25" s="31" t="str">
        <v>MD</v>
      </c>
      <c r="C25" s="11">
        <v>467215</v>
      </c>
      <c r="D25" s="18">
        <v>491950.1</v>
      </c>
      <c r="E25" s="18">
        <f t="shared" si="4"/>
        <v>-24735.099999999977</v>
      </c>
      <c r="F25" s="19">
        <f t="shared" si="0"/>
        <v>-5.027969300138363E-2</v>
      </c>
      <c r="G25" s="20">
        <v>534050.80000000005</v>
      </c>
      <c r="H25" s="20">
        <f t="shared" si="5"/>
        <v>-66835.800000000047</v>
      </c>
      <c r="I25" s="19">
        <f t="shared" si="6"/>
        <v>-0.12514876861901533</v>
      </c>
      <c r="J25" s="41" t="s">
        <v>416</v>
      </c>
      <c r="K25" s="76" t="s">
        <v>376</v>
      </c>
    </row>
    <row r="26" spans="1:14" ht="28.9">
      <c r="A26" s="28" t="str">
        <v>Friendship Solar 2</v>
      </c>
      <c r="B26" s="29" t="str">
        <v>MD</v>
      </c>
      <c r="C26" s="24">
        <v>456453</v>
      </c>
      <c r="D26" s="13">
        <v>492154.7</v>
      </c>
      <c r="E26" s="13">
        <f t="shared" si="4"/>
        <v>-35701.700000000012</v>
      </c>
      <c r="F26" s="14">
        <f t="shared" si="0"/>
        <v>-7.254162156736492E-2</v>
      </c>
      <c r="G26" s="15">
        <v>531656.4</v>
      </c>
      <c r="H26" s="15">
        <f t="shared" si="5"/>
        <v>-75203.400000000023</v>
      </c>
      <c r="I26" s="16">
        <f t="shared" si="6"/>
        <v>-0.14145113272406767</v>
      </c>
      <c r="J26" s="40" t="s">
        <v>377</v>
      </c>
      <c r="K26" s="75" t="s">
        <v>417</v>
      </c>
      <c r="L26" s="79" t="s">
        <v>418</v>
      </c>
    </row>
    <row r="27" spans="1:14" ht="28.9">
      <c r="A27" s="30" t="str">
        <v>101 Carnegie Center</v>
      </c>
      <c r="B27" s="31" t="str">
        <v>NJ</v>
      </c>
      <c r="C27" s="11">
        <v>0</v>
      </c>
      <c r="D27" s="18">
        <v>0</v>
      </c>
      <c r="E27" s="18">
        <f t="shared" si="4"/>
        <v>0</v>
      </c>
      <c r="F27" s="19" t="str">
        <f t="shared" si="0"/>
        <v/>
      </c>
      <c r="G27" s="89" t="s">
        <v>201</v>
      </c>
      <c r="H27" s="20" t="str">
        <f t="shared" si="5"/>
        <v/>
      </c>
      <c r="I27" s="19" t="str">
        <f t="shared" si="6"/>
        <v/>
      </c>
      <c r="J27" s="41" t="s">
        <v>324</v>
      </c>
      <c r="K27" s="76" t="s">
        <v>325</v>
      </c>
      <c r="L27" s="79" t="s">
        <v>267</v>
      </c>
    </row>
    <row r="28" spans="1:14" ht="15.6">
      <c r="A28" s="28" t="str">
        <v>302 Carnegie Center</v>
      </c>
      <c r="B28" s="29" t="str">
        <v>NJ</v>
      </c>
      <c r="C28" s="24">
        <v>91625.8</v>
      </c>
      <c r="D28" s="13">
        <v>91198.39</v>
      </c>
      <c r="E28" s="13">
        <f t="shared" si="4"/>
        <v>427.41000000000349</v>
      </c>
      <c r="F28" s="14">
        <f t="shared" si="0"/>
        <v>4.6865958927564781E-3</v>
      </c>
      <c r="G28" s="88" t="s">
        <v>201</v>
      </c>
      <c r="H28" s="15" t="str">
        <f t="shared" si="5"/>
        <v/>
      </c>
      <c r="I28" s="16" t="str">
        <f t="shared" si="6"/>
        <v/>
      </c>
      <c r="J28" s="40"/>
      <c r="K28" s="40"/>
    </row>
    <row r="29" spans="1:14" ht="57.6">
      <c r="A29" s="30" t="str">
        <v>510 Carnegie Center</v>
      </c>
      <c r="B29" s="31" t="str">
        <v>NJ</v>
      </c>
      <c r="C29" s="11">
        <v>245822.71</v>
      </c>
      <c r="D29" s="18">
        <v>219272.2</v>
      </c>
      <c r="E29" s="18">
        <f t="shared" si="4"/>
        <v>26550.50999999998</v>
      </c>
      <c r="F29" s="19">
        <f t="shared" si="0"/>
        <v>0.121084706588432</v>
      </c>
      <c r="G29" s="89" t="s">
        <v>201</v>
      </c>
      <c r="H29" s="20" t="str">
        <f t="shared" si="5"/>
        <v/>
      </c>
      <c r="I29" s="19" t="str">
        <f t="shared" si="6"/>
        <v/>
      </c>
      <c r="J29" s="41" t="s">
        <v>419</v>
      </c>
      <c r="K29" s="77" t="s">
        <v>420</v>
      </c>
      <c r="L29" s="79" t="s">
        <v>421</v>
      </c>
      <c r="M29" s="79" t="s">
        <v>422</v>
      </c>
    </row>
    <row r="30" spans="1:14" ht="28.9">
      <c r="A30" s="28" t="str">
        <v>701 Carnegie Center</v>
      </c>
      <c r="B30" s="29" t="str">
        <v>NJ</v>
      </c>
      <c r="C30" s="24">
        <v>206740.552</v>
      </c>
      <c r="D30" s="13">
        <v>179606.5</v>
      </c>
      <c r="E30" s="13">
        <f t="shared" si="4"/>
        <v>27134.051999999996</v>
      </c>
      <c r="F30" s="14">
        <f t="shared" si="0"/>
        <v>0.15107500006959657</v>
      </c>
      <c r="G30" s="88" t="s">
        <v>201</v>
      </c>
      <c r="H30" s="15" t="str">
        <f t="shared" si="5"/>
        <v/>
      </c>
      <c r="I30" s="16" t="str">
        <f t="shared" si="6"/>
        <v/>
      </c>
      <c r="J30" s="40" t="s">
        <v>423</v>
      </c>
      <c r="K30" s="75" t="s">
        <v>424</v>
      </c>
    </row>
    <row r="31" spans="1:14" ht="15.6">
      <c r="A31" s="30" t="str">
        <v>Hudson County Correction</v>
      </c>
      <c r="B31" s="31" t="str">
        <v>NJ</v>
      </c>
      <c r="C31" s="11">
        <v>240383.024999999</v>
      </c>
      <c r="D31" s="18">
        <v>242539.8</v>
      </c>
      <c r="E31" s="18">
        <f t="shared" si="4"/>
        <v>-2156.7750000009837</v>
      </c>
      <c r="F31" s="19">
        <f t="shared" si="0"/>
        <v>-8.8924580625570886E-3</v>
      </c>
      <c r="G31" s="89">
        <v>230042.8</v>
      </c>
      <c r="H31" s="20">
        <f t="shared" si="5"/>
        <v>10340.224999999016</v>
      </c>
      <c r="I31" s="19">
        <f t="shared" si="6"/>
        <v>4.4949135552162539E-2</v>
      </c>
      <c r="J31" s="41"/>
      <c r="K31" s="42"/>
    </row>
    <row r="32" spans="1:14" ht="43.15">
      <c r="A32" s="28" t="str">
        <v>ER Bison Solar</v>
      </c>
      <c r="B32" s="29" t="str">
        <v>PA</v>
      </c>
      <c r="C32" s="24">
        <v>227950</v>
      </c>
      <c r="D32" s="13">
        <v>0</v>
      </c>
      <c r="E32" s="13">
        <f t="shared" si="4"/>
        <v>227950</v>
      </c>
      <c r="F32" s="14" t="str">
        <f t="shared" si="0"/>
        <v/>
      </c>
      <c r="G32" s="88">
        <v>241244</v>
      </c>
      <c r="H32" s="15">
        <f t="shared" si="5"/>
        <v>-13294</v>
      </c>
      <c r="I32" s="16">
        <f t="shared" si="6"/>
        <v>-5.5106033725191093E-2</v>
      </c>
      <c r="J32" s="40" t="s">
        <v>425</v>
      </c>
      <c r="K32" s="75" t="s">
        <v>426</v>
      </c>
      <c r="L32" s="79" t="s">
        <v>427</v>
      </c>
    </row>
    <row r="33" spans="1:16" ht="100.9">
      <c r="A33" s="30" t="str">
        <v>Danville</v>
      </c>
      <c r="B33" s="31" t="str">
        <v>IL</v>
      </c>
      <c r="C33" s="11">
        <v>412130.41</v>
      </c>
      <c r="D33" s="18" t="s">
        <v>201</v>
      </c>
      <c r="E33" s="18" t="str">
        <f t="shared" si="4"/>
        <v/>
      </c>
      <c r="F33" s="19" t="str">
        <f t="shared" si="0"/>
        <v/>
      </c>
      <c r="G33" s="89" t="s">
        <v>201</v>
      </c>
      <c r="H33" s="20" t="str">
        <f t="shared" si="5"/>
        <v/>
      </c>
      <c r="I33" s="19" t="str">
        <f t="shared" si="6"/>
        <v/>
      </c>
      <c r="J33" s="56" t="s">
        <v>428</v>
      </c>
      <c r="K33" s="77" t="s">
        <v>429</v>
      </c>
      <c r="L33" s="79" t="s">
        <v>430</v>
      </c>
      <c r="M33" s="79" t="s">
        <v>431</v>
      </c>
    </row>
    <row r="34" spans="1:16" ht="115.15">
      <c r="A34" s="28" t="str">
        <v>Camden - Campbell Soup HQ</v>
      </c>
      <c r="B34" s="29" t="str">
        <v>NJ</v>
      </c>
      <c r="C34" s="24">
        <v>350364</v>
      </c>
      <c r="D34" s="13">
        <v>633412</v>
      </c>
      <c r="E34" s="13">
        <f t="shared" si="4"/>
        <v>-283048</v>
      </c>
      <c r="F34" s="14">
        <f t="shared" si="0"/>
        <v>-0.44686238972422371</v>
      </c>
      <c r="G34" s="15">
        <v>584166</v>
      </c>
      <c r="H34" s="15">
        <f t="shared" si="5"/>
        <v>-233802</v>
      </c>
      <c r="I34" s="16">
        <f t="shared" si="6"/>
        <v>-0.40023212579985828</v>
      </c>
      <c r="J34" s="40" t="s">
        <v>432</v>
      </c>
      <c r="K34" s="75" t="s">
        <v>433</v>
      </c>
      <c r="L34" s="79" t="s">
        <v>434</v>
      </c>
      <c r="M34" s="79" t="s">
        <v>386</v>
      </c>
    </row>
    <row r="35" spans="1:16" ht="72">
      <c r="A35" s="30" t="str">
        <v>Westport - Pine Hill</v>
      </c>
      <c r="B35" s="31" t="str">
        <v>MA</v>
      </c>
      <c r="C35" s="11">
        <v>674721</v>
      </c>
      <c r="D35" s="18" t="s">
        <v>201</v>
      </c>
      <c r="E35" s="18" t="str">
        <f t="shared" si="4"/>
        <v/>
      </c>
      <c r="F35" s="19" t="str">
        <f t="shared" si="0"/>
        <v/>
      </c>
      <c r="G35" s="20">
        <v>641318</v>
      </c>
      <c r="H35" s="20">
        <f t="shared" si="5"/>
        <v>33403</v>
      </c>
      <c r="I35" s="19">
        <f t="shared" si="6"/>
        <v>5.2084925107357037E-2</v>
      </c>
      <c r="J35" s="56" t="s">
        <v>435</v>
      </c>
      <c r="K35" s="77" t="s">
        <v>436</v>
      </c>
      <c r="L35" s="79" t="s">
        <v>437</v>
      </c>
      <c r="M35" s="79" t="s">
        <v>438</v>
      </c>
    </row>
    <row r="36" spans="1:16" ht="43.15">
      <c r="A36" s="28" t="str">
        <v>Oaks Landfill - ANEM</v>
      </c>
      <c r="B36" s="29" t="str">
        <v>MD</v>
      </c>
      <c r="C36" s="24">
        <v>348524.78899999999</v>
      </c>
      <c r="D36" s="13">
        <v>397244.32799999998</v>
      </c>
      <c r="E36" s="13">
        <f t="shared" si="4"/>
        <v>-48719.53899999999</v>
      </c>
      <c r="F36" s="14">
        <f t="shared" si="0"/>
        <v>-0.12264376245543269</v>
      </c>
      <c r="G36" s="97" t="s">
        <v>201</v>
      </c>
      <c r="H36" s="15" t="str">
        <f t="shared" si="5"/>
        <v/>
      </c>
      <c r="I36" s="16" t="str">
        <f t="shared" si="6"/>
        <v/>
      </c>
      <c r="J36" s="40" t="s">
        <v>439</v>
      </c>
      <c r="K36" s="75" t="s">
        <v>440</v>
      </c>
      <c r="L36" s="79" t="s">
        <v>441</v>
      </c>
    </row>
    <row r="37" spans="1:16" ht="42.6" customHeight="1">
      <c r="A37" s="30" t="str">
        <v>Oaks Landfill - CS2</v>
      </c>
      <c r="B37" s="31" t="str">
        <v>MD</v>
      </c>
      <c r="C37" s="11">
        <v>364496.23</v>
      </c>
      <c r="D37" s="18">
        <v>408488.62400000001</v>
      </c>
      <c r="E37" s="18">
        <f t="shared" si="4"/>
        <v>-43992.394000000029</v>
      </c>
      <c r="F37" s="19">
        <f t="shared" si="0"/>
        <v>-0.10769551810089092</v>
      </c>
      <c r="G37" s="96" t="s">
        <v>201</v>
      </c>
      <c r="H37" s="20" t="str">
        <f t="shared" si="5"/>
        <v/>
      </c>
      <c r="I37" s="19" t="str">
        <f t="shared" si="6"/>
        <v/>
      </c>
      <c r="J37" s="56" t="s">
        <v>442</v>
      </c>
      <c r="K37" s="77" t="s">
        <v>391</v>
      </c>
    </row>
    <row r="38" spans="1:16" ht="15.6">
      <c r="A38" s="28" t="str">
        <v>Oaks Landfill - CS1</v>
      </c>
      <c r="B38" s="29" t="str">
        <v>MD</v>
      </c>
      <c r="C38" s="24">
        <v>370598.93900000001</v>
      </c>
      <c r="D38" s="13">
        <v>408487.07</v>
      </c>
      <c r="E38" s="13">
        <f t="shared" si="4"/>
        <v>-37888.130999999994</v>
      </c>
      <c r="F38" s="14">
        <f t="shared" si="0"/>
        <v>-9.2752338525672287E-2</v>
      </c>
      <c r="G38" s="97" t="s">
        <v>201</v>
      </c>
      <c r="H38" s="15" t="str">
        <f t="shared" si="5"/>
        <v/>
      </c>
      <c r="I38" s="16" t="str">
        <f t="shared" si="6"/>
        <v/>
      </c>
      <c r="J38" s="40"/>
      <c r="K38" s="40"/>
    </row>
    <row r="39" spans="1:16" ht="172.9">
      <c r="A39" s="30" t="str">
        <v>Plympton - Upland Solar - PV &amp; BESS (IRA)</v>
      </c>
      <c r="B39" s="31" t="str">
        <v>MA</v>
      </c>
      <c r="C39" s="11">
        <v>840252</v>
      </c>
      <c r="D39" s="18">
        <v>874103.56599999999</v>
      </c>
      <c r="E39" s="18">
        <f t="shared" si="4"/>
        <v>-33851.565999999992</v>
      </c>
      <c r="F39" s="19">
        <f t="shared" si="0"/>
        <v>-3.8727179840838212E-2</v>
      </c>
      <c r="G39" s="20">
        <v>724460.58</v>
      </c>
      <c r="H39" s="20">
        <f t="shared" si="5"/>
        <v>115791.42000000004</v>
      </c>
      <c r="I39" s="19">
        <f t="shared" si="6"/>
        <v>0.15983122228679447</v>
      </c>
      <c r="J39" s="56" t="s">
        <v>443</v>
      </c>
      <c r="K39" s="77" t="s">
        <v>444</v>
      </c>
      <c r="L39" s="79" t="s">
        <v>445</v>
      </c>
      <c r="M39" s="79" t="s">
        <v>446</v>
      </c>
      <c r="N39" s="79" t="s">
        <v>447</v>
      </c>
      <c r="O39" s="79" t="s">
        <v>448</v>
      </c>
      <c r="P39" s="79" t="s">
        <v>449</v>
      </c>
    </row>
    <row r="40" spans="1:16" ht="15.6">
      <c r="A40" s="28" t="str">
        <v>MA: Plymouth - Black Cat Solar - PV &amp; BESS (IRA)</v>
      </c>
      <c r="B40" s="29" t="str">
        <v>MA</v>
      </c>
      <c r="C40" s="24">
        <v>72271.899999999994</v>
      </c>
      <c r="D40" s="13">
        <v>0</v>
      </c>
      <c r="E40" s="13">
        <f t="shared" si="4"/>
        <v>72271.899999999994</v>
      </c>
      <c r="F40" s="14" t="str">
        <f t="shared" si="0"/>
        <v/>
      </c>
      <c r="G40" s="97">
        <v>140109</v>
      </c>
      <c r="H40" s="15">
        <f t="shared" ref="H40" si="7">IF(AND(ISNUMBER(C40),ISNUMBER(G40)), C40-G40, "")</f>
        <v>-67837.100000000006</v>
      </c>
      <c r="I40" s="16">
        <f t="shared" ref="I40" si="8">IFERROR(H40/G40, "")</f>
        <v>-0.48417375043715966</v>
      </c>
      <c r="J40" s="40" t="s">
        <v>450</v>
      </c>
      <c r="K40" s="75" t="s">
        <v>451</v>
      </c>
    </row>
    <row r="41" spans="1:16" ht="14.45">
      <c r="A41" s="21"/>
      <c r="B41" s="33"/>
      <c r="C41" s="21"/>
      <c r="D41" s="21"/>
      <c r="E41" s="18" t="str">
        <f t="shared" si="4"/>
        <v/>
      </c>
      <c r="F41" s="22"/>
      <c r="G41" s="21"/>
      <c r="H41" s="21"/>
      <c r="I41" s="22"/>
      <c r="J41" s="21"/>
      <c r="K41" s="21"/>
    </row>
    <row r="42" spans="1:16" ht="14.45">
      <c r="A42" s="21"/>
      <c r="B42" s="33"/>
      <c r="C42" s="21"/>
      <c r="D42" s="21"/>
      <c r="E42" s="18" t="str">
        <f t="shared" si="4"/>
        <v/>
      </c>
      <c r="F42" s="22"/>
      <c r="G42" s="21"/>
      <c r="H42" s="21"/>
      <c r="I42" s="22"/>
      <c r="J42" s="21"/>
      <c r="K42" s="21"/>
    </row>
    <row r="43" spans="1:16" ht="14.45">
      <c r="A43" s="21"/>
      <c r="B43" s="33"/>
      <c r="C43" s="21"/>
      <c r="D43" s="21"/>
      <c r="E43" s="21"/>
      <c r="F43" s="22"/>
      <c r="G43" s="21"/>
      <c r="H43" s="21"/>
      <c r="I43" s="22"/>
      <c r="J43" s="21"/>
      <c r="K43" s="21"/>
    </row>
    <row r="44" spans="1:16" ht="14.45">
      <c r="A44" s="21"/>
      <c r="B44" s="33"/>
      <c r="C44" s="21"/>
      <c r="D44" s="21"/>
      <c r="E44" s="21"/>
      <c r="F44" s="22"/>
      <c r="G44" s="21"/>
      <c r="H44" s="21"/>
      <c r="I44" s="22"/>
      <c r="J44" s="21"/>
      <c r="K44" s="21"/>
    </row>
    <row r="45" spans="1:16" ht="14.45">
      <c r="A45" s="21"/>
      <c r="B45" s="33"/>
      <c r="C45" s="21"/>
      <c r="D45" s="21"/>
      <c r="E45" s="21"/>
      <c r="F45" s="22"/>
      <c r="G45" s="21"/>
      <c r="H45" s="21"/>
      <c r="I45" s="22"/>
      <c r="J45" s="21"/>
      <c r="K45" s="21"/>
    </row>
    <row r="46" spans="1:16" ht="14.45">
      <c r="A46" s="21"/>
      <c r="B46" s="33"/>
      <c r="C46" s="21"/>
      <c r="D46" s="21"/>
      <c r="E46" s="21"/>
      <c r="F46" s="22"/>
      <c r="G46" s="21"/>
      <c r="H46" s="21"/>
      <c r="I46" s="22"/>
      <c r="J46" s="21"/>
      <c r="K46" s="21"/>
    </row>
    <row r="47" spans="1:16" ht="14.45">
      <c r="A47" s="21"/>
      <c r="B47" s="33"/>
      <c r="C47" s="21"/>
      <c r="D47" s="21"/>
      <c r="E47" s="21"/>
      <c r="F47" s="22"/>
      <c r="G47" s="21"/>
      <c r="H47" s="21"/>
      <c r="I47" s="22"/>
      <c r="J47" s="21"/>
      <c r="K47" s="21"/>
    </row>
    <row r="48" spans="1:16"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23" priority="3" stopIfTrue="1" operator="lessThanOrEqual">
      <formula>-0.1</formula>
    </cfRule>
    <cfRule type="expression" dxfId="22" priority="4">
      <formula>AND(ISNUMBER(F2), F2&gt;=0.1)</formula>
    </cfRule>
  </conditionalFormatting>
  <conditionalFormatting sqref="F4:F100 I4:I100">
    <cfRule type="cellIs" dxfId="21" priority="1" stopIfTrue="1" operator="lessThanOrEqual">
      <formula>-0.1</formula>
    </cfRule>
    <cfRule type="expression" dxfId="20" priority="2">
      <formula>AND(ISNUMBER(F4), F4&gt;=0.1)</formula>
    </cfRule>
  </conditionalFormatting>
  <hyperlinks>
    <hyperlink ref="K4" r:id="rId1" display="https://us3.assetplanner.com/service_request?ID=103652" xr:uid="{9F7AB427-18E7-45CF-A514-CFBEA426B297}"/>
    <hyperlink ref="K7" r:id="rId2" display="https://us3.assetplanner.com/service_request?ID=095312" xr:uid="{DDB6DF49-01E2-470F-B601-F303B5F9438A}"/>
    <hyperlink ref="K8" r:id="rId3" display="https://us3.assetplanner.com/service_request?ID=105460" xr:uid="{FCDE34BD-5B97-4DFA-A5DD-4441710646A2}"/>
    <hyperlink ref="L8" r:id="rId4" display="https://us3.assetplanner.com/service_request?ID=105972" xr:uid="{43AC7511-28E4-4CC7-BBFB-5DC907E27378}"/>
    <hyperlink ref="M8" r:id="rId5" display="https://us3.assetplanner.com/service_request?ID=106054" xr:uid="{6EA6C5EC-964B-4666-B81C-618065218C5D}"/>
    <hyperlink ref="N8" r:id="rId6" display="https://us3.assetplanner.com/service_request?ID=106095" xr:uid="{EF5858FF-2E09-494E-B730-E6373269F50A}"/>
    <hyperlink ref="K9" r:id="rId7" display="https://us3.assetplanner.com/service_request?ID=087756" xr:uid="{B241F297-A9CC-4CEC-ACE3-654FC12B5477}"/>
    <hyperlink ref="L9" r:id="rId8" display="https://us3.assetplanner.com/service_request?ID=103903" xr:uid="{C210645F-322E-4EF0-A6F5-E2B1AFD87627}"/>
    <hyperlink ref="K14" r:id="rId9" display="https://us3.assetplanner.com/service_request?ID=104899" xr:uid="{40661287-0C45-4199-A60D-E242FCCAFF51}"/>
    <hyperlink ref="K16" r:id="rId10" display="https://us3.assetplanner.com/service_request?ID=101656" xr:uid="{71FEA7F1-7193-45CA-87BC-4358238920DF}"/>
    <hyperlink ref="L16" r:id="rId11" display="https://us3.assetplanner.com/service_request?ID=101977" xr:uid="{8652754A-4463-43A0-8F78-C7B1046BC346}"/>
    <hyperlink ref="M16" r:id="rId12" display="https://us3.assetplanner.com/service_request?ID=103968" xr:uid="{1BFCEDA5-97B3-4C8E-BFDA-3B5C9C6B85A0}"/>
    <hyperlink ref="N16" r:id="rId13" display="https://us3.assetplanner.com/service_request?ID=103297" xr:uid="{24FA9531-ED9C-4C57-B362-EDF73606C1A7}"/>
    <hyperlink ref="O16" r:id="rId14" display="https://us3.assetplanner.com/service_request?ID=102370" xr:uid="{9D1CCA83-BACA-4F71-98AF-1F51CE7D03BC}"/>
    <hyperlink ref="P16" r:id="rId15" display="https://us3.assetplanner.com/service_request?ID=101930" xr:uid="{7F51C0F1-A28E-440B-B816-30464E3395CE}"/>
    <hyperlink ref="Q16" r:id="rId16" display="https://us3.assetplanner.com/service_request?ID=102560" xr:uid="{79F24CB5-EC53-4DAE-B39C-D4BC1FC4A48C}"/>
    <hyperlink ref="R16" r:id="rId17" display="https://us3.assetplanner.com/service_request?ID=103968" xr:uid="{FD7EB70E-F77F-4423-A30F-E4D335BE8396}"/>
    <hyperlink ref="S16" r:id="rId18" display="https://us3.assetplanner.com/service_request?ID=103297" xr:uid="{C1F1F369-5654-461D-90D1-97B5DC902907}"/>
    <hyperlink ref="T16" r:id="rId19" display="https://us3.assetplanner.com/service_request?ID=101858" xr:uid="{E8622A4F-3628-4EA0-890E-2E45620DCAA5}"/>
    <hyperlink ref="U16" r:id="rId20" display="https://us3.assetplanner.com/service_request?ID=101656" xr:uid="{485CCA98-2FBA-4934-86E9-2AF71DAAE968}"/>
    <hyperlink ref="K20" r:id="rId21" display="https://us3.assetplanner.com/service_request?ID=105512" xr:uid="{3501E78D-B944-493E-8153-91F972ABDA2A}"/>
    <hyperlink ref="L20" r:id="rId22" display="https://us3.assetplanner.com/service_request?ID=106481" xr:uid="{9CEFD374-2632-4469-93A3-CC02C8EFD20F}"/>
    <hyperlink ref="K23" r:id="rId23" display="https://us3.assetplanner.com/service_request?ID=102369" xr:uid="{2BC57EA5-52EC-44E9-937D-7925A6E624C1}"/>
    <hyperlink ref="L23" r:id="rId24" display="https://us3.assetplanner.com/service_request?ID=094678" xr:uid="{2512F3F3-F1FA-4F27-918F-8BEA9CC7618D}"/>
    <hyperlink ref="M23" r:id="rId25" display="https://us3.assetplanner.com/service_request?ID=105939" xr:uid="{BF3D12AE-EE1A-4140-97A7-B8120994A334}"/>
    <hyperlink ref="N23" r:id="rId26" display="https://us3.assetplanner.com/service_request?ID=106389" xr:uid="{45F4668A-DFC5-4C72-BAE0-50B7888C6087}"/>
    <hyperlink ref="K25" r:id="rId27" display="https://us3.assetplanner.com/service_request?ID=105454" xr:uid="{436D3213-165B-4437-8A9A-FA89AD54CEA7}"/>
    <hyperlink ref="K26" r:id="rId28" display="https://us3.assetplanner.com/service_request?ID=099517" xr:uid="{445DCBCB-4B39-4345-9773-3894BA923B23}"/>
    <hyperlink ref="L26" r:id="rId29" display="https://us3.assetplanner.com/service_request?ID=105286" xr:uid="{8AE1B62D-B4C3-49FB-A21F-8C4706036A5E}"/>
    <hyperlink ref="K27" r:id="rId30" display="https://us3.assetplanner.com/service_request?ID=103030" xr:uid="{FA924EC2-BDFA-49B5-A2AC-6AC8BD6FA8C6}"/>
    <hyperlink ref="L27" r:id="rId31" display="https://us3.assetplanner.com/service_request?ID=102263" xr:uid="{D5B4CC06-BE55-44D6-A7F2-F5D7DB3E1E9D}"/>
    <hyperlink ref="K29" r:id="rId32" display="https://us3.assetplanner.com/service_request?ID=105432" xr:uid="{6A4D1AC3-B8A0-4C14-80E0-5EB83C7479C6}"/>
    <hyperlink ref="L29" r:id="rId33" display="https://us3.assetplanner.com/service_request?ID=104357" xr:uid="{AA4EF714-F46A-4B19-8B93-B9E294C150D0}"/>
    <hyperlink ref="M29" r:id="rId34" display="https://us3.assetplanner.com/service_request?ID=106449" xr:uid="{71D79853-8F0F-47FF-AD9F-65CDE22C8B9F}"/>
    <hyperlink ref="K30" r:id="rId35" display="https://us3.assetplanner.com/service_request?ID=105926" xr:uid="{B5320F10-AB44-4ED4-87A3-FD99BE551956}"/>
    <hyperlink ref="K32" r:id="rId36" display="https://us3.assetplanner.com/service_request?ID=103402" xr:uid="{F97479EE-BB29-4ACC-A8A6-81819DA43EF4}"/>
    <hyperlink ref="L32" r:id="rId37" display="https://us3.assetplanner.com/service_request?ID=106208" xr:uid="{47383E68-E47F-4F62-8BF7-EB163D13C88E}"/>
    <hyperlink ref="K33" r:id="rId38" display="https://us3.assetplanner.com/service_request?ID=105848" xr:uid="{15879E0E-AED7-4390-A9DB-DC75C49D8ECC}"/>
    <hyperlink ref="L33" r:id="rId39" display="https://us3.assetplanner.com/service_request?ID=106347" xr:uid="{C76B00CE-4606-4EED-ADEF-662F82CBBA94}"/>
    <hyperlink ref="M33" r:id="rId40" display="https://us3.assetplanner.com/service_request?ID=106757" xr:uid="{E36028FB-19FE-4E77-BEA8-9AABDF9F6087}"/>
    <hyperlink ref="K34" r:id="rId41" display="https://us3.assetplanner.com/service_request?ID=097964" xr:uid="{C5605206-FFD7-4FAF-883D-E4386C764B90}"/>
    <hyperlink ref="L34" r:id="rId42" display="https://us3.assetplanner.com/service_request?ID=106854" xr:uid="{60A1D2CE-85D0-452F-8783-40D819880172}"/>
    <hyperlink ref="M34" r:id="rId43" display="https://us3.assetplanner.com/service_request?ID=105456" xr:uid="{B7B10C90-E628-4FCC-8516-C85BBCC01F45}"/>
    <hyperlink ref="K35" r:id="rId44" display="https://us3.assetplanner.com/service_request?ID=105470" xr:uid="{898F4D97-5E85-485E-97BD-FB3ABABF53B9}"/>
    <hyperlink ref="L35" r:id="rId45" display="https://us3.assetplanner.com/service_request?ID=106802" xr:uid="{203ABE24-EDE1-43BE-BD2C-319FB7323390}"/>
    <hyperlink ref="M35" r:id="rId46" display="https://us3.assetplanner.com/service_request?ID=107216" xr:uid="{BAD561CF-32CC-480B-8AA3-0FE76D90644C}"/>
    <hyperlink ref="K36" r:id="rId47" display="https://us3.assetplanner.com/service_request?ID=102988" xr:uid="{015D0A10-C552-43FD-9F73-A71855F3CE2F}"/>
    <hyperlink ref="L36" r:id="rId48" display="https://us3.assetplanner.com/service_request?ID=106745" xr:uid="{001C3ADB-1D50-48C1-B145-2FF7D868FB29}"/>
    <hyperlink ref="K37" r:id="rId49" display="https://us3.assetplanner.com/service_request?ID=104114" xr:uid="{A2D65BD9-2814-455B-950E-2DC8D1ECC959}"/>
    <hyperlink ref="K39" r:id="rId50" display="https://us3.assetplanner.com/service_request?ID=105384" xr:uid="{71632DDF-E2DB-451B-AF0F-27A9CB43442D}"/>
    <hyperlink ref="L39" r:id="rId51" display="https://us3.assetplanner.com/service_request?ID=105418" xr:uid="{348B8E81-8141-4342-AB35-C98F354805D2}"/>
    <hyperlink ref="M39" r:id="rId52" display="https://us3.assetplanner.com/service_request?ID=106032" xr:uid="{C56342FF-7196-4A73-82F1-F01F40175F67}"/>
    <hyperlink ref="N39" r:id="rId53" display="https://us3.assetplanner.com/service_request?ID=106053" xr:uid="{4CE71E67-DD0E-40F1-99A8-9F3DB4DDD713}"/>
    <hyperlink ref="O39" r:id="rId54" display="https://us3.assetplanner.com/service_request?ID=106783" xr:uid="{E91C7808-EE19-4A8E-9CE7-D1CB90793BE5}"/>
    <hyperlink ref="P39" r:id="rId55" display="https://us3.assetplanner.com/service_request?ID=106879" xr:uid="{CA078AA1-D7A9-4809-9E40-6570961F796F}"/>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Y342"/>
  <sheetViews>
    <sheetView tabSelected="1" zoomScale="70" zoomScaleNormal="70" workbookViewId="0">
      <pane xSplit="2" ySplit="3" topLeftCell="J36" activePane="bottomRight" state="frozen"/>
      <selection pane="bottomRight" activeCell="A4" sqref="A4:A40"/>
      <selection pane="bottomLeft" activeCell="F38" sqref="F38"/>
      <selection pane="topRight" activeCell="F38" sqref="F38"/>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25" width="8.85546875" style="78"/>
  </cols>
  <sheetData>
    <row r="1" spans="1:22" ht="19.5" customHeight="1">
      <c r="A1" s="117" t="str" cm="1">
        <f t="array" ref="A1">portfolio</f>
        <v>Greenbacker Capital</v>
      </c>
      <c r="B1" s="117"/>
      <c r="C1" s="117"/>
      <c r="D1" s="118" t="s">
        <v>452</v>
      </c>
      <c r="E1" s="118"/>
      <c r="F1" s="118"/>
      <c r="G1" s="116" t="s">
        <v>453</v>
      </c>
      <c r="H1" s="116"/>
      <c r="I1" s="116"/>
      <c r="J1" s="4"/>
      <c r="K1" s="4"/>
    </row>
    <row r="2" spans="1:22" ht="19.5" customHeight="1">
      <c r="A2" s="119" t="s">
        <v>2</v>
      </c>
      <c r="B2" s="119"/>
      <c r="C2" s="5">
        <f>SUM(C4:C100)</f>
        <v>6340752.1599933328</v>
      </c>
      <c r="D2" s="5">
        <f>SUM(D4:D100)</f>
        <v>5972550.8017999995</v>
      </c>
      <c r="E2" s="5">
        <f>C2-D2</f>
        <v>368201.35819333326</v>
      </c>
      <c r="F2" s="6">
        <f>IFERROR(E2/D2, 0)</f>
        <v>6.1648928642409409E-2</v>
      </c>
      <c r="G2" s="5">
        <f>SUM(G4:G100)</f>
        <v>5015502.07</v>
      </c>
      <c r="H2" s="7">
        <f>C2-G2</f>
        <v>1325250.0899933325</v>
      </c>
      <c r="I2" s="6">
        <f>IFERROR(H2/G2, 0)</f>
        <v>0.26423079314835823</v>
      </c>
      <c r="J2" s="26" t="str">
        <f ca="1">IF(AND(TODAY()&gt;DATE(2024, 9, 1), COUNTA(Sites[Site])&lt;&gt;(COUNT(C:C)-1)), "Some sites are missing actual data; if new sites were added, make sure they are aligned correctly (including prior months!)", "")</f>
        <v/>
      </c>
      <c r="K2" s="4"/>
    </row>
    <row r="3" spans="1:22" ht="14.25" customHeight="1">
      <c r="A3" s="8" t="s">
        <v>3</v>
      </c>
      <c r="B3" s="8" t="s">
        <v>4</v>
      </c>
      <c r="C3" s="23" t="s">
        <v>5</v>
      </c>
      <c r="D3" s="35" t="s">
        <v>6</v>
      </c>
      <c r="E3" s="35" t="s">
        <v>7</v>
      </c>
      <c r="F3" s="36" t="s">
        <v>8</v>
      </c>
      <c r="G3" s="37" t="s">
        <v>9</v>
      </c>
      <c r="H3" s="38" t="s">
        <v>7</v>
      </c>
      <c r="I3" s="39" t="s">
        <v>8</v>
      </c>
      <c r="J3" s="25" t="s">
        <v>20</v>
      </c>
      <c r="K3" s="25" t="s">
        <v>21</v>
      </c>
    </row>
    <row r="4" spans="1:22" ht="28.9">
      <c r="A4" s="32" t="str" cm="1">
        <f t="array" ref="A4:A40">Sites[Site]</f>
        <v>10 Walpole Park South</v>
      </c>
      <c r="B4" s="29" t="str" cm="1">
        <f t="array" ref="B4:B40">Sites[State]</f>
        <v>MA</v>
      </c>
      <c r="C4" s="24">
        <v>10564.375</v>
      </c>
      <c r="D4" s="13">
        <v>13929.29</v>
      </c>
      <c r="E4" s="13">
        <f>IF(AND(ISNUMBER(C4),ISNUMBER(D4)), C4-D4, "")</f>
        <v>-3364.9150000000009</v>
      </c>
      <c r="F4" s="14">
        <f>IFERROR(E4/D4, "")</f>
        <v>-0.24157117843048717</v>
      </c>
      <c r="G4" s="15">
        <v>16848.3</v>
      </c>
      <c r="H4" s="15">
        <f>IF(AND(ISNUMBER(C4),ISNUMBER(G4)), C4-G4, "")</f>
        <v>-6283.9249999999993</v>
      </c>
      <c r="I4" s="16">
        <f>IFERROR(H4/G4, "")</f>
        <v>-0.37297086352925812</v>
      </c>
      <c r="J4" s="40" t="s">
        <v>293</v>
      </c>
      <c r="K4" s="75" t="s">
        <v>454</v>
      </c>
    </row>
    <row r="5" spans="1:22" ht="15.6">
      <c r="A5" s="30" t="str">
        <v>15 Walpole Park South</v>
      </c>
      <c r="B5" s="31" t="str">
        <v>MA</v>
      </c>
      <c r="C5" s="11">
        <v>58525</v>
      </c>
      <c r="D5" s="18">
        <v>54976.3</v>
      </c>
      <c r="E5" s="18">
        <f t="shared" ref="E5:E39" si="0">IF(AND(ISNUMBER(C5),ISNUMBER(D5)), C5-D5, "")</f>
        <v>3548.6999999999971</v>
      </c>
      <c r="F5" s="19">
        <f>IFERROR(E5/D5, "")</f>
        <v>6.4549633205581256E-2</v>
      </c>
      <c r="G5" s="20">
        <v>59153.25</v>
      </c>
      <c r="H5" s="20">
        <f t="shared" ref="H5:H39" si="1">IF(AND(ISNUMBER(C5),ISNUMBER(G5)), C5-G5, "")</f>
        <v>-628.25</v>
      </c>
      <c r="I5" s="19">
        <f t="shared" ref="I5:I39" si="2">IFERROR(H5/G5, "")</f>
        <v>-1.0620718219201819E-2</v>
      </c>
      <c r="J5" s="41"/>
      <c r="K5" s="41"/>
    </row>
    <row r="6" spans="1:22" ht="15.6">
      <c r="A6" s="28" t="str">
        <v>19 Walpole Park South</v>
      </c>
      <c r="B6" s="29" t="str">
        <v>MA</v>
      </c>
      <c r="C6" s="24">
        <v>35674.75</v>
      </c>
      <c r="D6" s="13">
        <v>33358.93</v>
      </c>
      <c r="E6" s="13">
        <f t="shared" si="0"/>
        <v>2315.8199999999997</v>
      </c>
      <c r="F6" s="14">
        <f t="shared" ref="F6:F39" si="3">IFERROR(E6/D6, "")</f>
        <v>6.9421291390341353E-2</v>
      </c>
      <c r="G6" s="15">
        <v>37705.949999999997</v>
      </c>
      <c r="H6" s="15">
        <f t="shared" si="1"/>
        <v>-2031.1999999999971</v>
      </c>
      <c r="I6" s="16">
        <f t="shared" si="2"/>
        <v>-5.386948213743447E-2</v>
      </c>
      <c r="J6" s="40" t="s">
        <v>455</v>
      </c>
      <c r="K6" s="75" t="s">
        <v>456</v>
      </c>
    </row>
    <row r="7" spans="1:22" ht="15.6">
      <c r="A7" s="30" t="str">
        <v>23 Walpole Park South</v>
      </c>
      <c r="B7" s="31" t="str">
        <v>MA</v>
      </c>
      <c r="C7" s="11">
        <v>45093</v>
      </c>
      <c r="D7" s="18">
        <v>44172.32</v>
      </c>
      <c r="E7" s="18">
        <f t="shared" si="0"/>
        <v>920.68000000000029</v>
      </c>
      <c r="F7" s="19">
        <f t="shared" si="3"/>
        <v>2.0842917012282813E-2</v>
      </c>
      <c r="G7" s="20">
        <v>49439.78</v>
      </c>
      <c r="H7" s="20">
        <f t="shared" si="1"/>
        <v>-4346.7799999999988</v>
      </c>
      <c r="I7" s="19">
        <f t="shared" si="2"/>
        <v>-8.7920698676248132E-2</v>
      </c>
      <c r="J7" s="56" t="s">
        <v>457</v>
      </c>
      <c r="K7" s="74" t="s">
        <v>347</v>
      </c>
    </row>
    <row r="8" spans="1:22" ht="60.75" customHeight="1">
      <c r="A8" s="28" t="str">
        <v>24 Walpole Park South</v>
      </c>
      <c r="B8" s="29" t="str">
        <v>MA</v>
      </c>
      <c r="C8" s="24">
        <v>65495</v>
      </c>
      <c r="D8" s="13">
        <v>60021.07</v>
      </c>
      <c r="E8" s="13">
        <f t="shared" si="0"/>
        <v>5473.93</v>
      </c>
      <c r="F8" s="14">
        <f t="shared" si="3"/>
        <v>9.1200140217426992E-2</v>
      </c>
      <c r="G8" s="15">
        <v>76050.02</v>
      </c>
      <c r="H8" s="15">
        <f t="shared" si="1"/>
        <v>-10555.020000000004</v>
      </c>
      <c r="I8" s="16">
        <f t="shared" si="2"/>
        <v>-0.13879049604457702</v>
      </c>
      <c r="J8" s="40" t="s">
        <v>458</v>
      </c>
      <c r="K8" s="75" t="s">
        <v>459</v>
      </c>
      <c r="L8" s="79" t="s">
        <v>397</v>
      </c>
      <c r="M8" s="79" t="s">
        <v>460</v>
      </c>
    </row>
    <row r="9" spans="1:22" ht="72">
      <c r="A9" s="30" t="str">
        <v>25 Walpole Park South</v>
      </c>
      <c r="B9" s="31" t="str">
        <v>MA</v>
      </c>
      <c r="C9" s="11">
        <v>66335.5</v>
      </c>
      <c r="D9" s="18">
        <v>66584.44</v>
      </c>
      <c r="E9" s="18">
        <f t="shared" si="0"/>
        <v>-248.94000000000233</v>
      </c>
      <c r="F9" s="19">
        <f t="shared" si="3"/>
        <v>-3.7387113265502018E-3</v>
      </c>
      <c r="G9" s="20">
        <v>77019.429999999993</v>
      </c>
      <c r="H9" s="20">
        <f t="shared" si="1"/>
        <v>-10683.929999999993</v>
      </c>
      <c r="I9" s="19">
        <f t="shared" si="2"/>
        <v>-0.13871733405453654</v>
      </c>
      <c r="J9" s="98" t="s">
        <v>461</v>
      </c>
      <c r="K9" s="77" t="s">
        <v>462</v>
      </c>
      <c r="L9" s="79" t="s">
        <v>401</v>
      </c>
      <c r="M9" s="79" t="s">
        <v>463</v>
      </c>
      <c r="N9" s="79" t="s">
        <v>464</v>
      </c>
    </row>
    <row r="10" spans="1:22" ht="28.9">
      <c r="A10" s="28" t="str">
        <v>3 Walpole Park South</v>
      </c>
      <c r="B10" s="29" t="str">
        <v>MA</v>
      </c>
      <c r="C10" s="24">
        <v>85748</v>
      </c>
      <c r="D10" s="13">
        <v>83450.009999999995</v>
      </c>
      <c r="E10" s="13">
        <f t="shared" si="0"/>
        <v>2297.9900000000052</v>
      </c>
      <c r="F10" s="14">
        <f t="shared" si="3"/>
        <v>2.7537324441303308E-2</v>
      </c>
      <c r="G10" s="15">
        <v>91124.3</v>
      </c>
      <c r="H10" s="15">
        <f t="shared" si="1"/>
        <v>-5376.3000000000029</v>
      </c>
      <c r="I10" s="16">
        <f t="shared" si="2"/>
        <v>-5.8999630175485603E-2</v>
      </c>
      <c r="J10" s="40" t="s">
        <v>465</v>
      </c>
      <c r="K10" s="75" t="s">
        <v>466</v>
      </c>
    </row>
    <row r="11" spans="1:22" ht="15.6">
      <c r="A11" s="30" t="str">
        <v>4 Walpole Park South</v>
      </c>
      <c r="B11" s="31" t="str">
        <v>MA</v>
      </c>
      <c r="C11" s="11">
        <v>50873.5</v>
      </c>
      <c r="D11" s="18">
        <v>47286.559999999998</v>
      </c>
      <c r="E11" s="18">
        <f t="shared" si="0"/>
        <v>3586.9400000000023</v>
      </c>
      <c r="F11" s="19">
        <f t="shared" si="3"/>
        <v>7.5855380471745087E-2</v>
      </c>
      <c r="G11" s="20">
        <v>51223.49</v>
      </c>
      <c r="H11" s="20">
        <f t="shared" si="1"/>
        <v>-349.98999999999796</v>
      </c>
      <c r="I11" s="19">
        <f t="shared" si="2"/>
        <v>-6.8326074619280723E-3</v>
      </c>
      <c r="J11" s="41"/>
      <c r="K11" s="42"/>
    </row>
    <row r="12" spans="1:22" ht="43.15">
      <c r="A12" s="28" t="str">
        <v>Brockton</v>
      </c>
      <c r="B12" s="29" t="str">
        <v>MA</v>
      </c>
      <c r="C12" s="24">
        <v>78254.5</v>
      </c>
      <c r="D12" s="13">
        <v>69953.94</v>
      </c>
      <c r="E12" s="13">
        <f t="shared" si="0"/>
        <v>8300.5599999999977</v>
      </c>
      <c r="F12" s="14">
        <f t="shared" si="3"/>
        <v>0.11865750520985661</v>
      </c>
      <c r="G12" s="15">
        <v>81891.460000000006</v>
      </c>
      <c r="H12" s="15">
        <f t="shared" si="1"/>
        <v>-3636.9600000000064</v>
      </c>
      <c r="I12" s="16">
        <f t="shared" si="2"/>
        <v>-4.4411956997713879E-2</v>
      </c>
      <c r="J12" s="40" t="s">
        <v>467</v>
      </c>
      <c r="K12" s="75" t="s">
        <v>468</v>
      </c>
      <c r="L12" s="79" t="s">
        <v>469</v>
      </c>
    </row>
    <row r="13" spans="1:22" ht="15.6">
      <c r="A13" s="30" t="str">
        <v>Canton</v>
      </c>
      <c r="B13" s="31" t="str">
        <v>MA</v>
      </c>
      <c r="C13" s="11">
        <v>80471.5</v>
      </c>
      <c r="D13" s="18">
        <v>73835.69</v>
      </c>
      <c r="E13" s="18">
        <f t="shared" si="0"/>
        <v>6635.8099999999977</v>
      </c>
      <c r="F13" s="19">
        <f t="shared" si="3"/>
        <v>8.9872661852283056E-2</v>
      </c>
      <c r="G13" s="20">
        <v>81824.2</v>
      </c>
      <c r="H13" s="20">
        <f t="shared" si="1"/>
        <v>-1352.6999999999971</v>
      </c>
      <c r="I13" s="19">
        <f t="shared" si="2"/>
        <v>-1.6531783995443857E-2</v>
      </c>
      <c r="J13" s="41"/>
      <c r="K13" s="55"/>
    </row>
    <row r="14" spans="1:22" ht="28.9">
      <c r="A14" s="28" t="str">
        <v>Chelsea</v>
      </c>
      <c r="B14" s="29" t="str">
        <v>MA</v>
      </c>
      <c r="C14" s="24">
        <v>139695</v>
      </c>
      <c r="D14" s="13">
        <v>131373.5</v>
      </c>
      <c r="E14" s="13">
        <f t="shared" si="0"/>
        <v>8321.5</v>
      </c>
      <c r="F14" s="14">
        <f t="shared" si="3"/>
        <v>6.3342302671391112E-2</v>
      </c>
      <c r="G14" s="15">
        <v>133656.20000000001</v>
      </c>
      <c r="H14" s="15">
        <f t="shared" si="1"/>
        <v>6038.7999999999884</v>
      </c>
      <c r="I14" s="16">
        <f t="shared" si="2"/>
        <v>4.5181592773099848E-2</v>
      </c>
      <c r="J14" s="40" t="s">
        <v>402</v>
      </c>
      <c r="K14" s="75" t="s">
        <v>403</v>
      </c>
    </row>
    <row r="15" spans="1:22" ht="15.6">
      <c r="A15" s="30" t="str">
        <v>Hamilton Landfill</v>
      </c>
      <c r="B15" s="31" t="str">
        <v>MA</v>
      </c>
      <c r="C15" s="11">
        <v>114634.027</v>
      </c>
      <c r="D15" s="18">
        <v>123303.04399999999</v>
      </c>
      <c r="E15" s="18">
        <f t="shared" si="0"/>
        <v>-8669.0169999999925</v>
      </c>
      <c r="F15" s="19">
        <f t="shared" si="3"/>
        <v>-7.0306593566335576E-2</v>
      </c>
      <c r="G15" s="89" t="s">
        <v>201</v>
      </c>
      <c r="H15" s="20" t="str">
        <f t="shared" si="1"/>
        <v/>
      </c>
      <c r="I15" s="19" t="str">
        <f t="shared" si="2"/>
        <v/>
      </c>
      <c r="J15" s="41"/>
      <c r="K15" s="42"/>
    </row>
    <row r="16" spans="1:22" ht="163.5" customHeight="1">
      <c r="A16" s="28" t="str">
        <v>Holliston</v>
      </c>
      <c r="B16" s="29" t="str">
        <v>MA</v>
      </c>
      <c r="C16" s="24">
        <v>158650</v>
      </c>
      <c r="D16" s="13">
        <v>210529.6</v>
      </c>
      <c r="E16" s="13">
        <f t="shared" si="0"/>
        <v>-51879.600000000006</v>
      </c>
      <c r="F16" s="14">
        <f t="shared" si="3"/>
        <v>-0.24642425578160984</v>
      </c>
      <c r="G16" s="15">
        <v>209161.8</v>
      </c>
      <c r="H16" s="15">
        <f t="shared" si="1"/>
        <v>-50511.799999999988</v>
      </c>
      <c r="I16" s="16">
        <f t="shared" si="2"/>
        <v>-0.24149629616880325</v>
      </c>
      <c r="J16" s="40" t="s">
        <v>470</v>
      </c>
      <c r="K16" s="75" t="s">
        <v>471</v>
      </c>
      <c r="L16" s="79" t="s">
        <v>361</v>
      </c>
      <c r="M16" s="79" t="s">
        <v>305</v>
      </c>
      <c r="N16" s="79" t="s">
        <v>303</v>
      </c>
      <c r="O16" s="79" t="s">
        <v>244</v>
      </c>
      <c r="P16" s="79" t="s">
        <v>472</v>
      </c>
      <c r="Q16" s="79" t="s">
        <v>473</v>
      </c>
      <c r="R16" s="79" t="s">
        <v>304</v>
      </c>
      <c r="S16" s="79" t="s">
        <v>361</v>
      </c>
      <c r="T16" s="79" t="s">
        <v>305</v>
      </c>
      <c r="U16" s="79" t="s">
        <v>243</v>
      </c>
      <c r="V16" s="79" t="s">
        <v>474</v>
      </c>
    </row>
    <row r="17" spans="1:15" ht="15.6">
      <c r="A17" s="30" t="str">
        <v>Natick HS - Carports</v>
      </c>
      <c r="B17" s="31" t="str">
        <v>MA</v>
      </c>
      <c r="C17" s="11">
        <v>67420.146999999997</v>
      </c>
      <c r="D17" s="18">
        <v>78902.86</v>
      </c>
      <c r="E17" s="18">
        <f t="shared" si="0"/>
        <v>-11482.713000000003</v>
      </c>
      <c r="F17" s="19">
        <f t="shared" si="3"/>
        <v>-0.14552974378875497</v>
      </c>
      <c r="G17" s="89" t="s">
        <v>201</v>
      </c>
      <c r="H17" s="20" t="str">
        <f t="shared" si="1"/>
        <v/>
      </c>
      <c r="I17" s="19" t="str">
        <f t="shared" si="2"/>
        <v/>
      </c>
      <c r="J17" s="92" t="s">
        <v>362</v>
      </c>
      <c r="K17" s="76" t="s">
        <v>475</v>
      </c>
    </row>
    <row r="18" spans="1:15" ht="27" customHeight="1">
      <c r="A18" s="32" t="str">
        <v>Norton</v>
      </c>
      <c r="B18" s="29" t="str">
        <v>MA</v>
      </c>
      <c r="C18" s="24">
        <v>203546</v>
      </c>
      <c r="D18" s="13">
        <v>365507.2</v>
      </c>
      <c r="E18" s="13">
        <f t="shared" si="0"/>
        <v>-161961.20000000001</v>
      </c>
      <c r="F18" s="14">
        <f t="shared" si="3"/>
        <v>-0.443113569308621</v>
      </c>
      <c r="G18" s="15">
        <v>438440.9</v>
      </c>
      <c r="H18" s="15">
        <f t="shared" si="1"/>
        <v>-234894.90000000002</v>
      </c>
      <c r="I18" s="16">
        <f t="shared" si="2"/>
        <v>-0.5357504283929716</v>
      </c>
      <c r="J18" s="40" t="s">
        <v>406</v>
      </c>
      <c r="K18" s="40" t="s">
        <v>476</v>
      </c>
    </row>
    <row r="19" spans="1:15" ht="15.6">
      <c r="A19" s="30" t="str">
        <v>Palmer - Boston Rd.</v>
      </c>
      <c r="B19" s="31" t="str">
        <v>MA</v>
      </c>
      <c r="C19" s="11">
        <v>73867</v>
      </c>
      <c r="D19" s="18">
        <v>72324.28</v>
      </c>
      <c r="E19" s="18">
        <f t="shared" si="0"/>
        <v>1542.7200000000012</v>
      </c>
      <c r="F19" s="19">
        <f t="shared" si="3"/>
        <v>2.1330596032203861E-2</v>
      </c>
      <c r="G19" s="20">
        <v>71143</v>
      </c>
      <c r="H19" s="20">
        <f t="shared" si="1"/>
        <v>2724</v>
      </c>
      <c r="I19" s="19">
        <f t="shared" si="2"/>
        <v>3.8289079740803734E-2</v>
      </c>
      <c r="J19" s="41" t="s">
        <v>477</v>
      </c>
      <c r="K19" s="76" t="s">
        <v>478</v>
      </c>
    </row>
    <row r="20" spans="1:15" ht="72">
      <c r="A20" s="28" t="str">
        <v>Shirley Bartkus</v>
      </c>
      <c r="B20" s="29" t="str">
        <v>MA</v>
      </c>
      <c r="C20" s="24">
        <v>115864</v>
      </c>
      <c r="D20" s="13">
        <v>110180.6</v>
      </c>
      <c r="E20" s="13">
        <f t="shared" si="0"/>
        <v>5683.3999999999942</v>
      </c>
      <c r="F20" s="14">
        <f t="shared" si="3"/>
        <v>5.158258350381096E-2</v>
      </c>
      <c r="G20" s="15">
        <v>107941</v>
      </c>
      <c r="H20" s="15">
        <f t="shared" si="1"/>
        <v>7923</v>
      </c>
      <c r="I20" s="16">
        <f t="shared" si="2"/>
        <v>7.3401209920234203E-2</v>
      </c>
      <c r="J20" s="40" t="s">
        <v>479</v>
      </c>
      <c r="K20" s="75" t="s">
        <v>480</v>
      </c>
      <c r="L20" s="79" t="s">
        <v>481</v>
      </c>
      <c r="M20" s="79" t="s">
        <v>482</v>
      </c>
    </row>
    <row r="21" spans="1:15" ht="57.6">
      <c r="A21" s="30" t="str">
        <v>Stoughton</v>
      </c>
      <c r="B21" s="31" t="str">
        <v>MA</v>
      </c>
      <c r="C21" s="11">
        <v>90428</v>
      </c>
      <c r="D21" s="18">
        <v>50217.81</v>
      </c>
      <c r="E21" s="18">
        <f t="shared" si="0"/>
        <v>40210.19</v>
      </c>
      <c r="F21" s="19">
        <f t="shared" si="3"/>
        <v>0.80071572217107845</v>
      </c>
      <c r="G21" s="20">
        <v>91463.23</v>
      </c>
      <c r="H21" s="20">
        <f t="shared" si="1"/>
        <v>-1035.2299999999959</v>
      </c>
      <c r="I21" s="19">
        <f t="shared" si="2"/>
        <v>-1.1318537515021019E-2</v>
      </c>
      <c r="J21" s="41" t="s">
        <v>483</v>
      </c>
      <c r="K21" s="77" t="s">
        <v>484</v>
      </c>
    </row>
    <row r="22" spans="1:15" ht="28.9">
      <c r="A22" s="28" t="str">
        <v>Wellfleet Landfill</v>
      </c>
      <c r="B22" s="29" t="str">
        <v>MA</v>
      </c>
      <c r="C22" s="24">
        <v>113153.802</v>
      </c>
      <c r="D22" s="13">
        <v>126182.568</v>
      </c>
      <c r="E22" s="13">
        <f t="shared" si="0"/>
        <v>-13028.766000000003</v>
      </c>
      <c r="F22" s="14">
        <f t="shared" si="3"/>
        <v>-0.10325329565332672</v>
      </c>
      <c r="G22" s="88" t="s">
        <v>201</v>
      </c>
      <c r="H22" s="15" t="str">
        <f t="shared" si="1"/>
        <v/>
      </c>
      <c r="I22" s="16" t="str">
        <f t="shared" si="2"/>
        <v/>
      </c>
      <c r="J22" s="40" t="s">
        <v>485</v>
      </c>
      <c r="K22" s="75" t="s">
        <v>486</v>
      </c>
      <c r="L22" s="79" t="s">
        <v>487</v>
      </c>
    </row>
    <row r="23" spans="1:15" ht="57.6">
      <c r="A23" s="30" t="str">
        <v>Wilmington Garage &amp; Building 7</v>
      </c>
      <c r="B23" s="31" t="str">
        <v>MA</v>
      </c>
      <c r="C23" s="11">
        <v>117091.125</v>
      </c>
      <c r="D23" s="18">
        <v>132382.39999999999</v>
      </c>
      <c r="E23" s="18">
        <f t="shared" si="0"/>
        <v>-15291.274999999994</v>
      </c>
      <c r="F23" s="19">
        <f t="shared" si="3"/>
        <v>-0.11550836818187309</v>
      </c>
      <c r="G23" s="20">
        <v>134597.20000000001</v>
      </c>
      <c r="H23" s="20">
        <f t="shared" si="1"/>
        <v>-17506.075000000012</v>
      </c>
      <c r="I23" s="19">
        <f t="shared" si="2"/>
        <v>-0.13006269818391475</v>
      </c>
      <c r="J23" s="41" t="s">
        <v>412</v>
      </c>
      <c r="K23" s="76" t="s">
        <v>413</v>
      </c>
      <c r="L23" s="79" t="s">
        <v>261</v>
      </c>
      <c r="M23" s="79" t="s">
        <v>414</v>
      </c>
      <c r="N23" s="79" t="s">
        <v>415</v>
      </c>
    </row>
    <row r="24" spans="1:15" ht="15.6">
      <c r="A24" s="28" t="str">
        <v>Woburn</v>
      </c>
      <c r="B24" s="29" t="str">
        <v>MA</v>
      </c>
      <c r="C24" s="24">
        <v>197063</v>
      </c>
      <c r="D24" s="13">
        <v>195066.4</v>
      </c>
      <c r="E24" s="13">
        <f t="shared" si="0"/>
        <v>1996.6000000000058</v>
      </c>
      <c r="F24" s="14">
        <f t="shared" si="3"/>
        <v>1.023548904373078E-2</v>
      </c>
      <c r="G24" s="15">
        <v>202190.5</v>
      </c>
      <c r="H24" s="15">
        <f t="shared" si="1"/>
        <v>-5127.5</v>
      </c>
      <c r="I24" s="16">
        <f t="shared" si="2"/>
        <v>-2.5359747366963333E-2</v>
      </c>
      <c r="J24" s="40" t="s">
        <v>488</v>
      </c>
      <c r="K24" s="75" t="s">
        <v>489</v>
      </c>
    </row>
    <row r="25" spans="1:15" ht="15.6">
      <c r="A25" s="30" t="str">
        <v>Friendship Solar 1</v>
      </c>
      <c r="B25" s="31" t="str">
        <v>MD</v>
      </c>
      <c r="C25" s="11">
        <v>386559</v>
      </c>
      <c r="D25" s="18">
        <v>403836.9</v>
      </c>
      <c r="E25" s="18">
        <f t="shared" si="0"/>
        <v>-17277.900000000023</v>
      </c>
      <c r="F25" s="19">
        <f t="shared" si="3"/>
        <v>-4.2784351801432766E-2</v>
      </c>
      <c r="G25" s="20">
        <v>447372.2</v>
      </c>
      <c r="H25" s="20">
        <f t="shared" si="1"/>
        <v>-60813.200000000012</v>
      </c>
      <c r="I25" s="19">
        <f t="shared" si="2"/>
        <v>-0.13593423999077281</v>
      </c>
      <c r="J25" s="56" t="s">
        <v>490</v>
      </c>
      <c r="K25" s="77" t="s">
        <v>491</v>
      </c>
    </row>
    <row r="26" spans="1:15" ht="15.6">
      <c r="A26" s="28" t="str">
        <v>Friendship Solar 2</v>
      </c>
      <c r="B26" s="29" t="str">
        <v>MD</v>
      </c>
      <c r="C26" s="24">
        <v>387916</v>
      </c>
      <c r="D26" s="13">
        <v>405034.6</v>
      </c>
      <c r="E26" s="13">
        <f t="shared" si="0"/>
        <v>-17118.599999999977</v>
      </c>
      <c r="F26" s="14">
        <f t="shared" si="3"/>
        <v>-4.2264537400014658E-2</v>
      </c>
      <c r="G26" s="15">
        <v>415638.7</v>
      </c>
      <c r="H26" s="15">
        <f t="shared" si="1"/>
        <v>-27722.700000000012</v>
      </c>
      <c r="I26" s="16">
        <f t="shared" si="2"/>
        <v>-6.669903452205006E-2</v>
      </c>
      <c r="J26" s="40"/>
      <c r="K26" s="40"/>
    </row>
    <row r="27" spans="1:15" ht="28.9">
      <c r="A27" s="30" t="str">
        <v>101 Carnegie Center</v>
      </c>
      <c r="B27" s="31" t="str">
        <v>NJ</v>
      </c>
      <c r="C27" s="11">
        <v>0</v>
      </c>
      <c r="D27" s="18">
        <v>0</v>
      </c>
      <c r="E27" s="18">
        <f t="shared" si="0"/>
        <v>0</v>
      </c>
      <c r="F27" s="19" t="str">
        <f t="shared" si="3"/>
        <v/>
      </c>
      <c r="G27" s="20">
        <v>0</v>
      </c>
      <c r="H27" s="20">
        <f t="shared" si="1"/>
        <v>0</v>
      </c>
      <c r="I27" s="19" t="str">
        <f t="shared" si="2"/>
        <v/>
      </c>
      <c r="J27" s="41" t="s">
        <v>324</v>
      </c>
      <c r="K27" s="76" t="s">
        <v>325</v>
      </c>
      <c r="L27" s="79" t="s">
        <v>267</v>
      </c>
    </row>
    <row r="28" spans="1:15" ht="15.6">
      <c r="A28" s="28" t="str">
        <v>302 Carnegie Center</v>
      </c>
      <c r="B28" s="29" t="str">
        <v>NJ</v>
      </c>
      <c r="C28" s="24">
        <v>73308.7</v>
      </c>
      <c r="D28" s="13">
        <v>72009.104999999996</v>
      </c>
      <c r="E28" s="13">
        <f t="shared" si="0"/>
        <v>1299.5950000000012</v>
      </c>
      <c r="F28" s="14">
        <f t="shared" si="3"/>
        <v>1.8047648280033492E-2</v>
      </c>
      <c r="G28" s="15"/>
      <c r="H28" s="15" t="str">
        <f t="shared" si="1"/>
        <v/>
      </c>
      <c r="I28" s="16" t="str">
        <f t="shared" si="2"/>
        <v/>
      </c>
      <c r="J28" s="40"/>
      <c r="K28" s="40"/>
    </row>
    <row r="29" spans="1:15" ht="100.9">
      <c r="A29" s="30" t="str">
        <v>510 Carnegie Center</v>
      </c>
      <c r="B29" s="31" t="str">
        <v>NJ</v>
      </c>
      <c r="C29" s="11">
        <v>200411.8</v>
      </c>
      <c r="D29" s="18">
        <v>175961.95</v>
      </c>
      <c r="E29" s="18">
        <f t="shared" si="0"/>
        <v>24449.849999999977</v>
      </c>
      <c r="F29" s="19">
        <f t="shared" si="3"/>
        <v>0.13894964223799505</v>
      </c>
      <c r="G29" s="89" t="s">
        <v>201</v>
      </c>
      <c r="H29" s="20" t="str">
        <f t="shared" si="1"/>
        <v/>
      </c>
      <c r="I29" s="19" t="str">
        <f t="shared" si="2"/>
        <v/>
      </c>
      <c r="J29" s="41" t="s">
        <v>492</v>
      </c>
      <c r="K29" s="77" t="s">
        <v>493</v>
      </c>
      <c r="L29" s="79" t="s">
        <v>421</v>
      </c>
      <c r="M29" s="79" t="s">
        <v>422</v>
      </c>
      <c r="N29" s="79" t="s">
        <v>494</v>
      </c>
      <c r="O29" s="79" t="s">
        <v>495</v>
      </c>
    </row>
    <row r="30" spans="1:15" ht="15.6">
      <c r="A30" s="28" t="str">
        <v>701 Carnegie Center</v>
      </c>
      <c r="B30" s="29" t="str">
        <v>NJ</v>
      </c>
      <c r="C30" s="24">
        <v>138641.57500000001</v>
      </c>
      <c r="D30" s="13">
        <v>159917.92000000001</v>
      </c>
      <c r="E30" s="13">
        <f t="shared" si="0"/>
        <v>-21276.345000000001</v>
      </c>
      <c r="F30" s="14">
        <f t="shared" si="3"/>
        <v>-0.13304540854458335</v>
      </c>
      <c r="G30" s="88" t="s">
        <v>201</v>
      </c>
      <c r="H30" s="15" t="str">
        <f t="shared" si="1"/>
        <v/>
      </c>
      <c r="I30" s="16" t="str">
        <f t="shared" si="2"/>
        <v/>
      </c>
      <c r="J30" s="40" t="s">
        <v>496</v>
      </c>
      <c r="K30" s="75" t="s">
        <v>497</v>
      </c>
    </row>
    <row r="31" spans="1:15" ht="15.6">
      <c r="A31" s="30" t="str">
        <v>Hudson County Correction</v>
      </c>
      <c r="B31" s="31" t="str">
        <v>NJ</v>
      </c>
      <c r="C31" s="11">
        <v>189561.43099333299</v>
      </c>
      <c r="D31" s="18">
        <v>197555.6</v>
      </c>
      <c r="E31" s="18">
        <f t="shared" si="0"/>
        <v>-7994.1690066670126</v>
      </c>
      <c r="F31" s="19">
        <f t="shared" si="3"/>
        <v>-4.0465413314869393E-2</v>
      </c>
      <c r="G31" s="20">
        <v>202085.7</v>
      </c>
      <c r="H31" s="20">
        <f t="shared" si="1"/>
        <v>-12524.269006667018</v>
      </c>
      <c r="I31" s="19">
        <f t="shared" si="2"/>
        <v>-6.1975038345944408E-2</v>
      </c>
      <c r="J31" s="41"/>
      <c r="K31" s="42"/>
    </row>
    <row r="32" spans="1:15" ht="57.6">
      <c r="A32" s="28" t="str">
        <v>ER Bison Solar</v>
      </c>
      <c r="B32" s="29" t="str">
        <v>PA</v>
      </c>
      <c r="C32" s="24">
        <v>183075</v>
      </c>
      <c r="D32" s="13">
        <v>0</v>
      </c>
      <c r="E32" s="13">
        <f t="shared" si="0"/>
        <v>183075</v>
      </c>
      <c r="F32" s="14" t="str">
        <f t="shared" si="3"/>
        <v/>
      </c>
      <c r="G32" s="15">
        <v>194972</v>
      </c>
      <c r="H32" s="15">
        <f t="shared" si="1"/>
        <v>-11897</v>
      </c>
      <c r="I32" s="16">
        <f t="shared" si="2"/>
        <v>-6.1019018115421701E-2</v>
      </c>
      <c r="J32" s="40" t="s">
        <v>498</v>
      </c>
      <c r="K32" s="75" t="s">
        <v>426</v>
      </c>
      <c r="L32" s="79" t="s">
        <v>427</v>
      </c>
    </row>
    <row r="33" spans="1:14" ht="72">
      <c r="A33" s="30" t="str">
        <v>Danville</v>
      </c>
      <c r="B33" s="31" t="str">
        <v>IL</v>
      </c>
      <c r="C33" s="11">
        <v>392268.424</v>
      </c>
      <c r="D33" s="18" t="s">
        <v>201</v>
      </c>
      <c r="E33" s="18" t="str">
        <f t="shared" si="0"/>
        <v/>
      </c>
      <c r="F33" s="19" t="str">
        <f t="shared" si="3"/>
        <v/>
      </c>
      <c r="G33" s="89" t="s">
        <v>201</v>
      </c>
      <c r="H33" s="20" t="str">
        <f t="shared" si="1"/>
        <v/>
      </c>
      <c r="I33" s="19" t="str">
        <f t="shared" si="2"/>
        <v/>
      </c>
      <c r="J33" s="57" t="s">
        <v>499</v>
      </c>
      <c r="K33" s="77" t="s">
        <v>500</v>
      </c>
    </row>
    <row r="34" spans="1:14" ht="115.15">
      <c r="A34" s="28" t="str">
        <v>Camden - Campbell Soup HQ</v>
      </c>
      <c r="B34" s="29" t="str">
        <v>NJ</v>
      </c>
      <c r="C34" s="24">
        <v>283493</v>
      </c>
      <c r="D34" s="13">
        <v>493236.8088</v>
      </c>
      <c r="E34" s="13">
        <f t="shared" si="0"/>
        <v>-209743.8088</v>
      </c>
      <c r="F34" s="14">
        <f t="shared" si="3"/>
        <v>-0.42523957064414453</v>
      </c>
      <c r="G34" s="15">
        <v>453102.96</v>
      </c>
      <c r="H34" s="15">
        <f t="shared" si="1"/>
        <v>-169609.96000000002</v>
      </c>
      <c r="I34" s="16">
        <f t="shared" si="2"/>
        <v>-0.37432984326564545</v>
      </c>
      <c r="J34" s="40" t="s">
        <v>501</v>
      </c>
      <c r="K34" s="75" t="s">
        <v>502</v>
      </c>
      <c r="L34" s="79" t="s">
        <v>434</v>
      </c>
      <c r="M34" s="79" t="s">
        <v>386</v>
      </c>
      <c r="N34" s="79" t="s">
        <v>503</v>
      </c>
    </row>
    <row r="35" spans="1:14" ht="28.9">
      <c r="A35" s="30" t="str">
        <v>Westport - Pine Hill</v>
      </c>
      <c r="B35" s="31" t="str">
        <v>MA</v>
      </c>
      <c r="C35" s="11">
        <v>507362</v>
      </c>
      <c r="D35" s="18" t="s">
        <v>201</v>
      </c>
      <c r="E35" s="18" t="str">
        <f t="shared" si="0"/>
        <v/>
      </c>
      <c r="F35" s="19" t="str">
        <f t="shared" si="3"/>
        <v/>
      </c>
      <c r="G35" s="20">
        <v>563165</v>
      </c>
      <c r="H35" s="20">
        <f t="shared" si="1"/>
        <v>-55803</v>
      </c>
      <c r="I35" s="19">
        <f t="shared" si="2"/>
        <v>-9.9088189074250002E-2</v>
      </c>
      <c r="J35" s="57" t="s">
        <v>504</v>
      </c>
      <c r="K35" s="77" t="s">
        <v>505</v>
      </c>
      <c r="L35" s="79" t="s">
        <v>506</v>
      </c>
    </row>
    <row r="36" spans="1:14" ht="115.15">
      <c r="A36" s="28" t="str">
        <v>Oaks Landfill - ANEM</v>
      </c>
      <c r="B36" s="29" t="str">
        <v>MD</v>
      </c>
      <c r="C36" s="24">
        <v>297180.30499999999</v>
      </c>
      <c r="D36" s="13">
        <v>342791.67700000003</v>
      </c>
      <c r="E36" s="13">
        <f t="shared" si="0"/>
        <v>-45611.372000000032</v>
      </c>
      <c r="F36" s="14">
        <f t="shared" si="3"/>
        <v>-0.13305857481481392</v>
      </c>
      <c r="G36" s="97" t="s">
        <v>201</v>
      </c>
      <c r="H36" s="15" t="str">
        <f t="shared" si="1"/>
        <v/>
      </c>
      <c r="I36" s="16" t="str">
        <f t="shared" si="2"/>
        <v/>
      </c>
      <c r="J36" s="40" t="s">
        <v>507</v>
      </c>
      <c r="K36" s="75" t="s">
        <v>508</v>
      </c>
      <c r="L36" s="79" t="s">
        <v>441</v>
      </c>
      <c r="M36" s="79" t="s">
        <v>509</v>
      </c>
      <c r="N36" s="79" t="s">
        <v>510</v>
      </c>
    </row>
    <row r="37" spans="1:14" ht="43.15">
      <c r="A37" s="30" t="str">
        <v>Oaks Landfill - CS2</v>
      </c>
      <c r="B37" s="31" t="str">
        <v>MD</v>
      </c>
      <c r="C37" s="11">
        <v>319431.67200000002</v>
      </c>
      <c r="D37" s="18">
        <v>352563.00699999998</v>
      </c>
      <c r="E37" s="18">
        <f t="shared" si="0"/>
        <v>-33131.334999999963</v>
      </c>
      <c r="F37" s="19">
        <f t="shared" si="3"/>
        <v>-9.3972805830987147E-2</v>
      </c>
      <c r="G37" s="96" t="s">
        <v>201</v>
      </c>
      <c r="H37" s="20" t="str">
        <f t="shared" si="1"/>
        <v/>
      </c>
      <c r="I37" s="19" t="str">
        <f t="shared" si="2"/>
        <v/>
      </c>
      <c r="J37" s="57" t="s">
        <v>511</v>
      </c>
      <c r="K37" s="77" t="s">
        <v>512</v>
      </c>
    </row>
    <row r="38" spans="1:14" ht="43.15">
      <c r="A38" s="28" t="str">
        <v>Oaks Landfill - CS1</v>
      </c>
      <c r="B38" s="29" t="str">
        <v>MD</v>
      </c>
      <c r="C38" s="24">
        <v>313210.65700000001</v>
      </c>
      <c r="D38" s="13">
        <v>352560.495</v>
      </c>
      <c r="E38" s="13">
        <f t="shared" si="0"/>
        <v>-39349.837999999989</v>
      </c>
      <c r="F38" s="14">
        <f t="shared" si="3"/>
        <v>-0.11161159165039176</v>
      </c>
      <c r="G38" s="97" t="s">
        <v>201</v>
      </c>
      <c r="H38" s="15" t="str">
        <f t="shared" si="1"/>
        <v/>
      </c>
      <c r="I38" s="16" t="str">
        <f t="shared" si="2"/>
        <v/>
      </c>
      <c r="J38" s="40" t="s">
        <v>513</v>
      </c>
      <c r="K38" s="75" t="s">
        <v>514</v>
      </c>
    </row>
    <row r="39" spans="1:14" ht="56.45" customHeight="1">
      <c r="A39" s="30" t="str">
        <v>Plympton - Upland Solar - PV &amp; BESS (IRA)</v>
      </c>
      <c r="B39" s="31" t="str">
        <v>MA</v>
      </c>
      <c r="C39" s="11">
        <v>666817</v>
      </c>
      <c r="D39" s="18">
        <v>756623.32700000005</v>
      </c>
      <c r="E39" s="18">
        <f t="shared" si="0"/>
        <v>-89806.327000000048</v>
      </c>
      <c r="F39" s="19">
        <f t="shared" si="3"/>
        <v>-0.11869357419375473</v>
      </c>
      <c r="G39" s="20">
        <v>612672.5</v>
      </c>
      <c r="H39" s="20">
        <f t="shared" si="1"/>
        <v>54144.5</v>
      </c>
      <c r="I39" s="19">
        <f t="shared" si="2"/>
        <v>8.8374294586422597E-2</v>
      </c>
      <c r="J39" s="57" t="s">
        <v>515</v>
      </c>
      <c r="K39" s="77" t="s">
        <v>516</v>
      </c>
      <c r="L39" s="79" t="s">
        <v>447</v>
      </c>
      <c r="M39" s="79" t="s">
        <v>517</v>
      </c>
    </row>
    <row r="40" spans="1:14" ht="43.15">
      <c r="A40" s="28" t="str">
        <v>MA: Plymouth - Black Cat Solar - PV &amp; BESS (IRA)</v>
      </c>
      <c r="B40" s="29" t="str">
        <v>MA</v>
      </c>
      <c r="C40" s="24">
        <v>33068.370000000003</v>
      </c>
      <c r="D40" s="13">
        <v>116920.6</v>
      </c>
      <c r="E40" s="13">
        <f t="shared" ref="E40:E41" si="4">IF(AND(ISNUMBER(C40),ISNUMBER(D40)), C40-D40, "")</f>
        <v>-83852.23000000001</v>
      </c>
      <c r="F40" s="14">
        <f t="shared" ref="F40:F41" si="5">IFERROR(E40/D40, "")</f>
        <v>-0.71717242299475037</v>
      </c>
      <c r="G40" s="88">
        <v>115619</v>
      </c>
      <c r="H40" s="15">
        <f t="shared" ref="H40:H41" si="6">IF(AND(ISNUMBER(C40),ISNUMBER(G40)), C40-G40, "")</f>
        <v>-82550.63</v>
      </c>
      <c r="I40" s="16">
        <f t="shared" ref="I40:I41" si="7">IFERROR(H40/G40, "")</f>
        <v>-0.71398844480578461</v>
      </c>
      <c r="J40" s="40" t="s">
        <v>518</v>
      </c>
      <c r="K40" s="75" t="s">
        <v>519</v>
      </c>
    </row>
    <row r="41" spans="1:14" ht="14.45">
      <c r="A41" s="21"/>
      <c r="B41" s="33"/>
      <c r="C41" s="21"/>
      <c r="D41" s="41"/>
      <c r="E41" s="18" t="str">
        <f t="shared" si="4"/>
        <v/>
      </c>
      <c r="F41" s="19" t="str">
        <f t="shared" si="5"/>
        <v/>
      </c>
      <c r="G41" s="21"/>
      <c r="H41" s="20" t="str">
        <f t="shared" si="6"/>
        <v/>
      </c>
      <c r="I41" s="19" t="str">
        <f t="shared" si="7"/>
        <v/>
      </c>
      <c r="J41" s="21"/>
      <c r="K41" s="21"/>
    </row>
    <row r="42" spans="1:14" ht="14.45">
      <c r="A42" s="21"/>
      <c r="B42" s="33"/>
      <c r="C42" s="21"/>
      <c r="D42" s="21"/>
      <c r="E42" s="21"/>
      <c r="F42" s="22"/>
      <c r="G42" s="21"/>
      <c r="H42" s="21"/>
      <c r="I42" s="22"/>
      <c r="J42" s="21"/>
      <c r="K42" s="21"/>
    </row>
    <row r="43" spans="1:14" ht="14.45">
      <c r="A43" s="21"/>
      <c r="B43" s="33"/>
      <c r="C43" s="21"/>
      <c r="D43" s="21"/>
      <c r="E43" s="21"/>
      <c r="F43" s="22"/>
      <c r="G43" s="21"/>
      <c r="H43" s="21"/>
      <c r="I43" s="22"/>
      <c r="J43" s="21"/>
      <c r="K43" s="21"/>
    </row>
    <row r="44" spans="1:14" ht="14.45">
      <c r="A44" s="21"/>
      <c r="B44" s="33"/>
      <c r="C44" s="21"/>
      <c r="D44" s="21"/>
      <c r="E44" s="21"/>
      <c r="F44" s="22"/>
      <c r="G44" s="21"/>
      <c r="H44" s="21"/>
      <c r="I44" s="22"/>
      <c r="J44" s="21"/>
      <c r="K44" s="21"/>
    </row>
    <row r="45" spans="1:14" ht="14.45">
      <c r="A45" s="21"/>
      <c r="B45" s="33"/>
      <c r="C45" s="21"/>
      <c r="D45" s="21"/>
      <c r="E45" s="21"/>
      <c r="F45" s="22"/>
      <c r="G45" s="21"/>
      <c r="H45" s="21"/>
      <c r="I45" s="22"/>
      <c r="J45" s="21"/>
      <c r="K45" s="21"/>
    </row>
    <row r="46" spans="1:14" ht="14.45">
      <c r="A46" s="21"/>
      <c r="B46" s="33"/>
      <c r="C46" s="21"/>
      <c r="D46" s="21"/>
      <c r="E46" s="21"/>
      <c r="F46" s="22"/>
      <c r="G46" s="21"/>
      <c r="H46" s="21"/>
      <c r="I46" s="22"/>
      <c r="J46" s="21"/>
      <c r="K46" s="21"/>
    </row>
    <row r="47" spans="1:14" ht="14.45">
      <c r="A47" s="21"/>
      <c r="B47" s="33"/>
      <c r="C47" s="21"/>
      <c r="D47" s="21"/>
      <c r="E47" s="21"/>
      <c r="F47" s="22"/>
      <c r="G47" s="21"/>
      <c r="H47" s="21"/>
      <c r="I47" s="22"/>
      <c r="J47" s="21"/>
      <c r="K47" s="21"/>
    </row>
    <row r="48" spans="1:14"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19" priority="3" stopIfTrue="1" operator="lessThanOrEqual">
      <formula>-0.1</formula>
    </cfRule>
    <cfRule type="expression" dxfId="18" priority="4">
      <formula>AND(ISNUMBER(F2), F2&gt;=0.1)</formula>
    </cfRule>
  </conditionalFormatting>
  <conditionalFormatting sqref="F4:F100 I4:I100">
    <cfRule type="cellIs" dxfId="17" priority="1" stopIfTrue="1" operator="lessThanOrEqual">
      <formula>-0.1</formula>
    </cfRule>
    <cfRule type="expression" dxfId="16" priority="2">
      <formula>AND(ISNUMBER(F4), F4&gt;=0.1)</formula>
    </cfRule>
  </conditionalFormatting>
  <hyperlinks>
    <hyperlink ref="K4" r:id="rId1" display="https://us3.assetplanner.com/service_request?ID=103652" xr:uid="{D6235E08-B53E-4FB0-B5CE-5759AD4B909C}"/>
    <hyperlink ref="K6" r:id="rId2" display="https://us3.assetplanner.com/service_request?ID=107348" xr:uid="{E800EDE1-2465-40F6-9E5D-093DD1BEE9AA}"/>
    <hyperlink ref="K7" r:id="rId3" display="https://us3.assetplanner.com/service_request?ID=095312" xr:uid="{0B8A5A80-6B13-4CEB-BE16-86549F0C2E9B}"/>
    <hyperlink ref="K8" r:id="rId4" display="https://us3.assetplanner.com/service_request?ID=105972" xr:uid="{43B4EC8C-BDBA-4770-B804-4AD806E02BAA}"/>
    <hyperlink ref="L8" r:id="rId5" display="https://us3.assetplanner.com/service_request?ID=106054" xr:uid="{B17C7E1C-DEC2-4E41-8E3E-3A500F41A859}"/>
    <hyperlink ref="M8" r:id="rId6" display="https://us3.assetplanner.com/service_request?ID=108388" xr:uid="{392A24F9-6D70-4BD2-81E3-1E4FC7A8BA15}"/>
    <hyperlink ref="K9" r:id="rId7" display="https://us3.assetplanner.com/service_request?ID=087756" xr:uid="{9A0EF551-E00F-485F-9275-3028C3BF6454}"/>
    <hyperlink ref="L9" r:id="rId8" display="https://us3.assetplanner.com/service_request?ID=103903" xr:uid="{D93B460A-A88B-4C76-A7CB-83B928F92F01}"/>
    <hyperlink ref="M9" r:id="rId9" display="https://us3.assetplanner.com/service_request?ID=108385" xr:uid="{DA8F5340-5D11-4016-9FD1-E582260C5807}"/>
    <hyperlink ref="N9" r:id="rId10" display="https://us3.assetplanner.com/service_request?ID=108389" xr:uid="{BC86ACA2-4213-4B73-B21B-75B7AE32860B}"/>
    <hyperlink ref="K10" r:id="rId11" display="https://us3.assetplanner.com/service_request?ID=107578" xr:uid="{20DF5560-3A67-4B19-88DC-3896C2D127E8}"/>
    <hyperlink ref="K12" r:id="rId12" display="https://us3.assetplanner.com/service_request?ID=105564" xr:uid="{2F8CF401-F6A1-415D-9495-2076630708F4}"/>
    <hyperlink ref="L12" r:id="rId13" display="https://us3.assetplanner.com/service_request?ID=108681" xr:uid="{4E406E09-8BD2-4DD5-BBAE-FAB42BC3EAA3}"/>
    <hyperlink ref="K14" r:id="rId14" display="https://us3.assetplanner.com/service_request?ID=104899" xr:uid="{0E298C5B-904C-4495-9D00-B2AAEA2E037B}"/>
    <hyperlink ref="K16" r:id="rId15" display="https://us3.assetplanner.com/service_request?ID=101977" xr:uid="{926CF9CA-3511-4B2F-9975-A939E3523C90}"/>
    <hyperlink ref="L16" r:id="rId16" display="https://us3.assetplanner.com/service_request?ID=103968" xr:uid="{62BEB9D9-68D5-477B-AD43-DC8FF3CA7B24}"/>
    <hyperlink ref="M16" r:id="rId17" display="https://us3.assetplanner.com/service_request?ID=103297" xr:uid="{D403C5E9-6E57-49EF-B40B-1E1273C234ED}"/>
    <hyperlink ref="N16" r:id="rId18" display="https://us3.assetplanner.com/service_request?ID=102370" xr:uid="{C1724B0D-F9E8-42AF-97AA-7E2E0E115094}"/>
    <hyperlink ref="O16" r:id="rId19" display="https://us3.assetplanner.com/service_request?ID=101930" xr:uid="{36CDF6FE-9AE4-458C-9E75-C15DF24EEB17}"/>
    <hyperlink ref="P16" r:id="rId20" display="https://us3.assetplanner.com/service_request?ID=107497" xr:uid="{97DD09EE-15DE-4F2F-A1D8-07AFCDD67187}"/>
    <hyperlink ref="Q16" r:id="rId21" display="https://us3.assetplanner.com/service_request?ID=107538" xr:uid="{4E85632C-9B99-46E0-BE14-5456A1AB39C6}"/>
    <hyperlink ref="R16" r:id="rId22" display="https://us3.assetplanner.com/service_request?ID=102560" xr:uid="{153225E6-A484-4F4E-9C66-60CF4BDD42F9}"/>
    <hyperlink ref="S16" r:id="rId23" display="https://us3.assetplanner.com/service_request?ID=103968" xr:uid="{C4AA1AD2-0BBB-414C-84C8-F44EBA4F925F}"/>
    <hyperlink ref="T16" r:id="rId24" display="https://us3.assetplanner.com/service_request?ID=103297" xr:uid="{DF33A1CD-4086-4BF8-812E-264FB8E0F5FE}"/>
    <hyperlink ref="U16" r:id="rId25" display="https://us3.assetplanner.com/service_request?ID=101858" xr:uid="{8AAA71DF-AF58-43C6-88C8-CFD3A73BB157}"/>
    <hyperlink ref="V16" r:id="rId26" display="https://us3.assetplanner.com/service_request?ID=108044" xr:uid="{6670F1C2-FB6A-4860-A02E-3B955CF9DAFA}"/>
    <hyperlink ref="K17" r:id="rId27" display="https://us3.assetplanner.com/service_request?ID=108800" xr:uid="{DFF0A2B8-3E7E-470D-94A0-C3138BFFB622}"/>
    <hyperlink ref="K19" r:id="rId28" display="https://us3.assetplanner.com/service_request?ID=107563" xr:uid="{BAD3BC30-F36D-4C49-9102-3CC4DD3BDCC8}"/>
    <hyperlink ref="K20" r:id="rId29" display="https://us3.assetplanner.com/service_request?ID=107637" xr:uid="{66FDD0CD-AA93-4550-9EBF-F34FEDDCE726}"/>
    <hyperlink ref="L20" r:id="rId30" display="https://us3.assetplanner.com/service_request?ID=108377" xr:uid="{A01B5B66-D194-41B9-BDF4-6E0CE5BF0DF4}"/>
    <hyperlink ref="M20" r:id="rId31" display="https://us3.assetplanner.com/service_request?ID=108316" xr:uid="{AAD6E741-7CDE-4DF9-9B83-B4A30774349F}"/>
    <hyperlink ref="K21" r:id="rId32" display="https://us3.assetplanner.com/service_request?ID=108683" xr:uid="{B3E3A703-92EC-4CB1-B0BE-9FE25687E03B}"/>
    <hyperlink ref="K22" r:id="rId33" display="https://us3.assetplanner.com/service_request?ID=108425" xr:uid="{F1651941-E45A-4C91-AC9E-D9BE1AFD8367}"/>
    <hyperlink ref="L22" r:id="rId34" display="https://us3.assetplanner.com/service_request?ID=108698" xr:uid="{AC3C6331-C5AA-4848-AACF-E67A62486E2C}"/>
    <hyperlink ref="K23" r:id="rId35" display="https://us3.assetplanner.com/service_request?ID=102369" xr:uid="{965A9E05-3397-4931-B8A0-B9F11A923173}"/>
    <hyperlink ref="L23" r:id="rId36" display="https://us3.assetplanner.com/service_request?ID=094678" xr:uid="{6196BCD8-0290-4C28-9E2A-1BB1A99B7ABB}"/>
    <hyperlink ref="M23" r:id="rId37" display="https://us3.assetplanner.com/service_request?ID=105939" xr:uid="{65D4B70D-39AF-42F2-9DF0-728624BC4A45}"/>
    <hyperlink ref="N23" r:id="rId38" display="https://us3.assetplanner.com/service_request?ID=106389" xr:uid="{55C2DE21-1A5E-4A7A-B04E-517631A43347}"/>
    <hyperlink ref="K24" r:id="rId39" display="https://us3.assetplanner.com/service_request?ID=108256" xr:uid="{72A87E5F-2348-4D23-B928-BF5094606DB0}"/>
    <hyperlink ref="K25" r:id="rId40" display="https://us3.assetplanner.com/service_request?ID=108801" xr:uid="{9C2A81C6-7D8A-4B33-99A5-9A439F99C5F9}"/>
    <hyperlink ref="K27" r:id="rId41" display="https://us3.assetplanner.com/service_request?ID=103030" xr:uid="{22231D72-8EE8-4350-AD9E-13EB256D5874}"/>
    <hyperlink ref="L27" r:id="rId42" display="https://us3.assetplanner.com/service_request?ID=102263" xr:uid="{00DF1291-9913-4576-8020-5A98BCD096F9}"/>
    <hyperlink ref="K29" r:id="rId43" display="https://us3.assetplanner.com/service_request?ID=105432" xr:uid="{104896D4-DF84-46DC-983A-2C61C5C1FAB7}"/>
    <hyperlink ref="L29" r:id="rId44" display="https://us3.assetplanner.com/service_request?ID=104357" xr:uid="{8C0BFC07-7961-4A58-92B5-578FCB36DDF9}"/>
    <hyperlink ref="M29" r:id="rId45" display="https://us3.assetplanner.com/service_request?ID=106449" xr:uid="{5E94F117-15A5-4A70-8EAA-533458C65430}"/>
    <hyperlink ref="N29" r:id="rId46" display="https://us3.assetplanner.com/service_request?ID=108239" xr:uid="{E7F3449E-E143-4AE9-8D57-58CF6B1F593E}"/>
    <hyperlink ref="O29" r:id="rId47" display="https://us3.assetplanner.com/service_request?ID=108312" xr:uid="{5A08E653-938D-4116-8DE6-2568D227DC3C}"/>
    <hyperlink ref="K30" r:id="rId48" display="https://us3.assetplanner.com/service_request?ID=108691" xr:uid="{CB671858-A66D-48B7-AF2C-B6284B8EF62E}"/>
    <hyperlink ref="K32" r:id="rId49" display="https://us3.assetplanner.com/service_request?ID=103402" xr:uid="{766C10AC-A31C-4433-87C9-A053887AF817}"/>
    <hyperlink ref="L32" r:id="rId50" display="https://us3.assetplanner.com/service_request?ID=106208" xr:uid="{8BDEA03D-7061-4418-A419-42D3C9A8A2A7}"/>
    <hyperlink ref="K33" r:id="rId51" display="https://us3.assetplanner.com/service_request?ID=107498" xr:uid="{4014A7B9-8D95-4590-8164-EDCD441AF888}"/>
    <hyperlink ref="K34" r:id="rId52" display="https://us3.assetplanner.com/service_request?ID=097964" xr:uid="{E0F2FF03-5B6E-4C41-A5F3-DFC1BC76AC77}"/>
    <hyperlink ref="L34" r:id="rId53" display="https://us3.assetplanner.com/service_request?ID=106854" xr:uid="{824A4A9D-7293-4E22-A513-442AEB57026E}"/>
    <hyperlink ref="M34" r:id="rId54" display="https://us3.assetplanner.com/service_request?ID=105456" xr:uid="{6613BE10-9170-4AEF-BA46-9B3FA43C4701}"/>
    <hyperlink ref="N34" r:id="rId55" display="https://us3.assetplanner.com/service_request?ID=108260" xr:uid="{D607A8E4-20E4-4E43-AEA8-F7C983228BA6}"/>
    <hyperlink ref="K35" r:id="rId56" display="https://us3.assetplanner.com/service_request?ID=105470" xr:uid="{560A0BD8-0D29-4FA9-B535-C43D28A62194}"/>
    <hyperlink ref="L35" r:id="rId57" display="https://us3.assetplanner.com/service_request?ID=108719" xr:uid="{81D9A62A-88C5-486C-893E-5B2E2A1AE3FB}"/>
    <hyperlink ref="K36" r:id="rId58" display="https://us3.assetplanner.com/service_request?ID=102988" xr:uid="{4957CE6F-EA7A-4438-88E0-CA609AA7D153}"/>
    <hyperlink ref="L36" r:id="rId59" display="https://us3.assetplanner.com/service_request?ID=106745" xr:uid="{671E6806-AC63-4ED2-B0EA-ABB49B5E7413}"/>
    <hyperlink ref="M36" r:id="rId60" display="https://us3.assetplanner.com/service_request?ID=107392" xr:uid="{BCD86969-2D12-4E43-BA1D-3B3838FCE60C}"/>
    <hyperlink ref="N36" r:id="rId61" display="https://us3.assetplanner.com/service_request?ID=108692" xr:uid="{B9ED35F9-E4B4-4547-843C-39F63FAC2B41}"/>
    <hyperlink ref="K37" r:id="rId62" display="https://us3.assetplanner.com/service_request?ID=108304" xr:uid="{B33147A6-C4A5-4D30-8AC5-CA078EC3A00C}"/>
    <hyperlink ref="K38" r:id="rId63" display="https://us3.assetplanner.com/service_request?ID=107626" xr:uid="{24D70407-8187-407E-840F-9D3B0FD8C178}"/>
    <hyperlink ref="K39" r:id="rId64" display="https://us3.assetplanner.com/service_request?ID=106032" xr:uid="{3218F6BE-E9DF-4F5B-A596-CE9F990532A1}"/>
    <hyperlink ref="L39" r:id="rId65" display="https://us3.assetplanner.com/service_request?ID=106053" xr:uid="{AB0E2519-8C77-4C35-91C3-F2FA41C2BC8C}"/>
    <hyperlink ref="M39" r:id="rId66" display="https://us3.assetplanner.com/service_request?ID=107970" xr:uid="{53A4B153-A55E-4088-98A0-72939485C140}"/>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342"/>
  <sheetViews>
    <sheetView zoomScale="70" zoomScaleNormal="70" workbookViewId="0">
      <pane xSplit="2" ySplit="3" topLeftCell="C34" activePane="bottomRight" state="frozen"/>
      <selection pane="bottomRight" activeCell="J39" sqref="J39"/>
      <selection pane="bottomLeft" activeCell="F38" sqref="F38"/>
      <selection pane="topRight" activeCell="F38" sqref="F38"/>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9.5703125" customWidth="1"/>
    <col min="11" max="11" width="22" customWidth="1"/>
    <col min="12" max="12" width="22.7109375" style="102" customWidth="1"/>
  </cols>
  <sheetData>
    <row r="1" spans="1:12" ht="19.5" customHeight="1">
      <c r="A1" s="117" t="str" cm="1">
        <f t="array" ref="A1">portfolio</f>
        <v>Greenbacker Capital</v>
      </c>
      <c r="B1" s="117"/>
      <c r="C1" s="117"/>
      <c r="D1" s="118" t="s">
        <v>520</v>
      </c>
      <c r="E1" s="118"/>
      <c r="F1" s="118"/>
      <c r="G1" s="116" t="s">
        <v>521</v>
      </c>
      <c r="H1" s="116"/>
      <c r="I1" s="116"/>
      <c r="J1" s="4"/>
      <c r="K1" s="4"/>
    </row>
    <row r="2" spans="1:12" ht="19.5" customHeight="1">
      <c r="A2" s="119" t="s">
        <v>2</v>
      </c>
      <c r="B2" s="119"/>
      <c r="C2" s="5">
        <f>SUM(C4:C100)</f>
        <v>5369173.0151023678</v>
      </c>
      <c r="D2" s="5">
        <f>SUM(D4:D100)</f>
        <v>5220917.3986</v>
      </c>
      <c r="E2" s="5">
        <f>C2-D2</f>
        <v>148255.61650236789</v>
      </c>
      <c r="F2" s="6">
        <f>IFERROR(E2/D2, 0)</f>
        <v>2.8396468509944813E-2</v>
      </c>
      <c r="G2" s="5">
        <f>SUM(G4:G100)</f>
        <v>3991376.1199999992</v>
      </c>
      <c r="H2" s="7">
        <f>C2-G2</f>
        <v>1377796.8951023687</v>
      </c>
      <c r="I2" s="6">
        <f>IFERROR(H2/G2, 0)</f>
        <v>0.34519345049906469</v>
      </c>
      <c r="J2" s="26" t="str">
        <f ca="1">IF(AND(TODAY()&gt;DATE(2024, 10, 1), COUNTA(Sites[Site])&lt;&gt;(COUNT(C:C)-1)), "Some sites are missing actual data; if new sites were added, make sure they are aligned correctly (including prior months!)", "")</f>
        <v/>
      </c>
      <c r="K2" s="4"/>
    </row>
    <row r="3" spans="1:12" ht="14.25" customHeight="1">
      <c r="A3" s="8" t="s">
        <v>3</v>
      </c>
      <c r="B3" s="8" t="s">
        <v>4</v>
      </c>
      <c r="C3" s="23" t="s">
        <v>5</v>
      </c>
      <c r="D3" s="35" t="s">
        <v>6</v>
      </c>
      <c r="E3" s="35" t="s">
        <v>7</v>
      </c>
      <c r="F3" s="36" t="s">
        <v>8</v>
      </c>
      <c r="G3" s="37" t="s">
        <v>9</v>
      </c>
      <c r="H3" s="38" t="s">
        <v>7</v>
      </c>
      <c r="I3" s="39" t="s">
        <v>8</v>
      </c>
      <c r="J3" s="25" t="s">
        <v>20</v>
      </c>
      <c r="K3" s="25" t="s">
        <v>21</v>
      </c>
      <c r="L3" s="25" t="s">
        <v>522</v>
      </c>
    </row>
    <row r="4" spans="1:12" ht="28.9">
      <c r="A4" s="32" t="str" cm="1">
        <f t="array" ref="A4:A40">Sites[Site]</f>
        <v>10 Walpole Park South</v>
      </c>
      <c r="B4" s="29" t="str" cm="1">
        <f t="array" ref="B4:B40">Sites[State]</f>
        <v>MA</v>
      </c>
      <c r="C4" s="24">
        <v>8248</v>
      </c>
      <c r="D4" s="13">
        <v>10453.75</v>
      </c>
      <c r="E4" s="13">
        <f>IF(AND(ISNUMBER(C4),ISNUMBER(D4)), C4-D4, "")</f>
        <v>-2205.75</v>
      </c>
      <c r="F4" s="14">
        <f>IFERROR(E4/D4, "")</f>
        <v>-0.21100083702020805</v>
      </c>
      <c r="G4" s="15">
        <v>12442.07</v>
      </c>
      <c r="H4" s="15">
        <f>IF(AND(ISNUMBER(C4),ISNUMBER(G4)), C4-G4, "")</f>
        <v>-4194.07</v>
      </c>
      <c r="I4" s="16">
        <f>IFERROR(H4/G4, "")</f>
        <v>-0.33708779969892466</v>
      </c>
      <c r="J4" s="59" t="s">
        <v>523</v>
      </c>
      <c r="K4" s="59" t="s">
        <v>346</v>
      </c>
      <c r="L4" s="102" t="s">
        <v>524</v>
      </c>
    </row>
    <row r="5" spans="1:12" ht="15.6">
      <c r="A5" s="30" t="str">
        <v>15 Walpole Park South</v>
      </c>
      <c r="B5" s="31" t="str">
        <v>MA</v>
      </c>
      <c r="C5" s="11">
        <v>45426</v>
      </c>
      <c r="D5" s="18">
        <v>42262.66</v>
      </c>
      <c r="E5" s="18">
        <f t="shared" ref="E5:E33" si="0">IF(AND(ISNUMBER(C5),ISNUMBER(D5)), C5-D5, "")</f>
        <v>3163.3399999999965</v>
      </c>
      <c r="F5" s="19">
        <f>IFERROR(E5/D5, "")</f>
        <v>7.4849524379203683E-2</v>
      </c>
      <c r="G5" s="20">
        <v>43256.54</v>
      </c>
      <c r="H5" s="20">
        <f t="shared" ref="H5:H29" si="1">IF(AND(ISNUMBER(C5),ISNUMBER(G5)), C5-G5, "")</f>
        <v>2169.4599999999991</v>
      </c>
      <c r="I5" s="19">
        <f t="shared" ref="I5:I29" si="2">IFERROR(H5/G5, "")</f>
        <v>5.0153340974567064E-2</v>
      </c>
      <c r="J5" s="57"/>
      <c r="K5" s="57"/>
    </row>
    <row r="6" spans="1:12" ht="28.9">
      <c r="A6" s="28" t="str">
        <v>19 Walpole Park South</v>
      </c>
      <c r="B6" s="29" t="str">
        <v>MA</v>
      </c>
      <c r="C6" s="24">
        <v>26812.5</v>
      </c>
      <c r="D6" s="13">
        <v>25794.21</v>
      </c>
      <c r="E6" s="13">
        <f t="shared" si="0"/>
        <v>1018.2900000000009</v>
      </c>
      <c r="F6" s="14">
        <f t="shared" ref="F6:F33" si="3">IFERROR(E6/D6, "")</f>
        <v>3.9477464128577729E-2</v>
      </c>
      <c r="G6" s="15">
        <v>27562.76</v>
      </c>
      <c r="H6" s="15">
        <f t="shared" si="1"/>
        <v>-750.2599999999984</v>
      </c>
      <c r="I6" s="16">
        <f t="shared" si="2"/>
        <v>-2.7220060690583907E-2</v>
      </c>
      <c r="J6" s="59" t="s">
        <v>525</v>
      </c>
      <c r="K6" s="59" t="s">
        <v>526</v>
      </c>
      <c r="L6" s="102" t="s">
        <v>527</v>
      </c>
    </row>
    <row r="7" spans="1:12" ht="28.9">
      <c r="A7" s="30" t="str">
        <v>23 Walpole Park South</v>
      </c>
      <c r="B7" s="31" t="str">
        <v>MA</v>
      </c>
      <c r="C7" s="11">
        <v>34461.5</v>
      </c>
      <c r="D7" s="18">
        <v>33737.83</v>
      </c>
      <c r="E7" s="18">
        <f t="shared" si="0"/>
        <v>723.66999999999825</v>
      </c>
      <c r="F7" s="19">
        <f t="shared" si="3"/>
        <v>2.1449808716209613E-2</v>
      </c>
      <c r="G7" s="20">
        <v>35795.17</v>
      </c>
      <c r="H7" s="20">
        <f t="shared" si="1"/>
        <v>-1333.6699999999983</v>
      </c>
      <c r="I7" s="19">
        <f t="shared" si="2"/>
        <v>-3.7258378714223127E-2</v>
      </c>
      <c r="J7" s="57" t="s">
        <v>528</v>
      </c>
      <c r="K7" s="57" t="s">
        <v>529</v>
      </c>
      <c r="L7" s="102" t="s">
        <v>527</v>
      </c>
    </row>
    <row r="8" spans="1:12" ht="15.6">
      <c r="A8" s="28" t="str">
        <v>24 Walpole Park South</v>
      </c>
      <c r="B8" s="29" t="str">
        <v>MA</v>
      </c>
      <c r="C8" s="24">
        <v>49736</v>
      </c>
      <c r="D8" s="13">
        <v>44627.07</v>
      </c>
      <c r="E8" s="13">
        <f t="shared" si="0"/>
        <v>5108.93</v>
      </c>
      <c r="F8" s="14">
        <f t="shared" si="3"/>
        <v>0.11448051597382486</v>
      </c>
      <c r="G8" s="15">
        <v>54816.81</v>
      </c>
      <c r="H8" s="15">
        <f t="shared" si="1"/>
        <v>-5080.8099999999977</v>
      </c>
      <c r="I8" s="16">
        <f t="shared" si="2"/>
        <v>-9.2687079018279203E-2</v>
      </c>
      <c r="J8" s="61" t="s">
        <v>530</v>
      </c>
      <c r="K8" s="61" t="s">
        <v>531</v>
      </c>
      <c r="L8" s="102" t="s">
        <v>532</v>
      </c>
    </row>
    <row r="9" spans="1:12" ht="28.9">
      <c r="A9" s="30" t="str">
        <v>25 Walpole Park South</v>
      </c>
      <c r="B9" s="31" t="str">
        <v>MA</v>
      </c>
      <c r="C9" s="11">
        <v>52098</v>
      </c>
      <c r="D9" s="18">
        <v>52214.19</v>
      </c>
      <c r="E9" s="18">
        <f t="shared" si="0"/>
        <v>-116.19000000000233</v>
      </c>
      <c r="F9" s="19">
        <f t="shared" si="3"/>
        <v>-2.2252571571061875E-3</v>
      </c>
      <c r="G9" s="20">
        <v>55863.34</v>
      </c>
      <c r="H9" s="20">
        <f t="shared" si="1"/>
        <v>-3765.3399999999965</v>
      </c>
      <c r="I9" s="19">
        <f t="shared" si="2"/>
        <v>-6.7402700948421573E-2</v>
      </c>
      <c r="J9" s="114" t="s">
        <v>533</v>
      </c>
      <c r="K9" s="62" t="s">
        <v>534</v>
      </c>
      <c r="L9" s="102" t="s">
        <v>527</v>
      </c>
    </row>
    <row r="10" spans="1:12" ht="15.6">
      <c r="A10" s="28" t="str">
        <v>3 Walpole Park South</v>
      </c>
      <c r="B10" s="29" t="str">
        <v>MA</v>
      </c>
      <c r="C10" s="24">
        <v>64504.5</v>
      </c>
      <c r="D10" s="13">
        <v>64065.02</v>
      </c>
      <c r="E10" s="13">
        <f t="shared" si="0"/>
        <v>439.4800000000032</v>
      </c>
      <c r="F10" s="14">
        <f t="shared" si="3"/>
        <v>6.8599057644874416E-3</v>
      </c>
      <c r="G10" s="15">
        <v>64923.57</v>
      </c>
      <c r="H10" s="15">
        <f t="shared" si="1"/>
        <v>-419.06999999999971</v>
      </c>
      <c r="I10" s="16">
        <f t="shared" si="2"/>
        <v>-6.454820645260261E-3</v>
      </c>
      <c r="J10" s="61"/>
      <c r="K10" s="61"/>
    </row>
    <row r="11" spans="1:12" ht="15.6">
      <c r="A11" s="30" t="str">
        <v>4 Walpole Park South</v>
      </c>
      <c r="B11" s="31" t="str">
        <v>MA</v>
      </c>
      <c r="C11" s="11">
        <v>39118</v>
      </c>
      <c r="D11" s="18">
        <v>37039.839999999997</v>
      </c>
      <c r="E11" s="18">
        <f t="shared" si="0"/>
        <v>2078.1600000000035</v>
      </c>
      <c r="F11" s="19">
        <f t="shared" si="3"/>
        <v>5.6106073892327926E-2</v>
      </c>
      <c r="G11" s="20">
        <v>37626.6</v>
      </c>
      <c r="H11" s="20">
        <f t="shared" si="1"/>
        <v>1491.4000000000015</v>
      </c>
      <c r="I11" s="19">
        <f t="shared" si="2"/>
        <v>3.9636852652113176E-2</v>
      </c>
      <c r="J11" s="57"/>
      <c r="K11" s="58"/>
    </row>
    <row r="12" spans="1:12" ht="15.75" customHeight="1">
      <c r="A12" s="28" t="str">
        <v>Brockton</v>
      </c>
      <c r="B12" s="29" t="str">
        <v>MA</v>
      </c>
      <c r="C12" s="24">
        <v>62290</v>
      </c>
      <c r="D12" s="13">
        <v>54183.15</v>
      </c>
      <c r="E12" s="13">
        <f t="shared" si="0"/>
        <v>8106.8499999999985</v>
      </c>
      <c r="F12" s="14">
        <f t="shared" si="3"/>
        <v>0.14961939274479241</v>
      </c>
      <c r="G12" s="15">
        <v>61513.84</v>
      </c>
      <c r="H12" s="15">
        <f t="shared" si="1"/>
        <v>776.16000000000349</v>
      </c>
      <c r="I12" s="16">
        <f t="shared" si="2"/>
        <v>1.2617648321093328E-2</v>
      </c>
      <c r="J12" s="59" t="s">
        <v>535</v>
      </c>
      <c r="K12" s="59" t="s">
        <v>536</v>
      </c>
      <c r="L12" s="102" t="s">
        <v>532</v>
      </c>
    </row>
    <row r="13" spans="1:12" ht="15.6">
      <c r="A13" s="30" t="str">
        <v>Canton</v>
      </c>
      <c r="B13" s="31" t="str">
        <v>MA</v>
      </c>
      <c r="C13" s="11">
        <v>58462.5</v>
      </c>
      <c r="D13" s="18">
        <v>56834.080000000002</v>
      </c>
      <c r="E13" s="18">
        <f t="shared" si="0"/>
        <v>1628.4199999999983</v>
      </c>
      <c r="F13" s="19">
        <f t="shared" si="3"/>
        <v>2.8652174892247719E-2</v>
      </c>
      <c r="G13" s="20">
        <v>63993.06</v>
      </c>
      <c r="H13" s="20">
        <f t="shared" si="1"/>
        <v>-5530.5599999999977</v>
      </c>
      <c r="I13" s="19">
        <f t="shared" si="2"/>
        <v>-8.642437164279998E-2</v>
      </c>
      <c r="J13" s="57" t="s">
        <v>537</v>
      </c>
      <c r="K13" s="58" t="s">
        <v>538</v>
      </c>
      <c r="L13" s="102" t="s">
        <v>527</v>
      </c>
    </row>
    <row r="14" spans="1:12" ht="36.75" customHeight="1">
      <c r="A14" s="28" t="str">
        <v>Chelsea</v>
      </c>
      <c r="B14" s="29" t="str">
        <v>MA</v>
      </c>
      <c r="C14" s="24">
        <v>104350</v>
      </c>
      <c r="D14" s="13">
        <v>97280.06</v>
      </c>
      <c r="E14" s="13">
        <f t="shared" si="0"/>
        <v>7069.9400000000023</v>
      </c>
      <c r="F14" s="14">
        <f t="shared" si="3"/>
        <v>7.2676147609283981E-2</v>
      </c>
      <c r="G14" s="15">
        <v>95705.66</v>
      </c>
      <c r="H14" s="15">
        <f t="shared" si="1"/>
        <v>8644.3399999999965</v>
      </c>
      <c r="I14" s="16">
        <f t="shared" si="2"/>
        <v>9.0322139777313029E-2</v>
      </c>
      <c r="J14" s="59" t="s">
        <v>402</v>
      </c>
      <c r="K14" s="59" t="s">
        <v>539</v>
      </c>
      <c r="L14" s="102" t="s">
        <v>532</v>
      </c>
    </row>
    <row r="15" spans="1:12" ht="15.6">
      <c r="A15" s="30" t="str">
        <v>Hamilton Landfill</v>
      </c>
      <c r="B15" s="31" t="str">
        <v>MA</v>
      </c>
      <c r="C15" s="11">
        <v>77141.138000000006</v>
      </c>
      <c r="D15" s="18">
        <v>84603.320999999996</v>
      </c>
      <c r="E15" s="18">
        <f t="shared" si="0"/>
        <v>-7462.18299999999</v>
      </c>
      <c r="F15" s="19">
        <f t="shared" si="3"/>
        <v>-8.8202010415170229E-2</v>
      </c>
      <c r="G15" s="96" t="s">
        <v>201</v>
      </c>
      <c r="H15" s="20" t="str">
        <f t="shared" si="1"/>
        <v/>
      </c>
      <c r="I15" s="19" t="str">
        <f t="shared" si="2"/>
        <v/>
      </c>
      <c r="J15" s="57" t="s">
        <v>540</v>
      </c>
      <c r="K15" s="58" t="s">
        <v>541</v>
      </c>
      <c r="L15" s="102" t="s">
        <v>527</v>
      </c>
    </row>
    <row r="16" spans="1:12" ht="84" customHeight="1">
      <c r="A16" s="28" t="str">
        <v>Holliston</v>
      </c>
      <c r="B16" s="29" t="str">
        <v>MA</v>
      </c>
      <c r="C16" s="24">
        <v>122782</v>
      </c>
      <c r="D16" s="13">
        <v>146397.1</v>
      </c>
      <c r="E16" s="13">
        <f t="shared" si="0"/>
        <v>-23615.100000000006</v>
      </c>
      <c r="F16" s="14">
        <f t="shared" si="3"/>
        <v>-0.16130852318795935</v>
      </c>
      <c r="G16" s="15">
        <v>161835.20000000001</v>
      </c>
      <c r="H16" s="15">
        <f t="shared" si="1"/>
        <v>-39053.200000000012</v>
      </c>
      <c r="I16" s="16">
        <f t="shared" si="2"/>
        <v>-0.24131462129376063</v>
      </c>
      <c r="J16" s="59" t="s">
        <v>542</v>
      </c>
      <c r="K16" s="59" t="s">
        <v>543</v>
      </c>
      <c r="L16" s="103" t="s">
        <v>544</v>
      </c>
    </row>
    <row r="17" spans="1:12" ht="15.6">
      <c r="A17" s="30" t="str">
        <v>Natick HS - Carports</v>
      </c>
      <c r="B17" s="31" t="str">
        <v>MA</v>
      </c>
      <c r="C17" s="11">
        <v>48390.11</v>
      </c>
      <c r="D17" s="18">
        <v>57576.002</v>
      </c>
      <c r="E17" s="18">
        <f t="shared" si="0"/>
        <v>-9185.8919999999998</v>
      </c>
      <c r="F17" s="19">
        <f t="shared" si="3"/>
        <v>-0.15954376269474216</v>
      </c>
      <c r="G17" s="96" t="s">
        <v>201</v>
      </c>
      <c r="H17" s="20" t="str">
        <f t="shared" si="1"/>
        <v/>
      </c>
      <c r="I17" s="19" t="str">
        <f t="shared" si="2"/>
        <v/>
      </c>
      <c r="J17" s="57" t="s">
        <v>545</v>
      </c>
      <c r="K17" s="58" t="s">
        <v>546</v>
      </c>
      <c r="L17" s="102" t="s">
        <v>527</v>
      </c>
    </row>
    <row r="18" spans="1:12" ht="12.75" customHeight="1">
      <c r="A18" s="32" t="str">
        <v>Norton</v>
      </c>
      <c r="B18" s="29" t="str">
        <v>MA</v>
      </c>
      <c r="C18" s="24">
        <v>154833</v>
      </c>
      <c r="D18" s="13">
        <v>289870.2</v>
      </c>
      <c r="E18" s="13">
        <f t="shared" si="0"/>
        <v>-135037.20000000001</v>
      </c>
      <c r="F18" s="14">
        <f t="shared" si="3"/>
        <v>-0.46585402707832679</v>
      </c>
      <c r="G18" s="15">
        <v>316689.2</v>
      </c>
      <c r="H18" s="15">
        <f t="shared" si="1"/>
        <v>-161856.20000000001</v>
      </c>
      <c r="I18" s="16">
        <f t="shared" si="2"/>
        <v>-0.51108847412542013</v>
      </c>
      <c r="J18" s="59" t="s">
        <v>547</v>
      </c>
      <c r="K18" s="59" t="s">
        <v>548</v>
      </c>
      <c r="L18" s="102" t="s">
        <v>527</v>
      </c>
    </row>
    <row r="19" spans="1:12" ht="15.6">
      <c r="A19" s="30" t="str">
        <v>Palmer - Boston Rd.</v>
      </c>
      <c r="B19" s="31" t="str">
        <v>MA</v>
      </c>
      <c r="C19" s="11">
        <v>61101</v>
      </c>
      <c r="D19" s="18">
        <v>64312.35</v>
      </c>
      <c r="E19" s="18">
        <f t="shared" si="0"/>
        <v>-3211.3499999999985</v>
      </c>
      <c r="F19" s="19">
        <f t="shared" si="3"/>
        <v>-4.9933644160102979E-2</v>
      </c>
      <c r="G19" s="20">
        <v>62250</v>
      </c>
      <c r="H19" s="20">
        <f t="shared" si="1"/>
        <v>-1149</v>
      </c>
      <c r="I19" s="19">
        <f t="shared" si="2"/>
        <v>-1.8457831325301204E-2</v>
      </c>
      <c r="J19" s="57"/>
      <c r="K19" s="58"/>
    </row>
    <row r="20" spans="1:12" ht="15.6">
      <c r="A20" s="28" t="str">
        <v>Shirley Bartkus</v>
      </c>
      <c r="B20" s="29" t="str">
        <v>MA</v>
      </c>
      <c r="C20" s="24">
        <v>97633</v>
      </c>
      <c r="D20" s="13">
        <v>111261.1</v>
      </c>
      <c r="E20" s="13">
        <f t="shared" si="0"/>
        <v>-13628.100000000006</v>
      </c>
      <c r="F20" s="14">
        <f t="shared" si="3"/>
        <v>-0.12248755405078689</v>
      </c>
      <c r="G20" s="15">
        <v>101613</v>
      </c>
      <c r="H20" s="15">
        <f t="shared" si="1"/>
        <v>-3980</v>
      </c>
      <c r="I20" s="16">
        <f t="shared" si="2"/>
        <v>-3.9168216665190478E-2</v>
      </c>
      <c r="J20" s="59" t="s">
        <v>549</v>
      </c>
      <c r="K20" s="59"/>
    </row>
    <row r="21" spans="1:12" ht="28.9">
      <c r="A21" s="30" t="str">
        <v>Stoughton</v>
      </c>
      <c r="B21" s="31" t="str">
        <v>MA</v>
      </c>
      <c r="C21" s="11">
        <v>71545.5</v>
      </c>
      <c r="D21" s="18">
        <v>41488.199999999997</v>
      </c>
      <c r="E21" s="18">
        <f t="shared" si="0"/>
        <v>30057.300000000003</v>
      </c>
      <c r="F21" s="19">
        <f t="shared" si="3"/>
        <v>0.72447828539199111</v>
      </c>
      <c r="G21" s="20">
        <v>69051.39</v>
      </c>
      <c r="H21" s="20">
        <f t="shared" si="1"/>
        <v>2494.1100000000006</v>
      </c>
      <c r="I21" s="19">
        <f t="shared" si="2"/>
        <v>3.6119620473968744E-2</v>
      </c>
      <c r="J21" s="57" t="s">
        <v>550</v>
      </c>
      <c r="K21" s="58"/>
    </row>
    <row r="22" spans="1:12" ht="15.6">
      <c r="A22" s="28" t="str">
        <v>Wellfleet Landfill</v>
      </c>
      <c r="B22" s="29" t="str">
        <v>MA</v>
      </c>
      <c r="C22" s="24">
        <v>84755.95</v>
      </c>
      <c r="D22" s="13">
        <v>85612.504000000001</v>
      </c>
      <c r="E22" s="13">
        <f t="shared" si="0"/>
        <v>-856.55400000000373</v>
      </c>
      <c r="F22" s="14">
        <f t="shared" si="3"/>
        <v>-1.0005010483048174E-2</v>
      </c>
      <c r="G22" s="97" t="s">
        <v>201</v>
      </c>
      <c r="H22" s="15" t="str">
        <f t="shared" si="1"/>
        <v/>
      </c>
      <c r="I22" s="16" t="str">
        <f t="shared" si="2"/>
        <v/>
      </c>
      <c r="J22" s="59"/>
      <c r="K22" s="59"/>
    </row>
    <row r="23" spans="1:12" ht="60.75" customHeight="1">
      <c r="A23" s="30" t="str">
        <v>Wilmington Garage &amp; Building 7</v>
      </c>
      <c r="B23" s="31" t="str">
        <v>MA</v>
      </c>
      <c r="C23" s="11">
        <v>86824.5</v>
      </c>
      <c r="D23" s="18">
        <v>100157.6</v>
      </c>
      <c r="E23" s="18">
        <f t="shared" si="0"/>
        <v>-13333.100000000006</v>
      </c>
      <c r="F23" s="19">
        <f t="shared" si="3"/>
        <v>-0.13312120098724414</v>
      </c>
      <c r="G23" s="20">
        <v>101999.4</v>
      </c>
      <c r="H23" s="20">
        <f t="shared" si="1"/>
        <v>-15174.899999999994</v>
      </c>
      <c r="I23" s="19">
        <f t="shared" si="2"/>
        <v>-0.14877440455532087</v>
      </c>
      <c r="J23" s="57" t="s">
        <v>551</v>
      </c>
      <c r="K23" s="58" t="s">
        <v>552</v>
      </c>
      <c r="L23" s="103" t="s">
        <v>553</v>
      </c>
    </row>
    <row r="24" spans="1:12" ht="15.6">
      <c r="A24" s="28" t="str">
        <v>Woburn</v>
      </c>
      <c r="B24" s="29" t="str">
        <v>MA</v>
      </c>
      <c r="C24" s="24">
        <v>152928</v>
      </c>
      <c r="D24" s="13">
        <v>160988.20000000001</v>
      </c>
      <c r="E24" s="13">
        <f t="shared" si="0"/>
        <v>-8060.2000000000116</v>
      </c>
      <c r="F24" s="14">
        <f t="shared" si="3"/>
        <v>-5.0067023545825165E-2</v>
      </c>
      <c r="G24" s="15">
        <v>154363.1</v>
      </c>
      <c r="H24" s="15">
        <f t="shared" si="1"/>
        <v>-1435.1000000000058</v>
      </c>
      <c r="I24" s="16">
        <f t="shared" si="2"/>
        <v>-9.2969109845552848E-3</v>
      </c>
      <c r="J24" s="59"/>
      <c r="K24" s="59"/>
    </row>
    <row r="25" spans="1:12" ht="15.6">
      <c r="A25" s="30" t="str">
        <v>Friendship Solar 1</v>
      </c>
      <c r="B25" s="31" t="str">
        <v>MD</v>
      </c>
      <c r="C25" s="11">
        <v>379380</v>
      </c>
      <c r="D25" s="18">
        <v>392548</v>
      </c>
      <c r="E25" s="18">
        <f t="shared" si="0"/>
        <v>-13168</v>
      </c>
      <c r="F25" s="19">
        <f t="shared" si="3"/>
        <v>-3.3544942274575336E-2</v>
      </c>
      <c r="G25" s="20">
        <v>335080.2</v>
      </c>
      <c r="H25" s="20">
        <f t="shared" si="1"/>
        <v>44299.799999999988</v>
      </c>
      <c r="I25" s="19">
        <f t="shared" si="2"/>
        <v>0.13220655831051786</v>
      </c>
      <c r="J25" s="57" t="s">
        <v>490</v>
      </c>
      <c r="K25" s="58" t="s">
        <v>554</v>
      </c>
      <c r="L25" s="102" t="s">
        <v>527</v>
      </c>
    </row>
    <row r="26" spans="1:12" ht="15.6">
      <c r="A26" s="28" t="str">
        <v>Friendship Solar 2</v>
      </c>
      <c r="B26" s="29" t="str">
        <v>MD</v>
      </c>
      <c r="C26" s="24">
        <v>380860</v>
      </c>
      <c r="D26" s="13">
        <v>396387.8</v>
      </c>
      <c r="E26" s="13">
        <f t="shared" si="0"/>
        <v>-15527.799999999988</v>
      </c>
      <c r="F26" s="14">
        <f t="shared" si="3"/>
        <v>-3.917325407088712E-2</v>
      </c>
      <c r="G26" s="15">
        <v>368186.4</v>
      </c>
      <c r="H26" s="15">
        <f t="shared" si="1"/>
        <v>12673.599999999977</v>
      </c>
      <c r="I26" s="16">
        <f t="shared" si="2"/>
        <v>3.4421695097917732E-2</v>
      </c>
      <c r="J26" s="59"/>
      <c r="K26" s="59"/>
    </row>
    <row r="27" spans="1:12" ht="15.6">
      <c r="A27" s="30" t="str">
        <v>101 Carnegie Center</v>
      </c>
      <c r="B27" s="31" t="str">
        <v>NJ</v>
      </c>
      <c r="C27" s="11">
        <v>0</v>
      </c>
      <c r="D27" s="18">
        <v>0</v>
      </c>
      <c r="E27" s="18">
        <f t="shared" si="0"/>
        <v>0</v>
      </c>
      <c r="F27" s="19" t="str">
        <f t="shared" si="3"/>
        <v/>
      </c>
      <c r="G27" s="89" t="s">
        <v>201</v>
      </c>
      <c r="H27" s="20" t="str">
        <f t="shared" si="1"/>
        <v/>
      </c>
      <c r="I27" s="19" t="str">
        <f t="shared" si="2"/>
        <v/>
      </c>
      <c r="J27" s="57" t="s">
        <v>324</v>
      </c>
      <c r="K27" s="94" t="s">
        <v>555</v>
      </c>
      <c r="L27" s="102" t="s">
        <v>527</v>
      </c>
    </row>
    <row r="28" spans="1:12" ht="15.6">
      <c r="A28" s="28" t="str">
        <v>302 Carnegie Center</v>
      </c>
      <c r="B28" s="29" t="str">
        <v>NJ</v>
      </c>
      <c r="C28" s="24">
        <v>61823.071000000004</v>
      </c>
      <c r="D28" s="13">
        <v>58041.69</v>
      </c>
      <c r="E28" s="13">
        <f t="shared" si="0"/>
        <v>3781.3810000000012</v>
      </c>
      <c r="F28" s="14">
        <f t="shared" si="3"/>
        <v>6.5149395201966054E-2</v>
      </c>
      <c r="G28" s="88" t="s">
        <v>201</v>
      </c>
      <c r="H28" s="15" t="str">
        <f t="shared" si="1"/>
        <v/>
      </c>
      <c r="I28" s="16" t="str">
        <f t="shared" si="2"/>
        <v/>
      </c>
      <c r="J28" s="59"/>
      <c r="K28" s="59"/>
    </row>
    <row r="29" spans="1:12" ht="36.75" customHeight="1">
      <c r="A29" s="30" t="str">
        <v>510 Carnegie Center</v>
      </c>
      <c r="B29" s="31" t="str">
        <v>NJ</v>
      </c>
      <c r="C29" s="11">
        <v>140287.63</v>
      </c>
      <c r="D29" s="18">
        <v>163567.856</v>
      </c>
      <c r="E29" s="18">
        <f t="shared" si="0"/>
        <v>-23280.225999999995</v>
      </c>
      <c r="F29" s="19">
        <f t="shared" si="3"/>
        <v>-0.14232763434889062</v>
      </c>
      <c r="G29" s="89" t="s">
        <v>201</v>
      </c>
      <c r="H29" s="20" t="str">
        <f t="shared" si="1"/>
        <v/>
      </c>
      <c r="I29" s="19" t="str">
        <f t="shared" si="2"/>
        <v/>
      </c>
      <c r="J29" s="57" t="s">
        <v>556</v>
      </c>
      <c r="K29" s="94" t="s">
        <v>557</v>
      </c>
      <c r="L29" s="102" t="s">
        <v>527</v>
      </c>
    </row>
    <row r="30" spans="1:12" ht="15.6">
      <c r="A30" s="28" t="str">
        <v>701 Carnegie Center</v>
      </c>
      <c r="B30" s="29" t="str">
        <v>NJ</v>
      </c>
      <c r="C30" s="24">
        <v>109702.62300000001</v>
      </c>
      <c r="D30" s="13">
        <v>127128.70699999999</v>
      </c>
      <c r="E30" s="13">
        <f t="shared" si="0"/>
        <v>-17426.083999999988</v>
      </c>
      <c r="F30" s="14">
        <f t="shared" si="3"/>
        <v>-0.13707434309073865</v>
      </c>
      <c r="G30" s="88" t="s">
        <v>201</v>
      </c>
      <c r="H30" s="15" t="str">
        <f t="shared" ref="H30:H40" si="4">IF(AND(ISNUMBER(C30),ISNUMBER(G30)), C30-G30, "")</f>
        <v/>
      </c>
      <c r="I30" s="16" t="str">
        <f t="shared" ref="I30:I40" si="5">IFERROR(H30/G30, "")</f>
        <v/>
      </c>
      <c r="J30" s="59" t="s">
        <v>558</v>
      </c>
      <c r="K30" s="59" t="s">
        <v>559</v>
      </c>
      <c r="L30" s="102" t="s">
        <v>527</v>
      </c>
    </row>
    <row r="31" spans="1:12" ht="15.6">
      <c r="A31" s="30" t="str">
        <v>Hudson County Correction</v>
      </c>
      <c r="B31" s="31" t="str">
        <v>NJ</v>
      </c>
      <c r="C31" s="11">
        <v>146524.94410236899</v>
      </c>
      <c r="D31" s="18">
        <v>161265.1</v>
      </c>
      <c r="E31" s="18">
        <f t="shared" si="0"/>
        <v>-14740.155897631019</v>
      </c>
      <c r="F31" s="19">
        <f t="shared" si="3"/>
        <v>-9.1403260207143511E-2</v>
      </c>
      <c r="G31" s="20">
        <v>163486.79999999999</v>
      </c>
      <c r="H31" s="20">
        <f t="shared" si="4"/>
        <v>-16961.855897631001</v>
      </c>
      <c r="I31" s="19">
        <f t="shared" si="5"/>
        <v>-0.10375061410236791</v>
      </c>
      <c r="J31" s="57" t="s">
        <v>560</v>
      </c>
      <c r="K31" s="58" t="s">
        <v>561</v>
      </c>
      <c r="L31" s="102" t="s">
        <v>524</v>
      </c>
    </row>
    <row r="32" spans="1:12" ht="15.6">
      <c r="A32" s="28" t="str">
        <v>ER Bison Solar</v>
      </c>
      <c r="B32" s="29" t="str">
        <v>PA</v>
      </c>
      <c r="C32" s="24">
        <v>176557</v>
      </c>
      <c r="D32" s="13">
        <v>0</v>
      </c>
      <c r="E32" s="13">
        <f t="shared" si="0"/>
        <v>176557</v>
      </c>
      <c r="F32" s="14" t="str">
        <f t="shared" si="3"/>
        <v/>
      </c>
      <c r="G32" s="15">
        <v>157845</v>
      </c>
      <c r="H32" s="15">
        <f t="shared" si="4"/>
        <v>18712</v>
      </c>
      <c r="I32" s="16">
        <f t="shared" si="5"/>
        <v>0.11854667553612722</v>
      </c>
      <c r="J32" s="59" t="s">
        <v>562</v>
      </c>
      <c r="K32" s="59" t="s">
        <v>563</v>
      </c>
      <c r="L32" s="102" t="s">
        <v>527</v>
      </c>
    </row>
    <row r="33" spans="1:12" ht="30" customHeight="1">
      <c r="A33" s="30" t="str">
        <v>Danville</v>
      </c>
      <c r="B33" s="31" t="str">
        <v>IL</v>
      </c>
      <c r="C33" s="11">
        <v>297528.223</v>
      </c>
      <c r="D33" s="18" t="s">
        <v>201</v>
      </c>
      <c r="E33" s="18" t="str">
        <f t="shared" si="0"/>
        <v/>
      </c>
      <c r="F33" s="19" t="str">
        <f t="shared" si="3"/>
        <v/>
      </c>
      <c r="G33" s="89" t="s">
        <v>201</v>
      </c>
      <c r="H33" s="20" t="str">
        <f t="shared" si="4"/>
        <v/>
      </c>
      <c r="I33" s="19" t="str">
        <f t="shared" si="5"/>
        <v/>
      </c>
      <c r="J33" s="57" t="s">
        <v>564</v>
      </c>
      <c r="K33" s="95" t="s">
        <v>565</v>
      </c>
      <c r="L33" s="103" t="s">
        <v>566</v>
      </c>
    </row>
    <row r="34" spans="1:12" ht="86.45">
      <c r="A34" s="28" t="str">
        <v>Camden - Campbell Soup HQ</v>
      </c>
      <c r="B34" s="29" t="str">
        <v>NJ</v>
      </c>
      <c r="C34" s="24">
        <v>231582</v>
      </c>
      <c r="D34" s="13">
        <v>405866.15960000001</v>
      </c>
      <c r="E34" s="13">
        <f t="shared" ref="E34:E40" si="6">IF(AND(ISNUMBER(C34),ISNUMBER(D34)), C34-D34, "")</f>
        <v>-174284.15960000001</v>
      </c>
      <c r="F34" s="14">
        <f t="shared" ref="F34:F40" si="7">IFERROR(E34/D34, "")</f>
        <v>-0.42941288766662677</v>
      </c>
      <c r="G34" s="15">
        <v>377886.4</v>
      </c>
      <c r="H34" s="15">
        <f t="shared" si="4"/>
        <v>-146304.40000000002</v>
      </c>
      <c r="I34" s="16">
        <f t="shared" si="5"/>
        <v>-0.38716503160738258</v>
      </c>
      <c r="J34" s="40" t="s">
        <v>567</v>
      </c>
      <c r="K34" s="59" t="s">
        <v>568</v>
      </c>
      <c r="L34" s="103" t="s">
        <v>569</v>
      </c>
    </row>
    <row r="35" spans="1:12" ht="54.75" customHeight="1">
      <c r="A35" s="30" t="str">
        <v>Westport - Pine Hill</v>
      </c>
      <c r="B35" s="31" t="str">
        <v>MA</v>
      </c>
      <c r="C35" s="11">
        <v>423101</v>
      </c>
      <c r="D35" s="18" t="s">
        <v>201</v>
      </c>
      <c r="E35" s="18" t="str">
        <f t="shared" si="6"/>
        <v/>
      </c>
      <c r="F35" s="19" t="str">
        <f t="shared" si="7"/>
        <v/>
      </c>
      <c r="G35" s="20">
        <v>484790</v>
      </c>
      <c r="H35" s="20">
        <f t="shared" si="4"/>
        <v>-61689</v>
      </c>
      <c r="I35" s="19">
        <f t="shared" si="5"/>
        <v>-0.12724891189999793</v>
      </c>
      <c r="J35" s="57" t="s">
        <v>570</v>
      </c>
      <c r="K35" s="95" t="s">
        <v>571</v>
      </c>
      <c r="L35" s="103" t="s">
        <v>572</v>
      </c>
    </row>
    <row r="36" spans="1:12" ht="81.75" customHeight="1">
      <c r="A36" s="28" t="str">
        <v>Oaks Landfill - ANEM</v>
      </c>
      <c r="B36" s="29" t="str">
        <v>MD</v>
      </c>
      <c r="C36" s="24">
        <v>304376.84000000003</v>
      </c>
      <c r="D36" s="13">
        <v>358887.9</v>
      </c>
      <c r="E36" s="13">
        <f t="shared" si="6"/>
        <v>-54511.06</v>
      </c>
      <c r="F36" s="14">
        <f t="shared" si="7"/>
        <v>-0.15188882099396495</v>
      </c>
      <c r="G36" s="88" t="s">
        <v>201</v>
      </c>
      <c r="H36" s="15" t="str">
        <f t="shared" si="4"/>
        <v/>
      </c>
      <c r="I36" s="16" t="str">
        <f t="shared" si="5"/>
        <v/>
      </c>
      <c r="J36" s="59" t="s">
        <v>573</v>
      </c>
      <c r="K36" s="59" t="s">
        <v>574</v>
      </c>
      <c r="L36" s="103" t="s">
        <v>575</v>
      </c>
    </row>
    <row r="37" spans="1:12" ht="43.15">
      <c r="A37" s="30" t="str">
        <v>Oaks Landfill - CS2</v>
      </c>
      <c r="B37" s="31" t="str">
        <v>MD</v>
      </c>
      <c r="C37" s="11">
        <v>309604.06599999999</v>
      </c>
      <c r="D37" s="18">
        <v>369188.95</v>
      </c>
      <c r="E37" s="18">
        <f t="shared" si="6"/>
        <v>-59584.88400000002</v>
      </c>
      <c r="F37" s="19">
        <f t="shared" si="7"/>
        <v>-0.16139400705248633</v>
      </c>
      <c r="G37" s="89" t="s">
        <v>201</v>
      </c>
      <c r="H37" s="20" t="str">
        <f t="shared" si="4"/>
        <v/>
      </c>
      <c r="I37" s="19" t="str">
        <f t="shared" si="5"/>
        <v/>
      </c>
      <c r="J37" s="57" t="s">
        <v>511</v>
      </c>
      <c r="K37" s="95" t="s">
        <v>576</v>
      </c>
      <c r="L37" s="102" t="s">
        <v>577</v>
      </c>
    </row>
    <row r="38" spans="1:12" ht="43.15">
      <c r="A38" s="28" t="str">
        <v>Oaks Landfill - CS1</v>
      </c>
      <c r="B38" s="29" t="str">
        <v>MD</v>
      </c>
      <c r="C38" s="24">
        <v>312872.25</v>
      </c>
      <c r="D38" s="13">
        <v>361838.95899999997</v>
      </c>
      <c r="E38" s="13">
        <f t="shared" si="6"/>
        <v>-48966.708999999973</v>
      </c>
      <c r="F38" s="14">
        <f t="shared" si="7"/>
        <v>-0.13532735428856896</v>
      </c>
      <c r="G38" s="88" t="s">
        <v>201</v>
      </c>
      <c r="H38" s="15" t="str">
        <f t="shared" si="4"/>
        <v/>
      </c>
      <c r="I38" s="16" t="str">
        <f t="shared" si="5"/>
        <v/>
      </c>
      <c r="J38" s="59" t="s">
        <v>513</v>
      </c>
      <c r="K38" s="59" t="s">
        <v>578</v>
      </c>
      <c r="L38" s="102" t="s">
        <v>532</v>
      </c>
    </row>
    <row r="39" spans="1:12" ht="73.5" customHeight="1">
      <c r="A39" s="30" t="str">
        <v>Plympton - Upland Solar - PV &amp; BESS (IRA)</v>
      </c>
      <c r="B39" s="31" t="str">
        <v>MA</v>
      </c>
      <c r="C39" s="11">
        <v>508335</v>
      </c>
      <c r="D39" s="18">
        <v>675501.6</v>
      </c>
      <c r="E39" s="18">
        <f t="shared" si="6"/>
        <v>-167166.59999999998</v>
      </c>
      <c r="F39" s="19">
        <f t="shared" si="7"/>
        <v>-0.24747032427458349</v>
      </c>
      <c r="G39" s="20">
        <v>488248.61</v>
      </c>
      <c r="H39" s="20">
        <f t="shared" si="4"/>
        <v>20086.390000000014</v>
      </c>
      <c r="I39" s="19">
        <f t="shared" si="5"/>
        <v>4.1139676772454128E-2</v>
      </c>
      <c r="J39" s="57" t="s">
        <v>579</v>
      </c>
      <c r="K39" s="95" t="s">
        <v>580</v>
      </c>
      <c r="L39" s="103" t="s">
        <v>581</v>
      </c>
    </row>
    <row r="40" spans="1:12" ht="15.6">
      <c r="A40" s="28" t="str">
        <v>MA: Plymouth - Black Cat Solar - PV &amp; BESS (IRA)</v>
      </c>
      <c r="B40" s="29" t="str">
        <v>MA</v>
      </c>
      <c r="C40" s="24">
        <v>83197.17</v>
      </c>
      <c r="D40" s="13">
        <v>89936.24</v>
      </c>
      <c r="E40" s="13">
        <f t="shared" si="6"/>
        <v>-6739.070000000007</v>
      </c>
      <c r="F40" s="14">
        <f t="shared" si="7"/>
        <v>-7.4931640459952598E-2</v>
      </c>
      <c r="G40" s="15">
        <v>94552</v>
      </c>
      <c r="H40" s="15">
        <f t="shared" si="4"/>
        <v>-11354.830000000002</v>
      </c>
      <c r="I40" s="16">
        <f t="shared" si="5"/>
        <v>-0.12009084947965143</v>
      </c>
      <c r="J40" s="59" t="s">
        <v>582</v>
      </c>
      <c r="K40" s="59" t="s">
        <v>583</v>
      </c>
      <c r="L40" s="102" t="s">
        <v>527</v>
      </c>
    </row>
    <row r="41" spans="1:12" ht="14.45">
      <c r="A41" s="21"/>
      <c r="B41" s="33"/>
      <c r="C41" s="21"/>
      <c r="D41" s="21"/>
      <c r="E41" s="21"/>
      <c r="F41" s="22"/>
      <c r="G41" s="21"/>
      <c r="H41" s="21"/>
      <c r="I41" s="22"/>
      <c r="J41" s="21"/>
      <c r="K41" s="21"/>
    </row>
    <row r="42" spans="1:12" ht="14.45">
      <c r="A42" s="21"/>
      <c r="B42" s="33"/>
      <c r="C42" s="21"/>
      <c r="D42" s="21"/>
      <c r="E42" s="21"/>
      <c r="F42" s="22"/>
      <c r="G42" s="21"/>
      <c r="H42" s="21"/>
      <c r="I42" s="22"/>
      <c r="J42" s="21"/>
      <c r="K42" s="21"/>
    </row>
    <row r="43" spans="1:12" ht="14.45">
      <c r="A43" s="21"/>
      <c r="B43" s="33"/>
      <c r="C43" s="21"/>
      <c r="D43" s="21"/>
      <c r="E43" s="21"/>
      <c r="F43" s="22"/>
      <c r="G43" s="21"/>
      <c r="H43" s="21"/>
      <c r="I43" s="22"/>
      <c r="J43" s="21"/>
      <c r="K43" s="21"/>
    </row>
    <row r="44" spans="1:12" ht="14.45">
      <c r="A44" s="21"/>
      <c r="B44" s="33"/>
      <c r="C44" s="21"/>
      <c r="D44" s="21"/>
      <c r="E44" s="21"/>
      <c r="F44" s="22"/>
      <c r="G44" s="21"/>
      <c r="H44" s="21"/>
      <c r="I44" s="22"/>
      <c r="J44" s="21"/>
      <c r="K44" s="21"/>
    </row>
    <row r="45" spans="1:12" ht="14.45">
      <c r="A45" s="21"/>
      <c r="B45" s="33"/>
      <c r="C45" s="21"/>
      <c r="D45" s="21"/>
      <c r="E45" s="21"/>
      <c r="F45" s="22"/>
      <c r="G45" s="21"/>
      <c r="H45" s="21"/>
      <c r="I45" s="22"/>
      <c r="J45" s="21"/>
      <c r="K45" s="21"/>
    </row>
    <row r="46" spans="1:12" ht="14.45">
      <c r="A46" s="21"/>
      <c r="B46" s="33"/>
      <c r="C46" s="21"/>
      <c r="D46" s="21"/>
      <c r="E46" s="21"/>
      <c r="F46" s="22"/>
      <c r="G46" s="21"/>
      <c r="H46" s="21"/>
      <c r="I46" s="22"/>
      <c r="J46" s="21"/>
      <c r="K46" s="21"/>
    </row>
    <row r="47" spans="1:12" ht="14.45">
      <c r="A47" s="21"/>
      <c r="B47" s="33"/>
      <c r="C47" s="21"/>
      <c r="D47" s="21"/>
      <c r="E47" s="21"/>
      <c r="F47" s="22"/>
      <c r="G47" s="21"/>
      <c r="H47" s="21"/>
      <c r="I47" s="22"/>
      <c r="J47" s="21"/>
      <c r="K47" s="21"/>
    </row>
    <row r="48" spans="1:12"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15" priority="3" stopIfTrue="1" operator="lessThanOrEqual">
      <formula>-0.1</formula>
    </cfRule>
    <cfRule type="expression" dxfId="14" priority="4">
      <formula>AND(ISNUMBER(F2), F2&gt;=0.1)</formula>
    </cfRule>
  </conditionalFormatting>
  <conditionalFormatting sqref="F4:F100 I4:I100">
    <cfRule type="cellIs" dxfId="13" priority="1" stopIfTrue="1" operator="lessThanOrEqual">
      <formula>-0.1</formula>
    </cfRule>
    <cfRule type="expression" dxfId="12"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342"/>
  <sheetViews>
    <sheetView zoomScale="70" zoomScaleNormal="70" workbookViewId="0">
      <pane xSplit="2" ySplit="3" topLeftCell="C31" activePane="bottomRight" state="frozen"/>
      <selection pane="bottomRight" activeCell="J40" sqref="J40"/>
      <selection pane="bottomLeft" activeCell="F38" sqref="F38"/>
      <selection pane="topRight" activeCell="F38" sqref="F38"/>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1" style="102" customWidth="1"/>
    <col min="12" max="12" width="19.5703125" style="102" customWidth="1"/>
  </cols>
  <sheetData>
    <row r="1" spans="1:12" ht="19.5" customHeight="1">
      <c r="A1" s="117" t="str" cm="1">
        <f t="array" ref="A1">portfolio</f>
        <v>Greenbacker Capital</v>
      </c>
      <c r="B1" s="117"/>
      <c r="C1" s="117"/>
      <c r="D1" s="118" t="s">
        <v>584</v>
      </c>
      <c r="E1" s="118"/>
      <c r="F1" s="118"/>
      <c r="G1" s="116" t="s">
        <v>585</v>
      </c>
      <c r="H1" s="116"/>
      <c r="I1" s="116"/>
      <c r="J1" s="4"/>
      <c r="K1" s="105"/>
      <c r="L1" s="105"/>
    </row>
    <row r="2" spans="1:12" ht="19.5" customHeight="1">
      <c r="A2" s="119" t="s">
        <v>2</v>
      </c>
      <c r="B2" s="119"/>
      <c r="C2" s="5">
        <f>SUM(C4:C100)</f>
        <v>3505400.3599042995</v>
      </c>
      <c r="D2" s="5">
        <f>SUM(D4:D100)</f>
        <v>3508358.7830999997</v>
      </c>
      <c r="E2" s="5">
        <f>C2-D2</f>
        <v>-2958.4231957001612</v>
      </c>
      <c r="F2" s="6">
        <f>IFERROR(E2/D2, 0)</f>
        <v>-8.432499007658751E-4</v>
      </c>
      <c r="G2" s="5">
        <f>SUM(G4:G100)</f>
        <v>2674900.8480000002</v>
      </c>
      <c r="H2" s="7">
        <f>C2-G2</f>
        <v>830499.51190429926</v>
      </c>
      <c r="I2" s="6">
        <f>IFERROR(H2/G2, 0)</f>
        <v>0.31047861550653605</v>
      </c>
      <c r="J2" s="2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105"/>
      <c r="L2" s="105"/>
    </row>
    <row r="3" spans="1:12" ht="14.25" customHeight="1">
      <c r="A3" s="8" t="s">
        <v>3</v>
      </c>
      <c r="B3" s="8" t="s">
        <v>4</v>
      </c>
      <c r="C3" s="23" t="s">
        <v>5</v>
      </c>
      <c r="D3" s="35" t="s">
        <v>6</v>
      </c>
      <c r="E3" s="35" t="s">
        <v>7</v>
      </c>
      <c r="F3" s="36" t="s">
        <v>8</v>
      </c>
      <c r="G3" s="37" t="s">
        <v>9</v>
      </c>
      <c r="H3" s="38" t="s">
        <v>7</v>
      </c>
      <c r="I3" s="39" t="s">
        <v>8</v>
      </c>
      <c r="J3" s="25" t="s">
        <v>20</v>
      </c>
      <c r="K3" s="106" t="s">
        <v>21</v>
      </c>
      <c r="L3" s="106" t="s">
        <v>522</v>
      </c>
    </row>
    <row r="4" spans="1:12" ht="28.9">
      <c r="A4" s="32" t="str" cm="1">
        <f t="array" ref="A4:A40">Sites[Site]</f>
        <v>10 Walpole Park South</v>
      </c>
      <c r="B4" s="29" t="str" cm="1">
        <f t="array" ref="B4:B40">Sites[State]</f>
        <v>MA</v>
      </c>
      <c r="C4" s="24">
        <v>5312.875</v>
      </c>
      <c r="D4" s="13">
        <v>7965.6080000000002</v>
      </c>
      <c r="E4" s="13">
        <f>IF(AND(ISNUMBER(C4),ISNUMBER(D4)), C4-D4, "")</f>
        <v>-2652.7330000000002</v>
      </c>
      <c r="F4" s="14">
        <f>IFERROR(E4/D4, "")</f>
        <v>-0.33302329213287929</v>
      </c>
      <c r="G4" s="15">
        <v>8475.2180000000008</v>
      </c>
      <c r="H4" s="15">
        <f>IF(AND(ISNUMBER(C4),ISNUMBER(G4)), C4-G4, "")</f>
        <v>-3162.3430000000008</v>
      </c>
      <c r="I4" s="16">
        <f>IFERROR(H4/G4, "")</f>
        <v>-0.37312821923872641</v>
      </c>
      <c r="J4" s="40" t="s">
        <v>523</v>
      </c>
      <c r="K4" s="40" t="s">
        <v>454</v>
      </c>
      <c r="L4" s="40" t="s">
        <v>524</v>
      </c>
    </row>
    <row r="5" spans="1:12" ht="15.6">
      <c r="A5" s="30" t="str">
        <v>15 Walpole Park South</v>
      </c>
      <c r="B5" s="31" t="str">
        <v>MA</v>
      </c>
      <c r="C5" s="11">
        <v>29396.25</v>
      </c>
      <c r="D5" s="18">
        <v>29205.31</v>
      </c>
      <c r="E5" s="18">
        <f t="shared" ref="E5:E40" si="0">IF(AND(ISNUMBER(C5),ISNUMBER(D5)), C5-D5, "")</f>
        <v>190.93999999999869</v>
      </c>
      <c r="F5" s="19">
        <f>IFERROR(E5/D5, "")</f>
        <v>6.5378521919472413E-3</v>
      </c>
      <c r="G5" s="20">
        <v>28011.8</v>
      </c>
      <c r="H5" s="20">
        <f t="shared" ref="H5:H40" si="1">IF(AND(ISNUMBER(C5),ISNUMBER(G5)), C5-G5, "")</f>
        <v>1384.4500000000007</v>
      </c>
      <c r="I5" s="19">
        <f t="shared" ref="I5:I40" si="2">IFERROR(H5/G5, "")</f>
        <v>4.9423814249709076E-2</v>
      </c>
      <c r="J5" s="41"/>
      <c r="K5" s="56"/>
      <c r="L5" s="56"/>
    </row>
    <row r="6" spans="1:12" ht="15.6">
      <c r="A6" s="28" t="str">
        <v>19 Walpole Park South</v>
      </c>
      <c r="B6" s="29" t="str">
        <v>MA</v>
      </c>
      <c r="C6" s="24">
        <v>17004</v>
      </c>
      <c r="D6" s="13">
        <v>17752.41</v>
      </c>
      <c r="E6" s="13">
        <f t="shared" si="0"/>
        <v>-748.40999999999985</v>
      </c>
      <c r="F6" s="14">
        <f t="shared" ref="F6:F40" si="3">IFERROR(E6/D6, "")</f>
        <v>-4.2158219644544026E-2</v>
      </c>
      <c r="G6" s="15">
        <v>18222.05</v>
      </c>
      <c r="H6" s="15">
        <f t="shared" si="1"/>
        <v>-1218.0499999999993</v>
      </c>
      <c r="I6" s="16">
        <f t="shared" si="2"/>
        <v>-6.6844839082320556E-2</v>
      </c>
      <c r="J6" s="40"/>
      <c r="K6" s="40"/>
      <c r="L6" s="40"/>
    </row>
    <row r="7" spans="1:12" ht="15.6">
      <c r="A7" s="30" t="str">
        <v>23 Walpole Park South</v>
      </c>
      <c r="B7" s="31" t="str">
        <v>MA</v>
      </c>
      <c r="C7" s="11">
        <v>22620.25</v>
      </c>
      <c r="D7" s="18">
        <v>23343.279999999999</v>
      </c>
      <c r="E7" s="18">
        <f t="shared" si="0"/>
        <v>-723.02999999999884</v>
      </c>
      <c r="F7" s="19">
        <f t="shared" si="3"/>
        <v>-3.0973796313114477E-2</v>
      </c>
      <c r="G7" s="20">
        <v>23527.21</v>
      </c>
      <c r="H7" s="20">
        <f t="shared" si="1"/>
        <v>-906.95999999999913</v>
      </c>
      <c r="I7" s="19">
        <f t="shared" si="2"/>
        <v>-3.8549407260784395E-2</v>
      </c>
      <c r="J7" s="41" t="s">
        <v>586</v>
      </c>
      <c r="K7" s="55" t="s">
        <v>347</v>
      </c>
      <c r="L7" s="55" t="s">
        <v>524</v>
      </c>
    </row>
    <row r="8" spans="1:12" ht="39.75" customHeight="1">
      <c r="A8" s="28" t="str">
        <v>24 Walpole Park South</v>
      </c>
      <c r="B8" s="29" t="str">
        <v>MA</v>
      </c>
      <c r="C8" s="24">
        <v>32095.5</v>
      </c>
      <c r="D8" s="13">
        <v>21647.16</v>
      </c>
      <c r="E8" s="13">
        <f t="shared" si="0"/>
        <v>10448.34</v>
      </c>
      <c r="F8" s="14">
        <f t="shared" si="3"/>
        <v>0.48266562449762462</v>
      </c>
      <c r="G8" s="15">
        <v>36215.82</v>
      </c>
      <c r="H8" s="15">
        <f t="shared" si="1"/>
        <v>-4120.32</v>
      </c>
      <c r="I8" s="16">
        <f t="shared" si="2"/>
        <v>-0.11377127454245133</v>
      </c>
      <c r="J8" s="40" t="s">
        <v>587</v>
      </c>
      <c r="K8" s="40" t="s">
        <v>588</v>
      </c>
      <c r="L8" s="40" t="s">
        <v>589</v>
      </c>
    </row>
    <row r="9" spans="1:12" ht="28.9">
      <c r="A9" s="30" t="str">
        <v>25 Walpole Park South</v>
      </c>
      <c r="B9" s="31" t="str">
        <v>MA</v>
      </c>
      <c r="C9" s="11">
        <v>33855</v>
      </c>
      <c r="D9" s="18">
        <v>35601.01</v>
      </c>
      <c r="E9" s="18">
        <f t="shared" si="0"/>
        <v>-1746.010000000002</v>
      </c>
      <c r="F9" s="19">
        <f t="shared" si="3"/>
        <v>-4.904383330697646E-2</v>
      </c>
      <c r="G9" s="20">
        <v>37223.160000000003</v>
      </c>
      <c r="H9" s="20">
        <f t="shared" si="1"/>
        <v>-3368.1600000000035</v>
      </c>
      <c r="I9" s="19">
        <f t="shared" si="2"/>
        <v>-9.0485600900084867E-2</v>
      </c>
      <c r="J9" s="56" t="s">
        <v>533</v>
      </c>
      <c r="K9" s="104" t="s">
        <v>590</v>
      </c>
      <c r="L9" s="104" t="s">
        <v>591</v>
      </c>
    </row>
    <row r="10" spans="1:12" ht="15.6">
      <c r="A10" s="28" t="str">
        <v>3 Walpole Park South</v>
      </c>
      <c r="B10" s="29" t="str">
        <v>MA</v>
      </c>
      <c r="C10" s="24">
        <v>42537</v>
      </c>
      <c r="D10" s="13">
        <v>43064.67</v>
      </c>
      <c r="E10" s="13">
        <f t="shared" si="0"/>
        <v>-527.66999999999825</v>
      </c>
      <c r="F10" s="14">
        <f t="shared" si="3"/>
        <v>-1.2252967455689276E-2</v>
      </c>
      <c r="G10" s="15">
        <v>43296.25</v>
      </c>
      <c r="H10" s="15">
        <f t="shared" si="1"/>
        <v>-759.25</v>
      </c>
      <c r="I10" s="16">
        <f t="shared" si="2"/>
        <v>-1.7536160752952046E-2</v>
      </c>
      <c r="J10" s="40"/>
      <c r="K10" s="40"/>
      <c r="L10" s="40"/>
    </row>
    <row r="11" spans="1:12" ht="15.6">
      <c r="A11" s="30" t="str">
        <v>4 Walpole Park South</v>
      </c>
      <c r="B11" s="31" t="str">
        <v>MA</v>
      </c>
      <c r="C11" s="11">
        <v>24990</v>
      </c>
      <c r="D11" s="18">
        <v>25815.11</v>
      </c>
      <c r="E11" s="18">
        <f t="shared" si="0"/>
        <v>-825.11000000000058</v>
      </c>
      <c r="F11" s="19">
        <f t="shared" si="3"/>
        <v>-3.1962288752594915E-2</v>
      </c>
      <c r="G11" s="20">
        <v>24834.81</v>
      </c>
      <c r="H11" s="20">
        <f t="shared" si="1"/>
        <v>155.18999999999869</v>
      </c>
      <c r="I11" s="19">
        <f t="shared" si="2"/>
        <v>6.2488901666652042E-3</v>
      </c>
      <c r="J11" s="41"/>
      <c r="K11" s="55"/>
      <c r="L11" s="55"/>
    </row>
    <row r="12" spans="1:12" ht="63.75" customHeight="1">
      <c r="A12" s="28" t="str">
        <v>Brockton</v>
      </c>
      <c r="B12" s="29" t="str">
        <v>MA</v>
      </c>
      <c r="C12" s="24">
        <v>41421.405000000297</v>
      </c>
      <c r="D12" s="13">
        <v>36796.06</v>
      </c>
      <c r="E12" s="13">
        <f t="shared" si="0"/>
        <v>4625.3450000002995</v>
      </c>
      <c r="F12" s="14">
        <f t="shared" si="3"/>
        <v>0.12570218115744727</v>
      </c>
      <c r="G12" s="15">
        <v>43754.55</v>
      </c>
      <c r="H12" s="15">
        <f t="shared" si="1"/>
        <v>-2333.1449999997058</v>
      </c>
      <c r="I12" s="16">
        <f t="shared" si="2"/>
        <v>-5.3323482929197204E-2</v>
      </c>
      <c r="J12" s="40" t="s">
        <v>592</v>
      </c>
      <c r="K12" s="40" t="s">
        <v>536</v>
      </c>
      <c r="L12" s="40" t="s">
        <v>532</v>
      </c>
    </row>
    <row r="13" spans="1:12" ht="15.6">
      <c r="A13" s="30" t="str">
        <v>Canton</v>
      </c>
      <c r="B13" s="31" t="str">
        <v>MA</v>
      </c>
      <c r="C13" s="11">
        <v>37994</v>
      </c>
      <c r="D13" s="18">
        <v>40013.86</v>
      </c>
      <c r="E13" s="18">
        <f t="shared" si="0"/>
        <v>-2019.8600000000006</v>
      </c>
      <c r="F13" s="19">
        <f t="shared" si="3"/>
        <v>-5.0479009023373413E-2</v>
      </c>
      <c r="G13" s="20">
        <v>40343.199999999997</v>
      </c>
      <c r="H13" s="20">
        <f t="shared" si="1"/>
        <v>-2349.1999999999971</v>
      </c>
      <c r="I13" s="19">
        <f t="shared" si="2"/>
        <v>-5.8230383311189925E-2</v>
      </c>
      <c r="J13" s="41"/>
      <c r="K13" s="55"/>
      <c r="L13" s="55"/>
    </row>
    <row r="14" spans="1:12" ht="85.5" customHeight="1">
      <c r="A14" s="28" t="str">
        <v>Chelsea</v>
      </c>
      <c r="B14" s="29" t="str">
        <v>MA</v>
      </c>
      <c r="C14" s="24">
        <v>71214.570000000298</v>
      </c>
      <c r="D14" s="13">
        <v>66563.460000000006</v>
      </c>
      <c r="E14" s="13">
        <f t="shared" si="0"/>
        <v>4651.1100000002916</v>
      </c>
      <c r="F14" s="14">
        <f t="shared" si="3"/>
        <v>6.9874823213821685E-2</v>
      </c>
      <c r="G14" s="15">
        <v>65902.52</v>
      </c>
      <c r="H14" s="15">
        <f t="shared" si="1"/>
        <v>5312.0500000002939</v>
      </c>
      <c r="I14" s="16">
        <f t="shared" si="2"/>
        <v>8.0604656695985127E-2</v>
      </c>
      <c r="J14" s="40"/>
      <c r="K14" s="40"/>
      <c r="L14" s="40"/>
    </row>
    <row r="15" spans="1:12" ht="28.9">
      <c r="A15" s="30" t="str">
        <v>Hamilton Landfill</v>
      </c>
      <c r="B15" s="31" t="str">
        <v>MA</v>
      </c>
      <c r="C15" s="11">
        <v>55078.3</v>
      </c>
      <c r="D15" s="18">
        <v>69507.399999999994</v>
      </c>
      <c r="E15" s="18">
        <f t="shared" si="0"/>
        <v>-14429.099999999991</v>
      </c>
      <c r="F15" s="19">
        <f t="shared" si="3"/>
        <v>-0.20759084644224921</v>
      </c>
      <c r="G15" s="89" t="s">
        <v>201</v>
      </c>
      <c r="H15" s="20" t="str">
        <f t="shared" si="1"/>
        <v/>
      </c>
      <c r="I15" s="19" t="str">
        <f t="shared" si="2"/>
        <v/>
      </c>
      <c r="J15" s="41" t="s">
        <v>593</v>
      </c>
      <c r="K15" s="55" t="s">
        <v>594</v>
      </c>
      <c r="L15" s="55" t="s">
        <v>591</v>
      </c>
    </row>
    <row r="16" spans="1:12" ht="72">
      <c r="A16" s="28" t="str">
        <v>Holliston</v>
      </c>
      <c r="B16" s="29" t="str">
        <v>MA</v>
      </c>
      <c r="C16" s="24">
        <v>84208</v>
      </c>
      <c r="D16" s="13">
        <v>84110.8</v>
      </c>
      <c r="E16" s="13">
        <f t="shared" si="0"/>
        <v>97.19999999999709</v>
      </c>
      <c r="F16" s="14">
        <f t="shared" si="3"/>
        <v>1.1556185412574496E-3</v>
      </c>
      <c r="G16" s="15">
        <v>102319.1</v>
      </c>
      <c r="H16" s="15">
        <f t="shared" si="1"/>
        <v>-18111.100000000006</v>
      </c>
      <c r="I16" s="16">
        <f t="shared" si="2"/>
        <v>-0.17700605263337935</v>
      </c>
      <c r="J16" s="40" t="s">
        <v>595</v>
      </c>
      <c r="K16" s="40" t="s">
        <v>596</v>
      </c>
      <c r="L16" s="40" t="s">
        <v>597</v>
      </c>
    </row>
    <row r="17" spans="1:12" ht="15.6">
      <c r="A17" s="30" t="str">
        <v>Natick HS - Carports</v>
      </c>
      <c r="B17" s="31" t="str">
        <v>MA</v>
      </c>
      <c r="C17" s="11">
        <v>30257.7</v>
      </c>
      <c r="D17" s="18">
        <v>37348.5</v>
      </c>
      <c r="E17" s="18">
        <f t="shared" si="0"/>
        <v>-7090.7999999999993</v>
      </c>
      <c r="F17" s="19">
        <f t="shared" si="3"/>
        <v>-0.18985501425760068</v>
      </c>
      <c r="G17" s="89" t="s">
        <v>201</v>
      </c>
      <c r="H17" s="20" t="str">
        <f t="shared" si="1"/>
        <v/>
      </c>
      <c r="I17" s="19" t="str">
        <f t="shared" si="2"/>
        <v/>
      </c>
      <c r="J17" s="41" t="s">
        <v>598</v>
      </c>
      <c r="K17" s="55" t="s">
        <v>546</v>
      </c>
      <c r="L17" s="55" t="s">
        <v>591</v>
      </c>
    </row>
    <row r="18" spans="1:12" ht="33.75" customHeight="1">
      <c r="A18" s="32" t="str">
        <v>Norton</v>
      </c>
      <c r="B18" s="29" t="str">
        <v>MA</v>
      </c>
      <c r="C18" s="24">
        <v>109020</v>
      </c>
      <c r="D18" s="13">
        <v>171386.3</v>
      </c>
      <c r="E18" s="13">
        <f t="shared" si="0"/>
        <v>-62366.299999999988</v>
      </c>
      <c r="F18" s="14">
        <f t="shared" si="3"/>
        <v>-0.36389314665174516</v>
      </c>
      <c r="G18" s="15">
        <v>208082.7</v>
      </c>
      <c r="H18" s="15">
        <f t="shared" si="1"/>
        <v>-99062.700000000012</v>
      </c>
      <c r="I18" s="16">
        <f t="shared" si="2"/>
        <v>-0.47607369569887359</v>
      </c>
      <c r="J18" s="40" t="s">
        <v>599</v>
      </c>
      <c r="K18" s="40" t="s">
        <v>600</v>
      </c>
      <c r="L18" s="40" t="s">
        <v>591</v>
      </c>
    </row>
    <row r="19" spans="1:12" ht="43.15">
      <c r="A19" s="30" t="str">
        <v>Palmer - Boston Rd.</v>
      </c>
      <c r="B19" s="31" t="str">
        <v>MA</v>
      </c>
      <c r="C19" s="11">
        <v>39726.5</v>
      </c>
      <c r="D19" s="18">
        <v>44830.92</v>
      </c>
      <c r="E19" s="18">
        <f t="shared" si="0"/>
        <v>-5104.4199999999983</v>
      </c>
      <c r="F19" s="19">
        <f t="shared" si="3"/>
        <v>-0.11385936313597844</v>
      </c>
      <c r="G19" s="20">
        <v>38805</v>
      </c>
      <c r="H19" s="20">
        <f t="shared" si="1"/>
        <v>921.5</v>
      </c>
      <c r="I19" s="19">
        <f t="shared" si="2"/>
        <v>2.3746939827341839E-2</v>
      </c>
      <c r="J19" s="41" t="s">
        <v>601</v>
      </c>
      <c r="K19" s="55" t="s">
        <v>602</v>
      </c>
      <c r="L19" s="55" t="s">
        <v>591</v>
      </c>
    </row>
    <row r="20" spans="1:12" ht="15.6">
      <c r="A20" s="28" t="str">
        <v>Shirley Bartkus</v>
      </c>
      <c r="B20" s="29" t="str">
        <v>MA</v>
      </c>
      <c r="C20" s="24">
        <v>60487</v>
      </c>
      <c r="D20" s="13">
        <v>86449.2</v>
      </c>
      <c r="E20" s="13">
        <f t="shared" si="0"/>
        <v>-25962.199999999997</v>
      </c>
      <c r="F20" s="14">
        <f t="shared" si="3"/>
        <v>-0.30031741184418131</v>
      </c>
      <c r="G20" s="15"/>
      <c r="H20" s="15" t="str">
        <f t="shared" si="1"/>
        <v/>
      </c>
      <c r="I20" s="16" t="str">
        <f t="shared" si="2"/>
        <v/>
      </c>
      <c r="J20" s="40" t="s">
        <v>549</v>
      </c>
      <c r="K20" s="40"/>
      <c r="L20" s="40"/>
    </row>
    <row r="21" spans="1:12" ht="28.9">
      <c r="A21" s="30" t="str">
        <v>Stoughton</v>
      </c>
      <c r="B21" s="31" t="str">
        <v>MA</v>
      </c>
      <c r="C21" s="11">
        <v>49272.5</v>
      </c>
      <c r="D21" s="18">
        <v>35670.370000000003</v>
      </c>
      <c r="E21" s="18">
        <f t="shared" si="0"/>
        <v>13602.129999999997</v>
      </c>
      <c r="F21" s="19">
        <f t="shared" si="3"/>
        <v>0.38132853682201773</v>
      </c>
      <c r="G21" s="20">
        <v>46368.15</v>
      </c>
      <c r="H21" s="20">
        <f t="shared" si="1"/>
        <v>2904.3499999999985</v>
      </c>
      <c r="I21" s="19">
        <f t="shared" si="2"/>
        <v>6.2636745265877508E-2</v>
      </c>
      <c r="J21" s="41" t="s">
        <v>603</v>
      </c>
      <c r="K21" s="55"/>
      <c r="L21" s="55"/>
    </row>
    <row r="22" spans="1:12" ht="43.15">
      <c r="A22" s="28" t="str">
        <v>Wellfleet Landfill</v>
      </c>
      <c r="B22" s="29" t="str">
        <v>MA</v>
      </c>
      <c r="C22" s="24">
        <v>52542.6</v>
      </c>
      <c r="D22" s="13">
        <v>46276.1</v>
      </c>
      <c r="E22" s="13">
        <f t="shared" si="0"/>
        <v>6266.5</v>
      </c>
      <c r="F22" s="14">
        <f t="shared" si="3"/>
        <v>0.13541547364622344</v>
      </c>
      <c r="G22" s="88" t="s">
        <v>201</v>
      </c>
      <c r="H22" s="15" t="str">
        <f t="shared" si="1"/>
        <v/>
      </c>
      <c r="I22" s="16" t="str">
        <f t="shared" si="2"/>
        <v/>
      </c>
      <c r="J22" s="40" t="s">
        <v>604</v>
      </c>
      <c r="K22" s="40" t="s">
        <v>605</v>
      </c>
      <c r="L22" s="40" t="s">
        <v>606</v>
      </c>
    </row>
    <row r="23" spans="1:12" ht="62.45">
      <c r="A23" s="30" t="str">
        <v>Wilmington Garage &amp; Building 7</v>
      </c>
      <c r="B23" s="31" t="str">
        <v>MA</v>
      </c>
      <c r="C23" s="11">
        <v>52438.625</v>
      </c>
      <c r="D23" s="18">
        <v>63432.88</v>
      </c>
      <c r="E23" s="18">
        <f t="shared" si="0"/>
        <v>-10994.254999999997</v>
      </c>
      <c r="F23" s="19">
        <f t="shared" si="3"/>
        <v>-0.17332107575755662</v>
      </c>
      <c r="G23" s="20">
        <v>65826.09</v>
      </c>
      <c r="H23" s="20">
        <f t="shared" si="1"/>
        <v>-13387.464999999997</v>
      </c>
      <c r="I23" s="19">
        <f t="shared" si="2"/>
        <v>-0.20337627527322369</v>
      </c>
      <c r="J23" s="41" t="s">
        <v>607</v>
      </c>
      <c r="K23" s="55" t="s">
        <v>608</v>
      </c>
      <c r="L23" s="55" t="s">
        <v>609</v>
      </c>
    </row>
    <row r="24" spans="1:12" ht="15.6">
      <c r="A24" s="28" t="str">
        <v>Woburn</v>
      </c>
      <c r="B24" s="29" t="str">
        <v>MA</v>
      </c>
      <c r="C24" s="24">
        <v>95978</v>
      </c>
      <c r="D24" s="13">
        <v>111901</v>
      </c>
      <c r="E24" s="13">
        <f t="shared" si="0"/>
        <v>-15923</v>
      </c>
      <c r="F24" s="14">
        <f t="shared" si="3"/>
        <v>-0.14229542184609612</v>
      </c>
      <c r="G24" s="15">
        <v>97106.86</v>
      </c>
      <c r="H24" s="15">
        <f t="shared" si="1"/>
        <v>-1128.8600000000006</v>
      </c>
      <c r="I24" s="16">
        <f t="shared" si="2"/>
        <v>-1.162492536572597E-2</v>
      </c>
      <c r="J24" s="40" t="s">
        <v>610</v>
      </c>
      <c r="K24" s="40" t="s">
        <v>611</v>
      </c>
      <c r="L24" s="40" t="s">
        <v>524</v>
      </c>
    </row>
    <row r="25" spans="1:12" ht="15.6">
      <c r="A25" s="30" t="str">
        <v>Friendship Solar 1</v>
      </c>
      <c r="B25" s="31" t="str">
        <v>MD</v>
      </c>
      <c r="C25" s="11">
        <v>249688</v>
      </c>
      <c r="D25" s="18">
        <v>250506.9</v>
      </c>
      <c r="E25" s="18">
        <f t="shared" si="0"/>
        <v>-818.89999999999418</v>
      </c>
      <c r="F25" s="19">
        <f t="shared" si="3"/>
        <v>-3.26897183271197E-3</v>
      </c>
      <c r="G25" s="20">
        <v>267825.09999999998</v>
      </c>
      <c r="H25" s="20">
        <f t="shared" si="1"/>
        <v>-18137.099999999977</v>
      </c>
      <c r="I25" s="19">
        <f t="shared" si="2"/>
        <v>-6.7719941110821871E-2</v>
      </c>
      <c r="J25" s="56"/>
      <c r="K25" s="64"/>
      <c r="L25" s="64"/>
    </row>
    <row r="26" spans="1:12" ht="15.6">
      <c r="A26" s="28" t="str">
        <v>Friendship Solar 2</v>
      </c>
      <c r="B26" s="29" t="str">
        <v>MD</v>
      </c>
      <c r="C26" s="24">
        <v>247234</v>
      </c>
      <c r="D26" s="13">
        <v>259885.7</v>
      </c>
      <c r="E26" s="13">
        <f t="shared" si="0"/>
        <v>-12651.700000000012</v>
      </c>
      <c r="F26" s="14">
        <f t="shared" si="3"/>
        <v>-4.8681785877406916E-2</v>
      </c>
      <c r="G26" s="15">
        <v>264146.3</v>
      </c>
      <c r="H26" s="15">
        <f t="shared" si="1"/>
        <v>-16912.299999999988</v>
      </c>
      <c r="I26" s="16">
        <f t="shared" si="2"/>
        <v>-6.4026261204491564E-2</v>
      </c>
      <c r="J26" s="40"/>
      <c r="K26" s="40"/>
      <c r="L26" s="40"/>
    </row>
    <row r="27" spans="1:12" ht="28.9">
      <c r="A27" s="30" t="str">
        <v>101 Carnegie Center</v>
      </c>
      <c r="B27" s="31" t="str">
        <v>NJ</v>
      </c>
      <c r="C27" s="11">
        <v>0</v>
      </c>
      <c r="D27" s="18">
        <v>0</v>
      </c>
      <c r="E27" s="18">
        <f t="shared" si="0"/>
        <v>0</v>
      </c>
      <c r="F27" s="19" t="str">
        <f t="shared" si="3"/>
        <v/>
      </c>
      <c r="G27" s="89" t="s">
        <v>201</v>
      </c>
      <c r="H27" s="20" t="str">
        <f t="shared" si="1"/>
        <v/>
      </c>
      <c r="I27" s="19" t="str">
        <f t="shared" si="2"/>
        <v/>
      </c>
      <c r="J27" s="41" t="s">
        <v>324</v>
      </c>
      <c r="K27" s="94" t="s">
        <v>555</v>
      </c>
      <c r="L27" s="94" t="s">
        <v>591</v>
      </c>
    </row>
    <row r="28" spans="1:12" ht="15.6">
      <c r="A28" s="28" t="str">
        <v>302 Carnegie Center</v>
      </c>
      <c r="B28" s="29" t="str">
        <v>NJ</v>
      </c>
      <c r="C28" s="24">
        <v>35618.400000000001</v>
      </c>
      <c r="D28" s="13">
        <v>38212.300000000003</v>
      </c>
      <c r="E28" s="13">
        <f t="shared" si="0"/>
        <v>-2593.9000000000015</v>
      </c>
      <c r="F28" s="14">
        <f t="shared" si="3"/>
        <v>-6.7881284298511244E-2</v>
      </c>
      <c r="G28" s="88" t="s">
        <v>201</v>
      </c>
      <c r="H28" s="15" t="str">
        <f t="shared" si="1"/>
        <v/>
      </c>
      <c r="I28" s="16" t="str">
        <f t="shared" si="2"/>
        <v/>
      </c>
      <c r="J28" s="40"/>
      <c r="K28" s="40"/>
      <c r="L28" s="40"/>
    </row>
    <row r="29" spans="1:12" ht="15.6">
      <c r="A29" s="30" t="str">
        <v>510 Carnegie Center</v>
      </c>
      <c r="B29" s="31" t="str">
        <v>NJ</v>
      </c>
      <c r="C29" s="11">
        <v>86575.1</v>
      </c>
      <c r="D29" s="18">
        <v>101140.2</v>
      </c>
      <c r="E29" s="18">
        <f t="shared" si="0"/>
        <v>-14565.099999999991</v>
      </c>
      <c r="F29" s="19">
        <f t="shared" si="3"/>
        <v>-0.14400900927623231</v>
      </c>
      <c r="G29" s="89" t="s">
        <v>201</v>
      </c>
      <c r="H29" s="20" t="str">
        <f t="shared" si="1"/>
        <v/>
      </c>
      <c r="I29" s="19" t="str">
        <f t="shared" si="2"/>
        <v/>
      </c>
      <c r="J29" s="41" t="s">
        <v>612</v>
      </c>
      <c r="K29" s="107" t="s">
        <v>613</v>
      </c>
      <c r="L29" s="107" t="s">
        <v>614</v>
      </c>
    </row>
    <row r="30" spans="1:12" ht="15.6">
      <c r="A30" s="28" t="str">
        <v>701 Carnegie Center</v>
      </c>
      <c r="B30" s="29" t="str">
        <v>NJ</v>
      </c>
      <c r="C30" s="24">
        <v>67207.100000000006</v>
      </c>
      <c r="D30" s="13">
        <v>77190.600000000006</v>
      </c>
      <c r="E30" s="13">
        <f t="shared" si="0"/>
        <v>-9983.5</v>
      </c>
      <c r="F30" s="14">
        <f t="shared" si="3"/>
        <v>-0.12933569631535444</v>
      </c>
      <c r="G30" s="88" t="s">
        <v>201</v>
      </c>
      <c r="H30" s="15" t="str">
        <f t="shared" si="1"/>
        <v/>
      </c>
      <c r="I30" s="16" t="str">
        <f t="shared" si="2"/>
        <v/>
      </c>
      <c r="J30" s="40" t="s">
        <v>615</v>
      </c>
      <c r="K30" s="40" t="s">
        <v>616</v>
      </c>
      <c r="L30" s="40" t="s">
        <v>617</v>
      </c>
    </row>
    <row r="31" spans="1:12" ht="43.15">
      <c r="A31" s="30" t="str">
        <v>Hudson County Correction</v>
      </c>
      <c r="B31" s="31" t="str">
        <v>NJ</v>
      </c>
      <c r="C31" s="11">
        <v>91392.684904298701</v>
      </c>
      <c r="D31" s="18">
        <v>108777.3</v>
      </c>
      <c r="E31" s="18">
        <f t="shared" si="0"/>
        <v>-17384.615095701301</v>
      </c>
      <c r="F31" s="19">
        <f t="shared" si="3"/>
        <v>-0.15981840968383387</v>
      </c>
      <c r="G31" s="20">
        <v>129416.1</v>
      </c>
      <c r="H31" s="20">
        <f t="shared" si="1"/>
        <v>-38023.415095701304</v>
      </c>
      <c r="I31" s="19">
        <f t="shared" si="2"/>
        <v>-0.29380745591700957</v>
      </c>
      <c r="J31" s="114" t="s">
        <v>618</v>
      </c>
      <c r="K31" s="107" t="s">
        <v>561</v>
      </c>
      <c r="L31" s="107" t="s">
        <v>524</v>
      </c>
    </row>
    <row r="32" spans="1:12" ht="15.6">
      <c r="A32" s="28" t="str">
        <v>ER Bison Solar</v>
      </c>
      <c r="B32" s="29" t="str">
        <v>PA</v>
      </c>
      <c r="C32" s="24">
        <v>100499</v>
      </c>
      <c r="D32" s="13">
        <v>0</v>
      </c>
      <c r="E32" s="13">
        <f t="shared" si="0"/>
        <v>100499</v>
      </c>
      <c r="F32" s="14" t="str">
        <f t="shared" si="3"/>
        <v/>
      </c>
      <c r="G32" s="88">
        <v>103550</v>
      </c>
      <c r="H32" s="15">
        <f t="shared" si="1"/>
        <v>-3051</v>
      </c>
      <c r="I32" s="16">
        <f t="shared" si="2"/>
        <v>-2.9464027040077258E-2</v>
      </c>
      <c r="J32" s="40"/>
      <c r="K32" s="40"/>
      <c r="L32" s="40"/>
    </row>
    <row r="33" spans="1:12" ht="43.15">
      <c r="A33" s="30" t="str">
        <v>Danville</v>
      </c>
      <c r="B33" s="31" t="str">
        <v>IL</v>
      </c>
      <c r="C33" s="11">
        <v>194815.1</v>
      </c>
      <c r="D33" s="18" t="s">
        <v>201</v>
      </c>
      <c r="E33" s="18" t="str">
        <f t="shared" si="0"/>
        <v/>
      </c>
      <c r="F33" s="19" t="str">
        <f t="shared" si="3"/>
        <v/>
      </c>
      <c r="G33" s="89" t="s">
        <v>201</v>
      </c>
      <c r="H33" s="20" t="str">
        <f t="shared" si="1"/>
        <v/>
      </c>
      <c r="I33" s="19" t="str">
        <f t="shared" si="2"/>
        <v/>
      </c>
      <c r="J33" s="114" t="s">
        <v>619</v>
      </c>
      <c r="K33" s="107" t="s">
        <v>620</v>
      </c>
      <c r="L33" s="107" t="s">
        <v>621</v>
      </c>
    </row>
    <row r="34" spans="1:12" ht="57.6">
      <c r="A34" s="28" t="str">
        <v>Camden - Campbell Soup HQ</v>
      </c>
      <c r="B34" s="29" t="str">
        <v>NJ</v>
      </c>
      <c r="C34" s="24">
        <v>138521</v>
      </c>
      <c r="D34" s="13">
        <v>228160.8241</v>
      </c>
      <c r="E34" s="13">
        <f t="shared" si="0"/>
        <v>-89639.824099999998</v>
      </c>
      <c r="F34" s="19">
        <f t="shared" si="3"/>
        <v>-0.39287999792949557</v>
      </c>
      <c r="G34" s="15">
        <v>286639.35999999999</v>
      </c>
      <c r="H34" s="15">
        <f t="shared" si="1"/>
        <v>-148118.35999999999</v>
      </c>
      <c r="I34" s="16">
        <f t="shared" si="2"/>
        <v>-0.51674117608970382</v>
      </c>
      <c r="J34" s="40" t="s">
        <v>622</v>
      </c>
      <c r="K34" s="40" t="s">
        <v>623</v>
      </c>
      <c r="L34" s="40" t="s">
        <v>524</v>
      </c>
    </row>
    <row r="35" spans="1:12" ht="28.9">
      <c r="A35" s="30" t="str">
        <v>Westport - Pine Hill</v>
      </c>
      <c r="B35" s="31" t="str">
        <v>MA</v>
      </c>
      <c r="C35" s="11">
        <v>312659</v>
      </c>
      <c r="D35" s="18" t="s">
        <v>201</v>
      </c>
      <c r="E35" s="18" t="str">
        <f t="shared" si="0"/>
        <v/>
      </c>
      <c r="F35" s="19" t="str">
        <f t="shared" si="3"/>
        <v/>
      </c>
      <c r="G35" s="20">
        <v>344151</v>
      </c>
      <c r="H35" s="20">
        <f t="shared" si="1"/>
        <v>-31492</v>
      </c>
      <c r="I35" s="19">
        <f t="shared" si="2"/>
        <v>-9.1506344598737188E-2</v>
      </c>
      <c r="J35" s="41" t="s">
        <v>624</v>
      </c>
      <c r="K35" s="64" t="s">
        <v>625</v>
      </c>
      <c r="L35" s="64" t="s">
        <v>626</v>
      </c>
    </row>
    <row r="36" spans="1:12" ht="28.9">
      <c r="A36" s="28" t="str">
        <v>Oaks Landfill - ANEM</v>
      </c>
      <c r="B36" s="29" t="str">
        <v>MD</v>
      </c>
      <c r="C36" s="24">
        <v>227938.4</v>
      </c>
      <c r="D36" s="13">
        <v>263645.8</v>
      </c>
      <c r="E36" s="13">
        <f t="shared" si="0"/>
        <v>-35707.399999999994</v>
      </c>
      <c r="F36" s="19">
        <f t="shared" si="3"/>
        <v>-0.13543701435789987</v>
      </c>
      <c r="G36" s="88" t="s">
        <v>201</v>
      </c>
      <c r="H36" s="15" t="str">
        <f t="shared" si="1"/>
        <v/>
      </c>
      <c r="I36" s="16" t="str">
        <f t="shared" si="2"/>
        <v/>
      </c>
      <c r="J36" s="40" t="s">
        <v>627</v>
      </c>
      <c r="K36" s="40" t="s">
        <v>628</v>
      </c>
      <c r="L36" s="40" t="s">
        <v>629</v>
      </c>
    </row>
    <row r="37" spans="1:12" ht="43.15">
      <c r="A37" s="30" t="str">
        <v>Oaks Landfill - CS2</v>
      </c>
      <c r="B37" s="31" t="str">
        <v>MD</v>
      </c>
      <c r="C37" s="11">
        <v>236697.2</v>
      </c>
      <c r="D37" s="18">
        <v>266299.90000000002</v>
      </c>
      <c r="E37" s="18">
        <f t="shared" si="0"/>
        <v>-29602.700000000012</v>
      </c>
      <c r="F37" s="19">
        <f t="shared" si="3"/>
        <v>-0.11116301583290121</v>
      </c>
      <c r="G37" s="89" t="s">
        <v>201</v>
      </c>
      <c r="H37" s="20" t="str">
        <f t="shared" si="1"/>
        <v/>
      </c>
      <c r="I37" s="19" t="str">
        <f t="shared" si="2"/>
        <v/>
      </c>
      <c r="J37" s="41" t="s">
        <v>630</v>
      </c>
      <c r="K37" s="64" t="s">
        <v>512</v>
      </c>
      <c r="L37" s="64" t="s">
        <v>629</v>
      </c>
    </row>
    <row r="38" spans="1:12" ht="43.15">
      <c r="A38" s="28" t="str">
        <v>Oaks Landfill - CS1</v>
      </c>
      <c r="B38" s="29" t="str">
        <v>MD</v>
      </c>
      <c r="C38" s="24">
        <v>236798.3</v>
      </c>
      <c r="D38" s="13">
        <v>266297.40000000002</v>
      </c>
      <c r="E38" s="13">
        <f t="shared" si="0"/>
        <v>-29499.100000000035</v>
      </c>
      <c r="F38" s="13">
        <f t="shared" si="3"/>
        <v>-0.11077502070992819</v>
      </c>
      <c r="G38" s="88" t="s">
        <v>201</v>
      </c>
      <c r="H38" s="15" t="str">
        <f t="shared" si="1"/>
        <v/>
      </c>
      <c r="I38" s="16" t="str">
        <f t="shared" si="2"/>
        <v/>
      </c>
      <c r="J38" s="40" t="s">
        <v>631</v>
      </c>
      <c r="K38" s="40" t="s">
        <v>514</v>
      </c>
      <c r="L38" s="40" t="s">
        <v>629</v>
      </c>
    </row>
    <row r="39" spans="1:12" ht="28.9">
      <c r="A39" s="30" t="str">
        <v>Plympton - Upland Solar - PV &amp; BESS (IRA)</v>
      </c>
      <c r="B39" s="31" t="str">
        <v>MA</v>
      </c>
      <c r="C39" s="11">
        <v>292307</v>
      </c>
      <c r="D39" s="18">
        <v>549560.451</v>
      </c>
      <c r="E39" s="18">
        <f t="shared" si="0"/>
        <v>-257253.451</v>
      </c>
      <c r="F39" s="19">
        <f t="shared" si="3"/>
        <v>-0.4681076495440899</v>
      </c>
      <c r="G39" s="20">
        <v>350858.5</v>
      </c>
      <c r="H39" s="20">
        <f t="shared" si="1"/>
        <v>-58551.5</v>
      </c>
      <c r="I39" s="19">
        <f t="shared" si="2"/>
        <v>-0.16688066556745812</v>
      </c>
      <c r="J39" s="41" t="s">
        <v>632</v>
      </c>
      <c r="K39" s="64" t="s">
        <v>633</v>
      </c>
      <c r="L39" s="64" t="s">
        <v>629</v>
      </c>
    </row>
    <row r="40" spans="1:12" ht="15.6">
      <c r="A40" s="28" t="str">
        <v>MA: Plymouth - Black Cat Solar - PV &amp; BESS (IRA)</v>
      </c>
      <c r="B40" s="29" t="str">
        <v>MA</v>
      </c>
      <c r="C40" s="24"/>
      <c r="D40" s="13"/>
      <c r="E40" s="13" t="str">
        <f t="shared" si="0"/>
        <v/>
      </c>
      <c r="F40" s="13" t="str">
        <f t="shared" si="3"/>
        <v/>
      </c>
      <c r="G40" s="15"/>
      <c r="H40" s="15" t="str">
        <f t="shared" si="1"/>
        <v/>
      </c>
      <c r="I40" s="16" t="str">
        <f t="shared" si="2"/>
        <v/>
      </c>
      <c r="J40" s="40"/>
      <c r="K40" s="40"/>
      <c r="L40" s="40"/>
    </row>
    <row r="41" spans="1:12" ht="14.45">
      <c r="A41" s="21"/>
      <c r="B41" s="33"/>
      <c r="C41" s="21"/>
      <c r="D41" s="21"/>
      <c r="E41" s="21"/>
      <c r="F41" s="22"/>
      <c r="G41" s="21"/>
      <c r="H41" s="21"/>
      <c r="I41" s="22"/>
      <c r="J41" s="21"/>
      <c r="K41" s="108"/>
      <c r="L41" s="108"/>
    </row>
    <row r="42" spans="1:12" ht="14.45">
      <c r="A42" s="21"/>
      <c r="B42" s="33"/>
      <c r="C42" s="21"/>
      <c r="D42" s="21"/>
      <c r="E42" s="21"/>
      <c r="F42" s="22"/>
      <c r="G42" s="21"/>
      <c r="H42" s="21"/>
      <c r="I42" s="22"/>
      <c r="J42" s="21"/>
      <c r="K42" s="108"/>
      <c r="L42" s="108"/>
    </row>
    <row r="43" spans="1:12" ht="14.45">
      <c r="A43" s="21"/>
      <c r="B43" s="33"/>
      <c r="C43" s="21"/>
      <c r="D43" s="21"/>
      <c r="E43" s="21"/>
      <c r="F43" s="22"/>
      <c r="G43" s="21"/>
      <c r="H43" s="21"/>
      <c r="I43" s="22"/>
      <c r="J43" s="21"/>
      <c r="K43" s="108"/>
      <c r="L43" s="108"/>
    </row>
    <row r="44" spans="1:12" ht="14.45">
      <c r="A44" s="21"/>
      <c r="B44" s="33"/>
      <c r="C44" s="21"/>
      <c r="D44" s="21"/>
      <c r="E44" s="21"/>
      <c r="F44" s="22"/>
      <c r="G44" s="21"/>
      <c r="H44" s="21"/>
      <c r="I44" s="22"/>
      <c r="J44" s="21"/>
      <c r="K44" s="108"/>
      <c r="L44" s="108"/>
    </row>
    <row r="45" spans="1:12" ht="14.45">
      <c r="A45" s="21"/>
      <c r="B45" s="33"/>
      <c r="C45" s="21"/>
      <c r="D45" s="21"/>
      <c r="E45" s="21"/>
      <c r="F45" s="22"/>
      <c r="G45" s="21"/>
      <c r="H45" s="21"/>
      <c r="I45" s="22"/>
      <c r="J45" s="21"/>
      <c r="K45" s="108"/>
      <c r="L45" s="108"/>
    </row>
    <row r="46" spans="1:12" ht="14.45">
      <c r="A46" s="21"/>
      <c r="B46" s="33"/>
      <c r="C46" s="21"/>
      <c r="D46" s="21"/>
      <c r="E46" s="21"/>
      <c r="F46" s="22"/>
      <c r="G46" s="21"/>
      <c r="H46" s="21"/>
      <c r="I46" s="22"/>
      <c r="J46" s="21"/>
      <c r="K46" s="108"/>
      <c r="L46" s="108"/>
    </row>
    <row r="47" spans="1:12" ht="14.45">
      <c r="A47" s="21"/>
      <c r="B47" s="33"/>
      <c r="C47" s="21"/>
      <c r="D47" s="21"/>
      <c r="E47" s="21"/>
      <c r="F47" s="22"/>
      <c r="G47" s="21"/>
      <c r="H47" s="21"/>
      <c r="I47" s="22"/>
      <c r="J47" s="21"/>
      <c r="K47" s="108"/>
      <c r="L47" s="108"/>
    </row>
    <row r="48" spans="1:12" ht="14.45">
      <c r="A48" s="21"/>
      <c r="B48" s="33"/>
      <c r="C48" s="21"/>
      <c r="D48" s="21"/>
      <c r="E48" s="21"/>
      <c r="F48" s="22"/>
      <c r="G48" s="21"/>
      <c r="H48" s="21"/>
      <c r="I48" s="22"/>
      <c r="J48" s="21"/>
      <c r="K48" s="108"/>
      <c r="L48" s="108"/>
    </row>
    <row r="49" spans="1:12" ht="14.45">
      <c r="A49" s="21"/>
      <c r="B49" s="33"/>
      <c r="C49" s="21"/>
      <c r="D49" s="21"/>
      <c r="E49" s="21"/>
      <c r="F49" s="22"/>
      <c r="G49" s="21"/>
      <c r="H49" s="21"/>
      <c r="I49" s="22"/>
      <c r="J49" s="21"/>
      <c r="K49" s="108"/>
      <c r="L49" s="108"/>
    </row>
    <row r="50" spans="1:12" ht="14.45">
      <c r="A50" s="21"/>
      <c r="B50" s="33"/>
      <c r="C50" s="21"/>
      <c r="D50" s="21"/>
      <c r="E50" s="21"/>
      <c r="F50" s="22"/>
      <c r="G50" s="21"/>
      <c r="H50" s="21"/>
      <c r="I50" s="22"/>
      <c r="J50" s="21"/>
      <c r="K50" s="108"/>
      <c r="L50" s="108"/>
    </row>
    <row r="51" spans="1:12" ht="14.45">
      <c r="A51" s="21"/>
      <c r="B51" s="33"/>
      <c r="C51" s="21"/>
      <c r="D51" s="21"/>
      <c r="E51" s="21"/>
      <c r="F51" s="22"/>
      <c r="G51" s="21"/>
      <c r="H51" s="21"/>
      <c r="I51" s="22"/>
      <c r="J51" s="21"/>
      <c r="K51" s="108"/>
      <c r="L51" s="108"/>
    </row>
    <row r="52" spans="1:12" ht="14.45">
      <c r="A52" s="21"/>
      <c r="B52" s="33"/>
      <c r="C52" s="21"/>
      <c r="D52" s="21"/>
      <c r="E52" s="21"/>
      <c r="F52" s="22"/>
      <c r="G52" s="21"/>
      <c r="H52" s="21"/>
      <c r="I52" s="22"/>
      <c r="J52" s="21"/>
      <c r="K52" s="108"/>
      <c r="L52" s="108"/>
    </row>
    <row r="53" spans="1:12" ht="14.45">
      <c r="A53" s="21"/>
      <c r="B53" s="33"/>
      <c r="C53" s="21"/>
      <c r="D53" s="21"/>
      <c r="E53" s="21"/>
      <c r="F53" s="22"/>
      <c r="G53" s="21"/>
      <c r="H53" s="21"/>
      <c r="I53" s="22"/>
      <c r="J53" s="21"/>
      <c r="K53" s="108"/>
      <c r="L53" s="108"/>
    </row>
    <row r="54" spans="1:12" ht="14.45">
      <c r="A54" s="21"/>
      <c r="B54" s="33"/>
      <c r="C54" s="21"/>
      <c r="D54" s="21"/>
      <c r="E54" s="21"/>
      <c r="F54" s="22"/>
      <c r="G54" s="21"/>
      <c r="H54" s="21"/>
      <c r="I54" s="22"/>
      <c r="J54" s="21"/>
      <c r="K54" s="108"/>
      <c r="L54" s="108"/>
    </row>
    <row r="55" spans="1:12" ht="14.45">
      <c r="A55" s="21"/>
      <c r="B55" s="33"/>
      <c r="C55" s="21"/>
      <c r="D55" s="21"/>
      <c r="E55" s="21"/>
      <c r="F55" s="22"/>
      <c r="G55" s="21"/>
      <c r="H55" s="21"/>
      <c r="I55" s="22"/>
      <c r="J55" s="21"/>
      <c r="K55" s="108"/>
      <c r="L55" s="108"/>
    </row>
    <row r="56" spans="1:12" ht="14.45">
      <c r="A56" s="21"/>
      <c r="B56" s="33"/>
      <c r="C56" s="21"/>
      <c r="D56" s="21"/>
      <c r="E56" s="21"/>
      <c r="F56" s="22"/>
      <c r="G56" s="21"/>
      <c r="H56" s="21"/>
      <c r="I56" s="22"/>
      <c r="J56" s="21"/>
      <c r="K56" s="108"/>
      <c r="L56" s="108"/>
    </row>
    <row r="57" spans="1:12" ht="14.45">
      <c r="A57" s="21"/>
      <c r="B57" s="33"/>
      <c r="C57" s="21"/>
      <c r="D57" s="21"/>
      <c r="E57" s="21"/>
      <c r="F57" s="22"/>
      <c r="G57" s="21"/>
      <c r="H57" s="21"/>
      <c r="I57" s="22"/>
      <c r="J57" s="21"/>
      <c r="K57" s="108"/>
      <c r="L57" s="108"/>
    </row>
    <row r="58" spans="1:12" ht="14.45">
      <c r="A58" s="21"/>
      <c r="B58" s="33"/>
      <c r="C58" s="21"/>
      <c r="D58" s="21"/>
      <c r="E58" s="21"/>
      <c r="F58" s="22"/>
      <c r="G58" s="21"/>
      <c r="H58" s="21"/>
      <c r="I58" s="22"/>
      <c r="J58" s="21"/>
      <c r="K58" s="108"/>
      <c r="L58" s="108"/>
    </row>
    <row r="59" spans="1:12" ht="14.45">
      <c r="A59" s="21"/>
      <c r="B59" s="33"/>
      <c r="C59" s="21"/>
      <c r="D59" s="21"/>
      <c r="E59" s="21"/>
      <c r="F59" s="22"/>
      <c r="G59" s="21"/>
      <c r="H59" s="21"/>
      <c r="I59" s="22"/>
      <c r="J59" s="21"/>
      <c r="K59" s="108"/>
      <c r="L59" s="108"/>
    </row>
    <row r="60" spans="1:12" ht="14.45">
      <c r="A60" s="21"/>
      <c r="B60" s="33"/>
      <c r="C60" s="21"/>
      <c r="D60" s="21"/>
      <c r="E60" s="21"/>
      <c r="F60" s="22"/>
      <c r="G60" s="21"/>
      <c r="H60" s="21"/>
      <c r="I60" s="22"/>
      <c r="J60" s="21"/>
      <c r="K60" s="108"/>
      <c r="L60" s="108"/>
    </row>
    <row r="61" spans="1:12" ht="14.45">
      <c r="A61" s="21"/>
      <c r="B61" s="33"/>
      <c r="C61" s="21"/>
      <c r="D61" s="21"/>
      <c r="E61" s="21"/>
      <c r="F61" s="22"/>
      <c r="G61" s="21"/>
      <c r="H61" s="21"/>
      <c r="I61" s="22"/>
      <c r="J61" s="21"/>
      <c r="K61" s="108"/>
      <c r="L61" s="108"/>
    </row>
    <row r="62" spans="1:12" ht="14.45">
      <c r="A62" s="21"/>
      <c r="B62" s="33"/>
      <c r="C62" s="21"/>
      <c r="D62" s="21"/>
      <c r="E62" s="21"/>
      <c r="F62" s="22"/>
      <c r="G62" s="21"/>
      <c r="H62" s="21"/>
      <c r="I62" s="22"/>
      <c r="J62" s="21"/>
      <c r="K62" s="108"/>
      <c r="L62" s="108"/>
    </row>
    <row r="63" spans="1:12" ht="14.45">
      <c r="A63" s="21"/>
      <c r="B63" s="33"/>
      <c r="C63" s="21"/>
      <c r="D63" s="21"/>
      <c r="E63" s="21"/>
      <c r="F63" s="22"/>
      <c r="G63" s="21"/>
      <c r="H63" s="21"/>
      <c r="I63" s="22"/>
      <c r="J63" s="21"/>
      <c r="K63" s="108"/>
      <c r="L63" s="108"/>
    </row>
    <row r="64" spans="1:12" ht="14.45">
      <c r="A64" s="21"/>
      <c r="B64" s="33"/>
      <c r="C64" s="21"/>
      <c r="D64" s="21"/>
      <c r="E64" s="21"/>
      <c r="F64" s="22"/>
      <c r="G64" s="21"/>
      <c r="H64" s="21"/>
      <c r="I64" s="22"/>
      <c r="J64" s="21"/>
      <c r="K64" s="108"/>
      <c r="L64" s="108"/>
    </row>
    <row r="65" spans="1:12" ht="14.45">
      <c r="A65" s="21"/>
      <c r="B65" s="33"/>
      <c r="C65" s="21"/>
      <c r="D65" s="21"/>
      <c r="E65" s="21"/>
      <c r="F65" s="22"/>
      <c r="G65" s="21"/>
      <c r="H65" s="21"/>
      <c r="I65" s="22"/>
      <c r="J65" s="21"/>
      <c r="K65" s="108"/>
      <c r="L65" s="108"/>
    </row>
    <row r="66" spans="1:12" ht="14.45">
      <c r="A66" s="21"/>
      <c r="B66" s="33"/>
      <c r="C66" s="21"/>
      <c r="D66" s="21"/>
      <c r="E66" s="21"/>
      <c r="F66" s="22"/>
      <c r="G66" s="21"/>
      <c r="H66" s="21"/>
      <c r="I66" s="22"/>
      <c r="J66" s="21"/>
      <c r="K66" s="108"/>
      <c r="L66" s="108"/>
    </row>
    <row r="67" spans="1:12" ht="14.45">
      <c r="A67" s="21"/>
      <c r="B67" s="33"/>
      <c r="C67" s="21"/>
      <c r="D67" s="21"/>
      <c r="E67" s="21"/>
      <c r="F67" s="22"/>
      <c r="G67" s="21"/>
      <c r="H67" s="21"/>
      <c r="I67" s="22"/>
      <c r="J67" s="21"/>
      <c r="K67" s="108"/>
      <c r="L67" s="108"/>
    </row>
    <row r="68" spans="1:12" ht="14.45">
      <c r="A68" s="21"/>
      <c r="B68" s="33"/>
      <c r="C68" s="21"/>
      <c r="D68" s="21"/>
      <c r="E68" s="21"/>
      <c r="F68" s="22"/>
      <c r="G68" s="21"/>
      <c r="H68" s="21"/>
      <c r="I68" s="22"/>
      <c r="J68" s="21"/>
      <c r="K68" s="108"/>
      <c r="L68" s="108"/>
    </row>
    <row r="69" spans="1:12" ht="14.45">
      <c r="A69" s="21"/>
      <c r="B69" s="33"/>
      <c r="C69" s="21"/>
      <c r="D69" s="21"/>
      <c r="E69" s="21"/>
      <c r="F69" s="22"/>
      <c r="G69" s="21"/>
      <c r="H69" s="21"/>
      <c r="I69" s="22"/>
      <c r="J69" s="21"/>
      <c r="K69" s="108"/>
      <c r="L69" s="108"/>
    </row>
    <row r="70" spans="1:12" ht="14.45">
      <c r="A70" s="21"/>
      <c r="B70" s="33"/>
      <c r="C70" s="21"/>
      <c r="D70" s="21"/>
      <c r="E70" s="21"/>
      <c r="F70" s="22"/>
      <c r="G70" s="21"/>
      <c r="H70" s="21"/>
      <c r="I70" s="22"/>
      <c r="J70" s="21"/>
      <c r="K70" s="108"/>
      <c r="L70" s="108"/>
    </row>
    <row r="71" spans="1:12" ht="14.45">
      <c r="A71" s="21"/>
      <c r="B71" s="33"/>
      <c r="C71" s="21"/>
      <c r="D71" s="21"/>
      <c r="E71" s="21"/>
      <c r="F71" s="22"/>
      <c r="G71" s="21"/>
      <c r="H71" s="21"/>
      <c r="I71" s="22"/>
      <c r="J71" s="21"/>
      <c r="K71" s="108"/>
      <c r="L71" s="108"/>
    </row>
    <row r="72" spans="1:12" ht="14.45">
      <c r="A72" s="21"/>
      <c r="B72" s="33"/>
      <c r="C72" s="21"/>
      <c r="D72" s="21"/>
      <c r="E72" s="21"/>
      <c r="F72" s="22"/>
      <c r="G72" s="21"/>
      <c r="H72" s="21"/>
      <c r="I72" s="22"/>
      <c r="J72" s="21"/>
      <c r="K72" s="108"/>
      <c r="L72" s="108"/>
    </row>
    <row r="73" spans="1:12" ht="14.45">
      <c r="A73" s="21"/>
      <c r="B73" s="33"/>
      <c r="C73" s="21"/>
      <c r="D73" s="21"/>
      <c r="E73" s="21"/>
      <c r="F73" s="22"/>
      <c r="G73" s="21"/>
      <c r="H73" s="21"/>
      <c r="I73" s="22"/>
      <c r="J73" s="21"/>
      <c r="K73" s="108"/>
      <c r="L73" s="108"/>
    </row>
    <row r="74" spans="1:12" ht="14.45">
      <c r="A74" s="21"/>
      <c r="B74" s="33"/>
      <c r="C74" s="21"/>
      <c r="D74" s="21"/>
      <c r="E74" s="21"/>
      <c r="F74" s="22"/>
      <c r="G74" s="21"/>
      <c r="H74" s="21"/>
      <c r="I74" s="22"/>
      <c r="J74" s="21"/>
      <c r="K74" s="108"/>
      <c r="L74" s="108"/>
    </row>
    <row r="75" spans="1:12" ht="14.45">
      <c r="A75" s="21"/>
      <c r="B75" s="33"/>
      <c r="C75" s="21"/>
      <c r="D75" s="21"/>
      <c r="E75" s="21"/>
      <c r="F75" s="22"/>
      <c r="G75" s="21"/>
      <c r="H75" s="21"/>
      <c r="I75" s="22"/>
      <c r="J75" s="21"/>
      <c r="K75" s="108"/>
      <c r="L75" s="108"/>
    </row>
    <row r="76" spans="1:12" ht="14.45">
      <c r="A76" s="21"/>
      <c r="B76" s="33"/>
      <c r="C76" s="21"/>
      <c r="D76" s="21"/>
      <c r="E76" s="21"/>
      <c r="F76" s="22"/>
      <c r="G76" s="21"/>
      <c r="H76" s="21"/>
      <c r="I76" s="22"/>
      <c r="J76" s="21"/>
      <c r="K76" s="108"/>
      <c r="L76" s="108"/>
    </row>
    <row r="77" spans="1:12" ht="14.45">
      <c r="A77" s="21"/>
      <c r="B77" s="33"/>
      <c r="C77" s="21"/>
      <c r="D77" s="21"/>
      <c r="E77" s="21"/>
      <c r="F77" s="22"/>
      <c r="G77" s="21"/>
      <c r="H77" s="21"/>
      <c r="I77" s="22"/>
      <c r="J77" s="21"/>
      <c r="K77" s="108"/>
      <c r="L77" s="108"/>
    </row>
    <row r="78" spans="1:12" ht="14.45">
      <c r="A78" s="21"/>
      <c r="B78" s="33"/>
      <c r="C78" s="21"/>
      <c r="D78" s="21"/>
      <c r="E78" s="21"/>
      <c r="F78" s="22"/>
      <c r="G78" s="21"/>
      <c r="H78" s="21"/>
      <c r="I78" s="22"/>
      <c r="J78" s="21"/>
      <c r="K78" s="108"/>
      <c r="L78" s="108"/>
    </row>
    <row r="79" spans="1:12" ht="14.45">
      <c r="A79" s="21"/>
      <c r="B79" s="33"/>
      <c r="C79" s="21"/>
      <c r="D79" s="21"/>
      <c r="E79" s="21"/>
      <c r="F79" s="22"/>
      <c r="G79" s="21"/>
      <c r="H79" s="21"/>
      <c r="I79" s="22"/>
      <c r="J79" s="21"/>
      <c r="K79" s="108"/>
      <c r="L79" s="108"/>
    </row>
    <row r="80" spans="1:12" ht="14.45">
      <c r="A80" s="21"/>
      <c r="B80" s="33"/>
      <c r="C80" s="21"/>
      <c r="D80" s="21"/>
      <c r="E80" s="21"/>
      <c r="F80" s="22"/>
      <c r="G80" s="21"/>
      <c r="H80" s="21"/>
      <c r="I80" s="22"/>
      <c r="J80" s="21"/>
      <c r="K80" s="108"/>
      <c r="L80" s="108"/>
    </row>
    <row r="81" spans="1:12" ht="14.45">
      <c r="A81" s="21"/>
      <c r="B81" s="33"/>
      <c r="C81" s="21"/>
      <c r="D81" s="21"/>
      <c r="E81" s="21"/>
      <c r="F81" s="22"/>
      <c r="G81" s="21"/>
      <c r="H81" s="21"/>
      <c r="I81" s="22"/>
      <c r="J81" s="21"/>
      <c r="K81" s="108"/>
      <c r="L81" s="108"/>
    </row>
    <row r="82" spans="1:12" ht="14.45">
      <c r="A82" s="21"/>
      <c r="B82" s="33"/>
      <c r="C82" s="21"/>
      <c r="D82" s="21"/>
      <c r="E82" s="21"/>
      <c r="F82" s="22"/>
      <c r="G82" s="21"/>
      <c r="H82" s="21"/>
      <c r="I82" s="22"/>
      <c r="J82" s="21"/>
      <c r="K82" s="108"/>
      <c r="L82" s="108"/>
    </row>
    <row r="83" spans="1:12" ht="14.45">
      <c r="A83" s="21"/>
      <c r="B83" s="33"/>
      <c r="C83" s="21"/>
      <c r="D83" s="21"/>
      <c r="E83" s="21"/>
      <c r="F83" s="22"/>
      <c r="G83" s="21"/>
      <c r="H83" s="21"/>
      <c r="I83" s="22"/>
      <c r="J83" s="21"/>
      <c r="K83" s="108"/>
      <c r="L83" s="108"/>
    </row>
    <row r="84" spans="1:12" ht="14.45">
      <c r="A84" s="21"/>
      <c r="B84" s="33"/>
      <c r="C84" s="21"/>
      <c r="D84" s="21"/>
      <c r="E84" s="21"/>
      <c r="F84" s="22"/>
      <c r="G84" s="21"/>
      <c r="H84" s="21"/>
      <c r="I84" s="22"/>
      <c r="J84" s="21"/>
      <c r="K84" s="108"/>
      <c r="L84" s="108"/>
    </row>
    <row r="85" spans="1:12" ht="14.45">
      <c r="A85" s="21"/>
      <c r="B85" s="33"/>
      <c r="C85" s="21"/>
      <c r="D85" s="21"/>
      <c r="E85" s="21"/>
      <c r="F85" s="22"/>
      <c r="G85" s="21"/>
      <c r="H85" s="21"/>
      <c r="I85" s="22"/>
      <c r="J85" s="21"/>
      <c r="K85" s="108"/>
      <c r="L85" s="108"/>
    </row>
    <row r="86" spans="1:12" ht="14.45">
      <c r="A86" s="21"/>
      <c r="B86" s="33"/>
      <c r="C86" s="21"/>
      <c r="D86" s="21"/>
      <c r="E86" s="21"/>
      <c r="F86" s="22"/>
      <c r="G86" s="21"/>
      <c r="H86" s="21"/>
      <c r="I86" s="22"/>
      <c r="J86" s="21"/>
      <c r="K86" s="108"/>
      <c r="L86" s="108"/>
    </row>
    <row r="87" spans="1:12" ht="14.45">
      <c r="A87" s="21"/>
      <c r="B87" s="33"/>
      <c r="C87" s="21"/>
      <c r="D87" s="21"/>
      <c r="E87" s="21"/>
      <c r="F87" s="22"/>
      <c r="G87" s="21"/>
      <c r="H87" s="21"/>
      <c r="I87" s="22"/>
      <c r="J87" s="21"/>
      <c r="K87" s="108"/>
      <c r="L87" s="108"/>
    </row>
    <row r="88" spans="1:12" ht="14.45">
      <c r="A88" s="21"/>
      <c r="B88" s="33"/>
      <c r="C88" s="21"/>
      <c r="D88" s="21"/>
      <c r="E88" s="21"/>
      <c r="F88" s="22"/>
      <c r="G88" s="21"/>
      <c r="H88" s="21"/>
      <c r="I88" s="22"/>
      <c r="J88" s="21"/>
      <c r="K88" s="108"/>
      <c r="L88" s="108"/>
    </row>
    <row r="89" spans="1:12" ht="14.45">
      <c r="A89" s="21"/>
      <c r="B89" s="33"/>
      <c r="C89" s="21"/>
      <c r="D89" s="21"/>
      <c r="E89" s="21"/>
      <c r="F89" s="22"/>
      <c r="G89" s="21"/>
      <c r="H89" s="21"/>
      <c r="I89" s="22"/>
      <c r="J89" s="21"/>
      <c r="K89" s="108"/>
      <c r="L89" s="108"/>
    </row>
    <row r="90" spans="1:12" ht="14.45">
      <c r="A90" s="21"/>
      <c r="B90" s="33"/>
      <c r="C90" s="21"/>
      <c r="D90" s="21"/>
      <c r="E90" s="21"/>
      <c r="F90" s="22"/>
      <c r="G90" s="21"/>
      <c r="H90" s="21"/>
      <c r="I90" s="22"/>
      <c r="J90" s="21"/>
      <c r="K90" s="108"/>
      <c r="L90" s="108"/>
    </row>
    <row r="91" spans="1:12" ht="14.45">
      <c r="A91" s="21"/>
      <c r="B91" s="33"/>
      <c r="C91" s="21"/>
      <c r="D91" s="21"/>
      <c r="E91" s="21"/>
      <c r="F91" s="22"/>
      <c r="G91" s="21"/>
      <c r="H91" s="21"/>
      <c r="I91" s="22"/>
      <c r="J91" s="21"/>
      <c r="K91" s="108"/>
      <c r="L91" s="108"/>
    </row>
    <row r="92" spans="1:12" ht="14.45">
      <c r="A92" s="21"/>
      <c r="B92" s="33"/>
      <c r="C92" s="21"/>
      <c r="D92" s="21"/>
      <c r="E92" s="21"/>
      <c r="F92" s="22"/>
      <c r="G92" s="21"/>
      <c r="H92" s="21"/>
      <c r="I92" s="22"/>
      <c r="J92" s="21"/>
      <c r="K92" s="108"/>
      <c r="L92" s="108"/>
    </row>
    <row r="93" spans="1:12" ht="14.45">
      <c r="A93" s="21"/>
      <c r="B93" s="33"/>
      <c r="C93" s="21"/>
      <c r="D93" s="21"/>
      <c r="E93" s="21"/>
      <c r="F93" s="22"/>
      <c r="G93" s="21"/>
      <c r="H93" s="21"/>
      <c r="I93" s="22"/>
      <c r="J93" s="21"/>
      <c r="K93" s="108"/>
      <c r="L93" s="108"/>
    </row>
    <row r="94" spans="1:12" ht="14.45">
      <c r="A94" s="21"/>
      <c r="B94" s="33"/>
      <c r="C94" s="21"/>
      <c r="D94" s="21"/>
      <c r="E94" s="21"/>
      <c r="F94" s="22"/>
      <c r="G94" s="21"/>
      <c r="H94" s="21"/>
      <c r="I94" s="22"/>
      <c r="J94" s="21"/>
      <c r="K94" s="108"/>
      <c r="L94" s="108"/>
    </row>
    <row r="95" spans="1:12" ht="14.45">
      <c r="A95" s="21"/>
      <c r="B95" s="33"/>
      <c r="C95" s="21"/>
      <c r="D95" s="21"/>
      <c r="E95" s="21"/>
      <c r="F95" s="22"/>
      <c r="G95" s="21"/>
      <c r="H95" s="21"/>
      <c r="I95" s="22"/>
      <c r="J95" s="21"/>
      <c r="K95" s="108"/>
      <c r="L95" s="108"/>
    </row>
    <row r="96" spans="1:12" ht="14.45">
      <c r="A96" s="21"/>
      <c r="B96" s="33"/>
      <c r="C96" s="21"/>
      <c r="D96" s="21"/>
      <c r="E96" s="21"/>
      <c r="F96" s="22"/>
      <c r="G96" s="21"/>
      <c r="H96" s="21"/>
      <c r="I96" s="22"/>
      <c r="J96" s="21"/>
      <c r="K96" s="108"/>
      <c r="L96" s="108"/>
    </row>
    <row r="97" spans="1:12" ht="14.45">
      <c r="A97" s="21"/>
      <c r="B97" s="33"/>
      <c r="C97" s="21"/>
      <c r="D97" s="21"/>
      <c r="E97" s="21"/>
      <c r="F97" s="22"/>
      <c r="G97" s="21"/>
      <c r="H97" s="21"/>
      <c r="I97" s="22"/>
      <c r="J97" s="21"/>
      <c r="K97" s="108"/>
      <c r="L97" s="108"/>
    </row>
    <row r="98" spans="1:12" ht="14.45">
      <c r="A98" s="21"/>
      <c r="B98" s="33"/>
      <c r="C98" s="21"/>
      <c r="D98" s="21"/>
      <c r="E98" s="21"/>
      <c r="F98" s="22"/>
      <c r="G98" s="21"/>
      <c r="H98" s="21"/>
      <c r="I98" s="22"/>
      <c r="J98" s="21"/>
      <c r="K98" s="108"/>
      <c r="L98" s="108"/>
    </row>
    <row r="99" spans="1:12" ht="14.45">
      <c r="A99" s="21"/>
      <c r="B99" s="33"/>
      <c r="C99" s="21"/>
      <c r="D99" s="21"/>
      <c r="E99" s="21"/>
      <c r="F99" s="22"/>
      <c r="G99" s="21"/>
      <c r="H99" s="21"/>
      <c r="I99" s="22"/>
      <c r="J99" s="21"/>
      <c r="K99" s="108"/>
      <c r="L99" s="108"/>
    </row>
    <row r="100" spans="1:12" ht="14.45">
      <c r="A100" s="21"/>
      <c r="B100" s="33"/>
      <c r="C100" s="21"/>
      <c r="D100" s="21"/>
      <c r="E100" s="21"/>
      <c r="F100" s="22"/>
      <c r="G100" s="21"/>
      <c r="H100" s="21"/>
      <c r="I100" s="22"/>
      <c r="J100" s="21"/>
      <c r="K100" s="108"/>
      <c r="L100" s="108"/>
    </row>
    <row r="101" spans="1:12" ht="14.45">
      <c r="A101" s="21"/>
      <c r="B101" s="33"/>
      <c r="C101" s="21"/>
      <c r="D101" s="21"/>
      <c r="E101" s="21"/>
      <c r="F101" s="22"/>
      <c r="G101" s="21"/>
      <c r="H101" s="21"/>
      <c r="I101" s="22"/>
      <c r="J101" s="21"/>
      <c r="K101" s="108"/>
      <c r="L101" s="108"/>
    </row>
    <row r="102" spans="1:12" ht="14.45">
      <c r="A102" s="21"/>
      <c r="B102" s="33"/>
      <c r="C102" s="21"/>
      <c r="D102" s="21"/>
      <c r="E102" s="21"/>
      <c r="F102" s="22"/>
      <c r="G102" s="21"/>
      <c r="H102" s="21"/>
      <c r="I102" s="22"/>
      <c r="J102" s="21"/>
      <c r="K102" s="108"/>
      <c r="L102" s="108"/>
    </row>
    <row r="103" spans="1:12" ht="14.45">
      <c r="A103" s="21"/>
      <c r="B103" s="33"/>
      <c r="C103" s="21"/>
      <c r="D103" s="21"/>
      <c r="E103" s="21"/>
      <c r="F103" s="22"/>
      <c r="G103" s="21"/>
      <c r="H103" s="21"/>
      <c r="I103" s="22"/>
      <c r="J103" s="21"/>
      <c r="K103" s="108"/>
      <c r="L103" s="108"/>
    </row>
    <row r="104" spans="1:12" ht="14.45">
      <c r="A104" s="21"/>
      <c r="B104" s="33"/>
      <c r="C104" s="21"/>
      <c r="D104" s="21"/>
      <c r="E104" s="21"/>
      <c r="F104" s="22"/>
      <c r="G104" s="21"/>
      <c r="H104" s="21"/>
      <c r="I104" s="22"/>
      <c r="J104" s="21"/>
      <c r="K104" s="108"/>
      <c r="L104" s="108"/>
    </row>
    <row r="105" spans="1:12" ht="14.45">
      <c r="A105" s="21"/>
      <c r="B105" s="33"/>
      <c r="C105" s="21"/>
      <c r="D105" s="21"/>
      <c r="E105" s="21"/>
      <c r="F105" s="22"/>
      <c r="G105" s="21"/>
      <c r="H105" s="21"/>
      <c r="I105" s="22"/>
      <c r="J105" s="21"/>
      <c r="K105" s="108"/>
      <c r="L105" s="108"/>
    </row>
    <row r="106" spans="1:12" ht="14.45">
      <c r="A106" s="21"/>
      <c r="B106" s="33"/>
      <c r="C106" s="21"/>
      <c r="D106" s="21"/>
      <c r="E106" s="21"/>
      <c r="F106" s="22"/>
      <c r="G106" s="21"/>
      <c r="H106" s="21"/>
      <c r="I106" s="22"/>
      <c r="J106" s="21"/>
      <c r="K106" s="108"/>
      <c r="L106" s="108"/>
    </row>
    <row r="107" spans="1:12" ht="14.45">
      <c r="A107" s="21"/>
      <c r="B107" s="33"/>
      <c r="C107" s="21"/>
      <c r="D107" s="21"/>
      <c r="E107" s="21"/>
      <c r="F107" s="22"/>
      <c r="G107" s="21"/>
      <c r="H107" s="21"/>
      <c r="I107" s="22"/>
      <c r="J107" s="21"/>
      <c r="K107" s="108"/>
      <c r="L107" s="108"/>
    </row>
    <row r="108" spans="1:12" ht="14.45">
      <c r="A108" s="21"/>
      <c r="B108" s="33"/>
      <c r="C108" s="21"/>
      <c r="D108" s="21"/>
      <c r="E108" s="21"/>
      <c r="F108" s="22"/>
      <c r="G108" s="21"/>
      <c r="H108" s="21"/>
      <c r="I108" s="22"/>
      <c r="J108" s="21"/>
      <c r="K108" s="108"/>
      <c r="L108" s="108"/>
    </row>
    <row r="109" spans="1:12" ht="14.45">
      <c r="A109" s="21"/>
      <c r="B109" s="33"/>
      <c r="C109" s="21"/>
      <c r="D109" s="21"/>
      <c r="E109" s="21"/>
      <c r="F109" s="22"/>
      <c r="G109" s="21"/>
      <c r="H109" s="21"/>
      <c r="I109" s="22"/>
      <c r="J109" s="21"/>
      <c r="K109" s="108"/>
      <c r="L109" s="108"/>
    </row>
    <row r="110" spans="1:12" ht="14.45">
      <c r="A110" s="21"/>
      <c r="B110" s="33"/>
      <c r="C110" s="21"/>
      <c r="D110" s="21"/>
      <c r="E110" s="21"/>
      <c r="F110" s="22"/>
      <c r="G110" s="21"/>
      <c r="H110" s="21"/>
      <c r="I110" s="22"/>
      <c r="J110" s="21"/>
      <c r="K110" s="108"/>
      <c r="L110" s="108"/>
    </row>
    <row r="111" spans="1:12" ht="14.45">
      <c r="A111" s="21"/>
      <c r="B111" s="33"/>
      <c r="C111" s="21"/>
      <c r="D111" s="21"/>
      <c r="E111" s="21"/>
      <c r="F111" s="22"/>
      <c r="G111" s="21"/>
      <c r="H111" s="21"/>
      <c r="I111" s="22"/>
      <c r="J111" s="21"/>
      <c r="K111" s="108"/>
      <c r="L111" s="108"/>
    </row>
    <row r="112" spans="1:12" ht="14.45">
      <c r="A112" s="21"/>
      <c r="B112" s="33"/>
      <c r="C112" s="21"/>
      <c r="D112" s="21"/>
      <c r="E112" s="21"/>
      <c r="F112" s="22"/>
      <c r="G112" s="21"/>
      <c r="H112" s="21"/>
      <c r="I112" s="22"/>
      <c r="J112" s="21"/>
      <c r="K112" s="108"/>
      <c r="L112" s="108"/>
    </row>
    <row r="113" spans="1:12" ht="14.45">
      <c r="A113" s="21"/>
      <c r="B113" s="33"/>
      <c r="C113" s="21"/>
      <c r="D113" s="21"/>
      <c r="E113" s="21"/>
      <c r="F113" s="22"/>
      <c r="G113" s="21"/>
      <c r="H113" s="21"/>
      <c r="I113" s="22"/>
      <c r="J113" s="21"/>
      <c r="K113" s="108"/>
      <c r="L113" s="108"/>
    </row>
    <row r="114" spans="1:12" ht="14.45">
      <c r="A114" s="21"/>
      <c r="B114" s="33"/>
      <c r="C114" s="21"/>
      <c r="D114" s="21"/>
      <c r="E114" s="21"/>
      <c r="F114" s="22"/>
      <c r="G114" s="21"/>
      <c r="H114" s="21"/>
      <c r="I114" s="22"/>
      <c r="J114" s="21"/>
      <c r="K114" s="108"/>
      <c r="L114" s="108"/>
    </row>
    <row r="115" spans="1:12" ht="14.45">
      <c r="A115" s="21"/>
      <c r="B115" s="33"/>
      <c r="C115" s="21"/>
      <c r="D115" s="21"/>
      <c r="E115" s="21"/>
      <c r="F115" s="22"/>
      <c r="G115" s="21"/>
      <c r="H115" s="21"/>
      <c r="I115" s="22"/>
      <c r="J115" s="21"/>
      <c r="K115" s="108"/>
      <c r="L115" s="108"/>
    </row>
    <row r="116" spans="1:12" ht="14.45">
      <c r="A116" s="21"/>
      <c r="B116" s="33"/>
      <c r="C116" s="21"/>
      <c r="D116" s="21"/>
      <c r="E116" s="21"/>
      <c r="F116" s="22"/>
      <c r="G116" s="21"/>
      <c r="H116" s="21"/>
      <c r="I116" s="22"/>
      <c r="J116" s="21"/>
      <c r="K116" s="108"/>
      <c r="L116" s="108"/>
    </row>
    <row r="117" spans="1:12" ht="14.45">
      <c r="A117" s="21"/>
      <c r="B117" s="33"/>
      <c r="C117" s="21"/>
      <c r="D117" s="21"/>
      <c r="E117" s="21"/>
      <c r="F117" s="22"/>
      <c r="G117" s="21"/>
      <c r="H117" s="21"/>
      <c r="I117" s="22"/>
      <c r="J117" s="21"/>
      <c r="K117" s="108"/>
      <c r="L117" s="108"/>
    </row>
    <row r="118" spans="1:12" ht="14.45">
      <c r="A118" s="21"/>
      <c r="B118" s="33"/>
      <c r="C118" s="21"/>
      <c r="D118" s="21"/>
      <c r="E118" s="21"/>
      <c r="F118" s="22"/>
      <c r="G118" s="21"/>
      <c r="H118" s="21"/>
      <c r="I118" s="22"/>
      <c r="J118" s="21"/>
      <c r="K118" s="108"/>
      <c r="L118" s="108"/>
    </row>
    <row r="119" spans="1:12" ht="14.45">
      <c r="A119" s="21"/>
      <c r="B119" s="33"/>
      <c r="C119" s="21"/>
      <c r="D119" s="21"/>
      <c r="E119" s="21"/>
      <c r="F119" s="22"/>
      <c r="G119" s="21"/>
      <c r="H119" s="21"/>
      <c r="I119" s="22"/>
      <c r="J119" s="21"/>
      <c r="K119" s="108"/>
      <c r="L119" s="108"/>
    </row>
    <row r="120" spans="1:12" ht="14.45">
      <c r="A120" s="21"/>
      <c r="B120" s="33"/>
      <c r="C120" s="21"/>
      <c r="D120" s="21"/>
      <c r="E120" s="21"/>
      <c r="F120" s="22"/>
      <c r="G120" s="21"/>
      <c r="H120" s="21"/>
      <c r="I120" s="22"/>
      <c r="J120" s="21"/>
      <c r="K120" s="108"/>
      <c r="L120" s="108"/>
    </row>
    <row r="121" spans="1:12" ht="14.45">
      <c r="A121" s="21"/>
      <c r="B121" s="33"/>
      <c r="C121" s="21"/>
      <c r="D121" s="21"/>
      <c r="E121" s="21"/>
      <c r="F121" s="22"/>
      <c r="G121" s="21"/>
      <c r="H121" s="21"/>
      <c r="I121" s="22"/>
      <c r="J121" s="21"/>
      <c r="K121" s="108"/>
      <c r="L121" s="108"/>
    </row>
    <row r="122" spans="1:12" ht="14.45">
      <c r="A122" s="21"/>
      <c r="B122" s="33"/>
      <c r="C122" s="21"/>
      <c r="D122" s="21"/>
      <c r="E122" s="21"/>
      <c r="F122" s="22"/>
      <c r="G122" s="21"/>
      <c r="H122" s="21"/>
      <c r="I122" s="22"/>
      <c r="J122" s="21"/>
      <c r="K122" s="108"/>
      <c r="L122" s="108"/>
    </row>
    <row r="123" spans="1:12" ht="14.45">
      <c r="A123" s="21"/>
      <c r="B123" s="33"/>
      <c r="C123" s="21"/>
      <c r="D123" s="21"/>
      <c r="E123" s="21"/>
      <c r="F123" s="22"/>
      <c r="G123" s="21"/>
      <c r="H123" s="21"/>
      <c r="I123" s="22"/>
      <c r="J123" s="21"/>
      <c r="K123" s="108"/>
      <c r="L123" s="108"/>
    </row>
    <row r="124" spans="1:12" ht="14.45">
      <c r="A124" s="21"/>
      <c r="B124" s="33"/>
      <c r="C124" s="21"/>
      <c r="D124" s="21"/>
      <c r="E124" s="21"/>
      <c r="F124" s="22"/>
      <c r="G124" s="21"/>
      <c r="H124" s="21"/>
      <c r="I124" s="22"/>
      <c r="J124" s="21"/>
      <c r="K124" s="108"/>
      <c r="L124" s="108"/>
    </row>
    <row r="125" spans="1:12" ht="14.45">
      <c r="A125" s="21"/>
      <c r="B125" s="33"/>
      <c r="C125" s="21"/>
      <c r="D125" s="21"/>
      <c r="E125" s="21"/>
      <c r="F125" s="22"/>
      <c r="G125" s="21"/>
      <c r="H125" s="21"/>
      <c r="I125" s="22"/>
      <c r="J125" s="21"/>
      <c r="K125" s="108"/>
      <c r="L125" s="108"/>
    </row>
    <row r="126" spans="1:12" ht="14.45">
      <c r="A126" s="21"/>
      <c r="B126" s="33"/>
      <c r="C126" s="21"/>
      <c r="D126" s="21"/>
      <c r="E126" s="21"/>
      <c r="F126" s="22"/>
      <c r="G126" s="21"/>
      <c r="H126" s="21"/>
      <c r="I126" s="22"/>
      <c r="J126" s="21"/>
      <c r="K126" s="108"/>
      <c r="L126" s="108"/>
    </row>
    <row r="127" spans="1:12" ht="14.45">
      <c r="A127" s="21"/>
      <c r="B127" s="33"/>
      <c r="C127" s="21"/>
      <c r="D127" s="21"/>
      <c r="E127" s="21"/>
      <c r="F127" s="22"/>
      <c r="G127" s="21"/>
      <c r="H127" s="21"/>
      <c r="I127" s="22"/>
      <c r="J127" s="21"/>
      <c r="K127" s="108"/>
      <c r="L127" s="108"/>
    </row>
    <row r="128" spans="1:12" ht="14.45">
      <c r="A128" s="21"/>
      <c r="B128" s="33"/>
      <c r="C128" s="21"/>
      <c r="D128" s="21"/>
      <c r="E128" s="21"/>
      <c r="F128" s="22"/>
      <c r="G128" s="21"/>
      <c r="H128" s="21"/>
      <c r="I128" s="22"/>
      <c r="J128" s="21"/>
      <c r="K128" s="108"/>
      <c r="L128" s="108"/>
    </row>
    <row r="129" spans="1:12" ht="14.45">
      <c r="A129" s="21"/>
      <c r="B129" s="33"/>
      <c r="C129" s="21"/>
      <c r="D129" s="21"/>
      <c r="E129" s="21"/>
      <c r="F129" s="22"/>
      <c r="G129" s="21"/>
      <c r="H129" s="21"/>
      <c r="I129" s="22"/>
      <c r="J129" s="21"/>
      <c r="K129" s="108"/>
      <c r="L129" s="108"/>
    </row>
    <row r="130" spans="1:12" ht="14.45">
      <c r="A130" s="21"/>
      <c r="B130" s="33"/>
      <c r="C130" s="21"/>
      <c r="D130" s="21"/>
      <c r="E130" s="21"/>
      <c r="F130" s="22"/>
      <c r="G130" s="21"/>
      <c r="H130" s="21"/>
      <c r="I130" s="22"/>
      <c r="J130" s="21"/>
      <c r="K130" s="108"/>
      <c r="L130" s="108"/>
    </row>
    <row r="131" spans="1:12" ht="14.45">
      <c r="A131" s="21"/>
      <c r="B131" s="33"/>
      <c r="C131" s="21"/>
      <c r="D131" s="21"/>
      <c r="E131" s="21"/>
      <c r="F131" s="22"/>
      <c r="G131" s="21"/>
      <c r="H131" s="21"/>
      <c r="I131" s="22"/>
      <c r="J131" s="21"/>
      <c r="K131" s="108"/>
      <c r="L131" s="108"/>
    </row>
    <row r="132" spans="1:12" ht="14.45">
      <c r="A132" s="21"/>
      <c r="B132" s="33"/>
      <c r="C132" s="21"/>
      <c r="D132" s="21"/>
      <c r="E132" s="21"/>
      <c r="F132" s="22"/>
      <c r="G132" s="21"/>
      <c r="H132" s="21"/>
      <c r="I132" s="22"/>
      <c r="J132" s="21"/>
      <c r="K132" s="108"/>
      <c r="L132" s="108"/>
    </row>
    <row r="133" spans="1:12" ht="14.45">
      <c r="A133" s="21"/>
      <c r="B133" s="33"/>
      <c r="C133" s="21"/>
      <c r="D133" s="21"/>
      <c r="E133" s="21"/>
      <c r="F133" s="22"/>
      <c r="G133" s="21"/>
      <c r="H133" s="21"/>
      <c r="I133" s="22"/>
      <c r="J133" s="21"/>
      <c r="K133" s="108"/>
      <c r="L133" s="108"/>
    </row>
    <row r="134" spans="1:12" ht="14.45">
      <c r="A134" s="21"/>
      <c r="B134" s="33"/>
      <c r="C134" s="21"/>
      <c r="D134" s="21"/>
      <c r="E134" s="21"/>
      <c r="F134" s="22"/>
      <c r="G134" s="21"/>
      <c r="H134" s="21"/>
      <c r="I134" s="22"/>
      <c r="J134" s="21"/>
      <c r="K134" s="108"/>
      <c r="L134" s="108"/>
    </row>
    <row r="135" spans="1:12" ht="14.45">
      <c r="A135" s="21"/>
      <c r="B135" s="33"/>
      <c r="C135" s="21"/>
      <c r="D135" s="21"/>
      <c r="E135" s="21"/>
      <c r="F135" s="22"/>
      <c r="G135" s="21"/>
      <c r="H135" s="21"/>
      <c r="I135" s="22"/>
      <c r="J135" s="21"/>
      <c r="K135" s="108"/>
      <c r="L135" s="108"/>
    </row>
    <row r="136" spans="1:12" ht="14.45">
      <c r="A136" s="21"/>
      <c r="B136" s="33"/>
      <c r="C136" s="21"/>
      <c r="D136" s="21"/>
      <c r="E136" s="21"/>
      <c r="F136" s="22"/>
      <c r="G136" s="21"/>
      <c r="H136" s="21"/>
      <c r="I136" s="22"/>
      <c r="J136" s="21"/>
      <c r="K136" s="108"/>
      <c r="L136" s="108"/>
    </row>
    <row r="137" spans="1:12" ht="14.45">
      <c r="A137" s="21"/>
      <c r="B137" s="33"/>
      <c r="C137" s="21"/>
      <c r="D137" s="21"/>
      <c r="E137" s="21"/>
      <c r="F137" s="22"/>
      <c r="G137" s="21"/>
      <c r="H137" s="21"/>
      <c r="I137" s="22"/>
      <c r="J137" s="21"/>
      <c r="K137" s="108"/>
      <c r="L137" s="108"/>
    </row>
    <row r="138" spans="1:12" ht="14.45">
      <c r="A138" s="21"/>
      <c r="B138" s="33"/>
      <c r="C138" s="21"/>
      <c r="D138" s="21"/>
      <c r="E138" s="21"/>
      <c r="F138" s="22"/>
      <c r="G138" s="21"/>
      <c r="H138" s="21"/>
      <c r="I138" s="22"/>
      <c r="J138" s="21"/>
      <c r="K138" s="108"/>
      <c r="L138" s="108"/>
    </row>
    <row r="139" spans="1:12" ht="14.45">
      <c r="A139" s="21"/>
      <c r="B139" s="33"/>
      <c r="C139" s="21"/>
      <c r="D139" s="21"/>
      <c r="E139" s="21"/>
      <c r="F139" s="22"/>
      <c r="G139" s="21"/>
      <c r="H139" s="21"/>
      <c r="I139" s="22"/>
      <c r="J139" s="21"/>
      <c r="K139" s="108"/>
      <c r="L139" s="108"/>
    </row>
    <row r="140" spans="1:12" ht="14.45">
      <c r="A140" s="21"/>
      <c r="B140" s="33"/>
      <c r="C140" s="21"/>
      <c r="D140" s="21"/>
      <c r="E140" s="21"/>
      <c r="F140" s="22"/>
      <c r="G140" s="21"/>
      <c r="H140" s="21"/>
      <c r="I140" s="22"/>
      <c r="J140" s="21"/>
      <c r="K140" s="108"/>
      <c r="L140" s="108"/>
    </row>
    <row r="141" spans="1:12" ht="14.45">
      <c r="A141" s="21"/>
      <c r="B141" s="33"/>
      <c r="C141" s="21"/>
      <c r="D141" s="21"/>
      <c r="E141" s="21"/>
      <c r="F141" s="22"/>
      <c r="G141" s="21"/>
      <c r="H141" s="21"/>
      <c r="I141" s="22"/>
      <c r="J141" s="21"/>
      <c r="K141" s="108"/>
      <c r="L141" s="108"/>
    </row>
    <row r="142" spans="1:12" ht="14.45">
      <c r="A142" s="21"/>
      <c r="B142" s="33"/>
      <c r="C142" s="21"/>
      <c r="D142" s="21"/>
      <c r="E142" s="21"/>
      <c r="F142" s="22"/>
      <c r="G142" s="21"/>
      <c r="H142" s="21"/>
      <c r="I142" s="22"/>
      <c r="J142" s="21"/>
      <c r="K142" s="108"/>
      <c r="L142" s="108"/>
    </row>
    <row r="143" spans="1:12" ht="14.45">
      <c r="A143" s="21"/>
      <c r="B143" s="33"/>
      <c r="C143" s="21"/>
      <c r="D143" s="21"/>
      <c r="E143" s="21"/>
      <c r="F143" s="22"/>
      <c r="G143" s="21"/>
      <c r="H143" s="21"/>
      <c r="I143" s="22"/>
      <c r="J143" s="21"/>
      <c r="K143" s="108"/>
      <c r="L143" s="108"/>
    </row>
    <row r="144" spans="1:12" ht="14.45">
      <c r="A144" s="21"/>
      <c r="B144" s="33"/>
      <c r="C144" s="21"/>
      <c r="D144" s="21"/>
      <c r="E144" s="21"/>
      <c r="F144" s="22"/>
      <c r="G144" s="21"/>
      <c r="H144" s="21"/>
      <c r="I144" s="22"/>
      <c r="J144" s="21"/>
      <c r="K144" s="108"/>
      <c r="L144" s="108"/>
    </row>
    <row r="145" spans="1:12" ht="14.45">
      <c r="A145" s="21"/>
      <c r="B145" s="33"/>
      <c r="C145" s="21"/>
      <c r="D145" s="21"/>
      <c r="E145" s="21"/>
      <c r="F145" s="22"/>
      <c r="G145" s="21"/>
      <c r="H145" s="21"/>
      <c r="I145" s="22"/>
      <c r="J145" s="21"/>
      <c r="K145" s="108"/>
      <c r="L145" s="108"/>
    </row>
    <row r="146" spans="1:12" ht="14.45">
      <c r="A146" s="21"/>
      <c r="B146" s="33"/>
      <c r="C146" s="21"/>
      <c r="D146" s="21"/>
      <c r="E146" s="21"/>
      <c r="F146" s="22"/>
      <c r="G146" s="21"/>
      <c r="H146" s="21"/>
      <c r="I146" s="22"/>
      <c r="J146" s="21"/>
      <c r="K146" s="108"/>
      <c r="L146" s="108"/>
    </row>
    <row r="147" spans="1:12" ht="14.45">
      <c r="A147" s="21"/>
      <c r="B147" s="33"/>
      <c r="C147" s="21"/>
      <c r="D147" s="21"/>
      <c r="E147" s="21"/>
      <c r="F147" s="22"/>
      <c r="G147" s="21"/>
      <c r="H147" s="21"/>
      <c r="I147" s="22"/>
      <c r="J147" s="21"/>
      <c r="K147" s="108"/>
      <c r="L147" s="108"/>
    </row>
    <row r="148" spans="1:12" ht="14.45">
      <c r="A148" s="21"/>
      <c r="B148" s="33"/>
      <c r="C148" s="21"/>
      <c r="D148" s="21"/>
      <c r="E148" s="21"/>
      <c r="F148" s="22"/>
      <c r="G148" s="21"/>
      <c r="H148" s="21"/>
      <c r="I148" s="22"/>
      <c r="J148" s="21"/>
      <c r="K148" s="108"/>
      <c r="L148" s="108"/>
    </row>
    <row r="149" spans="1:12" ht="14.45">
      <c r="A149" s="21"/>
      <c r="B149" s="33"/>
      <c r="C149" s="21"/>
      <c r="D149" s="21"/>
      <c r="E149" s="21"/>
      <c r="F149" s="22"/>
      <c r="G149" s="21"/>
      <c r="H149" s="21"/>
      <c r="I149" s="22"/>
      <c r="J149" s="21"/>
      <c r="K149" s="108"/>
      <c r="L149" s="108"/>
    </row>
    <row r="150" spans="1:12" ht="14.45">
      <c r="A150" s="21"/>
      <c r="B150" s="33"/>
      <c r="C150" s="21"/>
      <c r="D150" s="21"/>
      <c r="E150" s="21"/>
      <c r="F150" s="22"/>
      <c r="G150" s="21"/>
      <c r="H150" s="21"/>
      <c r="I150" s="22"/>
      <c r="J150" s="21"/>
      <c r="K150" s="108"/>
      <c r="L150" s="108"/>
    </row>
    <row r="151" spans="1:12" ht="14.45">
      <c r="A151" s="21"/>
      <c r="B151" s="33"/>
      <c r="C151" s="21"/>
      <c r="D151" s="21"/>
      <c r="E151" s="21"/>
      <c r="F151" s="22"/>
      <c r="G151" s="21"/>
      <c r="H151" s="21"/>
      <c r="I151" s="22"/>
      <c r="J151" s="21"/>
      <c r="K151" s="108"/>
      <c r="L151" s="108"/>
    </row>
    <row r="152" spans="1:12" ht="14.45">
      <c r="A152" s="21"/>
      <c r="B152" s="33"/>
      <c r="C152" s="21"/>
      <c r="D152" s="21"/>
      <c r="E152" s="21"/>
      <c r="F152" s="22"/>
      <c r="G152" s="21"/>
      <c r="H152" s="21"/>
      <c r="I152" s="22"/>
      <c r="J152" s="21"/>
      <c r="K152" s="108"/>
      <c r="L152" s="108"/>
    </row>
    <row r="153" spans="1:12" ht="14.45">
      <c r="A153" s="21"/>
      <c r="B153" s="33"/>
      <c r="C153" s="21"/>
      <c r="D153" s="21"/>
      <c r="E153" s="21"/>
      <c r="F153" s="22"/>
      <c r="G153" s="21"/>
      <c r="H153" s="21"/>
      <c r="I153" s="22"/>
      <c r="J153" s="21"/>
      <c r="K153" s="108"/>
      <c r="L153" s="108"/>
    </row>
    <row r="154" spans="1:12" ht="14.45">
      <c r="A154" s="21"/>
      <c r="B154" s="33"/>
      <c r="C154" s="21"/>
      <c r="D154" s="21"/>
      <c r="E154" s="21"/>
      <c r="F154" s="22"/>
      <c r="G154" s="21"/>
      <c r="H154" s="21"/>
      <c r="I154" s="22"/>
      <c r="J154" s="21"/>
      <c r="K154" s="108"/>
      <c r="L154" s="108"/>
    </row>
    <row r="155" spans="1:12" ht="14.45">
      <c r="A155" s="21"/>
      <c r="B155" s="33"/>
      <c r="C155" s="21"/>
      <c r="D155" s="21"/>
      <c r="E155" s="21"/>
      <c r="F155" s="22"/>
      <c r="G155" s="21"/>
      <c r="H155" s="21"/>
      <c r="I155" s="22"/>
      <c r="J155" s="21"/>
      <c r="K155" s="108"/>
      <c r="L155" s="108"/>
    </row>
    <row r="156" spans="1:12" ht="14.45">
      <c r="A156" s="21"/>
      <c r="B156" s="33"/>
      <c r="C156" s="21"/>
      <c r="D156" s="21"/>
      <c r="E156" s="21"/>
      <c r="F156" s="22"/>
      <c r="G156" s="21"/>
      <c r="H156" s="21"/>
      <c r="I156" s="22"/>
      <c r="J156" s="21"/>
      <c r="K156" s="108"/>
      <c r="L156" s="108"/>
    </row>
    <row r="157" spans="1:12" ht="14.45">
      <c r="A157" s="21"/>
      <c r="B157" s="33"/>
      <c r="C157" s="21"/>
      <c r="D157" s="21"/>
      <c r="E157" s="21"/>
      <c r="F157" s="22"/>
      <c r="G157" s="21"/>
      <c r="H157" s="21"/>
      <c r="I157" s="22"/>
      <c r="J157" s="21"/>
      <c r="K157" s="108"/>
      <c r="L157" s="108"/>
    </row>
    <row r="158" spans="1:12" ht="14.45">
      <c r="A158" s="21"/>
      <c r="B158" s="33"/>
      <c r="C158" s="21"/>
      <c r="D158" s="21"/>
      <c r="E158" s="21"/>
      <c r="F158" s="22"/>
      <c r="G158" s="21"/>
      <c r="H158" s="21"/>
      <c r="I158" s="22"/>
      <c r="J158" s="21"/>
      <c r="K158" s="108"/>
      <c r="L158" s="108"/>
    </row>
    <row r="159" spans="1:12" ht="14.45">
      <c r="A159" s="21"/>
      <c r="B159" s="33"/>
      <c r="C159" s="21"/>
      <c r="D159" s="21"/>
      <c r="E159" s="21"/>
      <c r="F159" s="22"/>
      <c r="G159" s="21"/>
      <c r="H159" s="21"/>
      <c r="I159" s="22"/>
      <c r="J159" s="21"/>
      <c r="K159" s="108"/>
      <c r="L159" s="108"/>
    </row>
    <row r="160" spans="1:12" ht="14.45">
      <c r="A160" s="21"/>
      <c r="B160" s="33"/>
      <c r="C160" s="21"/>
      <c r="D160" s="21"/>
      <c r="E160" s="21"/>
      <c r="F160" s="22"/>
      <c r="G160" s="21"/>
      <c r="H160" s="21"/>
      <c r="I160" s="22"/>
      <c r="J160" s="21"/>
      <c r="K160" s="108"/>
      <c r="L160" s="108"/>
    </row>
    <row r="161" spans="1:12" ht="14.45">
      <c r="A161" s="21"/>
      <c r="B161" s="33"/>
      <c r="C161" s="21"/>
      <c r="D161" s="21"/>
      <c r="E161" s="21"/>
      <c r="F161" s="22"/>
      <c r="G161" s="21"/>
      <c r="H161" s="21"/>
      <c r="I161" s="22"/>
      <c r="J161" s="21"/>
      <c r="K161" s="108"/>
      <c r="L161" s="108"/>
    </row>
    <row r="162" spans="1:12" ht="14.45">
      <c r="A162" s="21"/>
      <c r="B162" s="33"/>
      <c r="C162" s="21"/>
      <c r="D162" s="21"/>
      <c r="E162" s="21"/>
      <c r="F162" s="22"/>
      <c r="G162" s="21"/>
      <c r="H162" s="21"/>
      <c r="I162" s="22"/>
      <c r="J162" s="21"/>
      <c r="K162" s="108"/>
      <c r="L162" s="108"/>
    </row>
    <row r="163" spans="1:12" ht="14.45">
      <c r="A163" s="21"/>
      <c r="B163" s="33"/>
      <c r="C163" s="21"/>
      <c r="D163" s="21"/>
      <c r="E163" s="21"/>
      <c r="F163" s="22"/>
      <c r="G163" s="21"/>
      <c r="H163" s="21"/>
      <c r="I163" s="22"/>
      <c r="J163" s="21"/>
      <c r="K163" s="108"/>
      <c r="L163" s="108"/>
    </row>
    <row r="164" spans="1:12" ht="14.45">
      <c r="A164" s="21"/>
      <c r="B164" s="33"/>
      <c r="C164" s="21"/>
      <c r="D164" s="21"/>
      <c r="E164" s="21"/>
      <c r="F164" s="22"/>
      <c r="G164" s="21"/>
      <c r="H164" s="21"/>
      <c r="I164" s="22"/>
      <c r="J164" s="21"/>
      <c r="K164" s="108"/>
      <c r="L164" s="108"/>
    </row>
    <row r="165" spans="1:12" ht="14.45">
      <c r="A165" s="21"/>
      <c r="B165" s="33"/>
      <c r="C165" s="21"/>
      <c r="D165" s="21"/>
      <c r="E165" s="21"/>
      <c r="F165" s="22"/>
      <c r="G165" s="21"/>
      <c r="H165" s="21"/>
      <c r="I165" s="22"/>
      <c r="J165" s="21"/>
      <c r="K165" s="108"/>
      <c r="L165" s="108"/>
    </row>
    <row r="166" spans="1:12" ht="14.45">
      <c r="A166" s="21"/>
      <c r="B166" s="33"/>
      <c r="C166" s="21"/>
      <c r="D166" s="21"/>
      <c r="E166" s="21"/>
      <c r="F166" s="22"/>
      <c r="G166" s="21"/>
      <c r="H166" s="21"/>
      <c r="I166" s="22"/>
      <c r="J166" s="21"/>
      <c r="K166" s="108"/>
      <c r="L166" s="108"/>
    </row>
    <row r="167" spans="1:12" ht="14.45">
      <c r="A167" s="21"/>
      <c r="B167" s="33"/>
      <c r="C167" s="21"/>
      <c r="D167" s="21"/>
      <c r="E167" s="21"/>
      <c r="F167" s="22"/>
      <c r="G167" s="21"/>
      <c r="H167" s="21"/>
      <c r="I167" s="22"/>
      <c r="J167" s="21"/>
      <c r="K167" s="108"/>
      <c r="L167" s="108"/>
    </row>
    <row r="168" spans="1:12" ht="14.45">
      <c r="A168" s="21"/>
      <c r="B168" s="33"/>
      <c r="C168" s="21"/>
      <c r="D168" s="21"/>
      <c r="E168" s="21"/>
      <c r="F168" s="22"/>
      <c r="G168" s="21"/>
      <c r="H168" s="21"/>
      <c r="I168" s="22"/>
      <c r="J168" s="21"/>
      <c r="K168" s="108"/>
      <c r="L168" s="108"/>
    </row>
    <row r="169" spans="1:12" ht="14.45">
      <c r="A169" s="21"/>
      <c r="B169" s="33"/>
      <c r="C169" s="21"/>
      <c r="D169" s="21"/>
      <c r="E169" s="21"/>
      <c r="F169" s="22"/>
      <c r="G169" s="21"/>
      <c r="H169" s="21"/>
      <c r="I169" s="22"/>
      <c r="J169" s="21"/>
      <c r="K169" s="108"/>
      <c r="L169" s="108"/>
    </row>
    <row r="170" spans="1:12" ht="14.45">
      <c r="A170" s="21"/>
      <c r="B170" s="33"/>
      <c r="C170" s="21"/>
      <c r="D170" s="21"/>
      <c r="E170" s="21"/>
      <c r="F170" s="22"/>
      <c r="G170" s="21"/>
      <c r="H170" s="21"/>
      <c r="I170" s="22"/>
      <c r="J170" s="21"/>
      <c r="K170" s="108"/>
      <c r="L170" s="108"/>
    </row>
    <row r="171" spans="1:12" ht="14.45">
      <c r="A171" s="21"/>
      <c r="B171" s="33"/>
      <c r="C171" s="21"/>
      <c r="D171" s="21"/>
      <c r="E171" s="21"/>
      <c r="F171" s="22"/>
      <c r="G171" s="21"/>
      <c r="H171" s="21"/>
      <c r="I171" s="22"/>
      <c r="J171" s="21"/>
      <c r="K171" s="108"/>
      <c r="L171" s="108"/>
    </row>
    <row r="172" spans="1:12" ht="14.45">
      <c r="A172" s="21"/>
      <c r="B172" s="33"/>
      <c r="C172" s="21"/>
      <c r="D172" s="21"/>
      <c r="E172" s="21"/>
      <c r="F172" s="22"/>
      <c r="G172" s="21"/>
      <c r="H172" s="21"/>
      <c r="I172" s="22"/>
      <c r="J172" s="21"/>
      <c r="K172" s="108"/>
      <c r="L172" s="108"/>
    </row>
    <row r="173" spans="1:12" ht="14.45">
      <c r="A173" s="21"/>
      <c r="B173" s="33"/>
      <c r="C173" s="21"/>
      <c r="D173" s="21"/>
      <c r="E173" s="21"/>
      <c r="F173" s="22"/>
      <c r="G173" s="21"/>
      <c r="H173" s="21"/>
      <c r="I173" s="22"/>
      <c r="J173" s="21"/>
      <c r="K173" s="108"/>
      <c r="L173" s="108"/>
    </row>
    <row r="174" spans="1:12" ht="14.45">
      <c r="A174" s="21"/>
      <c r="B174" s="33"/>
      <c r="C174" s="21"/>
      <c r="D174" s="21"/>
      <c r="E174" s="21"/>
      <c r="F174" s="22"/>
      <c r="G174" s="21"/>
      <c r="H174" s="21"/>
      <c r="I174" s="22"/>
      <c r="J174" s="21"/>
      <c r="K174" s="108"/>
      <c r="L174" s="108"/>
    </row>
    <row r="175" spans="1:12" ht="14.45">
      <c r="A175" s="21"/>
      <c r="B175" s="33"/>
      <c r="C175" s="21"/>
      <c r="D175" s="21"/>
      <c r="E175" s="21"/>
      <c r="F175" s="22"/>
      <c r="G175" s="21"/>
      <c r="H175" s="21"/>
      <c r="I175" s="22"/>
      <c r="J175" s="21"/>
      <c r="K175" s="108"/>
      <c r="L175" s="108"/>
    </row>
    <row r="176" spans="1:12" ht="14.45">
      <c r="A176" s="21"/>
      <c r="B176" s="33"/>
      <c r="C176" s="21"/>
      <c r="D176" s="21"/>
      <c r="E176" s="21"/>
      <c r="F176" s="22"/>
      <c r="G176" s="21"/>
      <c r="H176" s="21"/>
      <c r="I176" s="22"/>
      <c r="J176" s="21"/>
      <c r="K176" s="108"/>
      <c r="L176" s="108"/>
    </row>
    <row r="177" spans="1:12" ht="14.45">
      <c r="A177" s="21"/>
      <c r="B177" s="33"/>
      <c r="C177" s="21"/>
      <c r="D177" s="21"/>
      <c r="E177" s="21"/>
      <c r="F177" s="22"/>
      <c r="G177" s="21"/>
      <c r="H177" s="21"/>
      <c r="I177" s="22"/>
      <c r="J177" s="21"/>
      <c r="K177" s="108"/>
      <c r="L177" s="108"/>
    </row>
    <row r="178" spans="1:12" ht="14.45">
      <c r="A178" s="21"/>
      <c r="B178" s="33"/>
      <c r="C178" s="21"/>
      <c r="D178" s="21"/>
      <c r="E178" s="21"/>
      <c r="F178" s="22"/>
      <c r="G178" s="21"/>
      <c r="H178" s="21"/>
      <c r="I178" s="22"/>
      <c r="J178" s="21"/>
      <c r="K178" s="108"/>
      <c r="L178" s="108"/>
    </row>
    <row r="179" spans="1:12" ht="14.45">
      <c r="A179" s="21"/>
      <c r="B179" s="33"/>
      <c r="C179" s="21"/>
      <c r="D179" s="21"/>
      <c r="E179" s="21"/>
      <c r="F179" s="22"/>
      <c r="G179" s="21"/>
      <c r="H179" s="21"/>
      <c r="I179" s="22"/>
      <c r="J179" s="21"/>
      <c r="K179" s="108"/>
      <c r="L179" s="108"/>
    </row>
    <row r="180" spans="1:12" ht="14.45">
      <c r="A180" s="21"/>
      <c r="B180" s="33"/>
      <c r="C180" s="21"/>
      <c r="D180" s="21"/>
      <c r="E180" s="21"/>
      <c r="F180" s="22"/>
      <c r="G180" s="21"/>
      <c r="H180" s="21"/>
      <c r="I180" s="22"/>
      <c r="J180" s="21"/>
      <c r="K180" s="108"/>
      <c r="L180" s="108"/>
    </row>
    <row r="181" spans="1:12" ht="14.45">
      <c r="A181" s="21"/>
      <c r="B181" s="33"/>
      <c r="C181" s="21"/>
      <c r="D181" s="21"/>
      <c r="E181" s="21"/>
      <c r="F181" s="22"/>
      <c r="G181" s="21"/>
      <c r="H181" s="21"/>
      <c r="I181" s="22"/>
      <c r="J181" s="21"/>
      <c r="K181" s="108"/>
      <c r="L181" s="108"/>
    </row>
    <row r="182" spans="1:12" ht="14.45">
      <c r="A182" s="21"/>
      <c r="B182" s="33"/>
      <c r="C182" s="21"/>
      <c r="D182" s="21"/>
      <c r="E182" s="21"/>
      <c r="F182" s="22"/>
      <c r="G182" s="21"/>
      <c r="H182" s="21"/>
      <c r="I182" s="22"/>
      <c r="J182" s="21"/>
      <c r="K182" s="108"/>
      <c r="L182" s="108"/>
    </row>
    <row r="183" spans="1:12" ht="14.45">
      <c r="A183" s="21"/>
      <c r="B183" s="33"/>
      <c r="C183" s="21"/>
      <c r="D183" s="21"/>
      <c r="E183" s="21"/>
      <c r="F183" s="22"/>
      <c r="G183" s="21"/>
      <c r="H183" s="21"/>
      <c r="I183" s="22"/>
      <c r="J183" s="21"/>
      <c r="K183" s="108"/>
      <c r="L183" s="108"/>
    </row>
    <row r="184" spans="1:12" ht="14.45">
      <c r="A184" s="21"/>
      <c r="B184" s="33"/>
      <c r="C184" s="21"/>
      <c r="D184" s="21"/>
      <c r="E184" s="21"/>
      <c r="F184" s="22"/>
      <c r="G184" s="21"/>
      <c r="H184" s="21"/>
      <c r="I184" s="22"/>
      <c r="J184" s="21"/>
      <c r="K184" s="108"/>
      <c r="L184" s="108"/>
    </row>
    <row r="185" spans="1:12" ht="14.45">
      <c r="A185" s="21"/>
      <c r="B185" s="33"/>
      <c r="C185" s="21"/>
      <c r="D185" s="21"/>
      <c r="E185" s="21"/>
      <c r="F185" s="22"/>
      <c r="G185" s="21"/>
      <c r="H185" s="21"/>
      <c r="I185" s="22"/>
      <c r="J185" s="21"/>
      <c r="K185" s="108"/>
      <c r="L185" s="108"/>
    </row>
    <row r="186" spans="1:12" ht="14.45">
      <c r="A186" s="21"/>
      <c r="B186" s="33"/>
      <c r="C186" s="21"/>
      <c r="D186" s="21"/>
      <c r="E186" s="21"/>
      <c r="F186" s="22"/>
      <c r="G186" s="21"/>
      <c r="H186" s="21"/>
      <c r="I186" s="22"/>
      <c r="J186" s="21"/>
      <c r="K186" s="108"/>
      <c r="L186" s="108"/>
    </row>
    <row r="187" spans="1:12" ht="14.45">
      <c r="A187" s="21"/>
      <c r="B187" s="33"/>
      <c r="C187" s="21"/>
      <c r="D187" s="21"/>
      <c r="E187" s="21"/>
      <c r="F187" s="22"/>
      <c r="G187" s="21"/>
      <c r="H187" s="21"/>
      <c r="I187" s="22"/>
      <c r="J187" s="21"/>
      <c r="K187" s="108"/>
      <c r="L187" s="108"/>
    </row>
    <row r="188" spans="1:12" ht="14.45">
      <c r="A188" s="21"/>
      <c r="B188" s="33"/>
      <c r="C188" s="21"/>
      <c r="D188" s="21"/>
      <c r="E188" s="21"/>
      <c r="F188" s="22"/>
      <c r="G188" s="21"/>
      <c r="H188" s="21"/>
      <c r="I188" s="22"/>
      <c r="J188" s="21"/>
      <c r="K188" s="108"/>
      <c r="L188" s="108"/>
    </row>
    <row r="189" spans="1:12" ht="14.45">
      <c r="A189" s="21"/>
      <c r="B189" s="33"/>
      <c r="C189" s="21"/>
      <c r="D189" s="21"/>
      <c r="E189" s="21"/>
      <c r="F189" s="22"/>
      <c r="G189" s="21"/>
      <c r="H189" s="21"/>
      <c r="I189" s="22"/>
      <c r="J189" s="21"/>
      <c r="K189" s="108"/>
      <c r="L189" s="108"/>
    </row>
    <row r="190" spans="1:12" ht="14.45">
      <c r="A190" s="21"/>
      <c r="B190" s="33"/>
      <c r="C190" s="21"/>
      <c r="D190" s="21"/>
      <c r="E190" s="21"/>
      <c r="F190" s="22"/>
      <c r="G190" s="21"/>
      <c r="H190" s="21"/>
      <c r="I190" s="22"/>
      <c r="J190" s="21"/>
      <c r="K190" s="108"/>
      <c r="L190" s="108"/>
    </row>
    <row r="191" spans="1:12" ht="14.45">
      <c r="A191" s="21"/>
      <c r="B191" s="33"/>
      <c r="C191" s="21"/>
      <c r="D191" s="21"/>
      <c r="E191" s="21"/>
      <c r="F191" s="22"/>
      <c r="G191" s="21"/>
      <c r="H191" s="21"/>
      <c r="I191" s="22"/>
      <c r="J191" s="21"/>
      <c r="K191" s="108"/>
      <c r="L191" s="108"/>
    </row>
    <row r="192" spans="1:12" ht="14.45">
      <c r="A192" s="21"/>
      <c r="B192" s="33"/>
      <c r="C192" s="21"/>
      <c r="D192" s="21"/>
      <c r="E192" s="21"/>
      <c r="F192" s="22"/>
      <c r="G192" s="21"/>
      <c r="H192" s="21"/>
      <c r="I192" s="22"/>
      <c r="J192" s="21"/>
      <c r="K192" s="108"/>
      <c r="L192" s="108"/>
    </row>
    <row r="193" spans="1:12" ht="14.45">
      <c r="A193" s="21"/>
      <c r="B193" s="33"/>
      <c r="C193" s="21"/>
      <c r="D193" s="21"/>
      <c r="E193" s="21"/>
      <c r="F193" s="22"/>
      <c r="G193" s="21"/>
      <c r="H193" s="21"/>
      <c r="I193" s="22"/>
      <c r="J193" s="21"/>
      <c r="K193" s="108"/>
      <c r="L193" s="108"/>
    </row>
    <row r="194" spans="1:12" ht="14.45">
      <c r="A194" s="21"/>
      <c r="B194" s="33"/>
      <c r="C194" s="21"/>
      <c r="D194" s="21"/>
      <c r="E194" s="21"/>
      <c r="F194" s="22"/>
      <c r="G194" s="21"/>
      <c r="H194" s="21"/>
      <c r="I194" s="22"/>
      <c r="J194" s="21"/>
      <c r="K194" s="108"/>
      <c r="L194" s="108"/>
    </row>
    <row r="195" spans="1:12" ht="14.45">
      <c r="A195" s="21"/>
      <c r="B195" s="33"/>
      <c r="C195" s="21"/>
      <c r="D195" s="21"/>
      <c r="E195" s="21"/>
      <c r="F195" s="22"/>
      <c r="G195" s="21"/>
      <c r="H195" s="21"/>
      <c r="I195" s="22"/>
      <c r="J195" s="21"/>
      <c r="K195" s="108"/>
      <c r="L195" s="108"/>
    </row>
    <row r="196" spans="1:12" ht="14.45">
      <c r="A196" s="21"/>
      <c r="B196" s="33"/>
      <c r="C196" s="21"/>
      <c r="D196" s="21"/>
      <c r="E196" s="21"/>
      <c r="F196" s="22"/>
      <c r="G196" s="21"/>
      <c r="H196" s="21"/>
      <c r="I196" s="22"/>
      <c r="J196" s="21"/>
      <c r="K196" s="108"/>
      <c r="L196" s="108"/>
    </row>
    <row r="197" spans="1:12" ht="14.45">
      <c r="A197" s="21"/>
      <c r="B197" s="33"/>
      <c r="C197" s="21"/>
      <c r="D197" s="21"/>
      <c r="E197" s="21"/>
      <c r="F197" s="22"/>
      <c r="G197" s="21"/>
      <c r="H197" s="21"/>
      <c r="I197" s="22"/>
      <c r="J197" s="21"/>
      <c r="K197" s="108"/>
      <c r="L197" s="108"/>
    </row>
    <row r="198" spans="1:12" ht="14.45">
      <c r="A198" s="21"/>
      <c r="B198" s="33"/>
      <c r="C198" s="21"/>
      <c r="D198" s="21"/>
      <c r="E198" s="21"/>
      <c r="F198" s="22"/>
      <c r="G198" s="21"/>
      <c r="H198" s="21"/>
      <c r="I198" s="22"/>
      <c r="J198" s="21"/>
      <c r="K198" s="108"/>
      <c r="L198" s="108"/>
    </row>
    <row r="199" spans="1:12" ht="14.45">
      <c r="A199" s="21"/>
      <c r="B199" s="33"/>
      <c r="C199" s="21"/>
      <c r="D199" s="21"/>
      <c r="E199" s="21"/>
      <c r="F199" s="22"/>
      <c r="G199" s="21"/>
      <c r="H199" s="21"/>
      <c r="I199" s="22"/>
      <c r="J199" s="21"/>
      <c r="K199" s="108"/>
      <c r="L199" s="108"/>
    </row>
    <row r="200" spans="1:12" ht="14.45">
      <c r="A200" s="21"/>
      <c r="B200" s="33"/>
      <c r="C200" s="21"/>
      <c r="D200" s="21"/>
      <c r="E200" s="21"/>
      <c r="F200" s="22"/>
      <c r="G200" s="21"/>
      <c r="H200" s="21"/>
      <c r="I200" s="22"/>
      <c r="J200" s="21"/>
      <c r="K200" s="108"/>
      <c r="L200" s="108"/>
    </row>
    <row r="201" spans="1:12" ht="14.45">
      <c r="A201" s="21"/>
      <c r="B201" s="33"/>
      <c r="C201" s="21"/>
      <c r="D201" s="21"/>
      <c r="E201" s="21"/>
      <c r="F201" s="22"/>
      <c r="G201" s="21"/>
      <c r="H201" s="21"/>
      <c r="I201" s="22"/>
      <c r="J201" s="21"/>
      <c r="K201" s="108"/>
      <c r="L201" s="108"/>
    </row>
    <row r="202" spans="1:12" ht="14.45">
      <c r="A202" s="21"/>
      <c r="B202" s="33"/>
      <c r="C202" s="21"/>
      <c r="D202" s="21"/>
      <c r="E202" s="21"/>
      <c r="F202" s="22"/>
      <c r="G202" s="21"/>
      <c r="H202" s="21"/>
      <c r="I202" s="22"/>
      <c r="J202" s="21"/>
      <c r="K202" s="108"/>
      <c r="L202" s="108"/>
    </row>
    <row r="203" spans="1:12" ht="14.45">
      <c r="A203" s="21"/>
      <c r="B203" s="33"/>
      <c r="C203" s="21"/>
      <c r="D203" s="21"/>
      <c r="E203" s="21"/>
      <c r="F203" s="22"/>
      <c r="G203" s="21"/>
      <c r="H203" s="21"/>
      <c r="I203" s="22"/>
      <c r="J203" s="21"/>
      <c r="K203" s="108"/>
      <c r="L203" s="108"/>
    </row>
    <row r="204" spans="1:12" ht="14.45">
      <c r="A204" s="21"/>
      <c r="B204" s="33"/>
      <c r="C204" s="21"/>
      <c r="D204" s="21"/>
      <c r="E204" s="21"/>
      <c r="F204" s="22"/>
      <c r="G204" s="21"/>
      <c r="H204" s="21"/>
      <c r="I204" s="22"/>
      <c r="J204" s="21"/>
      <c r="K204" s="108"/>
      <c r="L204" s="108"/>
    </row>
    <row r="205" spans="1:12" ht="14.45">
      <c r="A205" s="21"/>
      <c r="B205" s="33"/>
      <c r="C205" s="21"/>
      <c r="D205" s="21"/>
      <c r="E205" s="21"/>
      <c r="F205" s="22"/>
      <c r="G205" s="21"/>
      <c r="H205" s="21"/>
      <c r="I205" s="22"/>
      <c r="J205" s="21"/>
      <c r="K205" s="108"/>
      <c r="L205" s="108"/>
    </row>
    <row r="206" spans="1:12" ht="14.45">
      <c r="A206" s="21"/>
      <c r="B206" s="33"/>
      <c r="C206" s="21"/>
      <c r="D206" s="21"/>
      <c r="E206" s="21"/>
      <c r="F206" s="22"/>
      <c r="G206" s="21"/>
      <c r="H206" s="21"/>
      <c r="I206" s="22"/>
      <c r="J206" s="21"/>
      <c r="K206" s="108"/>
      <c r="L206" s="108"/>
    </row>
    <row r="207" spans="1:12" ht="14.45">
      <c r="A207" s="21"/>
      <c r="B207" s="33"/>
      <c r="C207" s="21"/>
      <c r="D207" s="21"/>
      <c r="E207" s="21"/>
      <c r="F207" s="22"/>
      <c r="G207" s="21"/>
      <c r="H207" s="21"/>
      <c r="I207" s="22"/>
      <c r="J207" s="21"/>
      <c r="K207" s="108"/>
      <c r="L207" s="108"/>
    </row>
    <row r="208" spans="1:12" ht="14.45">
      <c r="A208" s="21"/>
      <c r="B208" s="33"/>
      <c r="C208" s="21"/>
      <c r="D208" s="21"/>
      <c r="E208" s="21"/>
      <c r="F208" s="22"/>
      <c r="G208" s="21"/>
      <c r="H208" s="21"/>
      <c r="I208" s="22"/>
      <c r="J208" s="21"/>
      <c r="K208" s="108"/>
      <c r="L208" s="108"/>
    </row>
    <row r="209" spans="1:12" ht="14.45">
      <c r="A209" s="21"/>
      <c r="B209" s="33"/>
      <c r="C209" s="21"/>
      <c r="D209" s="21"/>
      <c r="E209" s="21"/>
      <c r="F209" s="22"/>
      <c r="G209" s="21"/>
      <c r="H209" s="21"/>
      <c r="I209" s="22"/>
      <c r="J209" s="21"/>
      <c r="K209" s="108"/>
      <c r="L209" s="108"/>
    </row>
    <row r="210" spans="1:12" ht="14.45">
      <c r="A210" s="21"/>
      <c r="B210" s="33"/>
      <c r="C210" s="21"/>
      <c r="D210" s="21"/>
      <c r="E210" s="21"/>
      <c r="F210" s="22"/>
      <c r="G210" s="21"/>
      <c r="H210" s="21"/>
      <c r="I210" s="22"/>
      <c r="J210" s="21"/>
      <c r="K210" s="108"/>
      <c r="L210" s="108"/>
    </row>
    <row r="211" spans="1:12" ht="14.45">
      <c r="A211" s="21"/>
      <c r="B211" s="33"/>
      <c r="C211" s="21"/>
      <c r="D211" s="21"/>
      <c r="E211" s="21"/>
      <c r="F211" s="22"/>
      <c r="G211" s="21"/>
      <c r="H211" s="21"/>
      <c r="I211" s="22"/>
      <c r="J211" s="21"/>
      <c r="K211" s="108"/>
      <c r="L211" s="108"/>
    </row>
    <row r="212" spans="1:12" ht="14.45">
      <c r="A212" s="21"/>
      <c r="B212" s="33"/>
      <c r="C212" s="21"/>
      <c r="D212" s="21"/>
      <c r="E212" s="21"/>
      <c r="F212" s="22"/>
      <c r="G212" s="21"/>
      <c r="H212" s="21"/>
      <c r="I212" s="22"/>
      <c r="J212" s="21"/>
      <c r="K212" s="108"/>
      <c r="L212" s="108"/>
    </row>
    <row r="213" spans="1:12" ht="14.45">
      <c r="A213" s="21"/>
      <c r="B213" s="33"/>
      <c r="C213" s="21"/>
      <c r="D213" s="21"/>
      <c r="E213" s="21"/>
      <c r="F213" s="22"/>
      <c r="G213" s="21"/>
      <c r="H213" s="21"/>
      <c r="I213" s="22"/>
      <c r="J213" s="21"/>
      <c r="K213" s="108"/>
      <c r="L213" s="108"/>
    </row>
    <row r="214" spans="1:12" ht="14.45">
      <c r="A214" s="21"/>
      <c r="B214" s="33"/>
      <c r="C214" s="21"/>
      <c r="D214" s="21"/>
      <c r="E214" s="21"/>
      <c r="F214" s="22"/>
      <c r="G214" s="21"/>
      <c r="H214" s="21"/>
      <c r="I214" s="22"/>
      <c r="J214" s="21"/>
      <c r="K214" s="108"/>
      <c r="L214" s="108"/>
    </row>
    <row r="215" spans="1:12" ht="14.45">
      <c r="A215" s="21"/>
      <c r="B215" s="33"/>
      <c r="C215" s="21"/>
      <c r="D215" s="21"/>
      <c r="E215" s="21"/>
      <c r="F215" s="22"/>
      <c r="G215" s="21"/>
      <c r="H215" s="21"/>
      <c r="I215" s="22"/>
      <c r="J215" s="21"/>
      <c r="K215" s="108"/>
      <c r="L215" s="108"/>
    </row>
    <row r="216" spans="1:12" ht="14.45">
      <c r="A216" s="21"/>
      <c r="B216" s="33"/>
      <c r="C216" s="21"/>
      <c r="D216" s="21"/>
      <c r="E216" s="21"/>
      <c r="F216" s="22"/>
      <c r="G216" s="21"/>
      <c r="H216" s="21"/>
      <c r="I216" s="22"/>
      <c r="J216" s="21"/>
      <c r="K216" s="108"/>
      <c r="L216" s="108"/>
    </row>
    <row r="217" spans="1:12" ht="14.45">
      <c r="A217" s="21"/>
      <c r="B217" s="33"/>
      <c r="C217" s="21"/>
      <c r="D217" s="21"/>
      <c r="E217" s="21"/>
      <c r="F217" s="22"/>
      <c r="G217" s="21"/>
      <c r="H217" s="21"/>
      <c r="I217" s="22"/>
      <c r="J217" s="21"/>
      <c r="K217" s="108"/>
      <c r="L217" s="108"/>
    </row>
    <row r="218" spans="1:12" ht="14.45">
      <c r="A218" s="21"/>
      <c r="B218" s="33"/>
      <c r="C218" s="21"/>
      <c r="D218" s="21"/>
      <c r="E218" s="21"/>
      <c r="F218" s="22"/>
      <c r="G218" s="21"/>
      <c r="H218" s="21"/>
      <c r="I218" s="22"/>
      <c r="J218" s="21"/>
      <c r="K218" s="108"/>
      <c r="L218" s="108"/>
    </row>
    <row r="219" spans="1:12" ht="14.45">
      <c r="A219" s="21"/>
      <c r="B219" s="33"/>
      <c r="C219" s="21"/>
      <c r="D219" s="21"/>
      <c r="E219" s="21"/>
      <c r="F219" s="22"/>
      <c r="G219" s="21"/>
      <c r="H219" s="21"/>
      <c r="I219" s="22"/>
      <c r="J219" s="21"/>
      <c r="K219" s="108"/>
      <c r="L219" s="108"/>
    </row>
    <row r="220" spans="1:12" ht="14.45">
      <c r="A220" s="21"/>
      <c r="B220" s="33"/>
      <c r="C220" s="21"/>
      <c r="D220" s="21"/>
      <c r="E220" s="21"/>
      <c r="F220" s="22"/>
      <c r="G220" s="21"/>
      <c r="H220" s="21"/>
      <c r="I220" s="22"/>
      <c r="J220" s="21"/>
      <c r="K220" s="108"/>
      <c r="L220" s="108"/>
    </row>
    <row r="221" spans="1:12" ht="14.45">
      <c r="A221" s="21"/>
      <c r="B221" s="33"/>
      <c r="C221" s="21"/>
      <c r="D221" s="21"/>
      <c r="E221" s="21"/>
      <c r="F221" s="22"/>
      <c r="G221" s="21"/>
      <c r="H221" s="21"/>
      <c r="I221" s="22"/>
      <c r="J221" s="21"/>
      <c r="K221" s="108"/>
      <c r="L221" s="108"/>
    </row>
    <row r="222" spans="1:12" ht="14.45">
      <c r="A222" s="21"/>
      <c r="B222" s="33"/>
      <c r="C222" s="21"/>
      <c r="D222" s="21"/>
      <c r="E222" s="21"/>
      <c r="F222" s="22"/>
      <c r="G222" s="21"/>
      <c r="H222" s="21"/>
      <c r="I222" s="22"/>
      <c r="J222" s="21"/>
      <c r="K222" s="108"/>
      <c r="L222" s="108"/>
    </row>
    <row r="223" spans="1:12" ht="14.45">
      <c r="A223" s="21"/>
      <c r="B223" s="33"/>
      <c r="C223" s="21"/>
      <c r="D223" s="21"/>
      <c r="E223" s="21"/>
      <c r="F223" s="22"/>
      <c r="G223" s="21"/>
      <c r="H223" s="21"/>
      <c r="I223" s="22"/>
      <c r="J223" s="21"/>
      <c r="K223" s="108"/>
      <c r="L223" s="108"/>
    </row>
    <row r="224" spans="1:12" ht="14.45">
      <c r="A224" s="21"/>
      <c r="B224" s="33"/>
      <c r="C224" s="21"/>
      <c r="D224" s="21"/>
      <c r="E224" s="21"/>
      <c r="F224" s="22"/>
      <c r="G224" s="21"/>
      <c r="H224" s="21"/>
      <c r="I224" s="22"/>
      <c r="J224" s="21"/>
      <c r="K224" s="108"/>
      <c r="L224" s="108"/>
    </row>
    <row r="225" spans="1:12" ht="14.45">
      <c r="A225" s="21"/>
      <c r="B225" s="33"/>
      <c r="C225" s="21"/>
      <c r="D225" s="21"/>
      <c r="E225" s="21"/>
      <c r="F225" s="22"/>
      <c r="G225" s="21"/>
      <c r="H225" s="21"/>
      <c r="I225" s="22"/>
      <c r="J225" s="21"/>
      <c r="K225" s="108"/>
      <c r="L225" s="108"/>
    </row>
    <row r="226" spans="1:12" ht="14.45">
      <c r="A226" s="21"/>
      <c r="B226" s="33"/>
      <c r="C226" s="21"/>
      <c r="D226" s="21"/>
      <c r="E226" s="21"/>
      <c r="F226" s="22"/>
      <c r="G226" s="21"/>
      <c r="H226" s="21"/>
      <c r="I226" s="22"/>
      <c r="J226" s="21"/>
      <c r="K226" s="108"/>
      <c r="L226" s="108"/>
    </row>
    <row r="227" spans="1:12" ht="14.45">
      <c r="A227" s="21"/>
      <c r="B227" s="33"/>
      <c r="C227" s="21"/>
      <c r="D227" s="21"/>
      <c r="E227" s="21"/>
      <c r="F227" s="22"/>
      <c r="G227" s="21"/>
      <c r="H227" s="21"/>
      <c r="I227" s="22"/>
      <c r="J227" s="21"/>
      <c r="K227" s="108"/>
      <c r="L227" s="108"/>
    </row>
    <row r="228" spans="1:12" ht="14.45">
      <c r="A228" s="21"/>
      <c r="B228" s="33"/>
      <c r="C228" s="21"/>
      <c r="D228" s="21"/>
      <c r="E228" s="21"/>
      <c r="F228" s="22"/>
      <c r="G228" s="21"/>
      <c r="H228" s="21"/>
      <c r="I228" s="22"/>
      <c r="J228" s="21"/>
      <c r="K228" s="108"/>
      <c r="L228" s="108"/>
    </row>
    <row r="229" spans="1:12" ht="14.45">
      <c r="A229" s="21"/>
      <c r="B229" s="33"/>
      <c r="C229" s="21"/>
      <c r="D229" s="21"/>
      <c r="E229" s="21"/>
      <c r="F229" s="22"/>
      <c r="G229" s="21"/>
      <c r="H229" s="21"/>
      <c r="I229" s="22"/>
      <c r="J229" s="21"/>
      <c r="K229" s="108"/>
      <c r="L229" s="108"/>
    </row>
    <row r="230" spans="1:12" ht="14.45">
      <c r="A230" s="21"/>
      <c r="B230" s="33"/>
      <c r="C230" s="21"/>
      <c r="D230" s="21"/>
      <c r="E230" s="21"/>
      <c r="F230" s="22"/>
      <c r="G230" s="21"/>
      <c r="H230" s="21"/>
      <c r="I230" s="22"/>
      <c r="J230" s="21"/>
      <c r="K230" s="108"/>
      <c r="L230" s="108"/>
    </row>
    <row r="231" spans="1:12" ht="14.45">
      <c r="A231" s="21"/>
      <c r="B231" s="33"/>
      <c r="C231" s="21"/>
      <c r="D231" s="21"/>
      <c r="E231" s="21"/>
      <c r="F231" s="22"/>
      <c r="G231" s="21"/>
      <c r="H231" s="21"/>
      <c r="I231" s="22"/>
      <c r="J231" s="21"/>
      <c r="K231" s="108"/>
      <c r="L231" s="108"/>
    </row>
    <row r="232" spans="1:12" ht="14.45">
      <c r="A232" s="21"/>
      <c r="B232" s="33"/>
      <c r="C232" s="21"/>
      <c r="D232" s="21"/>
      <c r="E232" s="21"/>
      <c r="F232" s="22"/>
      <c r="G232" s="21"/>
      <c r="H232" s="21"/>
      <c r="I232" s="22"/>
      <c r="J232" s="21"/>
      <c r="K232" s="108"/>
      <c r="L232" s="108"/>
    </row>
    <row r="233" spans="1:12" ht="14.45">
      <c r="A233" s="21"/>
      <c r="B233" s="33"/>
      <c r="C233" s="21"/>
      <c r="D233" s="21"/>
      <c r="E233" s="21"/>
      <c r="F233" s="22"/>
      <c r="G233" s="21"/>
      <c r="H233" s="21"/>
      <c r="I233" s="22"/>
      <c r="J233" s="21"/>
      <c r="K233" s="108"/>
      <c r="L233" s="108"/>
    </row>
    <row r="234" spans="1:12" ht="14.45">
      <c r="A234" s="21"/>
      <c r="B234" s="33"/>
      <c r="C234" s="21"/>
      <c r="D234" s="21"/>
      <c r="E234" s="21"/>
      <c r="F234" s="22"/>
      <c r="G234" s="21"/>
      <c r="H234" s="21"/>
      <c r="I234" s="22"/>
      <c r="J234" s="21"/>
      <c r="K234" s="108"/>
      <c r="L234" s="108"/>
    </row>
    <row r="235" spans="1:12" ht="14.45">
      <c r="A235" s="21"/>
      <c r="B235" s="33"/>
      <c r="C235" s="21"/>
      <c r="D235" s="21"/>
      <c r="E235" s="21"/>
      <c r="F235" s="22"/>
      <c r="G235" s="21"/>
      <c r="H235" s="21"/>
      <c r="I235" s="22"/>
      <c r="J235" s="21"/>
      <c r="K235" s="108"/>
      <c r="L235" s="108"/>
    </row>
    <row r="236" spans="1:12" ht="14.45">
      <c r="A236" s="21"/>
      <c r="B236" s="33"/>
      <c r="C236" s="21"/>
      <c r="D236" s="21"/>
      <c r="E236" s="21"/>
      <c r="F236" s="22"/>
      <c r="G236" s="21"/>
      <c r="H236" s="21"/>
      <c r="I236" s="22"/>
      <c r="J236" s="21"/>
      <c r="K236" s="108"/>
      <c r="L236" s="108"/>
    </row>
    <row r="237" spans="1:12" ht="14.45">
      <c r="A237" s="21"/>
      <c r="B237" s="33"/>
      <c r="C237" s="21"/>
      <c r="D237" s="21"/>
      <c r="E237" s="21"/>
      <c r="F237" s="22"/>
      <c r="G237" s="21"/>
      <c r="H237" s="21"/>
      <c r="I237" s="22"/>
      <c r="J237" s="21"/>
      <c r="K237" s="108"/>
      <c r="L237" s="108"/>
    </row>
    <row r="238" spans="1:12" ht="14.45">
      <c r="A238" s="21"/>
      <c r="B238" s="33"/>
      <c r="C238" s="21"/>
      <c r="D238" s="21"/>
      <c r="E238" s="21"/>
      <c r="F238" s="22"/>
      <c r="G238" s="21"/>
      <c r="H238" s="21"/>
      <c r="I238" s="22"/>
      <c r="J238" s="21"/>
      <c r="K238" s="108"/>
      <c r="L238" s="108"/>
    </row>
    <row r="239" spans="1:12" ht="14.45">
      <c r="A239" s="21"/>
      <c r="B239" s="33"/>
      <c r="C239" s="21"/>
      <c r="D239" s="21"/>
      <c r="E239" s="21"/>
      <c r="F239" s="22"/>
      <c r="G239" s="21"/>
      <c r="H239" s="21"/>
      <c r="I239" s="22"/>
      <c r="J239" s="21"/>
      <c r="K239" s="108"/>
      <c r="L239" s="108"/>
    </row>
    <row r="240" spans="1:12" ht="14.45">
      <c r="A240" s="21"/>
      <c r="B240" s="33"/>
      <c r="C240" s="21"/>
      <c r="D240" s="21"/>
      <c r="E240" s="21"/>
      <c r="F240" s="22"/>
      <c r="G240" s="21"/>
      <c r="H240" s="21"/>
      <c r="I240" s="22"/>
      <c r="J240" s="21"/>
      <c r="K240" s="108"/>
      <c r="L240" s="108"/>
    </row>
    <row r="241" spans="1:12" ht="14.45">
      <c r="A241" s="21"/>
      <c r="B241" s="33"/>
      <c r="C241" s="21"/>
      <c r="D241" s="21"/>
      <c r="E241" s="21"/>
      <c r="F241" s="22"/>
      <c r="G241" s="21"/>
      <c r="H241" s="21"/>
      <c r="I241" s="22"/>
      <c r="J241" s="21"/>
      <c r="K241" s="108"/>
      <c r="L241" s="108"/>
    </row>
    <row r="242" spans="1:12" ht="14.45">
      <c r="A242" s="21"/>
      <c r="B242" s="33"/>
      <c r="C242" s="21"/>
      <c r="D242" s="21"/>
      <c r="E242" s="21"/>
      <c r="F242" s="22"/>
      <c r="G242" s="21"/>
      <c r="H242" s="21"/>
      <c r="I242" s="22"/>
      <c r="J242" s="21"/>
      <c r="K242" s="108"/>
      <c r="L242" s="108"/>
    </row>
    <row r="243" spans="1:12" ht="14.45">
      <c r="A243" s="21"/>
      <c r="B243" s="33"/>
      <c r="C243" s="21"/>
      <c r="D243" s="21"/>
      <c r="E243" s="21"/>
      <c r="F243" s="22"/>
      <c r="G243" s="21"/>
      <c r="H243" s="21"/>
      <c r="I243" s="22"/>
      <c r="J243" s="21"/>
      <c r="K243" s="108"/>
      <c r="L243" s="108"/>
    </row>
    <row r="244" spans="1:12" ht="14.45">
      <c r="A244" s="21"/>
      <c r="B244" s="33"/>
      <c r="C244" s="21"/>
      <c r="D244" s="21"/>
      <c r="E244" s="21"/>
      <c r="F244" s="22"/>
      <c r="G244" s="21"/>
      <c r="H244" s="21"/>
      <c r="I244" s="22"/>
      <c r="J244" s="21"/>
      <c r="K244" s="108"/>
      <c r="L244" s="108"/>
    </row>
    <row r="245" spans="1:12" ht="14.45">
      <c r="A245" s="21"/>
      <c r="B245" s="33"/>
      <c r="C245" s="21"/>
      <c r="D245" s="21"/>
      <c r="E245" s="21"/>
      <c r="F245" s="22"/>
      <c r="G245" s="21"/>
      <c r="H245" s="21"/>
      <c r="I245" s="22"/>
      <c r="J245" s="21"/>
      <c r="K245" s="108"/>
      <c r="L245" s="108"/>
    </row>
    <row r="246" spans="1:12" ht="14.45">
      <c r="A246" s="21"/>
      <c r="B246" s="33"/>
      <c r="C246" s="21"/>
      <c r="D246" s="21"/>
      <c r="E246" s="21"/>
      <c r="F246" s="22"/>
      <c r="G246" s="21"/>
      <c r="H246" s="21"/>
      <c r="I246" s="22"/>
      <c r="J246" s="21"/>
      <c r="K246" s="108"/>
      <c r="L246" s="108"/>
    </row>
    <row r="247" spans="1:12" ht="14.45">
      <c r="A247" s="21"/>
      <c r="B247" s="33"/>
      <c r="C247" s="21"/>
      <c r="D247" s="21"/>
      <c r="E247" s="21"/>
      <c r="F247" s="22"/>
      <c r="G247" s="21"/>
      <c r="H247" s="21"/>
      <c r="I247" s="22"/>
      <c r="J247" s="21"/>
      <c r="K247" s="108"/>
      <c r="L247" s="108"/>
    </row>
    <row r="248" spans="1:12" ht="14.45">
      <c r="A248" s="21"/>
      <c r="B248" s="33"/>
      <c r="C248" s="21"/>
      <c r="D248" s="21"/>
      <c r="E248" s="21"/>
      <c r="F248" s="22"/>
      <c r="G248" s="21"/>
      <c r="H248" s="21"/>
      <c r="I248" s="22"/>
      <c r="J248" s="21"/>
      <c r="K248" s="108"/>
      <c r="L248" s="108"/>
    </row>
    <row r="249" spans="1:12" ht="14.45">
      <c r="A249" s="21"/>
      <c r="B249" s="33"/>
      <c r="C249" s="21"/>
      <c r="D249" s="21"/>
      <c r="E249" s="21"/>
      <c r="F249" s="22"/>
      <c r="G249" s="21"/>
      <c r="H249" s="21"/>
      <c r="I249" s="22"/>
      <c r="J249" s="21"/>
      <c r="K249" s="108"/>
      <c r="L249" s="108"/>
    </row>
    <row r="250" spans="1:12" ht="14.45">
      <c r="A250" s="21"/>
      <c r="B250" s="33"/>
      <c r="C250" s="21"/>
      <c r="D250" s="21"/>
      <c r="E250" s="21"/>
      <c r="F250" s="22"/>
      <c r="G250" s="21"/>
      <c r="H250" s="21"/>
      <c r="I250" s="22"/>
      <c r="J250" s="21"/>
      <c r="K250" s="108"/>
      <c r="L250" s="108"/>
    </row>
    <row r="251" spans="1:12" ht="14.45">
      <c r="A251" s="21"/>
      <c r="B251" s="33"/>
      <c r="C251" s="21"/>
      <c r="D251" s="21"/>
      <c r="E251" s="21"/>
      <c r="F251" s="22"/>
      <c r="G251" s="21"/>
      <c r="H251" s="21"/>
      <c r="I251" s="22"/>
      <c r="J251" s="21"/>
      <c r="K251" s="108"/>
      <c r="L251" s="108"/>
    </row>
    <row r="252" spans="1:12" ht="14.45">
      <c r="A252" s="21"/>
      <c r="B252" s="33"/>
      <c r="C252" s="21"/>
      <c r="D252" s="21"/>
      <c r="E252" s="21"/>
      <c r="F252" s="22"/>
      <c r="G252" s="21"/>
      <c r="H252" s="21"/>
      <c r="I252" s="22"/>
      <c r="J252" s="21"/>
      <c r="K252" s="108"/>
      <c r="L252" s="108"/>
    </row>
    <row r="253" spans="1:12" ht="14.45">
      <c r="A253" s="21"/>
      <c r="B253" s="33"/>
      <c r="C253" s="21"/>
      <c r="D253" s="21"/>
      <c r="E253" s="21"/>
      <c r="F253" s="22"/>
      <c r="G253" s="21"/>
      <c r="H253" s="21"/>
      <c r="I253" s="22"/>
      <c r="J253" s="21"/>
      <c r="K253" s="108"/>
      <c r="L253" s="108"/>
    </row>
    <row r="254" spans="1:12" ht="14.45">
      <c r="A254" s="21"/>
      <c r="B254" s="33"/>
      <c r="C254" s="21"/>
      <c r="D254" s="21"/>
      <c r="E254" s="21"/>
      <c r="F254" s="22"/>
      <c r="G254" s="21"/>
      <c r="H254" s="21"/>
      <c r="I254" s="22"/>
      <c r="J254" s="21"/>
      <c r="K254" s="108"/>
      <c r="L254" s="108"/>
    </row>
    <row r="255" spans="1:12" ht="14.45">
      <c r="A255" s="21"/>
      <c r="B255" s="33"/>
      <c r="C255" s="21"/>
      <c r="D255" s="21"/>
      <c r="E255" s="21"/>
      <c r="F255" s="22"/>
      <c r="G255" s="21"/>
      <c r="H255" s="21"/>
      <c r="I255" s="22"/>
      <c r="J255" s="21"/>
      <c r="K255" s="108"/>
      <c r="L255" s="108"/>
    </row>
    <row r="256" spans="1:12" ht="14.45">
      <c r="A256" s="21"/>
      <c r="B256" s="33"/>
      <c r="C256" s="21"/>
      <c r="D256" s="21"/>
      <c r="E256" s="21"/>
      <c r="F256" s="22"/>
      <c r="G256" s="21"/>
      <c r="H256" s="21"/>
      <c r="I256" s="22"/>
      <c r="J256" s="21"/>
      <c r="K256" s="108"/>
      <c r="L256" s="108"/>
    </row>
    <row r="257" spans="1:12" ht="14.45">
      <c r="A257" s="21"/>
      <c r="B257" s="33"/>
      <c r="C257" s="21"/>
      <c r="D257" s="21"/>
      <c r="E257" s="21"/>
      <c r="F257" s="22"/>
      <c r="G257" s="21"/>
      <c r="H257" s="21"/>
      <c r="I257" s="22"/>
      <c r="J257" s="21"/>
      <c r="K257" s="108"/>
      <c r="L257" s="108"/>
    </row>
    <row r="258" spans="1:12" ht="14.45">
      <c r="A258" s="21"/>
      <c r="B258" s="33"/>
      <c r="C258" s="21"/>
      <c r="D258" s="21"/>
      <c r="E258" s="21"/>
      <c r="F258" s="22"/>
      <c r="G258" s="21"/>
      <c r="H258" s="21"/>
      <c r="I258" s="22"/>
      <c r="J258" s="21"/>
      <c r="K258" s="108"/>
      <c r="L258" s="108"/>
    </row>
    <row r="259" spans="1:12" ht="14.45">
      <c r="A259" s="21"/>
      <c r="B259" s="33"/>
      <c r="C259" s="21"/>
      <c r="D259" s="21"/>
      <c r="E259" s="21"/>
      <c r="F259" s="22"/>
      <c r="G259" s="21"/>
      <c r="H259" s="21"/>
      <c r="I259" s="22"/>
      <c r="J259" s="21"/>
      <c r="K259" s="108"/>
      <c r="L259" s="108"/>
    </row>
    <row r="260" spans="1:12" ht="14.45">
      <c r="A260" s="21"/>
      <c r="B260" s="33"/>
      <c r="C260" s="21"/>
      <c r="D260" s="21"/>
      <c r="E260" s="21"/>
      <c r="F260" s="22"/>
      <c r="G260" s="21"/>
      <c r="H260" s="21"/>
      <c r="I260" s="22"/>
      <c r="J260" s="21"/>
      <c r="K260" s="108"/>
      <c r="L260" s="108"/>
    </row>
    <row r="261" spans="1:12" ht="14.45">
      <c r="A261" s="21"/>
      <c r="B261" s="33"/>
      <c r="C261" s="21"/>
      <c r="D261" s="21"/>
      <c r="E261" s="21"/>
      <c r="F261" s="22"/>
      <c r="G261" s="21"/>
      <c r="H261" s="21"/>
      <c r="I261" s="22"/>
      <c r="J261" s="21"/>
      <c r="K261" s="108"/>
      <c r="L261" s="108"/>
    </row>
    <row r="262" spans="1:12" ht="14.45">
      <c r="A262" s="21"/>
      <c r="B262" s="33"/>
      <c r="C262" s="21"/>
      <c r="D262" s="21"/>
      <c r="E262" s="21"/>
      <c r="F262" s="22"/>
      <c r="G262" s="21"/>
      <c r="H262" s="21"/>
      <c r="I262" s="22"/>
      <c r="J262" s="21"/>
      <c r="K262" s="108"/>
      <c r="L262" s="108"/>
    </row>
    <row r="263" spans="1:12" ht="14.45">
      <c r="A263" s="21"/>
      <c r="B263" s="33"/>
      <c r="C263" s="21"/>
      <c r="D263" s="21"/>
      <c r="E263" s="21"/>
      <c r="F263" s="22"/>
      <c r="G263" s="21"/>
      <c r="H263" s="21"/>
      <c r="I263" s="22"/>
      <c r="J263" s="21"/>
      <c r="K263" s="108"/>
      <c r="L263" s="108"/>
    </row>
    <row r="264" spans="1:12" ht="14.45">
      <c r="A264" s="21"/>
      <c r="B264" s="33"/>
      <c r="C264" s="21"/>
      <c r="D264" s="21"/>
      <c r="E264" s="21"/>
      <c r="F264" s="22"/>
      <c r="G264" s="21"/>
      <c r="H264" s="21"/>
      <c r="I264" s="22"/>
      <c r="J264" s="21"/>
      <c r="K264" s="108"/>
      <c r="L264" s="108"/>
    </row>
    <row r="265" spans="1:12" ht="14.45">
      <c r="A265" s="21"/>
      <c r="B265" s="33"/>
      <c r="C265" s="21"/>
      <c r="D265" s="21"/>
      <c r="E265" s="21"/>
      <c r="F265" s="22"/>
      <c r="G265" s="21"/>
      <c r="H265" s="21"/>
      <c r="I265" s="22"/>
      <c r="J265" s="21"/>
      <c r="K265" s="108"/>
      <c r="L265" s="108"/>
    </row>
    <row r="266" spans="1:12" ht="14.45">
      <c r="A266" s="21"/>
      <c r="B266" s="33"/>
      <c r="C266" s="21"/>
      <c r="D266" s="21"/>
      <c r="E266" s="21"/>
      <c r="F266" s="22"/>
      <c r="G266" s="21"/>
      <c r="H266" s="21"/>
      <c r="I266" s="22"/>
      <c r="J266" s="21"/>
      <c r="K266" s="108"/>
      <c r="L266" s="108"/>
    </row>
    <row r="267" spans="1:12" ht="14.45">
      <c r="A267" s="21"/>
      <c r="B267" s="33"/>
      <c r="C267" s="21"/>
      <c r="D267" s="21"/>
      <c r="E267" s="21"/>
      <c r="F267" s="22"/>
      <c r="G267" s="21"/>
      <c r="H267" s="21"/>
      <c r="I267" s="22"/>
      <c r="J267" s="21"/>
      <c r="K267" s="108"/>
      <c r="L267" s="108"/>
    </row>
    <row r="268" spans="1:12" ht="14.45">
      <c r="A268" s="21"/>
      <c r="B268" s="33"/>
      <c r="C268" s="21"/>
      <c r="D268" s="21"/>
      <c r="E268" s="21"/>
      <c r="F268" s="22"/>
      <c r="G268" s="21"/>
      <c r="H268" s="21"/>
      <c r="I268" s="22"/>
      <c r="J268" s="21"/>
      <c r="K268" s="108"/>
      <c r="L268" s="108"/>
    </row>
    <row r="269" spans="1:12" ht="14.45">
      <c r="A269" s="21"/>
      <c r="B269" s="33"/>
      <c r="C269" s="21"/>
      <c r="D269" s="21"/>
      <c r="E269" s="21"/>
      <c r="F269" s="22"/>
      <c r="G269" s="21"/>
      <c r="H269" s="21"/>
      <c r="I269" s="22"/>
      <c r="J269" s="21"/>
      <c r="K269" s="108"/>
      <c r="L269" s="108"/>
    </row>
    <row r="270" spans="1:12" ht="14.45">
      <c r="A270" s="21"/>
      <c r="B270" s="33"/>
      <c r="C270" s="21"/>
      <c r="D270" s="21"/>
      <c r="E270" s="21"/>
      <c r="F270" s="22"/>
      <c r="G270" s="21"/>
      <c r="H270" s="21"/>
      <c r="I270" s="22"/>
      <c r="J270" s="21"/>
      <c r="K270" s="108"/>
      <c r="L270" s="108"/>
    </row>
    <row r="271" spans="1:12" ht="14.45">
      <c r="A271" s="21"/>
      <c r="B271" s="33"/>
      <c r="C271" s="21"/>
      <c r="D271" s="21"/>
      <c r="E271" s="21"/>
      <c r="F271" s="22"/>
      <c r="G271" s="21"/>
      <c r="H271" s="21"/>
      <c r="I271" s="22"/>
      <c r="J271" s="21"/>
      <c r="K271" s="108"/>
      <c r="L271" s="108"/>
    </row>
    <row r="272" spans="1:12" ht="14.45">
      <c r="A272" s="21"/>
      <c r="B272" s="33"/>
      <c r="C272" s="21"/>
      <c r="D272" s="21"/>
      <c r="E272" s="21"/>
      <c r="F272" s="22"/>
      <c r="G272" s="21"/>
      <c r="H272" s="21"/>
      <c r="I272" s="22"/>
      <c r="J272" s="21"/>
      <c r="K272" s="108"/>
      <c r="L272" s="108"/>
    </row>
    <row r="273" spans="1:12" ht="14.45">
      <c r="A273" s="21"/>
      <c r="B273" s="33"/>
      <c r="C273" s="21"/>
      <c r="D273" s="21"/>
      <c r="E273" s="21"/>
      <c r="F273" s="22"/>
      <c r="G273" s="21"/>
      <c r="H273" s="21"/>
      <c r="I273" s="22"/>
      <c r="J273" s="21"/>
      <c r="K273" s="108"/>
      <c r="L273" s="108"/>
    </row>
    <row r="274" spans="1:12" ht="14.45">
      <c r="A274" s="21"/>
      <c r="B274" s="33"/>
      <c r="C274" s="21"/>
      <c r="D274" s="21"/>
      <c r="E274" s="21"/>
      <c r="F274" s="22"/>
      <c r="G274" s="21"/>
      <c r="H274" s="21"/>
      <c r="I274" s="22"/>
      <c r="J274" s="21"/>
      <c r="K274" s="108"/>
      <c r="L274" s="108"/>
    </row>
    <row r="275" spans="1:12" ht="14.45">
      <c r="A275" s="21"/>
      <c r="B275" s="33"/>
      <c r="C275" s="21"/>
      <c r="D275" s="21"/>
      <c r="E275" s="21"/>
      <c r="F275" s="22"/>
      <c r="G275" s="21"/>
      <c r="H275" s="21"/>
      <c r="I275" s="22"/>
      <c r="J275" s="21"/>
      <c r="K275" s="108"/>
      <c r="L275" s="108"/>
    </row>
    <row r="276" spans="1:12" ht="14.45">
      <c r="A276" s="21"/>
      <c r="B276" s="33"/>
      <c r="C276" s="21"/>
      <c r="D276" s="21"/>
      <c r="E276" s="21"/>
      <c r="F276" s="22"/>
      <c r="G276" s="21"/>
      <c r="H276" s="21"/>
      <c r="I276" s="22"/>
      <c r="J276" s="21"/>
      <c r="K276" s="108"/>
      <c r="L276" s="108"/>
    </row>
    <row r="277" spans="1:12" ht="14.45">
      <c r="A277" s="21"/>
      <c r="B277" s="33"/>
      <c r="C277" s="21"/>
      <c r="D277" s="21"/>
      <c r="E277" s="21"/>
      <c r="F277" s="22"/>
      <c r="G277" s="21"/>
      <c r="H277" s="21"/>
      <c r="I277" s="22"/>
      <c r="J277" s="21"/>
      <c r="K277" s="108"/>
      <c r="L277" s="108"/>
    </row>
    <row r="278" spans="1:12" ht="14.45">
      <c r="A278" s="21"/>
      <c r="B278" s="33"/>
      <c r="C278" s="21"/>
      <c r="D278" s="21"/>
      <c r="E278" s="21"/>
      <c r="F278" s="22"/>
      <c r="G278" s="21"/>
      <c r="H278" s="21"/>
      <c r="I278" s="22"/>
      <c r="J278" s="21"/>
      <c r="K278" s="108"/>
      <c r="L278" s="108"/>
    </row>
    <row r="279" spans="1:12" ht="14.45">
      <c r="A279" s="21"/>
      <c r="B279" s="33"/>
      <c r="C279" s="21"/>
      <c r="D279" s="21"/>
      <c r="E279" s="21"/>
      <c r="F279" s="22"/>
      <c r="G279" s="21"/>
      <c r="H279" s="21"/>
      <c r="I279" s="22"/>
      <c r="J279" s="21"/>
      <c r="K279" s="108"/>
      <c r="L279" s="108"/>
    </row>
    <row r="280" spans="1:12" ht="14.45">
      <c r="A280" s="21"/>
      <c r="B280" s="33"/>
      <c r="C280" s="21"/>
      <c r="D280" s="21"/>
      <c r="E280" s="21"/>
      <c r="F280" s="22"/>
      <c r="G280" s="21"/>
      <c r="H280" s="21"/>
      <c r="I280" s="22"/>
      <c r="J280" s="21"/>
      <c r="K280" s="108"/>
      <c r="L280" s="108"/>
    </row>
    <row r="281" spans="1:12" ht="14.45">
      <c r="A281" s="21"/>
      <c r="B281" s="33"/>
      <c r="C281" s="21"/>
      <c r="D281" s="21"/>
      <c r="E281" s="21"/>
      <c r="F281" s="22"/>
      <c r="G281" s="21"/>
      <c r="H281" s="21"/>
      <c r="I281" s="22"/>
      <c r="J281" s="21"/>
      <c r="K281" s="108"/>
      <c r="L281" s="108"/>
    </row>
    <row r="282" spans="1:12" ht="14.45">
      <c r="A282" s="21"/>
      <c r="B282" s="33"/>
      <c r="C282" s="21"/>
      <c r="D282" s="21"/>
      <c r="E282" s="21"/>
      <c r="F282" s="22"/>
      <c r="G282" s="21"/>
      <c r="H282" s="21"/>
      <c r="I282" s="22"/>
      <c r="J282" s="21"/>
      <c r="K282" s="108"/>
      <c r="L282" s="108"/>
    </row>
    <row r="283" spans="1:12" ht="14.45">
      <c r="A283" s="21"/>
      <c r="B283" s="33"/>
      <c r="C283" s="21"/>
      <c r="D283" s="21"/>
      <c r="E283" s="21"/>
      <c r="F283" s="22"/>
      <c r="G283" s="21"/>
      <c r="H283" s="21"/>
      <c r="I283" s="22"/>
      <c r="J283" s="21"/>
      <c r="K283" s="108"/>
      <c r="L283" s="108"/>
    </row>
    <row r="284" spans="1:12" ht="14.45">
      <c r="A284" s="21"/>
      <c r="B284" s="33"/>
      <c r="C284" s="21"/>
      <c r="D284" s="21"/>
      <c r="E284" s="21"/>
      <c r="F284" s="22"/>
      <c r="G284" s="21"/>
      <c r="H284" s="21"/>
      <c r="I284" s="22"/>
      <c r="J284" s="21"/>
      <c r="K284" s="108"/>
      <c r="L284" s="108"/>
    </row>
    <row r="285" spans="1:12" ht="14.45">
      <c r="A285" s="21"/>
      <c r="B285" s="33"/>
      <c r="C285" s="21"/>
      <c r="D285" s="21"/>
      <c r="E285" s="21"/>
      <c r="F285" s="22"/>
      <c r="G285" s="21"/>
      <c r="H285" s="21"/>
      <c r="I285" s="22"/>
      <c r="J285" s="21"/>
      <c r="K285" s="108"/>
      <c r="L285" s="108"/>
    </row>
    <row r="286" spans="1:12" ht="14.45">
      <c r="A286" s="21"/>
      <c r="B286" s="33"/>
      <c r="C286" s="21"/>
      <c r="D286" s="21"/>
      <c r="E286" s="21"/>
      <c r="F286" s="22"/>
      <c r="G286" s="21"/>
      <c r="H286" s="21"/>
      <c r="I286" s="22"/>
      <c r="J286" s="21"/>
      <c r="K286" s="108"/>
      <c r="L286" s="108"/>
    </row>
    <row r="287" spans="1:12" ht="14.45">
      <c r="A287" s="21"/>
      <c r="B287" s="33"/>
      <c r="C287" s="21"/>
      <c r="D287" s="21"/>
      <c r="E287" s="21"/>
      <c r="F287" s="22"/>
      <c r="G287" s="21"/>
      <c r="H287" s="21"/>
      <c r="I287" s="22"/>
      <c r="J287" s="21"/>
      <c r="K287" s="108"/>
      <c r="L287" s="108"/>
    </row>
    <row r="288" spans="1:12" ht="14.45">
      <c r="A288" s="21"/>
      <c r="B288" s="33"/>
      <c r="C288" s="21"/>
      <c r="D288" s="21"/>
      <c r="E288" s="21"/>
      <c r="F288" s="22"/>
      <c r="G288" s="21"/>
      <c r="H288" s="21"/>
      <c r="I288" s="22"/>
      <c r="J288" s="21"/>
      <c r="K288" s="108"/>
      <c r="L288" s="108"/>
    </row>
    <row r="289" spans="1:12" ht="14.45">
      <c r="A289" s="21"/>
      <c r="B289" s="33"/>
      <c r="C289" s="21"/>
      <c r="D289" s="21"/>
      <c r="E289" s="21"/>
      <c r="F289" s="22"/>
      <c r="G289" s="21"/>
      <c r="H289" s="21"/>
      <c r="I289" s="22"/>
      <c r="J289" s="21"/>
      <c r="K289" s="108"/>
      <c r="L289" s="108"/>
    </row>
    <row r="290" spans="1:12" ht="14.45">
      <c r="A290" s="21"/>
      <c r="B290" s="33"/>
      <c r="C290" s="21"/>
      <c r="D290" s="21"/>
      <c r="E290" s="21"/>
      <c r="F290" s="22"/>
      <c r="G290" s="21"/>
      <c r="H290" s="21"/>
      <c r="I290" s="22"/>
      <c r="J290" s="21"/>
      <c r="K290" s="108"/>
      <c r="L290" s="108"/>
    </row>
    <row r="291" spans="1:12" ht="14.45">
      <c r="A291" s="21"/>
      <c r="B291" s="33"/>
      <c r="C291" s="21"/>
      <c r="D291" s="21"/>
      <c r="E291" s="21"/>
      <c r="F291" s="22"/>
      <c r="G291" s="21"/>
      <c r="H291" s="21"/>
      <c r="I291" s="22"/>
      <c r="J291" s="21"/>
      <c r="K291" s="108"/>
      <c r="L291" s="108"/>
    </row>
    <row r="292" spans="1:12" ht="14.45">
      <c r="A292" s="21"/>
      <c r="B292" s="33"/>
      <c r="C292" s="21"/>
      <c r="D292" s="21"/>
      <c r="E292" s="21"/>
      <c r="F292" s="22"/>
      <c r="G292" s="21"/>
      <c r="H292" s="21"/>
      <c r="I292" s="22"/>
      <c r="J292" s="21"/>
      <c r="K292" s="108"/>
      <c r="L292" s="108"/>
    </row>
    <row r="293" spans="1:12" ht="14.45">
      <c r="A293" s="21"/>
      <c r="B293" s="33"/>
      <c r="C293" s="21"/>
      <c r="D293" s="21"/>
      <c r="E293" s="21"/>
      <c r="F293" s="22"/>
      <c r="G293" s="21"/>
      <c r="H293" s="21"/>
      <c r="I293" s="22"/>
      <c r="J293" s="21"/>
      <c r="K293" s="108"/>
      <c r="L293" s="108"/>
    </row>
    <row r="294" spans="1:12" ht="14.45">
      <c r="A294" s="21"/>
      <c r="B294" s="33"/>
      <c r="C294" s="21"/>
      <c r="D294" s="21"/>
      <c r="E294" s="21"/>
      <c r="F294" s="22"/>
      <c r="G294" s="21"/>
      <c r="H294" s="21"/>
      <c r="I294" s="22"/>
      <c r="J294" s="21"/>
      <c r="K294" s="108"/>
      <c r="L294" s="108"/>
    </row>
    <row r="295" spans="1:12" ht="14.45">
      <c r="A295" s="21"/>
      <c r="B295" s="33"/>
      <c r="C295" s="21"/>
      <c r="D295" s="21"/>
      <c r="E295" s="21"/>
      <c r="F295" s="22"/>
      <c r="G295" s="21"/>
      <c r="H295" s="21"/>
      <c r="I295" s="22"/>
      <c r="J295" s="21"/>
      <c r="K295" s="108"/>
      <c r="L295" s="108"/>
    </row>
    <row r="296" spans="1:12" ht="14.45">
      <c r="A296" s="21"/>
      <c r="B296" s="33"/>
      <c r="C296" s="21"/>
      <c r="D296" s="21"/>
      <c r="E296" s="21"/>
      <c r="F296" s="22"/>
      <c r="G296" s="21"/>
      <c r="H296" s="21"/>
      <c r="I296" s="22"/>
      <c r="J296" s="21"/>
      <c r="K296" s="108"/>
      <c r="L296" s="108"/>
    </row>
    <row r="297" spans="1:12" ht="14.45">
      <c r="A297" s="21"/>
      <c r="B297" s="33"/>
      <c r="C297" s="21"/>
      <c r="D297" s="21"/>
      <c r="E297" s="21"/>
      <c r="F297" s="22"/>
      <c r="G297" s="21"/>
      <c r="H297" s="21"/>
      <c r="I297" s="22"/>
      <c r="J297" s="21"/>
      <c r="K297" s="108"/>
      <c r="L297" s="108"/>
    </row>
    <row r="298" spans="1:12" ht="14.45">
      <c r="A298" s="21"/>
      <c r="B298" s="33"/>
      <c r="C298" s="21"/>
      <c r="D298" s="21"/>
      <c r="E298" s="21"/>
      <c r="F298" s="22"/>
      <c r="G298" s="21"/>
      <c r="H298" s="21"/>
      <c r="I298" s="22"/>
      <c r="J298" s="21"/>
      <c r="K298" s="108"/>
      <c r="L298" s="108"/>
    </row>
    <row r="299" spans="1:12" ht="14.45">
      <c r="A299" s="21"/>
      <c r="B299" s="33"/>
      <c r="C299" s="21"/>
      <c r="D299" s="21"/>
      <c r="E299" s="21"/>
      <c r="F299" s="22"/>
      <c r="G299" s="21"/>
      <c r="H299" s="21"/>
      <c r="I299" s="22"/>
      <c r="J299" s="21"/>
      <c r="K299" s="108"/>
      <c r="L299" s="108"/>
    </row>
    <row r="300" spans="1:12" ht="14.45">
      <c r="A300" s="21"/>
      <c r="B300" s="33"/>
      <c r="C300" s="21"/>
      <c r="D300" s="21"/>
      <c r="E300" s="21"/>
      <c r="F300" s="22"/>
      <c r="G300" s="21"/>
      <c r="H300" s="21"/>
      <c r="I300" s="22"/>
      <c r="J300" s="21"/>
      <c r="K300" s="108"/>
      <c r="L300" s="108"/>
    </row>
    <row r="301" spans="1:12" ht="14.45">
      <c r="A301" s="21"/>
      <c r="B301" s="33"/>
      <c r="C301" s="21"/>
      <c r="D301" s="21"/>
      <c r="E301" s="21"/>
      <c r="F301" s="22"/>
      <c r="G301" s="21"/>
      <c r="H301" s="21"/>
      <c r="I301" s="22"/>
      <c r="J301" s="21"/>
      <c r="K301" s="108"/>
      <c r="L301" s="108"/>
    </row>
    <row r="302" spans="1:12" ht="14.45">
      <c r="A302" s="21"/>
      <c r="B302" s="33"/>
      <c r="C302" s="21"/>
      <c r="D302" s="21"/>
      <c r="E302" s="21"/>
      <c r="F302" s="22"/>
      <c r="G302" s="21"/>
      <c r="H302" s="21"/>
      <c r="I302" s="22"/>
      <c r="J302" s="21"/>
      <c r="K302" s="108"/>
      <c r="L302" s="108"/>
    </row>
    <row r="303" spans="1:12" ht="14.45">
      <c r="A303" s="21"/>
      <c r="B303" s="33"/>
      <c r="C303" s="21"/>
      <c r="D303" s="21"/>
      <c r="E303" s="21"/>
      <c r="F303" s="22"/>
      <c r="G303" s="21"/>
      <c r="H303" s="21"/>
      <c r="I303" s="22"/>
      <c r="J303" s="21"/>
      <c r="K303" s="108"/>
      <c r="L303" s="108"/>
    </row>
    <row r="304" spans="1:12" ht="14.45">
      <c r="A304" s="21"/>
      <c r="B304" s="33"/>
      <c r="C304" s="21"/>
      <c r="D304" s="21"/>
      <c r="E304" s="21"/>
      <c r="F304" s="22"/>
      <c r="G304" s="21"/>
      <c r="H304" s="21"/>
      <c r="I304" s="22"/>
      <c r="J304" s="21"/>
      <c r="K304" s="108"/>
      <c r="L304" s="108"/>
    </row>
    <row r="305" spans="1:12" ht="14.45">
      <c r="A305" s="21"/>
      <c r="B305" s="33"/>
      <c r="C305" s="21"/>
      <c r="D305" s="21"/>
      <c r="E305" s="21"/>
      <c r="F305" s="22"/>
      <c r="G305" s="21"/>
      <c r="H305" s="21"/>
      <c r="I305" s="22"/>
      <c r="J305" s="21"/>
      <c r="K305" s="108"/>
      <c r="L305" s="108"/>
    </row>
    <row r="306" spans="1:12" ht="14.45">
      <c r="A306" s="21"/>
      <c r="B306" s="33"/>
      <c r="C306" s="21"/>
      <c r="D306" s="21"/>
      <c r="E306" s="21"/>
      <c r="F306" s="22"/>
      <c r="G306" s="21"/>
      <c r="H306" s="21"/>
      <c r="I306" s="22"/>
      <c r="J306" s="21"/>
      <c r="K306" s="108"/>
      <c r="L306" s="108"/>
    </row>
    <row r="307" spans="1:12" ht="14.45">
      <c r="A307" s="21"/>
      <c r="B307" s="33"/>
      <c r="C307" s="21"/>
      <c r="D307" s="21"/>
      <c r="E307" s="21"/>
      <c r="F307" s="22"/>
      <c r="G307" s="21"/>
      <c r="H307" s="21"/>
      <c r="I307" s="22"/>
      <c r="J307" s="21"/>
      <c r="K307" s="108"/>
      <c r="L307" s="108"/>
    </row>
    <row r="308" spans="1:12" ht="14.45">
      <c r="A308" s="21"/>
      <c r="B308" s="33"/>
      <c r="C308" s="21"/>
      <c r="D308" s="21"/>
      <c r="E308" s="21"/>
      <c r="F308" s="22"/>
      <c r="G308" s="21"/>
      <c r="H308" s="21"/>
      <c r="I308" s="22"/>
      <c r="J308" s="21"/>
      <c r="K308" s="108"/>
      <c r="L308" s="108"/>
    </row>
    <row r="309" spans="1:12" ht="14.45">
      <c r="A309" s="21"/>
      <c r="B309" s="33"/>
      <c r="C309" s="21"/>
      <c r="D309" s="21"/>
      <c r="E309" s="21"/>
      <c r="F309" s="22"/>
      <c r="G309" s="21"/>
      <c r="H309" s="21"/>
      <c r="I309" s="22"/>
      <c r="J309" s="21"/>
      <c r="K309" s="108"/>
      <c r="L309" s="108"/>
    </row>
    <row r="310" spans="1:12" ht="14.45">
      <c r="A310" s="21"/>
      <c r="B310" s="33"/>
      <c r="C310" s="21"/>
      <c r="D310" s="21"/>
      <c r="E310" s="21"/>
      <c r="F310" s="22"/>
      <c r="G310" s="21"/>
      <c r="H310" s="21"/>
      <c r="I310" s="22"/>
      <c r="J310" s="21"/>
      <c r="K310" s="108"/>
      <c r="L310" s="108"/>
    </row>
    <row r="311" spans="1:12" ht="14.45">
      <c r="A311" s="21"/>
      <c r="B311" s="33"/>
      <c r="C311" s="21"/>
      <c r="D311" s="21"/>
      <c r="E311" s="21"/>
      <c r="F311" s="22"/>
      <c r="G311" s="21"/>
      <c r="H311" s="21"/>
      <c r="I311" s="22"/>
      <c r="J311" s="21"/>
      <c r="K311" s="108"/>
      <c r="L311" s="108"/>
    </row>
    <row r="312" spans="1:12" ht="14.45">
      <c r="A312" s="21"/>
      <c r="B312" s="33"/>
      <c r="C312" s="21"/>
      <c r="D312" s="21"/>
      <c r="E312" s="21"/>
      <c r="F312" s="22"/>
      <c r="G312" s="21"/>
      <c r="H312" s="21"/>
      <c r="I312" s="22"/>
      <c r="J312" s="21"/>
      <c r="K312" s="108"/>
      <c r="L312" s="108"/>
    </row>
    <row r="313" spans="1:12" ht="14.45">
      <c r="A313" s="21"/>
      <c r="B313" s="33"/>
      <c r="C313" s="21"/>
      <c r="D313" s="21"/>
      <c r="E313" s="21"/>
      <c r="F313" s="22"/>
      <c r="G313" s="21"/>
      <c r="H313" s="21"/>
      <c r="I313" s="22"/>
      <c r="J313" s="21"/>
      <c r="K313" s="108"/>
      <c r="L313" s="108"/>
    </row>
    <row r="314" spans="1:12" ht="14.45">
      <c r="A314" s="21"/>
      <c r="B314" s="33"/>
      <c r="C314" s="21"/>
      <c r="D314" s="21"/>
      <c r="E314" s="21"/>
      <c r="F314" s="22"/>
      <c r="G314" s="21"/>
      <c r="H314" s="21"/>
      <c r="I314" s="22"/>
      <c r="J314" s="21"/>
      <c r="K314" s="108"/>
      <c r="L314" s="108"/>
    </row>
    <row r="315" spans="1:12" ht="14.45">
      <c r="A315" s="21"/>
      <c r="B315" s="33"/>
      <c r="C315" s="21"/>
      <c r="D315" s="21"/>
      <c r="E315" s="21"/>
      <c r="F315" s="22"/>
      <c r="G315" s="21"/>
      <c r="H315" s="21"/>
      <c r="I315" s="22"/>
      <c r="J315" s="21"/>
      <c r="K315" s="108"/>
      <c r="L315" s="108"/>
    </row>
    <row r="316" spans="1:12" ht="14.45">
      <c r="A316" s="21"/>
      <c r="B316" s="33"/>
      <c r="C316" s="21"/>
      <c r="D316" s="21"/>
      <c r="E316" s="21"/>
      <c r="F316" s="22"/>
      <c r="G316" s="21"/>
      <c r="H316" s="21"/>
      <c r="I316" s="22"/>
      <c r="J316" s="21"/>
      <c r="K316" s="108"/>
      <c r="L316" s="108"/>
    </row>
    <row r="317" spans="1:12" ht="14.45">
      <c r="A317" s="21"/>
      <c r="B317" s="33"/>
      <c r="C317" s="21"/>
      <c r="D317" s="21"/>
      <c r="E317" s="21"/>
      <c r="F317" s="22"/>
      <c r="G317" s="21"/>
      <c r="H317" s="21"/>
      <c r="I317" s="22"/>
      <c r="J317" s="21"/>
      <c r="K317" s="108"/>
      <c r="L317" s="108"/>
    </row>
    <row r="318" spans="1:12" ht="14.45">
      <c r="A318" s="21"/>
      <c r="B318" s="33"/>
      <c r="C318" s="21"/>
      <c r="D318" s="21"/>
      <c r="E318" s="21"/>
      <c r="F318" s="22"/>
      <c r="G318" s="21"/>
      <c r="H318" s="21"/>
      <c r="I318" s="22"/>
      <c r="J318" s="21"/>
      <c r="K318" s="108"/>
      <c r="L318" s="108"/>
    </row>
    <row r="319" spans="1:12" ht="14.45">
      <c r="A319" s="21"/>
      <c r="B319" s="33"/>
      <c r="C319" s="21"/>
      <c r="D319" s="21"/>
      <c r="E319" s="21"/>
      <c r="F319" s="22"/>
      <c r="G319" s="21"/>
      <c r="H319" s="21"/>
      <c r="I319" s="22"/>
      <c r="J319" s="21"/>
      <c r="K319" s="108"/>
      <c r="L319" s="108"/>
    </row>
    <row r="320" spans="1:12" ht="14.45">
      <c r="A320" s="21"/>
      <c r="B320" s="33"/>
      <c r="C320" s="21"/>
      <c r="D320" s="21"/>
      <c r="E320" s="21"/>
      <c r="F320" s="22"/>
      <c r="G320" s="21"/>
      <c r="H320" s="21"/>
      <c r="I320" s="22"/>
      <c r="J320" s="21"/>
      <c r="K320" s="108"/>
      <c r="L320" s="108"/>
    </row>
    <row r="321" spans="1:12" ht="14.45">
      <c r="A321" s="21"/>
      <c r="B321" s="33"/>
      <c r="C321" s="21"/>
      <c r="D321" s="21"/>
      <c r="E321" s="21"/>
      <c r="F321" s="22"/>
      <c r="G321" s="21"/>
      <c r="H321" s="21"/>
      <c r="I321" s="22"/>
      <c r="J321" s="21"/>
      <c r="K321" s="108"/>
      <c r="L321" s="108"/>
    </row>
    <row r="322" spans="1:12" ht="14.45">
      <c r="A322" s="21"/>
      <c r="B322" s="33"/>
      <c r="C322" s="21"/>
      <c r="D322" s="21"/>
      <c r="E322" s="21"/>
      <c r="F322" s="22"/>
      <c r="G322" s="21"/>
      <c r="H322" s="21"/>
      <c r="I322" s="22"/>
      <c r="J322" s="21"/>
      <c r="K322" s="108"/>
      <c r="L322" s="108"/>
    </row>
    <row r="323" spans="1:12" ht="14.45">
      <c r="A323" s="21"/>
      <c r="B323" s="33"/>
      <c r="C323" s="21"/>
      <c r="D323" s="21"/>
      <c r="E323" s="21"/>
      <c r="F323" s="22"/>
      <c r="G323" s="21"/>
      <c r="H323" s="21"/>
      <c r="I323" s="22"/>
      <c r="J323" s="21"/>
      <c r="K323" s="108"/>
      <c r="L323" s="108"/>
    </row>
    <row r="324" spans="1:12" ht="14.45">
      <c r="A324" s="21"/>
      <c r="B324" s="33"/>
      <c r="C324" s="21"/>
      <c r="D324" s="21"/>
      <c r="E324" s="21"/>
      <c r="F324" s="22"/>
      <c r="G324" s="21"/>
      <c r="H324" s="21"/>
      <c r="I324" s="22"/>
      <c r="J324" s="21"/>
      <c r="K324" s="108"/>
      <c r="L324" s="108"/>
    </row>
    <row r="325" spans="1:12" ht="14.45">
      <c r="A325" s="21"/>
      <c r="B325" s="33"/>
      <c r="C325" s="21"/>
      <c r="D325" s="21"/>
      <c r="E325" s="21"/>
      <c r="F325" s="22"/>
      <c r="G325" s="21"/>
      <c r="H325" s="21"/>
      <c r="I325" s="22"/>
      <c r="J325" s="21"/>
      <c r="K325" s="108"/>
      <c r="L325" s="108"/>
    </row>
    <row r="326" spans="1:12" ht="14.45">
      <c r="A326" s="21"/>
      <c r="B326" s="33"/>
      <c r="C326" s="21"/>
      <c r="D326" s="21"/>
      <c r="E326" s="21"/>
      <c r="F326" s="22"/>
      <c r="G326" s="21"/>
      <c r="H326" s="21"/>
      <c r="I326" s="22"/>
      <c r="J326" s="21"/>
      <c r="K326" s="108"/>
      <c r="L326" s="108"/>
    </row>
    <row r="327" spans="1:12" ht="14.45">
      <c r="A327" s="21"/>
      <c r="B327" s="33"/>
      <c r="C327" s="21"/>
      <c r="D327" s="21"/>
      <c r="E327" s="21"/>
      <c r="F327" s="22"/>
      <c r="G327" s="21"/>
      <c r="H327" s="21"/>
      <c r="I327" s="22"/>
      <c r="J327" s="21"/>
      <c r="K327" s="108"/>
      <c r="L327" s="108"/>
    </row>
    <row r="328" spans="1:12" ht="14.45">
      <c r="A328" s="21"/>
      <c r="B328" s="33"/>
      <c r="C328" s="21"/>
      <c r="D328" s="21"/>
      <c r="E328" s="21"/>
      <c r="F328" s="22"/>
      <c r="G328" s="21"/>
      <c r="H328" s="21"/>
      <c r="I328" s="22"/>
      <c r="J328" s="21"/>
      <c r="K328" s="108"/>
      <c r="L328" s="108"/>
    </row>
    <row r="329" spans="1:12" ht="14.45">
      <c r="A329" s="21"/>
      <c r="B329" s="33"/>
      <c r="C329" s="21"/>
      <c r="D329" s="21"/>
      <c r="E329" s="21"/>
      <c r="F329" s="22"/>
      <c r="G329" s="21"/>
      <c r="H329" s="21"/>
      <c r="I329" s="22"/>
      <c r="J329" s="21"/>
      <c r="K329" s="108"/>
      <c r="L329" s="108"/>
    </row>
    <row r="330" spans="1:12" ht="14.45">
      <c r="A330" s="21"/>
      <c r="B330" s="33"/>
      <c r="C330" s="21"/>
      <c r="D330" s="21"/>
      <c r="E330" s="21"/>
      <c r="F330" s="22"/>
      <c r="G330" s="21"/>
      <c r="H330" s="21"/>
      <c r="I330" s="22"/>
      <c r="J330" s="21"/>
      <c r="K330" s="108"/>
      <c r="L330" s="108"/>
    </row>
    <row r="331" spans="1:12" ht="14.45">
      <c r="A331" s="21"/>
      <c r="B331" s="33"/>
      <c r="C331" s="21"/>
      <c r="D331" s="21"/>
      <c r="E331" s="21"/>
      <c r="F331" s="22"/>
      <c r="G331" s="21"/>
      <c r="H331" s="21"/>
      <c r="I331" s="22"/>
      <c r="J331" s="21"/>
      <c r="K331" s="108"/>
      <c r="L331" s="108"/>
    </row>
    <row r="332" spans="1:12" ht="14.45">
      <c r="A332" s="21"/>
      <c r="B332" s="33"/>
      <c r="C332" s="21"/>
      <c r="D332" s="21"/>
      <c r="E332" s="21"/>
      <c r="F332" s="22"/>
      <c r="G332" s="21"/>
      <c r="H332" s="21"/>
      <c r="I332" s="22"/>
      <c r="J332" s="21"/>
      <c r="K332" s="108"/>
      <c r="L332" s="108"/>
    </row>
    <row r="333" spans="1:12" ht="14.45">
      <c r="A333" s="21"/>
      <c r="B333" s="33"/>
      <c r="C333" s="21"/>
      <c r="D333" s="21"/>
      <c r="E333" s="21"/>
      <c r="F333" s="22"/>
      <c r="G333" s="21"/>
      <c r="H333" s="21"/>
      <c r="I333" s="22"/>
      <c r="J333" s="21"/>
      <c r="K333" s="108"/>
      <c r="L333" s="108"/>
    </row>
    <row r="334" spans="1:12" ht="14.45">
      <c r="A334" s="21"/>
      <c r="B334" s="33"/>
      <c r="C334" s="21"/>
      <c r="D334" s="21"/>
      <c r="E334" s="21"/>
      <c r="F334" s="22"/>
      <c r="G334" s="21"/>
      <c r="H334" s="21"/>
      <c r="I334" s="22"/>
      <c r="J334" s="21"/>
      <c r="K334" s="108"/>
      <c r="L334" s="108"/>
    </row>
    <row r="335" spans="1:12" ht="14.45">
      <c r="A335" s="21"/>
      <c r="B335" s="33"/>
      <c r="C335" s="21"/>
      <c r="D335" s="21"/>
      <c r="E335" s="21"/>
      <c r="F335" s="22"/>
      <c r="G335" s="21"/>
      <c r="H335" s="21"/>
      <c r="I335" s="22"/>
      <c r="J335" s="21"/>
      <c r="K335" s="108"/>
      <c r="L335" s="108"/>
    </row>
    <row r="336" spans="1:12" ht="14.45">
      <c r="A336" s="21"/>
      <c r="B336" s="33"/>
      <c r="C336" s="21"/>
      <c r="D336" s="21"/>
      <c r="E336" s="21"/>
      <c r="F336" s="22"/>
      <c r="G336" s="21"/>
      <c r="H336" s="21"/>
      <c r="I336" s="22"/>
      <c r="J336" s="21"/>
      <c r="K336" s="108"/>
      <c r="L336" s="108"/>
    </row>
    <row r="337" spans="1:12" ht="14.45">
      <c r="A337" s="21"/>
      <c r="B337" s="33"/>
      <c r="C337" s="21"/>
      <c r="D337" s="21"/>
      <c r="E337" s="21"/>
      <c r="F337" s="22"/>
      <c r="G337" s="21"/>
      <c r="H337" s="21"/>
      <c r="I337" s="22"/>
      <c r="J337" s="21"/>
      <c r="K337" s="108"/>
      <c r="L337" s="108"/>
    </row>
    <row r="338" spans="1:12" ht="14.45">
      <c r="A338" s="21"/>
      <c r="B338" s="33"/>
      <c r="C338" s="21"/>
      <c r="D338" s="21"/>
      <c r="E338" s="21"/>
      <c r="F338" s="22"/>
      <c r="G338" s="21"/>
      <c r="H338" s="21"/>
      <c r="I338" s="22"/>
      <c r="J338" s="21"/>
      <c r="K338" s="108"/>
      <c r="L338" s="108"/>
    </row>
    <row r="339" spans="1:12" ht="14.45">
      <c r="A339" s="21"/>
      <c r="B339" s="33"/>
      <c r="C339" s="21"/>
      <c r="D339" s="21"/>
      <c r="E339" s="21"/>
      <c r="F339" s="22"/>
      <c r="G339" s="21"/>
      <c r="H339" s="21"/>
      <c r="I339" s="22"/>
      <c r="J339" s="21"/>
      <c r="K339" s="108"/>
      <c r="L339" s="108"/>
    </row>
    <row r="340" spans="1:12" ht="14.45">
      <c r="A340" s="21"/>
      <c r="B340" s="33"/>
      <c r="C340" s="21"/>
      <c r="D340" s="21"/>
      <c r="E340" s="21"/>
      <c r="F340" s="22"/>
      <c r="G340" s="21"/>
      <c r="H340" s="21"/>
      <c r="I340" s="22"/>
      <c r="J340" s="21"/>
      <c r="K340" s="108"/>
      <c r="L340" s="108"/>
    </row>
    <row r="341" spans="1:12" ht="14.45">
      <c r="A341" s="21"/>
      <c r="B341" s="33"/>
      <c r="C341" s="21"/>
      <c r="D341" s="21"/>
      <c r="E341" s="21"/>
      <c r="F341" s="22"/>
      <c r="G341" s="21"/>
      <c r="H341" s="21"/>
      <c r="I341" s="22"/>
      <c r="J341" s="21"/>
      <c r="K341" s="108"/>
      <c r="L341" s="108"/>
    </row>
    <row r="342" spans="1:12" ht="14.45">
      <c r="C342" s="21"/>
      <c r="D342" s="21"/>
      <c r="E342" s="21"/>
      <c r="F342" s="22"/>
      <c r="G342" s="21"/>
      <c r="H342" s="21"/>
      <c r="I342" s="22"/>
      <c r="J342" s="21"/>
      <c r="K342" s="108"/>
      <c r="L342" s="108"/>
    </row>
  </sheetData>
  <mergeCells count="4">
    <mergeCell ref="G1:I1"/>
    <mergeCell ref="A1:C1"/>
    <mergeCell ref="D1:F1"/>
    <mergeCell ref="A2:B2"/>
  </mergeCells>
  <conditionalFormatting sqref="F2 I2">
    <cfRule type="cellIs" dxfId="11" priority="3" stopIfTrue="1" operator="lessThanOrEqual">
      <formula>-0.1</formula>
    </cfRule>
    <cfRule type="expression" dxfId="10" priority="4">
      <formula>AND(ISNUMBER(F2), F2&gt;=0.1)</formula>
    </cfRule>
  </conditionalFormatting>
  <conditionalFormatting sqref="F4:F37 I4:I100 F39 F41:F100">
    <cfRule type="cellIs" dxfId="9" priority="1" stopIfTrue="1" operator="lessThanOrEqual">
      <formula>-0.1</formula>
    </cfRule>
    <cfRule type="expression" dxfId="8" priority="2">
      <formula>AND(ISNUMBER(F4), F4&gt;=0.1)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O343"/>
  <sheetViews>
    <sheetView zoomScale="70" zoomScaleNormal="70" workbookViewId="0">
      <pane xSplit="2" ySplit="3" topLeftCell="C34" activePane="bottomRight" state="frozen"/>
      <selection pane="bottomRight" activeCell="A4" sqref="A4:A40"/>
      <selection pane="bottomLeft" activeCell="F38" sqref="F38"/>
      <selection pane="topRight" activeCell="F38" sqref="F38"/>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9.28515625" customWidth="1"/>
    <col min="13" max="15" width="20.5703125" customWidth="1"/>
  </cols>
  <sheetData>
    <row r="1" spans="1:15" ht="19.5" customHeight="1">
      <c r="A1" s="117" t="str" cm="1">
        <f t="array" ref="A1">portfolio</f>
        <v>Greenbacker Capital</v>
      </c>
      <c r="B1" s="117"/>
      <c r="C1" s="117"/>
      <c r="D1" s="118" t="s">
        <v>634</v>
      </c>
      <c r="E1" s="118"/>
      <c r="F1" s="118"/>
      <c r="G1" s="116" t="s">
        <v>635</v>
      </c>
      <c r="H1" s="116"/>
      <c r="I1" s="116"/>
      <c r="J1" s="4"/>
      <c r="K1" s="4"/>
      <c r="L1" s="4"/>
      <c r="M1" s="4"/>
      <c r="N1" s="4"/>
      <c r="O1" s="4"/>
    </row>
    <row r="2" spans="1:15" ht="19.5" customHeight="1">
      <c r="A2" s="119" t="s">
        <v>2</v>
      </c>
      <c r="B2" s="119"/>
      <c r="C2" s="5">
        <f>SUM(C4:C101)</f>
        <v>2329786.1347987996</v>
      </c>
      <c r="D2" s="5">
        <f>SUM(D4:D101)</f>
        <v>2461713.7346746</v>
      </c>
      <c r="E2" s="5">
        <f>C2-D2</f>
        <v>-131927.59987580031</v>
      </c>
      <c r="F2" s="6">
        <f>IFERROR(E2/D2, 0)</f>
        <v>-5.3591771462915071E-2</v>
      </c>
      <c r="G2" s="5">
        <f>SUM(G4:G101)</f>
        <v>1675825.954129</v>
      </c>
      <c r="H2" s="7">
        <f>C2-G2</f>
        <v>653960.18066979968</v>
      </c>
      <c r="I2" s="6">
        <f>IFERROR(H2/G2, 0)</f>
        <v>0.39023156256682479</v>
      </c>
      <c r="J2" s="2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c r="L2" s="4"/>
      <c r="M2" s="4"/>
      <c r="N2" s="4"/>
      <c r="O2" s="4"/>
    </row>
    <row r="3" spans="1:15" ht="14.25" customHeight="1">
      <c r="A3" s="8" t="s">
        <v>3</v>
      </c>
      <c r="B3" s="8" t="s">
        <v>4</v>
      </c>
      <c r="C3" s="23" t="s">
        <v>5</v>
      </c>
      <c r="D3" s="35" t="s">
        <v>6</v>
      </c>
      <c r="E3" s="35" t="s">
        <v>7</v>
      </c>
      <c r="F3" s="36" t="s">
        <v>8</v>
      </c>
      <c r="G3" s="37" t="s">
        <v>9</v>
      </c>
      <c r="H3" s="38" t="s">
        <v>7</v>
      </c>
      <c r="I3" s="39" t="s">
        <v>8</v>
      </c>
      <c r="J3" s="25" t="s">
        <v>20</v>
      </c>
      <c r="K3" s="25" t="s">
        <v>21</v>
      </c>
      <c r="L3" s="25" t="s">
        <v>522</v>
      </c>
      <c r="M3" s="25"/>
      <c r="N3" s="25"/>
      <c r="O3" s="25"/>
    </row>
    <row r="4" spans="1:15" ht="28.9">
      <c r="A4" s="32" t="str" cm="1">
        <f t="array" ref="A4:A40">Sites[Site]</f>
        <v>10 Walpole Park South</v>
      </c>
      <c r="B4" s="29" t="str" cm="1">
        <f t="array" ref="B4:B40">Sites[State]</f>
        <v>MA</v>
      </c>
      <c r="C4" s="24">
        <v>3620.625</v>
      </c>
      <c r="D4" s="13">
        <v>7142.3530000000001</v>
      </c>
      <c r="E4" s="13">
        <f>IF(AND(ISNUMBER(C4),ISNUMBER(D4)), C4-D4, "")</f>
        <v>-3521.7280000000001</v>
      </c>
      <c r="F4" s="14">
        <f>IFERROR(E4/D4, "")</f>
        <v>-0.49307672135499325</v>
      </c>
      <c r="G4" s="15">
        <v>5915.6880000000001</v>
      </c>
      <c r="H4" s="15">
        <f>IF(AND(ISNUMBER(C4),ISNUMBER(G4)), C4-G4, "")</f>
        <v>-2295.0630000000001</v>
      </c>
      <c r="I4" s="16">
        <f>IFERROR(H4/G4, "")</f>
        <v>-0.38796214404816481</v>
      </c>
      <c r="J4" s="40" t="s">
        <v>523</v>
      </c>
      <c r="K4" s="75" t="s">
        <v>636</v>
      </c>
      <c r="L4" s="40" t="s">
        <v>524</v>
      </c>
      <c r="M4" s="75" t="s">
        <v>637</v>
      </c>
      <c r="N4" s="40"/>
      <c r="O4" s="40"/>
    </row>
    <row r="5" spans="1:15" ht="28.9">
      <c r="A5" s="30" t="str">
        <v>15 Walpole Park South</v>
      </c>
      <c r="B5" s="31" t="str">
        <v>MA</v>
      </c>
      <c r="C5" s="11">
        <v>20249.25</v>
      </c>
      <c r="D5" s="18">
        <v>25970.7</v>
      </c>
      <c r="E5" s="18">
        <f t="shared" ref="E5:E34" si="0">IF(AND(ISNUMBER(C5),ISNUMBER(D5)), C5-D5, "")</f>
        <v>-5721.4500000000007</v>
      </c>
      <c r="F5" s="19">
        <f>IFERROR(E5/D5, "")</f>
        <v>-0.22030403493167303</v>
      </c>
      <c r="G5" s="20">
        <v>17514.7</v>
      </c>
      <c r="H5" s="20">
        <f t="shared" ref="H5:H28" si="1">IF(AND(ISNUMBER(C5),ISNUMBER(G5)), C5-G5, "")</f>
        <v>2734.5499999999993</v>
      </c>
      <c r="I5" s="19">
        <f t="shared" ref="I5:I15" si="2">IFERROR(H5/G5, "")</f>
        <v>0.15612885176451777</v>
      </c>
      <c r="J5" s="41" t="s">
        <v>638</v>
      </c>
      <c r="K5" s="41"/>
      <c r="L5" s="41"/>
      <c r="M5" s="41"/>
      <c r="N5" s="41"/>
      <c r="O5" s="41"/>
    </row>
    <row r="6" spans="1:15" ht="28.9">
      <c r="A6" s="28" t="str">
        <v>19 Walpole Park South</v>
      </c>
      <c r="B6" s="29" t="str">
        <v>MA</v>
      </c>
      <c r="C6" s="24">
        <v>11142.75</v>
      </c>
      <c r="D6" s="13">
        <v>16145.8</v>
      </c>
      <c r="E6" s="13">
        <f t="shared" si="0"/>
        <v>-5003.0499999999993</v>
      </c>
      <c r="F6" s="14">
        <f t="shared" ref="F6:F34" si="3">IFERROR(E6/D6, "")</f>
        <v>-0.30986696230598665</v>
      </c>
      <c r="G6" s="15">
        <v>12278.6</v>
      </c>
      <c r="H6" s="15">
        <f t="shared" si="1"/>
        <v>-1135.8500000000004</v>
      </c>
      <c r="I6" s="16">
        <f t="shared" si="2"/>
        <v>-9.2506474679523748E-2</v>
      </c>
      <c r="J6" s="40" t="s">
        <v>638</v>
      </c>
      <c r="K6" s="40"/>
      <c r="L6" s="40"/>
      <c r="M6" s="40"/>
      <c r="N6" s="40"/>
      <c r="O6" s="40"/>
    </row>
    <row r="7" spans="1:15" ht="15.6">
      <c r="A7" s="30" t="str">
        <v>23 Walpole Park South</v>
      </c>
      <c r="B7" s="31" t="str">
        <v>MA</v>
      </c>
      <c r="C7" s="11">
        <v>16258.5</v>
      </c>
      <c r="D7" s="18">
        <v>20449.009999999998</v>
      </c>
      <c r="E7" s="18">
        <f t="shared" si="0"/>
        <v>-4190.5099999999984</v>
      </c>
      <c r="F7" s="19">
        <f t="shared" si="3"/>
        <v>-0.20492483499201178</v>
      </c>
      <c r="G7" s="20">
        <v>15433.07</v>
      </c>
      <c r="H7" s="20">
        <f t="shared" si="1"/>
        <v>825.43000000000029</v>
      </c>
      <c r="I7" s="19">
        <f t="shared" si="2"/>
        <v>5.3484497899640208E-2</v>
      </c>
      <c r="J7" s="41" t="s">
        <v>639</v>
      </c>
      <c r="K7" s="77" t="s">
        <v>347</v>
      </c>
      <c r="L7" s="55" t="s">
        <v>524</v>
      </c>
      <c r="M7" s="55"/>
      <c r="N7" s="55"/>
      <c r="O7" s="55"/>
    </row>
    <row r="8" spans="1:15" ht="72">
      <c r="A8" s="28" t="str">
        <v>24 Walpole Park South</v>
      </c>
      <c r="B8" s="29" t="str">
        <v>MA</v>
      </c>
      <c r="C8" s="24">
        <v>20561.5</v>
      </c>
      <c r="D8" s="13">
        <v>9760.7690000000002</v>
      </c>
      <c r="E8" s="13">
        <f t="shared" si="0"/>
        <v>10800.731</v>
      </c>
      <c r="F8" s="14">
        <f t="shared" si="3"/>
        <v>1.1065450888142112</v>
      </c>
      <c r="G8" s="15">
        <v>24088.76</v>
      </c>
      <c r="H8" s="15">
        <f t="shared" si="1"/>
        <v>-3527.2599999999984</v>
      </c>
      <c r="I8" s="16">
        <f t="shared" si="2"/>
        <v>-0.14642762848731103</v>
      </c>
      <c r="J8" s="40" t="s">
        <v>640</v>
      </c>
      <c r="K8" s="75" t="s">
        <v>641</v>
      </c>
      <c r="L8" s="40" t="s">
        <v>642</v>
      </c>
      <c r="M8" s="75" t="s">
        <v>397</v>
      </c>
      <c r="N8" s="75" t="s">
        <v>643</v>
      </c>
      <c r="O8" s="75" t="s">
        <v>644</v>
      </c>
    </row>
    <row r="9" spans="1:15" ht="72">
      <c r="A9" s="30" t="str">
        <v>25 Walpole Park South</v>
      </c>
      <c r="B9" s="31" t="str">
        <v>MA</v>
      </c>
      <c r="C9" s="11">
        <v>21944</v>
      </c>
      <c r="D9" s="18">
        <v>30460.799999999999</v>
      </c>
      <c r="E9" s="18">
        <f t="shared" si="0"/>
        <v>-8516.7999999999993</v>
      </c>
      <c r="F9" s="19">
        <f t="shared" si="3"/>
        <v>-0.27959869734215775</v>
      </c>
      <c r="G9" s="20">
        <v>24020.98</v>
      </c>
      <c r="H9" s="20">
        <f t="shared" si="1"/>
        <v>-2076.9799999999996</v>
      </c>
      <c r="I9" s="19">
        <f t="shared" si="2"/>
        <v>-8.6465248295448383E-2</v>
      </c>
      <c r="J9" s="56" t="s">
        <v>645</v>
      </c>
      <c r="K9" s="77" t="s">
        <v>646</v>
      </c>
      <c r="L9" s="55" t="s">
        <v>621</v>
      </c>
      <c r="M9" s="77" t="s">
        <v>647</v>
      </c>
      <c r="N9" s="55"/>
      <c r="O9" s="55"/>
    </row>
    <row r="10" spans="1:15" ht="43.15">
      <c r="A10" s="28" t="str">
        <v>3 Walpole Park South</v>
      </c>
      <c r="B10" s="29" t="str">
        <v>MA</v>
      </c>
      <c r="C10" s="24">
        <v>30024.000000000899</v>
      </c>
      <c r="D10" s="13">
        <v>37958.949999999997</v>
      </c>
      <c r="E10" s="13">
        <f t="shared" si="0"/>
        <v>-7934.9499999990985</v>
      </c>
      <c r="F10" s="14">
        <f t="shared" si="3"/>
        <v>-0.20904029221037723</v>
      </c>
      <c r="G10" s="15">
        <v>30110.95</v>
      </c>
      <c r="H10" s="15">
        <f t="shared" si="1"/>
        <v>-86.949999999102147</v>
      </c>
      <c r="I10" s="16">
        <f t="shared" si="2"/>
        <v>-2.8876538269002523E-3</v>
      </c>
      <c r="J10" s="40" t="s">
        <v>648</v>
      </c>
      <c r="K10" s="75" t="s">
        <v>649</v>
      </c>
      <c r="L10" s="40" t="s">
        <v>650</v>
      </c>
      <c r="M10" s="75" t="s">
        <v>34</v>
      </c>
      <c r="N10" s="75" t="s">
        <v>651</v>
      </c>
      <c r="O10" s="40"/>
    </row>
    <row r="11" spans="1:15" ht="28.9">
      <c r="A11" s="30" t="str">
        <v>4 Walpole Park South</v>
      </c>
      <c r="B11" s="31" t="str">
        <v>MA</v>
      </c>
      <c r="C11" s="11">
        <v>16359</v>
      </c>
      <c r="D11" s="18">
        <v>23472.81</v>
      </c>
      <c r="E11" s="18">
        <f t="shared" si="0"/>
        <v>-7113.8100000000013</v>
      </c>
      <c r="F11" s="19">
        <f t="shared" si="3"/>
        <v>-0.30306597292782589</v>
      </c>
      <c r="G11" s="20">
        <v>16604.59</v>
      </c>
      <c r="H11" s="20">
        <f t="shared" si="1"/>
        <v>-245.59000000000015</v>
      </c>
      <c r="I11" s="19">
        <f t="shared" si="2"/>
        <v>-1.4790488654040848E-2</v>
      </c>
      <c r="J11" s="41" t="s">
        <v>638</v>
      </c>
      <c r="K11" s="42"/>
      <c r="L11" s="42"/>
      <c r="M11" s="42"/>
      <c r="N11" s="42"/>
      <c r="O11" s="42"/>
    </row>
    <row r="12" spans="1:15" ht="57.6">
      <c r="A12" s="28" t="str">
        <v>Brockton</v>
      </c>
      <c r="B12" s="29" t="str">
        <v>MA</v>
      </c>
      <c r="C12" s="24">
        <v>29709.094999999699</v>
      </c>
      <c r="D12" s="13">
        <v>33673.94</v>
      </c>
      <c r="E12" s="13">
        <f t="shared" si="0"/>
        <v>-3964.8450000003031</v>
      </c>
      <c r="F12" s="14">
        <f t="shared" si="3"/>
        <v>-0.11774223628124011</v>
      </c>
      <c r="G12" s="15">
        <v>29093.47</v>
      </c>
      <c r="H12" s="15">
        <f t="shared" si="1"/>
        <v>615.62499999969805</v>
      </c>
      <c r="I12" s="16">
        <f t="shared" si="2"/>
        <v>2.1160246612030056E-2</v>
      </c>
      <c r="J12" s="40" t="s">
        <v>652</v>
      </c>
      <c r="K12" s="75" t="s">
        <v>653</v>
      </c>
      <c r="L12" s="40" t="s">
        <v>654</v>
      </c>
      <c r="M12" s="75" t="s">
        <v>655</v>
      </c>
      <c r="N12" s="40"/>
      <c r="O12" s="40"/>
    </row>
    <row r="13" spans="1:15" ht="28.9">
      <c r="A13" s="30" t="str">
        <v>Canton</v>
      </c>
      <c r="B13" s="31" t="str">
        <v>MA</v>
      </c>
      <c r="C13" s="11">
        <v>26974.5</v>
      </c>
      <c r="D13" s="18">
        <v>36461.58</v>
      </c>
      <c r="E13" s="18">
        <f t="shared" si="0"/>
        <v>-9487.0800000000017</v>
      </c>
      <c r="F13" s="19">
        <f t="shared" si="3"/>
        <v>-0.26019388079178141</v>
      </c>
      <c r="G13" s="20">
        <v>26722.44</v>
      </c>
      <c r="H13" s="20">
        <f t="shared" si="1"/>
        <v>252.06000000000131</v>
      </c>
      <c r="I13" s="19">
        <f t="shared" si="2"/>
        <v>9.4325218804870107E-3</v>
      </c>
      <c r="J13" s="41" t="s">
        <v>638</v>
      </c>
      <c r="K13" s="42"/>
      <c r="L13" s="42"/>
      <c r="M13" s="42"/>
      <c r="N13" s="42"/>
      <c r="O13" s="42"/>
    </row>
    <row r="14" spans="1:15" ht="15.6">
      <c r="A14" s="28" t="str">
        <v>Chelsea</v>
      </c>
      <c r="B14" s="29" t="str">
        <v>MA</v>
      </c>
      <c r="C14" s="24">
        <v>54252.429999999702</v>
      </c>
      <c r="D14" s="13">
        <v>58925.39</v>
      </c>
      <c r="E14" s="13">
        <f t="shared" si="0"/>
        <v>-4672.9600000002974</v>
      </c>
      <c r="F14" s="14">
        <f t="shared" si="3"/>
        <v>-7.9302996552085572E-2</v>
      </c>
      <c r="G14" s="15">
        <v>47233.24</v>
      </c>
      <c r="H14" s="15">
        <f t="shared" si="1"/>
        <v>7019.189999999704</v>
      </c>
      <c r="I14" s="16">
        <f t="shared" si="2"/>
        <v>0.14860699795313012</v>
      </c>
      <c r="J14" s="40"/>
      <c r="K14" s="40"/>
      <c r="L14" s="40"/>
      <c r="M14" s="40"/>
      <c r="N14" s="40"/>
      <c r="O14" s="40"/>
    </row>
    <row r="15" spans="1:15" ht="28.9">
      <c r="A15" s="30" t="str">
        <v>Hamilton Landfill</v>
      </c>
      <c r="B15" s="31" t="str">
        <v>MA</v>
      </c>
      <c r="C15" s="11">
        <v>38147</v>
      </c>
      <c r="D15" s="18">
        <v>65850.7</v>
      </c>
      <c r="E15" s="18">
        <f t="shared" si="0"/>
        <v>-27703.699999999997</v>
      </c>
      <c r="F15" s="19">
        <f t="shared" si="3"/>
        <v>-0.42070471536369392</v>
      </c>
      <c r="G15" s="89" t="s">
        <v>201</v>
      </c>
      <c r="H15" s="20" t="str">
        <f t="shared" si="1"/>
        <v/>
      </c>
      <c r="I15" s="19" t="str">
        <f t="shared" si="2"/>
        <v/>
      </c>
      <c r="J15" s="41" t="s">
        <v>656</v>
      </c>
      <c r="K15" s="76" t="s">
        <v>657</v>
      </c>
      <c r="L15" s="42" t="s">
        <v>591</v>
      </c>
      <c r="M15" s="42"/>
      <c r="N15" s="42"/>
      <c r="O15" s="42"/>
    </row>
    <row r="16" spans="1:15" ht="100.9">
      <c r="A16" s="28" t="str">
        <v>Holliston</v>
      </c>
      <c r="B16" s="29" t="str">
        <v>MA</v>
      </c>
      <c r="C16" s="24">
        <v>73419.060000000507</v>
      </c>
      <c r="D16" s="13">
        <v>65818.03</v>
      </c>
      <c r="E16" s="13">
        <f t="shared" si="0"/>
        <v>7601.0300000005082</v>
      </c>
      <c r="F16" s="14">
        <f t="shared" si="3"/>
        <v>0.11548552881331313</v>
      </c>
      <c r="G16" s="15">
        <v>76654.12</v>
      </c>
      <c r="H16" s="15">
        <f t="shared" si="1"/>
        <v>-3235.0599999994884</v>
      </c>
      <c r="I16" s="16">
        <f>IFERROR(H16/G16, "")</f>
        <v>-4.2203341451176907E-2</v>
      </c>
      <c r="J16" s="40" t="s">
        <v>658</v>
      </c>
      <c r="K16" s="75" t="s">
        <v>659</v>
      </c>
      <c r="L16" s="40" t="s">
        <v>660</v>
      </c>
      <c r="M16" s="75" t="s">
        <v>661</v>
      </c>
      <c r="N16" s="75" t="s">
        <v>662</v>
      </c>
      <c r="O16" s="40"/>
    </row>
    <row r="17" spans="1:15" ht="26.45">
      <c r="A17" s="30" t="str">
        <v>Natick HS - Carports</v>
      </c>
      <c r="B17" s="31" t="str">
        <v>MA</v>
      </c>
      <c r="C17" s="11">
        <v>22456.7</v>
      </c>
      <c r="D17" s="18">
        <v>32332.3</v>
      </c>
      <c r="E17" s="18">
        <f t="shared" si="0"/>
        <v>-9875.5999999999985</v>
      </c>
      <c r="F17" s="19">
        <f t="shared" si="3"/>
        <v>-0.30544068934161811</v>
      </c>
      <c r="G17" s="89" t="s">
        <v>201</v>
      </c>
      <c r="H17" s="20" t="str">
        <f t="shared" si="1"/>
        <v/>
      </c>
      <c r="I17" s="19" t="str">
        <f>IFERROR(H17/G17, "")</f>
        <v/>
      </c>
      <c r="J17" s="56" t="s">
        <v>663</v>
      </c>
      <c r="K17" s="76" t="s">
        <v>664</v>
      </c>
      <c r="L17" s="42" t="s">
        <v>665</v>
      </c>
      <c r="M17" s="76" t="s">
        <v>666</v>
      </c>
      <c r="N17" s="42"/>
      <c r="O17" s="42"/>
    </row>
    <row r="18" spans="1:15" ht="15.6">
      <c r="A18" s="32" t="str">
        <v>Norton</v>
      </c>
      <c r="B18" s="29" t="str">
        <v>MA</v>
      </c>
      <c r="C18" s="24">
        <v>74763.5</v>
      </c>
      <c r="D18" s="13">
        <v>132050.5</v>
      </c>
      <c r="E18" s="13">
        <f t="shared" si="0"/>
        <v>-57287</v>
      </c>
      <c r="F18" s="14">
        <f t="shared" si="3"/>
        <v>-0.43382645275860371</v>
      </c>
      <c r="G18" s="15">
        <v>141325.1</v>
      </c>
      <c r="H18" s="15">
        <f t="shared" si="1"/>
        <v>-66561.600000000006</v>
      </c>
      <c r="I18" s="16">
        <f>IFERROR(H18/G18, "")</f>
        <v>-0.47098215391321147</v>
      </c>
      <c r="J18" s="40" t="s">
        <v>667</v>
      </c>
      <c r="K18" s="113" t="s">
        <v>668</v>
      </c>
      <c r="L18" s="71" t="s">
        <v>591</v>
      </c>
      <c r="M18" s="71"/>
      <c r="N18" s="71"/>
      <c r="O18" s="71"/>
    </row>
    <row r="19" spans="1:15" ht="13.9" customHeight="1">
      <c r="A19" s="30" t="str">
        <v>Palmer - Boston Rd.</v>
      </c>
      <c r="B19" s="31" t="str">
        <v>MA</v>
      </c>
      <c r="C19" s="11">
        <v>29024</v>
      </c>
      <c r="D19" s="18">
        <v>41511.53</v>
      </c>
      <c r="E19" s="18">
        <f t="shared" si="0"/>
        <v>-12487.529999999999</v>
      </c>
      <c r="F19" s="19">
        <f t="shared" si="3"/>
        <v>-0.30082075991899115</v>
      </c>
      <c r="G19" s="20">
        <v>37188</v>
      </c>
      <c r="H19" s="20">
        <f t="shared" si="1"/>
        <v>-8164</v>
      </c>
      <c r="I19" s="19">
        <f t="shared" ref="I19:I32" si="4">IFERROR(H19/G19, "")</f>
        <v>-0.21953318274712272</v>
      </c>
      <c r="J19" s="56" t="s">
        <v>669</v>
      </c>
      <c r="K19" s="76" t="s">
        <v>670</v>
      </c>
      <c r="L19" s="42" t="s">
        <v>591</v>
      </c>
      <c r="M19" s="76" t="s">
        <v>671</v>
      </c>
      <c r="N19" s="42"/>
      <c r="O19" s="42"/>
    </row>
    <row r="20" spans="1:15" ht="37.5" customHeight="1">
      <c r="A20" s="28" t="str">
        <v>Shirley Bartkus</v>
      </c>
      <c r="B20" s="29" t="str">
        <v>MA</v>
      </c>
      <c r="C20" s="24">
        <v>40163</v>
      </c>
      <c r="D20" s="13">
        <v>86836.44</v>
      </c>
      <c r="E20" s="13">
        <f t="shared" si="0"/>
        <v>-46673.440000000002</v>
      </c>
      <c r="F20" s="14">
        <f t="shared" si="3"/>
        <v>-0.53748679701747337</v>
      </c>
      <c r="G20" s="15"/>
      <c r="H20" s="15" t="str">
        <f t="shared" si="1"/>
        <v/>
      </c>
      <c r="I20" s="16" t="str">
        <f t="shared" si="4"/>
        <v/>
      </c>
      <c r="J20" s="40" t="s">
        <v>672</v>
      </c>
      <c r="K20" s="87" t="s">
        <v>673</v>
      </c>
      <c r="L20" s="59" t="s">
        <v>674</v>
      </c>
      <c r="M20" s="59"/>
      <c r="N20" s="59"/>
      <c r="O20" s="59"/>
    </row>
    <row r="21" spans="1:15" ht="28.9">
      <c r="A21" s="30" t="str">
        <v>Stoughton</v>
      </c>
      <c r="B21" s="31" t="str">
        <v>MA</v>
      </c>
      <c r="C21" s="11">
        <v>37241</v>
      </c>
      <c r="D21" s="18">
        <v>31992.28</v>
      </c>
      <c r="E21" s="18">
        <f t="shared" si="0"/>
        <v>5248.7200000000012</v>
      </c>
      <c r="F21" s="19">
        <f t="shared" si="3"/>
        <v>0.16406207997679445</v>
      </c>
      <c r="G21" s="20">
        <v>32376.89</v>
      </c>
      <c r="H21" s="20">
        <f t="shared" si="1"/>
        <v>4864.1100000000006</v>
      </c>
      <c r="I21" s="19">
        <f t="shared" si="4"/>
        <v>0.15023400950492777</v>
      </c>
      <c r="J21" s="41" t="s">
        <v>675</v>
      </c>
      <c r="K21" s="58"/>
      <c r="L21" s="58"/>
      <c r="M21" s="58"/>
      <c r="N21" s="58"/>
      <c r="O21" s="58"/>
    </row>
    <row r="22" spans="1:15" ht="43.15">
      <c r="A22" s="28" t="str">
        <v>Wellfleet Landfill</v>
      </c>
      <c r="B22" s="29" t="str">
        <v>MA</v>
      </c>
      <c r="C22" s="24">
        <v>40877.4</v>
      </c>
      <c r="D22" s="13">
        <v>40577.800000000003</v>
      </c>
      <c r="E22" s="13">
        <f t="shared" si="0"/>
        <v>299.59999999999854</v>
      </c>
      <c r="F22" s="14">
        <f t="shared" si="3"/>
        <v>7.3833475447165325E-3</v>
      </c>
      <c r="G22" s="88" t="s">
        <v>201</v>
      </c>
      <c r="H22" s="15" t="str">
        <f t="shared" si="1"/>
        <v/>
      </c>
      <c r="I22" s="16" t="str">
        <f t="shared" si="4"/>
        <v/>
      </c>
      <c r="J22" s="40" t="s">
        <v>676</v>
      </c>
      <c r="K22" s="87" t="s">
        <v>677</v>
      </c>
      <c r="L22" s="59" t="s">
        <v>606</v>
      </c>
      <c r="M22" s="87" t="s">
        <v>678</v>
      </c>
      <c r="N22" s="59"/>
      <c r="O22" s="59"/>
    </row>
    <row r="23" spans="1:15" ht="62.45">
      <c r="A23" s="30" t="str">
        <v>Wilmington Garage &amp; Building 7</v>
      </c>
      <c r="B23" s="31" t="str">
        <v>MA</v>
      </c>
      <c r="C23" s="11">
        <v>37029.875</v>
      </c>
      <c r="D23" s="18">
        <v>58338.42</v>
      </c>
      <c r="E23" s="18">
        <f t="shared" si="0"/>
        <v>-21308.544999999998</v>
      </c>
      <c r="F23" s="19">
        <f t="shared" si="3"/>
        <v>-0.36525749240380523</v>
      </c>
      <c r="G23" s="20">
        <v>46087.51</v>
      </c>
      <c r="H23" s="20">
        <f t="shared" si="1"/>
        <v>-9057.635000000002</v>
      </c>
      <c r="I23" s="19">
        <f t="shared" si="4"/>
        <v>-0.19653122939382062</v>
      </c>
      <c r="J23" s="41" t="s">
        <v>607</v>
      </c>
      <c r="K23" s="77" t="s">
        <v>608</v>
      </c>
      <c r="L23" s="58" t="s">
        <v>679</v>
      </c>
      <c r="M23" s="77" t="s">
        <v>319</v>
      </c>
      <c r="N23" s="77" t="s">
        <v>414</v>
      </c>
      <c r="O23" s="77" t="s">
        <v>415</v>
      </c>
    </row>
    <row r="24" spans="1:15" ht="15.6">
      <c r="A24" s="28" t="str">
        <v>Woburn</v>
      </c>
      <c r="B24" s="29" t="str">
        <v>MA</v>
      </c>
      <c r="C24" s="24">
        <v>73393</v>
      </c>
      <c r="D24" s="13">
        <v>110053.7</v>
      </c>
      <c r="E24" s="13">
        <f t="shared" si="0"/>
        <v>-36660.699999999997</v>
      </c>
      <c r="F24" s="14">
        <f t="shared" si="3"/>
        <v>-0.33311646950534146</v>
      </c>
      <c r="G24" s="15">
        <v>62434.98</v>
      </c>
      <c r="H24" s="15">
        <f t="shared" si="1"/>
        <v>10958.019999999997</v>
      </c>
      <c r="I24" s="16">
        <f t="shared" si="4"/>
        <v>0.17551090750729792</v>
      </c>
      <c r="J24" s="40" t="s">
        <v>680</v>
      </c>
      <c r="K24" s="75" t="s">
        <v>681</v>
      </c>
      <c r="L24" s="40" t="s">
        <v>591</v>
      </c>
      <c r="M24" s="40"/>
      <c r="N24" s="40"/>
      <c r="O24" s="40"/>
    </row>
    <row r="25" spans="1:15" ht="15.6">
      <c r="A25" s="30" t="str">
        <v>Friendship Solar 1</v>
      </c>
      <c r="B25" s="31" t="str">
        <v>MD</v>
      </c>
      <c r="C25" s="11">
        <v>173725</v>
      </c>
      <c r="D25" s="18">
        <v>188012.79999999999</v>
      </c>
      <c r="E25" s="18">
        <f t="shared" si="0"/>
        <v>-14287.799999999988</v>
      </c>
      <c r="F25" s="19">
        <f t="shared" si="3"/>
        <v>-7.5993762126833855E-2</v>
      </c>
      <c r="G25" s="20">
        <v>189831.4</v>
      </c>
      <c r="H25" s="20">
        <f t="shared" si="1"/>
        <v>-16106.399999999994</v>
      </c>
      <c r="I25" s="19">
        <f t="shared" si="4"/>
        <v>-8.4845815813400699E-2</v>
      </c>
      <c r="J25" s="41"/>
      <c r="K25" s="42"/>
      <c r="L25" s="42"/>
      <c r="M25" s="42"/>
      <c r="N25" s="42"/>
      <c r="O25" s="42"/>
    </row>
    <row r="26" spans="1:15" ht="15.6">
      <c r="A26" s="28" t="str">
        <v>Friendship Solar 2</v>
      </c>
      <c r="B26" s="29" t="str">
        <v>MD</v>
      </c>
      <c r="C26" s="24">
        <v>170989</v>
      </c>
      <c r="D26" s="13">
        <v>197814</v>
      </c>
      <c r="E26" s="13">
        <f t="shared" si="0"/>
        <v>-26825</v>
      </c>
      <c r="F26" s="14">
        <f t="shared" si="3"/>
        <v>-0.13560718654898035</v>
      </c>
      <c r="G26" s="15">
        <v>186704.5</v>
      </c>
      <c r="H26" s="15">
        <f t="shared" si="1"/>
        <v>-15715.5</v>
      </c>
      <c r="I26" s="16">
        <f t="shared" si="4"/>
        <v>-8.4173118484021536E-2</v>
      </c>
      <c r="J26" s="40" t="s">
        <v>682</v>
      </c>
      <c r="K26" s="40"/>
      <c r="L26" s="40"/>
      <c r="M26" s="40"/>
      <c r="N26" s="40"/>
      <c r="O26" s="40"/>
    </row>
    <row r="27" spans="1:15" ht="28.9">
      <c r="A27" s="30" t="str">
        <v>101 Carnegie Center</v>
      </c>
      <c r="B27" s="31" t="str">
        <v>NJ</v>
      </c>
      <c r="C27" s="11">
        <v>0</v>
      </c>
      <c r="D27" s="18">
        <v>0</v>
      </c>
      <c r="E27" s="18">
        <f t="shared" si="0"/>
        <v>0</v>
      </c>
      <c r="F27" s="19" t="str">
        <f t="shared" si="3"/>
        <v/>
      </c>
      <c r="G27" s="89" t="s">
        <v>201</v>
      </c>
      <c r="H27" s="20" t="str">
        <f t="shared" si="1"/>
        <v/>
      </c>
      <c r="I27" s="19" t="str">
        <f t="shared" si="4"/>
        <v/>
      </c>
      <c r="J27" s="41" t="s">
        <v>324</v>
      </c>
      <c r="K27" s="74" t="s">
        <v>555</v>
      </c>
      <c r="L27" s="94" t="s">
        <v>591</v>
      </c>
      <c r="M27" s="94"/>
      <c r="N27" s="94"/>
      <c r="O27" s="94"/>
    </row>
    <row r="28" spans="1:15" ht="15.6">
      <c r="A28" s="28" t="str">
        <v>302 Carnegie Center</v>
      </c>
      <c r="B28" s="29" t="str">
        <v>NJ</v>
      </c>
      <c r="C28" s="24">
        <v>26485.5</v>
      </c>
      <c r="D28" s="13">
        <v>34366.6</v>
      </c>
      <c r="E28" s="13">
        <f t="shared" si="0"/>
        <v>-7881.0999999999985</v>
      </c>
      <c r="F28" s="14">
        <f t="shared" si="3"/>
        <v>-0.22932440218118752</v>
      </c>
      <c r="G28" s="88" t="s">
        <v>201</v>
      </c>
      <c r="H28" s="15" t="str">
        <f t="shared" si="1"/>
        <v/>
      </c>
      <c r="I28" s="16" t="str">
        <f t="shared" si="4"/>
        <v/>
      </c>
      <c r="J28" s="40" t="s">
        <v>683</v>
      </c>
      <c r="K28" s="40"/>
      <c r="L28" s="40"/>
      <c r="M28" s="40"/>
      <c r="N28" s="40"/>
      <c r="O28" s="40"/>
    </row>
    <row r="29" spans="1:15" ht="28.9">
      <c r="A29" s="30" t="str">
        <v>510 Carnegie Center</v>
      </c>
      <c r="B29" s="31" t="str">
        <v>NJ</v>
      </c>
      <c r="C29" s="11">
        <v>62509.7</v>
      </c>
      <c r="D29" s="18">
        <v>90347</v>
      </c>
      <c r="E29" s="18">
        <f>IF(AND(ISNUMBER(C29),ISNUMBER(D29)), C29-D29, "")</f>
        <v>-27837.300000000003</v>
      </c>
      <c r="F29" s="19">
        <f>IFERROR(E29/D29, "")</f>
        <v>-0.30811537737833022</v>
      </c>
      <c r="G29" s="89" t="s">
        <v>201</v>
      </c>
      <c r="H29" s="20" t="str">
        <f t="shared" ref="H29:H40" si="5">IF(AND(ISNUMBER(C29),ISNUMBER(G29)), C29-G29, "")</f>
        <v/>
      </c>
      <c r="I29" s="19" t="str">
        <f t="shared" si="4"/>
        <v/>
      </c>
      <c r="J29" s="41" t="s">
        <v>684</v>
      </c>
      <c r="K29" s="42"/>
      <c r="L29" s="42"/>
      <c r="M29" s="42"/>
      <c r="N29" s="42"/>
      <c r="O29" s="42"/>
    </row>
    <row r="30" spans="1:15" ht="15.6">
      <c r="A30" s="28" t="str">
        <v>701 Carnegie Center</v>
      </c>
      <c r="B30" s="29" t="str">
        <v>NJ</v>
      </c>
      <c r="C30" s="65">
        <v>50200.5</v>
      </c>
      <c r="D30" s="13">
        <v>69900.2</v>
      </c>
      <c r="E30" s="13">
        <f>IF(AND(ISNUMBER(C30),ISNUMBER(D30)), C30-D30, "")</f>
        <v>-19699.699999999997</v>
      </c>
      <c r="F30" s="66">
        <f>IFERROR(E30/D30, "")</f>
        <v>-0.28182608919573904</v>
      </c>
      <c r="G30" s="109" t="s">
        <v>201</v>
      </c>
      <c r="H30" s="67" t="str">
        <f t="shared" si="5"/>
        <v/>
      </c>
      <c r="I30" s="16" t="str">
        <f t="shared" si="4"/>
        <v/>
      </c>
      <c r="J30" s="40" t="s">
        <v>615</v>
      </c>
      <c r="K30" s="75" t="s">
        <v>616</v>
      </c>
      <c r="L30" s="40" t="s">
        <v>617</v>
      </c>
      <c r="M30" s="40"/>
      <c r="N30" s="40"/>
      <c r="O30" s="40"/>
    </row>
    <row r="31" spans="1:15" ht="28.9">
      <c r="A31" s="30" t="str">
        <v>Hudson County Correction</v>
      </c>
      <c r="B31" s="31" t="str">
        <v>NJ</v>
      </c>
      <c r="C31" s="69">
        <v>66690.066999998904</v>
      </c>
      <c r="D31" s="18">
        <v>87354.96</v>
      </c>
      <c r="E31" s="18">
        <f>IF(AND(ISNUMBER(C31),ISNUMBER(D31)), C31-D31, "")</f>
        <v>-20664.893000001102</v>
      </c>
      <c r="F31" s="70">
        <f>IFERROR(E31/D31, "")</f>
        <v>-0.23656233143488475</v>
      </c>
      <c r="G31" s="63">
        <v>105955.3</v>
      </c>
      <c r="H31" s="63">
        <f t="shared" si="5"/>
        <v>-39265.233000001099</v>
      </c>
      <c r="I31" s="19">
        <f t="shared" si="4"/>
        <v>-0.3705830005672307</v>
      </c>
      <c r="J31" s="57" t="s">
        <v>685</v>
      </c>
      <c r="K31" s="107"/>
      <c r="L31" s="107"/>
      <c r="M31" s="107"/>
      <c r="N31" s="107"/>
      <c r="O31" s="107"/>
    </row>
    <row r="32" spans="1:15" ht="15.6">
      <c r="A32" s="28" t="str">
        <v>ER Bison Solar</v>
      </c>
      <c r="B32" s="29" t="str">
        <v>PA</v>
      </c>
      <c r="C32" s="65">
        <v>70828</v>
      </c>
      <c r="D32" s="13">
        <v>0</v>
      </c>
      <c r="E32" s="13">
        <f>IF(AND(ISNUMBER(C32),ISNUMBER(D32)), C32-D32, "")</f>
        <v>70828</v>
      </c>
      <c r="F32" s="66" t="str">
        <f>IFERROR(E32/D32, "")</f>
        <v/>
      </c>
      <c r="G32" s="67">
        <v>74441</v>
      </c>
      <c r="H32" s="67">
        <f t="shared" si="5"/>
        <v>-3613</v>
      </c>
      <c r="I32" s="16">
        <f t="shared" si="4"/>
        <v>-4.853508147391894E-2</v>
      </c>
      <c r="J32" s="68"/>
      <c r="K32" s="68"/>
      <c r="L32" s="68"/>
      <c r="M32" s="68"/>
      <c r="N32" s="68"/>
      <c r="O32" s="68"/>
    </row>
    <row r="33" spans="1:15" ht="43.15">
      <c r="A33" s="30" t="str">
        <v>Danville</v>
      </c>
      <c r="B33" s="31" t="str">
        <v>IL</v>
      </c>
      <c r="C33" s="69">
        <v>109638.1</v>
      </c>
      <c r="D33" s="18" t="s">
        <v>201</v>
      </c>
      <c r="E33" s="18" t="str">
        <f>IF(AND(ISNUMBER(C33),ISNUMBER(D33)), C33-D33, "")</f>
        <v/>
      </c>
      <c r="F33" s="70" t="str">
        <f>IFERROR(E33/D33, "")</f>
        <v/>
      </c>
      <c r="G33" s="110" t="s">
        <v>201</v>
      </c>
      <c r="H33" s="63" t="str">
        <f t="shared" si="5"/>
        <v/>
      </c>
      <c r="I33" s="70" t="str">
        <f t="shared" ref="I33:I40" si="6">IFERROR(H33/G33, "")</f>
        <v/>
      </c>
      <c r="J33" s="41" t="s">
        <v>686</v>
      </c>
      <c r="K33" s="77" t="s">
        <v>687</v>
      </c>
      <c r="L33" s="115" t="s">
        <v>621</v>
      </c>
      <c r="M33" s="77" t="s">
        <v>688</v>
      </c>
      <c r="N33" s="55"/>
      <c r="O33" s="55"/>
    </row>
    <row r="34" spans="1:15" ht="57.6">
      <c r="A34" s="28" t="str">
        <v>Camden - Campbell Soup HQ</v>
      </c>
      <c r="B34" s="29" t="str">
        <v>NJ</v>
      </c>
      <c r="C34" s="65">
        <v>105218</v>
      </c>
      <c r="D34" s="13">
        <v>164704.397</v>
      </c>
      <c r="E34" s="13">
        <f t="shared" si="0"/>
        <v>-59486.396999999997</v>
      </c>
      <c r="F34" s="66">
        <f t="shared" si="3"/>
        <v>-0.3611706674716158</v>
      </c>
      <c r="G34" s="67">
        <v>212713.8</v>
      </c>
      <c r="H34" s="67">
        <f t="shared" si="5"/>
        <v>-107495.79999999999</v>
      </c>
      <c r="I34" s="70">
        <f t="shared" si="6"/>
        <v>-0.50535414251449595</v>
      </c>
      <c r="J34" s="40" t="s">
        <v>622</v>
      </c>
      <c r="K34" s="75" t="s">
        <v>623</v>
      </c>
      <c r="L34" s="40" t="s">
        <v>674</v>
      </c>
      <c r="M34" s="40"/>
      <c r="N34" s="40"/>
      <c r="O34" s="40"/>
    </row>
    <row r="35" spans="1:15" ht="57.6">
      <c r="A35" s="30" t="str">
        <v>Westport - Pine Hill</v>
      </c>
      <c r="B35" s="31" t="str">
        <v>MA</v>
      </c>
      <c r="C35" s="69">
        <v>214543</v>
      </c>
      <c r="D35" s="18" t="s">
        <v>201</v>
      </c>
      <c r="E35" s="18" t="str">
        <f t="shared" ref="E35:E40" si="7">IF(AND(ISNUMBER(C35),ISNUMBER(D35)), C35-D35, "")</f>
        <v/>
      </c>
      <c r="F35" s="70" t="str">
        <f>IFERROR(E35/D35, "")</f>
        <v/>
      </c>
      <c r="G35" s="63">
        <v>260826</v>
      </c>
      <c r="H35" s="63">
        <f t="shared" si="5"/>
        <v>-46283</v>
      </c>
      <c r="I35" s="80">
        <f t="shared" si="6"/>
        <v>-0.17744780044934172</v>
      </c>
      <c r="J35" s="41" t="s">
        <v>689</v>
      </c>
      <c r="K35" s="76" t="s">
        <v>690</v>
      </c>
      <c r="L35" s="42" t="s">
        <v>691</v>
      </c>
      <c r="M35" s="76" t="s">
        <v>692</v>
      </c>
      <c r="N35" s="42"/>
      <c r="O35" s="42"/>
    </row>
    <row r="36" spans="1:15" ht="15.6">
      <c r="A36" s="28" t="str">
        <v>Oaks Landfill - ANEM</v>
      </c>
      <c r="B36" s="29" t="str">
        <v>MD</v>
      </c>
      <c r="C36" s="65">
        <v>168171</v>
      </c>
      <c r="D36" s="13">
        <v>217539.3</v>
      </c>
      <c r="E36" s="13">
        <f t="shared" si="7"/>
        <v>-49368.299999999988</v>
      </c>
      <c r="F36" s="66">
        <f>IFERROR(E36/D36, "")</f>
        <v>-0.22693968400192513</v>
      </c>
      <c r="G36" s="109" t="s">
        <v>201</v>
      </c>
      <c r="H36" s="67" t="str">
        <f t="shared" si="5"/>
        <v/>
      </c>
      <c r="I36" s="67" t="str">
        <f t="shared" si="6"/>
        <v/>
      </c>
      <c r="J36" s="68"/>
      <c r="K36" s="68"/>
      <c r="L36" s="68"/>
      <c r="M36" s="68"/>
      <c r="N36" s="68"/>
      <c r="O36" s="68"/>
    </row>
    <row r="37" spans="1:15" ht="15.6">
      <c r="A37" s="30" t="str">
        <v>Oaks Landfill - CS2</v>
      </c>
      <c r="B37" s="31" t="str">
        <v>MD</v>
      </c>
      <c r="C37" s="69">
        <v>220597.6</v>
      </c>
      <c r="D37" s="18">
        <v>225076.6</v>
      </c>
      <c r="E37" s="18">
        <f t="shared" si="7"/>
        <v>-4479</v>
      </c>
      <c r="F37" s="70">
        <f>IFERROR(E37/D37, "")</f>
        <v>-1.9899891859038212E-2</v>
      </c>
      <c r="G37" s="110" t="s">
        <v>201</v>
      </c>
      <c r="H37" s="63" t="str">
        <f t="shared" si="5"/>
        <v/>
      </c>
      <c r="I37" s="70" t="str">
        <f t="shared" si="6"/>
        <v/>
      </c>
      <c r="J37" s="41"/>
      <c r="K37" s="42"/>
      <c r="L37" s="42"/>
      <c r="M37" s="42"/>
      <c r="N37" s="42"/>
      <c r="O37" s="42"/>
    </row>
    <row r="38" spans="1:15" ht="72">
      <c r="A38" s="28" t="str">
        <v>Oaks Landfill - CS1</v>
      </c>
      <c r="B38" s="29" t="str">
        <v>MD</v>
      </c>
      <c r="C38" s="65">
        <v>172363.3</v>
      </c>
      <c r="D38" s="13">
        <v>220595</v>
      </c>
      <c r="E38" s="13">
        <f t="shared" si="7"/>
        <v>-48231.700000000012</v>
      </c>
      <c r="F38" s="66">
        <f>IFERROR(E38/D38, "")</f>
        <v>-0.21864366826084006</v>
      </c>
      <c r="G38" s="109" t="s">
        <v>201</v>
      </c>
      <c r="H38" s="67" t="str">
        <f t="shared" si="5"/>
        <v/>
      </c>
      <c r="I38" s="16" t="str">
        <f t="shared" si="6"/>
        <v/>
      </c>
      <c r="J38" s="68" t="s">
        <v>693</v>
      </c>
      <c r="K38" s="81" t="s">
        <v>694</v>
      </c>
      <c r="L38" s="68" t="s">
        <v>621</v>
      </c>
      <c r="M38" s="81" t="s">
        <v>695</v>
      </c>
      <c r="N38" s="68"/>
      <c r="O38" s="68"/>
    </row>
    <row r="39" spans="1:15" ht="43.15">
      <c r="A39" s="30" t="str">
        <v>Plympton - Upland Solar - PV &amp; BESS (IRA)</v>
      </c>
      <c r="B39" s="31" t="str">
        <v>MA</v>
      </c>
      <c r="C39" s="69">
        <v>217.1827988</v>
      </c>
      <c r="D39" s="18">
        <v>219.07567460000001</v>
      </c>
      <c r="E39" s="18">
        <f t="shared" si="7"/>
        <v>-1.892875800000013</v>
      </c>
      <c r="F39" s="70">
        <f>IFERROR(E39/D39, "")</f>
        <v>-8.6402828769379623E-3</v>
      </c>
      <c r="G39" s="63">
        <v>270.866129</v>
      </c>
      <c r="H39" s="63">
        <f t="shared" si="5"/>
        <v>-53.6833302</v>
      </c>
      <c r="I39" s="70">
        <f t="shared" si="6"/>
        <v>-0.19819137371730963</v>
      </c>
      <c r="J39" s="41" t="s">
        <v>696</v>
      </c>
      <c r="K39" s="76" t="s">
        <v>697</v>
      </c>
      <c r="L39" s="42" t="s">
        <v>691</v>
      </c>
      <c r="M39" s="76" t="s">
        <v>698</v>
      </c>
      <c r="N39" s="42"/>
      <c r="O39" s="42"/>
    </row>
    <row r="40" spans="1:15" ht="43.15">
      <c r="A40" s="28" t="str">
        <v>MA: Plymouth - Black Cat Solar - PV &amp; BESS (IRA)</v>
      </c>
      <c r="B40" s="29" t="str">
        <v>MA</v>
      </c>
      <c r="C40" s="111" t="s">
        <v>201</v>
      </c>
      <c r="D40" s="13" t="s">
        <v>201</v>
      </c>
      <c r="E40" s="13" t="str">
        <f t="shared" si="7"/>
        <v/>
      </c>
      <c r="F40" s="112" t="s">
        <v>201</v>
      </c>
      <c r="G40" s="109" t="s">
        <v>201</v>
      </c>
      <c r="H40" s="109" t="str">
        <f t="shared" si="5"/>
        <v/>
      </c>
      <c r="I40" s="109" t="str">
        <f t="shared" si="6"/>
        <v/>
      </c>
      <c r="J40" s="68" t="s">
        <v>699</v>
      </c>
      <c r="K40" s="81" t="s">
        <v>700</v>
      </c>
      <c r="L40" s="68" t="s">
        <v>591</v>
      </c>
      <c r="M40" s="68"/>
      <c r="N40" s="68"/>
      <c r="O40" s="68"/>
    </row>
    <row r="41" spans="1:15" ht="14.45">
      <c r="A41" s="21"/>
      <c r="B41" s="33"/>
      <c r="C41" s="21"/>
      <c r="D41" s="21"/>
      <c r="E41" s="21"/>
      <c r="F41" s="22"/>
      <c r="G41" s="21"/>
      <c r="H41" s="21"/>
      <c r="I41" s="22"/>
      <c r="J41" s="21"/>
      <c r="K41" s="21"/>
      <c r="L41" s="21"/>
      <c r="M41" s="21"/>
      <c r="N41" s="21"/>
      <c r="O41" s="21"/>
    </row>
    <row r="42" spans="1:15" ht="14.45">
      <c r="A42" s="21"/>
      <c r="B42" s="33"/>
      <c r="C42" s="21"/>
      <c r="D42" s="21"/>
      <c r="E42" s="21"/>
      <c r="F42" s="22"/>
      <c r="G42" s="21"/>
      <c r="H42" s="21"/>
      <c r="I42" s="22"/>
      <c r="J42" s="21"/>
      <c r="K42" s="21"/>
      <c r="L42" s="21"/>
      <c r="M42" s="21"/>
      <c r="N42" s="21"/>
      <c r="O42" s="21"/>
    </row>
    <row r="43" spans="1:15" ht="14.45">
      <c r="A43" s="21"/>
      <c r="B43" s="33"/>
      <c r="C43" s="21"/>
      <c r="D43" s="21"/>
      <c r="E43" s="21"/>
      <c r="F43" s="22"/>
      <c r="G43" s="21"/>
      <c r="H43" s="21"/>
      <c r="I43" s="22"/>
      <c r="J43" s="21"/>
      <c r="K43" s="21"/>
      <c r="L43" s="21"/>
      <c r="M43" s="21"/>
      <c r="N43" s="21"/>
      <c r="O43" s="21"/>
    </row>
    <row r="44" spans="1:15" ht="14.45">
      <c r="A44" s="21"/>
      <c r="B44" s="33"/>
      <c r="C44" s="21"/>
      <c r="D44" s="21"/>
      <c r="E44" s="21"/>
      <c r="F44" s="22"/>
      <c r="G44" s="21"/>
      <c r="H44" s="21"/>
      <c r="I44" s="22"/>
      <c r="J44" s="21"/>
      <c r="K44" s="21"/>
      <c r="L44" s="21"/>
      <c r="M44" s="21"/>
      <c r="N44" s="21"/>
      <c r="O44" s="21"/>
    </row>
    <row r="45" spans="1:15" ht="14.45">
      <c r="A45" s="21"/>
      <c r="B45" s="33"/>
      <c r="C45" s="21"/>
      <c r="D45" s="21"/>
      <c r="E45" s="21"/>
      <c r="F45" s="22"/>
      <c r="G45" s="21"/>
      <c r="H45" s="21"/>
      <c r="I45" s="22"/>
      <c r="J45" s="21"/>
      <c r="K45" s="21"/>
      <c r="L45" s="21"/>
      <c r="M45" s="21"/>
      <c r="N45" s="21"/>
      <c r="O45" s="21"/>
    </row>
    <row r="46" spans="1:15" ht="14.45">
      <c r="A46" s="21"/>
      <c r="B46" s="33"/>
      <c r="C46" s="21"/>
      <c r="D46" s="21"/>
      <c r="E46" s="21"/>
      <c r="F46" s="22"/>
      <c r="G46" s="21"/>
      <c r="H46" s="21"/>
      <c r="I46" s="22"/>
      <c r="J46" s="21"/>
      <c r="K46" s="21"/>
      <c r="L46" s="21"/>
      <c r="M46" s="21"/>
      <c r="N46" s="21"/>
      <c r="O46" s="21"/>
    </row>
    <row r="47" spans="1:15" ht="14.45">
      <c r="A47" s="21"/>
      <c r="B47" s="33"/>
      <c r="C47" s="21"/>
      <c r="D47" s="21"/>
      <c r="E47" s="21"/>
      <c r="F47" s="22"/>
      <c r="G47" s="21"/>
      <c r="H47" s="21"/>
      <c r="I47" s="22"/>
      <c r="J47" s="21"/>
      <c r="K47" s="21"/>
      <c r="L47" s="21"/>
      <c r="M47" s="21"/>
      <c r="N47" s="21"/>
      <c r="O47" s="21"/>
    </row>
    <row r="48" spans="1:15" ht="14.45">
      <c r="A48" s="21"/>
      <c r="B48" s="33"/>
      <c r="C48" s="21"/>
      <c r="D48" s="21"/>
      <c r="E48" s="21"/>
      <c r="F48" s="22"/>
      <c r="G48" s="21"/>
      <c r="H48" s="21"/>
      <c r="I48" s="22"/>
      <c r="J48" s="21"/>
      <c r="K48" s="21"/>
      <c r="L48" s="21"/>
      <c r="M48" s="21"/>
      <c r="N48" s="21"/>
      <c r="O48" s="21"/>
    </row>
    <row r="49" spans="1:15" ht="14.45">
      <c r="A49" s="21"/>
      <c r="B49" s="33"/>
      <c r="C49" s="21"/>
      <c r="D49" s="21"/>
      <c r="E49" s="21"/>
      <c r="F49" s="22"/>
      <c r="G49" s="21"/>
      <c r="H49" s="21"/>
      <c r="I49" s="22"/>
      <c r="J49" s="21"/>
      <c r="K49" s="21"/>
      <c r="L49" s="21"/>
      <c r="M49" s="21"/>
      <c r="N49" s="21"/>
      <c r="O49" s="21"/>
    </row>
    <row r="50" spans="1:15" ht="14.45">
      <c r="A50" s="21"/>
      <c r="B50" s="33"/>
      <c r="C50" s="21"/>
      <c r="D50" s="21"/>
      <c r="E50" s="21"/>
      <c r="F50" s="22"/>
      <c r="G50" s="21"/>
      <c r="H50" s="21"/>
      <c r="I50" s="22"/>
      <c r="J50" s="21"/>
      <c r="K50" s="21"/>
      <c r="L50" s="21"/>
      <c r="M50" s="21"/>
      <c r="N50" s="21"/>
      <c r="O50" s="21"/>
    </row>
    <row r="51" spans="1:15" ht="14.45">
      <c r="A51" s="21"/>
      <c r="B51" s="33"/>
      <c r="C51" s="21"/>
      <c r="D51" s="21"/>
      <c r="E51" s="21"/>
      <c r="F51" s="22"/>
      <c r="G51" s="21"/>
      <c r="H51" s="21"/>
      <c r="I51" s="22"/>
      <c r="J51" s="21"/>
      <c r="K51" s="21"/>
      <c r="L51" s="21"/>
      <c r="M51" s="21"/>
      <c r="N51" s="21"/>
      <c r="O51" s="21"/>
    </row>
    <row r="52" spans="1:15" ht="14.45">
      <c r="A52" s="21"/>
      <c r="B52" s="33"/>
      <c r="C52" s="21"/>
      <c r="D52" s="21"/>
      <c r="E52" s="21"/>
      <c r="F52" s="22"/>
      <c r="G52" s="21"/>
      <c r="H52" s="21"/>
      <c r="I52" s="22"/>
      <c r="J52" s="21"/>
      <c r="K52" s="21"/>
      <c r="L52" s="21"/>
      <c r="M52" s="21"/>
      <c r="N52" s="21"/>
      <c r="O52" s="21"/>
    </row>
    <row r="53" spans="1:15" ht="14.45">
      <c r="A53" s="21"/>
      <c r="B53" s="33"/>
      <c r="C53" s="21"/>
      <c r="D53" s="21"/>
      <c r="E53" s="21"/>
      <c r="F53" s="22"/>
      <c r="G53" s="21"/>
      <c r="H53" s="21"/>
      <c r="I53" s="22"/>
      <c r="J53" s="21"/>
      <c r="K53" s="21"/>
      <c r="L53" s="21"/>
      <c r="M53" s="21"/>
      <c r="N53" s="21"/>
      <c r="O53" s="21"/>
    </row>
    <row r="54" spans="1:15" ht="14.45">
      <c r="A54" s="21"/>
      <c r="B54" s="33"/>
      <c r="C54" s="21"/>
      <c r="D54" s="21"/>
      <c r="E54" s="21"/>
      <c r="F54" s="22"/>
      <c r="G54" s="21"/>
      <c r="H54" s="21"/>
      <c r="I54" s="22"/>
      <c r="J54" s="21"/>
      <c r="K54" s="21"/>
      <c r="L54" s="21"/>
      <c r="M54" s="21"/>
      <c r="N54" s="21"/>
      <c r="O54" s="21"/>
    </row>
    <row r="55" spans="1:15" ht="14.45">
      <c r="A55" s="21"/>
      <c r="B55" s="33"/>
      <c r="C55" s="21"/>
      <c r="D55" s="21"/>
      <c r="E55" s="21"/>
      <c r="F55" s="22"/>
      <c r="G55" s="21"/>
      <c r="H55" s="21"/>
      <c r="I55" s="22"/>
      <c r="J55" s="21"/>
      <c r="K55" s="21"/>
      <c r="L55" s="21"/>
      <c r="M55" s="21"/>
      <c r="N55" s="21"/>
      <c r="O55" s="21"/>
    </row>
    <row r="56" spans="1:15" ht="14.45">
      <c r="A56" s="21"/>
      <c r="B56" s="33"/>
      <c r="C56" s="21"/>
      <c r="D56" s="21"/>
      <c r="E56" s="21"/>
      <c r="F56" s="22"/>
      <c r="G56" s="21"/>
      <c r="H56" s="21"/>
      <c r="I56" s="22"/>
      <c r="J56" s="21"/>
      <c r="K56" s="21"/>
      <c r="L56" s="21"/>
      <c r="M56" s="21"/>
      <c r="N56" s="21"/>
      <c r="O56" s="21"/>
    </row>
    <row r="57" spans="1:15" ht="14.45">
      <c r="A57" s="21"/>
      <c r="B57" s="33"/>
      <c r="C57" s="21"/>
      <c r="D57" s="21"/>
      <c r="E57" s="21"/>
      <c r="F57" s="22"/>
      <c r="G57" s="21"/>
      <c r="H57" s="21"/>
      <c r="I57" s="22"/>
      <c r="J57" s="21"/>
      <c r="K57" s="21"/>
      <c r="L57" s="21"/>
      <c r="M57" s="21"/>
      <c r="N57" s="21"/>
      <c r="O57" s="21"/>
    </row>
    <row r="58" spans="1:15" ht="14.45">
      <c r="A58" s="21"/>
      <c r="B58" s="33"/>
      <c r="C58" s="21"/>
      <c r="D58" s="21"/>
      <c r="E58" s="21"/>
      <c r="F58" s="22"/>
      <c r="G58" s="21"/>
      <c r="H58" s="21"/>
      <c r="I58" s="22"/>
      <c r="J58" s="21"/>
      <c r="K58" s="21"/>
      <c r="L58" s="21"/>
      <c r="M58" s="21"/>
      <c r="N58" s="21"/>
      <c r="O58" s="21"/>
    </row>
    <row r="59" spans="1:15" ht="14.45">
      <c r="A59" s="21"/>
      <c r="B59" s="33"/>
      <c r="C59" s="21"/>
      <c r="D59" s="21"/>
      <c r="E59" s="21"/>
      <c r="F59" s="22"/>
      <c r="G59" s="21"/>
      <c r="H59" s="21"/>
      <c r="I59" s="22"/>
      <c r="J59" s="21"/>
      <c r="K59" s="21"/>
      <c r="L59" s="21"/>
      <c r="M59" s="21"/>
      <c r="N59" s="21"/>
      <c r="O59" s="21"/>
    </row>
    <row r="60" spans="1:15" ht="14.45">
      <c r="A60" s="21"/>
      <c r="B60" s="33"/>
      <c r="C60" s="21"/>
      <c r="D60" s="21"/>
      <c r="E60" s="21"/>
      <c r="F60" s="22"/>
      <c r="G60" s="21"/>
      <c r="H60" s="21"/>
      <c r="I60" s="22"/>
      <c r="J60" s="21"/>
      <c r="K60" s="21"/>
      <c r="L60" s="21"/>
      <c r="M60" s="21"/>
      <c r="N60" s="21"/>
      <c r="O60" s="21"/>
    </row>
    <row r="61" spans="1:15" ht="14.45">
      <c r="A61" s="21"/>
      <c r="B61" s="33"/>
      <c r="C61" s="21"/>
      <c r="D61" s="21"/>
      <c r="E61" s="21"/>
      <c r="F61" s="22"/>
      <c r="G61" s="21"/>
      <c r="H61" s="21"/>
      <c r="I61" s="22"/>
      <c r="J61" s="21"/>
      <c r="K61" s="21"/>
      <c r="L61" s="21"/>
      <c r="M61" s="21"/>
      <c r="N61" s="21"/>
      <c r="O61" s="21"/>
    </row>
    <row r="62" spans="1:15" ht="14.45">
      <c r="A62" s="21"/>
      <c r="B62" s="33"/>
      <c r="C62" s="21"/>
      <c r="D62" s="21"/>
      <c r="E62" s="21"/>
      <c r="F62" s="22"/>
      <c r="G62" s="21"/>
      <c r="H62" s="21"/>
      <c r="I62" s="22"/>
      <c r="J62" s="21"/>
      <c r="K62" s="21"/>
      <c r="L62" s="21"/>
      <c r="M62" s="21"/>
      <c r="N62" s="21"/>
      <c r="O62" s="21"/>
    </row>
    <row r="63" spans="1:15" ht="14.45">
      <c r="A63" s="21"/>
      <c r="B63" s="33"/>
      <c r="C63" s="21"/>
      <c r="D63" s="21"/>
      <c r="E63" s="21"/>
      <c r="F63" s="22"/>
      <c r="G63" s="21"/>
      <c r="H63" s="21"/>
      <c r="I63" s="22"/>
      <c r="J63" s="21"/>
      <c r="K63" s="21"/>
      <c r="L63" s="21"/>
      <c r="M63" s="21"/>
      <c r="N63" s="21"/>
      <c r="O63" s="21"/>
    </row>
    <row r="64" spans="1:15" ht="14.45">
      <c r="A64" s="21"/>
      <c r="B64" s="33"/>
      <c r="C64" s="21"/>
      <c r="D64" s="21"/>
      <c r="E64" s="21"/>
      <c r="F64" s="22"/>
      <c r="G64" s="21"/>
      <c r="H64" s="21"/>
      <c r="I64" s="22"/>
      <c r="J64" s="21"/>
      <c r="K64" s="21"/>
      <c r="L64" s="21"/>
      <c r="M64" s="21"/>
      <c r="N64" s="21"/>
      <c r="O64" s="21"/>
    </row>
    <row r="65" spans="1:15" ht="14.45">
      <c r="A65" s="21"/>
      <c r="B65" s="33"/>
      <c r="C65" s="21"/>
      <c r="D65" s="21"/>
      <c r="E65" s="21"/>
      <c r="F65" s="22"/>
      <c r="G65" s="21"/>
      <c r="H65" s="21"/>
      <c r="I65" s="22"/>
      <c r="J65" s="21"/>
      <c r="K65" s="21"/>
      <c r="L65" s="21"/>
      <c r="M65" s="21"/>
      <c r="N65" s="21"/>
      <c r="O65" s="21"/>
    </row>
    <row r="66" spans="1:15" ht="14.45">
      <c r="A66" s="21"/>
      <c r="B66" s="33"/>
      <c r="C66" s="21"/>
      <c r="D66" s="21"/>
      <c r="E66" s="21"/>
      <c r="F66" s="22"/>
      <c r="G66" s="21"/>
      <c r="H66" s="21"/>
      <c r="I66" s="22"/>
      <c r="J66" s="21"/>
      <c r="K66" s="21"/>
      <c r="L66" s="21"/>
      <c r="M66" s="21"/>
      <c r="N66" s="21"/>
      <c r="O66" s="21"/>
    </row>
    <row r="67" spans="1:15" ht="14.45">
      <c r="A67" s="21"/>
      <c r="B67" s="33"/>
      <c r="C67" s="21"/>
      <c r="D67" s="21"/>
      <c r="E67" s="21"/>
      <c r="F67" s="22"/>
      <c r="G67" s="21"/>
      <c r="H67" s="21"/>
      <c r="I67" s="22"/>
      <c r="J67" s="21"/>
      <c r="K67" s="21"/>
      <c r="L67" s="21"/>
      <c r="M67" s="21"/>
      <c r="N67" s="21"/>
      <c r="O67" s="21"/>
    </row>
    <row r="68" spans="1:15" ht="14.45">
      <c r="A68" s="21"/>
      <c r="B68" s="33"/>
      <c r="C68" s="21"/>
      <c r="D68" s="21"/>
      <c r="E68" s="21"/>
      <c r="F68" s="22"/>
      <c r="G68" s="21"/>
      <c r="H68" s="21"/>
      <c r="I68" s="22"/>
      <c r="J68" s="21"/>
      <c r="K68" s="21"/>
      <c r="L68" s="21"/>
      <c r="M68" s="21"/>
      <c r="N68" s="21"/>
      <c r="O68" s="21"/>
    </row>
    <row r="69" spans="1:15" ht="14.45">
      <c r="A69" s="21"/>
      <c r="B69" s="33"/>
      <c r="C69" s="21"/>
      <c r="D69" s="21"/>
      <c r="E69" s="21"/>
      <c r="F69" s="22"/>
      <c r="G69" s="21"/>
      <c r="H69" s="21"/>
      <c r="I69" s="22"/>
      <c r="J69" s="21"/>
      <c r="K69" s="21"/>
      <c r="L69" s="21"/>
      <c r="M69" s="21"/>
      <c r="N69" s="21"/>
      <c r="O69" s="21"/>
    </row>
    <row r="70" spans="1:15" ht="14.45">
      <c r="A70" s="21"/>
      <c r="B70" s="33"/>
      <c r="C70" s="21"/>
      <c r="D70" s="21"/>
      <c r="E70" s="21"/>
      <c r="F70" s="22"/>
      <c r="G70" s="21"/>
      <c r="H70" s="21"/>
      <c r="I70" s="22"/>
      <c r="J70" s="21"/>
      <c r="K70" s="21"/>
      <c r="L70" s="21"/>
      <c r="M70" s="21"/>
      <c r="N70" s="21"/>
      <c r="O70" s="21"/>
    </row>
    <row r="71" spans="1:15" ht="14.45">
      <c r="A71" s="21"/>
      <c r="B71" s="33"/>
      <c r="C71" s="21"/>
      <c r="D71" s="21"/>
      <c r="E71" s="21"/>
      <c r="F71" s="22"/>
      <c r="G71" s="21"/>
      <c r="H71" s="21"/>
      <c r="I71" s="22"/>
      <c r="J71" s="21"/>
      <c r="K71" s="21"/>
      <c r="L71" s="21"/>
      <c r="M71" s="21"/>
      <c r="N71" s="21"/>
      <c r="O71" s="21"/>
    </row>
    <row r="72" spans="1:15" ht="14.45">
      <c r="A72" s="21"/>
      <c r="B72" s="33"/>
      <c r="C72" s="21"/>
      <c r="D72" s="21"/>
      <c r="E72" s="21"/>
      <c r="F72" s="22"/>
      <c r="G72" s="21"/>
      <c r="H72" s="21"/>
      <c r="I72" s="22"/>
      <c r="J72" s="21"/>
      <c r="K72" s="21"/>
      <c r="L72" s="21"/>
      <c r="M72" s="21"/>
      <c r="N72" s="21"/>
      <c r="O72" s="21"/>
    </row>
    <row r="73" spans="1:15" ht="14.45">
      <c r="A73" s="21"/>
      <c r="B73" s="33"/>
      <c r="C73" s="21"/>
      <c r="D73" s="21"/>
      <c r="E73" s="21"/>
      <c r="F73" s="22"/>
      <c r="G73" s="21"/>
      <c r="H73" s="21"/>
      <c r="I73" s="22"/>
      <c r="J73" s="21"/>
      <c r="K73" s="21"/>
      <c r="L73" s="21"/>
      <c r="M73" s="21"/>
      <c r="N73" s="21"/>
      <c r="O73" s="21"/>
    </row>
    <row r="74" spans="1:15" ht="14.45">
      <c r="A74" s="21"/>
      <c r="B74" s="33"/>
      <c r="C74" s="21"/>
      <c r="D74" s="21"/>
      <c r="E74" s="21"/>
      <c r="F74" s="22"/>
      <c r="G74" s="21"/>
      <c r="H74" s="21"/>
      <c r="I74" s="22"/>
      <c r="J74" s="21"/>
      <c r="K74" s="21"/>
      <c r="L74" s="21"/>
      <c r="M74" s="21"/>
      <c r="N74" s="21"/>
      <c r="O74" s="21"/>
    </row>
    <row r="75" spans="1:15" ht="14.45">
      <c r="A75" s="21"/>
      <c r="B75" s="33"/>
      <c r="C75" s="21"/>
      <c r="D75" s="21"/>
      <c r="E75" s="21"/>
      <c r="F75" s="22"/>
      <c r="G75" s="21"/>
      <c r="H75" s="21"/>
      <c r="I75" s="22"/>
      <c r="J75" s="21"/>
      <c r="K75" s="21"/>
      <c r="L75" s="21"/>
      <c r="M75" s="21"/>
      <c r="N75" s="21"/>
      <c r="O75" s="21"/>
    </row>
    <row r="76" spans="1:15" ht="14.45">
      <c r="A76" s="21"/>
      <c r="B76" s="33"/>
      <c r="C76" s="21"/>
      <c r="D76" s="21"/>
      <c r="E76" s="21"/>
      <c r="F76" s="22"/>
      <c r="G76" s="21"/>
      <c r="H76" s="21"/>
      <c r="I76" s="22"/>
      <c r="J76" s="21"/>
      <c r="K76" s="21"/>
      <c r="L76" s="21"/>
      <c r="M76" s="21"/>
      <c r="N76" s="21"/>
      <c r="O76" s="21"/>
    </row>
    <row r="77" spans="1:15" ht="14.45">
      <c r="A77" s="21"/>
      <c r="B77" s="33"/>
      <c r="C77" s="21"/>
      <c r="D77" s="21"/>
      <c r="E77" s="21"/>
      <c r="F77" s="22"/>
      <c r="G77" s="21"/>
      <c r="H77" s="21"/>
      <c r="I77" s="22"/>
      <c r="J77" s="21"/>
      <c r="K77" s="21"/>
      <c r="L77" s="21"/>
      <c r="M77" s="21"/>
      <c r="N77" s="21"/>
      <c r="O77" s="21"/>
    </row>
    <row r="78" spans="1:15" ht="14.45">
      <c r="A78" s="21"/>
      <c r="B78" s="33"/>
      <c r="C78" s="21"/>
      <c r="D78" s="21"/>
      <c r="E78" s="21"/>
      <c r="F78" s="22"/>
      <c r="G78" s="21"/>
      <c r="H78" s="21"/>
      <c r="I78" s="22"/>
      <c r="J78" s="21"/>
      <c r="K78" s="21"/>
      <c r="L78" s="21"/>
      <c r="M78" s="21"/>
      <c r="N78" s="21"/>
      <c r="O78" s="21"/>
    </row>
    <row r="79" spans="1:15" ht="14.45">
      <c r="A79" s="21"/>
      <c r="B79" s="33"/>
      <c r="C79" s="21"/>
      <c r="D79" s="21"/>
      <c r="E79" s="21"/>
      <c r="F79" s="22"/>
      <c r="G79" s="21"/>
      <c r="H79" s="21"/>
      <c r="I79" s="22"/>
      <c r="J79" s="21"/>
      <c r="K79" s="21"/>
      <c r="L79" s="21"/>
      <c r="M79" s="21"/>
      <c r="N79" s="21"/>
      <c r="O79" s="21"/>
    </row>
    <row r="80" spans="1:15" ht="14.45">
      <c r="A80" s="21"/>
      <c r="B80" s="33"/>
      <c r="C80" s="21"/>
      <c r="D80" s="21"/>
      <c r="E80" s="21"/>
      <c r="F80" s="22"/>
      <c r="G80" s="21"/>
      <c r="H80" s="21"/>
      <c r="I80" s="22"/>
      <c r="J80" s="21"/>
      <c r="K80" s="21"/>
      <c r="L80" s="21"/>
      <c r="M80" s="21"/>
      <c r="N80" s="21"/>
      <c r="O80" s="21"/>
    </row>
    <row r="81" spans="1:15" ht="14.45">
      <c r="A81" s="21"/>
      <c r="B81" s="33"/>
      <c r="C81" s="21"/>
      <c r="D81" s="21"/>
      <c r="E81" s="21"/>
      <c r="F81" s="22"/>
      <c r="G81" s="21"/>
      <c r="H81" s="21"/>
      <c r="I81" s="22"/>
      <c r="J81" s="21"/>
      <c r="K81" s="21"/>
      <c r="L81" s="21"/>
      <c r="M81" s="21"/>
      <c r="N81" s="21"/>
      <c r="O81" s="21"/>
    </row>
    <row r="82" spans="1:15" ht="14.45">
      <c r="A82" s="21"/>
      <c r="B82" s="33"/>
      <c r="C82" s="21"/>
      <c r="D82" s="21"/>
      <c r="E82" s="21"/>
      <c r="F82" s="22"/>
      <c r="G82" s="21"/>
      <c r="H82" s="21"/>
      <c r="I82" s="22"/>
      <c r="J82" s="21"/>
      <c r="K82" s="21"/>
      <c r="L82" s="21"/>
      <c r="M82" s="21"/>
      <c r="N82" s="21"/>
      <c r="O82" s="21"/>
    </row>
    <row r="83" spans="1:15" ht="14.45">
      <c r="A83" s="21"/>
      <c r="B83" s="33"/>
      <c r="C83" s="21"/>
      <c r="D83" s="21"/>
      <c r="E83" s="21"/>
      <c r="F83" s="22"/>
      <c r="G83" s="21"/>
      <c r="H83" s="21"/>
      <c r="I83" s="22"/>
      <c r="J83" s="21"/>
      <c r="K83" s="21"/>
      <c r="L83" s="21"/>
      <c r="M83" s="21"/>
      <c r="N83" s="21"/>
      <c r="O83" s="21"/>
    </row>
    <row r="84" spans="1:15" ht="14.45">
      <c r="A84" s="21"/>
      <c r="B84" s="33"/>
      <c r="C84" s="21"/>
      <c r="D84" s="21"/>
      <c r="E84" s="21"/>
      <c r="F84" s="22"/>
      <c r="G84" s="21"/>
      <c r="H84" s="21"/>
      <c r="I84" s="22"/>
      <c r="J84" s="21"/>
      <c r="K84" s="21"/>
      <c r="L84" s="21"/>
      <c r="M84" s="21"/>
      <c r="N84" s="21"/>
      <c r="O84" s="21"/>
    </row>
    <row r="85" spans="1:15" ht="14.45">
      <c r="A85" s="21"/>
      <c r="B85" s="33"/>
      <c r="C85" s="21"/>
      <c r="D85" s="21"/>
      <c r="E85" s="21"/>
      <c r="F85" s="22"/>
      <c r="G85" s="21"/>
      <c r="H85" s="21"/>
      <c r="I85" s="22"/>
      <c r="J85" s="21"/>
      <c r="K85" s="21"/>
      <c r="L85" s="21"/>
      <c r="M85" s="21"/>
      <c r="N85" s="21"/>
      <c r="O85" s="21"/>
    </row>
    <row r="86" spans="1:15" ht="14.45">
      <c r="A86" s="21"/>
      <c r="B86" s="33"/>
      <c r="C86" s="21"/>
      <c r="D86" s="21"/>
      <c r="E86" s="21"/>
      <c r="F86" s="22"/>
      <c r="G86" s="21"/>
      <c r="H86" s="21"/>
      <c r="I86" s="22"/>
      <c r="J86" s="21"/>
      <c r="K86" s="21"/>
      <c r="L86" s="21"/>
      <c r="M86" s="21"/>
      <c r="N86" s="21"/>
      <c r="O86" s="21"/>
    </row>
    <row r="87" spans="1:15" ht="14.45">
      <c r="A87" s="21"/>
      <c r="B87" s="33"/>
      <c r="C87" s="21"/>
      <c r="D87" s="21"/>
      <c r="E87" s="21"/>
      <c r="F87" s="22"/>
      <c r="G87" s="21"/>
      <c r="H87" s="21"/>
      <c r="I87" s="22"/>
      <c r="J87" s="21"/>
      <c r="K87" s="21"/>
      <c r="L87" s="21"/>
      <c r="M87" s="21"/>
      <c r="N87" s="21"/>
      <c r="O87" s="21"/>
    </row>
    <row r="88" spans="1:15" ht="14.45">
      <c r="A88" s="21"/>
      <c r="B88" s="33"/>
      <c r="C88" s="21"/>
      <c r="D88" s="21"/>
      <c r="E88" s="21"/>
      <c r="F88" s="22"/>
      <c r="G88" s="21"/>
      <c r="H88" s="21"/>
      <c r="I88" s="22"/>
      <c r="J88" s="21"/>
      <c r="K88" s="21"/>
      <c r="L88" s="21"/>
      <c r="M88" s="21"/>
      <c r="N88" s="21"/>
      <c r="O88" s="21"/>
    </row>
    <row r="89" spans="1:15" ht="14.45">
      <c r="A89" s="21"/>
      <c r="B89" s="33"/>
      <c r="C89" s="21"/>
      <c r="D89" s="21"/>
      <c r="E89" s="21"/>
      <c r="F89" s="22"/>
      <c r="G89" s="21"/>
      <c r="H89" s="21"/>
      <c r="I89" s="22"/>
      <c r="J89" s="21"/>
      <c r="K89" s="21"/>
      <c r="L89" s="21"/>
      <c r="M89" s="21"/>
      <c r="N89" s="21"/>
      <c r="O89" s="21"/>
    </row>
    <row r="90" spans="1:15" ht="14.45">
      <c r="A90" s="21"/>
      <c r="B90" s="33"/>
      <c r="C90" s="21"/>
      <c r="D90" s="21"/>
      <c r="E90" s="21"/>
      <c r="F90" s="22"/>
      <c r="G90" s="21"/>
      <c r="H90" s="21"/>
      <c r="I90" s="22"/>
      <c r="J90" s="21"/>
      <c r="K90" s="21"/>
      <c r="L90" s="21"/>
      <c r="M90" s="21"/>
      <c r="N90" s="21"/>
      <c r="O90" s="21"/>
    </row>
    <row r="91" spans="1:15" ht="14.45">
      <c r="A91" s="21"/>
      <c r="B91" s="33"/>
      <c r="C91" s="21"/>
      <c r="D91" s="21"/>
      <c r="E91" s="21"/>
      <c r="F91" s="22"/>
      <c r="G91" s="21"/>
      <c r="H91" s="21"/>
      <c r="I91" s="22"/>
      <c r="J91" s="21"/>
      <c r="K91" s="21"/>
      <c r="L91" s="21"/>
      <c r="M91" s="21"/>
      <c r="N91" s="21"/>
      <c r="O91" s="21"/>
    </row>
    <row r="92" spans="1:15" ht="14.45">
      <c r="A92" s="21"/>
      <c r="B92" s="33"/>
      <c r="C92" s="21"/>
      <c r="D92" s="21"/>
      <c r="E92" s="21"/>
      <c r="F92" s="22"/>
      <c r="G92" s="21"/>
      <c r="H92" s="21"/>
      <c r="I92" s="22"/>
      <c r="J92" s="21"/>
      <c r="K92" s="21"/>
      <c r="L92" s="21"/>
      <c r="M92" s="21"/>
      <c r="N92" s="21"/>
      <c r="O92" s="21"/>
    </row>
    <row r="93" spans="1:15" ht="14.45">
      <c r="A93" s="21"/>
      <c r="B93" s="33"/>
      <c r="C93" s="21"/>
      <c r="D93" s="21"/>
      <c r="E93" s="21"/>
      <c r="F93" s="22"/>
      <c r="G93" s="21"/>
      <c r="H93" s="21"/>
      <c r="I93" s="22"/>
      <c r="J93" s="21"/>
      <c r="K93" s="21"/>
      <c r="L93" s="21"/>
      <c r="M93" s="21"/>
      <c r="N93" s="21"/>
      <c r="O93" s="21"/>
    </row>
    <row r="94" spans="1:15" ht="14.45">
      <c r="A94" s="21"/>
      <c r="B94" s="33"/>
      <c r="C94" s="21"/>
      <c r="D94" s="21"/>
      <c r="E94" s="21"/>
      <c r="F94" s="22"/>
      <c r="G94" s="21"/>
      <c r="H94" s="21"/>
      <c r="I94" s="22"/>
      <c r="J94" s="21"/>
      <c r="K94" s="21"/>
      <c r="L94" s="21"/>
      <c r="M94" s="21"/>
      <c r="N94" s="21"/>
      <c r="O94" s="21"/>
    </row>
    <row r="95" spans="1:15" ht="14.45">
      <c r="A95" s="21"/>
      <c r="B95" s="33"/>
      <c r="C95" s="21"/>
      <c r="D95" s="21"/>
      <c r="E95" s="21"/>
      <c r="F95" s="22"/>
      <c r="G95" s="21"/>
      <c r="H95" s="21"/>
      <c r="I95" s="22"/>
      <c r="J95" s="21"/>
      <c r="K95" s="21"/>
      <c r="L95" s="21"/>
      <c r="M95" s="21"/>
      <c r="N95" s="21"/>
      <c r="O95" s="21"/>
    </row>
    <row r="96" spans="1:15" ht="14.45">
      <c r="A96" s="21"/>
      <c r="B96" s="33"/>
      <c r="C96" s="21"/>
      <c r="D96" s="21"/>
      <c r="E96" s="21"/>
      <c r="F96" s="22"/>
      <c r="G96" s="21"/>
      <c r="H96" s="21"/>
      <c r="I96" s="22"/>
      <c r="J96" s="21"/>
      <c r="K96" s="21"/>
      <c r="L96" s="21"/>
      <c r="M96" s="21"/>
      <c r="N96" s="21"/>
      <c r="O96" s="21"/>
    </row>
    <row r="97" spans="1:15" ht="14.45">
      <c r="A97" s="21"/>
      <c r="B97" s="33"/>
      <c r="C97" s="21"/>
      <c r="D97" s="21"/>
      <c r="E97" s="21"/>
      <c r="F97" s="22"/>
      <c r="G97" s="21"/>
      <c r="H97" s="21"/>
      <c r="I97" s="22"/>
      <c r="J97" s="21"/>
      <c r="K97" s="21"/>
      <c r="L97" s="21"/>
      <c r="M97" s="21"/>
      <c r="N97" s="21"/>
      <c r="O97" s="21"/>
    </row>
    <row r="98" spans="1:15" ht="14.45">
      <c r="A98" s="21"/>
      <c r="B98" s="33"/>
      <c r="C98" s="21"/>
      <c r="D98" s="21"/>
      <c r="E98" s="21"/>
      <c r="F98" s="22"/>
      <c r="G98" s="21"/>
      <c r="H98" s="21"/>
      <c r="I98" s="22"/>
      <c r="J98" s="21"/>
      <c r="K98" s="21"/>
      <c r="L98" s="21"/>
      <c r="M98" s="21"/>
      <c r="N98" s="21"/>
      <c r="O98" s="21"/>
    </row>
    <row r="99" spans="1:15" ht="14.45">
      <c r="A99" s="21"/>
      <c r="B99" s="33"/>
      <c r="C99" s="21"/>
      <c r="D99" s="21"/>
      <c r="E99" s="21"/>
      <c r="F99" s="22"/>
      <c r="G99" s="21"/>
      <c r="H99" s="21"/>
      <c r="I99" s="22"/>
      <c r="J99" s="21"/>
      <c r="K99" s="21"/>
      <c r="L99" s="21"/>
      <c r="M99" s="21"/>
      <c r="N99" s="21"/>
      <c r="O99" s="21"/>
    </row>
    <row r="100" spans="1:15" ht="14.45">
      <c r="A100" s="21"/>
      <c r="B100" s="33"/>
      <c r="C100" s="21"/>
      <c r="D100" s="21"/>
      <c r="E100" s="21"/>
      <c r="F100" s="22"/>
      <c r="G100" s="21"/>
      <c r="H100" s="21"/>
      <c r="I100" s="22"/>
      <c r="J100" s="21"/>
      <c r="K100" s="21"/>
      <c r="L100" s="21"/>
      <c r="M100" s="21"/>
      <c r="N100" s="21"/>
      <c r="O100" s="21"/>
    </row>
    <row r="101" spans="1:15" ht="14.45">
      <c r="A101" s="21"/>
      <c r="B101" s="33"/>
      <c r="C101" s="21"/>
      <c r="D101" s="21"/>
      <c r="E101" s="21"/>
      <c r="F101" s="22"/>
      <c r="G101" s="21"/>
      <c r="H101" s="21"/>
      <c r="I101" s="22"/>
      <c r="J101" s="21"/>
      <c r="K101" s="21"/>
      <c r="L101" s="21"/>
      <c r="M101" s="21"/>
      <c r="N101" s="21"/>
      <c r="O101" s="21"/>
    </row>
    <row r="102" spans="1:15" ht="14.45">
      <c r="A102" s="21"/>
      <c r="B102" s="33"/>
      <c r="C102" s="21"/>
      <c r="D102" s="21"/>
      <c r="E102" s="21"/>
      <c r="F102" s="22"/>
      <c r="G102" s="21"/>
      <c r="H102" s="21"/>
      <c r="I102" s="22"/>
      <c r="J102" s="21"/>
      <c r="K102" s="21"/>
      <c r="L102" s="21"/>
      <c r="M102" s="21"/>
      <c r="N102" s="21"/>
      <c r="O102" s="21"/>
    </row>
    <row r="103" spans="1:15" ht="14.45">
      <c r="A103" s="21"/>
      <c r="B103" s="33"/>
      <c r="C103" s="21"/>
      <c r="D103" s="21"/>
      <c r="E103" s="21"/>
      <c r="F103" s="22"/>
      <c r="G103" s="21"/>
      <c r="H103" s="21"/>
      <c r="I103" s="22"/>
      <c r="J103" s="21"/>
      <c r="K103" s="21"/>
      <c r="L103" s="21"/>
      <c r="M103" s="21"/>
      <c r="N103" s="21"/>
      <c r="O103" s="21"/>
    </row>
    <row r="104" spans="1:15" ht="14.45">
      <c r="A104" s="21"/>
      <c r="B104" s="33"/>
      <c r="C104" s="21"/>
      <c r="D104" s="21"/>
      <c r="E104" s="21"/>
      <c r="F104" s="22"/>
      <c r="G104" s="21"/>
      <c r="H104" s="21"/>
      <c r="I104" s="22"/>
      <c r="J104" s="21"/>
      <c r="K104" s="21"/>
      <c r="L104" s="21"/>
      <c r="M104" s="21"/>
      <c r="N104" s="21"/>
      <c r="O104" s="21"/>
    </row>
    <row r="105" spans="1:15" ht="14.45">
      <c r="A105" s="21"/>
      <c r="B105" s="33"/>
      <c r="C105" s="21"/>
      <c r="D105" s="21"/>
      <c r="E105" s="21"/>
      <c r="F105" s="22"/>
      <c r="G105" s="21"/>
      <c r="H105" s="21"/>
      <c r="I105" s="22"/>
      <c r="J105" s="21"/>
      <c r="K105" s="21"/>
      <c r="L105" s="21"/>
      <c r="M105" s="21"/>
      <c r="N105" s="21"/>
      <c r="O105" s="21"/>
    </row>
    <row r="106" spans="1:15" ht="14.45">
      <c r="A106" s="21"/>
      <c r="B106" s="33"/>
      <c r="C106" s="21"/>
      <c r="D106" s="21"/>
      <c r="E106" s="21"/>
      <c r="F106" s="22"/>
      <c r="G106" s="21"/>
      <c r="H106" s="21"/>
      <c r="I106" s="22"/>
      <c r="J106" s="21"/>
      <c r="K106" s="21"/>
      <c r="L106" s="21"/>
      <c r="M106" s="21"/>
      <c r="N106" s="21"/>
      <c r="O106" s="21"/>
    </row>
    <row r="107" spans="1:15" ht="14.45">
      <c r="A107" s="21"/>
      <c r="B107" s="33"/>
      <c r="C107" s="21"/>
      <c r="D107" s="21"/>
      <c r="E107" s="21"/>
      <c r="F107" s="22"/>
      <c r="G107" s="21"/>
      <c r="H107" s="21"/>
      <c r="I107" s="22"/>
      <c r="J107" s="21"/>
      <c r="K107" s="21"/>
      <c r="L107" s="21"/>
      <c r="M107" s="21"/>
      <c r="N107" s="21"/>
      <c r="O107" s="21"/>
    </row>
    <row r="108" spans="1:15" ht="14.45">
      <c r="A108" s="21"/>
      <c r="B108" s="33"/>
      <c r="C108" s="21"/>
      <c r="D108" s="21"/>
      <c r="E108" s="21"/>
      <c r="F108" s="22"/>
      <c r="G108" s="21"/>
      <c r="H108" s="21"/>
      <c r="I108" s="22"/>
      <c r="J108" s="21"/>
      <c r="K108" s="21"/>
      <c r="L108" s="21"/>
      <c r="M108" s="21"/>
      <c r="N108" s="21"/>
      <c r="O108" s="21"/>
    </row>
    <row r="109" spans="1:15" ht="14.45">
      <c r="A109" s="21"/>
      <c r="B109" s="33"/>
      <c r="C109" s="21"/>
      <c r="D109" s="21"/>
      <c r="E109" s="21"/>
      <c r="F109" s="22"/>
      <c r="G109" s="21"/>
      <c r="H109" s="21"/>
      <c r="I109" s="22"/>
      <c r="J109" s="21"/>
      <c r="K109" s="21"/>
      <c r="L109" s="21"/>
      <c r="M109" s="21"/>
      <c r="N109" s="21"/>
      <c r="O109" s="21"/>
    </row>
    <row r="110" spans="1:15" ht="14.45">
      <c r="A110" s="21"/>
      <c r="B110" s="33"/>
      <c r="C110" s="21"/>
      <c r="D110" s="21"/>
      <c r="E110" s="21"/>
      <c r="F110" s="22"/>
      <c r="G110" s="21"/>
      <c r="H110" s="21"/>
      <c r="I110" s="22"/>
      <c r="J110" s="21"/>
      <c r="K110" s="21"/>
      <c r="L110" s="21"/>
      <c r="M110" s="21"/>
      <c r="N110" s="21"/>
      <c r="O110" s="21"/>
    </row>
    <row r="111" spans="1:15" ht="14.45">
      <c r="A111" s="21"/>
      <c r="B111" s="33"/>
      <c r="C111" s="21"/>
      <c r="D111" s="21"/>
      <c r="E111" s="21"/>
      <c r="F111" s="22"/>
      <c r="G111" s="21"/>
      <c r="H111" s="21"/>
      <c r="I111" s="22"/>
      <c r="J111" s="21"/>
      <c r="K111" s="21"/>
      <c r="L111" s="21"/>
      <c r="M111" s="21"/>
      <c r="N111" s="21"/>
      <c r="O111" s="21"/>
    </row>
    <row r="112" spans="1:15" ht="14.45">
      <c r="A112" s="21"/>
      <c r="B112" s="33"/>
      <c r="C112" s="21"/>
      <c r="D112" s="21"/>
      <c r="E112" s="21"/>
      <c r="F112" s="22"/>
      <c r="G112" s="21"/>
      <c r="H112" s="21"/>
      <c r="I112" s="22"/>
      <c r="J112" s="21"/>
      <c r="K112" s="21"/>
      <c r="L112" s="21"/>
      <c r="M112" s="21"/>
      <c r="N112" s="21"/>
      <c r="O112" s="21"/>
    </row>
    <row r="113" spans="1:15" ht="14.45">
      <c r="A113" s="21"/>
      <c r="B113" s="33"/>
      <c r="C113" s="21"/>
      <c r="D113" s="21"/>
      <c r="E113" s="21"/>
      <c r="F113" s="22"/>
      <c r="G113" s="21"/>
      <c r="H113" s="21"/>
      <c r="I113" s="22"/>
      <c r="J113" s="21"/>
      <c r="K113" s="21"/>
      <c r="L113" s="21"/>
      <c r="M113" s="21"/>
      <c r="N113" s="21"/>
      <c r="O113" s="21"/>
    </row>
    <row r="114" spans="1:15" ht="14.45">
      <c r="A114" s="21"/>
      <c r="B114" s="33"/>
      <c r="C114" s="21"/>
      <c r="D114" s="21"/>
      <c r="E114" s="21"/>
      <c r="F114" s="22"/>
      <c r="G114" s="21"/>
      <c r="H114" s="21"/>
      <c r="I114" s="22"/>
      <c r="J114" s="21"/>
      <c r="K114" s="21"/>
      <c r="L114" s="21"/>
      <c r="M114" s="21"/>
      <c r="N114" s="21"/>
      <c r="O114" s="21"/>
    </row>
    <row r="115" spans="1:15" ht="14.45">
      <c r="A115" s="21"/>
      <c r="B115" s="33"/>
      <c r="C115" s="21"/>
      <c r="D115" s="21"/>
      <c r="E115" s="21"/>
      <c r="F115" s="22"/>
      <c r="G115" s="21"/>
      <c r="H115" s="21"/>
      <c r="I115" s="22"/>
      <c r="J115" s="21"/>
      <c r="K115" s="21"/>
      <c r="L115" s="21"/>
      <c r="M115" s="21"/>
      <c r="N115" s="21"/>
      <c r="O115" s="21"/>
    </row>
    <row r="116" spans="1:15" ht="14.45">
      <c r="A116" s="21"/>
      <c r="B116" s="33"/>
      <c r="C116" s="21"/>
      <c r="D116" s="21"/>
      <c r="E116" s="21"/>
      <c r="F116" s="22"/>
      <c r="G116" s="21"/>
      <c r="H116" s="21"/>
      <c r="I116" s="22"/>
      <c r="J116" s="21"/>
      <c r="K116" s="21"/>
      <c r="L116" s="21"/>
      <c r="M116" s="21"/>
      <c r="N116" s="21"/>
      <c r="O116" s="21"/>
    </row>
    <row r="117" spans="1:15" ht="14.45">
      <c r="A117" s="21"/>
      <c r="B117" s="33"/>
      <c r="C117" s="21"/>
      <c r="D117" s="21"/>
      <c r="E117" s="21"/>
      <c r="F117" s="22"/>
      <c r="G117" s="21"/>
      <c r="H117" s="21"/>
      <c r="I117" s="22"/>
      <c r="J117" s="21"/>
      <c r="K117" s="21"/>
      <c r="L117" s="21"/>
      <c r="M117" s="21"/>
      <c r="N117" s="21"/>
      <c r="O117" s="21"/>
    </row>
    <row r="118" spans="1:15" ht="14.45">
      <c r="A118" s="21"/>
      <c r="B118" s="33"/>
      <c r="C118" s="21"/>
      <c r="D118" s="21"/>
      <c r="E118" s="21"/>
      <c r="F118" s="22"/>
      <c r="G118" s="21"/>
      <c r="H118" s="21"/>
      <c r="I118" s="22"/>
      <c r="J118" s="21"/>
      <c r="K118" s="21"/>
      <c r="L118" s="21"/>
      <c r="M118" s="21"/>
      <c r="N118" s="21"/>
      <c r="O118" s="21"/>
    </row>
    <row r="119" spans="1:15" ht="14.45">
      <c r="A119" s="21"/>
      <c r="B119" s="33"/>
      <c r="C119" s="21"/>
      <c r="D119" s="21"/>
      <c r="E119" s="21"/>
      <c r="F119" s="22"/>
      <c r="G119" s="21"/>
      <c r="H119" s="21"/>
      <c r="I119" s="22"/>
      <c r="J119" s="21"/>
      <c r="K119" s="21"/>
      <c r="L119" s="21"/>
      <c r="M119" s="21"/>
      <c r="N119" s="21"/>
      <c r="O119" s="21"/>
    </row>
    <row r="120" spans="1:15" ht="14.45">
      <c r="A120" s="21"/>
      <c r="B120" s="33"/>
      <c r="C120" s="21"/>
      <c r="D120" s="21"/>
      <c r="E120" s="21"/>
      <c r="F120" s="22"/>
      <c r="G120" s="21"/>
      <c r="H120" s="21"/>
      <c r="I120" s="22"/>
      <c r="J120" s="21"/>
      <c r="K120" s="21"/>
      <c r="L120" s="21"/>
      <c r="M120" s="21"/>
      <c r="N120" s="21"/>
      <c r="O120" s="21"/>
    </row>
    <row r="121" spans="1:15" ht="14.45">
      <c r="A121" s="21"/>
      <c r="B121" s="33"/>
      <c r="C121" s="21"/>
      <c r="D121" s="21"/>
      <c r="E121" s="21"/>
      <c r="F121" s="22"/>
      <c r="G121" s="21"/>
      <c r="H121" s="21"/>
      <c r="I121" s="22"/>
      <c r="J121" s="21"/>
      <c r="K121" s="21"/>
      <c r="L121" s="21"/>
      <c r="M121" s="21"/>
      <c r="N121" s="21"/>
      <c r="O121" s="21"/>
    </row>
    <row r="122" spans="1:15" ht="14.45">
      <c r="A122" s="21"/>
      <c r="B122" s="33"/>
      <c r="C122" s="21"/>
      <c r="D122" s="21"/>
      <c r="E122" s="21"/>
      <c r="F122" s="22"/>
      <c r="G122" s="21"/>
      <c r="H122" s="21"/>
      <c r="I122" s="22"/>
      <c r="J122" s="21"/>
      <c r="K122" s="21"/>
      <c r="L122" s="21"/>
      <c r="M122" s="21"/>
      <c r="N122" s="21"/>
      <c r="O122" s="21"/>
    </row>
    <row r="123" spans="1:15" ht="14.45">
      <c r="A123" s="21"/>
      <c r="B123" s="33"/>
      <c r="C123" s="21"/>
      <c r="D123" s="21"/>
      <c r="E123" s="21"/>
      <c r="F123" s="22"/>
      <c r="G123" s="21"/>
      <c r="H123" s="21"/>
      <c r="I123" s="22"/>
      <c r="J123" s="21"/>
      <c r="K123" s="21"/>
      <c r="L123" s="21"/>
      <c r="M123" s="21"/>
      <c r="N123" s="21"/>
      <c r="O123" s="21"/>
    </row>
    <row r="124" spans="1:15" ht="14.45">
      <c r="A124" s="21"/>
      <c r="B124" s="33"/>
      <c r="C124" s="21"/>
      <c r="D124" s="21"/>
      <c r="E124" s="21"/>
      <c r="F124" s="22"/>
      <c r="G124" s="21"/>
      <c r="H124" s="21"/>
      <c r="I124" s="22"/>
      <c r="J124" s="21"/>
      <c r="K124" s="21"/>
      <c r="L124" s="21"/>
      <c r="M124" s="21"/>
      <c r="N124" s="21"/>
      <c r="O124" s="21"/>
    </row>
    <row r="125" spans="1:15" ht="14.45">
      <c r="A125" s="21"/>
      <c r="B125" s="33"/>
      <c r="C125" s="21"/>
      <c r="D125" s="21"/>
      <c r="E125" s="21"/>
      <c r="F125" s="22"/>
      <c r="G125" s="21"/>
      <c r="H125" s="21"/>
      <c r="I125" s="22"/>
      <c r="J125" s="21"/>
      <c r="K125" s="21"/>
      <c r="L125" s="21"/>
      <c r="M125" s="21"/>
      <c r="N125" s="21"/>
      <c r="O125" s="21"/>
    </row>
    <row r="126" spans="1:15" ht="14.45">
      <c r="A126" s="21"/>
      <c r="B126" s="33"/>
      <c r="C126" s="21"/>
      <c r="D126" s="21"/>
      <c r="E126" s="21"/>
      <c r="F126" s="22"/>
      <c r="G126" s="21"/>
      <c r="H126" s="21"/>
      <c r="I126" s="22"/>
      <c r="J126" s="21"/>
      <c r="K126" s="21"/>
      <c r="L126" s="21"/>
      <c r="M126" s="21"/>
      <c r="N126" s="21"/>
      <c r="O126" s="21"/>
    </row>
    <row r="127" spans="1:15" ht="14.45">
      <c r="A127" s="21"/>
      <c r="B127" s="33"/>
      <c r="C127" s="21"/>
      <c r="D127" s="21"/>
      <c r="E127" s="21"/>
      <c r="F127" s="22"/>
      <c r="G127" s="21"/>
      <c r="H127" s="21"/>
      <c r="I127" s="22"/>
      <c r="J127" s="21"/>
      <c r="K127" s="21"/>
      <c r="L127" s="21"/>
      <c r="M127" s="21"/>
      <c r="N127" s="21"/>
      <c r="O127" s="21"/>
    </row>
    <row r="128" spans="1:15" ht="14.45">
      <c r="A128" s="21"/>
      <c r="B128" s="33"/>
      <c r="C128" s="21"/>
      <c r="D128" s="21"/>
      <c r="E128" s="21"/>
      <c r="F128" s="22"/>
      <c r="G128" s="21"/>
      <c r="H128" s="21"/>
      <c r="I128" s="22"/>
      <c r="J128" s="21"/>
      <c r="K128" s="21"/>
      <c r="L128" s="21"/>
      <c r="M128" s="21"/>
      <c r="N128" s="21"/>
      <c r="O128" s="21"/>
    </row>
    <row r="129" spans="1:15" ht="14.45">
      <c r="A129" s="21"/>
      <c r="B129" s="33"/>
      <c r="C129" s="21"/>
      <c r="D129" s="21"/>
      <c r="E129" s="21"/>
      <c r="F129" s="22"/>
      <c r="G129" s="21"/>
      <c r="H129" s="21"/>
      <c r="I129" s="22"/>
      <c r="J129" s="21"/>
      <c r="K129" s="21"/>
      <c r="L129" s="21"/>
      <c r="M129" s="21"/>
      <c r="N129" s="21"/>
      <c r="O129" s="21"/>
    </row>
    <row r="130" spans="1:15" ht="14.45">
      <c r="A130" s="21"/>
      <c r="B130" s="33"/>
      <c r="C130" s="21"/>
      <c r="D130" s="21"/>
      <c r="E130" s="21"/>
      <c r="F130" s="22"/>
      <c r="G130" s="21"/>
      <c r="H130" s="21"/>
      <c r="I130" s="22"/>
      <c r="J130" s="21"/>
      <c r="K130" s="21"/>
      <c r="L130" s="21"/>
      <c r="M130" s="21"/>
      <c r="N130" s="21"/>
      <c r="O130" s="21"/>
    </row>
    <row r="131" spans="1:15" ht="14.45">
      <c r="A131" s="21"/>
      <c r="B131" s="33"/>
      <c r="C131" s="21"/>
      <c r="D131" s="21"/>
      <c r="E131" s="21"/>
      <c r="F131" s="22"/>
      <c r="G131" s="21"/>
      <c r="H131" s="21"/>
      <c r="I131" s="22"/>
      <c r="J131" s="21"/>
      <c r="K131" s="21"/>
      <c r="L131" s="21"/>
      <c r="M131" s="21"/>
      <c r="N131" s="21"/>
      <c r="O131" s="21"/>
    </row>
    <row r="132" spans="1:15" ht="14.45">
      <c r="A132" s="21"/>
      <c r="B132" s="33"/>
      <c r="C132" s="21"/>
      <c r="D132" s="21"/>
      <c r="E132" s="21"/>
      <c r="F132" s="22"/>
      <c r="G132" s="21"/>
      <c r="H132" s="21"/>
      <c r="I132" s="22"/>
      <c r="J132" s="21"/>
      <c r="K132" s="21"/>
      <c r="L132" s="21"/>
      <c r="M132" s="21"/>
      <c r="N132" s="21"/>
      <c r="O132" s="21"/>
    </row>
    <row r="133" spans="1:15" ht="14.45">
      <c r="A133" s="21"/>
      <c r="B133" s="33"/>
      <c r="C133" s="21"/>
      <c r="D133" s="21"/>
      <c r="E133" s="21"/>
      <c r="F133" s="22"/>
      <c r="G133" s="21"/>
      <c r="H133" s="21"/>
      <c r="I133" s="22"/>
      <c r="J133" s="21"/>
      <c r="K133" s="21"/>
      <c r="L133" s="21"/>
      <c r="M133" s="21"/>
      <c r="N133" s="21"/>
      <c r="O133" s="21"/>
    </row>
    <row r="134" spans="1:15" ht="14.45">
      <c r="A134" s="21"/>
      <c r="B134" s="33"/>
      <c r="C134" s="21"/>
      <c r="D134" s="21"/>
      <c r="E134" s="21"/>
      <c r="F134" s="22"/>
      <c r="G134" s="21"/>
      <c r="H134" s="21"/>
      <c r="I134" s="22"/>
      <c r="J134" s="21"/>
      <c r="K134" s="21"/>
      <c r="L134" s="21"/>
      <c r="M134" s="21"/>
      <c r="N134" s="21"/>
      <c r="O134" s="21"/>
    </row>
    <row r="135" spans="1:15" ht="14.45">
      <c r="A135" s="21"/>
      <c r="B135" s="33"/>
      <c r="C135" s="21"/>
      <c r="D135" s="21"/>
      <c r="E135" s="21"/>
      <c r="F135" s="22"/>
      <c r="G135" s="21"/>
      <c r="H135" s="21"/>
      <c r="I135" s="22"/>
      <c r="J135" s="21"/>
      <c r="K135" s="21"/>
      <c r="L135" s="21"/>
      <c r="M135" s="21"/>
      <c r="N135" s="21"/>
      <c r="O135" s="21"/>
    </row>
    <row r="136" spans="1:15" ht="14.45">
      <c r="A136" s="21"/>
      <c r="B136" s="33"/>
      <c r="C136" s="21"/>
      <c r="D136" s="21"/>
      <c r="E136" s="21"/>
      <c r="F136" s="22"/>
      <c r="G136" s="21"/>
      <c r="H136" s="21"/>
      <c r="I136" s="22"/>
      <c r="J136" s="21"/>
      <c r="K136" s="21"/>
      <c r="L136" s="21"/>
      <c r="M136" s="21"/>
      <c r="N136" s="21"/>
      <c r="O136" s="21"/>
    </row>
    <row r="137" spans="1:15" ht="14.45">
      <c r="A137" s="21"/>
      <c r="B137" s="33"/>
      <c r="C137" s="21"/>
      <c r="D137" s="21"/>
      <c r="E137" s="21"/>
      <c r="F137" s="22"/>
      <c r="G137" s="21"/>
      <c r="H137" s="21"/>
      <c r="I137" s="22"/>
      <c r="J137" s="21"/>
      <c r="K137" s="21"/>
      <c r="L137" s="21"/>
      <c r="M137" s="21"/>
      <c r="N137" s="21"/>
      <c r="O137" s="21"/>
    </row>
    <row r="138" spans="1:15" ht="14.45">
      <c r="A138" s="21"/>
      <c r="B138" s="33"/>
      <c r="C138" s="21"/>
      <c r="D138" s="21"/>
      <c r="E138" s="21"/>
      <c r="F138" s="22"/>
      <c r="G138" s="21"/>
      <c r="H138" s="21"/>
      <c r="I138" s="22"/>
      <c r="J138" s="21"/>
      <c r="K138" s="21"/>
      <c r="L138" s="21"/>
      <c r="M138" s="21"/>
      <c r="N138" s="21"/>
      <c r="O138" s="21"/>
    </row>
    <row r="139" spans="1:15" ht="14.45">
      <c r="A139" s="21"/>
      <c r="B139" s="33"/>
      <c r="C139" s="21"/>
      <c r="D139" s="21"/>
      <c r="E139" s="21"/>
      <c r="F139" s="22"/>
      <c r="G139" s="21"/>
      <c r="H139" s="21"/>
      <c r="I139" s="22"/>
      <c r="J139" s="21"/>
      <c r="K139" s="21"/>
      <c r="L139" s="21"/>
      <c r="M139" s="21"/>
      <c r="N139" s="21"/>
      <c r="O139" s="21"/>
    </row>
    <row r="140" spans="1:15" ht="14.45">
      <c r="A140" s="21"/>
      <c r="B140" s="33"/>
      <c r="C140" s="21"/>
      <c r="D140" s="21"/>
      <c r="E140" s="21"/>
      <c r="F140" s="22"/>
      <c r="G140" s="21"/>
      <c r="H140" s="21"/>
      <c r="I140" s="22"/>
      <c r="J140" s="21"/>
      <c r="K140" s="21"/>
      <c r="L140" s="21"/>
      <c r="M140" s="21"/>
      <c r="N140" s="21"/>
      <c r="O140" s="21"/>
    </row>
    <row r="141" spans="1:15" ht="14.45">
      <c r="A141" s="21"/>
      <c r="B141" s="33"/>
      <c r="C141" s="21"/>
      <c r="D141" s="21"/>
      <c r="E141" s="21"/>
      <c r="F141" s="22"/>
      <c r="G141" s="21"/>
      <c r="H141" s="21"/>
      <c r="I141" s="22"/>
      <c r="J141" s="21"/>
      <c r="K141" s="21"/>
      <c r="L141" s="21"/>
      <c r="M141" s="21"/>
      <c r="N141" s="21"/>
      <c r="O141" s="21"/>
    </row>
    <row r="142" spans="1:15" ht="14.45">
      <c r="A142" s="21"/>
      <c r="B142" s="33"/>
      <c r="C142" s="21"/>
      <c r="D142" s="21"/>
      <c r="E142" s="21"/>
      <c r="F142" s="22"/>
      <c r="G142" s="21"/>
      <c r="H142" s="21"/>
      <c r="I142" s="22"/>
      <c r="J142" s="21"/>
      <c r="K142" s="21"/>
      <c r="L142" s="21"/>
      <c r="M142" s="21"/>
      <c r="N142" s="21"/>
      <c r="O142" s="21"/>
    </row>
    <row r="143" spans="1:15" ht="14.45">
      <c r="A143" s="21"/>
      <c r="B143" s="33"/>
      <c r="C143" s="21"/>
      <c r="D143" s="21"/>
      <c r="E143" s="21"/>
      <c r="F143" s="22"/>
      <c r="G143" s="21"/>
      <c r="H143" s="21"/>
      <c r="I143" s="22"/>
      <c r="J143" s="21"/>
      <c r="K143" s="21"/>
      <c r="L143" s="21"/>
      <c r="M143" s="21"/>
      <c r="N143" s="21"/>
      <c r="O143" s="21"/>
    </row>
    <row r="144" spans="1:15" ht="14.45">
      <c r="A144" s="21"/>
      <c r="B144" s="33"/>
      <c r="C144" s="21"/>
      <c r="D144" s="21"/>
      <c r="E144" s="21"/>
      <c r="F144" s="22"/>
      <c r="G144" s="21"/>
      <c r="H144" s="21"/>
      <c r="I144" s="22"/>
      <c r="J144" s="21"/>
      <c r="K144" s="21"/>
      <c r="L144" s="21"/>
      <c r="M144" s="21"/>
      <c r="N144" s="21"/>
      <c r="O144" s="21"/>
    </row>
    <row r="145" spans="1:15" ht="14.45">
      <c r="A145" s="21"/>
      <c r="B145" s="33"/>
      <c r="C145" s="21"/>
      <c r="D145" s="21"/>
      <c r="E145" s="21"/>
      <c r="F145" s="22"/>
      <c r="G145" s="21"/>
      <c r="H145" s="21"/>
      <c r="I145" s="22"/>
      <c r="J145" s="21"/>
      <c r="K145" s="21"/>
      <c r="L145" s="21"/>
      <c r="M145" s="21"/>
      <c r="N145" s="21"/>
      <c r="O145" s="21"/>
    </row>
    <row r="146" spans="1:15" ht="14.45">
      <c r="A146" s="21"/>
      <c r="B146" s="33"/>
      <c r="C146" s="21"/>
      <c r="D146" s="21"/>
      <c r="E146" s="21"/>
      <c r="F146" s="22"/>
      <c r="G146" s="21"/>
      <c r="H146" s="21"/>
      <c r="I146" s="22"/>
      <c r="J146" s="21"/>
      <c r="K146" s="21"/>
      <c r="L146" s="21"/>
      <c r="M146" s="21"/>
      <c r="N146" s="21"/>
      <c r="O146" s="21"/>
    </row>
    <row r="147" spans="1:15" ht="14.45">
      <c r="A147" s="21"/>
      <c r="B147" s="33"/>
      <c r="C147" s="21"/>
      <c r="D147" s="21"/>
      <c r="E147" s="21"/>
      <c r="F147" s="22"/>
      <c r="G147" s="21"/>
      <c r="H147" s="21"/>
      <c r="I147" s="22"/>
      <c r="J147" s="21"/>
      <c r="K147" s="21"/>
      <c r="L147" s="21"/>
      <c r="M147" s="21"/>
      <c r="N147" s="21"/>
      <c r="O147" s="21"/>
    </row>
    <row r="148" spans="1:15" ht="14.45">
      <c r="A148" s="21"/>
      <c r="B148" s="33"/>
      <c r="C148" s="21"/>
      <c r="D148" s="21"/>
      <c r="E148" s="21"/>
      <c r="F148" s="22"/>
      <c r="G148" s="21"/>
      <c r="H148" s="21"/>
      <c r="I148" s="22"/>
      <c r="J148" s="21"/>
      <c r="K148" s="21"/>
      <c r="L148" s="21"/>
      <c r="M148" s="21"/>
      <c r="N148" s="21"/>
      <c r="O148" s="21"/>
    </row>
    <row r="149" spans="1:15" ht="14.45">
      <c r="A149" s="21"/>
      <c r="B149" s="33"/>
      <c r="C149" s="21"/>
      <c r="D149" s="21"/>
      <c r="E149" s="21"/>
      <c r="F149" s="22"/>
      <c r="G149" s="21"/>
      <c r="H149" s="21"/>
      <c r="I149" s="22"/>
      <c r="J149" s="21"/>
      <c r="K149" s="21"/>
      <c r="L149" s="21"/>
      <c r="M149" s="21"/>
      <c r="N149" s="21"/>
      <c r="O149" s="21"/>
    </row>
    <row r="150" spans="1:15" ht="14.45">
      <c r="A150" s="21"/>
      <c r="B150" s="33"/>
      <c r="C150" s="21"/>
      <c r="D150" s="21"/>
      <c r="E150" s="21"/>
      <c r="F150" s="22"/>
      <c r="G150" s="21"/>
      <c r="H150" s="21"/>
      <c r="I150" s="22"/>
      <c r="J150" s="21"/>
      <c r="K150" s="21"/>
      <c r="L150" s="21"/>
      <c r="M150" s="21"/>
      <c r="N150" s="21"/>
      <c r="O150" s="21"/>
    </row>
    <row r="151" spans="1:15" ht="14.45">
      <c r="A151" s="21"/>
      <c r="B151" s="33"/>
      <c r="C151" s="21"/>
      <c r="D151" s="21"/>
      <c r="E151" s="21"/>
      <c r="F151" s="22"/>
      <c r="G151" s="21"/>
      <c r="H151" s="21"/>
      <c r="I151" s="22"/>
      <c r="J151" s="21"/>
      <c r="K151" s="21"/>
      <c r="L151" s="21"/>
      <c r="M151" s="21"/>
      <c r="N151" s="21"/>
      <c r="O151" s="21"/>
    </row>
    <row r="152" spans="1:15" ht="14.45">
      <c r="A152" s="21"/>
      <c r="B152" s="33"/>
      <c r="C152" s="21"/>
      <c r="D152" s="21"/>
      <c r="E152" s="21"/>
      <c r="F152" s="22"/>
      <c r="G152" s="21"/>
      <c r="H152" s="21"/>
      <c r="I152" s="22"/>
      <c r="J152" s="21"/>
      <c r="K152" s="21"/>
      <c r="L152" s="21"/>
      <c r="M152" s="21"/>
      <c r="N152" s="21"/>
      <c r="O152" s="21"/>
    </row>
    <row r="153" spans="1:15" ht="14.45">
      <c r="A153" s="21"/>
      <c r="B153" s="33"/>
      <c r="C153" s="21"/>
      <c r="D153" s="21"/>
      <c r="E153" s="21"/>
      <c r="F153" s="22"/>
      <c r="G153" s="21"/>
      <c r="H153" s="21"/>
      <c r="I153" s="22"/>
      <c r="J153" s="21"/>
      <c r="K153" s="21"/>
      <c r="L153" s="21"/>
      <c r="M153" s="21"/>
      <c r="N153" s="21"/>
      <c r="O153" s="21"/>
    </row>
    <row r="154" spans="1:15" ht="14.45">
      <c r="A154" s="21"/>
      <c r="B154" s="33"/>
      <c r="C154" s="21"/>
      <c r="D154" s="21"/>
      <c r="E154" s="21"/>
      <c r="F154" s="22"/>
      <c r="G154" s="21"/>
      <c r="H154" s="21"/>
      <c r="I154" s="22"/>
      <c r="J154" s="21"/>
      <c r="K154" s="21"/>
      <c r="L154" s="21"/>
      <c r="M154" s="21"/>
      <c r="N154" s="21"/>
      <c r="O154" s="21"/>
    </row>
    <row r="155" spans="1:15" ht="14.45">
      <c r="A155" s="21"/>
      <c r="B155" s="33"/>
      <c r="C155" s="21"/>
      <c r="D155" s="21"/>
      <c r="E155" s="21"/>
      <c r="F155" s="22"/>
      <c r="G155" s="21"/>
      <c r="H155" s="21"/>
      <c r="I155" s="22"/>
      <c r="J155" s="21"/>
      <c r="K155" s="21"/>
      <c r="L155" s="21"/>
      <c r="M155" s="21"/>
      <c r="N155" s="21"/>
      <c r="O155" s="21"/>
    </row>
    <row r="156" spans="1:15" ht="14.45">
      <c r="A156" s="21"/>
      <c r="B156" s="33"/>
      <c r="C156" s="21"/>
      <c r="D156" s="21"/>
      <c r="E156" s="21"/>
      <c r="F156" s="22"/>
      <c r="G156" s="21"/>
      <c r="H156" s="21"/>
      <c r="I156" s="22"/>
      <c r="J156" s="21"/>
      <c r="K156" s="21"/>
      <c r="L156" s="21"/>
      <c r="M156" s="21"/>
      <c r="N156" s="21"/>
      <c r="O156" s="21"/>
    </row>
    <row r="157" spans="1:15" ht="14.45">
      <c r="A157" s="21"/>
      <c r="B157" s="33"/>
      <c r="C157" s="21"/>
      <c r="D157" s="21"/>
      <c r="E157" s="21"/>
      <c r="F157" s="22"/>
      <c r="G157" s="21"/>
      <c r="H157" s="21"/>
      <c r="I157" s="22"/>
      <c r="J157" s="21"/>
      <c r="K157" s="21"/>
      <c r="L157" s="21"/>
      <c r="M157" s="21"/>
      <c r="N157" s="21"/>
      <c r="O157" s="21"/>
    </row>
    <row r="158" spans="1:15" ht="14.45">
      <c r="A158" s="21"/>
      <c r="B158" s="33"/>
      <c r="C158" s="21"/>
      <c r="D158" s="21"/>
      <c r="E158" s="21"/>
      <c r="F158" s="22"/>
      <c r="G158" s="21"/>
      <c r="H158" s="21"/>
      <c r="I158" s="22"/>
      <c r="J158" s="21"/>
      <c r="K158" s="21"/>
      <c r="L158" s="21"/>
      <c r="M158" s="21"/>
      <c r="N158" s="21"/>
      <c r="O158" s="21"/>
    </row>
    <row r="159" spans="1:15" ht="14.45">
      <c r="A159" s="21"/>
      <c r="B159" s="33"/>
      <c r="C159" s="21"/>
      <c r="D159" s="21"/>
      <c r="E159" s="21"/>
      <c r="F159" s="22"/>
      <c r="G159" s="21"/>
      <c r="H159" s="21"/>
      <c r="I159" s="22"/>
      <c r="J159" s="21"/>
      <c r="K159" s="21"/>
      <c r="L159" s="21"/>
      <c r="M159" s="21"/>
      <c r="N159" s="21"/>
      <c r="O159" s="21"/>
    </row>
    <row r="160" spans="1:15" ht="14.45">
      <c r="A160" s="21"/>
      <c r="B160" s="33"/>
      <c r="C160" s="21"/>
      <c r="D160" s="21"/>
      <c r="E160" s="21"/>
      <c r="F160" s="22"/>
      <c r="G160" s="21"/>
      <c r="H160" s="21"/>
      <c r="I160" s="22"/>
      <c r="J160" s="21"/>
      <c r="K160" s="21"/>
      <c r="L160" s="21"/>
      <c r="M160" s="21"/>
      <c r="N160" s="21"/>
      <c r="O160" s="21"/>
    </row>
    <row r="161" spans="1:15" ht="14.45">
      <c r="A161" s="21"/>
      <c r="B161" s="33"/>
      <c r="C161" s="21"/>
      <c r="D161" s="21"/>
      <c r="E161" s="21"/>
      <c r="F161" s="22"/>
      <c r="G161" s="21"/>
      <c r="H161" s="21"/>
      <c r="I161" s="22"/>
      <c r="J161" s="21"/>
      <c r="K161" s="21"/>
      <c r="L161" s="21"/>
      <c r="M161" s="21"/>
      <c r="N161" s="21"/>
      <c r="O161" s="21"/>
    </row>
    <row r="162" spans="1:15" ht="14.45">
      <c r="A162" s="21"/>
      <c r="B162" s="33"/>
      <c r="C162" s="21"/>
      <c r="D162" s="21"/>
      <c r="E162" s="21"/>
      <c r="F162" s="22"/>
      <c r="G162" s="21"/>
      <c r="H162" s="21"/>
      <c r="I162" s="22"/>
      <c r="J162" s="21"/>
      <c r="K162" s="21"/>
      <c r="L162" s="21"/>
      <c r="M162" s="21"/>
      <c r="N162" s="21"/>
      <c r="O162" s="21"/>
    </row>
    <row r="163" spans="1:15" ht="14.45">
      <c r="A163" s="21"/>
      <c r="B163" s="33"/>
      <c r="C163" s="21"/>
      <c r="D163" s="21"/>
      <c r="E163" s="21"/>
      <c r="F163" s="22"/>
      <c r="G163" s="21"/>
      <c r="H163" s="21"/>
      <c r="I163" s="22"/>
      <c r="J163" s="21"/>
      <c r="K163" s="21"/>
      <c r="L163" s="21"/>
      <c r="M163" s="21"/>
      <c r="N163" s="21"/>
      <c r="O163" s="21"/>
    </row>
    <row r="164" spans="1:15" ht="14.45">
      <c r="A164" s="21"/>
      <c r="B164" s="33"/>
      <c r="C164" s="21"/>
      <c r="D164" s="21"/>
      <c r="E164" s="21"/>
      <c r="F164" s="22"/>
      <c r="G164" s="21"/>
      <c r="H164" s="21"/>
      <c r="I164" s="22"/>
      <c r="J164" s="21"/>
      <c r="K164" s="21"/>
      <c r="L164" s="21"/>
      <c r="M164" s="21"/>
      <c r="N164" s="21"/>
      <c r="O164" s="21"/>
    </row>
    <row r="165" spans="1:15" ht="14.45">
      <c r="A165" s="21"/>
      <c r="B165" s="33"/>
      <c r="C165" s="21"/>
      <c r="D165" s="21"/>
      <c r="E165" s="21"/>
      <c r="F165" s="22"/>
      <c r="G165" s="21"/>
      <c r="H165" s="21"/>
      <c r="I165" s="22"/>
      <c r="J165" s="21"/>
      <c r="K165" s="21"/>
      <c r="L165" s="21"/>
      <c r="M165" s="21"/>
      <c r="N165" s="21"/>
      <c r="O165" s="21"/>
    </row>
    <row r="166" spans="1:15" ht="14.45">
      <c r="A166" s="21"/>
      <c r="B166" s="33"/>
      <c r="C166" s="21"/>
      <c r="D166" s="21"/>
      <c r="E166" s="21"/>
      <c r="F166" s="22"/>
      <c r="G166" s="21"/>
      <c r="H166" s="21"/>
      <c r="I166" s="22"/>
      <c r="J166" s="21"/>
      <c r="K166" s="21"/>
      <c r="L166" s="21"/>
      <c r="M166" s="21"/>
      <c r="N166" s="21"/>
      <c r="O166" s="21"/>
    </row>
    <row r="167" spans="1:15" ht="14.45">
      <c r="A167" s="21"/>
      <c r="B167" s="33"/>
      <c r="C167" s="21"/>
      <c r="D167" s="21"/>
      <c r="E167" s="21"/>
      <c r="F167" s="22"/>
      <c r="G167" s="21"/>
      <c r="H167" s="21"/>
      <c r="I167" s="22"/>
      <c r="J167" s="21"/>
      <c r="K167" s="21"/>
      <c r="L167" s="21"/>
      <c r="M167" s="21"/>
      <c r="N167" s="21"/>
      <c r="O167" s="21"/>
    </row>
    <row r="168" spans="1:15" ht="14.45">
      <c r="A168" s="21"/>
      <c r="B168" s="33"/>
      <c r="C168" s="21"/>
      <c r="D168" s="21"/>
      <c r="E168" s="21"/>
      <c r="F168" s="22"/>
      <c r="G168" s="21"/>
      <c r="H168" s="21"/>
      <c r="I168" s="22"/>
      <c r="J168" s="21"/>
      <c r="K168" s="21"/>
      <c r="L168" s="21"/>
      <c r="M168" s="21"/>
      <c r="N168" s="21"/>
      <c r="O168" s="21"/>
    </row>
    <row r="169" spans="1:15" ht="14.45">
      <c r="A169" s="21"/>
      <c r="B169" s="33"/>
      <c r="C169" s="21"/>
      <c r="D169" s="21"/>
      <c r="E169" s="21"/>
      <c r="F169" s="22"/>
      <c r="G169" s="21"/>
      <c r="H169" s="21"/>
      <c r="I169" s="22"/>
      <c r="J169" s="21"/>
      <c r="K169" s="21"/>
      <c r="L169" s="21"/>
      <c r="M169" s="21"/>
      <c r="N169" s="21"/>
      <c r="O169" s="21"/>
    </row>
    <row r="170" spans="1:15" ht="14.45">
      <c r="A170" s="21"/>
      <c r="B170" s="33"/>
      <c r="C170" s="21"/>
      <c r="D170" s="21"/>
      <c r="E170" s="21"/>
      <c r="F170" s="22"/>
      <c r="G170" s="21"/>
      <c r="H170" s="21"/>
      <c r="I170" s="22"/>
      <c r="J170" s="21"/>
      <c r="K170" s="21"/>
      <c r="L170" s="21"/>
      <c r="M170" s="21"/>
      <c r="N170" s="21"/>
      <c r="O170" s="21"/>
    </row>
    <row r="171" spans="1:15" ht="14.45">
      <c r="A171" s="21"/>
      <c r="B171" s="33"/>
      <c r="C171" s="21"/>
      <c r="D171" s="21"/>
      <c r="E171" s="21"/>
      <c r="F171" s="22"/>
      <c r="G171" s="21"/>
      <c r="H171" s="21"/>
      <c r="I171" s="22"/>
      <c r="J171" s="21"/>
      <c r="K171" s="21"/>
      <c r="L171" s="21"/>
      <c r="M171" s="21"/>
      <c r="N171" s="21"/>
      <c r="O171" s="21"/>
    </row>
    <row r="172" spans="1:15" ht="14.45">
      <c r="A172" s="21"/>
      <c r="B172" s="33"/>
      <c r="C172" s="21"/>
      <c r="D172" s="21"/>
      <c r="E172" s="21"/>
      <c r="F172" s="22"/>
      <c r="G172" s="21"/>
      <c r="H172" s="21"/>
      <c r="I172" s="22"/>
      <c r="J172" s="21"/>
      <c r="K172" s="21"/>
      <c r="L172" s="21"/>
      <c r="M172" s="21"/>
      <c r="N172" s="21"/>
      <c r="O172" s="21"/>
    </row>
    <row r="173" spans="1:15" ht="14.45">
      <c r="A173" s="21"/>
      <c r="B173" s="33"/>
      <c r="C173" s="21"/>
      <c r="D173" s="21"/>
      <c r="E173" s="21"/>
      <c r="F173" s="22"/>
      <c r="G173" s="21"/>
      <c r="H173" s="21"/>
      <c r="I173" s="22"/>
      <c r="J173" s="21"/>
      <c r="K173" s="21"/>
      <c r="L173" s="21"/>
      <c r="M173" s="21"/>
      <c r="N173" s="21"/>
      <c r="O173" s="21"/>
    </row>
    <row r="174" spans="1:15" ht="14.45">
      <c r="A174" s="21"/>
      <c r="B174" s="33"/>
      <c r="C174" s="21"/>
      <c r="D174" s="21"/>
      <c r="E174" s="21"/>
      <c r="F174" s="22"/>
      <c r="G174" s="21"/>
      <c r="H174" s="21"/>
      <c r="I174" s="22"/>
      <c r="J174" s="21"/>
      <c r="K174" s="21"/>
      <c r="L174" s="21"/>
      <c r="M174" s="21"/>
      <c r="N174" s="21"/>
      <c r="O174" s="21"/>
    </row>
    <row r="175" spans="1:15" ht="14.45">
      <c r="A175" s="21"/>
      <c r="B175" s="33"/>
      <c r="C175" s="21"/>
      <c r="D175" s="21"/>
      <c r="E175" s="21"/>
      <c r="F175" s="22"/>
      <c r="G175" s="21"/>
      <c r="H175" s="21"/>
      <c r="I175" s="22"/>
      <c r="J175" s="21"/>
      <c r="K175" s="21"/>
      <c r="L175" s="21"/>
      <c r="M175" s="21"/>
      <c r="N175" s="21"/>
      <c r="O175" s="21"/>
    </row>
    <row r="176" spans="1:15" ht="14.45">
      <c r="A176" s="21"/>
      <c r="B176" s="33"/>
      <c r="C176" s="21"/>
      <c r="D176" s="21"/>
      <c r="E176" s="21"/>
      <c r="F176" s="22"/>
      <c r="G176" s="21"/>
      <c r="H176" s="21"/>
      <c r="I176" s="22"/>
      <c r="J176" s="21"/>
      <c r="K176" s="21"/>
      <c r="L176" s="21"/>
      <c r="M176" s="21"/>
      <c r="N176" s="21"/>
      <c r="O176" s="21"/>
    </row>
    <row r="177" spans="1:15" ht="14.45">
      <c r="A177" s="21"/>
      <c r="B177" s="33"/>
      <c r="C177" s="21"/>
      <c r="D177" s="21"/>
      <c r="E177" s="21"/>
      <c r="F177" s="22"/>
      <c r="G177" s="21"/>
      <c r="H177" s="21"/>
      <c r="I177" s="22"/>
      <c r="J177" s="21"/>
      <c r="K177" s="21"/>
      <c r="L177" s="21"/>
      <c r="M177" s="21"/>
      <c r="N177" s="21"/>
      <c r="O177" s="21"/>
    </row>
    <row r="178" spans="1:15" ht="14.45">
      <c r="A178" s="21"/>
      <c r="B178" s="33"/>
      <c r="C178" s="21"/>
      <c r="D178" s="21"/>
      <c r="E178" s="21"/>
      <c r="F178" s="22"/>
      <c r="G178" s="21"/>
      <c r="H178" s="21"/>
      <c r="I178" s="22"/>
      <c r="J178" s="21"/>
      <c r="K178" s="21"/>
      <c r="L178" s="21"/>
      <c r="M178" s="21"/>
      <c r="N178" s="21"/>
      <c r="O178" s="21"/>
    </row>
    <row r="179" spans="1:15" ht="14.45">
      <c r="A179" s="21"/>
      <c r="B179" s="33"/>
      <c r="C179" s="21"/>
      <c r="D179" s="21"/>
      <c r="E179" s="21"/>
      <c r="F179" s="22"/>
      <c r="G179" s="21"/>
      <c r="H179" s="21"/>
      <c r="I179" s="22"/>
      <c r="J179" s="21"/>
      <c r="K179" s="21"/>
      <c r="L179" s="21"/>
      <c r="M179" s="21"/>
      <c r="N179" s="21"/>
      <c r="O179" s="21"/>
    </row>
    <row r="180" spans="1:15" ht="14.45">
      <c r="A180" s="21"/>
      <c r="B180" s="33"/>
      <c r="C180" s="21"/>
      <c r="D180" s="21"/>
      <c r="E180" s="21"/>
      <c r="F180" s="22"/>
      <c r="G180" s="21"/>
      <c r="H180" s="21"/>
      <c r="I180" s="22"/>
      <c r="J180" s="21"/>
      <c r="K180" s="21"/>
      <c r="L180" s="21"/>
      <c r="M180" s="21"/>
      <c r="N180" s="21"/>
      <c r="O180" s="21"/>
    </row>
    <row r="181" spans="1:15" ht="14.45">
      <c r="A181" s="21"/>
      <c r="B181" s="33"/>
      <c r="C181" s="21"/>
      <c r="D181" s="21"/>
      <c r="E181" s="21"/>
      <c r="F181" s="22"/>
      <c r="G181" s="21"/>
      <c r="H181" s="21"/>
      <c r="I181" s="22"/>
      <c r="J181" s="21"/>
      <c r="K181" s="21"/>
      <c r="L181" s="21"/>
      <c r="M181" s="21"/>
      <c r="N181" s="21"/>
      <c r="O181" s="21"/>
    </row>
    <row r="182" spans="1:15" ht="14.45">
      <c r="A182" s="21"/>
      <c r="B182" s="33"/>
      <c r="C182" s="21"/>
      <c r="D182" s="21"/>
      <c r="E182" s="21"/>
      <c r="F182" s="22"/>
      <c r="G182" s="21"/>
      <c r="H182" s="21"/>
      <c r="I182" s="22"/>
      <c r="J182" s="21"/>
      <c r="K182" s="21"/>
      <c r="L182" s="21"/>
      <c r="M182" s="21"/>
      <c r="N182" s="21"/>
      <c r="O182" s="21"/>
    </row>
    <row r="183" spans="1:15" ht="14.45">
      <c r="A183" s="21"/>
      <c r="B183" s="33"/>
      <c r="C183" s="21"/>
      <c r="D183" s="21"/>
      <c r="E183" s="21"/>
      <c r="F183" s="22"/>
      <c r="G183" s="21"/>
      <c r="H183" s="21"/>
      <c r="I183" s="22"/>
      <c r="J183" s="21"/>
      <c r="K183" s="21"/>
      <c r="L183" s="21"/>
      <c r="M183" s="21"/>
      <c r="N183" s="21"/>
      <c r="O183" s="21"/>
    </row>
    <row r="184" spans="1:15" ht="14.45">
      <c r="A184" s="21"/>
      <c r="B184" s="33"/>
      <c r="C184" s="21"/>
      <c r="D184" s="21"/>
      <c r="E184" s="21"/>
      <c r="F184" s="22"/>
      <c r="G184" s="21"/>
      <c r="H184" s="21"/>
      <c r="I184" s="22"/>
      <c r="J184" s="21"/>
      <c r="K184" s="21"/>
      <c r="L184" s="21"/>
      <c r="M184" s="21"/>
      <c r="N184" s="21"/>
      <c r="O184" s="21"/>
    </row>
    <row r="185" spans="1:15" ht="14.45">
      <c r="A185" s="21"/>
      <c r="B185" s="33"/>
      <c r="C185" s="21"/>
      <c r="D185" s="21"/>
      <c r="E185" s="21"/>
      <c r="F185" s="22"/>
      <c r="G185" s="21"/>
      <c r="H185" s="21"/>
      <c r="I185" s="22"/>
      <c r="J185" s="21"/>
      <c r="K185" s="21"/>
      <c r="L185" s="21"/>
      <c r="M185" s="21"/>
      <c r="N185" s="21"/>
      <c r="O185" s="21"/>
    </row>
    <row r="186" spans="1:15" ht="14.45">
      <c r="A186" s="21"/>
      <c r="B186" s="33"/>
      <c r="C186" s="21"/>
      <c r="D186" s="21"/>
      <c r="E186" s="21"/>
      <c r="F186" s="22"/>
      <c r="G186" s="21"/>
      <c r="H186" s="21"/>
      <c r="I186" s="22"/>
      <c r="J186" s="21"/>
      <c r="K186" s="21"/>
      <c r="L186" s="21"/>
      <c r="M186" s="21"/>
      <c r="N186" s="21"/>
      <c r="O186" s="21"/>
    </row>
    <row r="187" spans="1:15" ht="14.45">
      <c r="A187" s="21"/>
      <c r="B187" s="33"/>
      <c r="C187" s="21"/>
      <c r="D187" s="21"/>
      <c r="E187" s="21"/>
      <c r="F187" s="22"/>
      <c r="G187" s="21"/>
      <c r="H187" s="21"/>
      <c r="I187" s="22"/>
      <c r="J187" s="21"/>
      <c r="K187" s="21"/>
      <c r="L187" s="21"/>
      <c r="M187" s="21"/>
      <c r="N187" s="21"/>
      <c r="O187" s="21"/>
    </row>
    <row r="188" spans="1:15" ht="14.45">
      <c r="A188" s="21"/>
      <c r="B188" s="33"/>
      <c r="C188" s="21"/>
      <c r="D188" s="21"/>
      <c r="E188" s="21"/>
      <c r="F188" s="22"/>
      <c r="G188" s="21"/>
      <c r="H188" s="21"/>
      <c r="I188" s="22"/>
      <c r="J188" s="21"/>
      <c r="K188" s="21"/>
      <c r="L188" s="21"/>
      <c r="M188" s="21"/>
      <c r="N188" s="21"/>
      <c r="O188" s="21"/>
    </row>
    <row r="189" spans="1:15" ht="14.45">
      <c r="A189" s="21"/>
      <c r="B189" s="33"/>
      <c r="C189" s="21"/>
      <c r="D189" s="21"/>
      <c r="E189" s="21"/>
      <c r="F189" s="22"/>
      <c r="G189" s="21"/>
      <c r="H189" s="21"/>
      <c r="I189" s="22"/>
      <c r="J189" s="21"/>
      <c r="K189" s="21"/>
      <c r="L189" s="21"/>
      <c r="M189" s="21"/>
      <c r="N189" s="21"/>
      <c r="O189" s="21"/>
    </row>
    <row r="190" spans="1:15" ht="14.45">
      <c r="A190" s="21"/>
      <c r="B190" s="33"/>
      <c r="C190" s="21"/>
      <c r="D190" s="21"/>
      <c r="E190" s="21"/>
      <c r="F190" s="22"/>
      <c r="G190" s="21"/>
      <c r="H190" s="21"/>
      <c r="I190" s="22"/>
      <c r="J190" s="21"/>
      <c r="K190" s="21"/>
      <c r="L190" s="21"/>
      <c r="M190" s="21"/>
      <c r="N190" s="21"/>
      <c r="O190" s="21"/>
    </row>
    <row r="191" spans="1:15" ht="14.45">
      <c r="A191" s="21"/>
      <c r="B191" s="33"/>
      <c r="C191" s="21"/>
      <c r="D191" s="21"/>
      <c r="E191" s="21"/>
      <c r="F191" s="22"/>
      <c r="G191" s="21"/>
      <c r="H191" s="21"/>
      <c r="I191" s="22"/>
      <c r="J191" s="21"/>
      <c r="K191" s="21"/>
      <c r="L191" s="21"/>
      <c r="M191" s="21"/>
      <c r="N191" s="21"/>
      <c r="O191" s="21"/>
    </row>
    <row r="192" spans="1:15" ht="14.45">
      <c r="A192" s="21"/>
      <c r="B192" s="33"/>
      <c r="C192" s="21"/>
      <c r="D192" s="21"/>
      <c r="E192" s="21"/>
      <c r="F192" s="22"/>
      <c r="G192" s="21"/>
      <c r="H192" s="21"/>
      <c r="I192" s="22"/>
      <c r="J192" s="21"/>
      <c r="K192" s="21"/>
      <c r="L192" s="21"/>
      <c r="M192" s="21"/>
      <c r="N192" s="21"/>
      <c r="O192" s="21"/>
    </row>
    <row r="193" spans="1:15" ht="14.45">
      <c r="A193" s="21"/>
      <c r="B193" s="33"/>
      <c r="C193" s="21"/>
      <c r="D193" s="21"/>
      <c r="E193" s="21"/>
      <c r="F193" s="22"/>
      <c r="G193" s="21"/>
      <c r="H193" s="21"/>
      <c r="I193" s="22"/>
      <c r="J193" s="21"/>
      <c r="K193" s="21"/>
      <c r="L193" s="21"/>
      <c r="M193" s="21"/>
      <c r="N193" s="21"/>
      <c r="O193" s="21"/>
    </row>
    <row r="194" spans="1:15" ht="14.45">
      <c r="A194" s="21"/>
      <c r="B194" s="33"/>
      <c r="C194" s="21"/>
      <c r="D194" s="21"/>
      <c r="E194" s="21"/>
      <c r="F194" s="22"/>
      <c r="G194" s="21"/>
      <c r="H194" s="21"/>
      <c r="I194" s="22"/>
      <c r="J194" s="21"/>
      <c r="K194" s="21"/>
      <c r="L194" s="21"/>
      <c r="M194" s="21"/>
      <c r="N194" s="21"/>
      <c r="O194" s="21"/>
    </row>
    <row r="195" spans="1:15" ht="14.45">
      <c r="A195" s="21"/>
      <c r="B195" s="33"/>
      <c r="C195" s="21"/>
      <c r="D195" s="21"/>
      <c r="E195" s="21"/>
      <c r="F195" s="22"/>
      <c r="G195" s="21"/>
      <c r="H195" s="21"/>
      <c r="I195" s="22"/>
      <c r="J195" s="21"/>
      <c r="K195" s="21"/>
      <c r="L195" s="21"/>
      <c r="M195" s="21"/>
      <c r="N195" s="21"/>
      <c r="O195" s="21"/>
    </row>
    <row r="196" spans="1:15" ht="14.45">
      <c r="A196" s="21"/>
      <c r="B196" s="33"/>
      <c r="C196" s="21"/>
      <c r="D196" s="21"/>
      <c r="E196" s="21"/>
      <c r="F196" s="22"/>
      <c r="G196" s="21"/>
      <c r="H196" s="21"/>
      <c r="I196" s="22"/>
      <c r="J196" s="21"/>
      <c r="K196" s="21"/>
      <c r="L196" s="21"/>
      <c r="M196" s="21"/>
      <c r="N196" s="21"/>
      <c r="O196" s="21"/>
    </row>
    <row r="197" spans="1:15" ht="14.45">
      <c r="A197" s="21"/>
      <c r="B197" s="33"/>
      <c r="C197" s="21"/>
      <c r="D197" s="21"/>
      <c r="E197" s="21"/>
      <c r="F197" s="22"/>
      <c r="G197" s="21"/>
      <c r="H197" s="21"/>
      <c r="I197" s="22"/>
      <c r="J197" s="21"/>
      <c r="K197" s="21"/>
      <c r="L197" s="21"/>
      <c r="M197" s="21"/>
      <c r="N197" s="21"/>
      <c r="O197" s="21"/>
    </row>
    <row r="198" spans="1:15" ht="14.45">
      <c r="A198" s="21"/>
      <c r="B198" s="33"/>
      <c r="C198" s="21"/>
      <c r="D198" s="21"/>
      <c r="E198" s="21"/>
      <c r="F198" s="22"/>
      <c r="G198" s="21"/>
      <c r="H198" s="21"/>
      <c r="I198" s="22"/>
      <c r="J198" s="21"/>
      <c r="K198" s="21"/>
      <c r="L198" s="21"/>
      <c r="M198" s="21"/>
      <c r="N198" s="21"/>
      <c r="O198" s="21"/>
    </row>
    <row r="199" spans="1:15" ht="14.45">
      <c r="A199" s="21"/>
      <c r="B199" s="33"/>
      <c r="C199" s="21"/>
      <c r="D199" s="21"/>
      <c r="E199" s="21"/>
      <c r="F199" s="22"/>
      <c r="G199" s="21"/>
      <c r="H199" s="21"/>
      <c r="I199" s="22"/>
      <c r="J199" s="21"/>
      <c r="K199" s="21"/>
      <c r="L199" s="21"/>
      <c r="M199" s="21"/>
      <c r="N199" s="21"/>
      <c r="O199" s="21"/>
    </row>
    <row r="200" spans="1:15" ht="14.45">
      <c r="A200" s="21"/>
      <c r="B200" s="33"/>
      <c r="C200" s="21"/>
      <c r="D200" s="21"/>
      <c r="E200" s="21"/>
      <c r="F200" s="22"/>
      <c r="G200" s="21"/>
      <c r="H200" s="21"/>
      <c r="I200" s="22"/>
      <c r="J200" s="21"/>
      <c r="K200" s="21"/>
      <c r="L200" s="21"/>
      <c r="M200" s="21"/>
      <c r="N200" s="21"/>
      <c r="O200" s="21"/>
    </row>
    <row r="201" spans="1:15" ht="14.45">
      <c r="A201" s="21"/>
      <c r="B201" s="33"/>
      <c r="C201" s="21"/>
      <c r="D201" s="21"/>
      <c r="E201" s="21"/>
      <c r="F201" s="22"/>
      <c r="G201" s="21"/>
      <c r="H201" s="21"/>
      <c r="I201" s="22"/>
      <c r="J201" s="21"/>
      <c r="K201" s="21"/>
      <c r="L201" s="21"/>
      <c r="M201" s="21"/>
      <c r="N201" s="21"/>
      <c r="O201" s="21"/>
    </row>
    <row r="202" spans="1:15" ht="14.45">
      <c r="A202" s="21"/>
      <c r="B202" s="33"/>
      <c r="C202" s="21"/>
      <c r="D202" s="21"/>
      <c r="E202" s="21"/>
      <c r="F202" s="22"/>
      <c r="G202" s="21"/>
      <c r="H202" s="21"/>
      <c r="I202" s="22"/>
      <c r="J202" s="21"/>
      <c r="K202" s="21"/>
      <c r="L202" s="21"/>
      <c r="M202" s="21"/>
      <c r="N202" s="21"/>
      <c r="O202" s="21"/>
    </row>
    <row r="203" spans="1:15" ht="14.45">
      <c r="A203" s="21"/>
      <c r="B203" s="33"/>
      <c r="C203" s="21"/>
      <c r="D203" s="21"/>
      <c r="E203" s="21"/>
      <c r="F203" s="22"/>
      <c r="G203" s="21"/>
      <c r="H203" s="21"/>
      <c r="I203" s="22"/>
      <c r="J203" s="21"/>
      <c r="K203" s="21"/>
      <c r="L203" s="21"/>
      <c r="M203" s="21"/>
      <c r="N203" s="21"/>
      <c r="O203" s="21"/>
    </row>
    <row r="204" spans="1:15" ht="14.45">
      <c r="A204" s="21"/>
      <c r="B204" s="33"/>
      <c r="C204" s="21"/>
      <c r="D204" s="21"/>
      <c r="E204" s="21"/>
      <c r="F204" s="22"/>
      <c r="G204" s="21"/>
      <c r="H204" s="21"/>
      <c r="I204" s="22"/>
      <c r="J204" s="21"/>
      <c r="K204" s="21"/>
      <c r="L204" s="21"/>
      <c r="M204" s="21"/>
      <c r="N204" s="21"/>
      <c r="O204" s="21"/>
    </row>
    <row r="205" spans="1:15" ht="14.45">
      <c r="A205" s="21"/>
      <c r="B205" s="33"/>
      <c r="C205" s="21"/>
      <c r="D205" s="21"/>
      <c r="E205" s="21"/>
      <c r="F205" s="22"/>
      <c r="G205" s="21"/>
      <c r="H205" s="21"/>
      <c r="I205" s="22"/>
      <c r="J205" s="21"/>
      <c r="K205" s="21"/>
      <c r="L205" s="21"/>
      <c r="M205" s="21"/>
      <c r="N205" s="21"/>
      <c r="O205" s="21"/>
    </row>
    <row r="206" spans="1:15" ht="14.45">
      <c r="A206" s="21"/>
      <c r="B206" s="33"/>
      <c r="C206" s="21"/>
      <c r="D206" s="21"/>
      <c r="E206" s="21"/>
      <c r="F206" s="22"/>
      <c r="G206" s="21"/>
      <c r="H206" s="21"/>
      <c r="I206" s="22"/>
      <c r="J206" s="21"/>
      <c r="K206" s="21"/>
      <c r="L206" s="21"/>
      <c r="M206" s="21"/>
      <c r="N206" s="21"/>
      <c r="O206" s="21"/>
    </row>
    <row r="207" spans="1:15" ht="14.45">
      <c r="A207" s="21"/>
      <c r="B207" s="33"/>
      <c r="C207" s="21"/>
      <c r="D207" s="21"/>
      <c r="E207" s="21"/>
      <c r="F207" s="22"/>
      <c r="G207" s="21"/>
      <c r="H207" s="21"/>
      <c r="I207" s="22"/>
      <c r="J207" s="21"/>
      <c r="K207" s="21"/>
      <c r="L207" s="21"/>
      <c r="M207" s="21"/>
      <c r="N207" s="21"/>
      <c r="O207" s="21"/>
    </row>
    <row r="208" spans="1:15" ht="14.45">
      <c r="A208" s="21"/>
      <c r="B208" s="33"/>
      <c r="C208" s="21"/>
      <c r="D208" s="21"/>
      <c r="E208" s="21"/>
      <c r="F208" s="22"/>
      <c r="G208" s="21"/>
      <c r="H208" s="21"/>
      <c r="I208" s="22"/>
      <c r="J208" s="21"/>
      <c r="K208" s="21"/>
      <c r="L208" s="21"/>
      <c r="M208" s="21"/>
      <c r="N208" s="21"/>
      <c r="O208" s="21"/>
    </row>
    <row r="209" spans="1:15" ht="14.45">
      <c r="A209" s="21"/>
      <c r="B209" s="33"/>
      <c r="C209" s="21"/>
      <c r="D209" s="21"/>
      <c r="E209" s="21"/>
      <c r="F209" s="22"/>
      <c r="G209" s="21"/>
      <c r="H209" s="21"/>
      <c r="I209" s="22"/>
      <c r="J209" s="21"/>
      <c r="K209" s="21"/>
      <c r="L209" s="21"/>
      <c r="M209" s="21"/>
      <c r="N209" s="21"/>
      <c r="O209" s="21"/>
    </row>
    <row r="210" spans="1:15" ht="14.45">
      <c r="A210" s="21"/>
      <c r="B210" s="33"/>
      <c r="C210" s="21"/>
      <c r="D210" s="21"/>
      <c r="E210" s="21"/>
      <c r="F210" s="22"/>
      <c r="G210" s="21"/>
      <c r="H210" s="21"/>
      <c r="I210" s="22"/>
      <c r="J210" s="21"/>
      <c r="K210" s="21"/>
      <c r="L210" s="21"/>
      <c r="M210" s="21"/>
      <c r="N210" s="21"/>
      <c r="O210" s="21"/>
    </row>
    <row r="211" spans="1:15" ht="14.45">
      <c r="A211" s="21"/>
      <c r="B211" s="33"/>
      <c r="C211" s="21"/>
      <c r="D211" s="21"/>
      <c r="E211" s="21"/>
      <c r="F211" s="22"/>
      <c r="G211" s="21"/>
      <c r="H211" s="21"/>
      <c r="I211" s="22"/>
      <c r="J211" s="21"/>
      <c r="K211" s="21"/>
      <c r="L211" s="21"/>
      <c r="M211" s="21"/>
      <c r="N211" s="21"/>
      <c r="O211" s="21"/>
    </row>
    <row r="212" spans="1:15" ht="14.45">
      <c r="A212" s="21"/>
      <c r="B212" s="33"/>
      <c r="C212" s="21"/>
      <c r="D212" s="21"/>
      <c r="E212" s="21"/>
      <c r="F212" s="22"/>
      <c r="G212" s="21"/>
      <c r="H212" s="21"/>
      <c r="I212" s="22"/>
      <c r="J212" s="21"/>
      <c r="K212" s="21"/>
      <c r="L212" s="21"/>
      <c r="M212" s="21"/>
      <c r="N212" s="21"/>
      <c r="O212" s="21"/>
    </row>
    <row r="213" spans="1:15" ht="14.45">
      <c r="A213" s="21"/>
      <c r="B213" s="33"/>
      <c r="C213" s="21"/>
      <c r="D213" s="21"/>
      <c r="E213" s="21"/>
      <c r="F213" s="22"/>
      <c r="G213" s="21"/>
      <c r="H213" s="21"/>
      <c r="I213" s="22"/>
      <c r="J213" s="21"/>
      <c r="K213" s="21"/>
      <c r="L213" s="21"/>
      <c r="M213" s="21"/>
      <c r="N213" s="21"/>
      <c r="O213" s="21"/>
    </row>
    <row r="214" spans="1:15" ht="14.45">
      <c r="A214" s="21"/>
      <c r="B214" s="33"/>
      <c r="C214" s="21"/>
      <c r="D214" s="21"/>
      <c r="E214" s="21"/>
      <c r="F214" s="22"/>
      <c r="G214" s="21"/>
      <c r="H214" s="21"/>
      <c r="I214" s="22"/>
      <c r="J214" s="21"/>
      <c r="K214" s="21"/>
      <c r="L214" s="21"/>
      <c r="M214" s="21"/>
      <c r="N214" s="21"/>
      <c r="O214" s="21"/>
    </row>
    <row r="215" spans="1:15" ht="14.45">
      <c r="A215" s="21"/>
      <c r="B215" s="33"/>
      <c r="C215" s="21"/>
      <c r="D215" s="21"/>
      <c r="E215" s="21"/>
      <c r="F215" s="22"/>
      <c r="G215" s="21"/>
      <c r="H215" s="21"/>
      <c r="I215" s="22"/>
      <c r="J215" s="21"/>
      <c r="K215" s="21"/>
      <c r="L215" s="21"/>
      <c r="M215" s="21"/>
      <c r="N215" s="21"/>
      <c r="O215" s="21"/>
    </row>
    <row r="216" spans="1:15" ht="14.45">
      <c r="A216" s="21"/>
      <c r="B216" s="33"/>
      <c r="C216" s="21"/>
      <c r="D216" s="21"/>
      <c r="E216" s="21"/>
      <c r="F216" s="22"/>
      <c r="G216" s="21"/>
      <c r="H216" s="21"/>
      <c r="I216" s="22"/>
      <c r="J216" s="21"/>
      <c r="K216" s="21"/>
      <c r="L216" s="21"/>
      <c r="M216" s="21"/>
      <c r="N216" s="21"/>
      <c r="O216" s="21"/>
    </row>
    <row r="217" spans="1:15" ht="14.45">
      <c r="A217" s="21"/>
      <c r="B217" s="33"/>
      <c r="C217" s="21"/>
      <c r="D217" s="21"/>
      <c r="E217" s="21"/>
      <c r="F217" s="22"/>
      <c r="G217" s="21"/>
      <c r="H217" s="21"/>
      <c r="I217" s="22"/>
      <c r="J217" s="21"/>
      <c r="K217" s="21"/>
      <c r="L217" s="21"/>
      <c r="M217" s="21"/>
      <c r="N217" s="21"/>
      <c r="O217" s="21"/>
    </row>
    <row r="218" spans="1:15" ht="14.45">
      <c r="A218" s="21"/>
      <c r="B218" s="33"/>
      <c r="C218" s="21"/>
      <c r="D218" s="21"/>
      <c r="E218" s="21"/>
      <c r="F218" s="22"/>
      <c r="G218" s="21"/>
      <c r="H218" s="21"/>
      <c r="I218" s="22"/>
      <c r="J218" s="21"/>
      <c r="K218" s="21"/>
      <c r="L218" s="21"/>
      <c r="M218" s="21"/>
      <c r="N218" s="21"/>
      <c r="O218" s="21"/>
    </row>
    <row r="219" spans="1:15" ht="14.45">
      <c r="A219" s="21"/>
      <c r="B219" s="33"/>
      <c r="C219" s="21"/>
      <c r="D219" s="21"/>
      <c r="E219" s="21"/>
      <c r="F219" s="22"/>
      <c r="G219" s="21"/>
      <c r="H219" s="21"/>
      <c r="I219" s="22"/>
      <c r="J219" s="21"/>
      <c r="K219" s="21"/>
      <c r="L219" s="21"/>
      <c r="M219" s="21"/>
      <c r="N219" s="21"/>
      <c r="O219" s="21"/>
    </row>
    <row r="220" spans="1:15" ht="14.45">
      <c r="A220" s="21"/>
      <c r="B220" s="33"/>
      <c r="C220" s="21"/>
      <c r="D220" s="21"/>
      <c r="E220" s="21"/>
      <c r="F220" s="22"/>
      <c r="G220" s="21"/>
      <c r="H220" s="21"/>
      <c r="I220" s="22"/>
      <c r="J220" s="21"/>
      <c r="K220" s="21"/>
      <c r="L220" s="21"/>
      <c r="M220" s="21"/>
      <c r="N220" s="21"/>
      <c r="O220" s="21"/>
    </row>
    <row r="221" spans="1:15" ht="14.45">
      <c r="A221" s="21"/>
      <c r="B221" s="33"/>
      <c r="C221" s="21"/>
      <c r="D221" s="21"/>
      <c r="E221" s="21"/>
      <c r="F221" s="22"/>
      <c r="G221" s="21"/>
      <c r="H221" s="21"/>
      <c r="I221" s="22"/>
      <c r="J221" s="21"/>
      <c r="K221" s="21"/>
      <c r="L221" s="21"/>
      <c r="M221" s="21"/>
      <c r="N221" s="21"/>
      <c r="O221" s="21"/>
    </row>
    <row r="222" spans="1:15" ht="14.45">
      <c r="A222" s="21"/>
      <c r="B222" s="33"/>
      <c r="C222" s="21"/>
      <c r="D222" s="21"/>
      <c r="E222" s="21"/>
      <c r="F222" s="22"/>
      <c r="G222" s="21"/>
      <c r="H222" s="21"/>
      <c r="I222" s="22"/>
      <c r="J222" s="21"/>
      <c r="K222" s="21"/>
      <c r="L222" s="21"/>
      <c r="M222" s="21"/>
      <c r="N222" s="21"/>
      <c r="O222" s="21"/>
    </row>
    <row r="223" spans="1:15" ht="14.45">
      <c r="A223" s="21"/>
      <c r="B223" s="33"/>
      <c r="C223" s="21"/>
      <c r="D223" s="21"/>
      <c r="E223" s="21"/>
      <c r="F223" s="22"/>
      <c r="G223" s="21"/>
      <c r="H223" s="21"/>
      <c r="I223" s="22"/>
      <c r="J223" s="21"/>
      <c r="K223" s="21"/>
      <c r="L223" s="21"/>
      <c r="M223" s="21"/>
      <c r="N223" s="21"/>
      <c r="O223" s="21"/>
    </row>
    <row r="224" spans="1:15" ht="14.45">
      <c r="A224" s="21"/>
      <c r="B224" s="33"/>
      <c r="C224" s="21"/>
      <c r="D224" s="21"/>
      <c r="E224" s="21"/>
      <c r="F224" s="22"/>
      <c r="G224" s="21"/>
      <c r="H224" s="21"/>
      <c r="I224" s="22"/>
      <c r="J224" s="21"/>
      <c r="K224" s="21"/>
      <c r="L224" s="21"/>
      <c r="M224" s="21"/>
      <c r="N224" s="21"/>
      <c r="O224" s="21"/>
    </row>
    <row r="225" spans="1:15" ht="14.45">
      <c r="A225" s="21"/>
      <c r="B225" s="33"/>
      <c r="C225" s="21"/>
      <c r="D225" s="21"/>
      <c r="E225" s="21"/>
      <c r="F225" s="22"/>
      <c r="G225" s="21"/>
      <c r="H225" s="21"/>
      <c r="I225" s="22"/>
      <c r="J225" s="21"/>
      <c r="K225" s="21"/>
      <c r="L225" s="21"/>
      <c r="M225" s="21"/>
      <c r="N225" s="21"/>
      <c r="O225" s="21"/>
    </row>
    <row r="226" spans="1:15" ht="14.45">
      <c r="A226" s="21"/>
      <c r="B226" s="33"/>
      <c r="C226" s="21"/>
      <c r="D226" s="21"/>
      <c r="E226" s="21"/>
      <c r="F226" s="22"/>
      <c r="G226" s="21"/>
      <c r="H226" s="21"/>
      <c r="I226" s="22"/>
      <c r="J226" s="21"/>
      <c r="K226" s="21"/>
      <c r="L226" s="21"/>
      <c r="M226" s="21"/>
      <c r="N226" s="21"/>
      <c r="O226" s="21"/>
    </row>
    <row r="227" spans="1:15" ht="14.45">
      <c r="A227" s="21"/>
      <c r="B227" s="33"/>
      <c r="C227" s="21"/>
      <c r="D227" s="21"/>
      <c r="E227" s="21"/>
      <c r="F227" s="22"/>
      <c r="G227" s="21"/>
      <c r="H227" s="21"/>
      <c r="I227" s="22"/>
      <c r="J227" s="21"/>
      <c r="K227" s="21"/>
      <c r="L227" s="21"/>
      <c r="M227" s="21"/>
      <c r="N227" s="21"/>
      <c r="O227" s="21"/>
    </row>
    <row r="228" spans="1:15" ht="14.45">
      <c r="A228" s="21"/>
      <c r="B228" s="33"/>
      <c r="C228" s="21"/>
      <c r="D228" s="21"/>
      <c r="E228" s="21"/>
      <c r="F228" s="22"/>
      <c r="G228" s="21"/>
      <c r="H228" s="21"/>
      <c r="I228" s="22"/>
      <c r="J228" s="21"/>
      <c r="K228" s="21"/>
      <c r="L228" s="21"/>
      <c r="M228" s="21"/>
      <c r="N228" s="21"/>
      <c r="O228" s="21"/>
    </row>
    <row r="229" spans="1:15" ht="14.45">
      <c r="A229" s="21"/>
      <c r="B229" s="33"/>
      <c r="C229" s="21"/>
      <c r="D229" s="21"/>
      <c r="E229" s="21"/>
      <c r="F229" s="22"/>
      <c r="G229" s="21"/>
      <c r="H229" s="21"/>
      <c r="I229" s="22"/>
      <c r="J229" s="21"/>
      <c r="K229" s="21"/>
      <c r="L229" s="21"/>
      <c r="M229" s="21"/>
      <c r="N229" s="21"/>
      <c r="O229" s="21"/>
    </row>
    <row r="230" spans="1:15" ht="14.45">
      <c r="A230" s="21"/>
      <c r="B230" s="33"/>
      <c r="C230" s="21"/>
      <c r="D230" s="21"/>
      <c r="E230" s="21"/>
      <c r="F230" s="22"/>
      <c r="G230" s="21"/>
      <c r="H230" s="21"/>
      <c r="I230" s="22"/>
      <c r="J230" s="21"/>
      <c r="K230" s="21"/>
      <c r="L230" s="21"/>
      <c r="M230" s="21"/>
      <c r="N230" s="21"/>
      <c r="O230" s="21"/>
    </row>
    <row r="231" spans="1:15" ht="14.45">
      <c r="A231" s="21"/>
      <c r="B231" s="33"/>
      <c r="C231" s="21"/>
      <c r="D231" s="21"/>
      <c r="E231" s="21"/>
      <c r="F231" s="22"/>
      <c r="G231" s="21"/>
      <c r="H231" s="21"/>
      <c r="I231" s="22"/>
      <c r="J231" s="21"/>
      <c r="K231" s="21"/>
      <c r="L231" s="21"/>
      <c r="M231" s="21"/>
      <c r="N231" s="21"/>
      <c r="O231" s="21"/>
    </row>
    <row r="232" spans="1:15" ht="14.45">
      <c r="A232" s="21"/>
      <c r="B232" s="33"/>
      <c r="C232" s="21"/>
      <c r="D232" s="21"/>
      <c r="E232" s="21"/>
      <c r="F232" s="22"/>
      <c r="G232" s="21"/>
      <c r="H232" s="21"/>
      <c r="I232" s="22"/>
      <c r="J232" s="21"/>
      <c r="K232" s="21"/>
      <c r="L232" s="21"/>
      <c r="M232" s="21"/>
      <c r="N232" s="21"/>
      <c r="O232" s="21"/>
    </row>
    <row r="233" spans="1:15" ht="14.45">
      <c r="A233" s="21"/>
      <c r="B233" s="33"/>
      <c r="C233" s="21"/>
      <c r="D233" s="21"/>
      <c r="E233" s="21"/>
      <c r="F233" s="22"/>
      <c r="G233" s="21"/>
      <c r="H233" s="21"/>
      <c r="I233" s="22"/>
      <c r="J233" s="21"/>
      <c r="K233" s="21"/>
      <c r="L233" s="21"/>
      <c r="M233" s="21"/>
      <c r="N233" s="21"/>
      <c r="O233" s="21"/>
    </row>
    <row r="234" spans="1:15" ht="14.45">
      <c r="A234" s="21"/>
      <c r="B234" s="33"/>
      <c r="C234" s="21"/>
      <c r="D234" s="21"/>
      <c r="E234" s="21"/>
      <c r="F234" s="22"/>
      <c r="G234" s="21"/>
      <c r="H234" s="21"/>
      <c r="I234" s="22"/>
      <c r="J234" s="21"/>
      <c r="K234" s="21"/>
      <c r="L234" s="21"/>
      <c r="M234" s="21"/>
      <c r="N234" s="21"/>
      <c r="O234" s="21"/>
    </row>
    <row r="235" spans="1:15" ht="14.45">
      <c r="A235" s="21"/>
      <c r="B235" s="33"/>
      <c r="C235" s="21"/>
      <c r="D235" s="21"/>
      <c r="E235" s="21"/>
      <c r="F235" s="22"/>
      <c r="G235" s="21"/>
      <c r="H235" s="21"/>
      <c r="I235" s="22"/>
      <c r="J235" s="21"/>
      <c r="K235" s="21"/>
      <c r="L235" s="21"/>
      <c r="M235" s="21"/>
      <c r="N235" s="21"/>
      <c r="O235" s="21"/>
    </row>
    <row r="236" spans="1:15" ht="14.45">
      <c r="A236" s="21"/>
      <c r="B236" s="33"/>
      <c r="C236" s="21"/>
      <c r="D236" s="21"/>
      <c r="E236" s="21"/>
      <c r="F236" s="22"/>
      <c r="G236" s="21"/>
      <c r="H236" s="21"/>
      <c r="I236" s="22"/>
      <c r="J236" s="21"/>
      <c r="K236" s="21"/>
      <c r="L236" s="21"/>
      <c r="M236" s="21"/>
      <c r="N236" s="21"/>
      <c r="O236" s="21"/>
    </row>
    <row r="237" spans="1:15" ht="14.45">
      <c r="A237" s="21"/>
      <c r="B237" s="33"/>
      <c r="C237" s="21"/>
      <c r="D237" s="21"/>
      <c r="E237" s="21"/>
      <c r="F237" s="22"/>
      <c r="G237" s="21"/>
      <c r="H237" s="21"/>
      <c r="I237" s="22"/>
      <c r="J237" s="21"/>
      <c r="K237" s="21"/>
      <c r="L237" s="21"/>
      <c r="M237" s="21"/>
      <c r="N237" s="21"/>
      <c r="O237" s="21"/>
    </row>
    <row r="238" spans="1:15" ht="14.45">
      <c r="A238" s="21"/>
      <c r="B238" s="33"/>
      <c r="C238" s="21"/>
      <c r="D238" s="21"/>
      <c r="E238" s="21"/>
      <c r="F238" s="22"/>
      <c r="G238" s="21"/>
      <c r="H238" s="21"/>
      <c r="I238" s="22"/>
      <c r="J238" s="21"/>
      <c r="K238" s="21"/>
      <c r="L238" s="21"/>
      <c r="M238" s="21"/>
      <c r="N238" s="21"/>
      <c r="O238" s="21"/>
    </row>
    <row r="239" spans="1:15" ht="14.45">
      <c r="A239" s="21"/>
      <c r="B239" s="33"/>
      <c r="C239" s="21"/>
      <c r="D239" s="21"/>
      <c r="E239" s="21"/>
      <c r="F239" s="22"/>
      <c r="G239" s="21"/>
      <c r="H239" s="21"/>
      <c r="I239" s="22"/>
      <c r="J239" s="21"/>
      <c r="K239" s="21"/>
      <c r="L239" s="21"/>
      <c r="M239" s="21"/>
      <c r="N239" s="21"/>
      <c r="O239" s="21"/>
    </row>
    <row r="240" spans="1:15" ht="14.45">
      <c r="A240" s="21"/>
      <c r="B240" s="33"/>
      <c r="C240" s="21"/>
      <c r="D240" s="21"/>
      <c r="E240" s="21"/>
      <c r="F240" s="22"/>
      <c r="G240" s="21"/>
      <c r="H240" s="21"/>
      <c r="I240" s="22"/>
      <c r="J240" s="21"/>
      <c r="K240" s="21"/>
      <c r="L240" s="21"/>
      <c r="M240" s="21"/>
      <c r="N240" s="21"/>
      <c r="O240" s="21"/>
    </row>
    <row r="241" spans="1:15" ht="14.45">
      <c r="A241" s="21"/>
      <c r="B241" s="33"/>
      <c r="C241" s="21"/>
      <c r="D241" s="21"/>
      <c r="E241" s="21"/>
      <c r="F241" s="22"/>
      <c r="G241" s="21"/>
      <c r="H241" s="21"/>
      <c r="I241" s="22"/>
      <c r="J241" s="21"/>
      <c r="K241" s="21"/>
      <c r="L241" s="21"/>
      <c r="M241" s="21"/>
      <c r="N241" s="21"/>
      <c r="O241" s="21"/>
    </row>
    <row r="242" spans="1:15" ht="14.45">
      <c r="A242" s="21"/>
      <c r="B242" s="33"/>
      <c r="C242" s="21"/>
      <c r="D242" s="21"/>
      <c r="E242" s="21"/>
      <c r="F242" s="22"/>
      <c r="G242" s="21"/>
      <c r="H242" s="21"/>
      <c r="I242" s="22"/>
      <c r="J242" s="21"/>
      <c r="K242" s="21"/>
      <c r="L242" s="21"/>
      <c r="M242" s="21"/>
      <c r="N242" s="21"/>
      <c r="O242" s="21"/>
    </row>
    <row r="243" spans="1:15" ht="14.45">
      <c r="A243" s="21"/>
      <c r="B243" s="33"/>
      <c r="C243" s="21"/>
      <c r="D243" s="21"/>
      <c r="E243" s="21"/>
      <c r="F243" s="22"/>
      <c r="G243" s="21"/>
      <c r="H243" s="21"/>
      <c r="I243" s="22"/>
      <c r="J243" s="21"/>
      <c r="K243" s="21"/>
      <c r="L243" s="21"/>
      <c r="M243" s="21"/>
      <c r="N243" s="21"/>
      <c r="O243" s="21"/>
    </row>
    <row r="244" spans="1:15" ht="14.45">
      <c r="A244" s="21"/>
      <c r="B244" s="33"/>
      <c r="C244" s="21"/>
      <c r="D244" s="21"/>
      <c r="E244" s="21"/>
      <c r="F244" s="22"/>
      <c r="G244" s="21"/>
      <c r="H244" s="21"/>
      <c r="I244" s="22"/>
      <c r="J244" s="21"/>
      <c r="K244" s="21"/>
      <c r="L244" s="21"/>
      <c r="M244" s="21"/>
      <c r="N244" s="21"/>
      <c r="O244" s="21"/>
    </row>
    <row r="245" spans="1:15" ht="14.45">
      <c r="A245" s="21"/>
      <c r="B245" s="33"/>
      <c r="C245" s="21"/>
      <c r="D245" s="21"/>
      <c r="E245" s="21"/>
      <c r="F245" s="22"/>
      <c r="G245" s="21"/>
      <c r="H245" s="21"/>
      <c r="I245" s="22"/>
      <c r="J245" s="21"/>
      <c r="K245" s="21"/>
      <c r="L245" s="21"/>
      <c r="M245" s="21"/>
      <c r="N245" s="21"/>
      <c r="O245" s="21"/>
    </row>
    <row r="246" spans="1:15" ht="14.45">
      <c r="A246" s="21"/>
      <c r="B246" s="33"/>
      <c r="C246" s="21"/>
      <c r="D246" s="21"/>
      <c r="E246" s="21"/>
      <c r="F246" s="22"/>
      <c r="G246" s="21"/>
      <c r="H246" s="21"/>
      <c r="I246" s="22"/>
      <c r="J246" s="21"/>
      <c r="K246" s="21"/>
      <c r="L246" s="21"/>
      <c r="M246" s="21"/>
      <c r="N246" s="21"/>
      <c r="O246" s="21"/>
    </row>
    <row r="247" spans="1:15" ht="14.45">
      <c r="A247" s="21"/>
      <c r="B247" s="33"/>
      <c r="C247" s="21"/>
      <c r="D247" s="21"/>
      <c r="E247" s="21"/>
      <c r="F247" s="22"/>
      <c r="G247" s="21"/>
      <c r="H247" s="21"/>
      <c r="I247" s="22"/>
      <c r="J247" s="21"/>
      <c r="K247" s="21"/>
      <c r="L247" s="21"/>
      <c r="M247" s="21"/>
      <c r="N247" s="21"/>
      <c r="O247" s="21"/>
    </row>
    <row r="248" spans="1:15" ht="14.45">
      <c r="A248" s="21"/>
      <c r="B248" s="33"/>
      <c r="C248" s="21"/>
      <c r="D248" s="21"/>
      <c r="E248" s="21"/>
      <c r="F248" s="22"/>
      <c r="G248" s="21"/>
      <c r="H248" s="21"/>
      <c r="I248" s="22"/>
      <c r="J248" s="21"/>
      <c r="K248" s="21"/>
      <c r="L248" s="21"/>
      <c r="M248" s="21"/>
      <c r="N248" s="21"/>
      <c r="O248" s="21"/>
    </row>
    <row r="249" spans="1:15" ht="14.45">
      <c r="A249" s="21"/>
      <c r="B249" s="33"/>
      <c r="C249" s="21"/>
      <c r="D249" s="21"/>
      <c r="E249" s="21"/>
      <c r="F249" s="22"/>
      <c r="G249" s="21"/>
      <c r="H249" s="21"/>
      <c r="I249" s="22"/>
      <c r="J249" s="21"/>
      <c r="K249" s="21"/>
      <c r="L249" s="21"/>
      <c r="M249" s="21"/>
      <c r="N249" s="21"/>
      <c r="O249" s="21"/>
    </row>
    <row r="250" spans="1:15" ht="14.45">
      <c r="A250" s="21"/>
      <c r="B250" s="33"/>
      <c r="C250" s="21"/>
      <c r="D250" s="21"/>
      <c r="E250" s="21"/>
      <c r="F250" s="22"/>
      <c r="G250" s="21"/>
      <c r="H250" s="21"/>
      <c r="I250" s="22"/>
      <c r="J250" s="21"/>
      <c r="K250" s="21"/>
      <c r="L250" s="21"/>
      <c r="M250" s="21"/>
      <c r="N250" s="21"/>
      <c r="O250" s="21"/>
    </row>
    <row r="251" spans="1:15" ht="14.45">
      <c r="A251" s="21"/>
      <c r="B251" s="33"/>
      <c r="C251" s="21"/>
      <c r="D251" s="21"/>
      <c r="E251" s="21"/>
      <c r="F251" s="22"/>
      <c r="G251" s="21"/>
      <c r="H251" s="21"/>
      <c r="I251" s="22"/>
      <c r="J251" s="21"/>
      <c r="K251" s="21"/>
      <c r="L251" s="21"/>
      <c r="M251" s="21"/>
      <c r="N251" s="21"/>
      <c r="O251" s="21"/>
    </row>
    <row r="252" spans="1:15" ht="14.45">
      <c r="A252" s="21"/>
      <c r="B252" s="33"/>
      <c r="C252" s="21"/>
      <c r="D252" s="21"/>
      <c r="E252" s="21"/>
      <c r="F252" s="22"/>
      <c r="G252" s="21"/>
      <c r="H252" s="21"/>
      <c r="I252" s="22"/>
      <c r="J252" s="21"/>
      <c r="K252" s="21"/>
      <c r="L252" s="21"/>
      <c r="M252" s="21"/>
      <c r="N252" s="21"/>
      <c r="O252" s="21"/>
    </row>
    <row r="253" spans="1:15" ht="14.45">
      <c r="A253" s="21"/>
      <c r="B253" s="33"/>
      <c r="C253" s="21"/>
      <c r="D253" s="21"/>
      <c r="E253" s="21"/>
      <c r="F253" s="22"/>
      <c r="G253" s="21"/>
      <c r="H253" s="21"/>
      <c r="I253" s="22"/>
      <c r="J253" s="21"/>
      <c r="K253" s="21"/>
      <c r="L253" s="21"/>
      <c r="M253" s="21"/>
      <c r="N253" s="21"/>
      <c r="O253" s="21"/>
    </row>
    <row r="254" spans="1:15" ht="14.45">
      <c r="A254" s="21"/>
      <c r="B254" s="33"/>
      <c r="C254" s="21"/>
      <c r="D254" s="21"/>
      <c r="E254" s="21"/>
      <c r="F254" s="22"/>
      <c r="G254" s="21"/>
      <c r="H254" s="21"/>
      <c r="I254" s="22"/>
      <c r="J254" s="21"/>
      <c r="K254" s="21"/>
      <c r="L254" s="21"/>
      <c r="M254" s="21"/>
      <c r="N254" s="21"/>
      <c r="O254" s="21"/>
    </row>
    <row r="255" spans="1:15" ht="14.45">
      <c r="A255" s="21"/>
      <c r="B255" s="33"/>
      <c r="C255" s="21"/>
      <c r="D255" s="21"/>
      <c r="E255" s="21"/>
      <c r="F255" s="22"/>
      <c r="G255" s="21"/>
      <c r="H255" s="21"/>
      <c r="I255" s="22"/>
      <c r="J255" s="21"/>
      <c r="K255" s="21"/>
      <c r="L255" s="21"/>
      <c r="M255" s="21"/>
      <c r="N255" s="21"/>
      <c r="O255" s="21"/>
    </row>
    <row r="256" spans="1:15" ht="14.45">
      <c r="A256" s="21"/>
      <c r="B256" s="33"/>
      <c r="C256" s="21"/>
      <c r="D256" s="21"/>
      <c r="E256" s="21"/>
      <c r="F256" s="22"/>
      <c r="G256" s="21"/>
      <c r="H256" s="21"/>
      <c r="I256" s="22"/>
      <c r="J256" s="21"/>
      <c r="K256" s="21"/>
      <c r="L256" s="21"/>
      <c r="M256" s="21"/>
      <c r="N256" s="21"/>
      <c r="O256" s="21"/>
    </row>
    <row r="257" spans="1:15" ht="14.45">
      <c r="A257" s="21"/>
      <c r="B257" s="33"/>
      <c r="C257" s="21"/>
      <c r="D257" s="21"/>
      <c r="E257" s="21"/>
      <c r="F257" s="22"/>
      <c r="G257" s="21"/>
      <c r="H257" s="21"/>
      <c r="I257" s="22"/>
      <c r="J257" s="21"/>
      <c r="K257" s="21"/>
      <c r="L257" s="21"/>
      <c r="M257" s="21"/>
      <c r="N257" s="21"/>
      <c r="O257" s="21"/>
    </row>
    <row r="258" spans="1:15" ht="14.45">
      <c r="A258" s="21"/>
      <c r="B258" s="33"/>
      <c r="C258" s="21"/>
      <c r="D258" s="21"/>
      <c r="E258" s="21"/>
      <c r="F258" s="22"/>
      <c r="G258" s="21"/>
      <c r="H258" s="21"/>
      <c r="I258" s="22"/>
      <c r="J258" s="21"/>
      <c r="K258" s="21"/>
      <c r="L258" s="21"/>
      <c r="M258" s="21"/>
      <c r="N258" s="21"/>
      <c r="O258" s="21"/>
    </row>
    <row r="259" spans="1:15" ht="14.45">
      <c r="A259" s="21"/>
      <c r="B259" s="33"/>
      <c r="C259" s="21"/>
      <c r="D259" s="21"/>
      <c r="E259" s="21"/>
      <c r="F259" s="22"/>
      <c r="G259" s="21"/>
      <c r="H259" s="21"/>
      <c r="I259" s="22"/>
      <c r="J259" s="21"/>
      <c r="K259" s="21"/>
      <c r="L259" s="21"/>
      <c r="M259" s="21"/>
      <c r="N259" s="21"/>
      <c r="O259" s="21"/>
    </row>
    <row r="260" spans="1:15" ht="14.45">
      <c r="A260" s="21"/>
      <c r="B260" s="33"/>
      <c r="C260" s="21"/>
      <c r="D260" s="21"/>
      <c r="E260" s="21"/>
      <c r="F260" s="22"/>
      <c r="G260" s="21"/>
      <c r="H260" s="21"/>
      <c r="I260" s="22"/>
      <c r="J260" s="21"/>
      <c r="K260" s="21"/>
      <c r="L260" s="21"/>
      <c r="M260" s="21"/>
      <c r="N260" s="21"/>
      <c r="O260" s="21"/>
    </row>
    <row r="261" spans="1:15" ht="14.45">
      <c r="A261" s="21"/>
      <c r="B261" s="33"/>
      <c r="C261" s="21"/>
      <c r="D261" s="21"/>
      <c r="E261" s="21"/>
      <c r="F261" s="22"/>
      <c r="G261" s="21"/>
      <c r="H261" s="21"/>
      <c r="I261" s="22"/>
      <c r="J261" s="21"/>
      <c r="K261" s="21"/>
      <c r="L261" s="21"/>
      <c r="M261" s="21"/>
      <c r="N261" s="21"/>
      <c r="O261" s="21"/>
    </row>
    <row r="262" spans="1:15" ht="14.45">
      <c r="A262" s="21"/>
      <c r="B262" s="33"/>
      <c r="C262" s="21"/>
      <c r="D262" s="21"/>
      <c r="E262" s="21"/>
      <c r="F262" s="22"/>
      <c r="G262" s="21"/>
      <c r="H262" s="21"/>
      <c r="I262" s="22"/>
      <c r="J262" s="21"/>
      <c r="K262" s="21"/>
      <c r="L262" s="21"/>
      <c r="M262" s="21"/>
      <c r="N262" s="21"/>
      <c r="O262" s="21"/>
    </row>
    <row r="263" spans="1:15" ht="14.45">
      <c r="A263" s="21"/>
      <c r="B263" s="33"/>
      <c r="C263" s="21"/>
      <c r="D263" s="21"/>
      <c r="E263" s="21"/>
      <c r="F263" s="22"/>
      <c r="G263" s="21"/>
      <c r="H263" s="21"/>
      <c r="I263" s="22"/>
      <c r="J263" s="21"/>
      <c r="K263" s="21"/>
      <c r="L263" s="21"/>
      <c r="M263" s="21"/>
      <c r="N263" s="21"/>
      <c r="O263" s="21"/>
    </row>
    <row r="264" spans="1:15" ht="14.45">
      <c r="A264" s="21"/>
      <c r="B264" s="33"/>
      <c r="C264" s="21"/>
      <c r="D264" s="21"/>
      <c r="E264" s="21"/>
      <c r="F264" s="22"/>
      <c r="G264" s="21"/>
      <c r="H264" s="21"/>
      <c r="I264" s="22"/>
      <c r="J264" s="21"/>
      <c r="K264" s="21"/>
      <c r="L264" s="21"/>
      <c r="M264" s="21"/>
      <c r="N264" s="21"/>
      <c r="O264" s="21"/>
    </row>
    <row r="265" spans="1:15" ht="14.45">
      <c r="A265" s="21"/>
      <c r="B265" s="33"/>
      <c r="C265" s="21"/>
      <c r="D265" s="21"/>
      <c r="E265" s="21"/>
      <c r="F265" s="22"/>
      <c r="G265" s="21"/>
      <c r="H265" s="21"/>
      <c r="I265" s="22"/>
      <c r="J265" s="21"/>
      <c r="K265" s="21"/>
      <c r="L265" s="21"/>
      <c r="M265" s="21"/>
      <c r="N265" s="21"/>
      <c r="O265" s="21"/>
    </row>
    <row r="266" spans="1:15" ht="14.45">
      <c r="A266" s="21"/>
      <c r="B266" s="33"/>
      <c r="C266" s="21"/>
      <c r="D266" s="21"/>
      <c r="E266" s="21"/>
      <c r="F266" s="22"/>
      <c r="G266" s="21"/>
      <c r="H266" s="21"/>
      <c r="I266" s="22"/>
      <c r="J266" s="21"/>
      <c r="K266" s="21"/>
      <c r="L266" s="21"/>
      <c r="M266" s="21"/>
      <c r="N266" s="21"/>
      <c r="O266" s="21"/>
    </row>
    <row r="267" spans="1:15" ht="14.45">
      <c r="A267" s="21"/>
      <c r="B267" s="33"/>
      <c r="C267" s="21"/>
      <c r="D267" s="21"/>
      <c r="E267" s="21"/>
      <c r="F267" s="22"/>
      <c r="G267" s="21"/>
      <c r="H267" s="21"/>
      <c r="I267" s="22"/>
      <c r="J267" s="21"/>
      <c r="K267" s="21"/>
      <c r="L267" s="21"/>
      <c r="M267" s="21"/>
      <c r="N267" s="21"/>
      <c r="O267" s="21"/>
    </row>
    <row r="268" spans="1:15" ht="14.45">
      <c r="A268" s="21"/>
      <c r="B268" s="33"/>
      <c r="C268" s="21"/>
      <c r="D268" s="21"/>
      <c r="E268" s="21"/>
      <c r="F268" s="22"/>
      <c r="G268" s="21"/>
      <c r="H268" s="21"/>
      <c r="I268" s="22"/>
      <c r="J268" s="21"/>
      <c r="K268" s="21"/>
      <c r="L268" s="21"/>
      <c r="M268" s="21"/>
      <c r="N268" s="21"/>
      <c r="O268" s="21"/>
    </row>
    <row r="269" spans="1:15" ht="14.45">
      <c r="A269" s="21"/>
      <c r="B269" s="33"/>
      <c r="C269" s="21"/>
      <c r="D269" s="21"/>
      <c r="E269" s="21"/>
      <c r="F269" s="22"/>
      <c r="G269" s="21"/>
      <c r="H269" s="21"/>
      <c r="I269" s="22"/>
      <c r="J269" s="21"/>
      <c r="K269" s="21"/>
      <c r="L269" s="21"/>
      <c r="M269" s="21"/>
      <c r="N269" s="21"/>
      <c r="O269" s="21"/>
    </row>
    <row r="270" spans="1:15" ht="14.45">
      <c r="A270" s="21"/>
      <c r="B270" s="33"/>
      <c r="C270" s="21"/>
      <c r="D270" s="21"/>
      <c r="E270" s="21"/>
      <c r="F270" s="22"/>
      <c r="G270" s="21"/>
      <c r="H270" s="21"/>
      <c r="I270" s="22"/>
      <c r="J270" s="21"/>
      <c r="K270" s="21"/>
      <c r="L270" s="21"/>
      <c r="M270" s="21"/>
      <c r="N270" s="21"/>
      <c r="O270" s="21"/>
    </row>
    <row r="271" spans="1:15" ht="14.45">
      <c r="A271" s="21"/>
      <c r="B271" s="33"/>
      <c r="C271" s="21"/>
      <c r="D271" s="21"/>
      <c r="E271" s="21"/>
      <c r="F271" s="22"/>
      <c r="G271" s="21"/>
      <c r="H271" s="21"/>
      <c r="I271" s="22"/>
      <c r="J271" s="21"/>
      <c r="K271" s="21"/>
      <c r="L271" s="21"/>
      <c r="M271" s="21"/>
      <c r="N271" s="21"/>
      <c r="O271" s="21"/>
    </row>
    <row r="272" spans="1:15" ht="14.45">
      <c r="A272" s="21"/>
      <c r="B272" s="33"/>
      <c r="C272" s="21"/>
      <c r="D272" s="21"/>
      <c r="E272" s="21"/>
      <c r="F272" s="22"/>
      <c r="G272" s="21"/>
      <c r="H272" s="21"/>
      <c r="I272" s="22"/>
      <c r="J272" s="21"/>
      <c r="K272" s="21"/>
      <c r="L272" s="21"/>
      <c r="M272" s="21"/>
      <c r="N272" s="21"/>
      <c r="O272" s="21"/>
    </row>
    <row r="273" spans="1:15" ht="14.45">
      <c r="A273" s="21"/>
      <c r="B273" s="33"/>
      <c r="C273" s="21"/>
      <c r="D273" s="21"/>
      <c r="E273" s="21"/>
      <c r="F273" s="22"/>
      <c r="G273" s="21"/>
      <c r="H273" s="21"/>
      <c r="I273" s="22"/>
      <c r="J273" s="21"/>
      <c r="K273" s="21"/>
      <c r="L273" s="21"/>
      <c r="M273" s="21"/>
      <c r="N273" s="21"/>
      <c r="O273" s="21"/>
    </row>
    <row r="274" spans="1:15" ht="14.45">
      <c r="A274" s="21"/>
      <c r="B274" s="33"/>
      <c r="C274" s="21"/>
      <c r="D274" s="21"/>
      <c r="E274" s="21"/>
      <c r="F274" s="22"/>
      <c r="G274" s="21"/>
      <c r="H274" s="21"/>
      <c r="I274" s="22"/>
      <c r="J274" s="21"/>
      <c r="K274" s="21"/>
      <c r="L274" s="21"/>
      <c r="M274" s="21"/>
      <c r="N274" s="21"/>
      <c r="O274" s="21"/>
    </row>
    <row r="275" spans="1:15" ht="14.45">
      <c r="A275" s="21"/>
      <c r="B275" s="33"/>
      <c r="C275" s="21"/>
      <c r="D275" s="21"/>
      <c r="E275" s="21"/>
      <c r="F275" s="22"/>
      <c r="G275" s="21"/>
      <c r="H275" s="21"/>
      <c r="I275" s="22"/>
      <c r="J275" s="21"/>
      <c r="K275" s="21"/>
      <c r="L275" s="21"/>
      <c r="M275" s="21"/>
      <c r="N275" s="21"/>
      <c r="O275" s="21"/>
    </row>
    <row r="276" spans="1:15" ht="14.45">
      <c r="A276" s="21"/>
      <c r="B276" s="33"/>
      <c r="C276" s="21"/>
      <c r="D276" s="21"/>
      <c r="E276" s="21"/>
      <c r="F276" s="22"/>
      <c r="G276" s="21"/>
      <c r="H276" s="21"/>
      <c r="I276" s="22"/>
      <c r="J276" s="21"/>
      <c r="K276" s="21"/>
      <c r="L276" s="21"/>
      <c r="M276" s="21"/>
      <c r="N276" s="21"/>
      <c r="O276" s="21"/>
    </row>
    <row r="277" spans="1:15" ht="14.45">
      <c r="A277" s="21"/>
      <c r="B277" s="33"/>
      <c r="C277" s="21"/>
      <c r="D277" s="21"/>
      <c r="E277" s="21"/>
      <c r="F277" s="22"/>
      <c r="G277" s="21"/>
      <c r="H277" s="21"/>
      <c r="I277" s="22"/>
      <c r="J277" s="21"/>
      <c r="K277" s="21"/>
      <c r="L277" s="21"/>
      <c r="M277" s="21"/>
      <c r="N277" s="21"/>
      <c r="O277" s="21"/>
    </row>
    <row r="278" spans="1:15" ht="14.45">
      <c r="A278" s="21"/>
      <c r="B278" s="33"/>
      <c r="C278" s="21"/>
      <c r="D278" s="21"/>
      <c r="E278" s="21"/>
      <c r="F278" s="22"/>
      <c r="G278" s="21"/>
      <c r="H278" s="21"/>
      <c r="I278" s="22"/>
      <c r="J278" s="21"/>
      <c r="K278" s="21"/>
      <c r="L278" s="21"/>
      <c r="M278" s="21"/>
      <c r="N278" s="21"/>
      <c r="O278" s="21"/>
    </row>
    <row r="279" spans="1:15" ht="14.45">
      <c r="A279" s="21"/>
      <c r="B279" s="33"/>
      <c r="C279" s="21"/>
      <c r="D279" s="21"/>
      <c r="E279" s="21"/>
      <c r="F279" s="22"/>
      <c r="G279" s="21"/>
      <c r="H279" s="21"/>
      <c r="I279" s="22"/>
      <c r="J279" s="21"/>
      <c r="K279" s="21"/>
      <c r="L279" s="21"/>
      <c r="M279" s="21"/>
      <c r="N279" s="21"/>
      <c r="O279" s="21"/>
    </row>
    <row r="280" spans="1:15" ht="14.45">
      <c r="A280" s="21"/>
      <c r="B280" s="33"/>
      <c r="C280" s="21"/>
      <c r="D280" s="21"/>
      <c r="E280" s="21"/>
      <c r="F280" s="22"/>
      <c r="G280" s="21"/>
      <c r="H280" s="21"/>
      <c r="I280" s="22"/>
      <c r="J280" s="21"/>
      <c r="K280" s="21"/>
      <c r="L280" s="21"/>
      <c r="M280" s="21"/>
      <c r="N280" s="21"/>
      <c r="O280" s="21"/>
    </row>
    <row r="281" spans="1:15" ht="14.45">
      <c r="A281" s="21"/>
      <c r="B281" s="33"/>
      <c r="C281" s="21"/>
      <c r="D281" s="21"/>
      <c r="E281" s="21"/>
      <c r="F281" s="22"/>
      <c r="G281" s="21"/>
      <c r="H281" s="21"/>
      <c r="I281" s="22"/>
      <c r="J281" s="21"/>
      <c r="K281" s="21"/>
      <c r="L281" s="21"/>
      <c r="M281" s="21"/>
      <c r="N281" s="21"/>
      <c r="O281" s="21"/>
    </row>
    <row r="282" spans="1:15" ht="14.45">
      <c r="A282" s="21"/>
      <c r="B282" s="33"/>
      <c r="C282" s="21"/>
      <c r="D282" s="21"/>
      <c r="E282" s="21"/>
      <c r="F282" s="22"/>
      <c r="G282" s="21"/>
      <c r="H282" s="21"/>
      <c r="I282" s="22"/>
      <c r="J282" s="21"/>
      <c r="K282" s="21"/>
      <c r="L282" s="21"/>
      <c r="M282" s="21"/>
      <c r="N282" s="21"/>
      <c r="O282" s="21"/>
    </row>
    <row r="283" spans="1:15" ht="14.45">
      <c r="A283" s="21"/>
      <c r="B283" s="33"/>
      <c r="C283" s="21"/>
      <c r="D283" s="21"/>
      <c r="E283" s="21"/>
      <c r="F283" s="22"/>
      <c r="G283" s="21"/>
      <c r="H283" s="21"/>
      <c r="I283" s="22"/>
      <c r="J283" s="21"/>
      <c r="K283" s="21"/>
      <c r="L283" s="21"/>
      <c r="M283" s="21"/>
      <c r="N283" s="21"/>
      <c r="O283" s="21"/>
    </row>
    <row r="284" spans="1:15" ht="14.45">
      <c r="A284" s="21"/>
      <c r="B284" s="33"/>
      <c r="C284" s="21"/>
      <c r="D284" s="21"/>
      <c r="E284" s="21"/>
      <c r="F284" s="22"/>
      <c r="G284" s="21"/>
      <c r="H284" s="21"/>
      <c r="I284" s="22"/>
      <c r="J284" s="21"/>
      <c r="K284" s="21"/>
      <c r="L284" s="21"/>
      <c r="M284" s="21"/>
      <c r="N284" s="21"/>
      <c r="O284" s="21"/>
    </row>
    <row r="285" spans="1:15" ht="14.45">
      <c r="A285" s="21"/>
      <c r="B285" s="33"/>
      <c r="C285" s="21"/>
      <c r="D285" s="21"/>
      <c r="E285" s="21"/>
      <c r="F285" s="22"/>
      <c r="G285" s="21"/>
      <c r="H285" s="21"/>
      <c r="I285" s="22"/>
      <c r="J285" s="21"/>
      <c r="K285" s="21"/>
      <c r="L285" s="21"/>
      <c r="M285" s="21"/>
      <c r="N285" s="21"/>
      <c r="O285" s="21"/>
    </row>
    <row r="286" spans="1:15" ht="14.45">
      <c r="A286" s="21"/>
      <c r="B286" s="33"/>
      <c r="C286" s="21"/>
      <c r="D286" s="21"/>
      <c r="E286" s="21"/>
      <c r="F286" s="22"/>
      <c r="G286" s="21"/>
      <c r="H286" s="21"/>
      <c r="I286" s="22"/>
      <c r="J286" s="21"/>
      <c r="K286" s="21"/>
      <c r="L286" s="21"/>
      <c r="M286" s="21"/>
      <c r="N286" s="21"/>
      <c r="O286" s="21"/>
    </row>
    <row r="287" spans="1:15" ht="14.45">
      <c r="A287" s="21"/>
      <c r="B287" s="33"/>
      <c r="C287" s="21"/>
      <c r="D287" s="21"/>
      <c r="E287" s="21"/>
      <c r="F287" s="22"/>
      <c r="G287" s="21"/>
      <c r="H287" s="21"/>
      <c r="I287" s="22"/>
      <c r="J287" s="21"/>
      <c r="K287" s="21"/>
      <c r="L287" s="21"/>
      <c r="M287" s="21"/>
      <c r="N287" s="21"/>
      <c r="O287" s="21"/>
    </row>
    <row r="288" spans="1:15" ht="14.45">
      <c r="A288" s="21"/>
      <c r="B288" s="33"/>
      <c r="C288" s="21"/>
      <c r="D288" s="21"/>
      <c r="E288" s="21"/>
      <c r="F288" s="22"/>
      <c r="G288" s="21"/>
      <c r="H288" s="21"/>
      <c r="I288" s="22"/>
      <c r="J288" s="21"/>
      <c r="K288" s="21"/>
      <c r="L288" s="21"/>
      <c r="M288" s="21"/>
      <c r="N288" s="21"/>
      <c r="O288" s="21"/>
    </row>
    <row r="289" spans="1:15" ht="14.45">
      <c r="A289" s="21"/>
      <c r="B289" s="33"/>
      <c r="C289" s="21"/>
      <c r="D289" s="21"/>
      <c r="E289" s="21"/>
      <c r="F289" s="22"/>
      <c r="G289" s="21"/>
      <c r="H289" s="21"/>
      <c r="I289" s="22"/>
      <c r="J289" s="21"/>
      <c r="K289" s="21"/>
      <c r="L289" s="21"/>
      <c r="M289" s="21"/>
      <c r="N289" s="21"/>
      <c r="O289" s="21"/>
    </row>
    <row r="290" spans="1:15" ht="14.45">
      <c r="A290" s="21"/>
      <c r="B290" s="33"/>
      <c r="C290" s="21"/>
      <c r="D290" s="21"/>
      <c r="E290" s="21"/>
      <c r="F290" s="22"/>
      <c r="G290" s="21"/>
      <c r="H290" s="21"/>
      <c r="I290" s="22"/>
      <c r="J290" s="21"/>
      <c r="K290" s="21"/>
      <c r="L290" s="21"/>
      <c r="M290" s="21"/>
      <c r="N290" s="21"/>
      <c r="O290" s="21"/>
    </row>
    <row r="291" spans="1:15" ht="14.45">
      <c r="A291" s="21"/>
      <c r="B291" s="33"/>
      <c r="C291" s="21"/>
      <c r="D291" s="21"/>
      <c r="E291" s="21"/>
      <c r="F291" s="22"/>
      <c r="G291" s="21"/>
      <c r="H291" s="21"/>
      <c r="I291" s="22"/>
      <c r="J291" s="21"/>
      <c r="K291" s="21"/>
      <c r="L291" s="21"/>
      <c r="M291" s="21"/>
      <c r="N291" s="21"/>
      <c r="O291" s="21"/>
    </row>
    <row r="292" spans="1:15" ht="14.45">
      <c r="A292" s="21"/>
      <c r="B292" s="33"/>
      <c r="C292" s="21"/>
      <c r="D292" s="21"/>
      <c r="E292" s="21"/>
      <c r="F292" s="22"/>
      <c r="G292" s="21"/>
      <c r="H292" s="21"/>
      <c r="I292" s="22"/>
      <c r="J292" s="21"/>
      <c r="K292" s="21"/>
      <c r="L292" s="21"/>
      <c r="M292" s="21"/>
      <c r="N292" s="21"/>
      <c r="O292" s="21"/>
    </row>
    <row r="293" spans="1:15" ht="14.45">
      <c r="A293" s="21"/>
      <c r="B293" s="33"/>
      <c r="C293" s="21"/>
      <c r="D293" s="21"/>
      <c r="E293" s="21"/>
      <c r="F293" s="22"/>
      <c r="G293" s="21"/>
      <c r="H293" s="21"/>
      <c r="I293" s="22"/>
      <c r="J293" s="21"/>
      <c r="K293" s="21"/>
      <c r="L293" s="21"/>
      <c r="M293" s="21"/>
      <c r="N293" s="21"/>
      <c r="O293" s="21"/>
    </row>
    <row r="294" spans="1:15" ht="14.45">
      <c r="A294" s="21"/>
      <c r="B294" s="33"/>
      <c r="C294" s="21"/>
      <c r="D294" s="21"/>
      <c r="E294" s="21"/>
      <c r="F294" s="22"/>
      <c r="G294" s="21"/>
      <c r="H294" s="21"/>
      <c r="I294" s="22"/>
      <c r="J294" s="21"/>
      <c r="K294" s="21"/>
      <c r="L294" s="21"/>
      <c r="M294" s="21"/>
      <c r="N294" s="21"/>
      <c r="O294" s="21"/>
    </row>
    <row r="295" spans="1:15" ht="14.45">
      <c r="A295" s="21"/>
      <c r="B295" s="33"/>
      <c r="C295" s="21"/>
      <c r="D295" s="21"/>
      <c r="E295" s="21"/>
      <c r="F295" s="22"/>
      <c r="G295" s="21"/>
      <c r="H295" s="21"/>
      <c r="I295" s="22"/>
      <c r="J295" s="21"/>
      <c r="K295" s="21"/>
      <c r="L295" s="21"/>
      <c r="M295" s="21"/>
      <c r="N295" s="21"/>
      <c r="O295" s="21"/>
    </row>
    <row r="296" spans="1:15" ht="14.45">
      <c r="A296" s="21"/>
      <c r="B296" s="33"/>
      <c r="C296" s="21"/>
      <c r="D296" s="21"/>
      <c r="E296" s="21"/>
      <c r="F296" s="22"/>
      <c r="G296" s="21"/>
      <c r="H296" s="21"/>
      <c r="I296" s="22"/>
      <c r="J296" s="21"/>
      <c r="K296" s="21"/>
      <c r="L296" s="21"/>
      <c r="M296" s="21"/>
      <c r="N296" s="21"/>
      <c r="O296" s="21"/>
    </row>
    <row r="297" spans="1:15" ht="14.45">
      <c r="A297" s="21"/>
      <c r="B297" s="33"/>
      <c r="C297" s="21"/>
      <c r="D297" s="21"/>
      <c r="E297" s="21"/>
      <c r="F297" s="22"/>
      <c r="G297" s="21"/>
      <c r="H297" s="21"/>
      <c r="I297" s="22"/>
      <c r="J297" s="21"/>
      <c r="K297" s="21"/>
      <c r="L297" s="21"/>
      <c r="M297" s="21"/>
      <c r="N297" s="21"/>
      <c r="O297" s="21"/>
    </row>
    <row r="298" spans="1:15" ht="14.45">
      <c r="A298" s="21"/>
      <c r="B298" s="33"/>
      <c r="C298" s="21"/>
      <c r="D298" s="21"/>
      <c r="E298" s="21"/>
      <c r="F298" s="22"/>
      <c r="G298" s="21"/>
      <c r="H298" s="21"/>
      <c r="I298" s="22"/>
      <c r="J298" s="21"/>
      <c r="K298" s="21"/>
      <c r="L298" s="21"/>
      <c r="M298" s="21"/>
      <c r="N298" s="21"/>
      <c r="O298" s="21"/>
    </row>
    <row r="299" spans="1:15" ht="14.45">
      <c r="A299" s="21"/>
      <c r="B299" s="33"/>
      <c r="C299" s="21"/>
      <c r="D299" s="21"/>
      <c r="E299" s="21"/>
      <c r="F299" s="22"/>
      <c r="G299" s="21"/>
      <c r="H299" s="21"/>
      <c r="I299" s="22"/>
      <c r="J299" s="21"/>
      <c r="K299" s="21"/>
      <c r="L299" s="21"/>
      <c r="M299" s="21"/>
      <c r="N299" s="21"/>
      <c r="O299" s="21"/>
    </row>
    <row r="300" spans="1:15" ht="14.45">
      <c r="A300" s="21"/>
      <c r="B300" s="33"/>
      <c r="C300" s="21"/>
      <c r="D300" s="21"/>
      <c r="E300" s="21"/>
      <c r="F300" s="22"/>
      <c r="G300" s="21"/>
      <c r="H300" s="21"/>
      <c r="I300" s="22"/>
      <c r="J300" s="21"/>
      <c r="K300" s="21"/>
      <c r="L300" s="21"/>
      <c r="M300" s="21"/>
      <c r="N300" s="21"/>
      <c r="O300" s="21"/>
    </row>
    <row r="301" spans="1:15" ht="14.45">
      <c r="A301" s="21"/>
      <c r="B301" s="33"/>
      <c r="C301" s="21"/>
      <c r="D301" s="21"/>
      <c r="E301" s="21"/>
      <c r="F301" s="22"/>
      <c r="G301" s="21"/>
      <c r="H301" s="21"/>
      <c r="I301" s="22"/>
      <c r="J301" s="21"/>
      <c r="K301" s="21"/>
      <c r="L301" s="21"/>
      <c r="M301" s="21"/>
      <c r="N301" s="21"/>
      <c r="O301" s="21"/>
    </row>
    <row r="302" spans="1:15" ht="14.45">
      <c r="A302" s="21"/>
      <c r="B302" s="33"/>
      <c r="C302" s="21"/>
      <c r="D302" s="21"/>
      <c r="E302" s="21"/>
      <c r="F302" s="22"/>
      <c r="G302" s="21"/>
      <c r="H302" s="21"/>
      <c r="I302" s="22"/>
      <c r="J302" s="21"/>
      <c r="K302" s="21"/>
      <c r="L302" s="21"/>
      <c r="M302" s="21"/>
      <c r="N302" s="21"/>
      <c r="O302" s="21"/>
    </row>
    <row r="303" spans="1:15" ht="14.45">
      <c r="A303" s="21"/>
      <c r="B303" s="33"/>
      <c r="C303" s="21"/>
      <c r="D303" s="21"/>
      <c r="E303" s="21"/>
      <c r="F303" s="22"/>
      <c r="G303" s="21"/>
      <c r="H303" s="21"/>
      <c r="I303" s="22"/>
      <c r="J303" s="21"/>
      <c r="K303" s="21"/>
      <c r="L303" s="21"/>
      <c r="M303" s="21"/>
      <c r="N303" s="21"/>
      <c r="O303" s="21"/>
    </row>
    <row r="304" spans="1:15" ht="14.45">
      <c r="A304" s="21"/>
      <c r="B304" s="33"/>
      <c r="C304" s="21"/>
      <c r="D304" s="21"/>
      <c r="E304" s="21"/>
      <c r="F304" s="22"/>
      <c r="G304" s="21"/>
      <c r="H304" s="21"/>
      <c r="I304" s="22"/>
      <c r="J304" s="21"/>
      <c r="K304" s="21"/>
      <c r="L304" s="21"/>
      <c r="M304" s="21"/>
      <c r="N304" s="21"/>
      <c r="O304" s="21"/>
    </row>
    <row r="305" spans="1:15" ht="14.45">
      <c r="A305" s="21"/>
      <c r="B305" s="33"/>
      <c r="C305" s="21"/>
      <c r="D305" s="21"/>
      <c r="E305" s="21"/>
      <c r="F305" s="22"/>
      <c r="G305" s="21"/>
      <c r="H305" s="21"/>
      <c r="I305" s="22"/>
      <c r="J305" s="21"/>
      <c r="K305" s="21"/>
      <c r="L305" s="21"/>
      <c r="M305" s="21"/>
      <c r="N305" s="21"/>
      <c r="O305" s="21"/>
    </row>
    <row r="306" spans="1:15" ht="14.45">
      <c r="A306" s="21"/>
      <c r="B306" s="33"/>
      <c r="C306" s="21"/>
      <c r="D306" s="21"/>
      <c r="E306" s="21"/>
      <c r="F306" s="22"/>
      <c r="G306" s="21"/>
      <c r="H306" s="21"/>
      <c r="I306" s="22"/>
      <c r="J306" s="21"/>
      <c r="K306" s="21"/>
      <c r="L306" s="21"/>
      <c r="M306" s="21"/>
      <c r="N306" s="21"/>
      <c r="O306" s="21"/>
    </row>
    <row r="307" spans="1:15" ht="14.45">
      <c r="A307" s="21"/>
      <c r="B307" s="33"/>
      <c r="C307" s="21"/>
      <c r="D307" s="21"/>
      <c r="E307" s="21"/>
      <c r="F307" s="22"/>
      <c r="G307" s="21"/>
      <c r="H307" s="21"/>
      <c r="I307" s="22"/>
      <c r="J307" s="21"/>
      <c r="K307" s="21"/>
      <c r="L307" s="21"/>
      <c r="M307" s="21"/>
      <c r="N307" s="21"/>
      <c r="O307" s="21"/>
    </row>
    <row r="308" spans="1:15" ht="14.45">
      <c r="A308" s="21"/>
      <c r="B308" s="33"/>
      <c r="C308" s="21"/>
      <c r="D308" s="21"/>
      <c r="E308" s="21"/>
      <c r="F308" s="22"/>
      <c r="G308" s="21"/>
      <c r="H308" s="21"/>
      <c r="I308" s="22"/>
      <c r="J308" s="21"/>
      <c r="K308" s="21"/>
      <c r="L308" s="21"/>
      <c r="M308" s="21"/>
      <c r="N308" s="21"/>
      <c r="O308" s="21"/>
    </row>
    <row r="309" spans="1:15" ht="14.45">
      <c r="A309" s="21"/>
      <c r="B309" s="33"/>
      <c r="C309" s="21"/>
      <c r="D309" s="21"/>
      <c r="E309" s="21"/>
      <c r="F309" s="22"/>
      <c r="G309" s="21"/>
      <c r="H309" s="21"/>
      <c r="I309" s="22"/>
      <c r="J309" s="21"/>
      <c r="K309" s="21"/>
      <c r="L309" s="21"/>
      <c r="M309" s="21"/>
      <c r="N309" s="21"/>
      <c r="O309" s="21"/>
    </row>
    <row r="310" spans="1:15" ht="14.45">
      <c r="A310" s="21"/>
      <c r="B310" s="33"/>
      <c r="C310" s="21"/>
      <c r="D310" s="21"/>
      <c r="E310" s="21"/>
      <c r="F310" s="22"/>
      <c r="G310" s="21"/>
      <c r="H310" s="21"/>
      <c r="I310" s="22"/>
      <c r="J310" s="21"/>
      <c r="K310" s="21"/>
      <c r="L310" s="21"/>
      <c r="M310" s="21"/>
      <c r="N310" s="21"/>
      <c r="O310" s="21"/>
    </row>
    <row r="311" spans="1:15" ht="14.45">
      <c r="A311" s="21"/>
      <c r="B311" s="33"/>
      <c r="C311" s="21"/>
      <c r="D311" s="21"/>
      <c r="E311" s="21"/>
      <c r="F311" s="22"/>
      <c r="G311" s="21"/>
      <c r="H311" s="21"/>
      <c r="I311" s="22"/>
      <c r="J311" s="21"/>
      <c r="K311" s="21"/>
      <c r="L311" s="21"/>
      <c r="M311" s="21"/>
      <c r="N311" s="21"/>
      <c r="O311" s="21"/>
    </row>
    <row r="312" spans="1:15" ht="14.45">
      <c r="A312" s="21"/>
      <c r="B312" s="33"/>
      <c r="C312" s="21"/>
      <c r="D312" s="21"/>
      <c r="E312" s="21"/>
      <c r="F312" s="22"/>
      <c r="G312" s="21"/>
      <c r="H312" s="21"/>
      <c r="I312" s="22"/>
      <c r="J312" s="21"/>
      <c r="K312" s="21"/>
      <c r="L312" s="21"/>
      <c r="M312" s="21"/>
      <c r="N312" s="21"/>
      <c r="O312" s="21"/>
    </row>
    <row r="313" spans="1:15" ht="14.45">
      <c r="A313" s="21"/>
      <c r="B313" s="33"/>
      <c r="C313" s="21"/>
      <c r="D313" s="21"/>
      <c r="E313" s="21"/>
      <c r="F313" s="22"/>
      <c r="G313" s="21"/>
      <c r="H313" s="21"/>
      <c r="I313" s="22"/>
      <c r="J313" s="21"/>
      <c r="K313" s="21"/>
      <c r="L313" s="21"/>
      <c r="M313" s="21"/>
      <c r="N313" s="21"/>
      <c r="O313" s="21"/>
    </row>
    <row r="314" spans="1:15" ht="14.45">
      <c r="A314" s="21"/>
      <c r="B314" s="33"/>
      <c r="C314" s="21"/>
      <c r="D314" s="21"/>
      <c r="E314" s="21"/>
      <c r="F314" s="22"/>
      <c r="G314" s="21"/>
      <c r="H314" s="21"/>
      <c r="I314" s="22"/>
      <c r="J314" s="21"/>
      <c r="K314" s="21"/>
      <c r="L314" s="21"/>
      <c r="M314" s="21"/>
      <c r="N314" s="21"/>
      <c r="O314" s="21"/>
    </row>
    <row r="315" spans="1:15" ht="14.45">
      <c r="A315" s="21"/>
      <c r="B315" s="33"/>
      <c r="C315" s="21"/>
      <c r="D315" s="21"/>
      <c r="E315" s="21"/>
      <c r="F315" s="22"/>
      <c r="G315" s="21"/>
      <c r="H315" s="21"/>
      <c r="I315" s="22"/>
      <c r="J315" s="21"/>
      <c r="K315" s="21"/>
      <c r="L315" s="21"/>
      <c r="M315" s="21"/>
      <c r="N315" s="21"/>
      <c r="O315" s="21"/>
    </row>
    <row r="316" spans="1:15" ht="14.45">
      <c r="A316" s="21"/>
      <c r="B316" s="33"/>
      <c r="C316" s="21"/>
      <c r="D316" s="21"/>
      <c r="E316" s="21"/>
      <c r="F316" s="22"/>
      <c r="G316" s="21"/>
      <c r="H316" s="21"/>
      <c r="I316" s="22"/>
      <c r="J316" s="21"/>
      <c r="K316" s="21"/>
      <c r="L316" s="21"/>
      <c r="M316" s="21"/>
      <c r="N316" s="21"/>
      <c r="O316" s="21"/>
    </row>
    <row r="317" spans="1:15" ht="14.45">
      <c r="A317" s="21"/>
      <c r="B317" s="33"/>
      <c r="C317" s="21"/>
      <c r="D317" s="21"/>
      <c r="E317" s="21"/>
      <c r="F317" s="22"/>
      <c r="G317" s="21"/>
      <c r="H317" s="21"/>
      <c r="I317" s="22"/>
      <c r="J317" s="21"/>
      <c r="K317" s="21"/>
      <c r="L317" s="21"/>
      <c r="M317" s="21"/>
      <c r="N317" s="21"/>
      <c r="O317" s="21"/>
    </row>
    <row r="318" spans="1:15" ht="14.45">
      <c r="A318" s="21"/>
      <c r="B318" s="33"/>
      <c r="C318" s="21"/>
      <c r="D318" s="21"/>
      <c r="E318" s="21"/>
      <c r="F318" s="22"/>
      <c r="G318" s="21"/>
      <c r="H318" s="21"/>
      <c r="I318" s="22"/>
      <c r="J318" s="21"/>
      <c r="K318" s="21"/>
      <c r="L318" s="21"/>
      <c r="M318" s="21"/>
      <c r="N318" s="21"/>
      <c r="O318" s="21"/>
    </row>
    <row r="319" spans="1:15" ht="14.45">
      <c r="A319" s="21"/>
      <c r="B319" s="33"/>
      <c r="C319" s="21"/>
      <c r="D319" s="21"/>
      <c r="E319" s="21"/>
      <c r="F319" s="22"/>
      <c r="G319" s="21"/>
      <c r="H319" s="21"/>
      <c r="I319" s="22"/>
      <c r="J319" s="21"/>
      <c r="K319" s="21"/>
      <c r="L319" s="21"/>
      <c r="M319" s="21"/>
      <c r="N319" s="21"/>
      <c r="O319" s="21"/>
    </row>
    <row r="320" spans="1:15" ht="14.45">
      <c r="A320" s="21"/>
      <c r="B320" s="33"/>
      <c r="C320" s="21"/>
      <c r="D320" s="21"/>
      <c r="E320" s="21"/>
      <c r="F320" s="22"/>
      <c r="G320" s="21"/>
      <c r="H320" s="21"/>
      <c r="I320" s="22"/>
      <c r="J320" s="21"/>
      <c r="K320" s="21"/>
      <c r="L320" s="21"/>
      <c r="M320" s="21"/>
      <c r="N320" s="21"/>
      <c r="O320" s="21"/>
    </row>
    <row r="321" spans="1:15" ht="14.45">
      <c r="A321" s="21"/>
      <c r="B321" s="33"/>
      <c r="C321" s="21"/>
      <c r="D321" s="21"/>
      <c r="E321" s="21"/>
      <c r="F321" s="22"/>
      <c r="G321" s="21"/>
      <c r="H321" s="21"/>
      <c r="I321" s="22"/>
      <c r="J321" s="21"/>
      <c r="K321" s="21"/>
      <c r="L321" s="21"/>
      <c r="M321" s="21"/>
      <c r="N321" s="21"/>
      <c r="O321" s="21"/>
    </row>
    <row r="322" spans="1:15" ht="14.45">
      <c r="A322" s="21"/>
      <c r="B322" s="33"/>
      <c r="C322" s="21"/>
      <c r="D322" s="21"/>
      <c r="E322" s="21"/>
      <c r="F322" s="22"/>
      <c r="G322" s="21"/>
      <c r="H322" s="21"/>
      <c r="I322" s="22"/>
      <c r="J322" s="21"/>
      <c r="K322" s="21"/>
      <c r="L322" s="21"/>
      <c r="M322" s="21"/>
      <c r="N322" s="21"/>
      <c r="O322" s="21"/>
    </row>
    <row r="323" spans="1:15" ht="14.45">
      <c r="A323" s="21"/>
      <c r="B323" s="33"/>
      <c r="C323" s="21"/>
      <c r="D323" s="21"/>
      <c r="E323" s="21"/>
      <c r="F323" s="22"/>
      <c r="G323" s="21"/>
      <c r="H323" s="21"/>
      <c r="I323" s="22"/>
      <c r="J323" s="21"/>
      <c r="K323" s="21"/>
      <c r="L323" s="21"/>
      <c r="M323" s="21"/>
      <c r="N323" s="21"/>
      <c r="O323" s="21"/>
    </row>
    <row r="324" spans="1:15" ht="14.45">
      <c r="A324" s="21"/>
      <c r="B324" s="33"/>
      <c r="C324" s="21"/>
      <c r="D324" s="21"/>
      <c r="E324" s="21"/>
      <c r="F324" s="22"/>
      <c r="G324" s="21"/>
      <c r="H324" s="21"/>
      <c r="I324" s="22"/>
      <c r="J324" s="21"/>
      <c r="K324" s="21"/>
      <c r="L324" s="21"/>
      <c r="M324" s="21"/>
      <c r="N324" s="21"/>
      <c r="O324" s="21"/>
    </row>
    <row r="325" spans="1:15" ht="14.45">
      <c r="A325" s="21"/>
      <c r="B325" s="33"/>
      <c r="C325" s="21"/>
      <c r="D325" s="21"/>
      <c r="E325" s="21"/>
      <c r="F325" s="22"/>
      <c r="G325" s="21"/>
      <c r="H325" s="21"/>
      <c r="I325" s="22"/>
      <c r="J325" s="21"/>
      <c r="K325" s="21"/>
      <c r="L325" s="21"/>
      <c r="M325" s="21"/>
      <c r="N325" s="21"/>
      <c r="O325" s="21"/>
    </row>
    <row r="326" spans="1:15" ht="14.45">
      <c r="A326" s="21"/>
      <c r="B326" s="33"/>
      <c r="C326" s="21"/>
      <c r="D326" s="21"/>
      <c r="E326" s="21"/>
      <c r="F326" s="22"/>
      <c r="G326" s="21"/>
      <c r="H326" s="21"/>
      <c r="I326" s="22"/>
      <c r="J326" s="21"/>
      <c r="K326" s="21"/>
      <c r="L326" s="21"/>
      <c r="M326" s="21"/>
      <c r="N326" s="21"/>
      <c r="O326" s="21"/>
    </row>
    <row r="327" spans="1:15" ht="14.45">
      <c r="A327" s="21"/>
      <c r="B327" s="33"/>
      <c r="C327" s="21"/>
      <c r="D327" s="21"/>
      <c r="E327" s="21"/>
      <c r="F327" s="22"/>
      <c r="G327" s="21"/>
      <c r="H327" s="21"/>
      <c r="I327" s="22"/>
      <c r="J327" s="21"/>
      <c r="K327" s="21"/>
      <c r="L327" s="21"/>
      <c r="M327" s="21"/>
      <c r="N327" s="21"/>
      <c r="O327" s="21"/>
    </row>
    <row r="328" spans="1:15" ht="14.45">
      <c r="A328" s="21"/>
      <c r="B328" s="33"/>
      <c r="C328" s="21"/>
      <c r="D328" s="21"/>
      <c r="E328" s="21"/>
      <c r="F328" s="22"/>
      <c r="G328" s="21"/>
      <c r="H328" s="21"/>
      <c r="I328" s="22"/>
      <c r="J328" s="21"/>
      <c r="K328" s="21"/>
      <c r="L328" s="21"/>
      <c r="M328" s="21"/>
      <c r="N328" s="21"/>
      <c r="O328" s="21"/>
    </row>
    <row r="329" spans="1:15" ht="14.45">
      <c r="A329" s="21"/>
      <c r="B329" s="33"/>
      <c r="C329" s="21"/>
      <c r="D329" s="21"/>
      <c r="E329" s="21"/>
      <c r="F329" s="22"/>
      <c r="G329" s="21"/>
      <c r="H329" s="21"/>
      <c r="I329" s="22"/>
      <c r="J329" s="21"/>
      <c r="K329" s="21"/>
      <c r="L329" s="21"/>
      <c r="M329" s="21"/>
      <c r="N329" s="21"/>
      <c r="O329" s="21"/>
    </row>
    <row r="330" spans="1:15" ht="14.45">
      <c r="A330" s="21"/>
      <c r="B330" s="33"/>
      <c r="C330" s="21"/>
      <c r="D330" s="21"/>
      <c r="E330" s="21"/>
      <c r="F330" s="22"/>
      <c r="G330" s="21"/>
      <c r="H330" s="21"/>
      <c r="I330" s="22"/>
      <c r="J330" s="21"/>
      <c r="K330" s="21"/>
      <c r="L330" s="21"/>
      <c r="M330" s="21"/>
      <c r="N330" s="21"/>
      <c r="O330" s="21"/>
    </row>
    <row r="331" spans="1:15" ht="14.45">
      <c r="A331" s="21"/>
      <c r="B331" s="33"/>
      <c r="C331" s="21"/>
      <c r="D331" s="21"/>
      <c r="E331" s="21"/>
      <c r="F331" s="22"/>
      <c r="G331" s="21"/>
      <c r="H331" s="21"/>
      <c r="I331" s="22"/>
      <c r="J331" s="21"/>
      <c r="K331" s="21"/>
      <c r="L331" s="21"/>
      <c r="M331" s="21"/>
      <c r="N331" s="21"/>
      <c r="O331" s="21"/>
    </row>
    <row r="332" spans="1:15" ht="14.45">
      <c r="A332" s="21"/>
      <c r="B332" s="33"/>
      <c r="C332" s="21"/>
      <c r="D332" s="21"/>
      <c r="E332" s="21"/>
      <c r="F332" s="22"/>
      <c r="G332" s="21"/>
      <c r="H332" s="21"/>
      <c r="I332" s="22"/>
      <c r="J332" s="21"/>
      <c r="K332" s="21"/>
      <c r="L332" s="21"/>
      <c r="M332" s="21"/>
      <c r="N332" s="21"/>
      <c r="O332" s="21"/>
    </row>
    <row r="333" spans="1:15" ht="14.45">
      <c r="A333" s="21"/>
      <c r="B333" s="33"/>
      <c r="C333" s="21"/>
      <c r="D333" s="21"/>
      <c r="E333" s="21"/>
      <c r="F333" s="22"/>
      <c r="G333" s="21"/>
      <c r="H333" s="21"/>
      <c r="I333" s="22"/>
      <c r="J333" s="21"/>
      <c r="K333" s="21"/>
      <c r="L333" s="21"/>
      <c r="M333" s="21"/>
      <c r="N333" s="21"/>
      <c r="O333" s="21"/>
    </row>
    <row r="334" spans="1:15" ht="14.45">
      <c r="A334" s="21"/>
      <c r="B334" s="33"/>
      <c r="C334" s="21"/>
      <c r="D334" s="21"/>
      <c r="E334" s="21"/>
      <c r="F334" s="22"/>
      <c r="G334" s="21"/>
      <c r="H334" s="21"/>
      <c r="I334" s="22"/>
      <c r="J334" s="21"/>
      <c r="K334" s="21"/>
      <c r="L334" s="21"/>
      <c r="M334" s="21"/>
      <c r="N334" s="21"/>
      <c r="O334" s="21"/>
    </row>
    <row r="335" spans="1:15" ht="14.45">
      <c r="A335" s="21"/>
      <c r="B335" s="33"/>
      <c r="C335" s="21"/>
      <c r="D335" s="21"/>
      <c r="E335" s="21"/>
      <c r="F335" s="22"/>
      <c r="G335" s="21"/>
      <c r="H335" s="21"/>
      <c r="I335" s="22"/>
      <c r="J335" s="21"/>
      <c r="K335" s="21"/>
      <c r="L335" s="21"/>
      <c r="M335" s="21"/>
      <c r="N335" s="21"/>
      <c r="O335" s="21"/>
    </row>
    <row r="336" spans="1:15" ht="14.45">
      <c r="A336" s="21"/>
      <c r="B336" s="33"/>
      <c r="C336" s="21"/>
      <c r="D336" s="21"/>
      <c r="E336" s="21"/>
      <c r="F336" s="22"/>
      <c r="G336" s="21"/>
      <c r="H336" s="21"/>
      <c r="I336" s="22"/>
      <c r="J336" s="21"/>
      <c r="K336" s="21"/>
      <c r="L336" s="21"/>
      <c r="M336" s="21"/>
      <c r="N336" s="21"/>
      <c r="O336" s="21"/>
    </row>
    <row r="337" spans="1:15" ht="14.45">
      <c r="A337" s="21"/>
      <c r="B337" s="33"/>
      <c r="C337" s="21"/>
      <c r="D337" s="21"/>
      <c r="E337" s="21"/>
      <c r="F337" s="22"/>
      <c r="G337" s="21"/>
      <c r="H337" s="21"/>
      <c r="I337" s="22"/>
      <c r="J337" s="21"/>
      <c r="K337" s="21"/>
      <c r="L337" s="21"/>
      <c r="M337" s="21"/>
      <c r="N337" s="21"/>
      <c r="O337" s="21"/>
    </row>
    <row r="338" spans="1:15" ht="14.45">
      <c r="A338" s="21"/>
      <c r="B338" s="33"/>
      <c r="C338" s="21"/>
      <c r="D338" s="21"/>
      <c r="E338" s="21"/>
      <c r="F338" s="22"/>
      <c r="G338" s="21"/>
      <c r="H338" s="21"/>
      <c r="I338" s="22"/>
      <c r="J338" s="21"/>
      <c r="K338" s="21"/>
      <c r="L338" s="21"/>
      <c r="M338" s="21"/>
      <c r="N338" s="21"/>
      <c r="O338" s="21"/>
    </row>
    <row r="339" spans="1:15" ht="14.45">
      <c r="A339" s="21"/>
      <c r="B339" s="33"/>
      <c r="C339" s="21"/>
      <c r="D339" s="21"/>
      <c r="E339" s="21"/>
      <c r="F339" s="22"/>
      <c r="G339" s="21"/>
      <c r="H339" s="21"/>
      <c r="I339" s="22"/>
      <c r="J339" s="21"/>
      <c r="K339" s="21"/>
      <c r="L339" s="21"/>
      <c r="M339" s="21"/>
      <c r="N339" s="21"/>
      <c r="O339" s="21"/>
    </row>
    <row r="340" spans="1:15" ht="14.45">
      <c r="A340" s="21"/>
      <c r="B340" s="33"/>
      <c r="C340" s="21"/>
      <c r="D340" s="21"/>
      <c r="E340" s="21"/>
      <c r="F340" s="22"/>
      <c r="G340" s="21"/>
      <c r="H340" s="21"/>
      <c r="I340" s="22"/>
      <c r="J340" s="21"/>
      <c r="K340" s="21"/>
      <c r="L340" s="21"/>
      <c r="M340" s="21"/>
      <c r="N340" s="21"/>
      <c r="O340" s="21"/>
    </row>
    <row r="341" spans="1:15" ht="14.45">
      <c r="A341" s="21"/>
      <c r="B341" s="33"/>
      <c r="C341" s="21"/>
      <c r="D341" s="21"/>
      <c r="E341" s="21"/>
      <c r="F341" s="22"/>
      <c r="G341" s="21"/>
      <c r="H341" s="21"/>
      <c r="I341" s="22"/>
      <c r="J341" s="21"/>
      <c r="K341" s="21"/>
      <c r="L341" s="21"/>
      <c r="M341" s="21"/>
      <c r="N341" s="21"/>
      <c r="O341" s="21"/>
    </row>
    <row r="342" spans="1:15" ht="14.45">
      <c r="A342" s="21"/>
      <c r="B342" s="33"/>
      <c r="C342" s="21"/>
      <c r="D342" s="21"/>
      <c r="E342" s="21"/>
      <c r="F342" s="22"/>
      <c r="G342" s="21"/>
      <c r="H342" s="21"/>
      <c r="I342" s="22"/>
      <c r="J342" s="21"/>
      <c r="K342" s="21"/>
      <c r="L342" s="21"/>
      <c r="M342" s="21"/>
      <c r="N342" s="21"/>
      <c r="O342" s="21"/>
    </row>
    <row r="343" spans="1:15" ht="14.45">
      <c r="C343" s="21"/>
      <c r="D343" s="21"/>
      <c r="E343" s="21"/>
      <c r="F343" s="22"/>
      <c r="G343" s="21"/>
      <c r="H343" s="21"/>
      <c r="I343" s="22"/>
      <c r="J343" s="21"/>
      <c r="K343" s="21"/>
      <c r="L343" s="21"/>
      <c r="M343" s="21"/>
      <c r="N343" s="21"/>
      <c r="O343" s="21"/>
    </row>
  </sheetData>
  <mergeCells count="4">
    <mergeCell ref="G1:I1"/>
    <mergeCell ref="A1:C1"/>
    <mergeCell ref="D1:F1"/>
    <mergeCell ref="A2:B2"/>
  </mergeCells>
  <conditionalFormatting sqref="F2 I2">
    <cfRule type="cellIs" dxfId="7" priority="3" stopIfTrue="1" operator="lessThanOrEqual">
      <formula>-0.1</formula>
    </cfRule>
    <cfRule type="expression" dxfId="6" priority="4">
      <formula>AND(ISNUMBER(F2), F2&gt;=0.1)</formula>
    </cfRule>
  </conditionalFormatting>
  <conditionalFormatting sqref="I4:I35 F4:F101 I37:I39 I41:I101">
    <cfRule type="cellIs" dxfId="5" priority="1" stopIfTrue="1" operator="lessThanOrEqual">
      <formula>-0.1</formula>
    </cfRule>
    <cfRule type="expression" dxfId="4" priority="2">
      <formula>AND(ISNUMBER(F4), F4&gt;=0.1)</formula>
    </cfRule>
  </conditionalFormatting>
  <hyperlinks>
    <hyperlink ref="K4" r:id="rId1" display="https://us3.assetplanner.com/service_request?ID=103463" xr:uid="{904EAE04-F701-4A5A-B58A-AAC1BB4F1342}"/>
    <hyperlink ref="M4" r:id="rId2" display="https://us3.assetplanner.com/service_request?ID=103652" xr:uid="{698C55BF-6B71-4955-B163-F506336B8904}"/>
    <hyperlink ref="K7" r:id="rId3" display="https://us3.assetplanner.com/service_request?ID=095312" xr:uid="{5252BDF2-634B-40AD-AAD5-85FF4BDEDE0E}"/>
    <hyperlink ref="K8" r:id="rId4" display="https://us3.assetplanner.com/service_request?ID=105972" xr:uid="{EAEC1BFF-2151-4321-B306-99A94E2051CA}"/>
    <hyperlink ref="M8" r:id="rId5" display="https://us3.assetplanner.com/service_request?ID=106054" xr:uid="{853328F1-86FF-474B-A3B9-1BAA2CED6DAE}"/>
    <hyperlink ref="N8" r:id="rId6" display="https://us3.assetplanner.com/service_request?ID=064122" xr:uid="{7DC47854-FB53-4463-BDF6-3A5E0357AE66}"/>
    <hyperlink ref="O8" r:id="rId7" display="https://us3.assetplanner.com/service_request?ID=113319" xr:uid="{AC71BB7E-25E3-43E4-B942-366B24A27CAF}"/>
    <hyperlink ref="K9" r:id="rId8" display="https://us3.assetplanner.com/service_request?ID=103903" xr:uid="{178892D4-BC2E-44CB-9B5A-1A20A125B24D}"/>
    <hyperlink ref="M9" r:id="rId9" display="https://us3.assetplanner.com/service_request?ID=113320" xr:uid="{25E951FC-2563-4340-80DC-F965B2BB58A4}"/>
    <hyperlink ref="K10" r:id="rId10" display="https://us3.assetplanner.com/service_request?ID=089564" xr:uid="{33556A0B-8ACA-4427-871D-5A79C44241B7}"/>
    <hyperlink ref="M10" r:id="rId11" display="https://us3.assetplanner.com/service_request?ID=093404" xr:uid="{C1E5F278-FCA6-4E14-9755-41874A434B73}"/>
    <hyperlink ref="N10" r:id="rId12" display="https://us3.assetplanner.com/service_request?ID=113318" xr:uid="{0528A2D7-BCF1-459D-B787-8CB89A0BDE1C}"/>
    <hyperlink ref="K12" r:id="rId13" display="https://us3.assetplanner.com/service_request?ID=113846" xr:uid="{624B762F-1D5B-49C9-9A2F-B72B05C312A4}"/>
    <hyperlink ref="M12" r:id="rId14" display="https://us3.assetplanner.com/service_request?ID=105564" xr:uid="{42EB40CD-1817-47E3-9899-1984FF2F1D8E}"/>
    <hyperlink ref="K15" r:id="rId15" display="https://us3.assetplanner.com/service_request?ID=112329" xr:uid="{66F151BC-2AAC-43BC-9398-87FD0B3A58E2}"/>
    <hyperlink ref="K16" r:id="rId16" display="https://us3.assetplanner.com/service_request?ID=109437" xr:uid="{D40DEA33-8029-49CC-A7B7-FBAF3A17B3C0}"/>
    <hyperlink ref="M16" r:id="rId17" display="https://us3.assetplanner.com/service_request?ID=111340" xr:uid="{F6EBCC2F-0781-4B2B-B58C-649592E3CD64}"/>
    <hyperlink ref="N16" r:id="rId18" display="https://us3.assetplanner.com/service_request?ID=113601" xr:uid="{7AFAD4FE-35FA-486E-86E9-DBB30515D24C}"/>
    <hyperlink ref="K17" r:id="rId19" display="https://us3.assetplanner.com/service_request?ID=112929" xr:uid="{36FACF26-7DDA-4BE4-8B1D-304D44C2069F}"/>
    <hyperlink ref="M17" r:id="rId20" display="https://us3.assetplanner.com/service_request?ID=113086" xr:uid="{7D085DA3-A0D7-48B6-A969-40E39C586A17}"/>
    <hyperlink ref="K18" r:id="rId21" display="https://us3.assetplanner.com/service_request?ID=113324" xr:uid="{AA8A946F-3C93-4652-88F4-2DF366191045}"/>
    <hyperlink ref="K19" r:id="rId22" display="https://us3.assetplanner.com/service_request?ID=105479" xr:uid="{44B97D8D-E312-4A67-9173-EC683C6C6EB7}"/>
    <hyperlink ref="M19" r:id="rId23" display="https://us3.assetplanner.com/service_request?ID=112278" xr:uid="{92985010-69D0-4C02-9D64-EEE7705B60B4}"/>
    <hyperlink ref="K20" r:id="rId24" display="https://us3.assetplanner.com/service_request?ID=113443" xr:uid="{2A9C80C4-5F59-44E3-BF98-AE99C1CDDEA5}"/>
    <hyperlink ref="K22" r:id="rId25" display="https://us3.assetplanner.com/service_request?ID=113251" xr:uid="{1E18C045-CEAF-46B0-9FF5-83E7D2D2DA87}"/>
    <hyperlink ref="M22" r:id="rId26" display="https://us3.assetplanner.com/service_request?ID=111474" xr:uid="{2936EF28-0BDF-46B1-A49D-017443D23B5F}"/>
    <hyperlink ref="K23" r:id="rId27" display="https://us3.assetplanner.com/service_request?ID=094678" xr:uid="{6F14A0C4-E3D6-4438-B773-DF36AD6AA42C}"/>
    <hyperlink ref="M23" r:id="rId28" display="https://us3.assetplanner.com/service_request?ID=102369" xr:uid="{61634BA4-29DA-44C2-A003-6C9EA8CEBE7F}"/>
    <hyperlink ref="N23" r:id="rId29" display="https://us3.assetplanner.com/service_request?ID=105939" xr:uid="{D04C8CA0-0864-4F74-9137-A99F35063865}"/>
    <hyperlink ref="O23" r:id="rId30" display="https://us3.assetplanner.com/service_request?ID=106389" xr:uid="{CDD51976-B767-463A-AA13-F88D7F25AA96}"/>
    <hyperlink ref="K24" r:id="rId31" display="https://us3.assetplanner.com/service_request?ID=113623" xr:uid="{EA2B021F-D51E-45B5-8411-E511BD59B1C5}"/>
    <hyperlink ref="K27" r:id="rId32" display="https://us3.assetplanner.com/service_request?ID=103030" xr:uid="{C5D9974C-5B4E-4BCD-862B-5D1FE88C91FB}"/>
    <hyperlink ref="K30" r:id="rId33" display="https://us3.assetplanner.com/service_request?ID=108557" xr:uid="{8D584A0C-89E9-4310-8729-5307071D3A4D}"/>
    <hyperlink ref="K33" r:id="rId34" display="https://us3.assetplanner.com/service_request?ID=109996" xr:uid="{C52F7887-AF0B-43E3-B0B2-44A9CCAB9A36}"/>
    <hyperlink ref="M33" r:id="rId35" display="https://us3.assetplanner.com/service_request?ID=111580" xr:uid="{C3BFF3B3-705B-4D57-87A1-0F64B486ABA7}"/>
    <hyperlink ref="K34" r:id="rId36" display="https://us3.assetplanner.com/service_request?ID=109924" xr:uid="{C2662624-E598-44CA-B726-F1A210FFA190}"/>
    <hyperlink ref="K35" r:id="rId37" display="https://us3.assetplanner.com/service_request?ID=112645" xr:uid="{78132945-0738-42F7-9109-D1D1923D234D}"/>
    <hyperlink ref="M35" r:id="rId38" display="https://us3.assetplanner.com/service_request?ID=105470" xr:uid="{6A3A92A7-9265-40DA-B2F4-D35A56FBB6FA}"/>
    <hyperlink ref="K38" r:id="rId39" display="https://us3.assetplanner.com/service_request?ID=111878" xr:uid="{FF50763D-7294-406C-B747-576EEB4D2AB0}"/>
    <hyperlink ref="M38" r:id="rId40" display="https://us3.assetplanner.com/service_request?ID=112321" xr:uid="{CAE015EE-2E16-4855-BFAE-22BC01B070FC}"/>
    <hyperlink ref="K39" r:id="rId41" display="https://us3.assetplanner.com/service_request?ID=113317" xr:uid="{62D1D300-66D8-46B0-A7F6-DB0CB03A4C42}"/>
    <hyperlink ref="M39" r:id="rId42" display="https://us3.assetplanner.com/service_request?ID=113866" xr:uid="{B96B1D4E-F3BE-4AE3-BCAD-9919B2454248}"/>
    <hyperlink ref="K40" r:id="rId43" display="https://us3.assetplanner.com/service_request?ID=112698" xr:uid="{88469777-6E81-45C9-A6F9-A5D2D92BD440}"/>
  </hyperlinks>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40"/>
  <sheetViews>
    <sheetView workbookViewId="0">
      <pane ySplit="3" topLeftCell="A15" activePane="bottomLeft" state="frozen"/>
      <selection pane="bottomLeft" activeCell="D45" sqref="D45"/>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701</v>
      </c>
      <c r="B1" t="s">
        <v>702</v>
      </c>
    </row>
    <row r="3" spans="1:12" ht="13.15">
      <c r="A3" t="s">
        <v>703</v>
      </c>
      <c r="B3" t="s">
        <v>3</v>
      </c>
      <c r="C3" t="s">
        <v>4</v>
      </c>
      <c r="D3" t="s">
        <v>704</v>
      </c>
      <c r="E3" s="2" t="s">
        <v>705</v>
      </c>
    </row>
    <row r="4" spans="1:12" ht="14.45">
      <c r="A4" s="3" t="s">
        <v>706</v>
      </c>
      <c r="B4" t="s">
        <v>707</v>
      </c>
      <c r="C4" s="50" t="s">
        <v>708</v>
      </c>
      <c r="D4" t="s">
        <v>709</v>
      </c>
      <c r="E4" s="50" t="s">
        <v>710</v>
      </c>
      <c r="G4" s="3"/>
    </row>
    <row r="5" spans="1:12" ht="14.45">
      <c r="A5" s="3" t="s">
        <v>711</v>
      </c>
      <c r="B5" t="s">
        <v>712</v>
      </c>
      <c r="C5" s="50" t="s">
        <v>708</v>
      </c>
      <c r="D5" t="s">
        <v>709</v>
      </c>
      <c r="E5" s="50" t="s">
        <v>710</v>
      </c>
      <c r="G5" s="3"/>
    </row>
    <row r="6" spans="1:12" ht="14.45">
      <c r="A6" s="3" t="s">
        <v>713</v>
      </c>
      <c r="B6" t="s">
        <v>714</v>
      </c>
      <c r="C6" s="50" t="s">
        <v>708</v>
      </c>
      <c r="D6" t="s">
        <v>709</v>
      </c>
      <c r="E6" s="50" t="s">
        <v>710</v>
      </c>
      <c r="G6" s="3"/>
    </row>
    <row r="7" spans="1:12" ht="12.75" customHeight="1">
      <c r="A7" s="3" t="s">
        <v>715</v>
      </c>
      <c r="B7" t="s">
        <v>716</v>
      </c>
      <c r="C7" s="50" t="s">
        <v>708</v>
      </c>
      <c r="D7" t="s">
        <v>709</v>
      </c>
      <c r="E7" s="50" t="s">
        <v>710</v>
      </c>
    </row>
    <row r="8" spans="1:12" ht="12.75" customHeight="1">
      <c r="A8" s="3" t="s">
        <v>717</v>
      </c>
      <c r="B8" t="s">
        <v>718</v>
      </c>
      <c r="C8" s="50" t="s">
        <v>708</v>
      </c>
      <c r="D8" t="s">
        <v>709</v>
      </c>
      <c r="E8" s="50" t="s">
        <v>710</v>
      </c>
    </row>
    <row r="9" spans="1:12" ht="12.75" customHeight="1">
      <c r="A9" s="3" t="s">
        <v>719</v>
      </c>
      <c r="B9" t="s">
        <v>720</v>
      </c>
      <c r="C9" s="50" t="s">
        <v>708</v>
      </c>
      <c r="D9" t="s">
        <v>709</v>
      </c>
      <c r="E9" s="50" t="s">
        <v>710</v>
      </c>
    </row>
    <row r="10" spans="1:12" ht="12.75" customHeight="1">
      <c r="A10" s="3" t="s">
        <v>721</v>
      </c>
      <c r="B10" t="s">
        <v>722</v>
      </c>
      <c r="C10" s="50" t="s">
        <v>708</v>
      </c>
      <c r="D10" t="s">
        <v>709</v>
      </c>
      <c r="E10" s="50" t="s">
        <v>710</v>
      </c>
      <c r="K10" s="43"/>
      <c r="L10" s="43"/>
    </row>
    <row r="11" spans="1:12" ht="12.75" customHeight="1">
      <c r="A11" s="3" t="s">
        <v>723</v>
      </c>
      <c r="B11" t="s">
        <v>724</v>
      </c>
      <c r="C11" s="50" t="s">
        <v>708</v>
      </c>
      <c r="D11" t="s">
        <v>709</v>
      </c>
      <c r="E11" s="50" t="s">
        <v>710</v>
      </c>
      <c r="K11" s="43"/>
      <c r="L11" s="43"/>
    </row>
    <row r="12" spans="1:12" ht="12.75" customHeight="1">
      <c r="A12" s="3" t="s">
        <v>725</v>
      </c>
      <c r="B12" t="s">
        <v>726</v>
      </c>
      <c r="C12" s="50" t="s">
        <v>708</v>
      </c>
      <c r="D12" t="s">
        <v>709</v>
      </c>
      <c r="E12" s="50" t="s">
        <v>710</v>
      </c>
      <c r="K12" s="43"/>
      <c r="L12" s="43"/>
    </row>
    <row r="13" spans="1:12" ht="12.75" customHeight="1">
      <c r="A13" s="3" t="s">
        <v>727</v>
      </c>
      <c r="B13" t="s">
        <v>728</v>
      </c>
      <c r="C13" s="50" t="s">
        <v>708</v>
      </c>
      <c r="D13" t="s">
        <v>709</v>
      </c>
      <c r="E13" s="50" t="s">
        <v>710</v>
      </c>
      <c r="K13" s="43"/>
      <c r="L13" s="43"/>
    </row>
    <row r="14" spans="1:12" ht="12.75" customHeight="1">
      <c r="A14" s="3" t="s">
        <v>729</v>
      </c>
      <c r="B14" t="s">
        <v>730</v>
      </c>
      <c r="C14" s="50" t="s">
        <v>708</v>
      </c>
      <c r="D14" t="s">
        <v>709</v>
      </c>
      <c r="E14" s="50" t="s">
        <v>710</v>
      </c>
      <c r="K14" s="43"/>
      <c r="L14" s="43"/>
    </row>
    <row r="15" spans="1:12" ht="12.75" customHeight="1">
      <c r="A15" s="50" t="s">
        <v>731</v>
      </c>
      <c r="B15" t="s">
        <v>732</v>
      </c>
      <c r="C15" t="s">
        <v>708</v>
      </c>
      <c r="E15" t="s">
        <v>733</v>
      </c>
      <c r="K15" s="43"/>
      <c r="L15" s="43"/>
    </row>
    <row r="16" spans="1:12" ht="12.75" customHeight="1">
      <c r="A16" s="3" t="s">
        <v>734</v>
      </c>
      <c r="B16" t="s">
        <v>735</v>
      </c>
      <c r="C16" s="50" t="s">
        <v>708</v>
      </c>
      <c r="D16" t="s">
        <v>709</v>
      </c>
      <c r="E16" s="50" t="s">
        <v>710</v>
      </c>
      <c r="K16" s="43"/>
      <c r="L16" s="43"/>
    </row>
    <row r="17" spans="1:12" ht="12.75" customHeight="1">
      <c r="A17" s="50" t="s">
        <v>736</v>
      </c>
      <c r="B17" t="s">
        <v>737</v>
      </c>
      <c r="C17" t="s">
        <v>708</v>
      </c>
      <c r="E17" t="s">
        <v>733</v>
      </c>
      <c r="K17" s="43"/>
      <c r="L17" s="43"/>
    </row>
    <row r="18" spans="1:12" ht="12.75" customHeight="1">
      <c r="A18" s="3" t="s">
        <v>738</v>
      </c>
      <c r="B18" t="s">
        <v>739</v>
      </c>
      <c r="C18" s="50" t="s">
        <v>708</v>
      </c>
      <c r="D18" t="s">
        <v>709</v>
      </c>
      <c r="E18" s="50" t="s">
        <v>710</v>
      </c>
      <c r="K18" s="43"/>
      <c r="L18" s="43"/>
    </row>
    <row r="19" spans="1:12" ht="12.75" customHeight="1">
      <c r="A19" s="3" t="s">
        <v>740</v>
      </c>
      <c r="B19" t="s">
        <v>741</v>
      </c>
      <c r="C19" s="50" t="s">
        <v>708</v>
      </c>
      <c r="D19" t="s">
        <v>709</v>
      </c>
      <c r="E19" s="50" t="s">
        <v>710</v>
      </c>
      <c r="K19" s="43"/>
      <c r="L19" s="43"/>
    </row>
    <row r="20" spans="1:12" ht="12.75" customHeight="1">
      <c r="A20" s="3" t="s">
        <v>742</v>
      </c>
      <c r="B20" t="s">
        <v>743</v>
      </c>
      <c r="C20" s="50" t="s">
        <v>708</v>
      </c>
      <c r="D20" t="s">
        <v>744</v>
      </c>
      <c r="E20" s="50" t="s">
        <v>710</v>
      </c>
      <c r="K20" s="43"/>
      <c r="L20" s="43"/>
    </row>
    <row r="21" spans="1:12" ht="12.75" customHeight="1">
      <c r="A21" s="3" t="s">
        <v>745</v>
      </c>
      <c r="B21" t="s">
        <v>746</v>
      </c>
      <c r="C21" s="50" t="s">
        <v>708</v>
      </c>
      <c r="D21" t="s">
        <v>709</v>
      </c>
      <c r="E21" s="50" t="s">
        <v>710</v>
      </c>
      <c r="K21" s="43"/>
      <c r="L21" s="43"/>
    </row>
    <row r="22" spans="1:12" ht="12.75" customHeight="1">
      <c r="A22" s="50" t="s">
        <v>747</v>
      </c>
      <c r="B22" t="s">
        <v>748</v>
      </c>
      <c r="C22" t="s">
        <v>708</v>
      </c>
      <c r="E22" t="s">
        <v>733</v>
      </c>
      <c r="K22" s="43"/>
      <c r="L22" s="43"/>
    </row>
    <row r="23" spans="1:12" ht="12.75" customHeight="1">
      <c r="A23" s="3" t="s">
        <v>749</v>
      </c>
      <c r="B23" t="s">
        <v>750</v>
      </c>
      <c r="C23" s="50" t="s">
        <v>708</v>
      </c>
      <c r="D23" t="s">
        <v>709</v>
      </c>
      <c r="E23" s="50" t="s">
        <v>710</v>
      </c>
      <c r="K23" s="43"/>
      <c r="L23" s="43"/>
    </row>
    <row r="24" spans="1:12" ht="12.75" customHeight="1">
      <c r="A24" s="3" t="s">
        <v>751</v>
      </c>
      <c r="B24" t="s">
        <v>752</v>
      </c>
      <c r="C24" s="50" t="s">
        <v>708</v>
      </c>
      <c r="D24" t="s">
        <v>709</v>
      </c>
      <c r="E24" s="50" t="s">
        <v>710</v>
      </c>
      <c r="K24" s="43"/>
      <c r="L24" s="43"/>
    </row>
    <row r="25" spans="1:12" ht="12.75" customHeight="1">
      <c r="A25" s="3" t="s">
        <v>753</v>
      </c>
      <c r="B25" t="s">
        <v>754</v>
      </c>
      <c r="C25" s="50" t="s">
        <v>755</v>
      </c>
      <c r="D25" t="s">
        <v>709</v>
      </c>
      <c r="E25" s="50" t="s">
        <v>710</v>
      </c>
      <c r="K25" s="43"/>
      <c r="L25" s="43"/>
    </row>
    <row r="26" spans="1:12" ht="12.75" customHeight="1">
      <c r="A26" s="3" t="s">
        <v>756</v>
      </c>
      <c r="B26" t="s">
        <v>757</v>
      </c>
      <c r="C26" s="50" t="s">
        <v>755</v>
      </c>
      <c r="D26" t="s">
        <v>709</v>
      </c>
      <c r="E26" s="50" t="s">
        <v>710</v>
      </c>
      <c r="K26" s="43"/>
      <c r="L26" s="43"/>
    </row>
    <row r="27" spans="1:12" ht="12.75" customHeight="1">
      <c r="A27" s="50" t="s">
        <v>758</v>
      </c>
      <c r="B27" t="s">
        <v>758</v>
      </c>
      <c r="C27" t="s">
        <v>759</v>
      </c>
      <c r="E27" t="s">
        <v>733</v>
      </c>
      <c r="K27" s="43"/>
      <c r="L27" s="43"/>
    </row>
    <row r="28" spans="1:12" ht="12.75" customHeight="1">
      <c r="A28" s="50" t="s">
        <v>760</v>
      </c>
      <c r="B28" t="s">
        <v>760</v>
      </c>
      <c r="C28" t="s">
        <v>759</v>
      </c>
      <c r="E28" t="s">
        <v>733</v>
      </c>
      <c r="K28" s="43"/>
      <c r="L28" s="43"/>
    </row>
    <row r="29" spans="1:12" ht="12.75" customHeight="1">
      <c r="A29" s="50" t="s">
        <v>761</v>
      </c>
      <c r="B29" t="s">
        <v>761</v>
      </c>
      <c r="C29" t="s">
        <v>759</v>
      </c>
      <c r="E29" t="s">
        <v>733</v>
      </c>
      <c r="K29" s="43"/>
      <c r="L29" s="43"/>
    </row>
    <row r="30" spans="1:12" ht="12.75" customHeight="1">
      <c r="A30" s="50" t="s">
        <v>762</v>
      </c>
      <c r="B30" t="s">
        <v>762</v>
      </c>
      <c r="C30" t="s">
        <v>759</v>
      </c>
      <c r="E30" t="s">
        <v>733</v>
      </c>
      <c r="K30" s="43"/>
      <c r="L30" s="43"/>
    </row>
    <row r="31" spans="1:12" ht="12.75" customHeight="1">
      <c r="A31" s="3" t="s">
        <v>763</v>
      </c>
      <c r="B31" t="s">
        <v>764</v>
      </c>
      <c r="C31" s="50" t="s">
        <v>759</v>
      </c>
      <c r="D31" t="s">
        <v>709</v>
      </c>
      <c r="E31" s="50" t="s">
        <v>710</v>
      </c>
      <c r="K31" s="43"/>
      <c r="L31" s="43"/>
    </row>
    <row r="32" spans="1:12" ht="12.75" customHeight="1">
      <c r="A32" s="3" t="s">
        <v>765</v>
      </c>
      <c r="B32" t="s">
        <v>766</v>
      </c>
      <c r="C32" s="50" t="s">
        <v>767</v>
      </c>
      <c r="D32" t="s">
        <v>709</v>
      </c>
      <c r="E32" s="50" t="s">
        <v>710</v>
      </c>
    </row>
    <row r="33" spans="1:5" ht="12.75" customHeight="1">
      <c r="A33" s="50" t="s">
        <v>768</v>
      </c>
      <c r="B33" s="50" t="s">
        <v>768</v>
      </c>
      <c r="C33" s="50" t="s">
        <v>769</v>
      </c>
      <c r="E33" t="s">
        <v>733</v>
      </c>
    </row>
    <row r="34" spans="1:5" ht="12.75" customHeight="1">
      <c r="A34" s="72" t="s">
        <v>770</v>
      </c>
      <c r="B34" s="50" t="s">
        <v>770</v>
      </c>
      <c r="C34" s="73" t="s">
        <v>759</v>
      </c>
      <c r="E34" s="50" t="s">
        <v>771</v>
      </c>
    </row>
    <row r="35" spans="1:5" ht="12.75" customHeight="1">
      <c r="A35" s="72" t="s">
        <v>772</v>
      </c>
      <c r="B35" s="50" t="s">
        <v>773</v>
      </c>
      <c r="C35" s="50" t="s">
        <v>708</v>
      </c>
      <c r="D35" t="s">
        <v>774</v>
      </c>
      <c r="E35" s="50" t="s">
        <v>710</v>
      </c>
    </row>
    <row r="36" spans="1:5" ht="12.75" customHeight="1">
      <c r="A36" s="72" t="s">
        <v>775</v>
      </c>
      <c r="B36" s="50" t="s">
        <v>776</v>
      </c>
      <c r="C36" s="50" t="s">
        <v>755</v>
      </c>
      <c r="E36" t="s">
        <v>733</v>
      </c>
    </row>
    <row r="37" spans="1:5" ht="12.75" customHeight="1">
      <c r="A37" s="72" t="s">
        <v>777</v>
      </c>
      <c r="B37" s="50" t="s">
        <v>778</v>
      </c>
      <c r="C37" s="50" t="s">
        <v>755</v>
      </c>
      <c r="E37" t="s">
        <v>733</v>
      </c>
    </row>
    <row r="38" spans="1:5" ht="12.75" customHeight="1">
      <c r="A38" s="72" t="s">
        <v>779</v>
      </c>
      <c r="B38" s="50" t="s">
        <v>780</v>
      </c>
      <c r="C38" s="50" t="s">
        <v>755</v>
      </c>
      <c r="E38" t="s">
        <v>733</v>
      </c>
    </row>
    <row r="39" spans="1:5" ht="12.75" customHeight="1">
      <c r="A39" s="72" t="s">
        <v>781</v>
      </c>
      <c r="B39" s="50" t="s">
        <v>781</v>
      </c>
      <c r="C39" s="50" t="s">
        <v>708</v>
      </c>
      <c r="E39" s="50" t="s">
        <v>782</v>
      </c>
    </row>
    <row r="40" spans="1:5" ht="12.75" customHeight="1">
      <c r="A40" s="99" t="s">
        <v>783</v>
      </c>
      <c r="B40" s="100" t="s">
        <v>784</v>
      </c>
      <c r="C40" s="101" t="s">
        <v>708</v>
      </c>
      <c r="D40" s="101"/>
      <c r="E40" s="101" t="s">
        <v>782</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8.xml><?xml version="1.0" encoding="utf-8"?>
<?mso-contentType ?>
<FormTemplates xmlns="http://schemas.microsoft.com/sharepoint/v3/contenttype/forms">
  <Display>DocumentLibraryForm</Display>
  <Edit>DocumentLibraryForm</Edit>
  <New>DocumentLibraryForm</New>
</FormTemplates>
</file>

<file path=customXml/item9.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CB52044A-5C0B-44A2-99D0-C1C315EC302D}"/>
</file>

<file path=customXml/itemProps2.xml><?xml version="1.0" encoding="utf-8"?>
<ds:datastoreItem xmlns:ds="http://schemas.openxmlformats.org/officeDocument/2006/customXml" ds:itemID="{3AEAA9D8-2182-46BA-A58E-96C72DDA1C54}"/>
</file>

<file path=customXml/itemProps3.xml><?xml version="1.0" encoding="utf-8"?>
<ds:datastoreItem xmlns:ds="http://schemas.openxmlformats.org/officeDocument/2006/customXml" ds:itemID="{89CF5C07-45EB-4100-9AFB-2C6AF77FA787}"/>
</file>

<file path=customXml/itemProps4.xml><?xml version="1.0" encoding="utf-8"?>
<ds:datastoreItem xmlns:ds="http://schemas.openxmlformats.org/officeDocument/2006/customXml" ds:itemID="{98A113BB-8B7A-453C-8BD4-8EFC67FC2D3F}"/>
</file>

<file path=customXml/itemProps5.xml><?xml version="1.0" encoding="utf-8"?>
<ds:datastoreItem xmlns:ds="http://schemas.openxmlformats.org/officeDocument/2006/customXml" ds:itemID="{078388C9-06F9-42F4-B857-EF76B5CAF1FD}"/>
</file>

<file path=customXml/itemProps6.xml><?xml version="1.0" encoding="utf-8"?>
<ds:datastoreItem xmlns:ds="http://schemas.openxmlformats.org/officeDocument/2006/customXml" ds:itemID="{2BC74AAC-D69B-4AF1-9649-B21EF3C1C463}"/>
</file>

<file path=customXml/itemProps7.xml><?xml version="1.0" encoding="utf-8"?>
<ds:datastoreItem xmlns:ds="http://schemas.openxmlformats.org/officeDocument/2006/customXml" ds:itemID="{EF8EC756-DE4F-4CBA-848F-261EF5353D66}"/>
</file>

<file path=customXml/itemProps8.xml><?xml version="1.0" encoding="utf-8"?>
<ds:datastoreItem xmlns:ds="http://schemas.openxmlformats.org/officeDocument/2006/customXml" ds:itemID="{7946C510-7D04-49D8-9B25-EEC04582A1CA}"/>
</file>

<file path=customXml/itemProps9.xml><?xml version="1.0" encoding="utf-8"?>
<ds:datastoreItem xmlns:ds="http://schemas.openxmlformats.org/officeDocument/2006/customXml" ds:itemID="{8D732231-4216-4543-A665-18A2886B0EB7}"/>
</file>

<file path=customXml/itemProps10.xml><?xml version="1.0" encoding="utf-8"?>
<ds:datastoreItem xmlns:ds="http://schemas.openxmlformats.org/officeDocument/2006/customXml" ds:itemID="{0389C43E-394D-44C0-87DC-4780FCFCFB40}"/>
</file>

<file path=customXml/itemProps11.xml><?xml version="1.0" encoding="utf-8"?>
<ds:datastoreItem xmlns:ds="http://schemas.openxmlformats.org/officeDocument/2006/customXml" ds:itemID="{BF5C6359-7763-4C37-8EAF-2BC4698CB285}"/>
</file>

<file path=customXml/itemProps12.xml><?xml version="1.0" encoding="utf-8"?>
<ds:datastoreItem xmlns:ds="http://schemas.openxmlformats.org/officeDocument/2006/customXml" ds:itemID="{1954BBA4-0359-438C-B0EC-A756015F7C02}"/>
</file>

<file path=customXml/itemProps13.xml><?xml version="1.0" encoding="utf-8"?>
<ds:datastoreItem xmlns:ds="http://schemas.openxmlformats.org/officeDocument/2006/customXml" ds:itemID="{E3716282-BFD2-4ED2-BA47-BFA1123827F0}"/>
</file>

<file path=customXml/itemProps14.xml><?xml version="1.0" encoding="utf-8"?>
<ds:datastoreItem xmlns:ds="http://schemas.openxmlformats.org/officeDocument/2006/customXml" ds:itemID="{D3A7101F-9A85-4235-8B03-415370C100B2}"/>
</file>

<file path=customXml/itemProps15.xml><?xml version="1.0" encoding="utf-8"?>
<ds:datastoreItem xmlns:ds="http://schemas.openxmlformats.org/officeDocument/2006/customXml" ds:itemID="{BE26B669-A686-459C-A5E9-FEC3409C4C81}"/>
</file>

<file path=customXml/itemProps16.xml><?xml version="1.0" encoding="utf-8"?>
<ds:datastoreItem xmlns:ds="http://schemas.openxmlformats.org/officeDocument/2006/customXml" ds:itemID="{66B09F59-6532-46F8-924A-9A02417E070D}"/>
</file>

<file path=customXml/itemProps17.xml><?xml version="1.0" encoding="utf-8"?>
<ds:datastoreItem xmlns:ds="http://schemas.openxmlformats.org/officeDocument/2006/customXml" ds:itemID="{E20E8303-6A67-485C-B6F4-303542CC295C}"/>
</file>

<file path=customXml/itemProps18.xml><?xml version="1.0" encoding="utf-8"?>
<ds:datastoreItem xmlns:ds="http://schemas.openxmlformats.org/officeDocument/2006/customXml" ds:itemID="{F12EFA50-0068-4A8C-85A0-F1B26389EBC3}"/>
</file>

<file path=customXml/itemProps19.xml><?xml version="1.0" encoding="utf-8"?>
<ds:datastoreItem xmlns:ds="http://schemas.openxmlformats.org/officeDocument/2006/customXml" ds:itemID="{F6B2B1A1-1C4B-4AC9-9A7D-7A102DD1C942}"/>
</file>

<file path=customXml/itemProps20.xml><?xml version="1.0" encoding="utf-8"?>
<ds:datastoreItem xmlns:ds="http://schemas.openxmlformats.org/officeDocument/2006/customXml" ds:itemID="{14966E4F-347B-477B-B74C-9DAC054058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2026-02-20T19:38:12Z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2024-10-30T16:11:49Z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717099d2-9be0-48e7-ae9d-820f670e5df6</vt:lpwstr>
  </property>
  <property fmtid="{D5CDD505-2E9C-101B-9397-08002B2CF9AE}" pid="9" name="MSIP_Label_9d817c99-0b37-4a07-8277-96aa1f96b74b_ContentBits">
    <vt:lpwstr>0</vt:lpwstr>
  </property>
</Properties>
</file>