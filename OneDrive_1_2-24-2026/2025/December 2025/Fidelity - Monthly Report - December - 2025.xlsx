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2" documentId="13_ncr:1_{D7C86863-B2C8-4F63-A1A1-DC4C75C8393D}" xr6:coauthVersionLast="47" xr6:coauthVersionMax="47" xr10:uidLastSave="{BAC2EE74-58A0-4719-A08A-C8140023162C}"/>
  <bookViews>
    <workbookView xWindow="-108" yWindow="-108" windowWidth="23256" windowHeight="13896" tabRatio="713" firstSheet="5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O108" i="33"/>
  <c r="N108" i="33"/>
  <c r="M108" i="33"/>
  <c r="L108" i="33"/>
  <c r="J7" i="36"/>
  <c r="J13" i="12"/>
  <c r="J10" i="12"/>
  <c r="F108" i="33"/>
  <c r="F109" i="33"/>
  <c r="J7" i="12"/>
  <c r="J13" i="18"/>
  <c r="I108" i="33"/>
  <c r="J10" i="18"/>
  <c r="J7" i="18"/>
  <c r="O107" i="33"/>
  <c r="N107" i="33"/>
  <c r="M107" i="33"/>
  <c r="L107" i="33"/>
  <c r="I107" i="33"/>
  <c r="F107" i="33"/>
  <c r="L106" i="33"/>
  <c r="N106" i="33"/>
  <c r="O106" i="33"/>
  <c r="L105" i="33"/>
  <c r="N105" i="33"/>
  <c r="O105" i="33"/>
  <c r="M106" i="33"/>
  <c r="M105" i="33"/>
  <c r="F106" i="33"/>
  <c r="F105" i="33"/>
  <c r="I106" i="33"/>
  <c r="I105" i="33"/>
  <c r="O104" i="33"/>
  <c r="N104" i="33"/>
  <c r="M104" i="33"/>
  <c r="L104" i="33"/>
  <c r="F104" i="33"/>
  <c r="I104" i="33"/>
  <c r="I50" i="32"/>
  <c r="O103" i="33"/>
  <c r="N102" i="33"/>
  <c r="N103" i="33"/>
  <c r="M102" i="33"/>
  <c r="M103" i="33"/>
  <c r="L103" i="33" l="1"/>
  <c r="F103" i="33"/>
  <c r="I103" i="33"/>
  <c r="O102" i="33"/>
  <c r="L102" i="33"/>
  <c r="I102" i="33"/>
  <c r="F102" i="33"/>
  <c r="O101" i="33"/>
  <c r="N101" i="33"/>
  <c r="M101" i="33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J14" i="1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<sst xmlns="http://schemas.openxmlformats.org/spreadsheetml/2006/main" count="553" uniqueCount="94">
  <si>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</si>
  <si>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</si>
  <si>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</si>
  <si>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</si>
  <si>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</si>
  <si>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</si>
  <si>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</si>
  <si>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</si>
  <si>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</si>
  <si>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</si>
  <si>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</si>
  <si>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</si>
  <si>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</si>
  <si>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</si>
  <si>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</si>
  <si>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</si>
  <si>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</si>
  <si>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</si>
  <si>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</si>
  <si>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</si>
  <si>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</si>
  <si>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</si>
  <si>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</si>
  <si>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</si>
  <si>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December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</si>
  <si>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</si>
  <si>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</si>
  <si>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</si>
  <si>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</si>
  <si>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</si>
  <si>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</si>
  <si>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</si>
  <si>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</si>
  <si>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</si>
  <si>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</si>
  <si>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 xml:space="preserve">1.On 08/20, the Moxa logger for this site was replaced. Since then, Production Meter 1 has not been communicating, which led to a production meter availability of 66.6% and an overall monthly site availability of 88%. Please note that site availability in Also Energy is calculated based on all three production meters; however, actual production can still be confirmed via the inverters. This issue was previously communicated to the client through the closed Service Request SR106258
</t>
  </si>
  <si>
    <t>Smithfield</t>
  </si>
  <si>
    <t>December' 2025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</si>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</sst>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Merrimack!$G$32:$G$62</c:f>
              <c:numCache>
                <c:formatCode>General</c:formatCode>
                <c:ptCount val="31"/>
                <c:pt idx="0">
                  <c:v>7375</c:v>
                </c:pt>
                <c:pt idx="1">
                  <c:v>124</c:v>
                </c:pt>
                <c:pt idx="2">
                  <c:v>194</c:v>
                </c:pt>
                <c:pt idx="3">
                  <c:v>589</c:v>
                </c:pt>
                <c:pt idx="4">
                  <c:v>2451</c:v>
                </c:pt>
                <c:pt idx="5">
                  <c:v>581</c:v>
                </c:pt>
                <c:pt idx="6">
                  <c:v>764</c:v>
                </c:pt>
                <c:pt idx="7" formatCode="0">
                  <c:v>3451.5199999995498</c:v>
                </c:pt>
                <c:pt idx="8" formatCode="0">
                  <c:v>3331.4800000004502</c:v>
                </c:pt>
                <c:pt idx="9">
                  <c:v>1323</c:v>
                </c:pt>
                <c:pt idx="10" formatCode="0">
                  <c:v>4955.6511627919999</c:v>
                </c:pt>
                <c:pt idx="11" formatCode="0">
                  <c:v>6184.3488372080001</c:v>
                </c:pt>
                <c:pt idx="12">
                  <c:v>1774</c:v>
                </c:pt>
                <c:pt idx="13" formatCode="0">
                  <c:v>39.342857144772999</c:v>
                </c:pt>
                <c:pt idx="14" formatCode="0">
                  <c:v>662.43072776123904</c:v>
                </c:pt>
                <c:pt idx="15" formatCode="0">
                  <c:v>4786.22641509399</c:v>
                </c:pt>
                <c:pt idx="16" formatCode="0">
                  <c:v>1373.81451612711</c:v>
                </c:pt>
                <c:pt idx="17" formatCode="0">
                  <c:v>6671.1854838728896</c:v>
                </c:pt>
                <c:pt idx="18" formatCode="0">
                  <c:v>505.77027027122699</c:v>
                </c:pt>
                <c:pt idx="19" formatCode="0">
                  <c:v>6589.2297297287696</c:v>
                </c:pt>
                <c:pt idx="20">
                  <c:v>5494</c:v>
                </c:pt>
                <c:pt idx="21" formatCode="0">
                  <c:v>7062.0833333320898</c:v>
                </c:pt>
                <c:pt idx="22" formatCode="0">
                  <c:v>1103.6707650274</c:v>
                </c:pt>
                <c:pt idx="23" formatCode="0">
                  <c:v>178.245901640505</c:v>
                </c:pt>
                <c:pt idx="24">
                  <c:v>591</c:v>
                </c:pt>
                <c:pt idx="25" formatCode="0">
                  <c:v>1816.73076923192</c:v>
                </c:pt>
                <c:pt idx="26" formatCode="0">
                  <c:v>103.024549916387</c:v>
                </c:pt>
                <c:pt idx="27" formatCode="0">
                  <c:v>233.24468085169801</c:v>
                </c:pt>
                <c:pt idx="28">
                  <c:v>52</c:v>
                </c:pt>
                <c:pt idx="29" formatCode="0">
                  <c:v>1802.7333333343299</c:v>
                </c:pt>
                <c:pt idx="30" formatCode="0">
                  <c:v>2430.26666666754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4310.2020000000002</c:v>
                </c:pt>
                <c:pt idx="1">
                  <c:v>166.48779999999999</c:v>
                </c:pt>
                <c:pt idx="2">
                  <c:v>2570.67</c:v>
                </c:pt>
                <c:pt idx="3">
                  <c:v>1457.2950000000001</c:v>
                </c:pt>
                <c:pt idx="4">
                  <c:v>4429.9489999999996</c:v>
                </c:pt>
                <c:pt idx="5">
                  <c:v>1244.9169999999999</c:v>
                </c:pt>
                <c:pt idx="6">
                  <c:v>993.62710000000004</c:v>
                </c:pt>
                <c:pt idx="7">
                  <c:v>4456.8450000000003</c:v>
                </c:pt>
                <c:pt idx="8">
                  <c:v>3927.4850000000001</c:v>
                </c:pt>
                <c:pt idx="9">
                  <c:v>1338.681</c:v>
                </c:pt>
                <c:pt idx="10">
                  <c:v>3667.348</c:v>
                </c:pt>
                <c:pt idx="11">
                  <c:v>4414.2079999999996</c:v>
                </c:pt>
                <c:pt idx="12">
                  <c:v>994.07839999999999</c:v>
                </c:pt>
                <c:pt idx="13">
                  <c:v>201.55879999999999</c:v>
                </c:pt>
                <c:pt idx="14">
                  <c:v>3637.5030000000002</c:v>
                </c:pt>
                <c:pt idx="15">
                  <c:v>4210.2039999999997</c:v>
                </c:pt>
                <c:pt idx="16">
                  <c:v>1142.8320000000001</c:v>
                </c:pt>
                <c:pt idx="17">
                  <c:v>4193.8019999999997</c:v>
                </c:pt>
                <c:pt idx="18">
                  <c:v>271.55399999999997</c:v>
                </c:pt>
                <c:pt idx="19">
                  <c:v>3892.97</c:v>
                </c:pt>
                <c:pt idx="20">
                  <c:v>3552.8580000000002</c:v>
                </c:pt>
                <c:pt idx="21">
                  <c:v>4354.2449999999999</c:v>
                </c:pt>
                <c:pt idx="22">
                  <c:v>547.01170000000002</c:v>
                </c:pt>
                <c:pt idx="23">
                  <c:v>833.13149999999996</c:v>
                </c:pt>
                <c:pt idx="24">
                  <c:v>1296.7049999999999</c:v>
                </c:pt>
                <c:pt idx="25">
                  <c:v>2887.915</c:v>
                </c:pt>
                <c:pt idx="26">
                  <c:v>1956.8530000000001</c:v>
                </c:pt>
                <c:pt idx="27">
                  <c:v>3368.069</c:v>
                </c:pt>
                <c:pt idx="28">
                  <c:v>177.38059999999999</c:v>
                </c:pt>
                <c:pt idx="29">
                  <c:v>2503.8440000000001</c:v>
                </c:pt>
                <c:pt idx="30">
                  <c:v>2399.2649999999999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10813</c:v>
                </c:pt>
                <c:pt idx="1">
                  <c:v>566</c:v>
                </c:pt>
                <c:pt idx="2">
                  <c:v>10106.5</c:v>
                </c:pt>
                <c:pt idx="3">
                  <c:v>6454</c:v>
                </c:pt>
                <c:pt idx="4">
                  <c:v>10307</c:v>
                </c:pt>
                <c:pt idx="5">
                  <c:v>2897</c:v>
                </c:pt>
                <c:pt idx="6">
                  <c:v>6111</c:v>
                </c:pt>
                <c:pt idx="7">
                  <c:v>8680.5</c:v>
                </c:pt>
                <c:pt idx="8">
                  <c:v>10360.5</c:v>
                </c:pt>
                <c:pt idx="9">
                  <c:v>6695.5</c:v>
                </c:pt>
                <c:pt idx="10">
                  <c:v>10011.5</c:v>
                </c:pt>
                <c:pt idx="11">
                  <c:v>10325.5</c:v>
                </c:pt>
                <c:pt idx="12">
                  <c:v>3549.5</c:v>
                </c:pt>
                <c:pt idx="13">
                  <c:v>152</c:v>
                </c:pt>
                <c:pt idx="14">
                  <c:v>1127</c:v>
                </c:pt>
                <c:pt idx="15">
                  <c:v>6002</c:v>
                </c:pt>
                <c:pt idx="16">
                  <c:v>3637</c:v>
                </c:pt>
                <c:pt idx="17">
                  <c:v>9708</c:v>
                </c:pt>
                <c:pt idx="18">
                  <c:v>776</c:v>
                </c:pt>
                <c:pt idx="19">
                  <c:v>8737.5</c:v>
                </c:pt>
                <c:pt idx="20">
                  <c:v>8944.5</c:v>
                </c:pt>
                <c:pt idx="21">
                  <c:v>10041</c:v>
                </c:pt>
                <c:pt idx="22">
                  <c:v>1779</c:v>
                </c:pt>
                <c:pt idx="23">
                  <c:v>4808.5</c:v>
                </c:pt>
                <c:pt idx="24">
                  <c:v>3266</c:v>
                </c:pt>
                <c:pt idx="25">
                  <c:v>7074.5</c:v>
                </c:pt>
                <c:pt idx="26">
                  <c:v>140.5</c:v>
                </c:pt>
                <c:pt idx="27">
                  <c:v>400.5</c:v>
                </c:pt>
                <c:pt idx="28">
                  <c:v>488</c:v>
                </c:pt>
                <c:pt idx="29">
                  <c:v>7904</c:v>
                </c:pt>
                <c:pt idx="30">
                  <c:v>7647.5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3614.4960000000001</c:v>
                </c:pt>
                <c:pt idx="1">
                  <c:v>192.9726</c:v>
                </c:pt>
                <c:pt idx="2">
                  <c:v>3341.9059999999999</c:v>
                </c:pt>
                <c:pt idx="3">
                  <c:v>2095.0039999999999</c:v>
                </c:pt>
                <c:pt idx="4">
                  <c:v>3336.2150000000001</c:v>
                </c:pt>
                <c:pt idx="5">
                  <c:v>966.13229999999999</c:v>
                </c:pt>
                <c:pt idx="6">
                  <c:v>1906.8869999999999</c:v>
                </c:pt>
                <c:pt idx="7">
                  <c:v>2744.9659999999999</c:v>
                </c:pt>
                <c:pt idx="8">
                  <c:v>3368.16</c:v>
                </c:pt>
                <c:pt idx="9">
                  <c:v>2078.9659999999999</c:v>
                </c:pt>
                <c:pt idx="10">
                  <c:v>3226.0320000000002</c:v>
                </c:pt>
                <c:pt idx="11">
                  <c:v>3429.16</c:v>
                </c:pt>
                <c:pt idx="12">
                  <c:v>1031.837</c:v>
                </c:pt>
                <c:pt idx="13">
                  <c:v>173.81129999999999</c:v>
                </c:pt>
                <c:pt idx="14">
                  <c:v>3132.6840000000002</c:v>
                </c:pt>
                <c:pt idx="15">
                  <c:v>3183.0859999999998</c:v>
                </c:pt>
                <c:pt idx="16">
                  <c:v>1180.3720000000001</c:v>
                </c:pt>
                <c:pt idx="17">
                  <c:v>3352.605</c:v>
                </c:pt>
                <c:pt idx="18">
                  <c:v>238.17580000000001</c:v>
                </c:pt>
                <c:pt idx="19">
                  <c:v>2862.5529999999999</c:v>
                </c:pt>
                <c:pt idx="20">
                  <c:v>2980.8649999999998</c:v>
                </c:pt>
                <c:pt idx="21">
                  <c:v>3373.8119999999999</c:v>
                </c:pt>
                <c:pt idx="22">
                  <c:v>515.96370000000002</c:v>
                </c:pt>
                <c:pt idx="23">
                  <c:v>1571.4649999999999</c:v>
                </c:pt>
                <c:pt idx="24">
                  <c:v>1104.452</c:v>
                </c:pt>
                <c:pt idx="25">
                  <c:v>2207.1509999999998</c:v>
                </c:pt>
                <c:pt idx="26">
                  <c:v>1285.346</c:v>
                </c:pt>
                <c:pt idx="27">
                  <c:v>2628.578</c:v>
                </c:pt>
                <c:pt idx="28">
                  <c:v>157.8638</c:v>
                </c:pt>
                <c:pt idx="29">
                  <c:v>2583.2739999999999</c:v>
                </c:pt>
                <c:pt idx="30">
                  <c:v>2405.8159999999998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1181</c:v>
                </c:pt>
                <c:pt idx="1">
                  <c:v>13246</c:v>
                </c:pt>
                <c:pt idx="2">
                  <c:v>11451</c:v>
                </c:pt>
                <c:pt idx="3">
                  <c:v>1911</c:v>
                </c:pt>
                <c:pt idx="4">
                  <c:v>8216</c:v>
                </c:pt>
                <c:pt idx="5">
                  <c:v>2565</c:v>
                </c:pt>
                <c:pt idx="6">
                  <c:v>5059</c:v>
                </c:pt>
                <c:pt idx="7">
                  <c:v>12619</c:v>
                </c:pt>
                <c:pt idx="8">
                  <c:v>12563</c:v>
                </c:pt>
                <c:pt idx="9">
                  <c:v>12338</c:v>
                </c:pt>
                <c:pt idx="10">
                  <c:v>12041</c:v>
                </c:pt>
                <c:pt idx="11">
                  <c:v>11710</c:v>
                </c:pt>
                <c:pt idx="12">
                  <c:v>3706</c:v>
                </c:pt>
                <c:pt idx="13">
                  <c:v>10822</c:v>
                </c:pt>
                <c:pt idx="14">
                  <c:v>10926</c:v>
                </c:pt>
                <c:pt idx="15">
                  <c:v>5283</c:v>
                </c:pt>
                <c:pt idx="16">
                  <c:v>2631</c:v>
                </c:pt>
                <c:pt idx="17">
                  <c:v>12603</c:v>
                </c:pt>
                <c:pt idx="18">
                  <c:v>10343</c:v>
                </c:pt>
                <c:pt idx="19">
                  <c:v>12559</c:v>
                </c:pt>
                <c:pt idx="20">
                  <c:v>2733</c:v>
                </c:pt>
                <c:pt idx="21">
                  <c:v>9194</c:v>
                </c:pt>
                <c:pt idx="22">
                  <c:v>9361</c:v>
                </c:pt>
                <c:pt idx="23">
                  <c:v>10146</c:v>
                </c:pt>
                <c:pt idx="24">
                  <c:v>10116</c:v>
                </c:pt>
                <c:pt idx="25">
                  <c:v>11802</c:v>
                </c:pt>
                <c:pt idx="26">
                  <c:v>10989</c:v>
                </c:pt>
                <c:pt idx="27">
                  <c:v>8450</c:v>
                </c:pt>
                <c:pt idx="28">
                  <c:v>8696</c:v>
                </c:pt>
                <c:pt idx="29">
                  <c:v>13334</c:v>
                </c:pt>
                <c:pt idx="30">
                  <c:v>12781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20.29073</c:v>
                </c:pt>
                <c:pt idx="1">
                  <c:v>4792.5839999999998</c:v>
                </c:pt>
                <c:pt idx="2">
                  <c:v>4044.5729999999999</c:v>
                </c:pt>
                <c:pt idx="3">
                  <c:v>311.89679999999998</c:v>
                </c:pt>
                <c:pt idx="4">
                  <c:v>2589.7649999999999</c:v>
                </c:pt>
                <c:pt idx="5">
                  <c:v>613.61569999999995</c:v>
                </c:pt>
                <c:pt idx="6">
                  <c:v>1764.3689999999999</c:v>
                </c:pt>
                <c:pt idx="7">
                  <c:v>4610.49</c:v>
                </c:pt>
                <c:pt idx="8">
                  <c:v>4615.8</c:v>
                </c:pt>
                <c:pt idx="9">
                  <c:v>4592.4139999999998</c:v>
                </c:pt>
                <c:pt idx="10">
                  <c:v>4440.8209999999999</c:v>
                </c:pt>
                <c:pt idx="11">
                  <c:v>4306.5249999999996</c:v>
                </c:pt>
                <c:pt idx="12">
                  <c:v>919.27639999999997</c:v>
                </c:pt>
                <c:pt idx="13">
                  <c:v>3954.44</c:v>
                </c:pt>
                <c:pt idx="14">
                  <c:v>3781.58</c:v>
                </c:pt>
                <c:pt idx="15">
                  <c:v>1626.9059999999999</c:v>
                </c:pt>
                <c:pt idx="16">
                  <c:v>443.88130000000001</c:v>
                </c:pt>
                <c:pt idx="17">
                  <c:v>4457.3559999999998</c:v>
                </c:pt>
                <c:pt idx="18">
                  <c:v>3450.5250000000001</c:v>
                </c:pt>
                <c:pt idx="19">
                  <c:v>4410.4669999999996</c:v>
                </c:pt>
                <c:pt idx="20">
                  <c:v>542.83389999999997</c:v>
                </c:pt>
                <c:pt idx="21">
                  <c:v>2988.0630000000001</c:v>
                </c:pt>
                <c:pt idx="22">
                  <c:v>3344.2550000000001</c:v>
                </c:pt>
                <c:pt idx="23">
                  <c:v>3378.6709999999998</c:v>
                </c:pt>
                <c:pt idx="24">
                  <c:v>3478.5729999999999</c:v>
                </c:pt>
                <c:pt idx="25">
                  <c:v>4212.1040000000003</c:v>
                </c:pt>
                <c:pt idx="26">
                  <c:v>3805.538</c:v>
                </c:pt>
                <c:pt idx="27">
                  <c:v>2859.2579999999998</c:v>
                </c:pt>
                <c:pt idx="28">
                  <c:v>2844.6480000000001</c:v>
                </c:pt>
                <c:pt idx="29">
                  <c:v>4727.8789999999999</c:v>
                </c:pt>
                <c:pt idx="30">
                  <c:v>4541.098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2" t="s">
        <v>0</v>
      </c>
      <c r="B1" s="173"/>
      <c r="C1" s="173"/>
      <c r="D1" s="173"/>
      <c r="E1" s="174"/>
      <c r="F1" s="166" t="s">
        <v>1</v>
      </c>
      <c r="G1" s="167"/>
      <c r="H1" s="167"/>
      <c r="I1" s="167"/>
      <c r="J1" s="167"/>
      <c r="K1" s="16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5" t="s">
        <v>2</v>
      </c>
      <c r="B2" s="176"/>
      <c r="C2" s="176"/>
      <c r="D2" s="176"/>
      <c r="E2" s="176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8" t="s">
        <v>4</v>
      </c>
      <c r="B3" s="169"/>
      <c r="C3" s="169"/>
      <c r="D3" s="169"/>
      <c r="E3" s="169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8" t="s">
        <v>6</v>
      </c>
      <c r="B4" s="169"/>
      <c r="C4" s="169"/>
      <c r="D4" s="169"/>
      <c r="E4" s="169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8" t="s">
        <v>8</v>
      </c>
      <c r="B5" s="169"/>
      <c r="C5" s="169"/>
      <c r="D5" s="169"/>
      <c r="E5" s="169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8" t="s">
        <v>10</v>
      </c>
      <c r="B6" s="169"/>
      <c r="C6" s="169"/>
      <c r="D6" s="169"/>
      <c r="E6" s="169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8" t="s">
        <v>12</v>
      </c>
      <c r="B7" s="169"/>
      <c r="C7" s="169"/>
      <c r="D7" s="169"/>
      <c r="E7" s="169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8" t="s">
        <v>14</v>
      </c>
      <c r="B8" s="169"/>
      <c r="C8" s="169"/>
      <c r="D8" s="169"/>
      <c r="E8" s="169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8" t="s">
        <v>16</v>
      </c>
      <c r="B9" s="169"/>
      <c r="C9" s="169"/>
      <c r="D9" s="169"/>
      <c r="E9" s="169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8" t="s">
        <v>18</v>
      </c>
      <c r="B10" s="169"/>
      <c r="C10" s="169"/>
      <c r="D10" s="169"/>
      <c r="E10" s="169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70" t="s">
        <v>20</v>
      </c>
      <c r="B11" s="171"/>
      <c r="C11" s="171"/>
      <c r="D11" s="171"/>
      <c r="E11" s="171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view="pageLayout" topLeftCell="A50" zoomScale="80" zoomScaleNormal="80" zoomScalePageLayoutView="80" workbookViewId="0">
      <selection activeCell="J14" sqref="J14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8" t="s">
        <v>22</v>
      </c>
      <c r="F1" s="178"/>
      <c r="G1" s="178"/>
      <c r="H1" s="178"/>
      <c r="I1" s="178"/>
      <c r="J1" s="178"/>
    </row>
    <row r="2" spans="3:13">
      <c r="E2" s="179" t="s">
        <v>23</v>
      </c>
      <c r="F2" s="179"/>
      <c r="G2" s="179"/>
      <c r="H2" s="179"/>
      <c r="I2" s="179"/>
      <c r="J2" s="179"/>
    </row>
    <row r="3" spans="3:13">
      <c r="E3" s="180" t="s">
        <v>24</v>
      </c>
      <c r="F3" s="181"/>
      <c r="G3" s="181"/>
      <c r="H3" s="181"/>
      <c r="I3" s="181"/>
      <c r="J3" s="181"/>
    </row>
    <row r="5" spans="3:13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</row>
    <row r="6" spans="3:13">
      <c r="C6" s="20"/>
      <c r="D6" s="21"/>
      <c r="E6" s="173" t="s">
        <v>2</v>
      </c>
      <c r="F6" s="173"/>
      <c r="G6" s="173"/>
      <c r="H6" s="173"/>
      <c r="I6" s="173"/>
      <c r="J6" s="22">
        <f>SUM(G32:G62)</f>
        <v>74593.000000001863</v>
      </c>
      <c r="K6" s="21" t="s">
        <v>26</v>
      </c>
      <c r="L6" s="23"/>
    </row>
    <row r="7" spans="3:13">
      <c r="C7" s="3"/>
      <c r="D7" s="2"/>
      <c r="E7" s="177" t="s">
        <v>4</v>
      </c>
      <c r="F7" s="177"/>
      <c r="G7" s="177"/>
      <c r="H7" s="177"/>
      <c r="I7" s="177"/>
      <c r="J7" s="8">
        <f>'Predicted Data'!D28</f>
        <v>140863.4</v>
      </c>
      <c r="K7" s="69"/>
      <c r="L7" s="4"/>
    </row>
    <row r="8" spans="3:13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SUM(H32:H62)</f>
        <v>75399.494900000005</v>
      </c>
      <c r="K8" s="2" t="s">
        <v>26</v>
      </c>
      <c r="L8" s="4"/>
    </row>
    <row r="9" spans="3:13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</row>
    <row r="10" spans="3:13">
      <c r="C10" s="3"/>
      <c r="D10" s="2"/>
      <c r="E10" s="177" t="s">
        <v>10</v>
      </c>
      <c r="F10" s="177"/>
      <c r="G10" s="177"/>
      <c r="H10" s="177"/>
      <c r="I10" s="177"/>
      <c r="J10" s="85">
        <f>'Plant Health'!H108</f>
        <v>173792.10159999999</v>
      </c>
      <c r="K10" s="2" t="s">
        <v>26</v>
      </c>
      <c r="L10" s="4"/>
    </row>
    <row r="11" spans="3:13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0.42920822818337945</v>
      </c>
      <c r="K11" s="2"/>
      <c r="L11" s="4"/>
      <c r="M11" s="61"/>
    </row>
    <row r="12" spans="3:13">
      <c r="C12" s="3"/>
      <c r="D12" s="2"/>
      <c r="E12" s="177" t="s">
        <v>16</v>
      </c>
      <c r="F12" s="177"/>
      <c r="G12" s="177"/>
      <c r="H12" s="177"/>
      <c r="I12" s="177"/>
      <c r="J12" s="31">
        <f>J6/J7</f>
        <v>0.52954138548410634</v>
      </c>
      <c r="K12" s="2"/>
      <c r="L12" s="4"/>
    </row>
    <row r="13" spans="3:13">
      <c r="C13" s="3"/>
      <c r="D13" s="2"/>
      <c r="E13" s="177" t="s">
        <v>18</v>
      </c>
      <c r="F13" s="177"/>
      <c r="G13" s="177"/>
      <c r="H13" s="177"/>
      <c r="I13" s="177"/>
      <c r="J13" s="31">
        <f>Availability!J49</f>
        <v>0.65720000000000001</v>
      </c>
      <c r="K13" s="2"/>
      <c r="L13" s="4"/>
    </row>
    <row r="14" spans="3:13">
      <c r="C14" s="5"/>
      <c r="D14" s="6"/>
      <c r="E14" s="186" t="s">
        <v>20</v>
      </c>
      <c r="F14" s="186"/>
      <c r="G14" s="186"/>
      <c r="H14" s="186"/>
      <c r="I14" s="186"/>
      <c r="J14" s="9">
        <f>Availability!J50</f>
        <v>0.87505079365079386</v>
      </c>
      <c r="K14" s="6"/>
      <c r="L14" s="7"/>
    </row>
    <row r="16" spans="3:13">
      <c r="C16" s="185" t="s">
        <v>27</v>
      </c>
      <c r="D16" s="185"/>
      <c r="E16" s="185"/>
      <c r="F16" s="185"/>
      <c r="G16" s="185"/>
      <c r="H16" s="185"/>
      <c r="I16" s="185"/>
      <c r="J16" s="185"/>
      <c r="K16" s="185"/>
      <c r="L16" s="185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5" t="s">
        <v>28</v>
      </c>
      <c r="G30" s="185"/>
      <c r="H30" s="185"/>
      <c r="I30" s="185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45992</v>
      </c>
      <c r="G32" s="164">
        <v>7375</v>
      </c>
      <c r="H32" s="161">
        <v>4310.2020000000002</v>
      </c>
      <c r="I32" s="161">
        <v>30.21602</v>
      </c>
      <c r="J32" s="2"/>
      <c r="K32" s="151"/>
    </row>
    <row r="33" spans="5:15">
      <c r="E33" s="2"/>
      <c r="F33" s="160">
        <v>45993</v>
      </c>
      <c r="G33" s="164">
        <v>124</v>
      </c>
      <c r="H33" s="161">
        <v>166.48779999999999</v>
      </c>
      <c r="I33" s="161">
        <v>27.691140000000001</v>
      </c>
      <c r="J33" s="2"/>
      <c r="K33" s="14"/>
    </row>
    <row r="34" spans="5:15">
      <c r="E34" s="2"/>
      <c r="F34" s="160">
        <v>45994</v>
      </c>
      <c r="G34" s="164">
        <v>194</v>
      </c>
      <c r="H34" s="161">
        <v>2570.67</v>
      </c>
      <c r="I34" s="161">
        <v>29.056699999999999</v>
      </c>
      <c r="J34" s="2"/>
      <c r="K34" s="14"/>
    </row>
    <row r="35" spans="5:15">
      <c r="E35" s="2"/>
      <c r="F35" s="160">
        <v>45995</v>
      </c>
      <c r="G35" s="164">
        <v>589</v>
      </c>
      <c r="H35" s="161">
        <v>1457.2950000000001</v>
      </c>
      <c r="I35" s="161">
        <v>27.270600000000002</v>
      </c>
      <c r="J35" s="2"/>
      <c r="K35" s="14"/>
    </row>
    <row r="36" spans="5:15">
      <c r="E36" s="2"/>
      <c r="F36" s="160">
        <v>45996</v>
      </c>
      <c r="G36" s="164">
        <v>2451</v>
      </c>
      <c r="H36" s="161">
        <v>4429.9489999999996</v>
      </c>
      <c r="I36" s="161">
        <v>15.494260000000001</v>
      </c>
      <c r="J36" s="2"/>
      <c r="K36" s="14"/>
    </row>
    <row r="37" spans="5:15">
      <c r="E37" s="2"/>
      <c r="F37" s="160">
        <v>45997</v>
      </c>
      <c r="G37" s="164">
        <v>581</v>
      </c>
      <c r="H37" s="161">
        <v>1244.9169999999999</v>
      </c>
      <c r="I37" s="161">
        <v>25.572240000000001</v>
      </c>
      <c r="J37" s="2"/>
      <c r="K37" s="14"/>
    </row>
    <row r="38" spans="5:15">
      <c r="E38" s="2"/>
      <c r="F38" s="160">
        <v>45998</v>
      </c>
      <c r="G38" s="164">
        <v>764</v>
      </c>
      <c r="H38" s="161">
        <v>993.62710000000004</v>
      </c>
      <c r="I38" s="161">
        <v>27.5778</v>
      </c>
      <c r="J38" s="2"/>
      <c r="K38" s="14"/>
    </row>
    <row r="39" spans="5:15">
      <c r="E39" s="2"/>
      <c r="F39" s="160">
        <v>45999</v>
      </c>
      <c r="G39" s="165">
        <v>3451.5199999995498</v>
      </c>
      <c r="H39" s="161">
        <v>4456.8450000000003</v>
      </c>
      <c r="I39" s="161">
        <v>17.112970000000001</v>
      </c>
      <c r="J39" s="2"/>
      <c r="K39" s="14"/>
    </row>
    <row r="40" spans="5:15">
      <c r="E40" s="2"/>
      <c r="F40" s="160">
        <v>46000</v>
      </c>
      <c r="G40" s="165">
        <v>3331.4800000004502</v>
      </c>
      <c r="H40" s="161">
        <v>3927.4850000000001</v>
      </c>
      <c r="I40" s="161">
        <v>12.108510000000001</v>
      </c>
      <c r="J40" s="2"/>
      <c r="K40" s="14"/>
    </row>
    <row r="41" spans="5:15">
      <c r="E41" s="2"/>
      <c r="F41" s="160">
        <v>46001</v>
      </c>
      <c r="G41" s="164">
        <v>1323</v>
      </c>
      <c r="H41" s="161">
        <v>1338.681</v>
      </c>
      <c r="I41" s="161">
        <v>32.758240000000001</v>
      </c>
      <c r="J41" s="2"/>
      <c r="K41" s="14"/>
    </row>
    <row r="42" spans="5:15">
      <c r="E42" s="2"/>
      <c r="F42" s="160">
        <v>46002</v>
      </c>
      <c r="G42" s="165">
        <v>4955.6511627919999</v>
      </c>
      <c r="H42" s="161">
        <v>3667.348</v>
      </c>
      <c r="I42" s="161">
        <v>29.3048</v>
      </c>
      <c r="J42" s="2"/>
      <c r="K42" s="14"/>
    </row>
    <row r="43" spans="5:15">
      <c r="E43" s="2"/>
      <c r="F43" s="160">
        <v>46003</v>
      </c>
      <c r="G43" s="165">
        <v>6184.3488372080001</v>
      </c>
      <c r="H43" s="161">
        <v>4414.2079999999996</v>
      </c>
      <c r="I43" s="161">
        <v>23.26886</v>
      </c>
      <c r="J43" s="2"/>
      <c r="K43" s="14"/>
    </row>
    <row r="44" spans="5:15">
      <c r="E44" s="2"/>
      <c r="F44" s="160">
        <v>46004</v>
      </c>
      <c r="G44" s="164">
        <v>1774</v>
      </c>
      <c r="H44" s="161">
        <v>994.07839999999999</v>
      </c>
      <c r="I44" s="161">
        <v>24.346900000000002</v>
      </c>
      <c r="J44" s="2"/>
      <c r="K44" s="14"/>
    </row>
    <row r="45" spans="5:15">
      <c r="E45" s="2"/>
      <c r="F45" s="160">
        <v>46005</v>
      </c>
      <c r="G45" s="165">
        <v>39.342857144772999</v>
      </c>
      <c r="H45" s="161">
        <v>201.55879999999999</v>
      </c>
      <c r="I45" s="161">
        <v>26.751819999999999</v>
      </c>
      <c r="J45" s="2"/>
      <c r="K45" s="14"/>
    </row>
    <row r="46" spans="5:15">
      <c r="E46" s="2"/>
      <c r="F46" s="160">
        <v>46006</v>
      </c>
      <c r="G46" s="165">
        <v>662.43072776123904</v>
      </c>
      <c r="H46" s="161">
        <v>3637.5030000000002</v>
      </c>
      <c r="I46" s="161">
        <v>14.4168</v>
      </c>
      <c r="J46" s="2"/>
      <c r="K46" s="14"/>
    </row>
    <row r="47" spans="5:15">
      <c r="E47" s="2"/>
      <c r="F47" s="160">
        <v>46007</v>
      </c>
      <c r="G47" s="165">
        <v>4786.22641509399</v>
      </c>
      <c r="H47" s="161">
        <v>4210.2039999999997</v>
      </c>
      <c r="I47" s="161">
        <v>24.569269999999999</v>
      </c>
      <c r="J47" s="2"/>
      <c r="K47" s="14"/>
    </row>
    <row r="48" spans="5:15">
      <c r="E48" s="2"/>
      <c r="F48" s="160">
        <v>46008</v>
      </c>
      <c r="G48" s="165">
        <v>1373.81451612711</v>
      </c>
      <c r="H48" s="161">
        <v>1142.8320000000001</v>
      </c>
      <c r="I48" s="161">
        <v>34.069490000000002</v>
      </c>
      <c r="J48" s="2"/>
      <c r="K48" s="14"/>
      <c r="M48" s="2"/>
      <c r="N48" s="2"/>
      <c r="O48" s="2"/>
    </row>
    <row r="49" spans="5:15">
      <c r="E49" s="2"/>
      <c r="F49" s="160">
        <v>46009</v>
      </c>
      <c r="G49" s="165">
        <v>6671.1854838728896</v>
      </c>
      <c r="H49" s="161">
        <v>4193.8019999999997</v>
      </c>
      <c r="I49" s="161">
        <v>34.256230000000002</v>
      </c>
      <c r="J49" s="2"/>
      <c r="K49" s="14"/>
      <c r="M49" s="2"/>
      <c r="N49" s="2"/>
      <c r="O49" s="2"/>
    </row>
    <row r="50" spans="5:15">
      <c r="E50" s="2"/>
      <c r="F50" s="160">
        <v>46010</v>
      </c>
      <c r="G50" s="165">
        <v>505.77027027122699</v>
      </c>
      <c r="H50" s="161">
        <v>271.55399999999997</v>
      </c>
      <c r="I50" s="161">
        <v>41.39405</v>
      </c>
      <c r="J50" s="2"/>
      <c r="K50" s="14"/>
    </row>
    <row r="51" spans="5:15">
      <c r="E51" s="2"/>
      <c r="F51" s="160">
        <v>46011</v>
      </c>
      <c r="G51" s="165">
        <v>6589.2297297287696</v>
      </c>
      <c r="H51" s="161">
        <v>3892.97</v>
      </c>
      <c r="I51" s="161">
        <v>32.90202</v>
      </c>
      <c r="J51" s="2"/>
      <c r="K51" s="14"/>
    </row>
    <row r="52" spans="5:15">
      <c r="E52" s="2"/>
      <c r="F52" s="160">
        <v>46012</v>
      </c>
      <c r="G52" s="164">
        <v>5494</v>
      </c>
      <c r="H52" s="161">
        <v>3552.8580000000002</v>
      </c>
      <c r="I52" s="161">
        <v>36.459719999999997</v>
      </c>
      <c r="J52" s="2"/>
      <c r="K52" s="14"/>
    </row>
    <row r="53" spans="5:15">
      <c r="E53" s="2"/>
      <c r="F53" s="160">
        <v>46013</v>
      </c>
      <c r="G53" s="165">
        <v>7062.0833333320898</v>
      </c>
      <c r="H53" s="161">
        <v>4354.2449999999999</v>
      </c>
      <c r="I53" s="161">
        <v>24.833819999999999</v>
      </c>
      <c r="J53" s="2"/>
      <c r="K53" s="14"/>
    </row>
    <row r="54" spans="5:15">
      <c r="E54" s="2"/>
      <c r="F54" s="160">
        <v>46014</v>
      </c>
      <c r="G54" s="165">
        <v>1103.6707650274</v>
      </c>
      <c r="H54" s="161">
        <v>547.01170000000002</v>
      </c>
      <c r="I54" s="161">
        <v>30.040320000000001</v>
      </c>
      <c r="J54" s="2"/>
      <c r="K54" s="14"/>
    </row>
    <row r="55" spans="5:15">
      <c r="E55" s="2"/>
      <c r="F55" s="160">
        <v>46015</v>
      </c>
      <c r="G55" s="165">
        <v>178.245901640505</v>
      </c>
      <c r="H55" s="161">
        <v>833.13149999999996</v>
      </c>
      <c r="I55" s="161">
        <v>28.42633</v>
      </c>
      <c r="J55" s="2"/>
      <c r="K55" s="14"/>
    </row>
    <row r="56" spans="5:15">
      <c r="E56" s="2"/>
      <c r="F56" s="160">
        <v>46016</v>
      </c>
      <c r="G56" s="164">
        <v>591</v>
      </c>
      <c r="H56" s="161">
        <v>1296.7049999999999</v>
      </c>
      <c r="I56" s="161">
        <v>24.607430000000001</v>
      </c>
      <c r="J56" s="2"/>
      <c r="K56" s="14"/>
    </row>
    <row r="57" spans="5:15">
      <c r="E57" s="2"/>
      <c r="F57" s="160">
        <v>46017</v>
      </c>
      <c r="G57" s="165">
        <v>1816.73076923192</v>
      </c>
      <c r="H57" s="161">
        <v>2887.915</v>
      </c>
      <c r="I57" s="161">
        <v>15.23151</v>
      </c>
      <c r="J57" s="2"/>
      <c r="K57" s="14"/>
    </row>
    <row r="58" spans="5:15">
      <c r="E58" s="2"/>
      <c r="F58" s="160">
        <v>46018</v>
      </c>
      <c r="G58" s="165">
        <v>103.024549916387</v>
      </c>
      <c r="H58" s="161">
        <v>1956.8530000000001</v>
      </c>
      <c r="I58" s="161">
        <v>16.34498</v>
      </c>
      <c r="J58" s="2"/>
      <c r="K58" s="14"/>
    </row>
    <row r="59" spans="5:15">
      <c r="E59" s="2"/>
      <c r="F59" s="160">
        <v>46019</v>
      </c>
      <c r="G59" s="165">
        <v>233.24468085169801</v>
      </c>
      <c r="H59" s="161">
        <v>3368.069</v>
      </c>
      <c r="I59" s="161">
        <v>19.999220000000001</v>
      </c>
      <c r="J59" s="2"/>
      <c r="K59" s="14"/>
    </row>
    <row r="60" spans="5:15">
      <c r="E60" s="2"/>
      <c r="F60" s="160">
        <v>46020</v>
      </c>
      <c r="G60" s="164">
        <v>52</v>
      </c>
      <c r="H60" s="161">
        <v>177.38059999999999</v>
      </c>
      <c r="I60" s="161">
        <v>33.27657</v>
      </c>
      <c r="J60" s="2"/>
      <c r="K60" s="14"/>
    </row>
    <row r="61" spans="5:15">
      <c r="E61" s="2"/>
      <c r="F61" s="160">
        <v>46021</v>
      </c>
      <c r="G61" s="165">
        <v>1802.7333333343299</v>
      </c>
      <c r="H61" s="161">
        <v>2503.8440000000001</v>
      </c>
      <c r="I61" s="161">
        <v>23.587710000000001</v>
      </c>
      <c r="J61" s="2"/>
      <c r="K61" s="14"/>
    </row>
    <row r="62" spans="5:15" s="2" customFormat="1">
      <c r="F62" s="160">
        <v>46022</v>
      </c>
      <c r="G62" s="165">
        <v>2430.26666666754</v>
      </c>
      <c r="H62" s="161">
        <v>2399.2649999999999</v>
      </c>
      <c r="I62" s="161">
        <v>26.125029999999999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2" t="s">
        <v>33</v>
      </c>
      <c r="D65" s="183"/>
      <c r="E65" s="183"/>
      <c r="F65" s="183"/>
      <c r="G65" s="183"/>
      <c r="H65" s="183"/>
      <c r="I65" s="183"/>
      <c r="J65" s="183"/>
      <c r="K65" s="183"/>
      <c r="L65" s="184"/>
    </row>
    <row r="66" spans="3:12" ht="15" customHeight="1">
      <c r="C66" s="199"/>
      <c r="D66" s="200"/>
      <c r="E66" s="200"/>
      <c r="F66" s="200"/>
      <c r="G66" s="200"/>
      <c r="H66" s="200"/>
      <c r="I66" s="200"/>
      <c r="J66" s="200"/>
      <c r="K66" s="200"/>
      <c r="L66" s="201"/>
    </row>
    <row r="67" spans="3:12">
      <c r="C67" s="202"/>
      <c r="D67" s="203"/>
      <c r="E67" s="203"/>
      <c r="F67" s="203"/>
      <c r="G67" s="203"/>
      <c r="H67" s="203"/>
      <c r="I67" s="203"/>
      <c r="J67" s="203"/>
      <c r="K67" s="203"/>
      <c r="L67" s="204"/>
    </row>
    <row r="68" spans="3:12">
      <c r="C68" s="205"/>
      <c r="D68" s="206"/>
      <c r="E68" s="206"/>
      <c r="F68" s="206"/>
      <c r="G68" s="206"/>
      <c r="H68" s="206"/>
      <c r="I68" s="206"/>
      <c r="J68" s="206"/>
      <c r="K68" s="206"/>
      <c r="L68" s="207"/>
    </row>
    <row r="70" spans="3:12">
      <c r="C70" s="187" t="s">
        <v>34</v>
      </c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 ht="14.85" customHeight="1">
      <c r="C71" s="190" t="s">
        <v>35</v>
      </c>
      <c r="D71" s="191"/>
      <c r="E71" s="191"/>
      <c r="F71" s="191"/>
      <c r="G71" s="191"/>
      <c r="H71" s="191"/>
      <c r="I71" s="191"/>
      <c r="J71" s="191"/>
      <c r="K71" s="191"/>
      <c r="L71" s="192"/>
    </row>
    <row r="72" spans="3:12" ht="31.15" customHeight="1">
      <c r="C72" s="193"/>
      <c r="D72" s="194"/>
      <c r="E72" s="194"/>
      <c r="F72" s="194"/>
      <c r="G72" s="194"/>
      <c r="H72" s="194"/>
      <c r="I72" s="194"/>
      <c r="J72" s="194"/>
      <c r="K72" s="194"/>
      <c r="L72" s="195"/>
    </row>
    <row r="73" spans="3:12" ht="27" customHeight="1">
      <c r="C73" s="196"/>
      <c r="D73" s="197"/>
      <c r="E73" s="197"/>
      <c r="F73" s="197"/>
      <c r="G73" s="197"/>
      <c r="H73" s="197"/>
      <c r="I73" s="197"/>
      <c r="J73" s="197"/>
      <c r="K73" s="197"/>
      <c r="L73" s="198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zoomScale="85" zoomScaleNormal="85" workbookViewId="0">
      <selection activeCell="J14" sqref="J14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8" t="s">
        <v>36</v>
      </c>
      <c r="F1" s="178"/>
      <c r="G1" s="178"/>
      <c r="H1" s="178"/>
      <c r="I1" s="178"/>
      <c r="J1" s="178"/>
    </row>
    <row r="2" spans="3:18">
      <c r="E2" s="179" t="s">
        <v>23</v>
      </c>
      <c r="F2" s="179"/>
      <c r="G2" s="179"/>
      <c r="H2" s="179"/>
      <c r="I2" s="179"/>
      <c r="J2" s="179"/>
    </row>
    <row r="3" spans="3:18" ht="14.25" customHeight="1">
      <c r="E3" s="180" t="s">
        <v>37</v>
      </c>
      <c r="F3" s="181"/>
      <c r="G3" s="181"/>
      <c r="H3" s="181"/>
      <c r="I3" s="181"/>
      <c r="J3" s="181"/>
    </row>
    <row r="5" spans="3:18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  <c r="R5" s="26"/>
    </row>
    <row r="6" spans="3:18">
      <c r="C6" s="20"/>
      <c r="D6" s="21"/>
      <c r="E6" s="173" t="s">
        <v>2</v>
      </c>
      <c r="F6" s="173"/>
      <c r="G6" s="173"/>
      <c r="H6" s="173"/>
      <c r="I6" s="173"/>
      <c r="J6" s="22">
        <f>SUM(G32:G62)</f>
        <v>179511</v>
      </c>
      <c r="K6" s="2"/>
      <c r="L6" s="23"/>
      <c r="R6" s="26"/>
    </row>
    <row r="7" spans="3:18">
      <c r="C7" s="3"/>
      <c r="D7" s="2"/>
      <c r="E7" s="177" t="s">
        <v>4</v>
      </c>
      <c r="F7" s="177"/>
      <c r="G7" s="177"/>
      <c r="H7" s="177"/>
      <c r="I7" s="177"/>
      <c r="J7" s="8">
        <f>'Predicted Data'!D16</f>
        <v>160442.79999999999</v>
      </c>
      <c r="K7" s="69"/>
      <c r="L7" s="4"/>
      <c r="R7" s="26"/>
    </row>
    <row r="8" spans="3:18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SUM(H32:H62)</f>
        <v>66270.607499999998</v>
      </c>
      <c r="K8" s="2"/>
      <c r="L8" s="4"/>
      <c r="R8" s="26"/>
    </row>
    <row r="9" spans="3:18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  <c r="R9" s="44"/>
    </row>
    <row r="10" spans="3:18">
      <c r="C10" s="3"/>
      <c r="D10" s="2"/>
      <c r="E10" s="177" t="s">
        <v>10</v>
      </c>
      <c r="F10" s="177"/>
      <c r="G10" s="177"/>
      <c r="H10" s="177"/>
      <c r="I10" s="177"/>
      <c r="J10" s="84">
        <f>'Plant Health'!E108</f>
        <v>202641.20110000001</v>
      </c>
      <c r="K10" s="2"/>
      <c r="L10" s="4"/>
      <c r="R10" s="26"/>
    </row>
    <row r="11" spans="3:18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0.88585637582859744</v>
      </c>
      <c r="K11" s="2"/>
      <c r="L11" s="4"/>
      <c r="R11" s="26"/>
    </row>
    <row r="12" spans="3:18">
      <c r="C12" s="3"/>
      <c r="D12" s="2"/>
      <c r="E12" s="177" t="s">
        <v>16</v>
      </c>
      <c r="F12" s="177"/>
      <c r="G12" s="177"/>
      <c r="H12" s="177"/>
      <c r="I12" s="177"/>
      <c r="J12" s="31">
        <f>J6/J7</f>
        <v>1.1188473399865873</v>
      </c>
      <c r="K12" s="2"/>
      <c r="L12" s="4"/>
      <c r="R12" s="26"/>
    </row>
    <row r="13" spans="3:18">
      <c r="C13" s="3"/>
      <c r="D13" s="2"/>
      <c r="E13" s="177" t="s">
        <v>18</v>
      </c>
      <c r="F13" s="177"/>
      <c r="G13" s="177"/>
      <c r="H13" s="177"/>
      <c r="I13" s="177"/>
      <c r="J13" s="31">
        <f>Availability!I49</f>
        <v>1</v>
      </c>
      <c r="K13" s="2"/>
      <c r="L13" s="4"/>
      <c r="R13" s="26"/>
    </row>
    <row r="14" spans="3:18">
      <c r="C14" s="5"/>
      <c r="D14" s="6"/>
      <c r="E14" s="186" t="s">
        <v>20</v>
      </c>
      <c r="F14" s="186"/>
      <c r="G14" s="186"/>
      <c r="H14" s="186"/>
      <c r="I14" s="186"/>
      <c r="J14" s="9">
        <f>Availability!I50</f>
        <v>0.99863819444444457</v>
      </c>
      <c r="K14" s="6"/>
      <c r="L14" s="7"/>
      <c r="R14" s="26"/>
    </row>
    <row r="15" spans="3:18">
      <c r="R15" s="26"/>
    </row>
    <row r="16" spans="3:18">
      <c r="C16" s="182" t="s">
        <v>27</v>
      </c>
      <c r="D16" s="183"/>
      <c r="E16" s="183"/>
      <c r="F16" s="183"/>
      <c r="G16" s="183"/>
      <c r="H16" s="183"/>
      <c r="I16" s="183"/>
      <c r="J16" s="183"/>
      <c r="K16" s="183"/>
      <c r="L16" s="184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208" t="s">
        <v>28</v>
      </c>
      <c r="G30" s="208"/>
      <c r="H30" s="208"/>
      <c r="I30" s="20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2" t="s">
        <v>30</v>
      </c>
      <c r="H31" s="163" t="s">
        <v>31</v>
      </c>
      <c r="I31" s="162" t="s">
        <v>32</v>
      </c>
      <c r="J31" s="12"/>
      <c r="K31" s="13"/>
      <c r="R31" s="45"/>
      <c r="X31"/>
    </row>
    <row r="32" spans="5:24">
      <c r="E32" s="2"/>
      <c r="F32" s="154">
        <v>45992</v>
      </c>
      <c r="G32" s="161">
        <v>10813</v>
      </c>
      <c r="H32" s="161">
        <v>3614.4960000000001</v>
      </c>
      <c r="I32" s="161">
        <v>33.457610000000003</v>
      </c>
      <c r="J32" s="14"/>
      <c r="K32" s="14"/>
      <c r="R32" s="26"/>
    </row>
    <row r="33" spans="5:18">
      <c r="E33" s="2"/>
      <c r="F33" s="154">
        <v>45993</v>
      </c>
      <c r="G33" s="161">
        <v>566</v>
      </c>
      <c r="H33" s="161">
        <v>192.9726</v>
      </c>
      <c r="I33" s="161">
        <v>29.896419999999999</v>
      </c>
      <c r="J33" s="14"/>
      <c r="K33" s="14"/>
      <c r="R33" s="26"/>
    </row>
    <row r="34" spans="5:18">
      <c r="E34" s="2"/>
      <c r="F34" s="154">
        <v>45994</v>
      </c>
      <c r="G34" s="161">
        <v>10106.5</v>
      </c>
      <c r="H34" s="161">
        <v>3341.9059999999999</v>
      </c>
      <c r="I34" s="161">
        <v>30.7136</v>
      </c>
      <c r="J34" s="14"/>
      <c r="K34" s="14"/>
      <c r="R34" s="26"/>
    </row>
    <row r="35" spans="5:18">
      <c r="E35" s="2"/>
      <c r="F35" s="154">
        <v>45995</v>
      </c>
      <c r="G35" s="161">
        <v>6454</v>
      </c>
      <c r="H35" s="161">
        <v>2095.0039999999999</v>
      </c>
      <c r="I35" s="161">
        <v>29.46537</v>
      </c>
      <c r="J35" s="14"/>
      <c r="K35" s="14"/>
      <c r="R35" s="26"/>
    </row>
    <row r="36" spans="5:18">
      <c r="E36" s="2"/>
      <c r="F36" s="154">
        <v>45996</v>
      </c>
      <c r="G36" s="161">
        <v>10307</v>
      </c>
      <c r="H36" s="161">
        <v>3336.2150000000001</v>
      </c>
      <c r="I36" s="161">
        <v>18.311920000000001</v>
      </c>
      <c r="J36" s="14"/>
      <c r="K36" s="14"/>
      <c r="R36" s="26"/>
    </row>
    <row r="37" spans="5:18">
      <c r="E37" s="2"/>
      <c r="F37" s="154">
        <v>45997</v>
      </c>
      <c r="G37" s="161">
        <v>2897</v>
      </c>
      <c r="H37" s="161">
        <v>966.13229999999999</v>
      </c>
      <c r="I37" s="161">
        <v>30.252780000000001</v>
      </c>
      <c r="J37" s="14"/>
      <c r="K37" s="14"/>
      <c r="R37" s="26"/>
    </row>
    <row r="38" spans="5:18">
      <c r="E38" s="2"/>
      <c r="F38" s="154">
        <v>45998</v>
      </c>
      <c r="G38" s="161">
        <v>6111</v>
      </c>
      <c r="H38" s="161">
        <v>1906.8869999999999</v>
      </c>
      <c r="I38" s="161">
        <v>31.600090000000002</v>
      </c>
      <c r="J38" s="14"/>
      <c r="K38" s="14"/>
    </row>
    <row r="39" spans="5:18">
      <c r="E39" s="2"/>
      <c r="F39" s="154">
        <v>45999</v>
      </c>
      <c r="G39" s="161">
        <v>8680.5</v>
      </c>
      <c r="H39" s="161">
        <v>2744.9659999999999</v>
      </c>
      <c r="I39" s="161">
        <v>22.23753</v>
      </c>
      <c r="J39" s="14"/>
      <c r="K39" s="14"/>
    </row>
    <row r="40" spans="5:18">
      <c r="E40" s="2"/>
      <c r="F40" s="154">
        <v>46000</v>
      </c>
      <c r="G40" s="161">
        <v>10360.5</v>
      </c>
      <c r="H40" s="161">
        <v>3368.16</v>
      </c>
      <c r="I40" s="161">
        <v>18.58257</v>
      </c>
      <c r="J40" s="14"/>
      <c r="K40" s="14"/>
    </row>
    <row r="41" spans="5:18">
      <c r="E41" s="2"/>
      <c r="F41" s="154">
        <v>46001</v>
      </c>
      <c r="G41" s="161">
        <v>6695.5</v>
      </c>
      <c r="H41" s="161">
        <v>2078.9659999999999</v>
      </c>
      <c r="I41" s="161">
        <v>39.277290000000001</v>
      </c>
      <c r="J41" s="14"/>
      <c r="K41" s="14"/>
    </row>
    <row r="42" spans="5:18">
      <c r="E42" s="2"/>
      <c r="F42" s="154">
        <v>46002</v>
      </c>
      <c r="G42" s="161">
        <v>10011.5</v>
      </c>
      <c r="H42" s="161">
        <v>3226.0320000000002</v>
      </c>
      <c r="I42" s="161">
        <v>30.32207</v>
      </c>
      <c r="J42" s="14"/>
      <c r="K42" s="14"/>
    </row>
    <row r="43" spans="5:18">
      <c r="E43" s="2"/>
      <c r="F43" s="154">
        <v>46003</v>
      </c>
      <c r="G43" s="161">
        <v>10325.5</v>
      </c>
      <c r="H43" s="161">
        <v>3429.16</v>
      </c>
      <c r="I43" s="161">
        <v>25.323319999999999</v>
      </c>
      <c r="J43" s="14"/>
      <c r="K43" s="14"/>
    </row>
    <row r="44" spans="5:18">
      <c r="E44" s="2"/>
      <c r="F44" s="154">
        <v>46004</v>
      </c>
      <c r="G44" s="161">
        <v>3549.5</v>
      </c>
      <c r="H44" s="161">
        <v>1031.837</v>
      </c>
      <c r="I44" s="161">
        <v>28.099319999999999</v>
      </c>
      <c r="J44" s="14"/>
      <c r="K44" s="14"/>
    </row>
    <row r="45" spans="5:18">
      <c r="E45" s="2"/>
      <c r="F45" s="154">
        <v>46005</v>
      </c>
      <c r="G45" s="161">
        <v>152</v>
      </c>
      <c r="H45" s="161">
        <v>173.81129999999999</v>
      </c>
      <c r="I45" s="161">
        <v>28.16029</v>
      </c>
      <c r="J45" s="14"/>
      <c r="K45" s="14"/>
    </row>
    <row r="46" spans="5:18">
      <c r="E46" s="2"/>
      <c r="F46" s="154">
        <v>46006</v>
      </c>
      <c r="G46" s="161">
        <v>1127</v>
      </c>
      <c r="H46" s="161">
        <v>3132.6840000000002</v>
      </c>
      <c r="I46" s="161">
        <v>16.264880000000002</v>
      </c>
      <c r="J46" s="14"/>
      <c r="K46" s="14"/>
    </row>
    <row r="47" spans="5:18">
      <c r="E47" s="2"/>
      <c r="F47" s="154">
        <v>46007</v>
      </c>
      <c r="G47" s="161">
        <v>6002</v>
      </c>
      <c r="H47" s="161">
        <v>3183.0859999999998</v>
      </c>
      <c r="I47" s="161">
        <v>24.086590000000001</v>
      </c>
      <c r="J47" s="14"/>
      <c r="K47" s="14"/>
    </row>
    <row r="48" spans="5:18">
      <c r="E48" s="2"/>
      <c r="F48" s="154">
        <v>46008</v>
      </c>
      <c r="G48" s="161">
        <v>3637</v>
      </c>
      <c r="H48" s="161">
        <v>1180.3720000000001</v>
      </c>
      <c r="I48" s="161">
        <v>34.034730000000003</v>
      </c>
      <c r="J48" s="14"/>
      <c r="K48" s="14"/>
    </row>
    <row r="49" spans="5:11">
      <c r="E49" s="2"/>
      <c r="F49" s="154">
        <v>46009</v>
      </c>
      <c r="G49" s="161">
        <v>9708</v>
      </c>
      <c r="H49" s="161">
        <v>3352.605</v>
      </c>
      <c r="I49" s="161">
        <v>35.543590000000002</v>
      </c>
      <c r="J49" s="14"/>
      <c r="K49" s="14"/>
    </row>
    <row r="50" spans="5:11">
      <c r="E50" s="2"/>
      <c r="F50" s="154">
        <v>46010</v>
      </c>
      <c r="G50" s="161">
        <v>776</v>
      </c>
      <c r="H50" s="161">
        <v>238.17580000000001</v>
      </c>
      <c r="I50" s="161">
        <v>47.705109999999998</v>
      </c>
      <c r="J50" s="14"/>
      <c r="K50" s="14"/>
    </row>
    <row r="51" spans="5:11">
      <c r="E51" s="2"/>
      <c r="F51" s="154">
        <v>46011</v>
      </c>
      <c r="G51" s="161">
        <v>8737.5</v>
      </c>
      <c r="H51" s="161">
        <v>2862.5529999999999</v>
      </c>
      <c r="I51" s="161">
        <v>30.767119999999998</v>
      </c>
      <c r="J51" s="14"/>
      <c r="K51" s="14"/>
    </row>
    <row r="52" spans="5:11">
      <c r="E52" s="2"/>
      <c r="F52" s="154">
        <v>46012</v>
      </c>
      <c r="G52" s="161">
        <v>8944.5</v>
      </c>
      <c r="H52" s="161">
        <v>2980.8649999999998</v>
      </c>
      <c r="I52" s="161">
        <v>36.000300000000003</v>
      </c>
      <c r="J52" s="14"/>
      <c r="K52" s="14"/>
    </row>
    <row r="53" spans="5:11">
      <c r="E53" s="2"/>
      <c r="F53" s="154">
        <v>46013</v>
      </c>
      <c r="G53" s="161">
        <v>10041</v>
      </c>
      <c r="H53" s="161">
        <v>3373.8119999999999</v>
      </c>
      <c r="I53" s="161">
        <v>25.733180000000001</v>
      </c>
      <c r="J53" s="14"/>
      <c r="K53" s="14"/>
    </row>
    <row r="54" spans="5:11">
      <c r="E54" s="2"/>
      <c r="F54" s="154">
        <v>46014</v>
      </c>
      <c r="G54" s="161">
        <v>1779</v>
      </c>
      <c r="H54" s="161">
        <v>515.96370000000002</v>
      </c>
      <c r="I54" s="161">
        <v>31.30096</v>
      </c>
      <c r="J54" s="14"/>
      <c r="K54" s="14"/>
    </row>
    <row r="55" spans="5:11">
      <c r="E55" s="2"/>
      <c r="F55" s="154">
        <v>46015</v>
      </c>
      <c r="G55" s="161">
        <v>4808.5</v>
      </c>
      <c r="H55" s="161">
        <v>1571.4649999999999</v>
      </c>
      <c r="I55" s="161">
        <v>31.941109999999998</v>
      </c>
      <c r="J55" s="14"/>
      <c r="K55" s="14"/>
    </row>
    <row r="56" spans="5:11">
      <c r="E56" s="2"/>
      <c r="F56" s="154">
        <v>46016</v>
      </c>
      <c r="G56" s="161">
        <v>3266</v>
      </c>
      <c r="H56" s="161">
        <v>1104.452</v>
      </c>
      <c r="I56" s="161">
        <v>28.33409</v>
      </c>
      <c r="J56" s="14"/>
      <c r="K56" s="14"/>
    </row>
    <row r="57" spans="5:11">
      <c r="E57" s="2"/>
      <c r="F57" s="154">
        <v>46017</v>
      </c>
      <c r="G57" s="161">
        <v>7074.5</v>
      </c>
      <c r="H57" s="161">
        <v>2207.1509999999998</v>
      </c>
      <c r="I57" s="161">
        <v>17.482679999999998</v>
      </c>
      <c r="J57" s="14"/>
      <c r="K57" s="14"/>
    </row>
    <row r="58" spans="5:11">
      <c r="E58" s="2"/>
      <c r="F58" s="154">
        <v>46018</v>
      </c>
      <c r="G58" s="161">
        <v>140.5</v>
      </c>
      <c r="H58" s="161">
        <v>1285.346</v>
      </c>
      <c r="I58" s="161">
        <v>17.058219999999999</v>
      </c>
      <c r="J58" s="14"/>
      <c r="K58" s="14"/>
    </row>
    <row r="59" spans="5:11">
      <c r="E59" s="2"/>
      <c r="F59" s="154">
        <v>46019</v>
      </c>
      <c r="G59" s="161">
        <v>400.5</v>
      </c>
      <c r="H59" s="161">
        <v>2628.578</v>
      </c>
      <c r="I59" s="161">
        <v>24.700189999999999</v>
      </c>
      <c r="J59" s="14"/>
      <c r="K59" s="14"/>
    </row>
    <row r="60" spans="5:11">
      <c r="E60" s="2"/>
      <c r="F60" s="154">
        <v>46020</v>
      </c>
      <c r="G60" s="161">
        <v>488</v>
      </c>
      <c r="H60" s="161">
        <v>157.8638</v>
      </c>
      <c r="I60" s="161">
        <v>39.822670000000002</v>
      </c>
      <c r="J60" s="14"/>
      <c r="K60" s="14"/>
    </row>
    <row r="61" spans="5:11">
      <c r="E61" s="2"/>
      <c r="F61" s="154">
        <v>46021</v>
      </c>
      <c r="G61" s="161">
        <v>7904</v>
      </c>
      <c r="H61" s="161">
        <v>2583.2739999999999</v>
      </c>
      <c r="I61" s="161">
        <v>24.611000000000001</v>
      </c>
      <c r="J61" s="14"/>
      <c r="K61" s="14"/>
    </row>
    <row r="62" spans="5:11">
      <c r="E62" s="2"/>
      <c r="F62" s="154">
        <v>46022</v>
      </c>
      <c r="G62" s="161">
        <v>7647.5</v>
      </c>
      <c r="H62" s="161">
        <v>2405.8159999999998</v>
      </c>
      <c r="I62" s="161">
        <v>23.740780000000001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7" t="s">
        <v>33</v>
      </c>
      <c r="D65" s="188"/>
      <c r="E65" s="188"/>
      <c r="F65" s="188"/>
      <c r="G65" s="188"/>
      <c r="H65" s="188"/>
      <c r="I65" s="188"/>
      <c r="J65" s="188"/>
      <c r="K65" s="188"/>
      <c r="L65" s="189"/>
    </row>
    <row r="66" spans="3:12" ht="15" customHeight="1">
      <c r="C66" s="199"/>
      <c r="D66" s="200"/>
      <c r="E66" s="200"/>
      <c r="F66" s="200"/>
      <c r="G66" s="200"/>
      <c r="H66" s="200"/>
      <c r="I66" s="200"/>
      <c r="J66" s="200"/>
      <c r="K66" s="200"/>
      <c r="L66" s="201"/>
    </row>
    <row r="67" spans="3:12">
      <c r="C67" s="202"/>
      <c r="D67" s="203"/>
      <c r="E67" s="203"/>
      <c r="F67" s="203"/>
      <c r="G67" s="203"/>
      <c r="H67" s="203"/>
      <c r="I67" s="203"/>
      <c r="J67" s="203"/>
      <c r="K67" s="203"/>
      <c r="L67" s="204"/>
    </row>
    <row r="68" spans="3:12">
      <c r="C68" s="205"/>
      <c r="D68" s="206"/>
      <c r="E68" s="206"/>
      <c r="F68" s="206"/>
      <c r="G68" s="206"/>
      <c r="H68" s="206"/>
      <c r="I68" s="206"/>
      <c r="J68" s="206"/>
      <c r="K68" s="206"/>
      <c r="L68" s="20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7" t="s">
        <v>34</v>
      </c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 ht="14.85" customHeight="1">
      <c r="C71" s="199"/>
      <c r="D71" s="200"/>
      <c r="E71" s="200"/>
      <c r="F71" s="200"/>
      <c r="G71" s="200"/>
      <c r="H71" s="200"/>
      <c r="I71" s="200"/>
      <c r="J71" s="200"/>
      <c r="K71" s="200"/>
      <c r="L71" s="201"/>
    </row>
    <row r="72" spans="3:12">
      <c r="C72" s="202"/>
      <c r="D72" s="203"/>
      <c r="E72" s="203"/>
      <c r="F72" s="203"/>
      <c r="G72" s="203"/>
      <c r="H72" s="203"/>
      <c r="I72" s="203"/>
      <c r="J72" s="203"/>
      <c r="K72" s="203"/>
      <c r="L72" s="204"/>
    </row>
    <row r="73" spans="3:12">
      <c r="C73" s="205"/>
      <c r="D73" s="206"/>
      <c r="E73" s="206"/>
      <c r="F73" s="206"/>
      <c r="G73" s="206"/>
      <c r="H73" s="206"/>
      <c r="I73" s="206"/>
      <c r="J73" s="206"/>
      <c r="K73" s="206"/>
      <c r="L73" s="20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abSelected="1" topLeftCell="B1" zoomScale="80" zoomScaleNormal="80" workbookViewId="0">
      <selection activeCell="J14" sqref="J14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1" t="s">
        <v>38</v>
      </c>
      <c r="F1" s="211"/>
      <c r="G1" s="211"/>
      <c r="H1" s="211"/>
      <c r="I1" s="211"/>
      <c r="J1" s="211"/>
    </row>
    <row r="2" spans="3:13">
      <c r="E2" s="212" t="s">
        <v>23</v>
      </c>
      <c r="F2" s="212"/>
      <c r="G2" s="212"/>
      <c r="H2" s="212"/>
      <c r="I2" s="212"/>
      <c r="J2" s="212"/>
    </row>
    <row r="3" spans="3:13" ht="14.25" customHeight="1">
      <c r="E3" s="180" t="s">
        <v>37</v>
      </c>
      <c r="F3" s="181"/>
      <c r="G3" s="181"/>
      <c r="H3" s="181"/>
      <c r="I3" s="181"/>
      <c r="J3" s="181"/>
    </row>
    <row r="5" spans="3:13">
      <c r="C5" s="213" t="s">
        <v>25</v>
      </c>
      <c r="D5" s="214"/>
      <c r="E5" s="214"/>
      <c r="F5" s="214"/>
      <c r="G5" s="214"/>
      <c r="H5" s="214"/>
      <c r="I5" s="214"/>
      <c r="J5" s="214"/>
      <c r="K5" s="214"/>
      <c r="L5" s="215"/>
    </row>
    <row r="6" spans="3:13">
      <c r="C6" s="107"/>
      <c r="D6" s="108"/>
      <c r="E6" s="216" t="s">
        <v>2</v>
      </c>
      <c r="F6" s="216"/>
      <c r="G6" s="216"/>
      <c r="H6" s="216"/>
      <c r="I6" s="216"/>
      <c r="J6" s="109">
        <f>SUM(G32:G62)</f>
        <v>281375</v>
      </c>
      <c r="K6" s="108"/>
      <c r="L6" s="110"/>
    </row>
    <row r="7" spans="3:13">
      <c r="C7" s="111"/>
      <c r="E7" s="210" t="s">
        <v>4</v>
      </c>
      <c r="F7" s="210"/>
      <c r="G7" s="210"/>
      <c r="H7" s="210"/>
      <c r="I7" s="210"/>
      <c r="J7" s="112">
        <f>'Predicted Data'!D40</f>
        <v>357864</v>
      </c>
      <c r="K7" s="113"/>
      <c r="L7" s="114"/>
    </row>
    <row r="8" spans="3:13" ht="16.149999999999999">
      <c r="C8" s="111"/>
      <c r="E8" s="210" t="s">
        <v>6</v>
      </c>
      <c r="F8" s="210"/>
      <c r="G8" s="210"/>
      <c r="H8" s="210"/>
      <c r="I8" s="210"/>
      <c r="J8" s="112">
        <f>SUM(H32:H62)</f>
        <v>96470.496830000018</v>
      </c>
      <c r="L8" s="114"/>
    </row>
    <row r="9" spans="3:13" ht="16.149999999999999">
      <c r="C9" s="111"/>
      <c r="E9" s="210" t="s">
        <v>8</v>
      </c>
      <c r="F9" s="210"/>
      <c r="G9" s="210"/>
      <c r="H9" s="210"/>
      <c r="I9" s="210"/>
      <c r="J9" s="115"/>
      <c r="K9" s="113"/>
      <c r="L9" s="114"/>
    </row>
    <row r="10" spans="3:13">
      <c r="C10" s="111"/>
      <c r="E10" s="210" t="s">
        <v>10</v>
      </c>
      <c r="F10" s="210"/>
      <c r="G10" s="210"/>
      <c r="H10" s="210"/>
      <c r="I10" s="210"/>
      <c r="J10" s="116">
        <f>'Plant Health'!K108</f>
        <v>96470.496830000004</v>
      </c>
      <c r="L10" s="114"/>
    </row>
    <row r="11" spans="3:13">
      <c r="C11" s="111"/>
      <c r="E11" s="210" t="s">
        <v>12</v>
      </c>
      <c r="F11" s="210"/>
      <c r="G11" s="210"/>
      <c r="H11" s="210"/>
      <c r="I11" s="210"/>
      <c r="J11" s="117">
        <f>J6/J10</f>
        <v>2.9166948367213048</v>
      </c>
      <c r="L11" s="114"/>
      <c r="M11" s="118"/>
    </row>
    <row r="12" spans="3:13">
      <c r="C12" s="111"/>
      <c r="E12" s="210" t="s">
        <v>16</v>
      </c>
      <c r="F12" s="210"/>
      <c r="G12" s="210"/>
      <c r="H12" s="210"/>
      <c r="I12" s="210"/>
      <c r="J12" s="117">
        <f>J6/J7</f>
        <v>0.7862623790043145</v>
      </c>
      <c r="L12" s="114"/>
    </row>
    <row r="13" spans="3:13">
      <c r="C13" s="111"/>
      <c r="E13" s="210" t="s">
        <v>18</v>
      </c>
      <c r="F13" s="210"/>
      <c r="G13" s="210"/>
      <c r="H13" s="210"/>
      <c r="I13" s="210"/>
      <c r="J13" s="117">
        <f>Availability!K49</f>
        <v>0.99470000000000003</v>
      </c>
      <c r="L13" s="114"/>
    </row>
    <row r="14" spans="3:13">
      <c r="C14" s="119"/>
      <c r="D14" s="120"/>
      <c r="E14" s="226" t="s">
        <v>20</v>
      </c>
      <c r="F14" s="226"/>
      <c r="G14" s="226"/>
      <c r="H14" s="226"/>
      <c r="I14" s="226"/>
      <c r="J14" s="121">
        <f>Availability!K50</f>
        <v>0.9967265277777777</v>
      </c>
      <c r="K14" s="120"/>
      <c r="L14" s="122"/>
    </row>
    <row r="16" spans="3:13">
      <c r="C16" s="213" t="s">
        <v>27</v>
      </c>
      <c r="D16" s="214"/>
      <c r="E16" s="214"/>
      <c r="F16" s="214"/>
      <c r="G16" s="214"/>
      <c r="H16" s="214"/>
      <c r="I16" s="214"/>
      <c r="J16" s="214"/>
      <c r="K16" s="214"/>
      <c r="L16" s="215"/>
    </row>
    <row r="30" spans="5:12">
      <c r="E30" s="123"/>
      <c r="F30" s="227" t="s">
        <v>28</v>
      </c>
      <c r="G30" s="227"/>
      <c r="H30" s="227"/>
      <c r="I30" s="22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45992</v>
      </c>
      <c r="G32" s="161">
        <v>1181</v>
      </c>
      <c r="H32" s="161">
        <v>20.29073</v>
      </c>
      <c r="I32" s="161">
        <v>37.15372</v>
      </c>
      <c r="K32" s="127"/>
    </row>
    <row r="33" spans="6:11">
      <c r="F33" s="140">
        <v>45993</v>
      </c>
      <c r="G33" s="161">
        <v>13246</v>
      </c>
      <c r="H33" s="161">
        <v>4792.5839999999998</v>
      </c>
      <c r="I33" s="161">
        <v>37.769280000000002</v>
      </c>
      <c r="K33" s="127"/>
    </row>
    <row r="34" spans="6:11">
      <c r="F34" s="140">
        <v>45994</v>
      </c>
      <c r="G34" s="161">
        <v>11451</v>
      </c>
      <c r="H34" s="161">
        <v>4044.5729999999999</v>
      </c>
      <c r="I34" s="161">
        <v>49.963909999999998</v>
      </c>
      <c r="K34" s="127"/>
    </row>
    <row r="35" spans="6:11">
      <c r="F35" s="140">
        <v>45995</v>
      </c>
      <c r="G35" s="161">
        <v>1911</v>
      </c>
      <c r="H35" s="161">
        <v>311.89679999999998</v>
      </c>
      <c r="I35" s="161">
        <v>41.967649999999999</v>
      </c>
      <c r="K35" s="127"/>
    </row>
    <row r="36" spans="6:11">
      <c r="F36" s="140">
        <v>45996</v>
      </c>
      <c r="G36" s="161">
        <v>8216</v>
      </c>
      <c r="H36" s="161">
        <v>2589.7649999999999</v>
      </c>
      <c r="I36" s="161">
        <v>45.423139999999997</v>
      </c>
      <c r="K36" s="127"/>
    </row>
    <row r="37" spans="6:11">
      <c r="F37" s="140">
        <v>45997</v>
      </c>
      <c r="G37" s="161">
        <v>2565</v>
      </c>
      <c r="H37" s="161">
        <v>613.61569999999995</v>
      </c>
      <c r="I37" s="161">
        <v>43.947360000000003</v>
      </c>
      <c r="K37" s="127"/>
    </row>
    <row r="38" spans="6:11">
      <c r="F38" s="140">
        <v>45998</v>
      </c>
      <c r="G38" s="161">
        <v>5059</v>
      </c>
      <c r="H38" s="161">
        <v>1764.3689999999999</v>
      </c>
      <c r="I38" s="161">
        <v>43.584789999999998</v>
      </c>
      <c r="K38" s="127"/>
    </row>
    <row r="39" spans="6:11">
      <c r="F39" s="140">
        <v>45999</v>
      </c>
      <c r="G39" s="161">
        <v>12619</v>
      </c>
      <c r="H39" s="161">
        <v>4610.49</v>
      </c>
      <c r="I39" s="161">
        <v>39.34301</v>
      </c>
      <c r="K39" s="127"/>
    </row>
    <row r="40" spans="6:11">
      <c r="F40" s="140">
        <v>46000</v>
      </c>
      <c r="G40" s="161">
        <v>12563</v>
      </c>
      <c r="H40" s="161">
        <v>4615.8</v>
      </c>
      <c r="I40" s="161">
        <v>51.233159999999998</v>
      </c>
      <c r="K40" s="127"/>
    </row>
    <row r="41" spans="6:11">
      <c r="F41" s="140">
        <v>46001</v>
      </c>
      <c r="G41" s="161">
        <v>12338</v>
      </c>
      <c r="H41" s="161">
        <v>4592.4139999999998</v>
      </c>
      <c r="I41" s="161">
        <v>50.354759999999999</v>
      </c>
      <c r="K41" s="127"/>
    </row>
    <row r="42" spans="6:11">
      <c r="F42" s="140">
        <v>46002</v>
      </c>
      <c r="G42" s="161">
        <v>12041</v>
      </c>
      <c r="H42" s="161">
        <v>4440.8209999999999</v>
      </c>
      <c r="I42" s="161">
        <v>50.955910000000003</v>
      </c>
      <c r="K42" s="127"/>
    </row>
    <row r="43" spans="6:11">
      <c r="F43" s="140">
        <v>46003</v>
      </c>
      <c r="G43" s="161">
        <v>11710</v>
      </c>
      <c r="H43" s="161">
        <v>4306.5249999999996</v>
      </c>
      <c r="I43" s="161">
        <v>53.981740000000002</v>
      </c>
      <c r="K43" s="127"/>
    </row>
    <row r="44" spans="6:11">
      <c r="F44" s="140">
        <v>46004</v>
      </c>
      <c r="G44" s="161">
        <v>3706</v>
      </c>
      <c r="H44" s="161">
        <v>919.27639999999997</v>
      </c>
      <c r="I44" s="161">
        <v>49.285310000000003</v>
      </c>
      <c r="K44" s="127"/>
    </row>
    <row r="45" spans="6:11">
      <c r="F45" s="140">
        <v>46005</v>
      </c>
      <c r="G45" s="161">
        <v>10822</v>
      </c>
      <c r="H45" s="161">
        <v>3954.44</v>
      </c>
      <c r="I45" s="161">
        <v>35.013210000000001</v>
      </c>
      <c r="K45" s="127"/>
    </row>
    <row r="46" spans="6:11">
      <c r="F46" s="140">
        <v>46006</v>
      </c>
      <c r="G46" s="161">
        <v>10926</v>
      </c>
      <c r="H46" s="161">
        <v>3781.58</v>
      </c>
      <c r="I46" s="161">
        <v>39.208849999999998</v>
      </c>
      <c r="K46" s="127"/>
    </row>
    <row r="47" spans="6:11">
      <c r="F47" s="140">
        <v>46007</v>
      </c>
      <c r="G47" s="161">
        <v>5283</v>
      </c>
      <c r="H47" s="161">
        <v>1626.9059999999999</v>
      </c>
      <c r="I47" s="161">
        <v>52.617249999999999</v>
      </c>
      <c r="K47" s="127"/>
    </row>
    <row r="48" spans="6:11">
      <c r="F48" s="140">
        <v>46008</v>
      </c>
      <c r="G48" s="161">
        <v>2631</v>
      </c>
      <c r="H48" s="161">
        <v>443.88130000000001</v>
      </c>
      <c r="I48" s="161">
        <v>60.679499999999997</v>
      </c>
      <c r="K48" s="127"/>
    </row>
    <row r="49" spans="6:20">
      <c r="F49" s="140">
        <v>46009</v>
      </c>
      <c r="G49" s="161">
        <v>12603</v>
      </c>
      <c r="H49" s="161">
        <v>4457.3559999999998</v>
      </c>
      <c r="I49" s="161">
        <v>60.041269999999997</v>
      </c>
      <c r="K49" s="127"/>
    </row>
    <row r="50" spans="6:20">
      <c r="F50" s="140">
        <v>46010</v>
      </c>
      <c r="G50" s="161">
        <v>10343</v>
      </c>
      <c r="H50" s="161">
        <v>3450.5250000000001</v>
      </c>
      <c r="I50" s="161">
        <v>49.033209999999997</v>
      </c>
      <c r="K50" s="127"/>
    </row>
    <row r="51" spans="6:20">
      <c r="F51" s="140">
        <v>46011</v>
      </c>
      <c r="G51" s="161">
        <v>12559</v>
      </c>
      <c r="H51" s="161">
        <v>4410.4669999999996</v>
      </c>
      <c r="I51" s="161">
        <v>61.583939999999998</v>
      </c>
      <c r="K51" s="127"/>
    </row>
    <row r="52" spans="6:20">
      <c r="F52" s="140">
        <v>46012</v>
      </c>
      <c r="G52" s="161">
        <v>2733</v>
      </c>
      <c r="H52" s="161">
        <v>542.83389999999997</v>
      </c>
      <c r="I52" s="161">
        <v>58.551360000000003</v>
      </c>
      <c r="K52" s="127"/>
    </row>
    <row r="53" spans="6:20">
      <c r="F53" s="140">
        <v>46013</v>
      </c>
      <c r="G53" s="161">
        <v>9194</v>
      </c>
      <c r="H53" s="161">
        <v>2988.0630000000001</v>
      </c>
      <c r="I53" s="161">
        <v>63.798439999999999</v>
      </c>
      <c r="K53" s="127"/>
    </row>
    <row r="54" spans="6:20">
      <c r="F54" s="140">
        <v>46014</v>
      </c>
      <c r="G54" s="161">
        <v>9361</v>
      </c>
      <c r="H54" s="161">
        <v>3344.2550000000001</v>
      </c>
      <c r="I54" s="161">
        <v>71.779849999999996</v>
      </c>
      <c r="K54" s="127"/>
    </row>
    <row r="55" spans="6:20">
      <c r="F55" s="140">
        <v>46015</v>
      </c>
      <c r="G55" s="161">
        <v>10146</v>
      </c>
      <c r="H55" s="161">
        <v>3378.6709999999998</v>
      </c>
      <c r="I55" s="161">
        <v>70.193849999999998</v>
      </c>
      <c r="K55" s="127"/>
    </row>
    <row r="56" spans="6:20">
      <c r="F56" s="140">
        <v>46016</v>
      </c>
      <c r="G56" s="161">
        <v>10116</v>
      </c>
      <c r="H56" s="161">
        <v>3478.5729999999999</v>
      </c>
      <c r="I56" s="161">
        <v>68.891170000000002</v>
      </c>
      <c r="K56" s="127"/>
    </row>
    <row r="57" spans="6:20">
      <c r="F57" s="140">
        <v>46017</v>
      </c>
      <c r="G57" s="161">
        <v>11802</v>
      </c>
      <c r="H57" s="161">
        <v>4212.1040000000003</v>
      </c>
      <c r="I57" s="161">
        <v>72.840029999999999</v>
      </c>
      <c r="K57" s="127"/>
    </row>
    <row r="58" spans="6:20">
      <c r="F58" s="140">
        <v>46018</v>
      </c>
      <c r="G58" s="161">
        <v>10989</v>
      </c>
      <c r="H58" s="161">
        <v>3805.538</v>
      </c>
      <c r="I58" s="161">
        <v>72.076899999999995</v>
      </c>
      <c r="K58" s="127"/>
      <c r="R58" s="112"/>
      <c r="S58" s="112"/>
      <c r="T58" s="112"/>
    </row>
    <row r="59" spans="6:20">
      <c r="F59" s="140">
        <v>46019</v>
      </c>
      <c r="G59" s="161">
        <v>8450</v>
      </c>
      <c r="H59" s="161">
        <v>2859.2579999999998</v>
      </c>
      <c r="I59" s="161">
        <v>64.046419999999998</v>
      </c>
      <c r="K59" s="127"/>
    </row>
    <row r="60" spans="6:20">
      <c r="F60" s="140">
        <v>46020</v>
      </c>
      <c r="G60" s="161">
        <v>8696</v>
      </c>
      <c r="H60" s="161">
        <v>2844.6480000000001</v>
      </c>
      <c r="I60" s="161">
        <v>35.973320000000001</v>
      </c>
      <c r="K60" s="127"/>
      <c r="R60" s="112"/>
      <c r="S60" s="112"/>
      <c r="T60" s="112"/>
    </row>
    <row r="61" spans="6:20">
      <c r="F61" s="140">
        <v>46021</v>
      </c>
      <c r="G61" s="161">
        <v>13334</v>
      </c>
      <c r="H61" s="161">
        <v>4727.8789999999999</v>
      </c>
      <c r="I61" s="161">
        <v>39.217579999999998</v>
      </c>
      <c r="K61" s="127"/>
    </row>
    <row r="62" spans="6:20">
      <c r="F62" s="140">
        <v>46022</v>
      </c>
      <c r="G62" s="161">
        <v>12781</v>
      </c>
      <c r="H62" s="161">
        <v>4541.098</v>
      </c>
      <c r="I62" s="161">
        <v>50.452579999999998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13" t="s">
        <v>33</v>
      </c>
      <c r="D65" s="214"/>
      <c r="E65" s="214"/>
      <c r="F65" s="214"/>
      <c r="G65" s="214"/>
      <c r="H65" s="214"/>
      <c r="I65" s="214"/>
      <c r="J65" s="214"/>
      <c r="K65" s="214"/>
      <c r="L65" s="215"/>
    </row>
    <row r="66" spans="3:12" ht="15" customHeight="1">
      <c r="C66" s="217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3:12">
      <c r="C67" s="220"/>
      <c r="D67" s="221"/>
      <c r="E67" s="221"/>
      <c r="F67" s="221"/>
      <c r="G67" s="221"/>
      <c r="H67" s="221"/>
      <c r="I67" s="221"/>
      <c r="J67" s="221"/>
      <c r="K67" s="221"/>
      <c r="L67" s="222"/>
    </row>
    <row r="68" spans="3:12">
      <c r="C68" s="223"/>
      <c r="D68" s="224"/>
      <c r="E68" s="224"/>
      <c r="F68" s="224"/>
      <c r="G68" s="224"/>
      <c r="H68" s="224"/>
      <c r="I68" s="224"/>
      <c r="J68" s="224"/>
      <c r="K68" s="224"/>
      <c r="L68" s="225"/>
    </row>
    <row r="70" spans="3:12">
      <c r="C70" s="228" t="s">
        <v>34</v>
      </c>
      <c r="D70" s="229"/>
      <c r="E70" s="229"/>
      <c r="F70" s="229"/>
      <c r="G70" s="229"/>
      <c r="H70" s="229"/>
      <c r="I70" s="229"/>
      <c r="J70" s="229"/>
      <c r="K70" s="229"/>
      <c r="L70" s="230"/>
    </row>
    <row r="71" spans="3:12" ht="14.85" customHeight="1">
      <c r="C71" s="217"/>
      <c r="D71" s="218"/>
      <c r="E71" s="218"/>
      <c r="F71" s="218"/>
      <c r="G71" s="218"/>
      <c r="H71" s="218"/>
      <c r="I71" s="218"/>
      <c r="J71" s="218"/>
      <c r="K71" s="218"/>
      <c r="L71" s="219"/>
    </row>
    <row r="72" spans="3:12">
      <c r="C72" s="220"/>
      <c r="D72" s="221"/>
      <c r="E72" s="221"/>
      <c r="F72" s="221"/>
      <c r="G72" s="221"/>
      <c r="H72" s="221"/>
      <c r="I72" s="221"/>
      <c r="J72" s="221"/>
      <c r="K72" s="221"/>
      <c r="L72" s="222"/>
    </row>
    <row r="73" spans="3:12">
      <c r="C73" s="223"/>
      <c r="D73" s="224"/>
      <c r="E73" s="224"/>
      <c r="F73" s="224"/>
      <c r="G73" s="224"/>
      <c r="H73" s="224"/>
      <c r="I73" s="224"/>
      <c r="J73" s="224"/>
      <c r="K73" s="224"/>
      <c r="L73" s="22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6" zoomScaleNormal="100" workbookViewId="0">
      <selection activeCell="P47" sqref="P47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34" t="s">
        <v>39</v>
      </c>
      <c r="D4" s="235"/>
      <c r="E4" s="236"/>
      <c r="G4" s="234" t="s">
        <v>40</v>
      </c>
      <c r="H4" s="235"/>
      <c r="I4" s="23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34" t="s">
        <v>54</v>
      </c>
      <c r="D20" s="235"/>
      <c r="E20" s="236"/>
      <c r="G20" s="231" t="s">
        <v>55</v>
      </c>
      <c r="H20" s="237"/>
      <c r="I20" s="232"/>
      <c r="K20" s="231" t="s">
        <v>55</v>
      </c>
      <c r="L20" s="23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38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33" t="s">
        <v>57</v>
      </c>
      <c r="D36" s="233"/>
      <c r="E36" s="233"/>
      <c r="F36" s="233"/>
      <c r="H36" s="233" t="s">
        <v>58</v>
      </c>
      <c r="I36" s="233"/>
      <c r="J36" s="233"/>
      <c r="K36" s="233"/>
    </row>
    <row r="37" spans="3:12">
      <c r="C37" s="1"/>
      <c r="D37" s="42" t="s">
        <v>36</v>
      </c>
      <c r="E37" s="42" t="s">
        <v>22</v>
      </c>
      <c r="F37" s="42" t="s">
        <v>38</v>
      </c>
      <c r="H37" s="1"/>
      <c r="I37" s="42" t="s">
        <v>36</v>
      </c>
      <c r="J37" s="42" t="s">
        <v>22</v>
      </c>
      <c r="K37" s="42" t="s">
        <v>38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>
        <v>0.99796666666666667</v>
      </c>
      <c r="J40" s="62">
        <v>0.99333333333333329</v>
      </c>
      <c r="K40" s="62">
        <v>0.99809999999999999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>
        <v>0.998475</v>
      </c>
      <c r="J41" s="62">
        <v>0.995</v>
      </c>
      <c r="K41" s="62">
        <v>0.99857499999999999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>
        <v>1</v>
      </c>
      <c r="J42" s="62">
        <v>0.99600000000000011</v>
      </c>
      <c r="K42" s="62">
        <v>0.99885999999999997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>
        <v>0.9966666666666667</v>
      </c>
      <c r="J43" s="62">
        <v>0.99898333333333333</v>
      </c>
      <c r="K43" s="62">
        <v>0.99904999999999999</v>
      </c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>
        <v>0.99665000000000004</v>
      </c>
      <c r="J44" s="149">
        <v>0.99859285714285717</v>
      </c>
      <c r="K44" s="62">
        <v>0.99833333333333341</v>
      </c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>
        <v>1</v>
      </c>
      <c r="J45" s="149">
        <v>0.88170000000000004</v>
      </c>
      <c r="K45" s="62">
        <v>0.98850000000000005</v>
      </c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>
        <v>1</v>
      </c>
      <c r="J46" s="149">
        <v>0.66659999999999997</v>
      </c>
      <c r="K46" s="62">
        <v>1</v>
      </c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>
        <v>1</v>
      </c>
      <c r="J47" s="149">
        <v>0.66659999999999997</v>
      </c>
      <c r="K47" s="62">
        <v>0.99150000000000005</v>
      </c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>
        <v>1</v>
      </c>
      <c r="J48" s="149">
        <v>0.66659999999999997</v>
      </c>
      <c r="K48" s="62">
        <v>0.99880000000000002</v>
      </c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62">
        <v>1</v>
      </c>
      <c r="J49" s="46">
        <v>0.65720000000000001</v>
      </c>
      <c r="K49" s="46">
        <v>0.99470000000000003</v>
      </c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0.99863819444444457</v>
      </c>
      <c r="J50" s="52">
        <f>AVERAGE(J38:J49)</f>
        <v>0.87505079365079386</v>
      </c>
      <c r="K50" s="52">
        <f>AVERAGE(K38:K49)</f>
        <v>0.9967265277777777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88" zoomScaleNormal="100" workbookViewId="0">
      <selection activeCell="Q109" sqref="Q109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38" t="s">
        <v>59</v>
      </c>
      <c r="D4" s="239"/>
      <c r="E4" s="239"/>
      <c r="F4" s="239"/>
      <c r="G4" s="239"/>
      <c r="H4" s="239"/>
      <c r="I4" s="239"/>
      <c r="J4" s="77"/>
      <c r="K4" s="77"/>
      <c r="L4" s="78"/>
    </row>
    <row r="5" spans="3:12" ht="15.6">
      <c r="C5" s="42"/>
      <c r="D5" s="244" t="s">
        <v>36</v>
      </c>
      <c r="E5" s="245"/>
      <c r="F5" s="246"/>
      <c r="G5" s="244" t="s">
        <v>22</v>
      </c>
      <c r="H5" s="245"/>
      <c r="I5" s="246"/>
      <c r="J5" s="241" t="s">
        <v>60</v>
      </c>
      <c r="K5" s="242"/>
      <c r="L5" s="243"/>
    </row>
    <row r="6" spans="3:12">
      <c r="C6" s="42"/>
      <c r="D6" s="42" t="s">
        <v>61</v>
      </c>
      <c r="E6" s="42" t="s">
        <v>62</v>
      </c>
      <c r="F6" s="42" t="s">
        <v>63</v>
      </c>
      <c r="G6" s="42" t="s">
        <v>61</v>
      </c>
      <c r="H6" s="42" t="s">
        <v>62</v>
      </c>
      <c r="I6" s="42" t="s">
        <v>63</v>
      </c>
      <c r="J6" s="49" t="s">
        <v>61</v>
      </c>
      <c r="K6" s="49" t="s">
        <v>62</v>
      </c>
      <c r="L6" s="49" t="s">
        <v>63</v>
      </c>
    </row>
    <row r="7" spans="3:12">
      <c r="C7" s="47" t="s">
        <v>41</v>
      </c>
      <c r="D7" s="86" t="s">
        <v>64</v>
      </c>
      <c r="E7" s="86" t="s">
        <v>64</v>
      </c>
      <c r="F7" s="86" t="s">
        <v>64</v>
      </c>
      <c r="G7" s="86" t="s">
        <v>64</v>
      </c>
      <c r="H7" s="86" t="s">
        <v>64</v>
      </c>
      <c r="I7" s="86" t="s">
        <v>64</v>
      </c>
      <c r="J7" s="86" t="s">
        <v>64</v>
      </c>
      <c r="K7" s="86" t="s">
        <v>64</v>
      </c>
      <c r="L7" s="86" t="s">
        <v>64</v>
      </c>
    </row>
    <row r="8" spans="3:12">
      <c r="C8" s="47" t="s">
        <v>42</v>
      </c>
      <c r="D8" s="86" t="s">
        <v>64</v>
      </c>
      <c r="E8" s="86" t="s">
        <v>64</v>
      </c>
      <c r="F8" s="86" t="s">
        <v>64</v>
      </c>
      <c r="G8" s="86" t="s">
        <v>64</v>
      </c>
      <c r="H8" s="86" t="s">
        <v>64</v>
      </c>
      <c r="I8" s="86" t="s">
        <v>64</v>
      </c>
      <c r="J8" s="86" t="s">
        <v>64</v>
      </c>
      <c r="K8" s="86" t="s">
        <v>64</v>
      </c>
      <c r="L8" s="86" t="s">
        <v>64</v>
      </c>
    </row>
    <row r="9" spans="3:12">
      <c r="C9" s="47" t="s">
        <v>43</v>
      </c>
      <c r="D9" s="86" t="s">
        <v>64</v>
      </c>
      <c r="E9" s="86" t="s">
        <v>64</v>
      </c>
      <c r="F9" s="86" t="s">
        <v>64</v>
      </c>
      <c r="G9" s="86" t="s">
        <v>64</v>
      </c>
      <c r="H9" s="86" t="s">
        <v>64</v>
      </c>
      <c r="I9" s="86" t="s">
        <v>64</v>
      </c>
      <c r="J9" s="86" t="s">
        <v>64</v>
      </c>
      <c r="K9" s="86" t="s">
        <v>64</v>
      </c>
      <c r="L9" s="86" t="s">
        <v>64</v>
      </c>
    </row>
    <row r="10" spans="3:12">
      <c r="C10" s="47" t="s">
        <v>44</v>
      </c>
      <c r="D10" s="86" t="s">
        <v>64</v>
      </c>
      <c r="E10" s="86" t="s">
        <v>64</v>
      </c>
      <c r="F10" s="86" t="s">
        <v>64</v>
      </c>
      <c r="G10" s="86" t="s">
        <v>64</v>
      </c>
      <c r="H10" s="86" t="s">
        <v>64</v>
      </c>
      <c r="I10" s="86" t="s">
        <v>64</v>
      </c>
      <c r="J10" s="86" t="s">
        <v>64</v>
      </c>
      <c r="K10" s="86" t="s">
        <v>64</v>
      </c>
      <c r="L10" s="86" t="s">
        <v>64</v>
      </c>
    </row>
    <row r="11" spans="3:12">
      <c r="C11" s="47" t="s">
        <v>45</v>
      </c>
      <c r="D11" s="86" t="s">
        <v>64</v>
      </c>
      <c r="E11" s="86" t="s">
        <v>64</v>
      </c>
      <c r="F11" s="86" t="s">
        <v>64</v>
      </c>
      <c r="G11" s="86" t="s">
        <v>64</v>
      </c>
      <c r="H11" s="86" t="s">
        <v>64</v>
      </c>
      <c r="I11" s="86" t="s">
        <v>64</v>
      </c>
      <c r="J11" s="86" t="s">
        <v>64</v>
      </c>
      <c r="K11" s="86" t="s">
        <v>64</v>
      </c>
      <c r="L11" s="86" t="s">
        <v>64</v>
      </c>
    </row>
    <row r="12" spans="3:12">
      <c r="C12" s="47" t="s">
        <v>46</v>
      </c>
      <c r="D12" s="86" t="s">
        <v>64</v>
      </c>
      <c r="E12" s="86" t="s">
        <v>64</v>
      </c>
      <c r="F12" s="86" t="s">
        <v>64</v>
      </c>
      <c r="G12" s="86" t="s">
        <v>64</v>
      </c>
      <c r="H12" s="86" t="s">
        <v>64</v>
      </c>
      <c r="I12" s="86" t="s">
        <v>64</v>
      </c>
      <c r="J12" s="86" t="s">
        <v>64</v>
      </c>
      <c r="K12" s="86" t="s">
        <v>64</v>
      </c>
      <c r="L12" s="86" t="s">
        <v>64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64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64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65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38" t="s">
        <v>66</v>
      </c>
      <c r="D22" s="239"/>
      <c r="E22" s="239"/>
      <c r="F22" s="239"/>
      <c r="G22" s="239"/>
      <c r="H22" s="239"/>
      <c r="I22" s="239"/>
      <c r="J22" s="77"/>
      <c r="K22" s="77"/>
      <c r="L22" s="78"/>
    </row>
    <row r="23" spans="3:12" ht="15.6">
      <c r="C23" s="42"/>
      <c r="D23" s="244" t="s">
        <v>36</v>
      </c>
      <c r="E23" s="245"/>
      <c r="F23" s="246"/>
      <c r="G23" s="244" t="s">
        <v>22</v>
      </c>
      <c r="H23" s="245"/>
      <c r="I23" s="246"/>
      <c r="J23" s="241" t="s">
        <v>60</v>
      </c>
      <c r="K23" s="242"/>
      <c r="L23" s="243"/>
    </row>
    <row r="24" spans="3:12">
      <c r="C24" s="42"/>
      <c r="D24" s="42" t="s">
        <v>61</v>
      </c>
      <c r="E24" s="42" t="s">
        <v>62</v>
      </c>
      <c r="F24" s="42" t="s">
        <v>63</v>
      </c>
      <c r="G24" s="42" t="s">
        <v>61</v>
      </c>
      <c r="H24" s="42" t="s">
        <v>62</v>
      </c>
      <c r="I24" s="42" t="s">
        <v>63</v>
      </c>
      <c r="J24" s="49" t="s">
        <v>61</v>
      </c>
      <c r="K24" s="49" t="s">
        <v>62</v>
      </c>
      <c r="L24" s="49" t="s">
        <v>63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65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38" t="s">
        <v>67</v>
      </c>
      <c r="D40" s="239"/>
      <c r="E40" s="239"/>
      <c r="F40" s="239"/>
      <c r="G40" s="239"/>
      <c r="H40" s="239"/>
      <c r="I40" s="239"/>
      <c r="J40" s="77"/>
      <c r="K40" s="77"/>
      <c r="L40" s="78"/>
    </row>
    <row r="41" spans="3:43" ht="15.6">
      <c r="C41" s="42"/>
      <c r="D41" s="244" t="s">
        <v>36</v>
      </c>
      <c r="E41" s="245"/>
      <c r="F41" s="246"/>
      <c r="G41" s="244" t="s">
        <v>22</v>
      </c>
      <c r="H41" s="245"/>
      <c r="I41" s="246"/>
      <c r="J41" s="241" t="s">
        <v>60</v>
      </c>
      <c r="K41" s="242"/>
      <c r="L41" s="243"/>
    </row>
    <row r="42" spans="3:43">
      <c r="C42" s="42"/>
      <c r="D42" s="42" t="s">
        <v>61</v>
      </c>
      <c r="E42" s="42" t="s">
        <v>62</v>
      </c>
      <c r="F42" s="42" t="s">
        <v>63</v>
      </c>
      <c r="G42" s="42" t="s">
        <v>61</v>
      </c>
      <c r="H42" s="42" t="s">
        <v>62</v>
      </c>
      <c r="I42" s="42" t="s">
        <v>63</v>
      </c>
      <c r="J42" s="49" t="s">
        <v>61</v>
      </c>
      <c r="K42" s="49" t="s">
        <v>62</v>
      </c>
      <c r="L42" s="49" t="s">
        <v>63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47"/>
      <c r="AO49" s="247"/>
      <c r="AP49" s="247"/>
      <c r="AQ49" s="247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48"/>
      <c r="AP50" s="248"/>
      <c r="AQ50" s="24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65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38" t="s">
        <v>68</v>
      </c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4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41" t="s">
        <v>36</v>
      </c>
      <c r="E59" s="242"/>
      <c r="F59" s="243"/>
      <c r="G59" s="241" t="s">
        <v>22</v>
      </c>
      <c r="H59" s="242"/>
      <c r="I59" s="243"/>
      <c r="J59" s="241" t="s">
        <v>38</v>
      </c>
      <c r="K59" s="242"/>
      <c r="L59" s="243"/>
      <c r="M59" s="241" t="s">
        <v>60</v>
      </c>
      <c r="N59" s="242"/>
      <c r="O59" s="24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61</v>
      </c>
      <c r="E60" s="42" t="s">
        <v>62</v>
      </c>
      <c r="F60" s="42" t="s">
        <v>63</v>
      </c>
      <c r="G60" s="42" t="s">
        <v>61</v>
      </c>
      <c r="H60" s="42" t="s">
        <v>62</v>
      </c>
      <c r="I60" s="42" t="s">
        <v>63</v>
      </c>
      <c r="J60" s="42" t="s">
        <v>61</v>
      </c>
      <c r="K60" s="42" t="s">
        <v>62</v>
      </c>
      <c r="L60" s="42" t="s">
        <v>63</v>
      </c>
      <c r="M60" s="49" t="s">
        <v>61</v>
      </c>
      <c r="N60" s="49" t="s">
        <v>62</v>
      </c>
      <c r="O60" s="49" t="s">
        <v>63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65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38" t="s">
        <v>69</v>
      </c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40"/>
    </row>
    <row r="77" spans="3:43" ht="15.6">
      <c r="C77" s="42"/>
      <c r="D77" s="241" t="s">
        <v>36</v>
      </c>
      <c r="E77" s="242"/>
      <c r="F77" s="243"/>
      <c r="G77" s="241" t="s">
        <v>22</v>
      </c>
      <c r="H77" s="242"/>
      <c r="I77" s="243"/>
      <c r="J77" s="241" t="s">
        <v>38</v>
      </c>
      <c r="K77" s="242"/>
      <c r="L77" s="243"/>
      <c r="M77" s="241" t="s">
        <v>60</v>
      </c>
      <c r="N77" s="242"/>
      <c r="O77" s="243"/>
    </row>
    <row r="78" spans="3:43">
      <c r="C78" s="42"/>
      <c r="D78" s="42" t="s">
        <v>61</v>
      </c>
      <c r="E78" s="42" t="s">
        <v>62</v>
      </c>
      <c r="F78" s="42" t="s">
        <v>63</v>
      </c>
      <c r="G78" s="42" t="s">
        <v>61</v>
      </c>
      <c r="H78" s="42" t="s">
        <v>62</v>
      </c>
      <c r="I78" s="42" t="s">
        <v>63</v>
      </c>
      <c r="J78" s="42" t="s">
        <v>61</v>
      </c>
      <c r="K78" s="42" t="s">
        <v>62</v>
      </c>
      <c r="L78" s="42" t="s">
        <v>63</v>
      </c>
      <c r="M78" s="49" t="s">
        <v>61</v>
      </c>
      <c r="N78" s="49" t="s">
        <v>62</v>
      </c>
      <c r="O78" s="49" t="s">
        <v>63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70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179511</v>
      </c>
      <c r="E90" s="86">
        <v>200509</v>
      </c>
      <c r="F90" s="46">
        <f t="shared" si="29"/>
        <v>0.89527652125341006</v>
      </c>
      <c r="G90" s="86">
        <f>Merrimack!J6</f>
        <v>74593.000000001863</v>
      </c>
      <c r="H90" s="86">
        <v>186514</v>
      </c>
      <c r="I90" s="46">
        <f>G90/H90</f>
        <v>0.39993244474946577</v>
      </c>
      <c r="J90" s="86">
        <f>Westlake!J6</f>
        <v>281375</v>
      </c>
      <c r="K90" s="86">
        <v>250803</v>
      </c>
      <c r="L90" s="46">
        <f t="shared" si="31"/>
        <v>1.1218964685430397</v>
      </c>
      <c r="M90" s="50">
        <f t="shared" si="35"/>
        <v>535479.00000000186</v>
      </c>
      <c r="N90" s="50">
        <f t="shared" si="34"/>
        <v>637826</v>
      </c>
      <c r="O90" s="51">
        <f t="shared" si="32"/>
        <v>0.83953774226827049</v>
      </c>
    </row>
    <row r="91" spans="3:16">
      <c r="C91" s="49" t="s">
        <v>65</v>
      </c>
      <c r="D91" s="53">
        <f>SUM(D79:D90)</f>
        <v>4443686.7</v>
      </c>
      <c r="E91" s="53">
        <f>SUM(E79:E90)</f>
        <v>4199996.8692999994</v>
      </c>
      <c r="F91" s="55">
        <f>D91/E91</f>
        <v>1.0580214315113563</v>
      </c>
      <c r="G91" s="53">
        <f>SUM(G79:G90)</f>
        <v>3434125.3450000016</v>
      </c>
      <c r="H91" s="53">
        <f>SUM(H79:H90)</f>
        <v>3528167.0586000006</v>
      </c>
      <c r="I91" s="55">
        <f t="shared" ref="I91" si="36">G91/H91</f>
        <v>0.97334544763951303</v>
      </c>
      <c r="J91" s="53">
        <f>SUM(J79:J90)</f>
        <v>5420513.0000000009</v>
      </c>
      <c r="K91" s="53">
        <f>SUM(K79:K90)</f>
        <v>5141104.1964999996</v>
      </c>
      <c r="L91" s="55">
        <f>J91/K91</f>
        <v>1.0543480141270467</v>
      </c>
      <c r="M91" s="54">
        <f t="shared" si="35"/>
        <v>13298325.045000002</v>
      </c>
      <c r="N91" s="54">
        <f t="shared" si="34"/>
        <v>12869268.124399999</v>
      </c>
      <c r="O91" s="55">
        <f t="shared" ref="O91" si="37">M91/N91</f>
        <v>1.0333396519873974</v>
      </c>
    </row>
    <row r="94" spans="3:16">
      <c r="C94" s="238" t="s">
        <v>69</v>
      </c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40"/>
    </row>
    <row r="95" spans="3:16" ht="15.6">
      <c r="C95" s="42"/>
      <c r="D95" s="241" t="s">
        <v>36</v>
      </c>
      <c r="E95" s="242"/>
      <c r="F95" s="243"/>
      <c r="G95" s="241" t="s">
        <v>22</v>
      </c>
      <c r="H95" s="242"/>
      <c r="I95" s="243"/>
      <c r="J95" s="241" t="s">
        <v>38</v>
      </c>
      <c r="K95" s="242"/>
      <c r="L95" s="243"/>
      <c r="M95" s="241" t="s">
        <v>60</v>
      </c>
      <c r="N95" s="242"/>
      <c r="O95" s="243"/>
    </row>
    <row r="96" spans="3:16">
      <c r="C96" s="42"/>
      <c r="D96" s="42" t="s">
        <v>61</v>
      </c>
      <c r="E96" s="42" t="s">
        <v>62</v>
      </c>
      <c r="F96" s="42" t="s">
        <v>63</v>
      </c>
      <c r="G96" s="42" t="s">
        <v>61</v>
      </c>
      <c r="H96" s="42" t="s">
        <v>62</v>
      </c>
      <c r="I96" s="42" t="s">
        <v>63</v>
      </c>
      <c r="J96" s="42" t="s">
        <v>61</v>
      </c>
      <c r="K96" s="42" t="s">
        <v>62</v>
      </c>
      <c r="L96" s="42" t="s">
        <v>63</v>
      </c>
      <c r="M96" s="49" t="s">
        <v>61</v>
      </c>
      <c r="N96" s="49" t="s">
        <v>62</v>
      </c>
      <c r="O96" s="49" t="s">
        <v>63</v>
      </c>
    </row>
    <row r="97" spans="3:15" hidden="1">
      <c r="C97" s="47" t="s">
        <v>41</v>
      </c>
      <c r="D97" s="48">
        <v>194299.75</v>
      </c>
      <c r="E97" s="48">
        <v>261206.57600000006</v>
      </c>
      <c r="F97" s="46">
        <f t="shared" ref="F97:F109" si="38">D97/E97</f>
        <v>0.74385474123744866</v>
      </c>
      <c r="G97" s="48">
        <v>152720.45000000001</v>
      </c>
      <c r="H97" s="48">
        <v>225291.31930000006</v>
      </c>
      <c r="I97" s="46">
        <f t="shared" ref="I97:I108" si="39">G97/H97</f>
        <v>0.67787986893820795</v>
      </c>
      <c r="J97" s="48">
        <v>359558</v>
      </c>
      <c r="K97" s="48">
        <v>330650.56599999988</v>
      </c>
      <c r="L97" s="46">
        <f t="shared" ref="L97:L108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 hidden="1">
      <c r="C98" s="47" t="s">
        <v>42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8" si="42">SUM(D98,G98,J98)</f>
        <v>704570.5</v>
      </c>
      <c r="N98" s="50">
        <f t="shared" ref="N98:N108" si="43">SUM(E98,H98,K98)</f>
        <v>814511.79449999984</v>
      </c>
      <c r="O98" s="51">
        <f t="shared" si="41"/>
        <v>0.86502185082845984</v>
      </c>
    </row>
    <row r="99" spans="3:15" hidden="1">
      <c r="C99" s="93" t="s">
        <v>43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 hidden="1">
      <c r="C100" s="47" t="s">
        <v>44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 hidden="1">
      <c r="C101" s="47" t="s">
        <v>45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 hidden="1">
      <c r="C102" s="47" t="s">
        <v>46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 hidden="1">
      <c r="C103" s="47" t="s">
        <v>47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>
      <c r="C104" s="47" t="s">
        <v>48</v>
      </c>
      <c r="D104" s="86">
        <v>537219.5</v>
      </c>
      <c r="E104" s="86">
        <v>498537.88899999991</v>
      </c>
      <c r="F104" s="46">
        <f t="shared" si="38"/>
        <v>1.0775901127145826</v>
      </c>
      <c r="G104" s="86">
        <v>404137.47058823518</v>
      </c>
      <c r="H104" s="86">
        <v>406788.51279999997</v>
      </c>
      <c r="I104" s="46">
        <f t="shared" si="39"/>
        <v>0.99348299637687121</v>
      </c>
      <c r="J104" s="86">
        <v>552466</v>
      </c>
      <c r="K104" s="86">
        <v>501635.62900000007</v>
      </c>
      <c r="L104" s="46">
        <f t="shared" si="40"/>
        <v>1.101329267822003</v>
      </c>
      <c r="M104" s="50">
        <f t="shared" si="42"/>
        <v>1493822.9705882352</v>
      </c>
      <c r="N104" s="50">
        <f t="shared" si="43"/>
        <v>1406962.0307999998</v>
      </c>
      <c r="O104" s="51">
        <f t="shared" si="41"/>
        <v>1.0617365201666786</v>
      </c>
    </row>
    <row r="105" spans="3:15">
      <c r="C105" s="47" t="s">
        <v>49</v>
      </c>
      <c r="D105" s="86">
        <v>424355</v>
      </c>
      <c r="E105" s="86">
        <v>393985</v>
      </c>
      <c r="F105" s="46">
        <f t="shared" si="38"/>
        <v>1.0770841529499855</v>
      </c>
      <c r="G105" s="48">
        <v>287715</v>
      </c>
      <c r="H105" s="86">
        <v>334796</v>
      </c>
      <c r="I105" s="46">
        <f t="shared" si="39"/>
        <v>0.85937406659577775</v>
      </c>
      <c r="J105" s="86">
        <v>537548</v>
      </c>
      <c r="K105" s="86">
        <v>474608</v>
      </c>
      <c r="L105" s="46">
        <f t="shared" si="40"/>
        <v>1.1326147051882818</v>
      </c>
      <c r="M105" s="50">
        <f t="shared" si="42"/>
        <v>1249618</v>
      </c>
      <c r="N105" s="50">
        <f t="shared" si="43"/>
        <v>1203389</v>
      </c>
      <c r="O105" s="51">
        <f t="shared" si="41"/>
        <v>1.0384156743995498</v>
      </c>
    </row>
    <row r="106" spans="3:15">
      <c r="C106" s="47" t="s">
        <v>50</v>
      </c>
      <c r="D106" s="86">
        <v>351940</v>
      </c>
      <c r="E106" s="19">
        <v>331548</v>
      </c>
      <c r="F106" s="46">
        <f t="shared" si="38"/>
        <v>1.0615054230458334</v>
      </c>
      <c r="G106" s="48">
        <v>231241</v>
      </c>
      <c r="H106" s="86">
        <v>276238</v>
      </c>
      <c r="I106" s="46">
        <f t="shared" si="39"/>
        <v>0.83710785626886963</v>
      </c>
      <c r="J106" s="86">
        <v>487146</v>
      </c>
      <c r="K106" s="19">
        <v>439993</v>
      </c>
      <c r="L106" s="46">
        <f t="shared" si="40"/>
        <v>1.1071676140302231</v>
      </c>
      <c r="M106" s="50">
        <f t="shared" si="42"/>
        <v>1070327</v>
      </c>
      <c r="N106" s="50">
        <f t="shared" si="43"/>
        <v>1047779</v>
      </c>
      <c r="O106" s="51">
        <f t="shared" si="41"/>
        <v>1.0215198052261021</v>
      </c>
    </row>
    <row r="107" spans="3:15">
      <c r="C107" s="47" t="s">
        <v>51</v>
      </c>
      <c r="D107" s="48">
        <v>223189.5</v>
      </c>
      <c r="E107" s="48">
        <v>219149.50599999999</v>
      </c>
      <c r="F107" s="46">
        <f t="shared" si="38"/>
        <v>1.0184348761434123</v>
      </c>
      <c r="G107" s="48">
        <v>141536</v>
      </c>
      <c r="H107" s="48">
        <v>177826.24000000002</v>
      </c>
      <c r="I107" s="46">
        <f t="shared" si="39"/>
        <v>0.79592303138164533</v>
      </c>
      <c r="J107" s="86">
        <v>346267</v>
      </c>
      <c r="K107" s="105">
        <v>334635.44469999999</v>
      </c>
      <c r="L107" s="46">
        <f t="shared" si="40"/>
        <v>1.0347588860780355</v>
      </c>
      <c r="M107" s="50">
        <f t="shared" si="42"/>
        <v>710992.5</v>
      </c>
      <c r="N107" s="50">
        <f t="shared" si="43"/>
        <v>731611.19070000004</v>
      </c>
      <c r="O107" s="51">
        <f t="shared" si="41"/>
        <v>0.97181742028812845</v>
      </c>
    </row>
    <row r="108" spans="3:15">
      <c r="C108" s="47" t="s">
        <v>52</v>
      </c>
      <c r="D108" s="86">
        <v>179511</v>
      </c>
      <c r="E108" s="86">
        <v>202641.20110000001</v>
      </c>
      <c r="F108" s="46">
        <f t="shared" si="38"/>
        <v>0.88585637582859744</v>
      </c>
      <c r="G108" s="86">
        <v>74593</v>
      </c>
      <c r="H108" s="86">
        <v>173792.10159999999</v>
      </c>
      <c r="I108" s="46">
        <f t="shared" si="39"/>
        <v>0.42920822818336873</v>
      </c>
      <c r="J108" s="86">
        <v>281375</v>
      </c>
      <c r="K108" s="86">
        <v>96470.496830000004</v>
      </c>
      <c r="L108" s="46">
        <f t="shared" si="40"/>
        <v>2.9166948367213048</v>
      </c>
      <c r="M108" s="50">
        <f t="shared" si="42"/>
        <v>535479</v>
      </c>
      <c r="N108" s="50">
        <f t="shared" si="43"/>
        <v>472903.79953000002</v>
      </c>
      <c r="O108" s="51">
        <f t="shared" si="41"/>
        <v>1.1323212047189957</v>
      </c>
    </row>
    <row r="109" spans="3:15" ht="15">
      <c r="C109" s="49" t="s">
        <v>65</v>
      </c>
      <c r="D109" s="53">
        <f>SUM(D97:D108)</f>
        <v>4429121.75</v>
      </c>
      <c r="E109" s="53">
        <f>SUM(E97:E108)</f>
        <v>4277378.6920999996</v>
      </c>
      <c r="F109" s="55">
        <f>D109/E109</f>
        <v>1.0354757127724648</v>
      </c>
      <c r="G109" s="53">
        <f>SUM(G97:G108)</f>
        <v>3122292.9215882351</v>
      </c>
      <c r="H109" s="53">
        <f>SUM(H97:H108)</f>
        <v>3487926.8738000002</v>
      </c>
      <c r="I109" s="55">
        <f t="shared" ref="I109" si="44">G109/H109</f>
        <v>0.89517155449609043</v>
      </c>
      <c r="J109" s="53">
        <f>SUM(J97:J108)</f>
        <v>5601689</v>
      </c>
      <c r="K109" s="53">
        <f>SUM(K97:K108)</f>
        <v>4973475.8553299988</v>
      </c>
      <c r="L109" s="55">
        <f>J109/K109</f>
        <v>1.1263126961794245</v>
      </c>
      <c r="M109" s="54">
        <f t="shared" ref="M109" si="45">SUM(D109,G109,J109)</f>
        <v>13153103.671588235</v>
      </c>
      <c r="N109" s="54">
        <f t="shared" ref="N109" si="46">SUM(E109,H109,K109)</f>
        <v>12738781.42123</v>
      </c>
      <c r="O109" s="55">
        <f t="shared" si="41"/>
        <v>1.0325244806907308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28" workbookViewId="0">
      <selection activeCell="I42" sqref="I42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71</v>
      </c>
      <c r="B4" s="71" t="s">
        <v>72</v>
      </c>
      <c r="C4" s="71" t="s">
        <v>73</v>
      </c>
      <c r="D4" s="72" t="s">
        <v>4</v>
      </c>
      <c r="E4" s="73" t="s">
        <v>74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38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38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38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38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38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38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38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38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38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38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38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38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75</v>
      </c>
      <c r="B1" s="17" t="s">
        <v>76</v>
      </c>
      <c r="C1" s="17" t="s">
        <v>77</v>
      </c>
      <c r="D1" s="32"/>
      <c r="H1" s="179" t="s">
        <v>78</v>
      </c>
      <c r="I1" s="179"/>
      <c r="J1" s="179"/>
      <c r="K1" s="179"/>
      <c r="L1" s="179"/>
      <c r="M1" s="179"/>
      <c r="N1" s="179"/>
      <c r="O1" s="179"/>
      <c r="Q1" s="32" t="s">
        <v>79</v>
      </c>
    </row>
    <row r="2" spans="1:17">
      <c r="A2" s="33" t="s">
        <v>80</v>
      </c>
      <c r="B2" s="34" t="s">
        <v>81</v>
      </c>
      <c r="C2" s="34" t="s">
        <v>82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83</v>
      </c>
      <c r="F5" s="19"/>
      <c r="G5" t="s">
        <v>84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t="s">
        <v>85</v>
      </c>
      <c r="P1" t="s">
        <v>86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84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87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75</v>
      </c>
      <c r="B1" s="17" t="s">
        <v>76</v>
      </c>
      <c r="C1" s="17" t="s">
        <v>77</v>
      </c>
      <c r="G1" s="179" t="s">
        <v>88</v>
      </c>
      <c r="H1" s="179"/>
      <c r="I1" s="179"/>
      <c r="J1" s="179"/>
      <c r="K1" s="179"/>
      <c r="L1" s="179"/>
      <c r="M1" s="179"/>
      <c r="N1" s="179"/>
      <c r="P1" s="32" t="s">
        <v>89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84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90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s="179" t="s">
        <v>91</v>
      </c>
      <c r="H1" s="179"/>
      <c r="I1" s="179"/>
      <c r="J1" s="179"/>
      <c r="K1" s="179"/>
      <c r="L1" s="179"/>
      <c r="M1" s="179"/>
      <c r="N1" s="179"/>
      <c r="P1" s="32" t="s">
        <v>92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84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93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5757AC-F572-4FD6-8D98-A3A4BF832404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86A72E05-0126-4986-887E-B7A7CEBA3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Guest User</cp:lastModifiedBy>
  <cp:revision/>
  <dcterms:created xsi:type="dcterms:W3CDTF">2013-05-02T09:51:31Z</dcterms:created>
  <dcterms:modified xsi:type="dcterms:W3CDTF">2026-01-13T11:52:26Z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