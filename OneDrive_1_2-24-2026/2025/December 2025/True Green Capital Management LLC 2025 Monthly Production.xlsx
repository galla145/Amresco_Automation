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SR\"/>
    </mc:Choice>
  </mc:AlternateContent>
  <xr:revisionPtr revIDLastSave="0" documentId="13_ncr:1_{BB1266A2-42FA-4375-8209-ADB040034D3C}" xr6:coauthVersionLast="47" xr6:coauthVersionMax="47" xr10:uidLastSave="{00000000-0000-0000-0000-000000000000}"/>
  <bookViews>
    <workbookView xWindow="-108" yWindow="-108" windowWidth="23256" windowHeight="13896" tabRatio="866" firstSheet="16" activeTab="1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Jun" sheetId="19" r:id="rId10"/>
    <sheet name="May" sheetId="20"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9" hidden="1">Jun!$A$2:$I$2</definedName>
    <definedName name="_xlnm._FilterDatabase" localSheetId="7" hidden="1">Mar!$A$2:$I$2</definedName>
    <definedName name="_xlnm._FilterDatabase" localSheetId="10"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27" l="1"/>
  <c r="H4" i="27"/>
  <c r="H6" i="26"/>
  <c r="H7" i="26"/>
  <c r="H8" i="26"/>
  <c r="H6" i="19"/>
  <c r="A4" i="19" a="1"/>
  <c r="A4" i="19"/>
  <c r="B4" i="33" a="1"/>
  <c r="B4" i="33" s="1"/>
  <c r="B4" i="32" a="1"/>
  <c r="B4" i="32" s="1"/>
  <c r="B4" i="31" a="1"/>
  <c r="B4" i="31" s="1"/>
  <c r="B4" i="28" a="1"/>
  <c r="B4" i="28" s="1"/>
  <c r="B4" i="27" a="1"/>
  <c r="B4" i="27" s="1"/>
  <c r="B4" i="26" a="1"/>
  <c r="B4" i="26" s="1"/>
  <c r="B4" i="19" a="1"/>
  <c r="B4" i="19" s="1"/>
  <c r="B4" i="20" a="1"/>
  <c r="B4" i="20" s="1"/>
  <c r="B4" i="21" a="1"/>
  <c r="B4" i="21" s="1"/>
  <c r="B4" i="4" a="1"/>
  <c r="B4" i="4" s="1"/>
  <c r="B4" i="72" a="1"/>
  <c r="B4" i="72" s="1"/>
  <c r="B4" i="3" a="1"/>
  <c r="B4" i="3" s="1"/>
  <c r="H6" i="20"/>
  <c r="I6" i="20" s="1"/>
  <c r="H7" i="20"/>
  <c r="I7" i="20" s="1"/>
  <c r="H8" i="20"/>
  <c r="I8" i="20" s="1"/>
  <c r="E6" i="20"/>
  <c r="F6" i="20" s="1"/>
  <c r="E7" i="20"/>
  <c r="F7" i="20" s="1"/>
  <c r="E8" i="20"/>
  <c r="F8" i="20" s="1"/>
  <c r="H8" i="18"/>
  <c r="G5" i="18"/>
  <c r="G6" i="18"/>
  <c r="G7" i="18"/>
  <c r="G8" i="18"/>
  <c r="G4" i="18"/>
  <c r="D5" i="18"/>
  <c r="D6" i="18"/>
  <c r="D7" i="18"/>
  <c r="D8" i="18"/>
  <c r="D4" i="18"/>
  <c r="C5" i="18"/>
  <c r="C6" i="18"/>
  <c r="C7" i="18"/>
  <c r="C8" i="18"/>
  <c r="C4" i="18"/>
  <c r="G5" i="30"/>
  <c r="G6" i="30"/>
  <c r="G7" i="30"/>
  <c r="G8" i="30"/>
  <c r="G4" i="30"/>
  <c r="D5" i="30"/>
  <c r="D6" i="30"/>
  <c r="D7" i="30"/>
  <c r="D8" i="30"/>
  <c r="D4" i="30"/>
  <c r="C5" i="30"/>
  <c r="C6" i="30"/>
  <c r="C7" i="30"/>
  <c r="C8" i="30"/>
  <c r="C4" i="30"/>
  <c r="G5" i="29"/>
  <c r="G6" i="29"/>
  <c r="G7" i="29"/>
  <c r="G8" i="29"/>
  <c r="G4" i="29"/>
  <c r="D5" i="29"/>
  <c r="D6" i="29"/>
  <c r="D7" i="29"/>
  <c r="D8" i="29"/>
  <c r="D4" i="29"/>
  <c r="C5" i="29"/>
  <c r="C6" i="29"/>
  <c r="C7" i="29"/>
  <c r="C8" i="29"/>
  <c r="C4" i="29"/>
  <c r="G5" i="1"/>
  <c r="G6" i="1"/>
  <c r="G7" i="1"/>
  <c r="G8" i="1"/>
  <c r="G4" i="1"/>
  <c r="D5" i="1"/>
  <c r="D6" i="1"/>
  <c r="D7" i="1"/>
  <c r="D8" i="1"/>
  <c r="D4" i="1"/>
  <c r="C5" i="1"/>
  <c r="C6" i="1"/>
  <c r="C7" i="1"/>
  <c r="C8" i="1"/>
  <c r="C4" i="1"/>
  <c r="H5" i="4"/>
  <c r="I5" i="4" s="1"/>
  <c r="H6" i="4"/>
  <c r="I6" i="4" s="1"/>
  <c r="H7" i="4"/>
  <c r="I7" i="4" s="1"/>
  <c r="H8" i="4"/>
  <c r="I8" i="4" s="1"/>
  <c r="E5" i="4"/>
  <c r="F5" i="4" s="1"/>
  <c r="E6" i="4"/>
  <c r="F6" i="4" s="1"/>
  <c r="E7" i="4"/>
  <c r="F7" i="4" s="1"/>
  <c r="E8" i="4"/>
  <c r="F8" i="4" s="1"/>
  <c r="A4" i="20" a="1"/>
  <c r="A4" i="20" s="1"/>
  <c r="A4" i="26" a="1"/>
  <c r="A4" i="26"/>
  <c r="A4" i="27" a="1"/>
  <c r="A4" i="27"/>
  <c r="A4" i="28" a="1"/>
  <c r="A4" i="28"/>
  <c r="A4" i="31" a="1"/>
  <c r="A4" i="31" s="1"/>
  <c r="A4" i="32" a="1"/>
  <c r="A4" i="32" s="1"/>
  <c r="A4" i="33" a="1"/>
  <c r="A4" i="33" s="1"/>
  <c r="A4" i="21" a="1"/>
  <c r="A4" i="21"/>
  <c r="A4" i="4" a="1"/>
  <c r="A4" i="4" s="1"/>
  <c r="A4" i="72" a="1"/>
  <c r="A4" i="72" s="1"/>
  <c r="A4" i="3" a="1"/>
  <c r="A4" i="3" s="1"/>
  <c r="H4" i="3"/>
  <c r="I4" i="3" s="1"/>
  <c r="H5" i="3"/>
  <c r="I5" i="3" s="1"/>
  <c r="H6" i="3"/>
  <c r="I6" i="3" s="1"/>
  <c r="H7" i="3"/>
  <c r="I7" i="3" s="1"/>
  <c r="H8" i="3"/>
  <c r="I8" i="3" s="1"/>
  <c r="E4" i="3"/>
  <c r="F4" i="3" s="1"/>
  <c r="E5" i="3"/>
  <c r="F5" i="3" s="1"/>
  <c r="E6" i="3"/>
  <c r="F6" i="3" s="1"/>
  <c r="E7" i="3"/>
  <c r="F7" i="3" s="1"/>
  <c r="E8" i="3"/>
  <c r="F8" i="3" s="1"/>
  <c r="H4" i="72"/>
  <c r="H5" i="72"/>
  <c r="H6" i="72"/>
  <c r="H7" i="72"/>
  <c r="H8" i="72"/>
  <c r="E4" i="72"/>
  <c r="F4" i="72" s="1"/>
  <c r="E5" i="72"/>
  <c r="F5" i="72" s="1"/>
  <c r="E6" i="72"/>
  <c r="F6" i="72" s="1"/>
  <c r="E7" i="72"/>
  <c r="F7" i="72" s="1"/>
  <c r="E8" i="72"/>
  <c r="F8" i="72" s="1"/>
  <c r="H12" i="31"/>
  <c r="I12" i="31" s="1"/>
  <c r="G2" i="31"/>
  <c r="E7" i="27"/>
  <c r="F7" i="27" s="1"/>
  <c r="E6" i="19"/>
  <c r="F6" i="19" s="1"/>
  <c r="H5" i="19"/>
  <c r="I5" i="19" s="1"/>
  <c r="E5" i="19"/>
  <c r="F5" i="19" s="1"/>
  <c r="H4" i="19"/>
  <c r="I4" i="19" s="1"/>
  <c r="E4" i="19"/>
  <c r="F4" i="19" s="1"/>
  <c r="H12" i="19"/>
  <c r="I12" i="19" s="1"/>
  <c r="E12" i="19"/>
  <c r="F12" i="19" s="1"/>
  <c r="H11" i="19"/>
  <c r="E11" i="19"/>
  <c r="H10" i="19"/>
  <c r="E10" i="19"/>
  <c r="H9" i="19"/>
  <c r="E9" i="19"/>
  <c r="H8" i="19"/>
  <c r="I8" i="19" s="1"/>
  <c r="E8" i="19"/>
  <c r="F8" i="19" s="1"/>
  <c r="H7" i="19"/>
  <c r="I7" i="19" s="1"/>
  <c r="E7" i="19"/>
  <c r="F7" i="19" s="1"/>
  <c r="H4" i="21"/>
  <c r="I4" i="21" s="1"/>
  <c r="H5" i="21"/>
  <c r="I5" i="21" s="1"/>
  <c r="H6" i="21"/>
  <c r="I6" i="21" s="1"/>
  <c r="H7" i="21"/>
  <c r="I7" i="21" s="1"/>
  <c r="E4" i="21"/>
  <c r="F4" i="21" s="1"/>
  <c r="E5" i="21"/>
  <c r="F5" i="21" s="1"/>
  <c r="E6" i="21"/>
  <c r="F6" i="21" s="1"/>
  <c r="E7" i="21"/>
  <c r="F7" i="21" s="1"/>
  <c r="E4" i="32"/>
  <c r="F4" i="32" s="1"/>
  <c r="H4" i="32"/>
  <c r="I4" i="32" s="1"/>
  <c r="E5" i="32"/>
  <c r="F5" i="32" s="1"/>
  <c r="H5" i="32"/>
  <c r="I5" i="32" s="1"/>
  <c r="E6" i="32"/>
  <c r="F6" i="32" s="1"/>
  <c r="H6" i="32"/>
  <c r="I6" i="32" s="1"/>
  <c r="E7" i="32"/>
  <c r="F7" i="32" s="1"/>
  <c r="H7" i="32"/>
  <c r="I7" i="32" s="1"/>
  <c r="E8" i="32"/>
  <c r="F8" i="32" s="1"/>
  <c r="H8" i="32"/>
  <c r="I8" i="32" s="1"/>
  <c r="E4" i="33"/>
  <c r="F4" i="33" s="1"/>
  <c r="H4" i="33"/>
  <c r="I4" i="33" s="1"/>
  <c r="E5" i="33"/>
  <c r="F5" i="33" s="1"/>
  <c r="H5" i="33"/>
  <c r="I5" i="33" s="1"/>
  <c r="E6" i="33"/>
  <c r="F6" i="33" s="1"/>
  <c r="H6" i="33"/>
  <c r="I6" i="33" s="1"/>
  <c r="E7" i="33"/>
  <c r="F7" i="33" s="1"/>
  <c r="H7" i="33"/>
  <c r="I7" i="33" s="1"/>
  <c r="E8" i="33"/>
  <c r="F8" i="33" s="1"/>
  <c r="H8" i="33"/>
  <c r="I8" i="33" s="1"/>
  <c r="H4" i="20"/>
  <c r="I4" i="20" s="1"/>
  <c r="H5" i="20"/>
  <c r="I5" i="20" s="1"/>
  <c r="E4" i="20"/>
  <c r="F4" i="20" s="1"/>
  <c r="E5" i="20"/>
  <c r="F5" i="20" s="1"/>
  <c r="H12" i="33"/>
  <c r="I12" i="33" s="1"/>
  <c r="E12" i="33"/>
  <c r="F12" i="33" s="1"/>
  <c r="H11" i="33"/>
  <c r="I11" i="33" s="1"/>
  <c r="E11" i="33"/>
  <c r="F11" i="33" s="1"/>
  <c r="H12" i="32"/>
  <c r="I12" i="32" s="1"/>
  <c r="E12" i="32"/>
  <c r="F12" i="32" s="1"/>
  <c r="H11" i="32"/>
  <c r="I11" i="32" s="1"/>
  <c r="E11" i="32"/>
  <c r="F11" i="32" s="1"/>
  <c r="E12" i="31"/>
  <c r="F12" i="31" s="1"/>
  <c r="H11" i="31"/>
  <c r="I11" i="31" s="1"/>
  <c r="E11" i="31"/>
  <c r="F11" i="31" s="1"/>
  <c r="H12" i="28"/>
  <c r="I12" i="28" s="1"/>
  <c r="E12" i="28"/>
  <c r="F12" i="28" s="1"/>
  <c r="H11" i="28"/>
  <c r="I11" i="28" s="1"/>
  <c r="E11" i="28"/>
  <c r="F11" i="28" s="1"/>
  <c r="H12" i="27"/>
  <c r="I12" i="27" s="1"/>
  <c r="E12" i="27"/>
  <c r="F12" i="27" s="1"/>
  <c r="H11" i="27"/>
  <c r="I11" i="27" s="1"/>
  <c r="E11" i="27"/>
  <c r="F11" i="27" s="1"/>
  <c r="H12" i="26"/>
  <c r="I12" i="26" s="1"/>
  <c r="E12" i="26"/>
  <c r="F12" i="26" s="1"/>
  <c r="H11" i="26"/>
  <c r="I11" i="26" s="1"/>
  <c r="E11" i="26"/>
  <c r="F11" i="26" s="1"/>
  <c r="I11" i="19"/>
  <c r="F11" i="19"/>
  <c r="H4" i="4"/>
  <c r="I4" i="4" s="1"/>
  <c r="E4" i="4"/>
  <c r="F4" i="4" s="1"/>
  <c r="A4" i="30" a="1"/>
  <c r="A4" i="30" s="1"/>
  <c r="B4" i="34" a="1"/>
  <c r="B4" i="34" s="1"/>
  <c r="A4" i="34" a="1"/>
  <c r="A4" i="34" s="1"/>
  <c r="A1" i="34" a="1"/>
  <c r="A1" i="34" s="1"/>
  <c r="B4" i="30" a="1"/>
  <c r="B4" i="30" s="1"/>
  <c r="A1" i="30" a="1"/>
  <c r="A1" i="30" s="1"/>
  <c r="B4" i="29" a="1"/>
  <c r="B4" i="29" s="1"/>
  <c r="A4" i="29" a="1"/>
  <c r="A4" i="29" s="1"/>
  <c r="A1" i="29" a="1"/>
  <c r="A1" i="29" s="1"/>
  <c r="B4" i="18" a="1"/>
  <c r="B4" i="18" s="1"/>
  <c r="A4" i="18" a="1"/>
  <c r="A4" i="18" s="1"/>
  <c r="A1" i="18" a="1"/>
  <c r="A1" i="18" s="1"/>
  <c r="B4" i="1" a="1"/>
  <c r="B4" i="1" s="1"/>
  <c r="A4" i="1" a="1"/>
  <c r="A4" i="1" s="1"/>
  <c r="A1" i="1" a="1"/>
  <c r="A1" i="1" s="1"/>
  <c r="H10" i="33"/>
  <c r="I10" i="33" s="1"/>
  <c r="E10" i="33"/>
  <c r="F10" i="33" s="1"/>
  <c r="H9" i="33"/>
  <c r="I9" i="33" s="1"/>
  <c r="E9" i="33"/>
  <c r="F9" i="33" s="1"/>
  <c r="G2" i="33"/>
  <c r="D2" i="33"/>
  <c r="C2" i="33"/>
  <c r="A1" i="33" a="1"/>
  <c r="A1" i="33" s="1"/>
  <c r="H10" i="32"/>
  <c r="I10" i="32" s="1"/>
  <c r="E10" i="32"/>
  <c r="F10" i="32" s="1"/>
  <c r="H9" i="32"/>
  <c r="I9" i="32" s="1"/>
  <c r="E9" i="32"/>
  <c r="F9" i="32" s="1"/>
  <c r="G2" i="32"/>
  <c r="D2" i="32"/>
  <c r="C2" i="32"/>
  <c r="A1" i="32" a="1"/>
  <c r="A1" i="32"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D2" i="31"/>
  <c r="C2" i="31"/>
  <c r="A1" i="31" a="1"/>
  <c r="A1" i="31"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G2" i="28"/>
  <c r="D2" i="28"/>
  <c r="C2" i="28"/>
  <c r="A1" i="28" a="1"/>
  <c r="A1" i="28" s="1"/>
  <c r="H10" i="27"/>
  <c r="I10" i="27" s="1"/>
  <c r="E10" i="27"/>
  <c r="F10" i="27" s="1"/>
  <c r="H9" i="27"/>
  <c r="I9" i="27" s="1"/>
  <c r="E9" i="27"/>
  <c r="F9" i="27" s="1"/>
  <c r="H8" i="27"/>
  <c r="I8" i="27" s="1"/>
  <c r="E8" i="27"/>
  <c r="F8" i="27" s="1"/>
  <c r="I7" i="27"/>
  <c r="H6" i="27"/>
  <c r="I6" i="27" s="1"/>
  <c r="E6" i="27"/>
  <c r="F6" i="27" s="1"/>
  <c r="H5" i="27"/>
  <c r="I5" i="27" s="1"/>
  <c r="E5" i="27"/>
  <c r="F5" i="27" s="1"/>
  <c r="I4" i="27"/>
  <c r="E4" i="27"/>
  <c r="F4" i="27" s="1"/>
  <c r="G2" i="27"/>
  <c r="D2" i="27"/>
  <c r="C2" i="27"/>
  <c r="A1" i="27" a="1"/>
  <c r="A1" i="27" s="1"/>
  <c r="H10" i="26"/>
  <c r="E10" i="26"/>
  <c r="F10" i="26" s="1"/>
  <c r="H9" i="26"/>
  <c r="I9" i="26" s="1"/>
  <c r="E9" i="26"/>
  <c r="F9" i="26" s="1"/>
  <c r="E8" i="26"/>
  <c r="F8" i="26" s="1"/>
  <c r="H7" i="29"/>
  <c r="E7" i="26"/>
  <c r="F7" i="26" s="1"/>
  <c r="E6" i="26"/>
  <c r="F6" i="26" s="1"/>
  <c r="H5" i="26"/>
  <c r="E5" i="26"/>
  <c r="F5" i="26" s="1"/>
  <c r="H4" i="26"/>
  <c r="H4" i="29" s="1"/>
  <c r="E4" i="26"/>
  <c r="F4" i="26" s="1"/>
  <c r="G2" i="26"/>
  <c r="D2" i="26"/>
  <c r="C2" i="26"/>
  <c r="A1" i="26" a="1"/>
  <c r="A1" i="26" s="1"/>
  <c r="I10" i="19"/>
  <c r="F10" i="19"/>
  <c r="I9" i="19"/>
  <c r="F9" i="19"/>
  <c r="I6" i="19"/>
  <c r="G2" i="19"/>
  <c r="D2" i="19"/>
  <c r="C2" i="19"/>
  <c r="J2" i="19" s="1"/>
  <c r="A1" i="19" a="1"/>
  <c r="A1" i="19" s="1"/>
  <c r="G2" i="20"/>
  <c r="D2" i="20"/>
  <c r="C2" i="20"/>
  <c r="A1" i="20" a="1"/>
  <c r="A1" i="20" s="1"/>
  <c r="G2" i="21"/>
  <c r="D2" i="21"/>
  <c r="C2" i="21"/>
  <c r="A1" i="21" a="1"/>
  <c r="A1" i="21" s="1"/>
  <c r="G2" i="4"/>
  <c r="D2" i="4"/>
  <c r="C2" i="4"/>
  <c r="A1" i="4" a="1"/>
  <c r="A1" i="4" s="1"/>
  <c r="G2" i="3"/>
  <c r="D2" i="3"/>
  <c r="C2" i="3"/>
  <c r="J2" i="3" s="1"/>
  <c r="A1" i="3" a="1"/>
  <c r="A1" i="3" s="1"/>
  <c r="G2" i="72"/>
  <c r="D2" i="72"/>
  <c r="C2" i="72"/>
  <c r="J2" i="72" s="1"/>
  <c r="A1" i="72" a="1"/>
  <c r="A1" i="72" s="1"/>
  <c r="H4" i="30" l="1"/>
  <c r="H5" i="30"/>
  <c r="H8" i="30"/>
  <c r="H6" i="30"/>
  <c r="I6" i="30" s="1"/>
  <c r="H7" i="30"/>
  <c r="I8" i="26"/>
  <c r="H8" i="29"/>
  <c r="I6" i="26"/>
  <c r="H6" i="29"/>
  <c r="I5" i="26"/>
  <c r="H5" i="29"/>
  <c r="I5" i="29" s="1"/>
  <c r="E5" i="29"/>
  <c r="F5" i="29" s="1"/>
  <c r="H7" i="18"/>
  <c r="H6" i="18"/>
  <c r="I6" i="18" s="1"/>
  <c r="H5" i="18"/>
  <c r="H4" i="18"/>
  <c r="I4" i="18" s="1"/>
  <c r="I8" i="72"/>
  <c r="H8" i="1"/>
  <c r="I7" i="72"/>
  <c r="H7" i="1"/>
  <c r="I7" i="1" s="1"/>
  <c r="I6" i="72"/>
  <c r="H6" i="1"/>
  <c r="I5" i="72"/>
  <c r="H5" i="1"/>
  <c r="I4" i="72"/>
  <c r="H4" i="1"/>
  <c r="E8" i="1"/>
  <c r="F8" i="1" s="1"/>
  <c r="I7" i="29"/>
  <c r="C5" i="34"/>
  <c r="C7" i="34"/>
  <c r="G7" i="34"/>
  <c r="G2" i="29"/>
  <c r="G6" i="34"/>
  <c r="D8" i="34"/>
  <c r="G5" i="34"/>
  <c r="C8" i="34"/>
  <c r="D5" i="34"/>
  <c r="G8" i="34"/>
  <c r="G2" i="30"/>
  <c r="D6" i="34"/>
  <c r="C6" i="34"/>
  <c r="G4" i="34"/>
  <c r="E7" i="30"/>
  <c r="F7" i="30" s="1"/>
  <c r="D7" i="34"/>
  <c r="E6" i="30"/>
  <c r="F6" i="30" s="1"/>
  <c r="E7" i="29"/>
  <c r="F7" i="29" s="1"/>
  <c r="E8" i="29"/>
  <c r="F8" i="29" s="1"/>
  <c r="E8" i="30"/>
  <c r="F8" i="30" s="1"/>
  <c r="E6" i="29"/>
  <c r="F6" i="29" s="1"/>
  <c r="I8" i="29"/>
  <c r="I7" i="18"/>
  <c r="E6" i="18"/>
  <c r="F6" i="18" s="1"/>
  <c r="E7" i="18"/>
  <c r="F7" i="18" s="1"/>
  <c r="I8" i="18"/>
  <c r="E8" i="18"/>
  <c r="F8" i="18" s="1"/>
  <c r="I6" i="1"/>
  <c r="E6" i="1"/>
  <c r="F6" i="1" s="1"/>
  <c r="E7" i="1"/>
  <c r="F7" i="1" s="1"/>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G2" i="1"/>
  <c r="E5" i="1"/>
  <c r="F5" i="1" s="1"/>
  <c r="I4" i="30"/>
  <c r="I4" i="26"/>
  <c r="I7" i="26"/>
  <c r="I10" i="26"/>
  <c r="I4" i="29"/>
  <c r="C4" i="34"/>
  <c r="I5" i="18"/>
  <c r="C2" i="29"/>
  <c r="C2" i="30"/>
  <c r="E4" i="29"/>
  <c r="F4" i="29" s="1"/>
  <c r="C2" i="18"/>
  <c r="I5" i="1"/>
  <c r="C2" i="1"/>
  <c r="E2" i="3"/>
  <c r="F2" i="3" s="1"/>
  <c r="E4" i="1"/>
  <c r="F4" i="1" s="1"/>
  <c r="D2" i="1"/>
  <c r="E2" i="33"/>
  <c r="F2" i="33" s="1"/>
  <c r="E2" i="32"/>
  <c r="F2" i="32" s="1"/>
  <c r="E2" i="31"/>
  <c r="F2" i="31" s="1"/>
  <c r="E2" i="27"/>
  <c r="F2" i="27" s="1"/>
  <c r="E2" i="26"/>
  <c r="F2" i="26" s="1"/>
  <c r="E2" i="19"/>
  <c r="F2" i="19" s="1"/>
  <c r="E2" i="21"/>
  <c r="F2" i="21" s="1"/>
  <c r="E2" i="4"/>
  <c r="F2" i="4" s="1"/>
  <c r="H2" i="72"/>
  <c r="E5" i="34" l="1"/>
  <c r="F5" i="34" s="1"/>
  <c r="E7" i="34"/>
  <c r="F7" i="34" s="1"/>
  <c r="G2" i="34"/>
  <c r="I5" i="30"/>
  <c r="H5" i="34"/>
  <c r="I5" i="34" s="1"/>
  <c r="I8" i="30"/>
  <c r="H8" i="34"/>
  <c r="I8" i="34" s="1"/>
  <c r="I7" i="30"/>
  <c r="H7" i="34"/>
  <c r="I7" i="34" s="1"/>
  <c r="I6" i="29"/>
  <c r="H6" i="34"/>
  <c r="I6" i="34" s="1"/>
  <c r="E6" i="34"/>
  <c r="F6" i="34" s="1"/>
  <c r="E2" i="29"/>
  <c r="F2" i="29" s="1"/>
  <c r="I8" i="1"/>
  <c r="E8" i="34"/>
  <c r="F8" i="34" s="1"/>
  <c r="D2" i="34"/>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tc={50BBCCA5-A392-44CA-BF84-C025897859C2}</author>
  </authors>
  <commentList>
    <comment ref="C4" authorId="0" shapeId="0" xr:uid="{50BBCCA5-A392-44CA-BF84-C025897859C2}">
      <text>
        <t>[Threaded comment]
Your version of Excel allows you to read this threaded comment; however, any edits to it will get removed if the file is opened in a newer version of Excel. Learn more: https://go.microsoft.com/fwlink/?linkid=870924
Comment:
    As meter 2 was not communicating for whole month we have taken total inverters energy as actual energy.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tc={E99F417F-3E73-4329-BA61-B4F02F00BEF5}</author>
  </authors>
  <commentList>
    <comment ref="C4" authorId="0" shapeId="0" xr:uid="{E99F417F-3E73-4329-BA61-B4F02F00BEF5}">
      <text>
        <t>[Threaded comment]
Your version of Excel allows you to read this threaded comment; however, any edits to it will get removed if the file is opened in a newer version of Excel. Learn more: https://go.microsoft.com/fwlink/?linkid=870924
Comment:
    As meter 2 has regained its communication at 10:30 on 12/18, actual energy is taken from total inverters energy</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<sst xmlns="http://schemas.openxmlformats.org/spreadsheetml/2006/main" count="473" uniqueCount="243">
  <si>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</si>
  <si>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</si>
  <si>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</si>
  <si>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</si>
  <si>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</si>
  <si>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</si>
  <si>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</si>
  <si>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</si>
  <si>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</si>
  <si>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</si>
  <si>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</si>
  <si>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</si>
  <si>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</si>
  <si>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</si>
  <si>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</si>
  <si>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</si>
  <si>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</si>
  <si>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</si>
  <si>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</si>
  <si>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</si>
  <si>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</si>
  <si>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</si>
  <si>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57 was offline throughout the month due to fault permanent power module failure. 
2.  Inverters 29, 30, 32, 64, 68, 69, 78, and 80 are offline due to a hunt. The LOTO has been applied to the inverters, and all trackers are stuck.</t>
  </si>
  <si>
    <t>1. SR094033
2. SR095849</t>
  </si>
  <si>
    <t>1.  Trackers group A to J are currently in wind stow status for whole month.</t>
  </si>
  <si>
    <t>1. SR096181</t>
  </si>
  <si>
    <t>1. Site tripped offline on 12/30 due to a squirrel climbing the utility pole and shorting the phase B fuse after installing cut out fuse on 01/21 the site was back online at 11:00am on 01/21.
2. Site was tripped offline at 14:15 on 01/29 due to inverter voltages was dropped &amp; reported "Grid Phase Voltage Out of Range" and site was back online at 16:20 on 01/21.
3. Inverter 23 is underproducing due to FTC tracker - network control unit 2: tracker motor 7 is not tracking.</t>
  </si>
  <si>
    <t>1. SR095130
2. SR096122
3. SR096074</t>
  </si>
  <si>
    <t>1.Trackers D28, A27, and C26 are stuck for whole month due to defective batteries.</t>
  </si>
  <si>
    <t>1. 	SR091277</t>
  </si>
  <si>
    <t>1. Site was not communicated for whole month due to bad modem.</t>
  </si>
  <si>
    <t>1. SR094062</t>
  </si>
  <si>
    <t>February Actual v. Expected</t>
  </si>
  <si>
    <t>February Actual v. Forecasted</t>
  </si>
  <si>
    <t xml:space="preserve"> 1. Inverter 2 tripped offline at 09:04 AM on 02/06/25, reporting a Permanent fault of power module. On 02/07/25, the technician reset the inverter, but the same fault occurred. Chint confirmed a power head failure, and a ticket was issued for replacement. On 02/27/25, the technician replaced the malfunctioning inverter with a new one brought back online at 10:15AM the same day.
2. Inverter 57 back online at 11:45AM on 02/07/25 after technician replaced old powerhead with new.
3.Inverter 9 tripped offline at 09:30 AM on 02/18/25 due to a permanent power module failure. Parts are required to bring it back online, and it remained offline throughout the month
4. Inverter 65 is derated by 50 kW due to an external fan error on 02/21, 02/22. On 02/24/25, a technician found no faults, compared output with nearby inverters (which were similar), and confirmed with Chint that no issues were detected.
5.  Inverter 42 was derated by approximately 54 kW compared to its peers due to an external fan error on 02/21 to 02/23. On 02/24/25, a technician discovered a string wrapped around the fans, removed the old pull from the unit, and brought it to the expected production level the same day.
6. Inverter 60 was derating by approximately 50 kW due to an external fan fault issue from 02/27/25.
7. Inverters 29, 30, 64, 68, 69, 78,79 and 80 are offline and confirmed with Hunt these inverters are LOTOd. Additionally all trackers were struck.</t>
  </si>
  <si>
    <t>1.SR096391
2. SR094033
3. SR097304
4. SR097622
5. SR097663
6. SR097884
7. SR095849, SR083529, SR085269</t>
  </si>
  <si>
    <t>1. Inverter 21 was derating by 50kW from 02/24 due to External Fan fault.
2. Trackers A to J have been stuck since 01/31/25. On 02/04/25, a technician found 56 stuck trackers across the site. On 02/13/25, the technician removed the fuse and power-cycled each tracker, restoring tracking on most of the site. However, 22 trackers remained stuck, and a ticket was submitted to meet with Soltec technicians to diagnose the recurring communication issue. On 02/18/25, the technician found some trackers were not communicating with RSUs. After installing a new tracker, 12 trackers still required additional troubleshooting.</t>
  </si>
  <si>
    <t>1. SR097728
2. SR096181</t>
  </si>
  <si>
    <t>1. Inverter 23 is underproducing due to FTC tracker - network control unit 2 and tracker motor 7 are not tracking. On 02/03/25, the technician found 3 trackers stuck and power-cycled them. After 30 minutes, they resumed tracking, but tracker motor 7 requires additional troubleshooting. On 02/19/25, the technician confirmed with steven and RMA'd the motor.
2. Trackers 8, 10, 45, and 46 have been stuck since 02/16/25. On 02/19/25, the technician found them in the stow position due to defective batteries, requiring additional troubleshooting. By 02/27/25, motors 8 and 45 self-resolved, while 10 and 46 remain stuck.</t>
  </si>
  <si>
    <t>1. SR096074, SR096778
2. SR097433, 	SR097757</t>
  </si>
  <si>
    <t xml:space="preserve"> 1.The Hukseflux SR15-D1 - POA is missing communication since 02/14/25. GHI, double mod, and BPOA are currently communicating.
2. Trackers D28, A27, and C26 are stuck for whole month due to defective batteries.
3. Multiple tracker motors have been stuck since 02/11/25 due to snow</t>
  </si>
  <si>
    <t>1. SR097908
2. SR091277
3. SR096700</t>
  </si>
  <si>
    <t>March Actual v. Expected</t>
  </si>
  <si>
    <t>March Actual v. Forecasted</t>
  </si>
  <si>
    <t>1.Inverter 13 has been underproducing by approximately 30 kW compared to its peers since the MC4 connectors were replaced in early December 2024 to resolve ongoing tripping issues. On 03/11, technician replaced 3 fuses with no continuity and inverter started producing inline with peers.
2.Inverter 28 tripped offline at 12:15PM on 03/31 due to  permanent fault of power module - Fault0010 and Power Module Protection - Protect0120.
3.Strings down on inverters 29 and 30 from 03/17.
4.Inverter 66 tripped offline at 16:15 on 03/31 due to AC SPD Fault.
5.Inverter 64 was offline from 12/18/24 which was LOTO'd.
6.Inverters 29, 30, 64, 68, 69, 78,79 and 80 are offline from 12/26/24 and confirmed with Hunt these inverters are LOTOd and back online at 12:15PM on 03/17.
7.Soltec Tracker Full T01: Motors 22, 77, 138 were stuck.
Soltec Tracker Full T02: Motors 4, 21, 23, 32, 37, 58, 61, 83 were stuck.
Soltec Tracker Full T03: Motors 13, 52 were stuck.
Soltec Tracker Full T04: Motors 1, 11, 27, 28, 29, 32, 39, 51, 57, 65, 75, 88, 94, 112, 113 were stuck. 
8.Inverter 9 was offline from 02/18 due to Bus (sum) Over Voltage fault and inverter power head was being RMA'D from 02/24. On 03/07, the technician replaced the RMA'd inverter power head with a new unit, and the inverter is now operating in line with peer inverters.
9.Inverter 60 was derating by approximately 50 kW due to an external fan fault issue from 02/27/25 and producing normal after technician replaced RMA'D fan with new fan on 03/10.</t>
  </si>
  <si>
    <t>1.SR098364
2.SR099220
3.SR099222
4.SR099295
5.SR099221
6.SR095849
7.SR099224
8.SR097304
9.SR097884</t>
  </si>
  <si>
    <t>SR099220</t>
  </si>
  <si>
    <t>SR099222</t>
  </si>
  <si>
    <t>SR099295</t>
  </si>
  <si>
    <t>SR099221</t>
  </si>
  <si>
    <t>SR095849</t>
  </si>
  <si>
    <t>SR099224</t>
  </si>
  <si>
    <t xml:space="preserve">1.Inverter 21 was derating approximately by 50KW due to external fan fault on high irradiance days. Additionally 5 trackers were stuck.
2.12 trackers were stuck from 02/18. On 03/10 technician checked in and worked with erika and brought back 5 trackers back online and 4 trackers were still truck.  One new tracker has no lights good fuse and module is only putting out 30 V. Will need a new module.
</t>
  </si>
  <si>
    <t>1.SR097728,SR098569, SR096181 &amp; SR098568.</t>
  </si>
  <si>
    <t>SR098569</t>
  </si>
  <si>
    <t>SR096181</t>
  </si>
  <si>
    <t>SR098568</t>
  </si>
  <si>
    <t xml:space="preserve">1. Inverter 15 tripped offline at 13:30 on 03/08 due to Inverter Over Current and self resolved and back online on 03/09. Inverter 15 tripped offline at 14:30 on 03/11 due to Inverter Over Current and self-resolved and back online on 03/12.
2.Inverter 18 tripped offline at 12:15PM on 03/22 due to Inverter Over Current - ProtectOO30 and self resolved and back online on 03/23. On 03/26, technician performed firmware upgrade for inverter. Inverter 18 tripped offline at 11:45AM on 03/01 due to Inverter Over Current and self resolved and back online on 03/02
3.All inverters tripped offline from 13:15 on 03/29 due to Grid Phase Voltage Out of Range - GridV.OutLim fault additionally meter stopped communicating.
4.NCU 1 motors 10 and 46 were stuck. On 03/17, the technician ran several reset commands via the Mission Control dashboard—motor 10 resumed tracking, while motor 46 remained stuck and requires motor replacement.
5.NCU 2 motor 7 was stuck and motor was being RMA'd
6.Site tripped tripped offline on 03/16 at 14:15, and later back online on 03/17 (We started monitoring these sites again from 03/21 as per the information provided. Due to this we dont have any SR's for this issue.).
7.Inverter 7 tripped offline at 15:15 on 03/17 and back online on 03/18. (We started monitoring these sites again from 03/21 as per the information provided.Due to this we dont have any SR's for this issue.).
</t>
  </si>
  <si>
    <t>1.SR098302
2.SR098925, SR097945
3.SR099141
4.SR097757
5.SR098566</t>
  </si>
  <si>
    <t>SR098925</t>
  </si>
  <si>
    <t>SR099141</t>
  </si>
  <si>
    <t>SR097757</t>
  </si>
  <si>
    <t>SR098566</t>
  </si>
  <si>
    <t xml:space="preserve">1.Hukseflux SR15-D1-POA &amp; Huskseflux SR15-D1-BPOA  stopped communicating from 03/16/25. Huskseflux SR15-D1-BPOA has resumed communication on 03/29. The Hukseflux SR15-D1 - POA is missing communication since 02/14/25 and resumed communication at 16:00 on 03/03
2.Trackers D28, A27, and C26 have been stuck all month due to bad batteries. On March 3, tech installed 2 new batteries, but 5 trackers remain stuck—3 not yet added, 2 showing low voltage. HMI login failed due to system error.
3.Multiple tracker motors have been stuck since 02/11/25. Shared SPS info with Soltec; awaiting response. Unable to access Soltec internal HMI onsite due to server connection issue.
</t>
  </si>
  <si>
    <t>1.SR099420, SR097908
2.SR091277 
3.SR096700</t>
  </si>
  <si>
    <t xml:space="preserve">1. Site was not communicated for whole month due to bad modem.
</t>
  </si>
  <si>
    <t>1.SR097305 &amp; SR098700</t>
  </si>
  <si>
    <t>SR098700</t>
  </si>
  <si>
    <t>April Actual v. Expected</t>
  </si>
  <si>
    <t>April Actual v. Forecasted</t>
  </si>
  <si>
    <t xml:space="preserve">1.Inverter 28 tripped offline at 12:15 on 03/31 due to a permanent power module fault (Fault0010) and Power Module Protection error (Protect0120). The technician initiated an RMA for the powerhead on 04/07 and replaced it with a new unit on 04/24. The inverter is  back online and producing in line with its peers.
2.Inverter 64 was offline from 12/18/24 which was LOTO'd.
3.Inverters 29 and 30 have strings down due to missing panels caused by storm damage.
4.Inverter 66 tripped offline at 16:15 on 03/31 due to an AC SPD fault. The technician RMA’d the powerhead on 04/07 and replaced it with a new one on 04/11. The inverter is now back online and producing normally.
5.Inverter 50 tripped offline at 09:45 on 04/12 due to Permanent fault of power module - Fault0010 Power Module Protection - Protect0120 fault. On 04/14 technician RMA'D powerhead of the inverter and on 04/24 technician replaced with new powerhead and inverter started for production according to peers.
6.Inverter 36 tripped offline at 14:15 on 04/15 due to Bus (sum) Over Voltage (firmware) - Protect0090. On 04/24, Technicians responded to a permanent power failure. Chint was contacted for an RMA, and the inverter was replaced using a spare from inventory. The unit has been commissioned and is now producing power.
7.Inverter 42 was tripped offline at 16:30 on 04/16 due to Bus Imbalance - Protect0070 fault. On 04/24, Technicians responded to a permanent power failure. Chint was contacted for an RMA, and the inverter was replaced using a spare from inventory. The unit has been commissioned and is now producing power.
8.Soltec Tracker Full T01: Motors 22, 77, 138 were stuck.
Soltec Tracker Full T02: Motors 4, 21, 23, 32, 37, 58, 61, 83 were stuck.
Soltec Tracker Full T03: Motors 13, 52 were stuck.
Soltec Tracker Full T04: Motors 1, 11, 27, 28, 29, 32, 39, 51, 57, 65, 75, 88, 94, 112, 113 were stuck. </t>
  </si>
  <si>
    <t>1.SR099220
2.SR099221
3.SR099222
4.SR099295
5.SR099759
6.SR099835
7.SR099913
8.SR099224</t>
  </si>
  <si>
    <t>SR099759</t>
  </si>
  <si>
    <t>SR099835</t>
  </si>
  <si>
    <t>SR099913</t>
  </si>
  <si>
    <t>1.Inverter 21 was derating by 50 kW from 02/24 due to an "External Fan Error" fault. This issue occurred on days with high irradiance and was resolved on 04/22  after the technician replaced the faulted fan.
2.Mutiple trackers are stuck, and Solectria is actively working on troubleshooting the issue.</t>
  </si>
  <si>
    <t>1.SR098569,SR099625
2.SR098568,SR098376,</t>
  </si>
  <si>
    <t>SR099625</t>
  </si>
  <si>
    <t>SR098376</t>
  </si>
  <si>
    <t>1. Site tripped offline at 11:45 on 03/31 due to blown MV fuse and  back online at 12:15 on 04/03 after technician along with MV crew replaced MV fuse and utility re-energized the site.
2.Inverter 18 was tripped offline at 11:30 on 04/16 due to Inverter Over Current fault and back online on 04/17.
3.Inverter 15 tripped offline at 13:00 on 04/21 due to an Inverter Over Current fault and was back online on 04/22. It tripped again at 15:00 on 04/28 with the same fault and was restored on 04/29.
4.Site tripped offline at 15:56 on 04/27 due to Grid Phase Voltage Out of Range - GridV.OutLim fault and back online at 13:30 on 04/28.
5.Inverter 7 tripped offline at 18:00 on 04/29 due to Inverter Over Current fault and back online on 04/30.
6.NCU 2 motor 7 was stuck and motor was being RMA'd and on 04/17/25, the technician confirmed a defective tracker motor, replaced it, power cycled the controller, cleared the fault in Mission Control, and verified the tracker is now operating correctly with its peers.</t>
  </si>
  <si>
    <t>1.SR099141
2.SR099914
3.SR100087 &amp; SR100473
4.SR100473
5.SR100673
6.SR098566</t>
  </si>
  <si>
    <t>SR099914</t>
  </si>
  <si>
    <t>SR100087</t>
  </si>
  <si>
    <t>SR100473</t>
  </si>
  <si>
    <t>SR100673</t>
  </si>
  <si>
    <t xml:space="preserve">1.On 04/18 the technician attempted to add a new tracker using the Soltec computer onsite, but the system showed it wasn't connected to the server. The previously installed tracker (C30) remains in stow and Soltec has not responded.
2.The POA sensor (Hukseflux SR15-D1-POA) stopped communicating on 03/16/25 due to a fault and is currently being RMA'd. Additionally, the wire for the BPOA was found to be damaged.
</t>
  </si>
  <si>
    <t>1.SR098567
2.SR099419 &amp; SR099420</t>
  </si>
  <si>
    <t>SR099419</t>
  </si>
  <si>
    <t>SR099420</t>
  </si>
  <si>
    <t>1. Site was not communicated for whole month due to bad modem.
2. Inverter 19 all 3 external fans were RMA'D due to external fan fault.
3. The client reported that the site tripped offline between 10:30 AM and 11:30 AM on 04/23 and was producing at a steady but low output of 23.824 kW. Normal production resumed on 04/24, but data backfilling is progressing slowly with 4,962,922 files in the queue. Confirmation is needed to proceed with the internet provider switch.
4.Stuck tracker reported by Nick Lindsholm. Troubleshooting will proceed once communication is restored. A Soltec ticket cannot be created until the serial number of the affected unit is identified.</t>
  </si>
  <si>
    <t>1.SR097305 &amp; SR098700
2.SR099878
3.SR100221
4.SR100415</t>
  </si>
  <si>
    <t>SR099878</t>
  </si>
  <si>
    <t>SR100221</t>
  </si>
  <si>
    <t>SR100415</t>
  </si>
  <si>
    <t>June Actual v. Expected</t>
  </si>
  <si>
    <t>June Actual v. Forecasted</t>
  </si>
  <si>
    <t>1. Inverter 73 tripped offline at 12:00 CDT on 06/04 and reporting "Bus Imbalance - Protect0070". Technician discovered permanent power head failure fault later he replaced the powerhead on site and inverter back online at 13:00 CDT on 06/05 and also technician replaced the powerhead for inverter 55.
2.Inverter 78 tripped offline on 6/8/25 at 13:25 CDT and reporting permanent fault of power module - Fault0010 later the technician has replaced the inverter on site and it is back online at 14:15 on 06/13.
3. While performing PM on 06/18 btween 10:45 to 13:30, technician found inverter 30 power grid relay fault was detected. Technician was unable to power cycle reset and later he replaced new powerhead.
4. Inverters 54 &amp; 55 have tripped offline at 17:45 CDT on 06/22 and due to Fault0010 Power Module Protection - Protect0120 and back online at 12:30 CDT on 06/24
5. Inverter 64 was LOTO'd and was offline for whole month.</t>
  </si>
  <si>
    <t>1.SR102470
2.SR102702
3. SR103139
4. SR103277
5.</t>
  </si>
  <si>
    <t>SR102702</t>
  </si>
  <si>
    <t>SR103139</t>
  </si>
  <si>
    <t>SR103277</t>
  </si>
  <si>
    <t>1. The weather station Hukseflux SR15 – POA has been communicating properly from 06/06 at 09:00am
2.11 trackers currently struck  from 06/17</t>
  </si>
  <si>
    <t>1.SR102509
2.SR101583</t>
  </si>
  <si>
    <t>SR101583</t>
  </si>
  <si>
    <t>1. All inverters are offline on 06/02 at 01:00am due to "Loss of Main - GridV.OutLim " and  later back online at 12:00 on 06/06. Again all inverters tripped offline at 11:00 AM on 06/07 due to "Grid Phase Voltage Out of Range - GridV.OutLim", later the site back online at 13:45 on 06/07.
2. Inverter 15 tripped at 12:45pm on 06/08 and back online at 06/09</t>
  </si>
  <si>
    <t>1. SR102342
2.SR100087</t>
  </si>
  <si>
    <t>1. The site has been experiencing a power quality issue affecting generation since 05/10.
2. 4 trackers have struck from 05/19</t>
  </si>
  <si>
    <t>1.SR101462
2.SR101580</t>
  </si>
  <si>
    <t>SR101580</t>
  </si>
  <si>
    <t>May Actual v. Expected</t>
  </si>
  <si>
    <t>May Actual v. Forecasted</t>
  </si>
  <si>
    <t>1. Site production was low on 05/25, 05/26, 05/27, 05/28 due to technician was on site for preventive maintenance work.
2. Inverter 58 tripped offline at 11:30 on 05/03 due to a "Permanent Fault of Power Module". A technician later replaced the power head on site, and the inverter came back online at 08:45 on 05/05.
3. Inverter 14 tripped offline at 10:15 on 05/06 due to "Permanent fault of power module - Fault0010". Later, a technician on site replaced the power head, and the inverter came back online at 09:30 on 05/08.
4. Inverter 21 tripped offline at 10:12 on 05/13 due to "Grid Line Voltage Out of Range - GridV.OutLim". Later, a technician on site power-cycled the inverter, and it came back online at 17:04 on 05/13.
5. Inverter 72 tripped offline at 17:30 on 05/23 due to "Permanent fault of power module - Fault0010, Power Module Protection - Protect0120". Later, with support from Chint, the technician was able to remotely reset the inverter, and it came back online at 13:30 on 05/27.
6. Inverter 72 tripped offline at 11:06 on 05/29 due to "Permanent fault of power module - Fault0010, Power Module Protection - Protect0120". Inverter RMA dispatch has been scheduled for the month of June</t>
  </si>
  <si>
    <t>1. PM9696
2. SR100960
3. SR101064
4. SR101885
5. SR101923
6. SR102146</t>
  </si>
  <si>
    <t>1. The weather station Hukseflux SR15 – POA has been communicating intermittently since 05/14.</t>
  </si>
  <si>
    <t>1. SR102509</t>
  </si>
  <si>
    <t>1. Inverter 15 tripped offline at 14:40 on 05/07 due to 'Inverter Over Current - Protect0030' and came back online at 06:00 on 05/08.
2. The site tripped offline due to "Grid Phase Voltage Out of Range - GridV.OutLim" at 10:45 on 05/10 and came back online at 07:15 on 05/12.
3. The site tripped offline due to "Grid Phase Voltage Out of Range - GridV.OutLim" at 11:15 on 05/24 and came back online at 11:03 on 05/27.</t>
  </si>
  <si>
    <t>1. SR100087
2. SR100473
3. SR101911</t>
  </si>
  <si>
    <t>1. The Hukseflux SR15-D1-BPOA had intermittent communication since 03/16. During a site visit on 05/22, the technician found the SCADA was defective, installed a new one, and stated that the BPOA will remain offline until the correct cable is installed. Additional troubleshooting was also recommended.</t>
  </si>
  <si>
    <t>1. SR099420</t>
  </si>
  <si>
    <t>1. The site has been experiencing a power quality issue affecting generation since 05/10.</t>
  </si>
  <si>
    <t>1. SR101462</t>
  </si>
  <si>
    <t>July Actual v. Expected</t>
  </si>
  <si>
    <t>July Actual v. Forecasted</t>
  </si>
  <si>
    <t>1.  Inverter 33 was tripped offline on 07/30 at 16:00 and reporting “Bus Imbalance - Protect0070”.
2. Inverter 21 was tripped offline at 16:00 on 07/24 and inverter 21 powerhead being RMA'd.
3. Inverter 34 was offline from 13:15 on 07/23 to 10:15 on 07/24.
4. Inverter 52 was offline from 06:00 on 07/20 to 08:15 on 07/24 due to Permanent fault of power module - Fault0010.
5. Inverter 20 was offline from 13:15 on 07/09 to 07:00 on 07/18 due to Permanent fault of power module - Fault0010.
6. Inverter 24 was offline from 06:00 on 07/01 to 10:15 on 07/08 and 14:45 on 07/08 to 11:00 on 07/09
7.  Inverter 45 tripped offline at 10:45 on 07/03 and reporting Internal Communicate Failed - CommErr. and back online at 11:15 on 07/08
8. Inverter 28 was offline from 11:00 on 07/03 to 07:00 on 07/08 due to grid under frequency.
9. Inverter 75 was offline from 11:15 on 07/03 to 08:30 on 07/08.
10. Inverter 64 was LOTO'd and was offline for whole month.
11. Most of the trackers required repair.</t>
  </si>
  <si>
    <t xml:space="preserve">1. SR105393
2. SR105006
3. SR104883
4. SR104670
5. SR104214
6. SR103975
7. SR104000
8. SR103977
9. SR103976
10. SR099221, 	SR103657
11. SR102147
</t>
  </si>
  <si>
    <t>1. Weather station was not communicated from 20:45 on 07/14
2. Inverter 17 was derating to 75kW from 10:30 on 07/29 and reporting External Fan Err - ExtFanerr
3.  8  trackers remained stuck for whole month.(motors need to be replaced)</t>
  </si>
  <si>
    <t>1. SR104941
2. SR105308
3. SR101583</t>
  </si>
  <si>
    <t>1. Site was offline from 16:30 to 19:45 on 07/02
2. Multiple inverters experienced tripping events on 07/22 due to a technician being on site for preventive maintenance.</t>
  </si>
  <si>
    <t>1. SR103941
2. PM9485</t>
  </si>
  <si>
    <t>1. Inverter 2 was tripped offline on 07/18 at 15:15 and back online on 07/21 at 08:00.
2. BPOA was not communicated for whole month.
3. Trackers were not communicating for the entire month, so it is not possible to confirm which tracker was offline.</t>
  </si>
  <si>
    <t>1. SR104630
2. SR099420
3. SR101449</t>
  </si>
  <si>
    <t>1. Site was curtailed from 07/01 at 06:15 to 07/15 at 20:15
2. 4 trackers remained stuck for whole month
3. Weather station was not communicating from 12/18.</t>
  </si>
  <si>
    <t>1. SR101462
2. SR101580, 	SR100415
3. SR105397</t>
  </si>
  <si>
    <t>August Actual v. Expected</t>
  </si>
  <si>
    <t>August Actual v. Forecasted</t>
  </si>
  <si>
    <t>1. Most of the trackers required repair. 
2. Inverter 64 was LOTO'd.
3. Inverter 21 was offline from 06:00 on 08/07 to 09:45 on 08/14 Inverter 21 tripped offline at 15:30 on 08/27 and back online 08/28 at 06:00.
4. Inverter 69 tripped offline at 12:30 on 08/07 and back online at 09:00 on 08/14.
5. Inverter 70 was derated by 50kW from 09:00 on 08/11 to 08:00 on 08/14
6. Inverter 33 was offline from 05:45 to 09:00 on 08/01.</t>
  </si>
  <si>
    <t>1. SR102147
2. SR099221
3. SR105946, SR107054
4. SR105860
5. SR106166
6. 	SR105393</t>
  </si>
  <si>
    <t>SR105946</t>
  </si>
  <si>
    <t>SR107054</t>
  </si>
  <si>
    <t>SR105860</t>
  </si>
  <si>
    <t>SR106166</t>
  </si>
  <si>
    <t>SR105393</t>
  </si>
  <si>
    <t>1.  8  trackers remained stuck for whole month.(motors need to be replaced).
2. Inverter 17 was derated at 75.2kW from 08/01 to 08/21
3.  Inverter 16 was derated at 75.3kW from 08/01 to 08/21
4. Weather station was not communicated for whole month.</t>
  </si>
  <si>
    <t>1. SR101583
2. SR105308
3. SR105629
4. SR104941</t>
  </si>
  <si>
    <t>SR105308</t>
  </si>
  <si>
    <t>SR105629</t>
  </si>
  <si>
    <t>SR104941</t>
  </si>
  <si>
    <t>1. NCU 1 all trackers stuck and reporting Wind stow, NCU 2 was not communicated  from 5/15 
2. 12 Modules being replced.</t>
  </si>
  <si>
    <t>1. SR103137
2. SR105402</t>
  </si>
  <si>
    <t>SR105402</t>
  </si>
  <si>
    <t>1.Hukseflux SR15-D1-POA stopped communicating 03/16/25. Huskseflux SR15-D1-BPOA has intermittent comms. 
2.  Tracker system is not communicated for whole month.</t>
  </si>
  <si>
    <t>1. SR099420
2. SR101449</t>
  </si>
  <si>
    <t>SR101449</t>
  </si>
  <si>
    <t>1. Trackers were not communicated for whole month
2. Weather station is not communicated from 12/18 to end of the month.
3. Inverter 14 was offline from 13:30 on 08/20 to 11:30 on 08/26.
4. All Inverters were tripped offline on  08/25 at 12:30 and back online on 08/26 at 11:00.</t>
  </si>
  <si>
    <t>1. SR101580, SR100415
2. SR105397
3. SR106590
4. SR106873</t>
  </si>
  <si>
    <t>SR105397</t>
  </si>
  <si>
    <t>SR106590</t>
  </si>
  <si>
    <t>SR106873</t>
  </si>
  <si>
    <t>September Actual v. Expected</t>
  </si>
  <si>
    <t>September Actual v. Forecasted</t>
  </si>
  <si>
    <t>1.Inverter 13 tripped offline at 07:30 on 09/04 and offline for whole month
2.Inverter 40 tripped offine at 12:30 on 09/08 and back online at 11:45 on 09/12
3. Inverter 64 was LOTO'd.
4. Most of the trackers required repairs. Whenever the trackers were getting stuck, it was also affecting the weather station.</t>
  </si>
  <si>
    <t>1.SR107451
2.SR107650
3. SR099221
4.SR102147</t>
  </si>
  <si>
    <t>SR107650</t>
  </si>
  <si>
    <t>SR102147</t>
  </si>
  <si>
    <t>1.Weather station was not communicated for whole month.
2.Site tripped offline at 08:00 on 09/15 and back online at 13:45 on 09/15.
3.8 trackers remained stuck for whole month.(motors need to be replaced).</t>
  </si>
  <si>
    <t>1.SR104941
2.SR107935
3.SR101583</t>
  </si>
  <si>
    <t>SR107935</t>
  </si>
  <si>
    <t>1. 12 modules are replaced on 09/22
2. Site tripped offline at 07:00 on 09/23 and later back online at 09:30 on 09/27</t>
  </si>
  <si>
    <t>1.SR105402
2.SR108406</t>
  </si>
  <si>
    <t>SR108406</t>
  </si>
  <si>
    <t>1.Hukseflux SR15-D1-POA stopped communicating 03/16/25. Huskseflux SR15-D1-BPOA has intermittent comms. Further Troubleshooting required need to run a new conduit to install replacement cable.
2.  Tracker system is not communicated for whole month.</t>
  </si>
  <si>
    <t>1. SR099420, SR108512
2. SR101449</t>
  </si>
  <si>
    <t>SR108512</t>
  </si>
  <si>
    <t>1.Weather station is not communicated from 12/18 to end of the month.
2. Trackers were not communicated for whole month</t>
  </si>
  <si>
    <t>1.SR105397
2.SR101580, SR100415</t>
  </si>
  <si>
    <t>October Actual v. Expected</t>
  </si>
  <si>
    <t>October Actual v. Forecasted</t>
  </si>
  <si>
    <t>Status</t>
  </si>
  <si>
    <t>1.Inverter 13 tripped offline at 07:30 on 09/04 and offline for whole month
2. Inverter 64 was being LOTO'd.
3. Most of the trackers required repairs. Whenever the trackers were getting stuck, it was also affecting the weather station.
4.Soltec trackers, 
T01: Motor 14, 22, 24, 55, 77, 127, 138 are stuck.
 T02: All motors are stuck.
T03: Motor 10, 13, 52 are stuck. 
T04: Motor 1, 11, 27, 28, 29, 32, 39, 49, 51, 57, 65, 75, 78, 88, 89, 94, 112, 113 are stuck.
5. Inverter 24 is derating at 50kW on 10/24 and later resolved.
6.Inverter 35 offline on 10/10 and back online on 10/11
7. Meters LV2 and LV3, invs 29-80, Huskeflux L32, Weather stations 3, 4, &amp; 6 stopped communicating. UPS 2 is in battery mode on 10/11. On 10/12 technician confirmed several inverters are showing no communications (13,32,34,39, 42,43,44,45 49,51 52, 59,62, 63, 66, 67, 72,74,77 and 80), tech said bad weather in the area is affecting the inverters and some of them are on standby</t>
  </si>
  <si>
    <t>1.SR107650
2.SR099221
3.SR102147
4.	SR109898
5.SR109945
6.SR109354
7.SR109388</t>
  </si>
  <si>
    <t>1.Pending
2.Closed
3.Closed
4.Pending
5.Closed
6.Closed
7.Closed</t>
  </si>
  <si>
    <t>SR109898</t>
  </si>
  <si>
    <t>SR109945</t>
  </si>
  <si>
    <t>SR109354</t>
  </si>
  <si>
    <t>SR109388</t>
  </si>
  <si>
    <t>1. Inverter 22 started derating by 50 kW at 14:00 on 10/01  looks like a fan fault. no alert reported.
2. Inverter 22 has been derating daily from 10/19 due to a fan error, usually starting around 11:00. Initial event occurred 10/16.</t>
  </si>
  <si>
    <t>1.SR108844
2.SR109883</t>
  </si>
  <si>
    <t>1.Closed
2.Pending</t>
  </si>
  <si>
    <t>SR109883</t>
  </si>
  <si>
    <t>1. Site was producing as expected.</t>
  </si>
  <si>
    <t>1.Hukseflux SR15-D1-POA started communicating on 10/20 at 10:30</t>
  </si>
  <si>
    <t>1.SR108512</t>
  </si>
  <si>
    <t>1.Closed</t>
  </si>
  <si>
    <t>1.Weather station is not communicated from 12/18 to end of the month.
2. 7 trackers are currently stuck.
     Tracker 1 Group F motors 12 and target angle, &amp; 14
     Tracker 2 Group A motors 3, &amp; 7 and target angle
     Tracker 2 Group C motors 12 and target angle, &amp; 13
     Tracker 2 Group D motor 7</t>
  </si>
  <si>
    <t>1.SR105397
2.	SR109931</t>
  </si>
  <si>
    <t>1.Pending
2.Pending</t>
  </si>
  <si>
    <t>SR109931</t>
  </si>
  <si>
    <t>November Actual v. Expected</t>
  </si>
  <si>
    <t>November Actual v. Forecasted</t>
  </si>
  <si>
    <t>1.  Inverter 24 is derating at 50kW on regular basis from 11/12 to end of the month.
2. Inverter 64 was being LOTO'd.
3. T01: Motor 14, 22, 24, 55, 77, 127, 138 are stuck.
T02: All motors are stuck.
T03: Motor 10, 13, 52 are stuck. 
T04: Motor 1, 11, 27, 28, 29, 32, 39, 49, 51, 57, 65, 75, 78, 88, 89, 94, 112, 113 are stuck.
4. Inverters 1 to 28 tripped offline at 09:00 on 11/07 and the site was offline from 16:30 on 11/07 to 10:00 on 11/10.
5. Inverter 14 was offline from 08:30 to 10:00 on 11/21.
6.Meter 2 was not communicating from 01:36 on 10/30</t>
  </si>
  <si>
    <t>1. SR111820
2. SR099221
3. SR109898
4. SR110765
5. SR111456
6.SR110529</t>
  </si>
  <si>
    <t>1. Pending
2. Closed
3. Pending
4. Closed
5. Closed
6.Pending</t>
  </si>
  <si>
    <t>SR110765</t>
  </si>
  <si>
    <t>SR111456</t>
  </si>
  <si>
    <t>SR110529</t>
  </si>
  <si>
    <t>1. Inverter 22 fan being RMA'd.
2. A string was found offline from flyover.</t>
  </si>
  <si>
    <t>1. SR109883
2. SR110594</t>
  </si>
  <si>
    <t>1. Pending
2. Pending</t>
  </si>
  <si>
    <t>SR110594</t>
  </si>
  <si>
    <t>1. Inverter 7 was offline from 11:00 to 17:00 on 11/05. Again inverter offline from 12:00 to 17:00 on 11/11</t>
  </si>
  <si>
    <t>1. SR110898</t>
  </si>
  <si>
    <t>1. Closed</t>
  </si>
  <si>
    <t>1. Trackes were not communicated for whole month.</t>
  </si>
  <si>
    <t>1. SR101449</t>
  </si>
  <si>
    <t>1.  7 trackers are currently stuck.
     Tracker 1 Group F motors 12 and target angle, &amp; 14
     Tracker 2 Group A motors 3, &amp; 7 and target angle
     Tracker 2 Group C motors 12 and target angle, &amp; 13
     Tracker 2 Group D motor 7 are stuck
2. Weather station parts being replaced</t>
  </si>
  <si>
    <t>1. SR109931
2. SR105397</t>
  </si>
  <si>
    <t>December Actual v. Expected</t>
  </si>
  <si>
    <t>December Actual v. Forecasted</t>
  </si>
  <si>
    <t>1.T01: Motor 14, 22, 24, 55, 77, 127, 138 are stuck.
T02: All motors are stuck.
T03: Motor 10, 13, 52 are stuck. 
T04: Motor 1, 11, 27, 28, 29, 32, 39, 49, 51, 57, 65, 75, 78, 88, 89, 94, 112, 113 are stuck.
2.Inverter 24 is derating at 50kW on regular basis from 11/12 to end of the month.
3.Meter 2 has regained its communication at 10:30 on 12/18
4.Inverter 64 was being LOTO'd.</t>
  </si>
  <si>
    <t>1.SR109898
2.SR111820
3.SR110529
4.SR099221</t>
  </si>
  <si>
    <t>1.Pending
2.Pending
3.Closed
4.Closed</t>
  </si>
  <si>
    <t>1. Trackes were not communicated for whole month.
2.Inverter 17 has evening shading</t>
  </si>
  <si>
    <t>1. 7 trackers are currently stuck.
     Tracker 1 Group F motors 12 and target angle, &amp; 14
     Tracker 2 Group A motors 3, &amp; 7 and target angle
     Tracker 2 Group C motors 12 and target angle, &amp; 13
     Tracker 2 Group D motor 7 are stuck</t>
  </si>
  <si>
    <t>1.SR109931</t>
  </si>
  <si>
    <t>Portfolio:</t>
  </si>
  <si>
    <t>True Green Capital Management LLC</t>
  </si>
  <si>
    <t>Site DAS Name</t>
  </si>
  <si>
    <t>Update</t>
  </si>
  <si>
    <t>DAS</t>
  </si>
  <si>
    <t>Fund IV - WestSide Solar MN</t>
  </si>
  <si>
    <t>Rochester - 5516 Valleyhigh NW</t>
  </si>
  <si>
    <t>MN</t>
  </si>
  <si>
    <t>AEF</t>
  </si>
  <si>
    <t>Powertrack</t>
  </si>
  <si>
    <t>Fund IV - Hemings</t>
  </si>
  <si>
    <t>Warsaw - Hemings</t>
  </si>
  <si>
    <t>VA</t>
  </si>
  <si>
    <t>Fund IV - Randolf</t>
  </si>
  <si>
    <t>Mount Jackson - Randolf</t>
  </si>
  <si>
    <t>Fund IV -  Monroe Solar</t>
  </si>
  <si>
    <t>Callands Gretna - Monroe</t>
  </si>
  <si>
    <t>Fund IV - Smallmouth Bass</t>
  </si>
  <si>
    <t>Rockbridge Baths - Small Mouth Bass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</si>
</sst>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
      <u/>
      <sz val="10"/>
      <color theme="10"/>
      <name val="Arial"/>
      <family val="2"/>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81">
    <xf numFmtId="0" fontId="0" fillId="0" borderId="0" xfId="0"/>
    <xf numFmtId="9" fontId="5" fillId="0" borderId="0" xfId="2" applyFont="1" applyAlignment="1">
      <alignment horizontal="center"/>
    </xf>
    <xf numFmtId="0" fontId="0" fillId="0" borderId="0" xfId="0" applyAlignment="1">
      <alignment horizontal="center"/>
    </xf>
    <xf numFmtId="0" fontId="23" fillId="0" borderId="0" xfId="43" applyFont="1"/>
    <xf numFmtId="0" fontId="6"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0" fontId="3" fillId="0" borderId="0" xfId="0" applyFont="1"/>
    <xf numFmtId="164" fontId="28" fillId="44" borderId="0" xfId="1" applyNumberFormat="1" applyFont="1" applyFill="1" applyAlignment="1">
      <alignment horizontal="center" vertical="center"/>
    </xf>
    <xf numFmtId="3" fontId="30" fillId="4" borderId="0" xfId="1" applyNumberFormat="1" applyFont="1" applyFill="1" applyBorder="1" applyAlignment="1">
      <alignment vertical="center" wrapText="1"/>
    </xf>
    <xf numFmtId="49" fontId="28" fillId="0" borderId="0" xfId="0" applyNumberFormat="1" applyFont="1" applyAlignment="1">
      <alignment horizontal="left" vertical="top" wrapText="1"/>
    </xf>
    <xf numFmtId="49" fontId="30" fillId="38" borderId="0" xfId="2" applyNumberFormat="1" applyFont="1" applyFill="1" applyBorder="1" applyAlignment="1">
      <alignment horizontal="left" vertical="top" wrapText="1"/>
    </xf>
    <xf numFmtId="0" fontId="34" fillId="40" borderId="0" xfId="0" applyFont="1" applyFill="1" applyAlignment="1">
      <alignment horizontal="center" vertical="center"/>
    </xf>
    <xf numFmtId="164" fontId="28" fillId="0" borderId="0" xfId="1" applyNumberFormat="1" applyFont="1" applyAlignment="1">
      <alignment horizontal="center" vertical="center"/>
    </xf>
    <xf numFmtId="3" fontId="30" fillId="0" borderId="0" xfId="1" applyNumberFormat="1" applyFont="1" applyFill="1" applyBorder="1" applyAlignment="1">
      <alignment vertical="center" wrapText="1"/>
    </xf>
    <xf numFmtId="49" fontId="28" fillId="0" borderId="0" xfId="0" applyNumberFormat="1" applyFont="1" applyAlignment="1">
      <alignment vertical="top" wrapText="1"/>
    </xf>
    <xf numFmtId="9" fontId="30" fillId="37" borderId="0" xfId="2" applyFont="1" applyFill="1" applyAlignment="1">
      <alignment horizontal="center" vertical="center"/>
    </xf>
    <xf numFmtId="3" fontId="30" fillId="0" borderId="0" xfId="1" applyNumberFormat="1" applyFont="1" applyAlignment="1">
      <alignment vertical="center"/>
    </xf>
    <xf numFmtId="0" fontId="6" fillId="45" borderId="1" xfId="0" applyFont="1" applyFill="1" applyBorder="1" applyAlignment="1">
      <alignment horizontal="left" vertical="top"/>
    </xf>
    <xf numFmtId="49" fontId="38" fillId="38" borderId="0" xfId="45" applyNumberFormat="1" applyFill="1" applyBorder="1" applyAlignment="1">
      <alignment horizontal="left" vertical="top" wrapText="1"/>
    </xf>
    <xf numFmtId="49" fontId="38" fillId="0" borderId="0" xfId="45" applyNumberFormat="1" applyAlignment="1">
      <alignment horizontal="left" vertical="top" wrapText="1"/>
    </xf>
    <xf numFmtId="0" fontId="38" fillId="0" borderId="0" xfId="45" applyAlignment="1">
      <alignment horizontal="left" vertical="top"/>
    </xf>
    <xf numFmtId="0" fontId="0" fillId="0" borderId="0" xfId="0" applyAlignment="1">
      <alignment horizontal="left" vertical="top"/>
    </xf>
    <xf numFmtId="0" fontId="35" fillId="0" borderId="0" xfId="0" applyFont="1" applyAlignment="1">
      <alignment horizontal="center" vertical="center"/>
    </xf>
    <xf numFmtId="0" fontId="38" fillId="0" borderId="0" xfId="45"/>
    <xf numFmtId="49" fontId="38" fillId="38" borderId="0" xfId="45" applyNumberFormat="1" applyFill="1" applyBorder="1" applyAlignment="1">
      <alignment vertical="top" wrapText="1"/>
    </xf>
    <xf numFmtId="49" fontId="38" fillId="38" borderId="0" xfId="45" applyNumberFormat="1" applyFill="1" applyAlignment="1">
      <alignment horizontal="left" vertical="top" wrapText="1"/>
    </xf>
    <xf numFmtId="49" fontId="1" fillId="0" borderId="0" xfId="0" applyNumberFormat="1" applyFont="1" applyAlignment="1">
      <alignment horizontal="left" vertical="top" wrapText="1"/>
    </xf>
    <xf numFmtId="49" fontId="36" fillId="38" borderId="0" xfId="2" applyNumberFormat="1" applyFont="1" applyFill="1" applyAlignment="1">
      <alignment horizontal="left" vertical="top" wrapText="1"/>
    </xf>
    <xf numFmtId="49" fontId="1" fillId="0" borderId="0" xfId="0" applyNumberFormat="1" applyFont="1" applyAlignment="1">
      <alignment horizontal="left" vertical="center" wrapText="1"/>
    </xf>
    <xf numFmtId="49" fontId="38" fillId="0" borderId="0" xfId="45" applyNumberFormat="1" applyAlignment="1">
      <alignment horizontal="left" vertical="center" wrapText="1"/>
    </xf>
    <xf numFmtId="3" fontId="30" fillId="4" borderId="0" xfId="1" applyNumberFormat="1" applyFont="1" applyFill="1" applyAlignment="1">
      <alignment vertical="center"/>
    </xf>
    <xf numFmtId="0" fontId="35" fillId="0" borderId="0" xfId="0" applyFont="1" applyAlignment="1">
      <alignment vertical="center"/>
    </xf>
    <xf numFmtId="0" fontId="35" fillId="0" borderId="0" xfId="0" applyFont="1" applyAlignment="1">
      <alignment horizontal="right" vertical="center"/>
    </xf>
    <xf numFmtId="0" fontId="38" fillId="0" borderId="0" xfId="45" applyAlignment="1">
      <alignment vertical="top"/>
    </xf>
    <xf numFmtId="0" fontId="3" fillId="0" borderId="0" xfId="0" applyFont="1" applyAlignment="1">
      <alignment horizontal="left" vertical="top"/>
    </xf>
    <xf numFmtId="0" fontId="32" fillId="0" borderId="0" xfId="0" applyFont="1" applyAlignment="1">
      <alignment horizontal="left" vertical="top"/>
    </xf>
    <xf numFmtId="49" fontId="38" fillId="0" borderId="0" xfId="45" applyNumberFormat="1" applyAlignment="1">
      <alignment vertical="top" wrapText="1"/>
    </xf>
    <xf numFmtId="49" fontId="38" fillId="0" borderId="0" xfId="45" applyNumberFormat="1" applyAlignment="1">
      <alignment vertical="center" wrapText="1"/>
    </xf>
    <xf numFmtId="0" fontId="0" fillId="0" borderId="0" xfId="0" applyAlignment="1">
      <alignment horizontal="left" vertical="top" wrapText="1"/>
    </xf>
    <xf numFmtId="0" fontId="0" fillId="0" borderId="0" xfId="0" applyAlignment="1">
      <alignment vertical="top"/>
    </xf>
    <xf numFmtId="49" fontId="28" fillId="46" borderId="0" xfId="0" applyNumberFormat="1" applyFont="1" applyFill="1" applyAlignment="1">
      <alignment horizontal="left" vertical="top" wrapText="1"/>
    </xf>
    <xf numFmtId="0" fontId="4"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5">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6F613E94-4CCF-4841-BA77-E3E91F8F08AE}" userId="S::kusumapotlada@amgsol.com::a4794fd0-fb2a-418d-b379-bb3c7e6c0e3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8" totalsRowShown="0">
  <autoFilter ref="A3:E8" xr:uid="{C9C95D9E-67ED-41E0-9F41-9C3DA4ACF4CD}"/>
  <sortState xmlns:xlrd2="http://schemas.microsoft.com/office/spreadsheetml/2017/richdata2" ref="A3:D4">
    <sortCondition ref="C3"/>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 dT="2025-12-03T07:45:27.94" personId="{6F613E94-4CCF-4841-BA77-E3E91F8F08AE}" id="{50BBCCA5-A392-44CA-BF84-C025897859C2}">
    <text>As meter 2 was not communicating for whole month we have taken total inverters energy as actual energy.</text>
  </threadedComment>
</ThreadedComments>
</file>

<file path=xl/threadedComments/threadedComment2.xml><?xml version="1.0" encoding="utf-8"?>
<ThreadedComments xmlns="http://schemas.microsoft.com/office/spreadsheetml/2018/threadedcomments" xmlns:x="http://schemas.openxmlformats.org/spreadsheetml/2006/main">
  <threadedComment ref="C4" dT="2026-01-03T11:25:45.34" personId="{6F613E94-4CCF-4841-BA77-E3E91F8F08AE}" id="{E99F417F-3E73-4329-BA61-B4F02F00BEF5}">
    <text>As meter 2 has regained its communication at 10:30 on 12/18, actual energy is taken from total inverters energy</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us3.assetplanner.com/service_request?ID=095130" TargetMode="External"/><Relationship Id="rId2" Type="http://schemas.openxmlformats.org/officeDocument/2006/relationships/hyperlink" Target="https://us3.assetplanner.com/service_request?ID=096181" TargetMode="External"/><Relationship Id="rId1" Type="http://schemas.openxmlformats.org/officeDocument/2006/relationships/hyperlink" Target="https://us3.assetplanner.com/service_request?ID=094033" TargetMode="External"/><Relationship Id="rId6" Type="http://schemas.openxmlformats.org/officeDocument/2006/relationships/printerSettings" Target="../printerSettings/printerSettings3.bin"/><Relationship Id="rId5" Type="http://schemas.openxmlformats.org/officeDocument/2006/relationships/hyperlink" Target="https://us3.assetplanner.com/service_request?ID=094062" TargetMode="External"/><Relationship Id="rId4" Type="http://schemas.openxmlformats.org/officeDocument/2006/relationships/hyperlink" Target="https://us3.assetplanner.com/service_request?ID=091277"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6074" TargetMode="External"/><Relationship Id="rId2" Type="http://schemas.openxmlformats.org/officeDocument/2006/relationships/hyperlink" Target="https://us3.assetplanner.com/service_request?ID=097728" TargetMode="External"/><Relationship Id="rId1" Type="http://schemas.openxmlformats.org/officeDocument/2006/relationships/hyperlink" Target="https://us3.assetplanner.com/service_request?ID=096391" TargetMode="External"/><Relationship Id="rId5" Type="http://schemas.openxmlformats.org/officeDocument/2006/relationships/hyperlink" Target="https://us3.assetplanner.com/service_request?ID=094062" TargetMode="External"/><Relationship Id="rId4" Type="http://schemas.openxmlformats.org/officeDocument/2006/relationships/hyperlink" Target="https://us3.assetplanner.com/service_request?ID=097908"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28" TargetMode="External"/><Relationship Id="rId13" Type="http://schemas.openxmlformats.org/officeDocument/2006/relationships/hyperlink" Target="https://us3.assetplanner.com/service_request?ID=098925" TargetMode="External"/><Relationship Id="rId18" Type="http://schemas.openxmlformats.org/officeDocument/2006/relationships/hyperlink" Target="https://us3.assetplanner.com/service_request?ID=097305" TargetMode="External"/><Relationship Id="rId3" Type="http://schemas.openxmlformats.org/officeDocument/2006/relationships/hyperlink" Target="https://us3.assetplanner.com/service_request?ID=099222" TargetMode="External"/><Relationship Id="rId7" Type="http://schemas.openxmlformats.org/officeDocument/2006/relationships/hyperlink" Target="https://us3.assetplanner.com/service_request?ID=099224" TargetMode="External"/><Relationship Id="rId12" Type="http://schemas.openxmlformats.org/officeDocument/2006/relationships/hyperlink" Target="https://us3.assetplanner.com/service_request?ID=098302" TargetMode="External"/><Relationship Id="rId17" Type="http://schemas.openxmlformats.org/officeDocument/2006/relationships/hyperlink" Target="https://us3.assetplanner.com/service_request?ID=099420" TargetMode="External"/><Relationship Id="rId2" Type="http://schemas.openxmlformats.org/officeDocument/2006/relationships/hyperlink" Target="https://us3.assetplanner.com/service_request?ID=099220" TargetMode="External"/><Relationship Id="rId16" Type="http://schemas.openxmlformats.org/officeDocument/2006/relationships/hyperlink" Target="https://us3.assetplanner.com/service_request?ID=098566" TargetMode="External"/><Relationship Id="rId1" Type="http://schemas.openxmlformats.org/officeDocument/2006/relationships/hyperlink" Target="https://us3.assetplanner.com/service_request?ID=098364" TargetMode="External"/><Relationship Id="rId6" Type="http://schemas.openxmlformats.org/officeDocument/2006/relationships/hyperlink" Target="https://us3.assetplanner.com/service_request?ID=095849" TargetMode="External"/><Relationship Id="rId11" Type="http://schemas.openxmlformats.org/officeDocument/2006/relationships/hyperlink" Target="https://us3.assetplanner.com/service_request?ID=098568" TargetMode="External"/><Relationship Id="rId5" Type="http://schemas.openxmlformats.org/officeDocument/2006/relationships/hyperlink" Target="https://us3.assetplanner.com/service_request?ID=099221" TargetMode="External"/><Relationship Id="rId15" Type="http://schemas.openxmlformats.org/officeDocument/2006/relationships/hyperlink" Target="https://us3.assetplanner.com/service_request?ID=097757" TargetMode="External"/><Relationship Id="rId10" Type="http://schemas.openxmlformats.org/officeDocument/2006/relationships/hyperlink" Target="https://us3.assetplanner.com/service_request?ID=096181" TargetMode="External"/><Relationship Id="rId19" Type="http://schemas.openxmlformats.org/officeDocument/2006/relationships/hyperlink" Target="https://us3.assetplanner.com/service_request?ID=098700" TargetMode="External"/><Relationship Id="rId4" Type="http://schemas.openxmlformats.org/officeDocument/2006/relationships/hyperlink" Target="https://us3.assetplanner.com/service_request?ID=099295" TargetMode="External"/><Relationship Id="rId9" Type="http://schemas.openxmlformats.org/officeDocument/2006/relationships/hyperlink" Target="https://us3.assetplanner.com/service_request?ID=098569" TargetMode="External"/><Relationship Id="rId14" Type="http://schemas.openxmlformats.org/officeDocument/2006/relationships/hyperlink" Target="https://us3.assetplanner.com/service_request?ID=099141"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224" TargetMode="External"/><Relationship Id="rId13" Type="http://schemas.openxmlformats.org/officeDocument/2006/relationships/hyperlink" Target="https://us3.assetplanner.com/service_request?ID=099141" TargetMode="External"/><Relationship Id="rId18" Type="http://schemas.openxmlformats.org/officeDocument/2006/relationships/hyperlink" Target="https://us3.assetplanner.com/service_request?ID=100673" TargetMode="External"/><Relationship Id="rId26" Type="http://schemas.openxmlformats.org/officeDocument/2006/relationships/hyperlink" Target="https://us3.assetplanner.com/service_request?ID=100221" TargetMode="External"/><Relationship Id="rId3" Type="http://schemas.openxmlformats.org/officeDocument/2006/relationships/hyperlink" Target="https://us3.assetplanner.com/service_request?ID=099222" TargetMode="External"/><Relationship Id="rId21" Type="http://schemas.openxmlformats.org/officeDocument/2006/relationships/hyperlink" Target="https://us3.assetplanner.com/service_request?ID=099419" TargetMode="External"/><Relationship Id="rId7" Type="http://schemas.openxmlformats.org/officeDocument/2006/relationships/hyperlink" Target="https://us3.assetplanner.com/service_request?ID=099913" TargetMode="External"/><Relationship Id="rId12" Type="http://schemas.openxmlformats.org/officeDocument/2006/relationships/hyperlink" Target="https://us3.assetplanner.com/service_request?ID=098376" TargetMode="External"/><Relationship Id="rId17" Type="http://schemas.openxmlformats.org/officeDocument/2006/relationships/hyperlink" Target="https://us3.assetplanner.com/service_request?ID=100473" TargetMode="External"/><Relationship Id="rId25" Type="http://schemas.openxmlformats.org/officeDocument/2006/relationships/hyperlink" Target="https://us3.assetplanner.com/service_request?ID=099878" TargetMode="External"/><Relationship Id="rId2" Type="http://schemas.openxmlformats.org/officeDocument/2006/relationships/hyperlink" Target="https://us3.assetplanner.com/service_request?ID=099221" TargetMode="External"/><Relationship Id="rId16" Type="http://schemas.openxmlformats.org/officeDocument/2006/relationships/hyperlink" Target="https://us3.assetplanner.com/service_request?ID=100473" TargetMode="External"/><Relationship Id="rId20" Type="http://schemas.openxmlformats.org/officeDocument/2006/relationships/hyperlink" Target="https://us3.assetplanner.com/service_request?ID=098567" TargetMode="External"/><Relationship Id="rId1" Type="http://schemas.openxmlformats.org/officeDocument/2006/relationships/hyperlink" Target="https://us3.assetplanner.com/service_request?ID=099220" TargetMode="External"/><Relationship Id="rId6" Type="http://schemas.openxmlformats.org/officeDocument/2006/relationships/hyperlink" Target="https://us3.assetplanner.com/service_request?ID=099835" TargetMode="External"/><Relationship Id="rId11" Type="http://schemas.openxmlformats.org/officeDocument/2006/relationships/hyperlink" Target="https://us3.assetplanner.com/service_request?ID=098568" TargetMode="External"/><Relationship Id="rId24" Type="http://schemas.openxmlformats.org/officeDocument/2006/relationships/hyperlink" Target="https://us3.assetplanner.com/service_request?ID=098700" TargetMode="External"/><Relationship Id="rId5" Type="http://schemas.openxmlformats.org/officeDocument/2006/relationships/hyperlink" Target="https://us3.assetplanner.com/service_request?ID=099759" TargetMode="External"/><Relationship Id="rId15" Type="http://schemas.openxmlformats.org/officeDocument/2006/relationships/hyperlink" Target="https://us3.assetplanner.com/service_request?ID=100087" TargetMode="External"/><Relationship Id="rId23" Type="http://schemas.openxmlformats.org/officeDocument/2006/relationships/hyperlink" Target="https://us3.assetplanner.com/service_request?ID=097305" TargetMode="External"/><Relationship Id="rId10" Type="http://schemas.openxmlformats.org/officeDocument/2006/relationships/hyperlink" Target="https://us3.assetplanner.com/service_request?ID=099625" TargetMode="External"/><Relationship Id="rId19" Type="http://schemas.openxmlformats.org/officeDocument/2006/relationships/hyperlink" Target="https://us3.assetplanner.com/service_request?ID=098566" TargetMode="External"/><Relationship Id="rId4" Type="http://schemas.openxmlformats.org/officeDocument/2006/relationships/hyperlink" Target="https://us3.assetplanner.com/service_request?ID=099295" TargetMode="External"/><Relationship Id="rId9" Type="http://schemas.openxmlformats.org/officeDocument/2006/relationships/hyperlink" Target="https://us3.assetplanner.com/service_request?ID=098569" TargetMode="External"/><Relationship Id="rId14" Type="http://schemas.openxmlformats.org/officeDocument/2006/relationships/hyperlink" Target="https://us3.assetplanner.com/service_request?ID=099914" TargetMode="External"/><Relationship Id="rId22" Type="http://schemas.openxmlformats.org/officeDocument/2006/relationships/hyperlink" Target="https://us3.assetplanner.com/service_request?ID=099420" TargetMode="External"/><Relationship Id="rId27" Type="http://schemas.openxmlformats.org/officeDocument/2006/relationships/hyperlink" Target="https://us3.assetplanner.com/service_request?ID=100415"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1580" TargetMode="External"/><Relationship Id="rId3" Type="http://schemas.openxmlformats.org/officeDocument/2006/relationships/hyperlink" Target="https://us3.assetplanner.com/service_request?ID=103277" TargetMode="External"/><Relationship Id="rId7" Type="http://schemas.openxmlformats.org/officeDocument/2006/relationships/hyperlink" Target="https://us3.assetplanner.com/service_request?ID=101462" TargetMode="External"/><Relationship Id="rId2" Type="http://schemas.openxmlformats.org/officeDocument/2006/relationships/hyperlink" Target="https://us3.assetplanner.com/service_request?ID=103139" TargetMode="External"/><Relationship Id="rId1" Type="http://schemas.openxmlformats.org/officeDocument/2006/relationships/hyperlink" Target="https://us3.assetplanner.com/service_request?ID=102702" TargetMode="External"/><Relationship Id="rId6" Type="http://schemas.openxmlformats.org/officeDocument/2006/relationships/hyperlink" Target="https://us3.assetplanner.com/service_request?ID=100087" TargetMode="External"/><Relationship Id="rId11" Type="http://schemas.openxmlformats.org/officeDocument/2006/relationships/hyperlink" Target="https://us3.assetplanner.com/service_request?ID=102470" TargetMode="External"/><Relationship Id="rId5" Type="http://schemas.openxmlformats.org/officeDocument/2006/relationships/hyperlink" Target="https://us3.assetplanner.com/service_request?ID=102342" TargetMode="External"/><Relationship Id="rId10" Type="http://schemas.openxmlformats.org/officeDocument/2006/relationships/hyperlink" Target="https://us3.assetplanner.com/service_request?ID=102470" TargetMode="External"/><Relationship Id="rId4" Type="http://schemas.openxmlformats.org/officeDocument/2006/relationships/hyperlink" Target="https://us3.assetplanner.com/service_request?ID=101583" TargetMode="External"/><Relationship Id="rId9" Type="http://schemas.openxmlformats.org/officeDocument/2006/relationships/hyperlink" Target="https://us3.assetplanner.com/service_request?ID=102509"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0087" TargetMode="External"/><Relationship Id="rId2" Type="http://schemas.openxmlformats.org/officeDocument/2006/relationships/hyperlink" Target="https://us3.assetplanner.com/service_request?ID=102509" TargetMode="External"/><Relationship Id="rId1" Type="http://schemas.openxmlformats.org/officeDocument/2006/relationships/hyperlink" Target="https://us3.assetplanner.com/service_request?ID=100960" TargetMode="External"/><Relationship Id="rId5" Type="http://schemas.openxmlformats.org/officeDocument/2006/relationships/hyperlink" Target="https://us3.assetplanner.com/service_request?ID=101462" TargetMode="External"/><Relationship Id="rId4" Type="http://schemas.openxmlformats.org/officeDocument/2006/relationships/hyperlink" Target="https://us3.assetplanner.com/service_request?ID=099420"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1583" TargetMode="External"/><Relationship Id="rId13" Type="http://schemas.openxmlformats.org/officeDocument/2006/relationships/hyperlink" Target="https://us3.assetplanner.com/service_request?ID=105402" TargetMode="External"/><Relationship Id="rId18" Type="http://schemas.openxmlformats.org/officeDocument/2006/relationships/hyperlink" Target="https://us3.assetplanner.com/service_request?ID=105397" TargetMode="External"/><Relationship Id="rId3" Type="http://schemas.openxmlformats.org/officeDocument/2006/relationships/hyperlink" Target="https://us3.assetplanner.com/service_request?ID=105946" TargetMode="External"/><Relationship Id="rId7" Type="http://schemas.openxmlformats.org/officeDocument/2006/relationships/hyperlink" Target="https://us3.assetplanner.com/service_request?ID=105393" TargetMode="External"/><Relationship Id="rId12" Type="http://schemas.openxmlformats.org/officeDocument/2006/relationships/hyperlink" Target="https://us3.assetplanner.com/service_request?ID=103137" TargetMode="External"/><Relationship Id="rId17" Type="http://schemas.openxmlformats.org/officeDocument/2006/relationships/hyperlink" Target="https://us3.assetplanner.com/service_request?ID=100415" TargetMode="External"/><Relationship Id="rId2" Type="http://schemas.openxmlformats.org/officeDocument/2006/relationships/hyperlink" Target="https://us3.assetplanner.com/service_request?ID=099221" TargetMode="External"/><Relationship Id="rId16" Type="http://schemas.openxmlformats.org/officeDocument/2006/relationships/hyperlink" Target="https://us3.assetplanner.com/service_request?ID=101580" TargetMode="External"/><Relationship Id="rId20" Type="http://schemas.openxmlformats.org/officeDocument/2006/relationships/hyperlink" Target="https://us3.assetplanner.com/service_request?ID=106873" TargetMode="External"/><Relationship Id="rId1" Type="http://schemas.openxmlformats.org/officeDocument/2006/relationships/hyperlink" Target="https://us3.assetplanner.com/service_request?ID=102147" TargetMode="External"/><Relationship Id="rId6" Type="http://schemas.openxmlformats.org/officeDocument/2006/relationships/hyperlink" Target="https://us3.assetplanner.com/service_request?ID=106166" TargetMode="External"/><Relationship Id="rId11" Type="http://schemas.openxmlformats.org/officeDocument/2006/relationships/hyperlink" Target="https://us3.assetplanner.com/service_request?ID=104941" TargetMode="External"/><Relationship Id="rId5" Type="http://schemas.openxmlformats.org/officeDocument/2006/relationships/hyperlink" Target="https://us3.assetplanner.com/service_request?ID=105860" TargetMode="External"/><Relationship Id="rId15" Type="http://schemas.openxmlformats.org/officeDocument/2006/relationships/hyperlink" Target="https://us3.assetplanner.com/service_request?ID=101449" TargetMode="External"/><Relationship Id="rId10" Type="http://schemas.openxmlformats.org/officeDocument/2006/relationships/hyperlink" Target="https://us3.assetplanner.com/service_request?ID=105629" TargetMode="External"/><Relationship Id="rId19" Type="http://schemas.openxmlformats.org/officeDocument/2006/relationships/hyperlink" Target="https://us3.assetplanner.com/service_request?ID=106590" TargetMode="External"/><Relationship Id="rId4" Type="http://schemas.openxmlformats.org/officeDocument/2006/relationships/hyperlink" Target="https://us3.assetplanner.com/service_request?ID=107054" TargetMode="External"/><Relationship Id="rId9" Type="http://schemas.openxmlformats.org/officeDocument/2006/relationships/hyperlink" Target="https://us3.assetplanner.com/service_request?ID=105308" TargetMode="External"/><Relationship Id="rId14" Type="http://schemas.openxmlformats.org/officeDocument/2006/relationships/hyperlink" Target="https://us3.assetplanner.com/service_request?ID=099420"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5402" TargetMode="External"/><Relationship Id="rId13" Type="http://schemas.openxmlformats.org/officeDocument/2006/relationships/hyperlink" Target="https://us3.assetplanner.com/service_request?ID=105397" TargetMode="External"/><Relationship Id="rId3" Type="http://schemas.openxmlformats.org/officeDocument/2006/relationships/hyperlink" Target="https://us3.assetplanner.com/service_request?ID=099221" TargetMode="External"/><Relationship Id="rId7" Type="http://schemas.openxmlformats.org/officeDocument/2006/relationships/hyperlink" Target="https://us3.assetplanner.com/service_request?ID=101583" TargetMode="External"/><Relationship Id="rId12" Type="http://schemas.openxmlformats.org/officeDocument/2006/relationships/hyperlink" Target="https://us3.assetplanner.com/service_request?ID=101449" TargetMode="External"/><Relationship Id="rId2" Type="http://schemas.openxmlformats.org/officeDocument/2006/relationships/hyperlink" Target="https://us3.assetplanner.com/service_request?ID=107650" TargetMode="External"/><Relationship Id="rId1" Type="http://schemas.openxmlformats.org/officeDocument/2006/relationships/hyperlink" Target="https://us3.assetplanner.com/service_request?ID=107451" TargetMode="External"/><Relationship Id="rId6" Type="http://schemas.openxmlformats.org/officeDocument/2006/relationships/hyperlink" Target="https://us3.assetplanner.com/service_request?ID=107935" TargetMode="External"/><Relationship Id="rId11" Type="http://schemas.openxmlformats.org/officeDocument/2006/relationships/hyperlink" Target="https://us3.assetplanner.com/service_request?ID=108512" TargetMode="External"/><Relationship Id="rId5" Type="http://schemas.openxmlformats.org/officeDocument/2006/relationships/hyperlink" Target="https://us3.assetplanner.com/service_request?ID=104941" TargetMode="External"/><Relationship Id="rId15" Type="http://schemas.openxmlformats.org/officeDocument/2006/relationships/hyperlink" Target="https://us3.assetplanner.com/service_request?ID=100415" TargetMode="External"/><Relationship Id="rId10" Type="http://schemas.openxmlformats.org/officeDocument/2006/relationships/hyperlink" Target="https://us3.assetplanner.com/service_request?ID=099420" TargetMode="External"/><Relationship Id="rId4" Type="http://schemas.openxmlformats.org/officeDocument/2006/relationships/hyperlink" Target="https://us3.assetplanner.com/service_request?ID=102147" TargetMode="External"/><Relationship Id="rId9" Type="http://schemas.openxmlformats.org/officeDocument/2006/relationships/hyperlink" Target="https://us3.assetplanner.com/service_request?ID=108406" TargetMode="External"/><Relationship Id="rId14" Type="http://schemas.openxmlformats.org/officeDocument/2006/relationships/hyperlink" Target="https://us3.assetplanner.com/service_request?ID=101580"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8844" TargetMode="External"/><Relationship Id="rId3" Type="http://schemas.openxmlformats.org/officeDocument/2006/relationships/hyperlink" Target="https://us3.assetplanner.com/service_request?ID=102147" TargetMode="External"/><Relationship Id="rId7" Type="http://schemas.openxmlformats.org/officeDocument/2006/relationships/hyperlink" Target="https://us3.assetplanner.com/service_request?ID=109388" TargetMode="External"/><Relationship Id="rId12" Type="http://schemas.openxmlformats.org/officeDocument/2006/relationships/hyperlink" Target="https://us3.assetplanner.com/service_request?ID=109931" TargetMode="External"/><Relationship Id="rId2" Type="http://schemas.openxmlformats.org/officeDocument/2006/relationships/hyperlink" Target="https://us3.assetplanner.com/service_request?ID=099221" TargetMode="External"/><Relationship Id="rId1" Type="http://schemas.openxmlformats.org/officeDocument/2006/relationships/hyperlink" Target="https://us3.assetplanner.com/service_request?ID=107650" TargetMode="External"/><Relationship Id="rId6" Type="http://schemas.openxmlformats.org/officeDocument/2006/relationships/hyperlink" Target="https://us3.assetplanner.com/service_request?ID=109354" TargetMode="External"/><Relationship Id="rId11" Type="http://schemas.openxmlformats.org/officeDocument/2006/relationships/hyperlink" Target="https://us3.assetplanner.com/service_request?ID=105397" TargetMode="External"/><Relationship Id="rId5" Type="http://schemas.openxmlformats.org/officeDocument/2006/relationships/hyperlink" Target="https://us3.assetplanner.com/service_request?ID=109945" TargetMode="External"/><Relationship Id="rId10" Type="http://schemas.openxmlformats.org/officeDocument/2006/relationships/hyperlink" Target="https://us3.assetplanner.com/service_request?ID=108512" TargetMode="External"/><Relationship Id="rId4" Type="http://schemas.openxmlformats.org/officeDocument/2006/relationships/hyperlink" Target="https://us3.assetplanner.com/service_request?ID=109898" TargetMode="External"/><Relationship Id="rId9" Type="http://schemas.openxmlformats.org/officeDocument/2006/relationships/hyperlink" Target="https://us3.assetplanner.com/service_request?ID=109883"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us3.assetplanner.com/service_request?ID=110594" TargetMode="External"/><Relationship Id="rId13" Type="http://schemas.openxmlformats.org/officeDocument/2006/relationships/printerSettings" Target="../printerSettings/printerSettings4.bin"/><Relationship Id="rId3" Type="http://schemas.openxmlformats.org/officeDocument/2006/relationships/hyperlink" Target="https://us3.assetplanner.com/service_request?ID=109898" TargetMode="External"/><Relationship Id="rId7" Type="http://schemas.openxmlformats.org/officeDocument/2006/relationships/hyperlink" Target="https://us3.assetplanner.com/service_request?ID=109883" TargetMode="External"/><Relationship Id="rId12" Type="http://schemas.openxmlformats.org/officeDocument/2006/relationships/hyperlink" Target="https://us3.assetplanner.com/service_request?ID=105397" TargetMode="External"/><Relationship Id="rId2" Type="http://schemas.openxmlformats.org/officeDocument/2006/relationships/hyperlink" Target="https://us3.assetplanner.com/service_request?ID=099221" TargetMode="External"/><Relationship Id="rId16" Type="http://schemas.microsoft.com/office/2017/10/relationships/threadedComment" Target="../threadedComments/threadedComment1.xml"/><Relationship Id="rId1" Type="http://schemas.openxmlformats.org/officeDocument/2006/relationships/hyperlink" Target="https://us3.assetplanner.com/service_request?ID=111820" TargetMode="External"/><Relationship Id="rId6" Type="http://schemas.openxmlformats.org/officeDocument/2006/relationships/hyperlink" Target="https://us3.assetplanner.com/service_request?ID=110529" TargetMode="External"/><Relationship Id="rId11" Type="http://schemas.openxmlformats.org/officeDocument/2006/relationships/hyperlink" Target="https://us3.assetplanner.com/service_request?ID=109931" TargetMode="External"/><Relationship Id="rId5" Type="http://schemas.openxmlformats.org/officeDocument/2006/relationships/hyperlink" Target="https://us3.assetplanner.com/service_request?ID=111456" TargetMode="External"/><Relationship Id="rId15" Type="http://schemas.openxmlformats.org/officeDocument/2006/relationships/comments" Target="../comments1.xml"/><Relationship Id="rId10" Type="http://schemas.openxmlformats.org/officeDocument/2006/relationships/hyperlink" Target="https://us3.assetplanner.com/service_request?ID=101449" TargetMode="External"/><Relationship Id="rId4" Type="http://schemas.openxmlformats.org/officeDocument/2006/relationships/hyperlink" Target="https://us3.assetplanner.com/service_request?ID=110765" TargetMode="External"/><Relationship Id="rId9" Type="http://schemas.openxmlformats.org/officeDocument/2006/relationships/hyperlink" Target="https://us3.assetplanner.com/service_request?ID=110898" TargetMode="External"/><Relationship Id="rId14" Type="http://schemas.openxmlformats.org/officeDocument/2006/relationships/vmlDrawing" Target="../drawings/vmlDrawing1.vml"/></Relationships>
</file>

<file path=xl/worksheets/_rels/sheet17.xml.rels><?xml version="1.0" encoding="UTF-8" standalone="yes"?>
<Relationships xmlns="http://schemas.openxmlformats.org/package/2006/relationships"><Relationship Id="rId8" Type="http://schemas.microsoft.com/office/2017/10/relationships/threadedComment" Target="../threadedComments/threadedComment2.xml"/><Relationship Id="rId3" Type="http://schemas.openxmlformats.org/officeDocument/2006/relationships/hyperlink" Target="https://us3.assetplanner.com/service_request?ID=099221" TargetMode="External"/><Relationship Id="rId7" Type="http://schemas.openxmlformats.org/officeDocument/2006/relationships/comments" Target="../comments2.xml"/><Relationship Id="rId2" Type="http://schemas.openxmlformats.org/officeDocument/2006/relationships/hyperlink" Target="https://us3.assetplanner.com/service_request?ID=110529" TargetMode="External"/><Relationship Id="rId1" Type="http://schemas.openxmlformats.org/officeDocument/2006/relationships/hyperlink" Target="https://us3.assetplanner.com/service_request?ID=109898" TargetMode="External"/><Relationship Id="rId6" Type="http://schemas.openxmlformats.org/officeDocument/2006/relationships/vmlDrawing" Target="../drawings/vmlDrawing2.vml"/><Relationship Id="rId5" Type="http://schemas.openxmlformats.org/officeDocument/2006/relationships/hyperlink" Target="https://us3.assetplanner.com/service_request?ID=109931" TargetMode="External"/><Relationship Id="rId4" Type="http://schemas.openxmlformats.org/officeDocument/2006/relationships/hyperlink" Target="https://us3.assetplanner.com/service_request?ID=101449"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8"/>
  <sheetViews>
    <sheetView workbookViewId="0">
      <pane xSplit="2" ySplit="3" topLeftCell="C4" activePane="bottomRight" state="frozen"/>
      <selection pane="bottomRight" activeCell="F25" sqref="F25"/>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8" t="str" cm="1">
        <f t="array" ref="A1">portfolio</f>
        <v>True Green Capital Management LLC</v>
      </c>
      <c r="B1" s="78"/>
      <c r="C1" s="78"/>
      <c r="D1" s="79" t="s">
        <v>0</v>
      </c>
      <c r="E1" s="79"/>
      <c r="F1" s="79"/>
      <c r="G1" s="77" t="s">
        <v>1</v>
      </c>
      <c r="H1" s="77"/>
      <c r="I1" s="77"/>
    </row>
    <row r="2" spans="1:9" ht="19.5" customHeight="1">
      <c r="A2" s="80" t="s">
        <v>2</v>
      </c>
      <c r="B2" s="80"/>
      <c r="C2" s="5">
        <f>SUM(C4:C86)</f>
        <v>41717311.218231179</v>
      </c>
      <c r="D2" s="5">
        <f>SUM(D4:D86)</f>
        <v>35727215.144099995</v>
      </c>
      <c r="E2" s="5">
        <f>C2-D2</f>
        <v>5990096.0741311833</v>
      </c>
      <c r="F2" s="6">
        <f>IFERROR(E2/D2, 0)</f>
        <v>0.1676619924047002</v>
      </c>
      <c r="G2" s="5">
        <f>SUM(G4:G86)</f>
        <v>46589857.270000003</v>
      </c>
      <c r="H2" s="7">
        <f>C2-G2</f>
        <v>-4872546.0517688245</v>
      </c>
      <c r="I2" s="6">
        <f>IFERROR(H2/G2, 0)</f>
        <v>-0.10458383728310623</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SUM('1st Qtr'!C4, '2nd Qtr'!C4, '3rd Qtr'!C4, '4th Qtr'!C4)</f>
        <v>18432546.015000001</v>
      </c>
      <c r="D4" s="13">
        <f>SUM('1st Qtr'!D4, '2nd Qtr'!D4, '3rd Qtr'!D4, '4th Qtr'!D4)</f>
        <v>19121165.869999997</v>
      </c>
      <c r="E4" s="13">
        <f>IF(AND(ISNUMBER(C4),ISNUMBER(D4)), C4-D4, "")</f>
        <v>-688619.85499999672</v>
      </c>
      <c r="F4" s="14">
        <f>IFERROR(E4/D4, "")</f>
        <v>-3.601348681778873E-2</v>
      </c>
      <c r="G4" s="15">
        <f>SUM('1st Qtr'!G4, '2nd Qtr'!G4, '3rd Qtr'!G4, '4th Qtr'!G4)</f>
        <v>20728442.470000003</v>
      </c>
      <c r="H4" s="15">
        <f>SUM('1st Qtr'!H4, '2nd Qtr'!H4, '3rd Qtr'!H4, '4th Qtr'!H4)</f>
        <v>1045142.5449999996</v>
      </c>
      <c r="I4" s="51">
        <f>IFERROR(H4/G4, "")</f>
        <v>5.0420698347819447E-2</v>
      </c>
    </row>
    <row r="5" spans="1:9" ht="15.6">
      <c r="A5" s="17" t="str">
        <v>Warsaw - Hemings</v>
      </c>
      <c r="B5" s="10" t="str">
        <v>VA</v>
      </c>
      <c r="C5" s="18">
        <f>SUM('1st Qtr'!C5, '2nd Qtr'!C5, '3rd Qtr'!C5, '4th Qtr'!C5)</f>
        <v>9889152.5999999996</v>
      </c>
      <c r="D5" s="18">
        <f>SUM('1st Qtr'!D5, '2nd Qtr'!D5, '3rd Qtr'!D5, '4th Qtr'!D5)</f>
        <v>7009194.4299999997</v>
      </c>
      <c r="E5" s="18">
        <f t="shared" ref="E5:E6" si="0">IF(AND(ISNUMBER(C5),ISNUMBER(D5)), C5-D5, "")</f>
        <v>2879958.17</v>
      </c>
      <c r="F5" s="19">
        <f>IFERROR(E5/D5, "")</f>
        <v>0.41088290512723014</v>
      </c>
      <c r="G5" s="20">
        <f>SUM('1st Qtr'!G5, '2nd Qtr'!G5, '3rd Qtr'!G5, '4th Qtr'!G5)</f>
        <v>10404623.640000001</v>
      </c>
      <c r="H5" s="52">
        <f>SUM('1st Qtr'!H5, '2nd Qtr'!H5, '3rd Qtr'!H5, '4th Qtr'!H5)</f>
        <v>765879.96</v>
      </c>
      <c r="I5" s="19">
        <f>IFERROR(H5/G5, "")</f>
        <v>7.3609578443146834E-2</v>
      </c>
    </row>
    <row r="6" spans="1:9" ht="15.6">
      <c r="A6" s="12" t="str">
        <v>Mount Jackson - Randolf</v>
      </c>
      <c r="B6" s="9" t="str">
        <v>VA</v>
      </c>
      <c r="C6" s="24">
        <f>SUM('1st Qtr'!C6, '2nd Qtr'!C6, '3rd Qtr'!C6, '4th Qtr'!C6)</f>
        <v>6031534.5032311743</v>
      </c>
      <c r="D6" s="13">
        <f>SUM('1st Qtr'!D6, '2nd Qtr'!D6, '3rd Qtr'!D6, '4th Qtr'!D6)</f>
        <v>6126107.9359999998</v>
      </c>
      <c r="E6" s="13">
        <f t="shared" si="0"/>
        <v>-94573.432768825442</v>
      </c>
      <c r="F6" s="14">
        <f t="shared" ref="F6:F8" si="1">IFERROR(E6/D6, "")</f>
        <v>-1.5437767952645072E-2</v>
      </c>
      <c r="G6" s="15">
        <f>SUM('1st Qtr'!G6, '2nd Qtr'!G6, '3rd Qtr'!G6, '4th Qtr'!G6)</f>
        <v>7163543.8599999994</v>
      </c>
      <c r="H6" s="15">
        <f>SUM('1st Qtr'!H6, '2nd Qtr'!H6, '3rd Qtr'!H6, '4th Qtr'!H6)</f>
        <v>-2343.1567688250507</v>
      </c>
      <c r="I6" s="16">
        <f t="shared" ref="I6:I8" si="2">IFERROR(H6/G6, "")</f>
        <v>-3.2709463564658777E-4</v>
      </c>
    </row>
    <row r="7" spans="1:9" ht="15.6">
      <c r="A7" s="17" t="str">
        <v>Callands Gretna - Monroe</v>
      </c>
      <c r="B7" s="10" t="str">
        <v>VA</v>
      </c>
      <c r="C7" s="18">
        <f>SUM('1st Qtr'!C7, '2nd Qtr'!C7, '3rd Qtr'!C7, '4th Qtr'!C7)</f>
        <v>4661035</v>
      </c>
      <c r="D7" s="18">
        <f>SUM('1st Qtr'!D7, '2nd Qtr'!D7, '3rd Qtr'!D7, '4th Qtr'!D7)</f>
        <v>3319758.4060000004</v>
      </c>
      <c r="E7" s="18">
        <f t="shared" ref="E7:E8" si="3">IF(AND(ISNUMBER(C7),ISNUMBER(D7)), C7-D7, "")</f>
        <v>1341276.5939999996</v>
      </c>
      <c r="F7" s="19">
        <f t="shared" si="1"/>
        <v>0.40402837494916172</v>
      </c>
      <c r="G7" s="20">
        <f>SUM('1st Qtr'!G7, '2nd Qtr'!G7, '3rd Qtr'!G7, '4th Qtr'!G7)</f>
        <v>4782321.7</v>
      </c>
      <c r="H7" s="20">
        <f>SUM('1st Qtr'!H7, '2nd Qtr'!H7, '3rd Qtr'!H7, '4th Qtr'!H7)</f>
        <v>402502.9</v>
      </c>
      <c r="I7" s="19">
        <f t="shared" si="2"/>
        <v>8.4164747846218718E-2</v>
      </c>
    </row>
    <row r="8" spans="1:9" ht="15.6">
      <c r="A8" s="12" t="str">
        <v>Rockbridge Baths - Small Mouth Bass</v>
      </c>
      <c r="B8" s="9" t="str">
        <v>VA</v>
      </c>
      <c r="C8" s="24">
        <f>SUM('1st Qtr'!C8, '2nd Qtr'!C8, '3rd Qtr'!C8, '4th Qtr'!C8)</f>
        <v>2703043.0999999996</v>
      </c>
      <c r="D8" s="13">
        <f>SUM('1st Qtr'!D8, '2nd Qtr'!D8, '3rd Qtr'!D8, '4th Qtr'!D8)</f>
        <v>150988.50210000001</v>
      </c>
      <c r="E8" s="13">
        <f t="shared" si="3"/>
        <v>2552054.5978999995</v>
      </c>
      <c r="F8" s="14">
        <f t="shared" si="1"/>
        <v>16.902310854171983</v>
      </c>
      <c r="G8" s="15">
        <f>SUM('1st Qtr'!G8, '2nd Qtr'!G8, '3rd Qtr'!G8, '4th Qtr'!G8)</f>
        <v>3510925.6</v>
      </c>
      <c r="H8" s="15">
        <f>SUM('1st Qtr'!H8, '2nd Qtr'!H8, '3rd Qtr'!H8, '4th Qtr'!H8)</f>
        <v>-199341</v>
      </c>
      <c r="I8" s="16">
        <f t="shared" si="2"/>
        <v>-5.6777335298702998E-2</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autoFilter ref="A2:I2" xr:uid="{D5C25034-9971-4A61-864F-C938F31EB1B8}"/>
  <mergeCells count="4">
    <mergeCell ref="G1:I1"/>
    <mergeCell ref="A1:C1"/>
    <mergeCell ref="D1:F1"/>
    <mergeCell ref="A2:B2"/>
  </mergeCells>
  <conditionalFormatting sqref="F2 I2 F4:F86 I4:I86">
    <cfRule type="cellIs" dxfId="54" priority="1" stopIfTrue="1" operator="lessThanOrEqual">
      <formula>-0.1</formula>
    </cfRule>
    <cfRule type="expression" dxfId="53"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8"/>
  <sheetViews>
    <sheetView workbookViewId="0">
      <pane xSplit="2" ySplit="3" topLeftCell="C4" activePane="bottomRight" state="frozen"/>
      <selection pane="bottomRight" activeCell="E23" sqref="E23"/>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8" t="str" cm="1">
        <f t="array" ref="A1">portfolio</f>
        <v>True Green Capital Management LLC</v>
      </c>
      <c r="B1" s="78"/>
      <c r="C1" s="78"/>
      <c r="D1" s="79" t="s">
        <v>10</v>
      </c>
      <c r="E1" s="79"/>
      <c r="F1" s="79"/>
      <c r="G1" s="77" t="s">
        <v>11</v>
      </c>
      <c r="H1" s="77"/>
      <c r="I1" s="77"/>
    </row>
    <row r="2" spans="1:9" ht="19.5" customHeight="1">
      <c r="A2" s="80" t="s">
        <v>2</v>
      </c>
      <c r="B2" s="80"/>
      <c r="C2" s="5">
        <f>SUM(C4:C86)</f>
        <v>7849609.1976322765</v>
      </c>
      <c r="D2" s="5">
        <f>SUM(D4:D86)</f>
        <v>7880724.5899999999</v>
      </c>
      <c r="E2" s="5">
        <f>C2-D2</f>
        <v>-31115.392367723398</v>
      </c>
      <c r="F2" s="6">
        <f>IFERROR(E2/D2, 0)</f>
        <v>-3.9482907964080239E-3</v>
      </c>
      <c r="G2" s="5">
        <f>SUM(G4:G86)</f>
        <v>8287872.7999999998</v>
      </c>
      <c r="H2" s="7">
        <f>C2-G2</f>
        <v>-438263.60236772336</v>
      </c>
      <c r="I2" s="6">
        <f>IFERROR(H2/G2, 0)</f>
        <v>-5.2880107229411555E-2</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SUM(Jan!C4, Feb!C4, Mar!C4)</f>
        <v>3600100</v>
      </c>
      <c r="D4" s="13">
        <f>SUM(Jan!D4, Feb!D4, Mar!D4)</f>
        <v>3879318.6</v>
      </c>
      <c r="E4" s="13">
        <f>IF(AND(ISNUMBER(C4),ISNUMBER(D4)), C4-D4, "")</f>
        <v>-279218.60000000009</v>
      </c>
      <c r="F4" s="14">
        <f>IFERROR(E4/D4, "")</f>
        <v>-7.1976197056874913E-2</v>
      </c>
      <c r="G4" s="15">
        <f>SUM(Jan!G4, Feb!G4, Mar!G4)</f>
        <v>3751976.6</v>
      </c>
      <c r="H4" s="15">
        <f>SUM(Jan!H4, Feb!H4, Mar!H4)</f>
        <v>-151876.59999999998</v>
      </c>
      <c r="I4" s="16">
        <f>IFERROR(H4/G4, "")</f>
        <v>-4.047909040797322E-2</v>
      </c>
    </row>
    <row r="5" spans="1:9" ht="15.6">
      <c r="A5" s="17" t="str">
        <v>Warsaw - Hemings</v>
      </c>
      <c r="B5" s="10" t="str">
        <v>VA</v>
      </c>
      <c r="C5" s="11">
        <f>SUM(Jan!C5, Feb!C5, Mar!C5)</f>
        <v>2066881.5999999999</v>
      </c>
      <c r="D5" s="18">
        <f>SUM(Jan!D5, Feb!D5, Mar!D5)</f>
        <v>2273767</v>
      </c>
      <c r="E5" s="18">
        <f t="shared" ref="E5:E6" si="0">IF(AND(ISNUMBER(C5),ISNUMBER(D5)), C5-D5, "")</f>
        <v>-206885.40000000014</v>
      </c>
      <c r="F5" s="19">
        <f>IFERROR(E5/D5, "")</f>
        <v>-9.098795083225332E-2</v>
      </c>
      <c r="G5" s="20">
        <f>SUM(Jan!G5, Feb!G5, Mar!G5)</f>
        <v>2102775</v>
      </c>
      <c r="H5" s="15">
        <f>SUM(Jan!H5, Feb!H5, Mar!H5)</f>
        <v>-35893.400000000023</v>
      </c>
      <c r="I5" s="19">
        <f>IFERROR(H5/G5, "")</f>
        <v>-1.7069539061478296E-2</v>
      </c>
    </row>
    <row r="6" spans="1:9" ht="15.6">
      <c r="A6" s="12" t="str">
        <v>Mount Jackson - Randolf</v>
      </c>
      <c r="B6" s="9" t="str">
        <v>VA</v>
      </c>
      <c r="C6" s="24">
        <f>SUM(Jan!C6, Feb!C6, Mar!C6)</f>
        <v>1190682.5976322768</v>
      </c>
      <c r="D6" s="13">
        <f>SUM(Jan!D6, Feb!D6, Mar!D6)</f>
        <v>1219182.5</v>
      </c>
      <c r="E6" s="13">
        <f t="shared" si="0"/>
        <v>-28499.902367723174</v>
      </c>
      <c r="F6" s="14">
        <f t="shared" ref="F6:F8" si="1">IFERROR(E6/D6, "")</f>
        <v>-2.3376239707938045E-2</v>
      </c>
      <c r="G6" s="15">
        <f>SUM(Jan!G6, Feb!G6, Mar!G6)</f>
        <v>1427826.5</v>
      </c>
      <c r="H6" s="15">
        <f>SUM(Jan!H6, Feb!H6, Mar!H6)</f>
        <v>-237143.90236772309</v>
      </c>
      <c r="I6" s="16">
        <f t="shared" ref="I6:I8" si="2">IFERROR(H6/G6, "")</f>
        <v>-0.166087337899754</v>
      </c>
    </row>
    <row r="7" spans="1:9" ht="15.6">
      <c r="A7" s="17" t="str">
        <v>Callands Gretna - Monroe</v>
      </c>
      <c r="B7" s="10" t="str">
        <v>VA</v>
      </c>
      <c r="C7" s="11">
        <f>SUM(Jan!C7, Feb!C7, Mar!C7)</f>
        <v>991945</v>
      </c>
      <c r="D7" s="18">
        <f>SUM(Jan!D7, Feb!D7, Mar!D7)</f>
        <v>508456.49</v>
      </c>
      <c r="E7" s="18">
        <f t="shared" ref="E7:E8" si="3">IF(AND(ISNUMBER(C7),ISNUMBER(D7)), C7-D7, "")</f>
        <v>483488.51</v>
      </c>
      <c r="F7" s="19">
        <f t="shared" si="1"/>
        <v>0.9508945593358441</v>
      </c>
      <c r="G7" s="20">
        <f>SUM(Jan!G7, Feb!G7, Mar!G7)</f>
        <v>1005294.7</v>
      </c>
      <c r="H7" s="15">
        <f>SUM(Jan!H7, Feb!H7, Mar!H7)</f>
        <v>-13349.700000000012</v>
      </c>
      <c r="I7" s="19">
        <f t="shared" si="2"/>
        <v>-1.327938961580123E-2</v>
      </c>
    </row>
    <row r="8" spans="1:9" ht="15.6">
      <c r="A8" s="12" t="str">
        <v>Rockbridge Baths - Small Mouth Bass</v>
      </c>
      <c r="B8" s="9" t="str">
        <v>VA</v>
      </c>
      <c r="C8" s="24">
        <f>SUM(Jan!C8, Feb!C8, Mar!C8)</f>
        <v>0</v>
      </c>
      <c r="D8" s="13">
        <f>SUM(Jan!D8, Feb!D8, Mar!D8)</f>
        <v>0</v>
      </c>
      <c r="E8" s="13">
        <f t="shared" si="3"/>
        <v>0</v>
      </c>
      <c r="F8" s="14" t="str">
        <f t="shared" si="1"/>
        <v/>
      </c>
      <c r="G8" s="15">
        <f>SUM(Jan!G8, Feb!G8, Mar!G8)</f>
        <v>0</v>
      </c>
      <c r="H8" s="15">
        <f>SUM(Jan!H8, Feb!H8, Mar!H8)</f>
        <v>0</v>
      </c>
      <c r="I8" s="16" t="str">
        <f t="shared" si="2"/>
        <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sortState xmlns:xlrd2="http://schemas.microsoft.com/office/spreadsheetml/2017/richdata2" ref="A3:I3">
    <sortCondition ref="A3"/>
  </sortState>
  <mergeCells count="4">
    <mergeCell ref="G1:I1"/>
    <mergeCell ref="A1:C1"/>
    <mergeCell ref="D1:F1"/>
    <mergeCell ref="A2:B2"/>
  </mergeCells>
  <conditionalFormatting sqref="F2 I2 F4:F86 I4:I86">
    <cfRule type="cellIs" dxfId="52" priority="1" stopIfTrue="1" operator="lessThanOrEqual">
      <formula>-0.1</formula>
    </cfRule>
    <cfRule type="expression" dxfId="51"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8"/>
  <sheetViews>
    <sheetView workbookViewId="0">
      <pane xSplit="2" ySplit="3" topLeftCell="C4" activePane="bottomRight" state="frozen"/>
      <selection pane="bottomRight" activeCell="D18" sqref="D18:D19"/>
      <selection pane="bottomLeft" activeCell="D12" sqref="D12"/>
      <selection pane="topRight" activeCell="D12" sqref="D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8" t="str" cm="1">
        <f t="array" ref="A1">portfolio</f>
        <v>True Green Capital Management LLC</v>
      </c>
      <c r="B1" s="78"/>
      <c r="C1" s="78"/>
      <c r="D1" s="79" t="s">
        <v>12</v>
      </c>
      <c r="E1" s="79"/>
      <c r="F1" s="79"/>
      <c r="G1" s="77" t="s">
        <v>13</v>
      </c>
      <c r="H1" s="77"/>
      <c r="I1" s="77"/>
    </row>
    <row r="2" spans="1:9" ht="19.5" customHeight="1">
      <c r="A2" s="80" t="s">
        <v>2</v>
      </c>
      <c r="B2" s="80"/>
      <c r="C2" s="5">
        <f>SUM(C4:C86)</f>
        <v>12798493.305598898</v>
      </c>
      <c r="D2" s="5">
        <f>SUM(D4:D86)</f>
        <v>10929618.500000002</v>
      </c>
      <c r="E2" s="5">
        <f>C2-D2</f>
        <v>1868874.805598896</v>
      </c>
      <c r="F2" s="6">
        <f>IFERROR(E2/D2, 0)</f>
        <v>0.17099176934665156</v>
      </c>
      <c r="G2" s="5">
        <f>SUM(G4:G86)</f>
        <v>15450717.299999999</v>
      </c>
      <c r="H2" s="7">
        <f>C2-G2</f>
        <v>-2652223.994401101</v>
      </c>
      <c r="I2" s="6">
        <f>IFERROR(H2/G2, 0)</f>
        <v>-0.17165701390453253</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SUM(Apr!C4, May!C4, Jun!C4)</f>
        <v>5967940</v>
      </c>
      <c r="D4" s="13">
        <f>SUM(Apr!D4,May!D4,Jun!D4)</f>
        <v>6302907</v>
      </c>
      <c r="E4" s="13">
        <f>IF(AND(ISNUMBER(C4),ISNUMBER(D4)), C4-D4, "")</f>
        <v>-334967</v>
      </c>
      <c r="F4" s="14">
        <f>IFERROR(E4/D4, "")</f>
        <v>-5.314484253059739E-2</v>
      </c>
      <c r="G4" s="15">
        <f>SUM(Apr!G4,May!G4,Jun!G4)</f>
        <v>7143808</v>
      </c>
      <c r="H4" s="15">
        <f>SUM(Apr!H4,May!H4,Jun!G4)</f>
        <v>2165171</v>
      </c>
      <c r="I4" s="16">
        <f>IFERROR(H4/G4, "")</f>
        <v>0.30308359351203168</v>
      </c>
    </row>
    <row r="5" spans="1:9" ht="15.6">
      <c r="A5" s="17" t="str">
        <v>Warsaw - Hemings</v>
      </c>
      <c r="B5" s="10" t="str">
        <v>VA</v>
      </c>
      <c r="C5" s="11">
        <f>SUM(Apr!C5, May!C5, Jun!C5)</f>
        <v>3089302.7</v>
      </c>
      <c r="D5" s="18">
        <f>SUM(Apr!D5,May!D5,Jun!D5)</f>
        <v>2273458.7999999998</v>
      </c>
      <c r="E5" s="18">
        <f t="shared" ref="E5:E6" si="0">IF(AND(ISNUMBER(C5),ISNUMBER(D5)), C5-D5, "")</f>
        <v>815843.90000000037</v>
      </c>
      <c r="F5" s="19">
        <f>IFERROR(E5/D5, "")</f>
        <v>0.35885581036260716</v>
      </c>
      <c r="G5" s="20">
        <f>SUM(Apr!G5,May!G5,Jun!G5)</f>
        <v>3418110</v>
      </c>
      <c r="H5" s="20">
        <f>SUM(Apr!H5,May!H5,Jun!G5)</f>
        <v>952543.7</v>
      </c>
      <c r="I5" s="19">
        <f>IFERROR(H5/G5, "")</f>
        <v>0.27867555461936566</v>
      </c>
    </row>
    <row r="6" spans="1:9" ht="15.6">
      <c r="A6" s="12" t="str">
        <v>Mount Jackson - Randolf</v>
      </c>
      <c r="B6" s="9" t="str">
        <v>VA</v>
      </c>
      <c r="C6" s="24">
        <f>SUM(Apr!C6, May!C6, Jun!C6)</f>
        <v>1591041.6055988981</v>
      </c>
      <c r="D6" s="13">
        <f>SUM(Apr!D6,May!D6,Jun!D6)</f>
        <v>1704180.4</v>
      </c>
      <c r="E6" s="13">
        <f t="shared" si="0"/>
        <v>-113138.79440110177</v>
      </c>
      <c r="F6" s="14">
        <f t="shared" ref="F6:F8" si="1">IFERROR(E6/D6, "")</f>
        <v>-6.6388977599496968E-2</v>
      </c>
      <c r="G6" s="15">
        <f>SUM(Apr!G6,May!G6,Jun!G6)</f>
        <v>2280381.1</v>
      </c>
      <c r="H6" s="15">
        <f>SUM(Apr!H6,May!H6,Jun!G6)</f>
        <v>440326.705598898</v>
      </c>
      <c r="I6" s="16">
        <f t="shared" ref="I6:I8" si="2">IFERROR(H6/G6, "")</f>
        <v>0.19309347266511637</v>
      </c>
    </row>
    <row r="7" spans="1:9" ht="15.6">
      <c r="A7" s="17" t="str">
        <v>Callands Gretna - Monroe</v>
      </c>
      <c r="B7" s="10" t="str">
        <v>VA</v>
      </c>
      <c r="C7" s="11">
        <f>SUM(Apr!C7, May!C7, Jun!C7)</f>
        <v>1442040</v>
      </c>
      <c r="D7" s="18">
        <f>SUM(Apr!D7,May!D7,Jun!D7)</f>
        <v>649072.30000000005</v>
      </c>
      <c r="E7" s="18">
        <f t="shared" ref="E7:E8" si="3">IF(AND(ISNUMBER(C7),ISNUMBER(D7)), C7-D7, "")</f>
        <v>792967.7</v>
      </c>
      <c r="F7" s="19">
        <f t="shared" si="1"/>
        <v>1.2216939468838832</v>
      </c>
      <c r="G7" s="20">
        <f>SUM(Apr!G7,May!G7,Jun!G7)</f>
        <v>1515983.2</v>
      </c>
      <c r="H7" s="20">
        <f>SUM(Apr!H7,May!H7,Jun!G7)</f>
        <v>449846.40000000008</v>
      </c>
      <c r="I7" s="19">
        <f t="shared" si="2"/>
        <v>0.29673574219028293</v>
      </c>
    </row>
    <row r="8" spans="1:9" ht="15.6">
      <c r="A8" s="12" t="str">
        <v>Rockbridge Baths - Small Mouth Bass</v>
      </c>
      <c r="B8" s="9" t="str">
        <v>VA</v>
      </c>
      <c r="C8" s="24">
        <f>SUM(Apr!C8, May!C8, Jun!C8)</f>
        <v>708169</v>
      </c>
      <c r="D8" s="13">
        <f>SUM(Apr!D8,May!D8,Jun!D8)</f>
        <v>0</v>
      </c>
      <c r="E8" s="13">
        <f t="shared" si="3"/>
        <v>708169</v>
      </c>
      <c r="F8" s="14" t="str">
        <f t="shared" si="1"/>
        <v/>
      </c>
      <c r="G8" s="15">
        <f>SUM(Apr!G8,May!G8,Jun!G8)</f>
        <v>1092435</v>
      </c>
      <c r="H8" s="15">
        <f>SUM(Apr!H8,May!H8,Jun!G8)</f>
        <v>224275.5</v>
      </c>
      <c r="I8" s="16">
        <f t="shared" si="2"/>
        <v>0.20529871342459735</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sortState xmlns:xlrd2="http://schemas.microsoft.com/office/spreadsheetml/2017/richdata2" ref="A3:I4">
    <sortCondition ref="A3:A4"/>
  </sortState>
  <mergeCells count="4">
    <mergeCell ref="G1:I1"/>
    <mergeCell ref="A1:C1"/>
    <mergeCell ref="D1:F1"/>
    <mergeCell ref="A2:B2"/>
  </mergeCells>
  <conditionalFormatting sqref="F2 I2 F4:F86 I4:I86">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8"/>
  <sheetViews>
    <sheetView workbookViewId="0">
      <pane xSplit="2" ySplit="3" topLeftCell="C4" activePane="bottomRight" state="frozen"/>
      <selection pane="bottomRight" activeCell="D20" sqref="D20"/>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8" t="str" cm="1">
        <f t="array" ref="A1">portfolio</f>
        <v>True Green Capital Management LLC</v>
      </c>
      <c r="B1" s="78"/>
      <c r="C1" s="78"/>
      <c r="D1" s="79" t="s">
        <v>14</v>
      </c>
      <c r="E1" s="79"/>
      <c r="F1" s="79"/>
      <c r="G1" s="77" t="s">
        <v>15</v>
      </c>
      <c r="H1" s="77"/>
      <c r="I1" s="77"/>
    </row>
    <row r="2" spans="1:9" ht="19.5" customHeight="1">
      <c r="A2" s="80" t="s">
        <v>2</v>
      </c>
      <c r="B2" s="80"/>
      <c r="C2" s="5">
        <f>SUM(C4:C86)</f>
        <v>13413442.6</v>
      </c>
      <c r="D2" s="5">
        <f>SUM(D4:D86)</f>
        <v>10001469.951999998</v>
      </c>
      <c r="E2" s="5">
        <f>C2-D2</f>
        <v>3411972.6480000019</v>
      </c>
      <c r="F2" s="6">
        <f>IFERROR(E2/D2, 0)</f>
        <v>0.34114711781118817</v>
      </c>
      <c r="G2" s="5">
        <f>SUM(G4:G86)</f>
        <v>15281198.970000001</v>
      </c>
      <c r="H2" s="7">
        <f>C2-G2</f>
        <v>-1867756.370000001</v>
      </c>
      <c r="I2" s="6">
        <f>IFERROR(H2/G2, 0)</f>
        <v>-0.12222577388507107</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SUM(Jul!C4, Aug!C4, Sep!C4)</f>
        <v>6128755</v>
      </c>
      <c r="D4" s="13">
        <f>SUM(Jul!D4, Aug!D4, Sep!D4)</f>
        <v>6210126.7699999996</v>
      </c>
      <c r="E4" s="13">
        <f>IF(AND(ISNUMBER(C4),ISNUMBER(D4)), C4-D4, "")</f>
        <v>-81371.769999999553</v>
      </c>
      <c r="F4" s="14">
        <f>IFERROR(E4/D4, "")</f>
        <v>-1.3103077121242012E-2</v>
      </c>
      <c r="G4" s="15">
        <f>SUM(Jul!G4,Aug!G4,Sep!G4)</f>
        <v>7003669.0700000003</v>
      </c>
      <c r="H4" s="15">
        <f>SUM(Jul!H4, Aug!H4, Sep!H4)</f>
        <v>-874914.0700000003</v>
      </c>
      <c r="I4" s="16">
        <f>IFERROR(H4/G4, "")</f>
        <v>-0.12492224593358753</v>
      </c>
    </row>
    <row r="5" spans="1:9" ht="15.6">
      <c r="A5" s="17" t="str">
        <v>Warsaw - Hemings</v>
      </c>
      <c r="B5" s="10" t="str">
        <v>VA</v>
      </c>
      <c r="C5" s="11">
        <f>SUM(Jul!C5, Aug!C5, Sep!C5)</f>
        <v>2771456.2</v>
      </c>
      <c r="D5" s="18">
        <f>SUM(Jul!D5, Aug!D5, Sep!D5)</f>
        <v>502250.43</v>
      </c>
      <c r="E5" s="18">
        <f t="shared" ref="E5:E6" si="0">IF(AND(ISNUMBER(C5),ISNUMBER(D5)), C5-D5, "")</f>
        <v>2269205.77</v>
      </c>
      <c r="F5" s="19">
        <f>IFERROR(E5/D5, "")</f>
        <v>4.5180763110546271</v>
      </c>
      <c r="G5" s="52">
        <f>SUM(Jul!G5,Aug!G5,Sep!G5)</f>
        <v>3132778.6399999997</v>
      </c>
      <c r="H5" s="20">
        <f>SUM(Jul!H5, Aug!H5, Sep!H5)</f>
        <v>-361322.43999999994</v>
      </c>
      <c r="I5" s="19">
        <f>IFERROR(H5/G5, "")</f>
        <v>-0.11533609026394535</v>
      </c>
    </row>
    <row r="6" spans="1:9" ht="15.6">
      <c r="A6" s="12" t="str">
        <v>Mount Jackson - Randolf</v>
      </c>
      <c r="B6" s="9" t="str">
        <v>VA</v>
      </c>
      <c r="C6" s="24">
        <f>SUM(Jul!C6, Aug!C6, Sep!C6)</f>
        <v>1949285.5</v>
      </c>
      <c r="D6" s="13">
        <f>SUM(Jul!D6, Aug!D6, Sep!D6)</f>
        <v>1956086.3359999999</v>
      </c>
      <c r="E6" s="13">
        <f t="shared" si="0"/>
        <v>-6800.8359999998938</v>
      </c>
      <c r="F6" s="14">
        <f t="shared" ref="F6:F8" si="1">IFERROR(E6/D6, "")</f>
        <v>-3.4767565596858676E-3</v>
      </c>
      <c r="G6" s="15">
        <f>SUM(Jul!G6,Aug!G6,Sep!G6)</f>
        <v>2220095.2599999998</v>
      </c>
      <c r="H6" s="15">
        <f>SUM(Jul!H6, Aug!H6, Sep!H6)</f>
        <v>-270809.76</v>
      </c>
      <c r="I6" s="16">
        <f t="shared" ref="I6:I8" si="2">IFERROR(H6/G6, "")</f>
        <v>-0.12198114417847099</v>
      </c>
    </row>
    <row r="7" spans="1:9" ht="15.6">
      <c r="A7" s="17" t="str">
        <v>Callands Gretna - Monroe</v>
      </c>
      <c r="B7" s="10" t="str">
        <v>VA</v>
      </c>
      <c r="C7" s="11">
        <f>SUM(Jul!C7, Aug!C7, Sep!C7)</f>
        <v>1389163</v>
      </c>
      <c r="D7" s="18">
        <f>SUM(Jul!D7, Aug!D7, Sep!D7)</f>
        <v>1333006.416</v>
      </c>
      <c r="E7" s="18">
        <f t="shared" ref="E7:E8" si="3">IF(AND(ISNUMBER(C7),ISNUMBER(D7)), C7-D7, "")</f>
        <v>56156.584000000032</v>
      </c>
      <c r="F7" s="19">
        <f t="shared" si="1"/>
        <v>4.2127767222989894E-2</v>
      </c>
      <c r="G7" s="52">
        <f>SUM(Jul!G7,Aug!G7,Sep!G7)</f>
        <v>1394645.4</v>
      </c>
      <c r="H7" s="20">
        <f>SUM(Jul!H7, Aug!H7, Sep!H7)</f>
        <v>-5482.4000000000233</v>
      </c>
      <c r="I7" s="19">
        <f t="shared" si="2"/>
        <v>-3.9310350860512809E-3</v>
      </c>
    </row>
    <row r="8" spans="1:9" ht="15.6">
      <c r="A8" s="12" t="str">
        <v>Rockbridge Baths - Small Mouth Bass</v>
      </c>
      <c r="B8" s="9" t="str">
        <v>VA</v>
      </c>
      <c r="C8" s="24">
        <f>SUM(Jul!C8, Aug!C8, Sep!C8)</f>
        <v>1174782.8999999999</v>
      </c>
      <c r="D8" s="13">
        <f>SUM(Jul!D8, Aug!D8, Sep!D8)</f>
        <v>0</v>
      </c>
      <c r="E8" s="13">
        <f t="shared" si="3"/>
        <v>1174782.8999999999</v>
      </c>
      <c r="F8" s="14" t="str">
        <f t="shared" si="1"/>
        <v/>
      </c>
      <c r="G8" s="15">
        <f>SUM(Jul!G8,Aug!G8,Sep!G8)</f>
        <v>1530010.6</v>
      </c>
      <c r="H8" s="15">
        <f>SUM(Jul!H8, Aug!H8, Sep!H8)</f>
        <v>-355227.7</v>
      </c>
      <c r="I8" s="16">
        <f t="shared" si="2"/>
        <v>-0.2321733587989521</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mergeCells count="4">
    <mergeCell ref="G1:I1"/>
    <mergeCell ref="A1:C1"/>
    <mergeCell ref="D1:F1"/>
    <mergeCell ref="A2:B2"/>
  </mergeCells>
  <conditionalFormatting sqref="F2 I2 F4:F86 I4:I86">
    <cfRule type="cellIs" dxfId="48" priority="5" stopIfTrue="1" operator="lessThanOrEqual">
      <formula>-0.1</formula>
    </cfRule>
    <cfRule type="expression" dxfId="47" priority="6">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8"/>
  <sheetViews>
    <sheetView workbookViewId="0">
      <pane xSplit="2" ySplit="3" topLeftCell="C4" activePane="bottomRight" state="frozen"/>
      <selection pane="bottomRight" activeCell="H13" sqref="H13"/>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8" t="str" cm="1">
        <f t="array" ref="A1">portfolio</f>
        <v>True Green Capital Management LLC</v>
      </c>
      <c r="B1" s="78"/>
      <c r="C1" s="78"/>
      <c r="D1" s="79" t="s">
        <v>16</v>
      </c>
      <c r="E1" s="79"/>
      <c r="F1" s="79"/>
      <c r="G1" s="77" t="s">
        <v>17</v>
      </c>
      <c r="H1" s="77"/>
      <c r="I1" s="77"/>
    </row>
    <row r="2" spans="1:9" ht="19.5" customHeight="1">
      <c r="A2" s="80" t="s">
        <v>2</v>
      </c>
      <c r="B2" s="80"/>
      <c r="C2" s="5">
        <f>SUM(C4:C86)</f>
        <v>7655766.1150000002</v>
      </c>
      <c r="D2" s="5">
        <f>SUM(D4:D86)</f>
        <v>6915402.1021000007</v>
      </c>
      <c r="E2" s="5">
        <f>C2-D2</f>
        <v>740364.01289999951</v>
      </c>
      <c r="F2" s="6">
        <f>IFERROR(E2/D2, 0)</f>
        <v>0.10706015383764497</v>
      </c>
      <c r="G2" s="5">
        <f>SUM(G4:G86)</f>
        <v>7570068.2000000002</v>
      </c>
      <c r="H2" s="7">
        <f>C2-G2</f>
        <v>85697.915000000037</v>
      </c>
      <c r="I2" s="6">
        <f>IFERROR(H2/G2, 0)</f>
        <v>1.1320626543364567E-2</v>
      </c>
    </row>
    <row r="3" spans="1:9" ht="14.25" customHeight="1">
      <c r="A3" s="8" t="s">
        <v>3</v>
      </c>
      <c r="B3" s="8" t="s">
        <v>4</v>
      </c>
      <c r="C3" s="23" t="s">
        <v>5</v>
      </c>
      <c r="D3" s="34" t="s">
        <v>6</v>
      </c>
      <c r="E3" s="34" t="s">
        <v>7</v>
      </c>
      <c r="F3" s="35" t="s">
        <v>8</v>
      </c>
      <c r="G3" s="36" t="s">
        <v>9</v>
      </c>
      <c r="H3" s="37" t="s">
        <v>7</v>
      </c>
      <c r="I3" s="38" t="s">
        <v>8</v>
      </c>
    </row>
    <row r="4" spans="1:9" ht="15.6">
      <c r="A4" s="12" t="str" cm="1">
        <f t="array" ref="A4:A8">Sites[Site]</f>
        <v>Rochester - 5516 Valleyhigh NW</v>
      </c>
      <c r="B4" s="9" t="str" cm="1">
        <f t="array" ref="B4:B8">Sites[State]</f>
        <v>MN</v>
      </c>
      <c r="C4" s="24">
        <f>SUM(Oct!C4, Nov!C4, Dec!C4)</f>
        <v>2735751.0150000001</v>
      </c>
      <c r="D4" s="13">
        <f>SUM(Oct!D4, Nov!D4, Dec!D4)</f>
        <v>2728813.5</v>
      </c>
      <c r="E4" s="13">
        <f>IF(AND(ISNUMBER(C4),ISNUMBER(D4)), C4-D4, "")</f>
        <v>6937.5150000001304</v>
      </c>
      <c r="F4" s="14">
        <f>IFERROR(E4/D4, "")</f>
        <v>2.5423192167585403E-3</v>
      </c>
      <c r="G4" s="15">
        <f>SUM(Oct!G4,Nov!G4,Dec!G4)</f>
        <v>2828988.8</v>
      </c>
      <c r="H4" s="15">
        <f>SUM(Oct!H4, Nov!H4, Dec!H4)</f>
        <v>-93237.785000000033</v>
      </c>
      <c r="I4" s="16">
        <f>IFERROR(H4/G4, "")</f>
        <v>-3.295799014828197E-2</v>
      </c>
    </row>
    <row r="5" spans="1:9" ht="15.6">
      <c r="A5" s="17" t="str">
        <v>Warsaw - Hemings</v>
      </c>
      <c r="B5" s="10" t="str">
        <v>VA</v>
      </c>
      <c r="C5" s="11">
        <f>SUM(Oct!C5, Nov!C5, Dec!C5)</f>
        <v>1961512.1</v>
      </c>
      <c r="D5" s="18">
        <f>SUM(Oct!D5, Nov!D5, Dec!D5)</f>
        <v>1959718.2000000002</v>
      </c>
      <c r="E5" s="18">
        <f t="shared" ref="E5:E6" si="0">IF(AND(ISNUMBER(C5),ISNUMBER(D5)), C5-D5, "")</f>
        <v>1793.8999999999069</v>
      </c>
      <c r="F5" s="19">
        <f>IFERROR(E5/D5, "")</f>
        <v>9.1538671223235395E-4</v>
      </c>
      <c r="G5" s="20">
        <f>SUM(Oct!G5,Nov!G5,Dec!G5)</f>
        <v>1750960</v>
      </c>
      <c r="H5" s="20">
        <f>SUM(Oct!H5, Nov!H5, Dec!H5)</f>
        <v>210552.09999999998</v>
      </c>
      <c r="I5" s="19">
        <f>IFERROR(H5/G5, "")</f>
        <v>0.1202495202631699</v>
      </c>
    </row>
    <row r="6" spans="1:9" ht="15.6">
      <c r="A6" s="12" t="str">
        <v>Mount Jackson - Randolf</v>
      </c>
      <c r="B6" s="9" t="str">
        <v>VA</v>
      </c>
      <c r="C6" s="24">
        <f>SUM(Oct!C6, Nov!C6, Dec!C6)</f>
        <v>1300524.8</v>
      </c>
      <c r="D6" s="13">
        <f>SUM(Oct!D6, Nov!D6, Dec!D6)</f>
        <v>1246658.7000000002</v>
      </c>
      <c r="E6" s="13">
        <f t="shared" si="0"/>
        <v>53866.09999999986</v>
      </c>
      <c r="F6" s="14">
        <f t="shared" ref="F6:F8" si="1">IFERROR(E6/D6, "")</f>
        <v>4.3208377721985859E-2</v>
      </c>
      <c r="G6" s="15">
        <f>SUM(Oct!G6,Nov!G6,Dec!G6)</f>
        <v>1235241</v>
      </c>
      <c r="H6" s="15">
        <f>SUM(Oct!H6, Nov!H6, Dec!H6)</f>
        <v>65283.800000000047</v>
      </c>
      <c r="I6" s="16">
        <f t="shared" ref="I6:I8" si="2">IFERROR(H6/G6, "")</f>
        <v>5.2851063071902606E-2</v>
      </c>
    </row>
    <row r="7" spans="1:9" ht="15.6">
      <c r="A7" s="17" t="str">
        <v>Callands Gretna - Monroe</v>
      </c>
      <c r="B7" s="10" t="str">
        <v>VA</v>
      </c>
      <c r="C7" s="11">
        <f>SUM(Oct!C7, Nov!C7, Dec!C7)</f>
        <v>837887</v>
      </c>
      <c r="D7" s="18">
        <f>SUM(Oct!D7, Nov!D7, Dec!D7)</f>
        <v>829223.2</v>
      </c>
      <c r="E7" s="18">
        <f t="shared" ref="E7:E8" si="3">IF(AND(ISNUMBER(C7),ISNUMBER(D7)), C7-D7, "")</f>
        <v>8663.8000000000466</v>
      </c>
      <c r="F7" s="19">
        <f t="shared" si="1"/>
        <v>1.0448091659760662E-2</v>
      </c>
      <c r="G7" s="20">
        <f>SUM(Oct!G7,Nov!G7,Dec!G7)</f>
        <v>866398.4</v>
      </c>
      <c r="H7" s="20">
        <f>SUM(Oct!H7, Nov!H7, Dec!H7)</f>
        <v>-28511.399999999994</v>
      </c>
      <c r="I7" s="19">
        <f t="shared" si="2"/>
        <v>-3.290795550868976E-2</v>
      </c>
    </row>
    <row r="8" spans="1:9" ht="15.6">
      <c r="A8" s="12" t="str">
        <v>Rockbridge Baths - Small Mouth Bass</v>
      </c>
      <c r="B8" s="9" t="str">
        <v>VA</v>
      </c>
      <c r="C8" s="24">
        <f>SUM(Oct!C8, Nov!C8, Dec!C8)</f>
        <v>820091.2</v>
      </c>
      <c r="D8" s="13">
        <f>SUM(Oct!D8, Nov!D8, Dec!D8)</f>
        <v>150988.50210000001</v>
      </c>
      <c r="E8" s="13">
        <f t="shared" si="3"/>
        <v>669102.69789999991</v>
      </c>
      <c r="F8" s="14">
        <f t="shared" si="1"/>
        <v>4.4314811299793657</v>
      </c>
      <c r="G8" s="15">
        <f>SUM(Oct!G8,Nov!G8,Dec!G8)</f>
        <v>888480</v>
      </c>
      <c r="H8" s="15">
        <f>SUM(Oct!H8, Nov!H8, Dec!H8)</f>
        <v>-68388.799999999988</v>
      </c>
      <c r="I8" s="16">
        <f t="shared" si="2"/>
        <v>-7.6972807491446055E-2</v>
      </c>
    </row>
    <row r="9" spans="1:9" ht="13.9">
      <c r="A9" s="21"/>
      <c r="B9" s="21"/>
      <c r="C9" s="21"/>
      <c r="D9" s="21"/>
      <c r="E9" s="21"/>
      <c r="F9" s="21"/>
      <c r="G9" s="21"/>
      <c r="H9" s="21"/>
      <c r="I9" s="21"/>
    </row>
    <row r="10" spans="1:9" ht="13.9">
      <c r="A10" s="21"/>
      <c r="B10" s="21"/>
      <c r="C10" s="21"/>
      <c r="D10" s="21"/>
      <c r="E10" s="21"/>
      <c r="F10" s="21"/>
      <c r="G10" s="21"/>
      <c r="H10" s="21"/>
      <c r="I10" s="21"/>
    </row>
    <row r="11" spans="1:9" ht="13.9">
      <c r="A11" s="21"/>
      <c r="B11" s="21"/>
      <c r="C11" s="21"/>
      <c r="D11" s="21"/>
      <c r="E11" s="21"/>
      <c r="F11" s="21"/>
      <c r="G11" s="21"/>
      <c r="H11" s="21"/>
      <c r="I11" s="21"/>
    </row>
    <row r="12" spans="1:9" ht="13.9">
      <c r="A12" s="21"/>
      <c r="B12" s="21"/>
      <c r="C12" s="21"/>
      <c r="D12" s="21"/>
      <c r="E12" s="21"/>
      <c r="F12" s="21"/>
      <c r="G12" s="21"/>
      <c r="H12" s="21"/>
      <c r="I12" s="21"/>
    </row>
    <row r="13" spans="1:9" ht="13.9">
      <c r="A13" s="21"/>
      <c r="B13" s="21"/>
      <c r="C13" s="21"/>
      <c r="D13" s="21"/>
      <c r="E13" s="21"/>
      <c r="F13" s="21"/>
      <c r="G13" s="21"/>
      <c r="H13" s="21"/>
      <c r="I13" s="21"/>
    </row>
    <row r="14" spans="1:9" ht="13.9">
      <c r="A14" s="21"/>
      <c r="B14" s="21"/>
      <c r="C14" s="21"/>
      <c r="D14" s="21"/>
      <c r="E14" s="21"/>
      <c r="F14" s="21"/>
      <c r="G14" s="21"/>
      <c r="H14" s="21"/>
      <c r="I14" s="21"/>
    </row>
    <row r="15" spans="1:9" ht="13.9">
      <c r="A15" s="21"/>
      <c r="B15" s="21"/>
      <c r="C15" s="21"/>
      <c r="D15" s="21"/>
      <c r="E15" s="21"/>
      <c r="F15" s="21"/>
      <c r="G15" s="21"/>
      <c r="H15" s="21"/>
      <c r="I15" s="21"/>
    </row>
    <row r="16" spans="1:9" ht="13.9">
      <c r="A16" s="21"/>
      <c r="B16" s="21"/>
      <c r="C16" s="21"/>
      <c r="D16" s="21"/>
      <c r="E16" s="21"/>
      <c r="F16" s="21"/>
      <c r="G16" s="21"/>
      <c r="H16" s="21"/>
      <c r="I16" s="21"/>
    </row>
    <row r="17" spans="1:9" ht="13.9">
      <c r="A17" s="21"/>
      <c r="B17" s="21"/>
      <c r="C17" s="21"/>
      <c r="D17" s="21"/>
      <c r="E17" s="21"/>
      <c r="F17" s="21"/>
      <c r="G17" s="21"/>
      <c r="H17" s="21"/>
      <c r="I17" s="21"/>
    </row>
    <row r="18" spans="1:9" ht="13.9">
      <c r="A18" s="21"/>
      <c r="B18" s="21"/>
      <c r="C18" s="21"/>
      <c r="D18" s="21"/>
      <c r="E18" s="21"/>
      <c r="F18" s="21"/>
      <c r="G18" s="21"/>
      <c r="H18" s="21"/>
      <c r="I18" s="21"/>
    </row>
    <row r="19" spans="1:9" ht="13.9">
      <c r="A19" s="21"/>
      <c r="B19" s="21"/>
      <c r="C19" s="21"/>
      <c r="D19" s="21"/>
      <c r="E19" s="21"/>
      <c r="F19" s="22"/>
      <c r="G19" s="21"/>
      <c r="H19" s="21"/>
      <c r="I19" s="22"/>
    </row>
    <row r="20" spans="1:9" ht="13.9">
      <c r="A20" s="21"/>
      <c r="B20" s="21"/>
      <c r="C20" s="21"/>
      <c r="D20" s="21"/>
      <c r="E20" s="21"/>
      <c r="F20" s="22"/>
      <c r="G20" s="21"/>
      <c r="H20" s="21"/>
      <c r="I20" s="22"/>
    </row>
    <row r="21" spans="1:9" ht="13.9">
      <c r="A21" s="21"/>
      <c r="B21" s="21"/>
      <c r="C21" s="21"/>
      <c r="D21" s="21"/>
      <c r="E21" s="21"/>
      <c r="F21" s="22"/>
      <c r="G21" s="21"/>
      <c r="H21" s="21"/>
      <c r="I21" s="22"/>
    </row>
    <row r="22" spans="1:9" ht="13.9">
      <c r="A22" s="21"/>
      <c r="B22" s="21"/>
      <c r="C22" s="21"/>
      <c r="D22" s="21"/>
      <c r="E22" s="21"/>
      <c r="F22" s="22"/>
      <c r="G22" s="21"/>
      <c r="H22" s="21"/>
      <c r="I22" s="22"/>
    </row>
    <row r="23" spans="1:9" ht="13.9">
      <c r="A23" s="21"/>
      <c r="B23" s="21"/>
      <c r="C23" s="21"/>
      <c r="D23" s="21"/>
      <c r="E23" s="21"/>
      <c r="F23" s="22"/>
      <c r="G23" s="21"/>
      <c r="H23" s="21"/>
      <c r="I23" s="22"/>
    </row>
    <row r="24" spans="1:9" ht="13.9">
      <c r="A24" s="21"/>
      <c r="B24" s="21"/>
      <c r="C24" s="21"/>
      <c r="D24" s="21"/>
      <c r="E24" s="21"/>
      <c r="F24" s="22"/>
      <c r="G24" s="21"/>
      <c r="H24" s="21"/>
      <c r="I24" s="22"/>
    </row>
    <row r="25" spans="1:9" ht="13.9">
      <c r="A25" s="21"/>
      <c r="B25" s="21"/>
      <c r="C25" s="21"/>
      <c r="D25" s="21"/>
      <c r="E25" s="21"/>
      <c r="F25" s="22"/>
      <c r="G25" s="21"/>
      <c r="H25" s="21"/>
      <c r="I25" s="22"/>
    </row>
    <row r="26" spans="1:9" ht="13.9">
      <c r="A26" s="21"/>
      <c r="B26" s="21"/>
      <c r="C26" s="21"/>
      <c r="D26" s="21"/>
      <c r="E26" s="21"/>
      <c r="F26" s="22"/>
      <c r="G26" s="21"/>
      <c r="H26" s="21"/>
      <c r="I26" s="22"/>
    </row>
    <row r="27" spans="1:9" ht="13.9">
      <c r="A27" s="21"/>
      <c r="B27" s="21"/>
      <c r="C27" s="21"/>
      <c r="D27" s="21"/>
      <c r="E27" s="21"/>
      <c r="F27" s="22"/>
      <c r="G27" s="21"/>
      <c r="H27" s="21"/>
      <c r="I27" s="22"/>
    </row>
    <row r="28" spans="1:9" ht="13.9">
      <c r="A28" s="21"/>
      <c r="B28" s="21"/>
      <c r="C28" s="21"/>
      <c r="D28" s="21"/>
      <c r="E28" s="21"/>
      <c r="F28" s="22"/>
      <c r="G28" s="21"/>
      <c r="H28" s="21"/>
      <c r="I28" s="22"/>
    </row>
    <row r="29" spans="1:9" ht="13.9">
      <c r="A29" s="21"/>
      <c r="B29" s="21"/>
      <c r="C29" s="21"/>
      <c r="D29" s="21"/>
      <c r="E29" s="21"/>
      <c r="F29" s="22"/>
      <c r="G29" s="21"/>
      <c r="H29" s="21"/>
      <c r="I29" s="22"/>
    </row>
    <row r="30" spans="1:9" ht="13.9">
      <c r="A30" s="21"/>
      <c r="B30" s="21"/>
      <c r="C30" s="21"/>
      <c r="D30" s="21"/>
      <c r="E30" s="21"/>
      <c r="F30" s="22"/>
      <c r="G30" s="21"/>
      <c r="H30" s="21"/>
      <c r="I30" s="22"/>
    </row>
    <row r="31" spans="1:9" ht="13.9">
      <c r="A31" s="21"/>
      <c r="B31" s="21"/>
      <c r="C31" s="21"/>
      <c r="D31" s="21"/>
      <c r="E31" s="21"/>
      <c r="F31" s="22"/>
      <c r="G31" s="21"/>
      <c r="H31" s="21"/>
      <c r="I31" s="22"/>
    </row>
    <row r="32" spans="1:9" ht="13.9">
      <c r="A32" s="21"/>
      <c r="B32" s="21"/>
      <c r="C32" s="21"/>
      <c r="D32" s="21"/>
      <c r="E32" s="21"/>
      <c r="F32" s="22"/>
      <c r="G32" s="21"/>
      <c r="H32" s="21"/>
      <c r="I32" s="22"/>
    </row>
    <row r="33" spans="1:9" ht="13.9">
      <c r="A33" s="21"/>
      <c r="B33" s="21"/>
      <c r="C33" s="21"/>
      <c r="D33" s="21"/>
      <c r="E33" s="21"/>
      <c r="F33" s="22"/>
      <c r="G33" s="21"/>
      <c r="H33" s="21"/>
      <c r="I33" s="22"/>
    </row>
    <row r="34" spans="1:9" ht="13.9">
      <c r="A34" s="21"/>
      <c r="B34" s="21"/>
      <c r="C34" s="21"/>
      <c r="D34" s="21"/>
      <c r="E34" s="21"/>
      <c r="F34" s="22"/>
      <c r="G34" s="21"/>
      <c r="H34" s="21"/>
      <c r="I34" s="22"/>
    </row>
    <row r="35" spans="1:9" ht="13.9">
      <c r="A35" s="21"/>
      <c r="B35" s="21"/>
      <c r="C35" s="21"/>
      <c r="D35" s="21"/>
      <c r="E35" s="21"/>
      <c r="F35" s="22"/>
      <c r="G35" s="21"/>
      <c r="H35" s="21"/>
      <c r="I35" s="22"/>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sheetData>
  <mergeCells count="4">
    <mergeCell ref="G1:I1"/>
    <mergeCell ref="A1:C1"/>
    <mergeCell ref="D1:F1"/>
    <mergeCell ref="A2:B2"/>
  </mergeCells>
  <conditionalFormatting sqref="F2 I2 F4:F86 I4:I86">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19"/>
  <sheetViews>
    <sheetView zoomScale="70" zoomScaleNormal="70" workbookViewId="0">
      <pane xSplit="2" ySplit="3" topLeftCell="C4" activePane="bottomRight" state="frozen"/>
      <selection pane="bottomRight" activeCell="H13" sqref="H13"/>
      <selection pane="bottomLeft" activeCell="A4" sqref="A4"/>
      <selection pane="topRight" activeCell="A4" sqref="A4"/>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36.5703125" customWidth="1"/>
  </cols>
  <sheetData>
    <row r="1" spans="1:13" ht="19.5" customHeight="1">
      <c r="A1" s="78" t="str" cm="1">
        <f t="array" ref="A1">portfolio</f>
        <v>True Green Capital Management LLC</v>
      </c>
      <c r="B1" s="78"/>
      <c r="C1" s="78"/>
      <c r="D1" s="79" t="s">
        <v>18</v>
      </c>
      <c r="E1" s="79"/>
      <c r="F1" s="79"/>
      <c r="G1" s="77" t="s">
        <v>19</v>
      </c>
      <c r="H1" s="77"/>
      <c r="I1" s="77"/>
      <c r="J1" s="4"/>
      <c r="K1" s="4"/>
    </row>
    <row r="2" spans="1:13" ht="19.5" customHeight="1">
      <c r="A2" s="80" t="s">
        <v>2</v>
      </c>
      <c r="B2" s="80"/>
      <c r="C2" s="5">
        <f>SUM(C4:C77)</f>
        <v>1608150.403231174</v>
      </c>
      <c r="D2" s="5">
        <f>SUM(D4:D77)</f>
        <v>1762398</v>
      </c>
      <c r="E2" s="5">
        <f>C2-D2</f>
        <v>-154247.59676882601</v>
      </c>
      <c r="F2" s="6">
        <f>IFERROR(E2/D2, 0)</f>
        <v>-8.7521432031145069E-2</v>
      </c>
      <c r="G2" s="5">
        <f>SUM(G4:G77)</f>
        <v>2081938.1</v>
      </c>
      <c r="H2" s="7">
        <f>C2-G2</f>
        <v>-473787.69676882611</v>
      </c>
      <c r="I2" s="6">
        <f>IFERROR(H2/G2, 0)</f>
        <v>-0.227570501144499</v>
      </c>
      <c r="J2" s="26" t="str">
        <f ca="1">IF(AND(TODAY()&gt;DATE(2024, 1, 1), COUNTA(Sites[Site])&lt;&gt;(COUNT(C:C)-1)), "Some sites are missing actual data; if new sites were added, make sure they are aligned correctly (including prior months!)", "")</f>
        <v/>
      </c>
      <c r="K2" s="4"/>
    </row>
    <row r="3" spans="1:13" ht="14.25" customHeight="1">
      <c r="A3" s="27" t="s">
        <v>3</v>
      </c>
      <c r="B3" s="8" t="s">
        <v>4</v>
      </c>
      <c r="C3" s="23" t="s">
        <v>5</v>
      </c>
      <c r="D3" s="34" t="s">
        <v>6</v>
      </c>
      <c r="E3" s="34" t="s">
        <v>7</v>
      </c>
      <c r="F3" s="35" t="s">
        <v>8</v>
      </c>
      <c r="G3" s="39" t="s">
        <v>9</v>
      </c>
      <c r="H3" s="37" t="s">
        <v>7</v>
      </c>
      <c r="I3" s="38" t="s">
        <v>8</v>
      </c>
      <c r="J3" s="53" t="s">
        <v>20</v>
      </c>
      <c r="K3" s="53" t="s">
        <v>21</v>
      </c>
    </row>
    <row r="4" spans="1:13" ht="57.6">
      <c r="A4" s="31" t="str" cm="1">
        <f t="array" ref="A4:A8">Sites[Site]</f>
        <v>Rochester - 5516 Valleyhigh NW</v>
      </c>
      <c r="B4" s="28" t="str" cm="1">
        <f t="array" ref="B4:B8">Sites[State]</f>
        <v>MN</v>
      </c>
      <c r="C4" s="24">
        <v>748299</v>
      </c>
      <c r="D4" s="13">
        <v>805370.6</v>
      </c>
      <c r="E4" s="13">
        <f t="shared" ref="E4:E8" si="0">IF(AND(ISNUMBER(C4),ISNUMBER(D4)), C4-D4, "")</f>
        <v>-57071.599999999977</v>
      </c>
      <c r="F4" s="14">
        <f t="shared" ref="F4:F8" si="1">IFERROR(E4/D4, "")</f>
        <v>-7.0863773770733593E-2</v>
      </c>
      <c r="G4" s="15">
        <v>885341.6</v>
      </c>
      <c r="H4" s="15">
        <f t="shared" ref="H4:H8" si="2">IF(AND(ISNUMBER(C4),ISNUMBER(G4)), C4-G4, "")</f>
        <v>-137042.59999999998</v>
      </c>
      <c r="I4" s="16">
        <f t="shared" ref="I4:I8" si="3">IFERROR(H4/G4, "")</f>
        <v>-0.15479064803912973</v>
      </c>
      <c r="J4" s="63" t="s">
        <v>22</v>
      </c>
      <c r="K4" s="61" t="s">
        <v>23</v>
      </c>
      <c r="L4" s="57"/>
      <c r="M4" s="57"/>
    </row>
    <row r="5" spans="1:13" ht="15.6">
      <c r="A5" s="29" t="str">
        <v>Warsaw - Hemings</v>
      </c>
      <c r="B5" s="30" t="str">
        <v>VA</v>
      </c>
      <c r="C5" s="11">
        <v>479142.19999999902</v>
      </c>
      <c r="D5" s="18">
        <v>554593.9</v>
      </c>
      <c r="E5" s="18">
        <f t="shared" si="0"/>
        <v>-75451.700000001001</v>
      </c>
      <c r="F5" s="19">
        <f t="shared" si="1"/>
        <v>-0.13604855733177196</v>
      </c>
      <c r="G5" s="20">
        <v>548915</v>
      </c>
      <c r="H5" s="20">
        <f t="shared" si="2"/>
        <v>-69772.800000000978</v>
      </c>
      <c r="I5" s="19">
        <f t="shared" si="3"/>
        <v>-0.1271103904976198</v>
      </c>
      <c r="J5" s="62" t="s">
        <v>24</v>
      </c>
      <c r="K5" s="65" t="s">
        <v>25</v>
      </c>
      <c r="L5" s="56"/>
      <c r="M5" s="56"/>
    </row>
    <row r="6" spans="1:13" ht="115.15">
      <c r="A6" s="31" t="str">
        <v>Mount Jackson - Randolf</v>
      </c>
      <c r="B6" s="28" t="str">
        <v>VA</v>
      </c>
      <c r="C6" s="24">
        <v>127473.20323117499</v>
      </c>
      <c r="D6" s="13">
        <v>147694.20000000001</v>
      </c>
      <c r="E6" s="13">
        <f t="shared" si="0"/>
        <v>-20220.996768825018</v>
      </c>
      <c r="F6" s="14">
        <f t="shared" si="1"/>
        <v>-0.13691124478026231</v>
      </c>
      <c r="G6" s="15">
        <v>364481.5</v>
      </c>
      <c r="H6" s="15">
        <f t="shared" si="2"/>
        <v>-237008.29676882501</v>
      </c>
      <c r="I6" s="16">
        <f t="shared" si="3"/>
        <v>-0.65026152704273055</v>
      </c>
      <c r="J6" s="63" t="s">
        <v>26</v>
      </c>
      <c r="K6" s="61" t="s">
        <v>27</v>
      </c>
      <c r="L6" s="57"/>
      <c r="M6" s="57"/>
    </row>
    <row r="7" spans="1:13" ht="27.75" customHeight="1">
      <c r="A7" s="29" t="str">
        <v>Callands Gretna - Monroe</v>
      </c>
      <c r="B7" s="30" t="str">
        <v>VA</v>
      </c>
      <c r="C7" s="11">
        <v>253236</v>
      </c>
      <c r="D7" s="18">
        <v>254739.3</v>
      </c>
      <c r="E7" s="18">
        <f t="shared" si="0"/>
        <v>-1503.2999999999884</v>
      </c>
      <c r="F7" s="19">
        <f t="shared" si="1"/>
        <v>-5.9013273570273153E-3</v>
      </c>
      <c r="G7" s="20">
        <v>283200</v>
      </c>
      <c r="H7" s="20">
        <f t="shared" si="2"/>
        <v>-29964</v>
      </c>
      <c r="I7" s="19">
        <f t="shared" si="3"/>
        <v>-0.10580508474576271</v>
      </c>
      <c r="J7" s="64" t="s">
        <v>28</v>
      </c>
      <c r="K7" s="65" t="s">
        <v>29</v>
      </c>
      <c r="L7" s="56"/>
      <c r="M7" s="56"/>
    </row>
    <row r="8" spans="1:13" ht="15.6">
      <c r="A8" s="31" t="str">
        <v>Rockbridge Baths - Small Mouth Bass</v>
      </c>
      <c r="B8" s="28" t="str">
        <v>VA</v>
      </c>
      <c r="C8" s="24">
        <v>0</v>
      </c>
      <c r="D8" s="13">
        <v>0</v>
      </c>
      <c r="E8" s="13">
        <f t="shared" si="0"/>
        <v>0</v>
      </c>
      <c r="F8" s="14" t="str">
        <f t="shared" si="1"/>
        <v/>
      </c>
      <c r="G8" s="15">
        <v>0</v>
      </c>
      <c r="H8" s="15">
        <f t="shared" si="2"/>
        <v>0</v>
      </c>
      <c r="I8" s="16" t="str">
        <f t="shared" si="3"/>
        <v/>
      </c>
      <c r="J8" s="63" t="s">
        <v>30</v>
      </c>
      <c r="K8" s="61" t="s">
        <v>31</v>
      </c>
      <c r="L8" s="57"/>
      <c r="M8" s="57"/>
    </row>
    <row r="9" spans="1:13" ht="14.45">
      <c r="A9" s="21"/>
      <c r="B9" s="32"/>
      <c r="C9" s="21"/>
      <c r="D9" s="21"/>
      <c r="E9" s="21"/>
      <c r="F9" s="21"/>
      <c r="G9" s="21"/>
      <c r="H9" s="21"/>
      <c r="I9" s="21"/>
      <c r="J9" s="21"/>
      <c r="K9" s="21"/>
      <c r="L9" s="57"/>
      <c r="M9" s="57"/>
    </row>
    <row r="10" spans="1:13" ht="14.45">
      <c r="A10" s="21"/>
      <c r="B10" s="32"/>
      <c r="C10" s="21"/>
      <c r="D10" s="21"/>
      <c r="E10" s="21"/>
      <c r="F10" s="22"/>
      <c r="G10" s="21"/>
      <c r="H10" s="21"/>
      <c r="I10" s="22"/>
      <c r="J10" s="21"/>
      <c r="K10" s="21"/>
    </row>
    <row r="11" spans="1:13" ht="14.45">
      <c r="A11" s="21"/>
      <c r="B11" s="32"/>
      <c r="C11" s="21"/>
      <c r="D11" s="21"/>
      <c r="E11" s="21"/>
      <c r="F11" s="22"/>
      <c r="G11" s="21"/>
      <c r="H11" s="21"/>
      <c r="I11" s="22"/>
      <c r="J11" s="21"/>
      <c r="K11" s="21"/>
    </row>
    <row r="12" spans="1:13" ht="14.45">
      <c r="A12" s="21"/>
      <c r="B12" s="32"/>
      <c r="C12" s="21"/>
      <c r="D12" s="21"/>
      <c r="E12" s="21"/>
      <c r="F12" s="22"/>
      <c r="G12" s="21"/>
      <c r="H12" s="21"/>
      <c r="I12" s="22"/>
      <c r="J12" s="21"/>
      <c r="K12" s="21"/>
    </row>
    <row r="13" spans="1:13" ht="14.45">
      <c r="A13" s="21"/>
      <c r="B13" s="32"/>
      <c r="C13" s="21"/>
      <c r="D13" s="21"/>
      <c r="E13" s="21"/>
      <c r="F13" s="22"/>
      <c r="G13" s="21"/>
      <c r="H13" s="21"/>
      <c r="I13" s="22"/>
      <c r="J13" s="21"/>
      <c r="K13" s="21"/>
    </row>
    <row r="14" spans="1:13" ht="14.45">
      <c r="A14" s="21"/>
      <c r="B14" s="32"/>
      <c r="C14" s="21"/>
      <c r="D14" s="21"/>
      <c r="E14" s="21"/>
      <c r="F14" s="22"/>
      <c r="G14" s="21"/>
      <c r="H14" s="21"/>
      <c r="I14" s="22"/>
      <c r="J14" s="21"/>
      <c r="K14" s="21"/>
    </row>
    <row r="15" spans="1:13" ht="14.45">
      <c r="A15" s="21"/>
      <c r="B15" s="32"/>
      <c r="C15" s="21"/>
      <c r="D15" s="21"/>
      <c r="E15" s="21"/>
      <c r="F15" s="22"/>
      <c r="G15" s="21"/>
      <c r="H15" s="21"/>
      <c r="I15" s="22"/>
      <c r="J15" s="21"/>
      <c r="K15" s="21"/>
    </row>
    <row r="16" spans="1:13" ht="14.45">
      <c r="A16" s="21"/>
      <c r="B16" s="32"/>
      <c r="C16" s="21"/>
      <c r="D16" s="21"/>
      <c r="E16" s="21"/>
      <c r="F16" s="22"/>
      <c r="G16" s="21"/>
      <c r="H16" s="21"/>
      <c r="I16" s="22"/>
      <c r="J16" s="21"/>
      <c r="K16" s="21"/>
    </row>
    <row r="17" spans="1:11" ht="14.45">
      <c r="A17" s="21"/>
      <c r="B17" s="32"/>
      <c r="C17" s="21"/>
      <c r="D17" s="21"/>
      <c r="E17" s="21"/>
      <c r="F17" s="22"/>
      <c r="G17" s="21"/>
      <c r="H17" s="21"/>
      <c r="I17" s="22"/>
      <c r="J17" s="21"/>
      <c r="K17" s="21"/>
    </row>
    <row r="18" spans="1:11" ht="14.45">
      <c r="A18" s="21"/>
      <c r="B18" s="32"/>
      <c r="C18" s="21"/>
      <c r="D18" s="21"/>
      <c r="E18" s="21"/>
      <c r="F18" s="22"/>
      <c r="G18" s="21"/>
      <c r="H18" s="21"/>
      <c r="I18" s="22"/>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sheetData>
  <mergeCells count="4">
    <mergeCell ref="D1:F1"/>
    <mergeCell ref="A1:C1"/>
    <mergeCell ref="G1:I1"/>
    <mergeCell ref="A2:B2"/>
  </mergeCells>
  <phoneticPr fontId="5" type="noConversion"/>
  <conditionalFormatting sqref="F2 I2 F4:F77 I4:I77">
    <cfRule type="cellIs" dxfId="44" priority="4" stopIfTrue="1" operator="lessThanOrEqual">
      <formula>-0.1</formula>
    </cfRule>
    <cfRule type="expression" dxfId="43" priority="5">
      <formula>AND(ISNUMBER(F2), F2&gt;=0.1)</formula>
    </cfRule>
  </conditionalFormatting>
  <hyperlinks>
    <hyperlink ref="K4" r:id="rId1" display="https://us3.assetplanner.com/service_request?ID=094033" xr:uid="{B96E5958-578C-41FB-A667-FA809AF7E3C2}"/>
    <hyperlink ref="K5" r:id="rId2" display="https://us3.assetplanner.com/service_request?ID=096181" xr:uid="{5F1BA13F-13F7-4B40-B11E-E6F74B042B10}"/>
    <hyperlink ref="K6" r:id="rId3" display="https://us3.assetplanner.com/service_request?ID=095130" xr:uid="{4E3DE006-C8EB-42DE-8B08-2E74E2ABD32D}"/>
    <hyperlink ref="K7" r:id="rId4" display="https://us3.assetplanner.com/service_request?ID=091277" xr:uid="{EFC1BB31-E3A0-4690-B8C7-14D99F953198}"/>
    <hyperlink ref="K8" r:id="rId5" display="https://us3.assetplanner.com/service_request?ID=094062" xr:uid="{7271350E-C612-4CA0-805D-D838493CA858}"/>
  </hyperlinks>
  <pageMargins left="0.4" right="0.7" top="0.25" bottom="0.25" header="0.3" footer="0.3"/>
  <pageSetup fitToHeight="99" orientation="landscape"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8"/>
  <sheetViews>
    <sheetView zoomScale="60" zoomScaleNormal="60" workbookViewId="0">
      <pane xSplit="2" ySplit="3" topLeftCell="C4" activePane="bottomRight" state="frozen"/>
      <selection pane="bottomRight" activeCell="E19" sqref="E19"/>
      <selection pane="bottomLeft" activeCell="D18" sqref="D18"/>
      <selection pane="topRight" activeCell="D18" sqref="D18"/>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78" t="str" cm="1">
        <f t="array" ref="A1">portfolio</f>
        <v>True Green Capital Management LLC</v>
      </c>
      <c r="B1" s="78"/>
      <c r="C1" s="78"/>
      <c r="D1" s="79" t="s">
        <v>32</v>
      </c>
      <c r="E1" s="79"/>
      <c r="F1" s="79"/>
      <c r="G1" s="77" t="s">
        <v>33</v>
      </c>
      <c r="H1" s="77"/>
      <c r="I1" s="77"/>
      <c r="J1" s="4"/>
      <c r="K1" s="4"/>
    </row>
    <row r="2" spans="1:14" ht="19.5" customHeight="1">
      <c r="A2" s="80" t="s">
        <v>2</v>
      </c>
      <c r="B2" s="80"/>
      <c r="C2" s="5">
        <f>SUM(C4:C86)</f>
        <v>2408512.6</v>
      </c>
      <c r="D2" s="5">
        <f>SUM(D4:D86)</f>
        <v>2367744.39</v>
      </c>
      <c r="E2" s="5">
        <f>C2-D2</f>
        <v>40768.209999999963</v>
      </c>
      <c r="F2" s="6">
        <f>IFERROR(E2/D2, 0)</f>
        <v>1.7218163485966474E-2</v>
      </c>
      <c r="G2" s="5">
        <f>SUM(G4:G86)</f>
        <v>2545793.2000000002</v>
      </c>
      <c r="H2" s="7">
        <f>C2-G2</f>
        <v>-137280.60000000009</v>
      </c>
      <c r="I2" s="6">
        <f>IFERROR(H2/G2, 0)</f>
        <v>-5.3924490017492423E-2</v>
      </c>
      <c r="J2" s="26" t="str">
        <f ca="1">IF(AND(TODAY()&gt;DATE(2024, 2, 1), COUNTA(Sites[Site])&lt;&gt;(COUNT(C:C)-1)), "Some sites are missing actual data; if new sites were added, make sure they are aligned correctly (including prior months!)", "")</f>
        <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327" customHeight="1">
      <c r="A4" s="31" t="str" cm="1">
        <f t="array" ref="A4:A8">Sites[Site]</f>
        <v>Rochester - 5516 Valleyhigh NW</v>
      </c>
      <c r="B4" s="28" t="str" cm="1">
        <f t="array" ref="B4:B8">Sites[State]</f>
        <v>MN</v>
      </c>
      <c r="C4" s="43">
        <v>1053549</v>
      </c>
      <c r="D4" s="13">
        <v>1144122</v>
      </c>
      <c r="E4" s="13">
        <f t="shared" ref="E4:E8" si="0">IF(AND(ISNUMBER(C4),ISNUMBER(D4)), C4-D4, "")</f>
        <v>-90573</v>
      </c>
      <c r="F4" s="14">
        <f t="shared" ref="F4:F8" si="1">IFERROR(E4/D4, "")</f>
        <v>-7.9163760508057707E-2</v>
      </c>
      <c r="G4" s="66">
        <v>1113658</v>
      </c>
      <c r="H4" s="15">
        <f t="shared" ref="H4:H8" si="2">IF(AND(ISNUMBER(C4),ISNUMBER(G4)), C4-G4, "")</f>
        <v>-60109</v>
      </c>
      <c r="I4" s="16">
        <f t="shared" ref="I4:I8" si="3">IFERROR(H4/G4, "")</f>
        <v>-5.3974379926332861E-2</v>
      </c>
      <c r="J4" s="63" t="s">
        <v>34</v>
      </c>
      <c r="K4" s="61" t="s">
        <v>35</v>
      </c>
      <c r="L4" s="59"/>
    </row>
    <row r="5" spans="1:14" ht="139.15" customHeight="1">
      <c r="A5" s="29" t="str">
        <v>Warsaw - Hemings</v>
      </c>
      <c r="B5" s="30" t="str">
        <v>VA</v>
      </c>
      <c r="C5" s="48">
        <v>638142.1</v>
      </c>
      <c r="D5" s="58">
        <v>701308.1</v>
      </c>
      <c r="E5" s="18">
        <f t="shared" si="0"/>
        <v>-63166</v>
      </c>
      <c r="F5" s="19">
        <f t="shared" si="1"/>
        <v>-9.0068829947921605E-2</v>
      </c>
      <c r="G5" s="67">
        <v>663175</v>
      </c>
      <c r="H5" s="20">
        <f t="shared" si="2"/>
        <v>-25032.900000000023</v>
      </c>
      <c r="I5" s="19">
        <f t="shared" si="3"/>
        <v>-3.7747050175293131E-2</v>
      </c>
      <c r="J5" s="62" t="s">
        <v>36</v>
      </c>
      <c r="K5" s="65" t="s">
        <v>37</v>
      </c>
      <c r="L5" s="59"/>
      <c r="M5" s="59"/>
      <c r="N5" s="59"/>
    </row>
    <row r="6" spans="1:14" ht="129.6">
      <c r="A6" s="31" t="str">
        <v>Mount Jackson - Randolf</v>
      </c>
      <c r="B6" s="28" t="str">
        <v>VA</v>
      </c>
      <c r="C6" s="43">
        <v>437522.5</v>
      </c>
      <c r="D6" s="13">
        <v>422842.5</v>
      </c>
      <c r="E6" s="13">
        <f t="shared" si="0"/>
        <v>14680</v>
      </c>
      <c r="F6" s="14">
        <f t="shared" si="1"/>
        <v>3.4717418424117727E-2</v>
      </c>
      <c r="G6" s="66">
        <v>449760.2</v>
      </c>
      <c r="H6" s="15">
        <f t="shared" si="2"/>
        <v>-12237.700000000012</v>
      </c>
      <c r="I6" s="16">
        <f t="shared" si="3"/>
        <v>-2.7209388469677867E-2</v>
      </c>
      <c r="J6" s="63" t="s">
        <v>38</v>
      </c>
      <c r="K6" s="61" t="s">
        <v>39</v>
      </c>
      <c r="L6" s="59"/>
    </row>
    <row r="7" spans="1:14" ht="143.25" customHeight="1">
      <c r="A7" s="29" t="str">
        <v>Callands Gretna - Monroe</v>
      </c>
      <c r="B7" s="30" t="str">
        <v>VA</v>
      </c>
      <c r="C7" s="48">
        <v>279299</v>
      </c>
      <c r="D7" s="67">
        <v>99471.79</v>
      </c>
      <c r="E7" s="18">
        <f t="shared" si="0"/>
        <v>179827.21000000002</v>
      </c>
      <c r="F7" s="19">
        <f t="shared" si="1"/>
        <v>1.8078211923199536</v>
      </c>
      <c r="G7" s="68">
        <v>319200</v>
      </c>
      <c r="H7" s="20">
        <f t="shared" si="2"/>
        <v>-39901</v>
      </c>
      <c r="I7" s="19">
        <f t="shared" si="3"/>
        <v>-0.1250031328320802</v>
      </c>
      <c r="J7" s="64" t="s">
        <v>40</v>
      </c>
      <c r="K7" s="65" t="s">
        <v>41</v>
      </c>
      <c r="L7" s="59"/>
      <c r="M7" s="59"/>
      <c r="N7" s="59"/>
    </row>
    <row r="8" spans="1:14" ht="15.6">
      <c r="A8" s="31" t="str">
        <v>Rockbridge Baths - Small Mouth Bass</v>
      </c>
      <c r="B8" s="28" t="str">
        <v>VA</v>
      </c>
      <c r="C8" s="43">
        <v>0</v>
      </c>
      <c r="D8" s="13">
        <v>0</v>
      </c>
      <c r="E8" s="13">
        <f t="shared" si="0"/>
        <v>0</v>
      </c>
      <c r="F8" s="14" t="str">
        <f t="shared" si="1"/>
        <v/>
      </c>
      <c r="G8" s="66">
        <v>0</v>
      </c>
      <c r="H8" s="15">
        <f t="shared" si="2"/>
        <v>0</v>
      </c>
      <c r="I8" s="16" t="str">
        <f t="shared" si="3"/>
        <v/>
      </c>
      <c r="J8" s="63" t="s">
        <v>30</v>
      </c>
      <c r="K8" s="61" t="s">
        <v>31</v>
      </c>
      <c r="L8" s="59"/>
    </row>
    <row r="9" spans="1:14" ht="14.45">
      <c r="A9" s="21"/>
      <c r="B9" s="32"/>
      <c r="C9" s="21"/>
      <c r="D9" s="21"/>
      <c r="E9" s="21"/>
      <c r="F9" s="21"/>
      <c r="G9" s="21"/>
      <c r="H9" s="21"/>
      <c r="I9" s="21"/>
      <c r="J9" s="21"/>
      <c r="K9" s="21"/>
    </row>
    <row r="10" spans="1:14" ht="14.45">
      <c r="A10" s="21"/>
      <c r="B10" s="32"/>
      <c r="C10" s="21"/>
      <c r="D10" s="21"/>
      <c r="E10" s="21"/>
      <c r="F10" s="21"/>
      <c r="G10" s="21"/>
      <c r="H10" s="21"/>
      <c r="I10" s="21"/>
      <c r="J10" s="21"/>
      <c r="K10" s="21"/>
    </row>
    <row r="11" spans="1:14" ht="14.45">
      <c r="A11" s="21"/>
      <c r="B11" s="32"/>
      <c r="C11" s="21"/>
      <c r="D11" s="21"/>
      <c r="E11" s="21"/>
      <c r="F11" s="21"/>
      <c r="G11" s="21"/>
      <c r="H11" s="21"/>
      <c r="I11" s="21"/>
      <c r="J11" s="21"/>
      <c r="K11" s="21"/>
    </row>
    <row r="12" spans="1:14" ht="14.45">
      <c r="A12" s="21"/>
      <c r="B12" s="32"/>
      <c r="C12" s="21"/>
      <c r="D12" s="21"/>
      <c r="E12" s="21"/>
      <c r="F12" s="21"/>
      <c r="G12" s="21"/>
      <c r="H12" s="21"/>
      <c r="I12" s="21"/>
      <c r="J12" s="21"/>
      <c r="K12" s="21"/>
    </row>
    <row r="13" spans="1:14" ht="14.45">
      <c r="A13" s="21"/>
      <c r="B13" s="32"/>
      <c r="C13" s="21"/>
      <c r="D13" s="21"/>
      <c r="E13" s="21"/>
      <c r="F13" s="21"/>
      <c r="G13" s="21"/>
      <c r="H13" s="21"/>
      <c r="I13" s="21"/>
      <c r="J13" s="21"/>
      <c r="K13" s="21"/>
    </row>
    <row r="14" spans="1:14" ht="14.45">
      <c r="A14" s="21"/>
      <c r="B14" s="32"/>
      <c r="C14" s="21"/>
      <c r="D14" s="21"/>
      <c r="E14" s="21"/>
      <c r="F14" s="21"/>
      <c r="G14" s="21"/>
      <c r="H14" s="21"/>
      <c r="I14" s="21"/>
      <c r="J14" s="21"/>
      <c r="K14" s="21"/>
    </row>
    <row r="15" spans="1:14" ht="14.45">
      <c r="A15" s="21"/>
      <c r="B15" s="32"/>
      <c r="C15" s="21"/>
      <c r="D15" s="21"/>
      <c r="E15" s="21"/>
      <c r="F15" s="21"/>
      <c r="G15" s="21"/>
      <c r="H15" s="21"/>
      <c r="I15" s="21"/>
      <c r="J15" s="21"/>
      <c r="K15" s="21"/>
    </row>
    <row r="16" spans="1:14"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C328" s="21"/>
      <c r="D328" s="21"/>
      <c r="E328" s="21"/>
      <c r="F328" s="22"/>
      <c r="G328" s="21"/>
      <c r="H328" s="21"/>
      <c r="I328" s="22"/>
      <c r="J328" s="21"/>
      <c r="K328" s="21"/>
    </row>
  </sheetData>
  <mergeCells count="4">
    <mergeCell ref="G1:I1"/>
    <mergeCell ref="A1:C1"/>
    <mergeCell ref="D1:F1"/>
    <mergeCell ref="A2:B2"/>
  </mergeCells>
  <conditionalFormatting sqref="F2 I2 F4:F86 I4:I86">
    <cfRule type="cellIs" dxfId="42" priority="1" stopIfTrue="1" operator="lessThanOrEqual">
      <formula>-0.1</formula>
    </cfRule>
    <cfRule type="expression" dxfId="41" priority="2">
      <formula>AND(ISNUMBER(F2), F2&gt;=0.1)</formula>
    </cfRule>
  </conditionalFormatting>
  <hyperlinks>
    <hyperlink ref="K4" r:id="rId1" display="https://us3.assetplanner.com/service_request?ID=096391" xr:uid="{AF57967D-9475-4ABE-B7CF-C6489C607D3C}"/>
    <hyperlink ref="K5" r:id="rId2" display="https://us3.assetplanner.com/service_request?ID=097728" xr:uid="{EC48DE9C-ABC0-460B-99A7-DCCF0E0A7976}"/>
    <hyperlink ref="K6" r:id="rId3" display="https://us3.assetplanner.com/service_request?ID=096074" xr:uid="{0ECC0078-D9AE-4CEB-9685-37351D6D315A}"/>
    <hyperlink ref="K7" r:id="rId4" display="https://us3.assetplanner.com/service_request?ID=097908" xr:uid="{F31F562D-AA52-4A3B-875E-ADD09F0F3B14}"/>
    <hyperlink ref="K8" r:id="rId5" display="https://us3.assetplanner.com/service_request?ID=094062" xr:uid="{1D226DED-7F58-4D4C-9091-9313AA961B32}"/>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9"/>
  <sheetViews>
    <sheetView zoomScale="60" zoomScaleNormal="60" workbookViewId="0">
      <pane xSplit="2" ySplit="3" topLeftCell="C4" activePane="bottomRight" state="frozen"/>
      <selection pane="bottomRight" activeCell="E10" sqref="E10"/>
      <selection pane="bottomLeft" activeCell="A4" sqref="A4"/>
      <selection pane="topRight" activeCell="A4" sqref="A4"/>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6.28515625" customWidth="1"/>
    <col min="11" max="11" width="20.5703125" bestFit="1" customWidth="1"/>
  </cols>
  <sheetData>
    <row r="1" spans="1:17" ht="19.5" customHeight="1">
      <c r="A1" s="78" t="str" cm="1">
        <f t="array" ref="A1">portfolio</f>
        <v>True Green Capital Management LLC</v>
      </c>
      <c r="B1" s="78"/>
      <c r="C1" s="78"/>
      <c r="D1" s="79" t="s">
        <v>42</v>
      </c>
      <c r="E1" s="79"/>
      <c r="F1" s="79"/>
      <c r="G1" s="77" t="s">
        <v>43</v>
      </c>
      <c r="H1" s="77"/>
      <c r="I1" s="77"/>
      <c r="J1" s="4"/>
      <c r="K1" s="4"/>
    </row>
    <row r="2" spans="1:17" ht="19.5" customHeight="1">
      <c r="A2" s="80" t="s">
        <v>2</v>
      </c>
      <c r="B2" s="80"/>
      <c r="C2" s="5">
        <f>SUM(C4:C87)</f>
        <v>3832946.1944011026</v>
      </c>
      <c r="D2" s="5">
        <f>SUM(D4:D87)</f>
        <v>3750582.1999999997</v>
      </c>
      <c r="E2" s="5">
        <f>C2-D2</f>
        <v>82363.994401102886</v>
      </c>
      <c r="F2" s="6">
        <f>IFERROR(E2/D2, 0)</f>
        <v>2.1960322427036234E-2</v>
      </c>
      <c r="G2" s="5">
        <f>SUM(G4:G87)</f>
        <v>3660141.5</v>
      </c>
      <c r="H2" s="7">
        <f>C2-G2</f>
        <v>172804.69440110261</v>
      </c>
      <c r="I2" s="6">
        <f>IFERROR(H2/G2, 0)</f>
        <v>4.7212572082555443E-2</v>
      </c>
      <c r="J2" s="26" t="str">
        <f ca="1">IF(AND(TODAY()&gt;DATE(2024, 3, 1), COUNTA(Sites[Site])&lt;&gt;(COUNT(C:C)-1)), "Some sites are missing actual data; if new sites were added, make sure they are aligned correctly (including prior months!)", "")</f>
        <v/>
      </c>
      <c r="K2" s="4"/>
    </row>
    <row r="3" spans="1:17" ht="14.25" customHeight="1">
      <c r="A3" s="8" t="s">
        <v>3</v>
      </c>
      <c r="B3" s="8" t="s">
        <v>4</v>
      </c>
      <c r="C3" s="23" t="s">
        <v>5</v>
      </c>
      <c r="D3" s="34" t="s">
        <v>6</v>
      </c>
      <c r="E3" s="34" t="s">
        <v>7</v>
      </c>
      <c r="F3" s="35" t="s">
        <v>8</v>
      </c>
      <c r="G3" s="36" t="s">
        <v>9</v>
      </c>
      <c r="H3" s="37" t="s">
        <v>7</v>
      </c>
      <c r="I3" s="38" t="s">
        <v>8</v>
      </c>
      <c r="J3" s="25" t="s">
        <v>20</v>
      </c>
      <c r="K3" s="25" t="s">
        <v>21</v>
      </c>
    </row>
    <row r="4" spans="1:17" ht="313.5" customHeight="1">
      <c r="A4" s="47" t="str" cm="1">
        <f t="array" ref="A4:A8">Sites[Site]</f>
        <v>Rochester - 5516 Valleyhigh NW</v>
      </c>
      <c r="B4" s="28" t="str" cm="1">
        <f t="array" ref="B4:B8">Sites[State]</f>
        <v>MN</v>
      </c>
      <c r="C4" s="43">
        <v>1798252</v>
      </c>
      <c r="D4" s="13">
        <v>1929826</v>
      </c>
      <c r="E4" s="13">
        <f t="shared" ref="E4:E8" si="0">IF(AND(ISNUMBER(C4),ISNUMBER(D4)), C4-D4, "")</f>
        <v>-131574</v>
      </c>
      <c r="F4" s="14">
        <f t="shared" ref="F4:F8" si="1">IFERROR(E4/D4, "")</f>
        <v>-6.8179203720957232E-2</v>
      </c>
      <c r="G4" s="44">
        <v>1752977</v>
      </c>
      <c r="H4" s="15">
        <f t="shared" ref="H4:H8" si="2">IF(AND(ISNUMBER(C4),ISNUMBER(G4)), C4-G4, "")</f>
        <v>45275</v>
      </c>
      <c r="I4" s="16">
        <f t="shared" ref="I4:I8" si="3">IFERROR(H4/G4, "")</f>
        <v>2.582749231735499E-2</v>
      </c>
      <c r="J4" s="40" t="s">
        <v>44</v>
      </c>
      <c r="K4" s="60" t="s">
        <v>45</v>
      </c>
      <c r="L4" s="69" t="s">
        <v>46</v>
      </c>
      <c r="M4" s="69" t="s">
        <v>47</v>
      </c>
      <c r="N4" s="69" t="s">
        <v>48</v>
      </c>
      <c r="O4" s="69" t="s">
        <v>49</v>
      </c>
      <c r="P4" s="69" t="s">
        <v>50</v>
      </c>
      <c r="Q4" s="69" t="s">
        <v>51</v>
      </c>
    </row>
    <row r="5" spans="1:17" ht="76.5" customHeight="1">
      <c r="A5" s="29" t="str">
        <v>Warsaw - Hemings</v>
      </c>
      <c r="B5" s="30" t="str">
        <v>VA</v>
      </c>
      <c r="C5" s="11">
        <v>949597.30000000098</v>
      </c>
      <c r="D5" s="18">
        <v>1017865</v>
      </c>
      <c r="E5" s="18">
        <f t="shared" si="0"/>
        <v>-68267.699999999022</v>
      </c>
      <c r="F5" s="19">
        <f t="shared" si="1"/>
        <v>-6.7069503323131288E-2</v>
      </c>
      <c r="G5" s="20">
        <v>890685</v>
      </c>
      <c r="H5" s="20">
        <f t="shared" si="2"/>
        <v>58912.300000000978</v>
      </c>
      <c r="I5" s="19">
        <f t="shared" si="3"/>
        <v>6.6142687931200123E-2</v>
      </c>
      <c r="J5" s="45" t="s">
        <v>52</v>
      </c>
      <c r="K5" s="55" t="s">
        <v>53</v>
      </c>
      <c r="L5" s="56" t="s">
        <v>54</v>
      </c>
      <c r="M5" s="56" t="s">
        <v>55</v>
      </c>
      <c r="N5" s="56" t="s">
        <v>56</v>
      </c>
      <c r="O5" s="57"/>
    </row>
    <row r="6" spans="1:17" ht="286.5" customHeight="1">
      <c r="A6" s="47" t="str">
        <v>Mount Jackson - Randolf</v>
      </c>
      <c r="B6" s="28" t="str">
        <v>VA</v>
      </c>
      <c r="C6" s="43">
        <v>625686.89440110198</v>
      </c>
      <c r="D6" s="13">
        <v>648645.80000000005</v>
      </c>
      <c r="E6" s="13">
        <f t="shared" si="0"/>
        <v>-22958.905598898069</v>
      </c>
      <c r="F6" s="14">
        <f t="shared" si="1"/>
        <v>-3.5395134908601994E-2</v>
      </c>
      <c r="G6" s="44">
        <v>613584.80000000005</v>
      </c>
      <c r="H6" s="15">
        <f t="shared" si="2"/>
        <v>12102.094401101931</v>
      </c>
      <c r="I6" s="16">
        <f t="shared" si="3"/>
        <v>1.972358898248772E-2</v>
      </c>
      <c r="J6" s="40" t="s">
        <v>57</v>
      </c>
      <c r="K6" s="60" t="s">
        <v>58</v>
      </c>
      <c r="L6" s="56" t="s">
        <v>59</v>
      </c>
      <c r="M6" s="56" t="s">
        <v>60</v>
      </c>
      <c r="N6" s="56" t="s">
        <v>61</v>
      </c>
      <c r="O6" s="56" t="s">
        <v>62</v>
      </c>
    </row>
    <row r="7" spans="1:17" ht="168.75" customHeight="1">
      <c r="A7" s="29" t="str">
        <v>Callands Gretna - Monroe</v>
      </c>
      <c r="B7" s="30" t="str">
        <v>VA</v>
      </c>
      <c r="C7" s="11">
        <v>459410</v>
      </c>
      <c r="D7" s="18">
        <v>154245.4</v>
      </c>
      <c r="E7" s="18">
        <f t="shared" si="0"/>
        <v>305164.59999999998</v>
      </c>
      <c r="F7" s="19">
        <f t="shared" si="1"/>
        <v>1.978435661614544</v>
      </c>
      <c r="G7" s="20">
        <v>402894.7</v>
      </c>
      <c r="H7" s="20">
        <f t="shared" si="2"/>
        <v>56515.299999999988</v>
      </c>
      <c r="I7" s="19">
        <f t="shared" si="3"/>
        <v>0.14027312843777787</v>
      </c>
      <c r="J7" s="45" t="s">
        <v>63</v>
      </c>
      <c r="K7" s="55" t="s">
        <v>64</v>
      </c>
      <c r="L7" s="57"/>
      <c r="M7" s="57"/>
      <c r="N7" s="57"/>
      <c r="O7" s="57"/>
    </row>
    <row r="8" spans="1:17" ht="38.25" customHeight="1">
      <c r="A8" s="31" t="str">
        <v>Rockbridge Baths - Small Mouth Bass</v>
      </c>
      <c r="B8" s="28" t="str">
        <v>VA</v>
      </c>
      <c r="C8" s="43">
        <v>0</v>
      </c>
      <c r="D8" s="13">
        <v>0</v>
      </c>
      <c r="E8" s="13">
        <f t="shared" si="0"/>
        <v>0</v>
      </c>
      <c r="F8" s="14" t="str">
        <f t="shared" si="1"/>
        <v/>
      </c>
      <c r="G8" s="44">
        <v>0</v>
      </c>
      <c r="H8" s="15">
        <f t="shared" si="2"/>
        <v>0</v>
      </c>
      <c r="I8" s="16" t="str">
        <f t="shared" si="3"/>
        <v/>
      </c>
      <c r="J8" s="40" t="s">
        <v>65</v>
      </c>
      <c r="K8" s="60" t="s">
        <v>66</v>
      </c>
      <c r="L8" s="56" t="s">
        <v>67</v>
      </c>
      <c r="M8" s="57"/>
      <c r="N8" s="57"/>
      <c r="O8" s="57"/>
    </row>
    <row r="9" spans="1:17" ht="14.45">
      <c r="A9" s="21"/>
      <c r="B9" s="32"/>
      <c r="C9" s="21"/>
      <c r="D9" s="21"/>
      <c r="E9" s="21"/>
      <c r="F9" s="21"/>
      <c r="G9" s="21"/>
      <c r="H9" s="21"/>
      <c r="I9" s="21"/>
      <c r="J9" s="21"/>
      <c r="K9" s="21"/>
    </row>
    <row r="10" spans="1:17" ht="14.45">
      <c r="A10" s="21"/>
      <c r="B10" s="32"/>
      <c r="C10" s="21"/>
      <c r="D10" s="21"/>
      <c r="E10" s="21"/>
      <c r="F10" s="21"/>
      <c r="G10" s="21"/>
      <c r="H10" s="21"/>
      <c r="I10" s="21"/>
      <c r="J10" s="21"/>
      <c r="K10" s="21"/>
    </row>
    <row r="11" spans="1:17" ht="14.45">
      <c r="A11" s="21"/>
      <c r="B11" s="32"/>
      <c r="C11" s="21"/>
      <c r="D11" s="21"/>
      <c r="E11" s="21"/>
      <c r="F11" s="21"/>
      <c r="G11" s="21"/>
      <c r="H11" s="21"/>
      <c r="I11" s="21"/>
      <c r="J11" s="21"/>
      <c r="K11" s="21"/>
    </row>
    <row r="12" spans="1:17" ht="14.45">
      <c r="A12" s="21"/>
      <c r="B12" s="32"/>
      <c r="C12" s="21"/>
      <c r="D12" s="21"/>
      <c r="E12" s="21"/>
      <c r="F12" s="21"/>
      <c r="G12" s="21"/>
      <c r="H12" s="21"/>
      <c r="I12" s="21"/>
      <c r="J12" s="21"/>
      <c r="K12" s="21"/>
    </row>
    <row r="13" spans="1:17" ht="14.45">
      <c r="A13" s="21"/>
      <c r="B13" s="32"/>
      <c r="C13" s="21"/>
      <c r="D13" s="21"/>
      <c r="E13" s="21"/>
      <c r="F13" s="21"/>
      <c r="G13" s="21"/>
      <c r="H13" s="21"/>
      <c r="I13" s="21"/>
      <c r="J13" s="21"/>
      <c r="K13" s="21"/>
    </row>
    <row r="14" spans="1:17" ht="14.45">
      <c r="A14" s="21"/>
      <c r="B14" s="32"/>
      <c r="C14" s="21"/>
      <c r="D14" s="21"/>
      <c r="E14" s="21"/>
      <c r="F14" s="21"/>
      <c r="G14" s="21"/>
      <c r="H14" s="21"/>
      <c r="I14" s="21"/>
      <c r="J14" s="21"/>
      <c r="K14" s="21"/>
    </row>
    <row r="15" spans="1:17" ht="14.45">
      <c r="A15" s="21"/>
      <c r="B15" s="32"/>
      <c r="C15" s="21"/>
      <c r="D15" s="21"/>
      <c r="E15" s="21"/>
      <c r="F15" s="21"/>
      <c r="G15" s="21"/>
      <c r="H15" s="21"/>
      <c r="I15" s="21"/>
      <c r="J15" s="21"/>
      <c r="K15" s="21"/>
    </row>
    <row r="16" spans="1:17"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C329" s="21"/>
      <c r="D329" s="21"/>
      <c r="E329" s="21"/>
      <c r="F329" s="22"/>
      <c r="G329" s="21"/>
      <c r="H329" s="21"/>
      <c r="I329" s="22"/>
      <c r="J329" s="21"/>
      <c r="K329" s="21"/>
    </row>
  </sheetData>
  <mergeCells count="4">
    <mergeCell ref="G1:I1"/>
    <mergeCell ref="A1:C1"/>
    <mergeCell ref="D1:F1"/>
    <mergeCell ref="A2:B2"/>
  </mergeCells>
  <conditionalFormatting sqref="F2 I2 F4:F87 I4:I87">
    <cfRule type="cellIs" dxfId="40" priority="3" stopIfTrue="1" operator="lessThanOrEqual">
      <formula>-0.1</formula>
    </cfRule>
    <cfRule type="expression" dxfId="39" priority="4">
      <formula>AND(ISNUMBER(F2), F2&gt;=0.1)</formula>
    </cfRule>
  </conditionalFormatting>
  <hyperlinks>
    <hyperlink ref="K4" r:id="rId1" display="https://us3.assetplanner.com/service_request?ID=098364" xr:uid="{BAB12039-9BD3-4BD0-886A-4ECAEF7AB914}"/>
    <hyperlink ref="L4" r:id="rId2" display="https://us3.assetplanner.com/service_request?ID=099220" xr:uid="{FC693153-DC4C-4072-8408-52DFC7AF7B63}"/>
    <hyperlink ref="M4" r:id="rId3" display="https://us3.assetplanner.com/service_request?ID=099222" xr:uid="{439BDE70-BB25-4E4F-A71F-09795D42F7CA}"/>
    <hyperlink ref="N4" r:id="rId4" display="https://us3.assetplanner.com/service_request?ID=099295" xr:uid="{83217E1F-3D35-41E7-B551-D7AFC6A9C1AA}"/>
    <hyperlink ref="O4" r:id="rId5" display="https://us3.assetplanner.com/service_request?ID=099221" xr:uid="{613E78AE-10EE-4926-81CD-6FDB007A25F3}"/>
    <hyperlink ref="P4" r:id="rId6" display="https://us3.assetplanner.com/service_request?ID=095849" xr:uid="{901D640C-B70A-4D09-B303-CD748E6A6301}"/>
    <hyperlink ref="Q4" r:id="rId7" display="https://us3.assetplanner.com/service_request?ID=099224" xr:uid="{2AA371F8-1835-4961-9424-C68F8DFF4842}"/>
    <hyperlink ref="K5" r:id="rId8" display="https://us3.assetplanner.com/service_request?ID=097728" xr:uid="{290E5873-5915-4E55-8D8F-173BC98DA3E4}"/>
    <hyperlink ref="L5" r:id="rId9" display="https://us3.assetplanner.com/service_request?ID=098569" xr:uid="{B8C7C021-BAE2-4A6F-B767-87924F900F75}"/>
    <hyperlink ref="M5" r:id="rId10" display="https://us3.assetplanner.com/service_request?ID=096181" xr:uid="{DF1AF786-3DC1-46D9-BE2F-77BC401FD397}"/>
    <hyperlink ref="N5" r:id="rId11" display="https://us3.assetplanner.com/service_request?ID=098568" xr:uid="{A8F60548-5483-4E68-AB00-FF89D52F08C4}"/>
    <hyperlink ref="K6" r:id="rId12" display="https://us3.assetplanner.com/service_request?ID=098302" xr:uid="{3306C2D3-381C-41F8-80AE-F298A552F90B}"/>
    <hyperlink ref="L6" r:id="rId13" display="https://us3.assetplanner.com/service_request?ID=098925" xr:uid="{BAF36F4E-B293-4EAF-A241-318894037937}"/>
    <hyperlink ref="M6" r:id="rId14" display="https://us3.assetplanner.com/service_request?ID=099141" xr:uid="{B8EAC716-369F-46DD-8047-D43675B887D5}"/>
    <hyperlink ref="N6" r:id="rId15" display="https://us3.assetplanner.com/service_request?ID=097757" xr:uid="{9366CC2E-6DFE-440A-8B4A-0C5349C11BCD}"/>
    <hyperlink ref="O6" r:id="rId16" display="https://us3.assetplanner.com/service_request?ID=098566" xr:uid="{163C79E7-6CB4-43C9-8A93-1FE0F19754C5}"/>
    <hyperlink ref="K7" r:id="rId17" display="https://us3.assetplanner.com/service_request?ID=099420" xr:uid="{6D2FB8B7-A908-47C9-8CB9-C93BBC4251AD}"/>
    <hyperlink ref="K8" r:id="rId18" display="https://us3.assetplanner.com/service_request?ID=097305" xr:uid="{5E01914B-C5E3-4826-8717-664D4C0D2405}"/>
    <hyperlink ref="L8" r:id="rId19" display="https://us3.assetplanner.com/service_request?ID=098700" xr:uid="{C0ADFAEF-189B-4618-B472-754E02C28259}"/>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R328"/>
  <sheetViews>
    <sheetView zoomScale="60" zoomScaleNormal="60" workbookViewId="0">
      <pane xSplit="2" ySplit="3" topLeftCell="C4" activePane="bottomRight" state="frozen"/>
      <selection pane="bottomRight" activeCell="J14" sqref="J14"/>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8" width="8.85546875" style="57"/>
  </cols>
  <sheetData>
    <row r="1" spans="1:18" ht="19.5" customHeight="1">
      <c r="A1" s="78" t="str" cm="1">
        <f t="array" ref="A1">portfolio</f>
        <v>True Green Capital Management LLC</v>
      </c>
      <c r="B1" s="78"/>
      <c r="C1" s="78"/>
      <c r="D1" s="79" t="s">
        <v>68</v>
      </c>
      <c r="E1" s="79"/>
      <c r="F1" s="79"/>
      <c r="G1" s="77" t="s">
        <v>69</v>
      </c>
      <c r="H1" s="77"/>
      <c r="I1" s="77"/>
      <c r="J1" s="4"/>
      <c r="K1" s="4"/>
    </row>
    <row r="2" spans="1:18" ht="19.5" customHeight="1">
      <c r="A2" s="80" t="s">
        <v>2</v>
      </c>
      <c r="B2" s="80"/>
      <c r="C2" s="5">
        <f>SUM(C4:C86)</f>
        <v>3804632.005598899</v>
      </c>
      <c r="D2" s="5">
        <f>SUM(D4:D86)</f>
        <v>3568997.8</v>
      </c>
      <c r="E2" s="5">
        <f>C2-D2</f>
        <v>235634.20559889916</v>
      </c>
      <c r="F2" s="6">
        <f>IFERROR(E2/D2, 0)</f>
        <v>6.6022513546771924E-2</v>
      </c>
      <c r="G2" s="5">
        <f>SUM(G4:G86)</f>
        <v>4304859.3</v>
      </c>
      <c r="H2" s="7">
        <f>C2-G2</f>
        <v>-500227.29440110084</v>
      </c>
      <c r="I2" s="6">
        <f>IFERROR(H2/G2, 0)</f>
        <v>-0.11620061412950264</v>
      </c>
      <c r="J2" s="26" t="str">
        <f ca="1">IF(AND(TODAY()&gt;DATE(2024, 4, 1), COUNTA(Sites[Site])&lt;&gt;(COUNT(C:C)-1)), "Some sites are missing actual data; if new sites were added, make sure they are aligned correctly (including prior months!)", "")</f>
        <v/>
      </c>
      <c r="K2" s="4"/>
    </row>
    <row r="3" spans="1:18" ht="14.25" customHeight="1">
      <c r="A3" s="8" t="s">
        <v>3</v>
      </c>
      <c r="B3" s="8" t="s">
        <v>4</v>
      </c>
      <c r="C3" s="23" t="s">
        <v>5</v>
      </c>
      <c r="D3" s="34" t="s">
        <v>6</v>
      </c>
      <c r="E3" s="34" t="s">
        <v>7</v>
      </c>
      <c r="F3" s="35" t="s">
        <v>8</v>
      </c>
      <c r="G3" s="36" t="s">
        <v>9</v>
      </c>
      <c r="H3" s="37" t="s">
        <v>7</v>
      </c>
      <c r="I3" s="38" t="s">
        <v>8</v>
      </c>
      <c r="J3" s="25" t="s">
        <v>20</v>
      </c>
      <c r="K3" s="25" t="s">
        <v>21</v>
      </c>
    </row>
    <row r="4" spans="1:18" ht="246.75" customHeight="1">
      <c r="A4" s="31" t="str" cm="1">
        <f t="array" ref="A4:A8">Sites[Site]</f>
        <v>Rochester - 5516 Valleyhigh NW</v>
      </c>
      <c r="B4" s="28" t="str" cm="1">
        <f t="array" ref="B4:B8">Sites[State]</f>
        <v>MN</v>
      </c>
      <c r="C4" s="24">
        <v>1778353</v>
      </c>
      <c r="D4" s="13">
        <v>1925780</v>
      </c>
      <c r="E4" s="13">
        <f t="shared" ref="E4:E7" si="0">IF(AND(ISNUMBER(C4),ISNUMBER(D4)), C4-D4, "")</f>
        <v>-147427</v>
      </c>
      <c r="F4" s="14">
        <f t="shared" ref="F4:F7" si="1">IFERROR(E4/D4, "")</f>
        <v>-7.6554435086043052E-2</v>
      </c>
      <c r="G4" s="15">
        <v>2098765</v>
      </c>
      <c r="H4" s="15">
        <f t="shared" ref="H4:H7" si="2">IF(AND(ISNUMBER(C4),ISNUMBER(G4)), C4-G4, "")</f>
        <v>-320412</v>
      </c>
      <c r="I4" s="16">
        <f t="shared" ref="I4:I7" si="3">IFERROR(H4/G4, "")</f>
        <v>-0.15266692554907291</v>
      </c>
      <c r="J4" s="46" t="s">
        <v>70</v>
      </c>
      <c r="K4" s="61" t="s">
        <v>71</v>
      </c>
      <c r="L4" s="56" t="s">
        <v>49</v>
      </c>
      <c r="M4" s="56" t="s">
        <v>47</v>
      </c>
      <c r="N4" s="56" t="s">
        <v>48</v>
      </c>
      <c r="O4" s="56" t="s">
        <v>72</v>
      </c>
      <c r="P4" s="56" t="s">
        <v>73</v>
      </c>
      <c r="Q4" s="56" t="s">
        <v>74</v>
      </c>
      <c r="R4" s="56" t="s">
        <v>51</v>
      </c>
    </row>
    <row r="5" spans="1:18" ht="72">
      <c r="A5" s="29" t="str">
        <v>Warsaw - Hemings</v>
      </c>
      <c r="B5" s="30" t="str">
        <v>VA</v>
      </c>
      <c r="C5" s="11">
        <v>997106.80000000098</v>
      </c>
      <c r="D5" s="18">
        <v>1042780</v>
      </c>
      <c r="E5" s="18">
        <f t="shared" si="0"/>
        <v>-45673.199999999022</v>
      </c>
      <c r="F5" s="19">
        <f t="shared" si="1"/>
        <v>-4.3799459138072289E-2</v>
      </c>
      <c r="G5" s="20">
        <v>1046855</v>
      </c>
      <c r="H5" s="20">
        <f t="shared" si="2"/>
        <v>-49748.199999999022</v>
      </c>
      <c r="I5" s="19">
        <f t="shared" si="3"/>
        <v>-4.7521576531610418E-2</v>
      </c>
      <c r="J5" s="45" t="s">
        <v>75</v>
      </c>
      <c r="K5" s="55" t="s">
        <v>76</v>
      </c>
      <c r="L5" s="56" t="s">
        <v>77</v>
      </c>
      <c r="M5" s="56" t="s">
        <v>56</v>
      </c>
      <c r="N5" s="56" t="s">
        <v>78</v>
      </c>
    </row>
    <row r="6" spans="1:18" ht="230.45">
      <c r="A6" s="31" t="str">
        <v>Mount Jackson - Randolf</v>
      </c>
      <c r="B6" s="28" t="str">
        <v>VA</v>
      </c>
      <c r="C6" s="24">
        <v>563764.205598898</v>
      </c>
      <c r="D6" s="13">
        <v>600437.80000000005</v>
      </c>
      <c r="E6" s="13">
        <f t="shared" si="0"/>
        <v>-36673.594401102047</v>
      </c>
      <c r="F6" s="14">
        <f t="shared" si="1"/>
        <v>-6.1078090688331158E-2</v>
      </c>
      <c r="G6" s="15">
        <v>698984.1</v>
      </c>
      <c r="H6" s="15">
        <f t="shared" si="2"/>
        <v>-135219.89440110198</v>
      </c>
      <c r="I6" s="16">
        <f t="shared" si="3"/>
        <v>-0.19345203188613586</v>
      </c>
      <c r="J6" s="46" t="s">
        <v>79</v>
      </c>
      <c r="K6" s="61" t="s">
        <v>80</v>
      </c>
      <c r="L6" s="56" t="s">
        <v>81</v>
      </c>
      <c r="M6" s="56" t="s">
        <v>82</v>
      </c>
      <c r="N6" s="56" t="s">
        <v>83</v>
      </c>
      <c r="O6" s="56" t="s">
        <v>83</v>
      </c>
      <c r="P6" s="56" t="s">
        <v>84</v>
      </c>
      <c r="Q6" s="56" t="s">
        <v>62</v>
      </c>
    </row>
    <row r="7" spans="1:18" ht="100.9">
      <c r="A7" s="29" t="str">
        <v>Callands Gretna - Monroe</v>
      </c>
      <c r="B7" s="30" t="str">
        <v>VA</v>
      </c>
      <c r="C7" s="11">
        <v>465408</v>
      </c>
      <c r="D7" s="18">
        <v>0</v>
      </c>
      <c r="E7" s="18">
        <f t="shared" si="0"/>
        <v>465408</v>
      </c>
      <c r="F7" s="19" t="str">
        <f t="shared" si="1"/>
        <v/>
      </c>
      <c r="G7" s="20">
        <v>460255.2</v>
      </c>
      <c r="H7" s="20">
        <f t="shared" si="2"/>
        <v>5152.7999999999884</v>
      </c>
      <c r="I7" s="19">
        <f t="shared" si="3"/>
        <v>1.1195528046179572E-2</v>
      </c>
      <c r="J7" s="45" t="s">
        <v>85</v>
      </c>
      <c r="K7" s="55" t="s">
        <v>86</v>
      </c>
      <c r="L7" s="56" t="s">
        <v>87</v>
      </c>
      <c r="M7" s="56" t="s">
        <v>88</v>
      </c>
    </row>
    <row r="8" spans="1:18" ht="201.75" customHeight="1">
      <c r="A8" s="31" t="str">
        <v>Rockbridge Baths - Small Mouth Bass</v>
      </c>
      <c r="B8" s="28" t="str">
        <v>VA</v>
      </c>
      <c r="C8" s="24">
        <v>0</v>
      </c>
      <c r="D8" s="13">
        <v>0</v>
      </c>
      <c r="E8" s="13"/>
      <c r="F8" s="14"/>
      <c r="G8" s="15">
        <v>0</v>
      </c>
      <c r="H8" s="15"/>
      <c r="I8" s="16"/>
      <c r="J8" s="46" t="s">
        <v>89</v>
      </c>
      <c r="K8" s="54" t="s">
        <v>90</v>
      </c>
      <c r="L8" s="56" t="s">
        <v>67</v>
      </c>
      <c r="M8" s="56" t="s">
        <v>91</v>
      </c>
      <c r="N8" s="56" t="s">
        <v>92</v>
      </c>
      <c r="O8" s="56" t="s">
        <v>93</v>
      </c>
    </row>
    <row r="9" spans="1:18" ht="14.45">
      <c r="A9" s="21"/>
      <c r="B9" s="32"/>
      <c r="C9" s="21"/>
      <c r="D9" s="21"/>
      <c r="E9" s="21"/>
      <c r="F9" s="21"/>
      <c r="G9" s="21"/>
      <c r="H9" s="21"/>
      <c r="I9" s="21"/>
      <c r="J9" s="21"/>
      <c r="K9" s="21"/>
    </row>
    <row r="10" spans="1:18" ht="14.45">
      <c r="A10" s="21"/>
      <c r="B10" s="32"/>
      <c r="C10" s="21"/>
      <c r="D10" s="21"/>
      <c r="E10" s="21"/>
      <c r="F10" s="21"/>
      <c r="G10" s="21"/>
      <c r="H10" s="21"/>
      <c r="I10" s="21"/>
      <c r="J10" s="21"/>
      <c r="K10" s="21"/>
    </row>
    <row r="11" spans="1:18" ht="14.45">
      <c r="A11" s="21"/>
      <c r="B11" s="32"/>
      <c r="C11" s="21"/>
      <c r="D11" s="21"/>
      <c r="E11" s="21"/>
      <c r="F11" s="21"/>
      <c r="G11" s="21"/>
      <c r="H11" s="21"/>
      <c r="I11" s="21"/>
      <c r="J11" s="21"/>
      <c r="K11" s="21"/>
    </row>
    <row r="12" spans="1:18" ht="14.45">
      <c r="A12" s="21"/>
      <c r="B12" s="32"/>
      <c r="C12" s="21"/>
      <c r="D12" s="21"/>
      <c r="E12" s="21"/>
      <c r="F12" s="21"/>
      <c r="G12" s="21"/>
      <c r="H12" s="21"/>
      <c r="I12" s="21"/>
      <c r="J12" s="21"/>
      <c r="K12" s="21"/>
    </row>
    <row r="13" spans="1:18" ht="14.45">
      <c r="A13" s="21"/>
      <c r="B13" s="32"/>
      <c r="C13" s="21"/>
      <c r="D13" s="21"/>
      <c r="E13" s="21"/>
      <c r="F13" s="21"/>
      <c r="G13" s="21"/>
      <c r="H13" s="21"/>
      <c r="I13" s="21"/>
      <c r="J13" s="21"/>
      <c r="K13" s="21"/>
    </row>
    <row r="14" spans="1:18" ht="14.45">
      <c r="A14" s="21"/>
      <c r="B14" s="32"/>
      <c r="C14" s="21"/>
      <c r="D14" s="21"/>
      <c r="E14" s="21"/>
      <c r="F14" s="21"/>
      <c r="G14" s="21"/>
      <c r="H14" s="21"/>
      <c r="I14" s="21"/>
      <c r="J14" s="21"/>
      <c r="K14" s="21"/>
    </row>
    <row r="15" spans="1:18" ht="14.45">
      <c r="A15" s="21"/>
      <c r="B15" s="32"/>
      <c r="C15" s="21"/>
      <c r="D15" s="21"/>
      <c r="E15" s="21"/>
      <c r="F15" s="21"/>
      <c r="G15" s="21"/>
      <c r="H15" s="21"/>
      <c r="I15" s="21"/>
      <c r="J15" s="21"/>
      <c r="K15" s="21"/>
    </row>
    <row r="16" spans="1:18"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C328" s="21"/>
      <c r="D328" s="21"/>
      <c r="E328" s="21"/>
      <c r="F328" s="22"/>
      <c r="G328" s="21"/>
      <c r="H328" s="21"/>
      <c r="I328" s="22"/>
      <c r="J328" s="21"/>
      <c r="K328" s="21"/>
    </row>
  </sheetData>
  <mergeCells count="4">
    <mergeCell ref="G1:I1"/>
    <mergeCell ref="A1:C1"/>
    <mergeCell ref="D1:F1"/>
    <mergeCell ref="A2:B2"/>
  </mergeCells>
  <conditionalFormatting sqref="F2 I2 F4:F86 I4:I86">
    <cfRule type="cellIs" dxfId="38" priority="3" stopIfTrue="1" operator="lessThanOrEqual">
      <formula>-0.1</formula>
    </cfRule>
    <cfRule type="expression" dxfId="37" priority="4">
      <formula>AND(ISNUMBER(F2), F2&gt;=0.1)</formula>
    </cfRule>
  </conditionalFormatting>
  <hyperlinks>
    <hyperlink ref="K4" r:id="rId1" display="https://us3.assetplanner.com/service_request?ID=099220" xr:uid="{87A1119B-554E-4562-AD6E-8812B5744A83}"/>
    <hyperlink ref="L4" r:id="rId2" display="https://us3.assetplanner.com/service_request?ID=099221" xr:uid="{3AD5FCEC-E84C-4066-BB70-90D07E237F5A}"/>
    <hyperlink ref="M4" r:id="rId3" display="https://us3.assetplanner.com/service_request?ID=099222" xr:uid="{7BB2D7B8-72E6-4F2B-AE20-01B5FE515848}"/>
    <hyperlink ref="N4" r:id="rId4" display="https://us3.assetplanner.com/service_request?ID=099295" xr:uid="{5D5F950F-E936-44B7-9C09-2CBBC907333B}"/>
    <hyperlink ref="O4" r:id="rId5" display="https://us3.assetplanner.com/service_request?ID=099759" xr:uid="{4CB6F409-F57A-4EF8-98C8-4247A32F9FA4}"/>
    <hyperlink ref="P4" r:id="rId6" display="https://us3.assetplanner.com/service_request?ID=099835" xr:uid="{7D33D7AF-0C25-446B-BB80-EF81D7FDFDCD}"/>
    <hyperlink ref="Q4" r:id="rId7" display="https://us3.assetplanner.com/service_request?ID=099913" xr:uid="{CE766619-7B44-47D5-9A46-B4BB99412D13}"/>
    <hyperlink ref="R4" r:id="rId8" display="https://us3.assetplanner.com/service_request?ID=099224" xr:uid="{6462D3E9-8DA1-4E49-AFAC-C3FE07278708}"/>
    <hyperlink ref="K5" r:id="rId9" display="https://us3.assetplanner.com/service_request?ID=098569" xr:uid="{B3ADD3AA-E6D5-46D8-B59E-A76221D33044}"/>
    <hyperlink ref="L5" r:id="rId10" display="https://us3.assetplanner.com/service_request?ID=099625" xr:uid="{D3C3F113-FE4F-42AD-80A0-E5A87C1D9BBC}"/>
    <hyperlink ref="M5" r:id="rId11" display="https://us3.assetplanner.com/service_request?ID=098568" xr:uid="{81DDABC6-AC52-4305-A93C-AAC655635A53}"/>
    <hyperlink ref="N5" r:id="rId12" display="https://us3.assetplanner.com/service_request?ID=098376" xr:uid="{48C7A59D-38DA-443A-AB3F-0E788629BFAE}"/>
    <hyperlink ref="K6" r:id="rId13" display="https://us3.assetplanner.com/service_request?ID=099141" xr:uid="{1A442AF4-4C09-4D6E-8FEE-BEB60819F2EB}"/>
    <hyperlink ref="L6" r:id="rId14" display="https://us3.assetplanner.com/service_request?ID=099914" xr:uid="{183B04E1-BC00-4CAD-9576-2FEBB0318358}"/>
    <hyperlink ref="M6" r:id="rId15" display="https://us3.assetplanner.com/service_request?ID=100087" xr:uid="{2DC65515-2A9E-4E6D-93DD-F086B7760B04}"/>
    <hyperlink ref="N6" r:id="rId16" display="https://us3.assetplanner.com/service_request?ID=100473" xr:uid="{15C540EA-93E3-466E-B728-167099F49B3D}"/>
    <hyperlink ref="O6" r:id="rId17" display="https://us3.assetplanner.com/service_request?ID=100473" xr:uid="{15422BA9-78EA-4B3A-B61E-387093D90F7E}"/>
    <hyperlink ref="P6" r:id="rId18" display="https://us3.assetplanner.com/service_request?ID=100673" xr:uid="{60FA459F-64AC-4880-9236-4295E68D924E}"/>
    <hyperlink ref="Q6" r:id="rId19" display="https://us3.assetplanner.com/service_request?ID=098566" xr:uid="{026D6064-15FB-4EAA-9030-F15E2A697A5C}"/>
    <hyperlink ref="K7" r:id="rId20" display="https://us3.assetplanner.com/service_request?ID=098567" xr:uid="{9E4BBBCA-3F4D-4087-8CDA-16FA393E0C22}"/>
    <hyperlink ref="L7" r:id="rId21" display="https://us3.assetplanner.com/service_request?ID=099419" xr:uid="{EDB7BE29-1161-426A-B9EA-BF4D71D7882B}"/>
    <hyperlink ref="M7" r:id="rId22" display="https://us3.assetplanner.com/service_request?ID=099420" xr:uid="{019D6991-DA1C-4BBE-8E5F-0C7F9E54AA69}"/>
    <hyperlink ref="K8" r:id="rId23" display="https://us3.assetplanner.com/service_request?ID=097305" xr:uid="{E6220E13-5FB1-48E2-94CF-A4908299CEEA}"/>
    <hyperlink ref="L8" r:id="rId24" display="https://us3.assetplanner.com/service_request?ID=098700" xr:uid="{DA23C773-45A2-4576-968D-5E6BA6FD0F34}"/>
    <hyperlink ref="M8" r:id="rId25" display="https://us3.assetplanner.com/service_request?ID=099878" xr:uid="{785FE2DC-7D34-4740-BDCC-13F1F68D61AF}"/>
    <hyperlink ref="N8" r:id="rId26" display="https://us3.assetplanner.com/service_request?ID=100221" xr:uid="{81914044-939E-40C0-B2E1-076650C5D119}"/>
    <hyperlink ref="O8" r:id="rId27" display="https://us3.assetplanner.com/service_request?ID=100415" xr:uid="{AAE97A80-8EB4-4C39-9F3F-139439D5A3A9}"/>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37"/>
  <sheetViews>
    <sheetView zoomScale="70" zoomScaleNormal="70" workbookViewId="0">
      <pane xSplit="2" ySplit="3" topLeftCell="C4" activePane="bottomRight" state="frozen"/>
      <selection pane="bottomRight" activeCell="J11" sqref="J11"/>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7109375" customWidth="1"/>
  </cols>
  <sheetData>
    <row r="1" spans="1:14" ht="19.5" customHeight="1">
      <c r="A1" s="78" t="str" cm="1">
        <f t="array" ref="A1">portfolio</f>
        <v>True Green Capital Management LLC</v>
      </c>
      <c r="B1" s="78"/>
      <c r="C1" s="78"/>
      <c r="D1" s="79" t="s">
        <v>94</v>
      </c>
      <c r="E1" s="79"/>
      <c r="F1" s="79"/>
      <c r="G1" s="77" t="s">
        <v>95</v>
      </c>
      <c r="H1" s="77"/>
      <c r="I1" s="77"/>
      <c r="J1" s="4"/>
      <c r="K1" s="4"/>
    </row>
    <row r="2" spans="1:14" ht="19.5" customHeight="1">
      <c r="A2" s="80" t="s">
        <v>2</v>
      </c>
      <c r="B2" s="80"/>
      <c r="C2" s="5">
        <f>SUM(C4:C95)</f>
        <v>4506188.5</v>
      </c>
      <c r="D2" s="5">
        <f>SUM(D4:D95)</f>
        <v>3776961.9000000004</v>
      </c>
      <c r="E2" s="5">
        <f>C2-D2</f>
        <v>729226.59999999963</v>
      </c>
      <c r="F2" s="6">
        <f>IFERROR(E2/D2, 0)</f>
        <v>0.193072267951657</v>
      </c>
      <c r="G2" s="5">
        <f>SUM(G4:G95)</f>
        <v>5695287.8999999994</v>
      </c>
      <c r="H2" s="7">
        <f>C2-G2</f>
        <v>-1189099.3999999994</v>
      </c>
      <c r="I2" s="6">
        <f>IFERROR(H2/G2, 0)</f>
        <v>-0.20878653035257438</v>
      </c>
      <c r="J2" s="26" t="str">
        <f ca="1">IF(AND(TODAY()&gt;DATE(2024, 6, 1), COUNTA(Sites[Site])&lt;&gt;(COUNT(C:C)-1)), "Some sites are missing actual data; if new sites were added, make sure they are aligned correctly (including prior months!)", "")</f>
        <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224.25" customHeight="1">
      <c r="A4" s="47" t="str" cm="1">
        <f t="array" ref="A4:A8">Sites[Site]</f>
        <v>Rochester - 5516 Valleyhigh NW</v>
      </c>
      <c r="B4" s="28" t="str" cm="1">
        <f t="array" ref="B4:B8">Sites[State]</f>
        <v>MN</v>
      </c>
      <c r="C4" s="24">
        <v>1849625</v>
      </c>
      <c r="D4" s="13">
        <v>1871565</v>
      </c>
      <c r="E4" s="13">
        <f t="shared" ref="E4:E12" si="0">IF(AND(ISNUMBER(C4),ISNUMBER(D4)), C4-D4, "")</f>
        <v>-21940</v>
      </c>
      <c r="F4" s="14">
        <f t="shared" ref="F4:F12" si="1">IFERROR(E4/D4, "")</f>
        <v>-1.1722809520374659E-2</v>
      </c>
      <c r="G4" s="15">
        <v>2595332</v>
      </c>
      <c r="H4" s="15">
        <f t="shared" ref="H4:H12" si="2">IF(AND(ISNUMBER(C4),ISNUMBER(G4)), C4-G4, "")</f>
        <v>-745707</v>
      </c>
      <c r="I4" s="16">
        <f t="shared" ref="I4:I12" si="3">IFERROR(H4/G4, "")</f>
        <v>-0.28732624573657628</v>
      </c>
      <c r="J4" s="46" t="s">
        <v>96</v>
      </c>
      <c r="K4" s="61" t="s">
        <v>97</v>
      </c>
      <c r="L4" s="56" t="s">
        <v>98</v>
      </c>
      <c r="M4" s="56" t="s">
        <v>99</v>
      </c>
      <c r="N4" s="56" t="s">
        <v>100</v>
      </c>
    </row>
    <row r="5" spans="1:14" ht="50.25" customHeight="1">
      <c r="A5" s="29" t="str">
        <v>Warsaw - Hemings</v>
      </c>
      <c r="B5" s="30" t="str">
        <v>VA</v>
      </c>
      <c r="C5" s="11">
        <v>1104759</v>
      </c>
      <c r="D5" s="18">
        <v>836321.2</v>
      </c>
      <c r="E5" s="18">
        <f t="shared" si="0"/>
        <v>268437.80000000005</v>
      </c>
      <c r="F5" s="19">
        <f t="shared" si="1"/>
        <v>0.32097452509873009</v>
      </c>
      <c r="G5" s="20">
        <v>1193055</v>
      </c>
      <c r="H5" s="20">
        <f t="shared" si="2"/>
        <v>-88296</v>
      </c>
      <c r="I5" s="19">
        <f t="shared" si="3"/>
        <v>-7.4008323170348389E-2</v>
      </c>
      <c r="J5" s="45" t="s">
        <v>101</v>
      </c>
      <c r="K5" s="55" t="s">
        <v>102</v>
      </c>
      <c r="L5" s="56" t="s">
        <v>103</v>
      </c>
      <c r="M5" s="57"/>
      <c r="N5" s="57"/>
    </row>
    <row r="6" spans="1:14" ht="87.75" customHeight="1">
      <c r="A6" s="47" t="str">
        <v>Mount Jackson - Randolf</v>
      </c>
      <c r="B6" s="28" t="str">
        <v>VA</v>
      </c>
      <c r="C6" s="24">
        <v>518678</v>
      </c>
      <c r="D6" s="13">
        <v>540127.4</v>
      </c>
      <c r="E6" s="13">
        <f t="shared" si="0"/>
        <v>-21449.400000000023</v>
      </c>
      <c r="F6" s="14">
        <f t="shared" si="1"/>
        <v>-3.9711742081590423E-2</v>
      </c>
      <c r="G6" s="15">
        <v>824172.1</v>
      </c>
      <c r="H6" s="15">
        <f>IF(AND(ISNUMBER(C6),ISNUMBER(G6)), C6-G6, "")</f>
        <v>-305494.09999999998</v>
      </c>
      <c r="I6" s="16">
        <f t="shared" si="3"/>
        <v>-0.37066784959112298</v>
      </c>
      <c r="J6" s="46" t="s">
        <v>104</v>
      </c>
      <c r="K6" s="54" t="s">
        <v>105</v>
      </c>
      <c r="L6" s="56" t="s">
        <v>82</v>
      </c>
      <c r="M6" s="57"/>
      <c r="N6" s="57"/>
    </row>
    <row r="7" spans="1:14" ht="61.5" customHeight="1">
      <c r="A7" s="29" t="str">
        <v>Callands Gretna - Monroe</v>
      </c>
      <c r="B7" s="30" t="str">
        <v>VA</v>
      </c>
      <c r="C7" s="11">
        <v>532168</v>
      </c>
      <c r="D7" s="18">
        <v>528948.30000000005</v>
      </c>
      <c r="E7" s="18">
        <f t="shared" si="0"/>
        <v>3219.6999999999534</v>
      </c>
      <c r="F7" s="19">
        <f t="shared" si="1"/>
        <v>6.0869843045151164E-3</v>
      </c>
      <c r="G7" s="20">
        <v>527978.80000000005</v>
      </c>
      <c r="H7" s="20">
        <f t="shared" si="2"/>
        <v>4189.1999999999534</v>
      </c>
      <c r="I7" s="19">
        <f t="shared" si="3"/>
        <v>7.9344094876535824E-3</v>
      </c>
      <c r="J7" s="45"/>
      <c r="K7" s="54" t="s">
        <v>97</v>
      </c>
      <c r="L7" s="57"/>
      <c r="M7" s="57"/>
      <c r="N7" s="57"/>
    </row>
    <row r="8" spans="1:14" ht="54" customHeight="1">
      <c r="A8" s="31" t="str">
        <v>Rockbridge Baths - Small Mouth Bass</v>
      </c>
      <c r="B8" s="28" t="str">
        <v>VA</v>
      </c>
      <c r="C8" s="24">
        <v>500958.5</v>
      </c>
      <c r="D8" s="13">
        <v>0</v>
      </c>
      <c r="E8" s="13">
        <f t="shared" si="0"/>
        <v>500958.5</v>
      </c>
      <c r="F8" s="14" t="str">
        <f t="shared" si="1"/>
        <v/>
      </c>
      <c r="G8" s="15">
        <v>554750</v>
      </c>
      <c r="H8" s="15">
        <f t="shared" si="2"/>
        <v>-53791.5</v>
      </c>
      <c r="I8" s="16">
        <f t="shared" si="3"/>
        <v>-9.696529968454258E-2</v>
      </c>
      <c r="J8" s="46" t="s">
        <v>106</v>
      </c>
      <c r="K8" s="54" t="s">
        <v>107</v>
      </c>
      <c r="L8" s="56" t="s">
        <v>108</v>
      </c>
      <c r="M8" s="57"/>
      <c r="N8" s="57"/>
    </row>
    <row r="9" spans="1:14">
      <c r="A9" s="21"/>
      <c r="B9" s="21"/>
      <c r="C9" s="21"/>
      <c r="D9" s="21"/>
      <c r="E9" s="21" t="str">
        <f t="shared" si="0"/>
        <v/>
      </c>
      <c r="F9" s="21" t="str">
        <f t="shared" si="1"/>
        <v/>
      </c>
      <c r="G9" s="21"/>
      <c r="H9" s="21" t="str">
        <f t="shared" si="2"/>
        <v/>
      </c>
      <c r="I9" s="21" t="str">
        <f t="shared" si="3"/>
        <v/>
      </c>
      <c r="J9" s="21"/>
      <c r="K9" s="21"/>
      <c r="L9" s="21"/>
      <c r="M9" s="21"/>
      <c r="N9" s="21"/>
    </row>
    <row r="10" spans="1:14">
      <c r="A10" s="21"/>
      <c r="B10" s="21"/>
      <c r="C10" s="21"/>
      <c r="D10" s="21"/>
      <c r="E10" s="21" t="str">
        <f t="shared" si="0"/>
        <v/>
      </c>
      <c r="F10" s="21" t="str">
        <f t="shared" si="1"/>
        <v/>
      </c>
      <c r="G10" s="21"/>
      <c r="H10" s="21" t="str">
        <f t="shared" si="2"/>
        <v/>
      </c>
      <c r="I10" s="21" t="str">
        <f t="shared" si="3"/>
        <v/>
      </c>
      <c r="J10" s="21"/>
      <c r="K10" s="21"/>
      <c r="L10" s="21"/>
      <c r="M10" s="21"/>
      <c r="N10" s="21"/>
    </row>
    <row r="11" spans="1:14">
      <c r="A11" s="21"/>
      <c r="B11" s="21"/>
      <c r="C11" s="21"/>
      <c r="D11" s="21"/>
      <c r="E11" s="21" t="str">
        <f t="shared" si="0"/>
        <v/>
      </c>
      <c r="F11" s="21" t="str">
        <f t="shared" si="1"/>
        <v/>
      </c>
      <c r="G11" s="21"/>
      <c r="H11" s="21" t="str">
        <f t="shared" si="2"/>
        <v/>
      </c>
      <c r="I11" s="21" t="str">
        <f t="shared" si="3"/>
        <v/>
      </c>
      <c r="J11" s="21"/>
      <c r="K11" s="21"/>
      <c r="L11" s="21"/>
      <c r="M11" s="21"/>
      <c r="N11" s="21"/>
    </row>
    <row r="12" spans="1:14">
      <c r="A12" s="21"/>
      <c r="B12" s="21"/>
      <c r="C12" s="21"/>
      <c r="D12" s="21"/>
      <c r="E12" s="21" t="str">
        <f t="shared" si="0"/>
        <v/>
      </c>
      <c r="F12" s="21" t="str">
        <f t="shared" si="1"/>
        <v/>
      </c>
      <c r="G12" s="21"/>
      <c r="H12" s="21" t="str">
        <f t="shared" si="2"/>
        <v/>
      </c>
      <c r="I12" s="21" t="str">
        <f t="shared" si="3"/>
        <v/>
      </c>
      <c r="J12" s="21"/>
      <c r="K12" s="21"/>
      <c r="L12" s="21"/>
      <c r="M12" s="21"/>
      <c r="N12" s="21"/>
    </row>
    <row r="13" spans="1:14" ht="12.75" customHeight="1">
      <c r="A13" s="21"/>
      <c r="B13" s="32"/>
      <c r="C13" s="21"/>
      <c r="D13" s="21"/>
      <c r="E13" s="21"/>
      <c r="F13" s="21"/>
      <c r="G13" s="21"/>
      <c r="H13" s="21"/>
      <c r="I13" s="21"/>
      <c r="J13" s="21"/>
      <c r="K13" s="21"/>
    </row>
    <row r="14" spans="1:14" ht="14.45">
      <c r="A14" s="21"/>
      <c r="B14" s="32"/>
      <c r="C14" s="21"/>
      <c r="D14" s="21"/>
      <c r="E14" s="21"/>
      <c r="F14" s="21"/>
      <c r="G14" s="21"/>
      <c r="H14" s="21"/>
      <c r="I14" s="21"/>
      <c r="J14" s="21"/>
      <c r="K14" s="21"/>
    </row>
    <row r="15" spans="1:14" ht="14.45">
      <c r="A15" s="21"/>
      <c r="B15" s="32"/>
      <c r="C15" s="21"/>
      <c r="D15" s="21"/>
      <c r="E15" s="21"/>
      <c r="F15" s="21"/>
      <c r="G15" s="21"/>
      <c r="H15" s="21"/>
      <c r="I15" s="21"/>
      <c r="J15" s="21"/>
      <c r="K15" s="21"/>
    </row>
    <row r="16" spans="1:14"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cfRule type="cellIs" dxfId="36" priority="19" stopIfTrue="1" operator="lessThanOrEqual">
      <formula>-0.1</formula>
    </cfRule>
    <cfRule type="expression" dxfId="35" priority="20">
      <formula>AND(ISNUMBER(F2), F2&gt;=0.1)</formula>
    </cfRule>
  </conditionalFormatting>
  <conditionalFormatting sqref="F4:F8 I4:I8">
    <cfRule type="cellIs" dxfId="34" priority="1" stopIfTrue="1" operator="lessThanOrEqual">
      <formula>-0.1</formula>
    </cfRule>
    <cfRule type="expression" dxfId="33" priority="2">
      <formula>AND(ISNUMBER(F4), F4&gt;=0.1)</formula>
    </cfRule>
  </conditionalFormatting>
  <conditionalFormatting sqref="F13:F95 I13:I95">
    <cfRule type="cellIs" dxfId="32" priority="17" stopIfTrue="1" operator="lessThanOrEqual">
      <formula>-0.1</formula>
    </cfRule>
    <cfRule type="expression" dxfId="31" priority="18">
      <formula>AND(ISNUMBER(F13), F13&gt;=0.1)</formula>
    </cfRule>
  </conditionalFormatting>
  <hyperlinks>
    <hyperlink ref="L4" r:id="rId1" display="https://us3.assetplanner.com/service_request?ID=102702" xr:uid="{63F39867-354B-45ED-AF03-E2029F702DB2}"/>
    <hyperlink ref="M4" r:id="rId2" display="https://us3.assetplanner.com/service_request?ID=103139" xr:uid="{92D8D7A9-A13B-4586-B6B7-E5620C9DA495}"/>
    <hyperlink ref="N4" r:id="rId3" display="https://us3.assetplanner.com/service_request?ID=103277" xr:uid="{ED76A268-4C0B-4190-BBCD-A37DE7FD3582}"/>
    <hyperlink ref="L5" r:id="rId4" display="https://us3.assetplanner.com/service_request?ID=101583" xr:uid="{0B63C035-68F0-4A3B-A558-620142A10FE0}"/>
    <hyperlink ref="K6" r:id="rId5" display="https://us3.assetplanner.com/service_request?ID=102342" xr:uid="{63125A92-8DF6-4FC7-9649-A18D50E43F9B}"/>
    <hyperlink ref="L6" r:id="rId6" display="https://us3.assetplanner.com/service_request?ID=100087" xr:uid="{C00AA719-44DB-4A34-9221-787EC5AA4507}"/>
    <hyperlink ref="K8" r:id="rId7" display="https://us3.assetplanner.com/service_request?ID=101462" xr:uid="{F5830540-16B4-4528-B23E-21A88E6638D4}"/>
    <hyperlink ref="L8" r:id="rId8" display="https://us3.assetplanner.com/service_request?ID=101580" xr:uid="{97FFAD89-30EC-4CA6-AD7D-7815A6D85531}"/>
    <hyperlink ref="K5" r:id="rId9" display="https://us3.assetplanner.com/service_request?ID=102509" xr:uid="{ED61AE28-4074-4FB1-ACEB-EF215CCDBC03}"/>
    <hyperlink ref="K4" r:id="rId10" display="https://us3.assetplanner.com/service_request?ID=102470" xr:uid="{F5DFD828-7582-44BB-BF4E-D73BC8DF5F7A}"/>
    <hyperlink ref="K7" r:id="rId11" display="https://us3.assetplanner.com/service_request?ID=102470" xr:uid="{2E9B4666-3836-4825-A1CE-8D576F6A6B6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27"/>
  <sheetViews>
    <sheetView zoomScale="60" zoomScaleNormal="60" workbookViewId="0">
      <pane xSplit="2" ySplit="3" topLeftCell="C4" activePane="bottomRight" state="frozen"/>
      <selection pane="bottomRight" activeCell="J8" sqref="J8"/>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8" t="str" cm="1">
        <f t="array" ref="A1">portfolio</f>
        <v>True Green Capital Management LLC</v>
      </c>
      <c r="B1" s="78"/>
      <c r="C1" s="78"/>
      <c r="D1" s="79" t="s">
        <v>109</v>
      </c>
      <c r="E1" s="79"/>
      <c r="F1" s="79"/>
      <c r="G1" s="77" t="s">
        <v>110</v>
      </c>
      <c r="H1" s="77"/>
      <c r="I1" s="77"/>
      <c r="J1" s="4"/>
      <c r="K1" s="4"/>
    </row>
    <row r="2" spans="1:11" ht="19.5" customHeight="1">
      <c r="A2" s="80" t="s">
        <v>2</v>
      </c>
      <c r="B2" s="80"/>
      <c r="C2" s="5">
        <f>SUM(C4:C85)</f>
        <v>4487672.7999999989</v>
      </c>
      <c r="D2" s="5">
        <f>SUM(D4:D85)</f>
        <v>3583658.8</v>
      </c>
      <c r="E2" s="5">
        <f>C2-D2</f>
        <v>904013.99999999907</v>
      </c>
      <c r="F2" s="6">
        <f>IFERROR(E2/D2, 0)</f>
        <v>0.2522600644905143</v>
      </c>
      <c r="G2" s="5">
        <f>SUM(G4:G85)</f>
        <v>5450570.1000000006</v>
      </c>
      <c r="H2" s="7">
        <f>C2-G2</f>
        <v>-962897.30000000168</v>
      </c>
      <c r="I2" s="6">
        <f>IFERROR(H2/G2, 0)</f>
        <v>-0.17665992406922748</v>
      </c>
      <c r="J2" s="26" t="str">
        <f ca="1">IF(AND(TODAY()&gt;DATE(2024, 5, 1), COUNTA(Sites[Site])&lt;&gt;(COUNT(C:C)-1)), "Some sites are missing actual data; if new sites were added, make sure they are aligned correctly (including prior months!)", "")</f>
        <v/>
      </c>
      <c r="K2" s="4"/>
    </row>
    <row r="3" spans="1:11" ht="14.25" customHeight="1">
      <c r="A3" s="8" t="s">
        <v>3</v>
      </c>
      <c r="B3" s="8" t="s">
        <v>4</v>
      </c>
      <c r="C3" s="23" t="s">
        <v>5</v>
      </c>
      <c r="D3" s="34" t="s">
        <v>6</v>
      </c>
      <c r="E3" s="34" t="s">
        <v>7</v>
      </c>
      <c r="F3" s="35" t="s">
        <v>8</v>
      </c>
      <c r="G3" s="36" t="s">
        <v>9</v>
      </c>
      <c r="H3" s="37" t="s">
        <v>7</v>
      </c>
      <c r="I3" s="38" t="s">
        <v>8</v>
      </c>
      <c r="J3" s="25" t="s">
        <v>20</v>
      </c>
      <c r="K3" s="25" t="s">
        <v>21</v>
      </c>
    </row>
    <row r="4" spans="1:11" ht="277.5" customHeight="1">
      <c r="A4" s="47" t="str" cm="1">
        <f t="array" ref="A4:A8">Sites[Site]</f>
        <v>Rochester - 5516 Valleyhigh NW</v>
      </c>
      <c r="B4" s="28" t="str" cm="1">
        <f t="array" ref="B4:B8">Sites[State]</f>
        <v>MN</v>
      </c>
      <c r="C4" s="24">
        <v>2339962</v>
      </c>
      <c r="D4" s="13">
        <v>2505562</v>
      </c>
      <c r="E4" s="13">
        <f t="shared" ref="E4:E8" si="0">IF(AND(ISNUMBER(C4),ISNUMBER(D4)), C4-D4, "")</f>
        <v>-165600</v>
      </c>
      <c r="F4" s="14">
        <f t="shared" ref="F4:F8" si="1">IFERROR(E4/D4, "")</f>
        <v>-6.609295639062214E-2</v>
      </c>
      <c r="G4" s="15">
        <v>2449711</v>
      </c>
      <c r="H4" s="15">
        <f t="shared" ref="H4:H8" si="2">IF(AND(ISNUMBER(C4),ISNUMBER(G4)), C4-G4, "")</f>
        <v>-109749</v>
      </c>
      <c r="I4" s="16">
        <f t="shared" ref="I4:I8" si="3">IFERROR(H4/G4, "")</f>
        <v>-4.4800794869272333E-2</v>
      </c>
      <c r="J4" s="46" t="s">
        <v>111</v>
      </c>
      <c r="K4" s="61" t="s">
        <v>112</v>
      </c>
    </row>
    <row r="5" spans="1:11" ht="28.9">
      <c r="A5" s="29" t="str">
        <v>Warsaw - Hemings</v>
      </c>
      <c r="B5" s="30" t="str">
        <v>VA</v>
      </c>
      <c r="C5" s="11">
        <v>987436.89999999898</v>
      </c>
      <c r="D5" s="18">
        <v>394357.6</v>
      </c>
      <c r="E5" s="18">
        <f t="shared" si="0"/>
        <v>593079.299999999</v>
      </c>
      <c r="F5" s="19">
        <f t="shared" si="1"/>
        <v>1.5039124388625933</v>
      </c>
      <c r="G5" s="20">
        <v>1178200</v>
      </c>
      <c r="H5" s="20">
        <f t="shared" si="2"/>
        <v>-190763.10000000102</v>
      </c>
      <c r="I5" s="19">
        <f t="shared" si="3"/>
        <v>-0.1619106263792234</v>
      </c>
      <c r="J5" s="45" t="s">
        <v>113</v>
      </c>
      <c r="K5" s="55" t="s">
        <v>114</v>
      </c>
    </row>
    <row r="6" spans="1:11" ht="86.45">
      <c r="A6" s="31" t="str">
        <v>Mount Jackson - Randolf</v>
      </c>
      <c r="B6" s="28" t="str">
        <v>VA</v>
      </c>
      <c r="C6" s="24">
        <v>508599.4</v>
      </c>
      <c r="D6" s="13">
        <v>563615.19999999995</v>
      </c>
      <c r="E6" s="13">
        <f t="shared" si="0"/>
        <v>-55015.79999999993</v>
      </c>
      <c r="F6" s="14">
        <f t="shared" si="1"/>
        <v>-9.7612342605380292E-2</v>
      </c>
      <c r="G6" s="15">
        <v>757224.9</v>
      </c>
      <c r="H6" s="15">
        <f t="shared" si="2"/>
        <v>-248625.5</v>
      </c>
      <c r="I6" s="16">
        <f t="shared" si="3"/>
        <v>-0.3283377237066557</v>
      </c>
      <c r="J6" s="46" t="s">
        <v>115</v>
      </c>
      <c r="K6" s="61" t="s">
        <v>116</v>
      </c>
    </row>
    <row r="7" spans="1:11" ht="61.5" customHeight="1">
      <c r="A7" s="29" t="str">
        <v>Callands Gretna - Monroe</v>
      </c>
      <c r="B7" s="30" t="str">
        <v>VA</v>
      </c>
      <c r="C7" s="11">
        <v>444464</v>
      </c>
      <c r="D7" s="18">
        <v>120124</v>
      </c>
      <c r="E7" s="18">
        <f t="shared" si="0"/>
        <v>324340</v>
      </c>
      <c r="F7" s="19">
        <f t="shared" si="1"/>
        <v>2.700043288601778</v>
      </c>
      <c r="G7" s="20">
        <v>527749.19999999995</v>
      </c>
      <c r="H7" s="20">
        <f t="shared" si="2"/>
        <v>-83285.199999999953</v>
      </c>
      <c r="I7" s="19">
        <f t="shared" si="3"/>
        <v>-0.15781208195104787</v>
      </c>
      <c r="J7" s="45" t="s">
        <v>117</v>
      </c>
      <c r="K7" s="55" t="s">
        <v>118</v>
      </c>
    </row>
    <row r="8" spans="1:11" ht="37.5" customHeight="1">
      <c r="A8" s="31" t="str">
        <v>Rockbridge Baths - Small Mouth Bass</v>
      </c>
      <c r="B8" s="28" t="str">
        <v>VA</v>
      </c>
      <c r="C8" s="24">
        <v>207210.5</v>
      </c>
      <c r="D8" s="13">
        <v>0</v>
      </c>
      <c r="E8" s="13">
        <f t="shared" si="0"/>
        <v>207210.5</v>
      </c>
      <c r="F8" s="14" t="str">
        <f t="shared" si="1"/>
        <v/>
      </c>
      <c r="G8" s="15">
        <v>537685</v>
      </c>
      <c r="H8" s="15">
        <f t="shared" si="2"/>
        <v>-330474.5</v>
      </c>
      <c r="I8" s="16">
        <f t="shared" si="3"/>
        <v>-0.61462473381254823</v>
      </c>
      <c r="J8" s="46" t="s">
        <v>119</v>
      </c>
      <c r="K8" s="61" t="s">
        <v>120</v>
      </c>
    </row>
    <row r="9" spans="1:11" ht="14.45">
      <c r="A9" s="21"/>
      <c r="B9" s="32"/>
      <c r="C9" s="21"/>
      <c r="D9" s="21"/>
      <c r="E9" s="21"/>
      <c r="F9" s="21"/>
      <c r="G9" s="21"/>
      <c r="H9" s="21"/>
      <c r="I9" s="21"/>
      <c r="J9" s="21"/>
      <c r="K9" s="21"/>
    </row>
    <row r="10" spans="1:11" ht="14.45">
      <c r="A10" s="21"/>
      <c r="B10" s="32"/>
      <c r="C10" s="21"/>
      <c r="D10" s="21"/>
      <c r="E10" s="21"/>
      <c r="F10" s="21"/>
      <c r="G10" s="21"/>
      <c r="H10" s="21"/>
      <c r="I10" s="21"/>
      <c r="J10" s="21"/>
      <c r="K10" s="21"/>
    </row>
    <row r="11" spans="1:11" ht="14.45">
      <c r="A11" s="21"/>
      <c r="B11" s="32"/>
      <c r="C11" s="21"/>
      <c r="D11" s="21"/>
      <c r="E11" s="21"/>
      <c r="F11" s="21"/>
      <c r="G11" s="21"/>
      <c r="H11" s="21"/>
      <c r="I11" s="21"/>
      <c r="J11" s="21"/>
      <c r="K11" s="21"/>
    </row>
    <row r="12" spans="1:11" ht="14.45">
      <c r="A12" s="21"/>
      <c r="B12" s="32"/>
      <c r="C12" s="21"/>
      <c r="D12" s="21"/>
      <c r="E12" s="21"/>
      <c r="F12" s="21"/>
      <c r="G12" s="21"/>
      <c r="H12" s="21"/>
      <c r="I12" s="21"/>
      <c r="J12" s="21"/>
      <c r="K12" s="21"/>
    </row>
    <row r="13" spans="1:11" ht="14.45">
      <c r="A13" s="21"/>
      <c r="B13" s="32"/>
      <c r="C13" s="21"/>
      <c r="D13" s="21"/>
      <c r="E13" s="21"/>
      <c r="F13" s="21"/>
      <c r="G13" s="21"/>
      <c r="H13" s="21"/>
      <c r="I13" s="21"/>
      <c r="J13" s="21"/>
      <c r="K13" s="21"/>
    </row>
    <row r="14" spans="1:11" ht="14.45">
      <c r="A14" s="21"/>
      <c r="B14" s="32"/>
      <c r="C14" s="21"/>
      <c r="D14" s="21"/>
      <c r="E14" s="21"/>
      <c r="F14" s="21"/>
      <c r="G14" s="21"/>
      <c r="H14" s="21"/>
      <c r="I14" s="21"/>
      <c r="J14" s="21"/>
      <c r="K14" s="21"/>
    </row>
    <row r="15" spans="1:11" ht="14.45">
      <c r="A15" s="21"/>
      <c r="B15" s="32"/>
      <c r="C15" s="21"/>
      <c r="D15" s="21"/>
      <c r="E15" s="21"/>
      <c r="F15" s="21"/>
      <c r="G15" s="21"/>
      <c r="H15" s="21"/>
      <c r="I15" s="21"/>
      <c r="J15" s="21"/>
      <c r="K15" s="21"/>
    </row>
    <row r="16" spans="1:11"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2"/>
      <c r="G18" s="21"/>
      <c r="H18" s="21"/>
      <c r="I18" s="22"/>
      <c r="J18" s="21"/>
      <c r="K18" s="21"/>
    </row>
    <row r="19" spans="1:11" ht="14.45">
      <c r="A19" s="21"/>
      <c r="B19" s="32"/>
      <c r="C19" s="21"/>
      <c r="D19" s="21"/>
      <c r="E19" s="21"/>
      <c r="F19" s="22"/>
      <c r="G19" s="21"/>
      <c r="H19" s="21"/>
      <c r="I19" s="22"/>
      <c r="J19" s="21"/>
      <c r="K19" s="21"/>
    </row>
    <row r="20" spans="1:11" ht="14.45">
      <c r="A20" s="21"/>
      <c r="B20" s="32"/>
      <c r="C20" s="21"/>
      <c r="D20" s="21"/>
      <c r="E20" s="21"/>
      <c r="F20" s="22"/>
      <c r="G20" s="21"/>
      <c r="H20" s="21"/>
      <c r="I20" s="22"/>
      <c r="J20" s="21"/>
      <c r="K20" s="21"/>
    </row>
    <row r="21" spans="1:11" ht="14.45">
      <c r="A21" s="21"/>
      <c r="B21" s="32"/>
      <c r="C21" s="21"/>
      <c r="D21" s="21"/>
      <c r="E21" s="21"/>
      <c r="F21" s="22"/>
      <c r="G21" s="21"/>
      <c r="H21" s="21"/>
      <c r="I21" s="22"/>
      <c r="J21" s="21"/>
      <c r="K21" s="21"/>
    </row>
    <row r="22" spans="1:11" ht="14.45">
      <c r="A22" s="21"/>
      <c r="B22" s="32"/>
      <c r="C22" s="21"/>
      <c r="D22" s="21"/>
      <c r="E22" s="21"/>
      <c r="F22" s="22"/>
      <c r="G22" s="21"/>
      <c r="H22" s="21"/>
      <c r="I22" s="22"/>
      <c r="J22" s="21"/>
      <c r="K22" s="21"/>
    </row>
    <row r="23" spans="1:11" ht="14.45">
      <c r="A23" s="21"/>
      <c r="B23" s="32"/>
      <c r="C23" s="21"/>
      <c r="D23" s="21"/>
      <c r="E23" s="21"/>
      <c r="F23" s="22"/>
      <c r="G23" s="21"/>
      <c r="H23" s="21"/>
      <c r="I23" s="22"/>
      <c r="J23" s="21"/>
      <c r="K23" s="21"/>
    </row>
    <row r="24" spans="1:11" ht="14.45">
      <c r="A24" s="21"/>
      <c r="B24" s="32"/>
      <c r="C24" s="21"/>
      <c r="D24" s="21"/>
      <c r="E24" s="21"/>
      <c r="F24" s="22"/>
      <c r="G24" s="21"/>
      <c r="H24" s="21"/>
      <c r="I24" s="22"/>
      <c r="J24" s="21"/>
      <c r="K24" s="21"/>
    </row>
    <row r="25" spans="1:11" ht="14.45">
      <c r="A25" s="21"/>
      <c r="B25" s="32"/>
      <c r="C25" s="21"/>
      <c r="D25" s="21"/>
      <c r="E25" s="21"/>
      <c r="F25" s="22"/>
      <c r="G25" s="21"/>
      <c r="H25" s="21"/>
      <c r="I25" s="22"/>
      <c r="J25" s="21"/>
      <c r="K25" s="21"/>
    </row>
    <row r="26" spans="1:11" ht="14.45">
      <c r="A26" s="21"/>
      <c r="B26" s="32"/>
      <c r="C26" s="21"/>
      <c r="D26" s="21"/>
      <c r="E26" s="21"/>
      <c r="F26" s="22"/>
      <c r="G26" s="21"/>
      <c r="H26" s="21"/>
      <c r="I26" s="22"/>
      <c r="J26" s="21"/>
      <c r="K26" s="21"/>
    </row>
    <row r="27" spans="1:11" ht="14.45">
      <c r="A27" s="21"/>
      <c r="B27" s="32"/>
      <c r="C27" s="21"/>
      <c r="D27" s="21"/>
      <c r="E27" s="21"/>
      <c r="F27" s="22"/>
      <c r="G27" s="21"/>
      <c r="H27" s="21"/>
      <c r="I27" s="22"/>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C327" s="21"/>
      <c r="D327" s="21"/>
      <c r="E327" s="21"/>
      <c r="F327" s="22"/>
      <c r="G327" s="21"/>
      <c r="H327" s="21"/>
      <c r="I327" s="22"/>
      <c r="J327" s="21"/>
      <c r="K327" s="21"/>
    </row>
  </sheetData>
  <mergeCells count="4">
    <mergeCell ref="G1:I1"/>
    <mergeCell ref="A1:C1"/>
    <mergeCell ref="D1:F1"/>
    <mergeCell ref="A2:B2"/>
  </mergeCells>
  <conditionalFormatting sqref="F2 I2 F4:F85 I4:I85">
    <cfRule type="cellIs" dxfId="30" priority="3" stopIfTrue="1" operator="lessThanOrEqual">
      <formula>-0.1</formula>
    </cfRule>
    <cfRule type="expression" dxfId="29" priority="4">
      <formula>AND(ISNUMBER(F2), F2&gt;=0.1)</formula>
    </cfRule>
  </conditionalFormatting>
  <hyperlinks>
    <hyperlink ref="K4" r:id="rId1" display="https://us3.assetplanner.com/service_request?ID=100960" xr:uid="{186189E3-B591-470F-8D96-7EEF5CEAE81A}"/>
    <hyperlink ref="K5" r:id="rId2" display="https://us3.assetplanner.com/service_request?ID=102509" xr:uid="{4FB46955-5C74-4D99-A08B-F5C52EAE3E9D}"/>
    <hyperlink ref="K6" r:id="rId3" display="https://us3.assetplanner.com/service_request?ID=100087" xr:uid="{9BA9BF8C-B86D-42A6-A27D-E806F0874906}"/>
    <hyperlink ref="K7" r:id="rId4" display="https://us3.assetplanner.com/service_request?ID=099420" xr:uid="{97FD8BC1-B1DF-43AF-AE10-46CA2A51CE99}"/>
    <hyperlink ref="K8" r:id="rId5" display="https://us3.assetplanner.com/service_request?ID=101462" xr:uid="{B65F8F93-DE6A-4BAE-BEC4-5C51C422B95B}"/>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37"/>
  <sheetViews>
    <sheetView zoomScale="60" zoomScaleNormal="60" workbookViewId="0">
      <pane xSplit="2" ySplit="3" topLeftCell="C4" activePane="bottomRight" state="frozen"/>
      <selection pane="bottomRight" activeCell="C7" sqref="C7"/>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22" customWidth="1"/>
  </cols>
  <sheetData>
    <row r="1" spans="1:15" ht="19.5" customHeight="1">
      <c r="A1" s="78" t="str" cm="1">
        <f t="array" ref="A1">portfolio</f>
        <v>True Green Capital Management LLC</v>
      </c>
      <c r="B1" s="78"/>
      <c r="C1" s="78"/>
      <c r="D1" s="79" t="s">
        <v>121</v>
      </c>
      <c r="E1" s="79"/>
      <c r="F1" s="79"/>
      <c r="G1" s="77" t="s">
        <v>122</v>
      </c>
      <c r="H1" s="77"/>
      <c r="I1" s="77"/>
      <c r="J1" s="4"/>
      <c r="K1" s="4"/>
    </row>
    <row r="2" spans="1:15" ht="19.5" customHeight="1">
      <c r="A2" s="80" t="s">
        <v>2</v>
      </c>
      <c r="B2" s="80"/>
      <c r="C2" s="5">
        <f>SUM(C4:C95)</f>
        <v>5342949.3</v>
      </c>
      <c r="D2" s="5">
        <f>SUM(D4:D95)</f>
        <v>4565154.682</v>
      </c>
      <c r="E2" s="5">
        <f>C2-D2</f>
        <v>777794.61799999978</v>
      </c>
      <c r="F2" s="6">
        <f>IFERROR(E2/D2, 0)</f>
        <v>0.17037639952634573</v>
      </c>
      <c r="G2" s="5">
        <f>SUM(G4:G95)</f>
        <v>5781982.9100000011</v>
      </c>
      <c r="H2" s="7">
        <f>C2-G2</f>
        <v>-439033.61000000127</v>
      </c>
      <c r="I2" s="6">
        <f>IFERROR(H2/G2, 0)</f>
        <v>-7.5931322667987827E-2</v>
      </c>
      <c r="J2" s="26" t="str">
        <f ca="1">IF(AND(TODAY()&gt;DATE(2024, 7, 1), COUNTA(Sites[Site])&lt;&gt;(COUNT(C:C)-1)), "Some sites are missing actual data; if new sites were added, make sure they are aligned correctly (including prior months!)", "")</f>
        <v/>
      </c>
      <c r="K2" s="4"/>
    </row>
    <row r="3" spans="1:15" ht="14.25" customHeight="1">
      <c r="A3" s="8" t="s">
        <v>3</v>
      </c>
      <c r="B3" s="8" t="s">
        <v>4</v>
      </c>
      <c r="C3" s="23" t="s">
        <v>5</v>
      </c>
      <c r="D3" s="34" t="s">
        <v>6</v>
      </c>
      <c r="E3" s="34" t="s">
        <v>7</v>
      </c>
      <c r="F3" s="35" t="s">
        <v>8</v>
      </c>
      <c r="G3" s="36" t="s">
        <v>9</v>
      </c>
      <c r="H3" s="37" t="s">
        <v>7</v>
      </c>
      <c r="I3" s="38" t="s">
        <v>8</v>
      </c>
      <c r="J3" s="25" t="s">
        <v>20</v>
      </c>
      <c r="K3" s="25" t="s">
        <v>21</v>
      </c>
    </row>
    <row r="4" spans="1:15" ht="267.75" customHeight="1">
      <c r="A4" s="47" t="str" cm="1">
        <f t="array" ref="A4:A8">Sites[Site]</f>
        <v>Rochester - 5516 Valleyhigh NW</v>
      </c>
      <c r="B4" s="28" t="str" cm="1">
        <f t="array" ref="B4:B8">Sites[State]</f>
        <v>MN</v>
      </c>
      <c r="C4" s="24">
        <v>2543098</v>
      </c>
      <c r="D4" s="13">
        <v>2734391.06</v>
      </c>
      <c r="E4" s="13">
        <f t="shared" ref="E4:E12" si="0">IF(AND(ISNUMBER(C4),ISNUMBER(D4)), C4-D4, "")</f>
        <v>-191293.06000000006</v>
      </c>
      <c r="F4" s="14">
        <f t="shared" ref="F4:F12" si="1">IFERROR(E4/D4, "")</f>
        <v>-6.9958193909542721E-2</v>
      </c>
      <c r="G4" s="15">
        <v>2729078.1</v>
      </c>
      <c r="H4" s="15">
        <f t="shared" ref="H4:H12" si="2">IF(AND(ISNUMBER(C4),ISNUMBER(G4)), C4-G4, "")</f>
        <v>-185980.10000000009</v>
      </c>
      <c r="I4" s="16">
        <f t="shared" ref="I4:I12" si="3">IFERROR(H4/G4, "")</f>
        <v>-6.8147591672074195E-2</v>
      </c>
      <c r="J4" s="46" t="s">
        <v>123</v>
      </c>
      <c r="K4" s="61" t="s">
        <v>124</v>
      </c>
      <c r="L4" s="56"/>
      <c r="M4" s="56"/>
      <c r="N4" s="56"/>
    </row>
    <row r="5" spans="1:15" ht="70.5" customHeight="1">
      <c r="A5" s="29" t="str">
        <v>Warsaw - Hemings</v>
      </c>
      <c r="B5" s="30" t="str">
        <v>VA</v>
      </c>
      <c r="C5" s="11">
        <v>1224675.8999999999</v>
      </c>
      <c r="D5" s="18">
        <v>502250.43</v>
      </c>
      <c r="E5" s="18">
        <f t="shared" si="0"/>
        <v>722425.47</v>
      </c>
      <c r="F5" s="19">
        <f t="shared" si="1"/>
        <v>1.4383770064666743</v>
      </c>
      <c r="G5" s="20">
        <v>1149768.47</v>
      </c>
      <c r="H5" s="20">
        <f t="shared" si="2"/>
        <v>74907.429999999935</v>
      </c>
      <c r="I5" s="19">
        <f t="shared" si="3"/>
        <v>6.5150012332482854E-2</v>
      </c>
      <c r="J5" s="45" t="s">
        <v>125</v>
      </c>
      <c r="K5" s="55" t="s">
        <v>126</v>
      </c>
      <c r="L5" s="56"/>
      <c r="M5" s="57"/>
      <c r="N5" s="57"/>
    </row>
    <row r="6" spans="1:15" ht="87.75" customHeight="1">
      <c r="A6" s="47" t="str">
        <v>Mount Jackson - Randolf</v>
      </c>
      <c r="B6" s="28" t="str">
        <v>VA</v>
      </c>
      <c r="C6" s="24">
        <v>745429.4</v>
      </c>
      <c r="D6" s="13">
        <v>781103.02</v>
      </c>
      <c r="E6" s="13">
        <f t="shared" si="0"/>
        <v>-35673.619999999995</v>
      </c>
      <c r="F6" s="14">
        <f t="shared" si="1"/>
        <v>-4.5670825853419431E-2</v>
      </c>
      <c r="G6" s="15">
        <v>830093.65</v>
      </c>
      <c r="H6" s="15">
        <f t="shared" si="2"/>
        <v>-84664.25</v>
      </c>
      <c r="I6" s="16">
        <f t="shared" si="3"/>
        <v>-0.10199361240746752</v>
      </c>
      <c r="J6" s="46" t="s">
        <v>127</v>
      </c>
      <c r="K6" s="54" t="s">
        <v>128</v>
      </c>
      <c r="L6" s="56"/>
      <c r="M6" s="57"/>
      <c r="N6" s="57"/>
    </row>
    <row r="7" spans="1:15" ht="61.5" customHeight="1">
      <c r="A7" s="29" t="str">
        <v>Callands Gretna - Monroe</v>
      </c>
      <c r="B7" s="30" t="str">
        <v>VA</v>
      </c>
      <c r="C7" s="11">
        <v>537642</v>
      </c>
      <c r="D7" s="18">
        <v>547410.17200000002</v>
      </c>
      <c r="E7" s="18">
        <f t="shared" si="0"/>
        <v>-9768.1720000000205</v>
      </c>
      <c r="F7" s="19">
        <f t="shared" si="1"/>
        <v>-1.7844337755565164E-2</v>
      </c>
      <c r="G7" s="20">
        <v>512383.36</v>
      </c>
      <c r="H7" s="20">
        <f t="shared" si="2"/>
        <v>25258.640000000014</v>
      </c>
      <c r="I7" s="19">
        <f t="shared" si="3"/>
        <v>4.929637059251888E-2</v>
      </c>
      <c r="J7" s="45" t="s">
        <v>129</v>
      </c>
      <c r="K7" s="55" t="s">
        <v>130</v>
      </c>
      <c r="L7" s="57"/>
      <c r="M7" s="70"/>
      <c r="N7" s="21"/>
    </row>
    <row r="8" spans="1:15" ht="54" customHeight="1">
      <c r="A8" s="31" t="str">
        <v>Rockbridge Baths - Small Mouth Bass</v>
      </c>
      <c r="B8" s="28" t="str">
        <v>VA</v>
      </c>
      <c r="C8" s="24">
        <v>292104</v>
      </c>
      <c r="D8" s="13">
        <v>0</v>
      </c>
      <c r="E8" s="13">
        <f t="shared" si="0"/>
        <v>292104</v>
      </c>
      <c r="F8" s="14" t="str">
        <f t="shared" si="1"/>
        <v/>
      </c>
      <c r="G8" s="15">
        <v>560659.32999999996</v>
      </c>
      <c r="H8" s="15">
        <f t="shared" si="2"/>
        <v>-268555.32999999996</v>
      </c>
      <c r="I8" s="16">
        <f t="shared" si="3"/>
        <v>-0.47899912768775288</v>
      </c>
      <c r="J8" s="46" t="s">
        <v>131</v>
      </c>
      <c r="K8" s="54" t="s">
        <v>132</v>
      </c>
      <c r="L8" s="56"/>
      <c r="M8" s="57"/>
      <c r="N8" s="57"/>
    </row>
    <row r="9" spans="1:15">
      <c r="A9" s="21"/>
      <c r="B9" s="21"/>
      <c r="C9" s="21"/>
      <c r="D9" s="21"/>
      <c r="E9" s="21" t="str">
        <f t="shared" si="0"/>
        <v/>
      </c>
      <c r="F9" s="21" t="str">
        <f t="shared" si="1"/>
        <v/>
      </c>
      <c r="G9" s="21"/>
      <c r="H9" s="21" t="str">
        <f t="shared" si="2"/>
        <v/>
      </c>
      <c r="I9" s="21" t="str">
        <f t="shared" si="3"/>
        <v/>
      </c>
      <c r="J9" s="21"/>
      <c r="K9" s="21"/>
      <c r="L9" s="21"/>
      <c r="M9" s="21"/>
      <c r="N9" s="21"/>
      <c r="O9" s="21"/>
    </row>
    <row r="10" spans="1:15">
      <c r="A10" s="21"/>
      <c r="B10" s="21"/>
      <c r="C10" s="21"/>
      <c r="D10" s="21"/>
      <c r="E10" s="21" t="str">
        <f t="shared" si="0"/>
        <v/>
      </c>
      <c r="F10" s="21" t="str">
        <f t="shared" si="1"/>
        <v/>
      </c>
      <c r="G10" s="21"/>
      <c r="H10" s="21" t="str">
        <f t="shared" si="2"/>
        <v/>
      </c>
      <c r="I10" s="21" t="str">
        <f t="shared" si="3"/>
        <v/>
      </c>
      <c r="J10" s="21"/>
      <c r="K10" s="21"/>
      <c r="L10" s="21"/>
      <c r="M10" s="21"/>
      <c r="N10" s="21"/>
      <c r="O10" s="21"/>
    </row>
    <row r="11" spans="1:15">
      <c r="A11" s="21"/>
      <c r="B11" s="21"/>
      <c r="C11" s="21"/>
      <c r="D11" s="21"/>
      <c r="E11" s="21" t="str">
        <f t="shared" si="0"/>
        <v/>
      </c>
      <c r="F11" s="21" t="str">
        <f t="shared" si="1"/>
        <v/>
      </c>
      <c r="G11" s="21"/>
      <c r="H11" s="21" t="str">
        <f t="shared" si="2"/>
        <v/>
      </c>
      <c r="I11" s="21" t="str">
        <f t="shared" si="3"/>
        <v/>
      </c>
      <c r="J11" s="21"/>
      <c r="K11" s="21"/>
      <c r="L11" s="21"/>
      <c r="M11" s="21"/>
      <c r="N11" s="21"/>
      <c r="O11" s="21"/>
    </row>
    <row r="12" spans="1:15">
      <c r="A12" s="21"/>
      <c r="B12" s="21"/>
      <c r="C12" s="21"/>
      <c r="D12" s="21"/>
      <c r="E12" s="21" t="str">
        <f t="shared" si="0"/>
        <v/>
      </c>
      <c r="F12" s="21" t="str">
        <f t="shared" si="1"/>
        <v/>
      </c>
      <c r="G12" s="21"/>
      <c r="H12" s="21" t="str">
        <f t="shared" si="2"/>
        <v/>
      </c>
      <c r="I12" s="21" t="str">
        <f t="shared" si="3"/>
        <v/>
      </c>
      <c r="J12" s="21"/>
      <c r="K12" s="21"/>
      <c r="L12" s="21"/>
      <c r="M12" s="21"/>
      <c r="N12" s="21"/>
      <c r="O12" s="21"/>
    </row>
    <row r="13" spans="1:15" ht="12.75" customHeight="1">
      <c r="A13" s="21"/>
      <c r="B13" s="21"/>
      <c r="C13" s="21"/>
      <c r="D13" s="21"/>
      <c r="E13" s="21"/>
      <c r="F13" s="21"/>
      <c r="G13" s="21"/>
      <c r="H13" s="21"/>
      <c r="I13" s="21"/>
      <c r="J13" s="21"/>
      <c r="K13" s="21"/>
      <c r="L13" s="21"/>
      <c r="M13" s="21"/>
      <c r="N13" s="21"/>
      <c r="O13" s="21"/>
    </row>
    <row r="14" spans="1:15">
      <c r="A14" s="21"/>
      <c r="B14" s="21"/>
      <c r="C14" s="21"/>
      <c r="D14" s="21"/>
      <c r="E14" s="21"/>
      <c r="F14" s="21"/>
      <c r="G14" s="21"/>
      <c r="H14" s="21"/>
      <c r="I14" s="21"/>
      <c r="J14" s="21"/>
      <c r="K14" s="21"/>
      <c r="L14" s="21"/>
      <c r="M14" s="21"/>
      <c r="N14" s="21"/>
      <c r="O14" s="21"/>
    </row>
    <row r="15" spans="1:15" ht="14.45">
      <c r="A15" s="21"/>
      <c r="B15" s="32"/>
      <c r="C15" s="21"/>
      <c r="D15" s="21"/>
      <c r="E15" s="21"/>
      <c r="F15" s="21"/>
      <c r="G15" s="21"/>
      <c r="H15" s="21"/>
      <c r="I15" s="21"/>
      <c r="J15" s="21"/>
      <c r="K15" s="21"/>
    </row>
    <row r="16" spans="1:15"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sortState xmlns:xlrd2="http://schemas.microsoft.com/office/spreadsheetml/2017/richdata2" ref="A3:K10">
    <sortCondition ref="A3:A10"/>
  </sortState>
  <mergeCells count="4">
    <mergeCell ref="G1:I1"/>
    <mergeCell ref="A1:C1"/>
    <mergeCell ref="D1:F1"/>
    <mergeCell ref="A2:B2"/>
  </mergeCells>
  <conditionalFormatting sqref="A9:K14 F15:F95 I15:I95">
    <cfRule type="cellIs" dxfId="28" priority="13" stopIfTrue="1" operator="lessThanOrEqual">
      <formula>-0.1</formula>
    </cfRule>
    <cfRule type="expression" dxfId="27" priority="14">
      <formula>AND(ISNUMBER(A9), A9&gt;=0.1)</formula>
    </cfRule>
  </conditionalFormatting>
  <conditionalFormatting sqref="F2 I2">
    <cfRule type="cellIs" dxfId="26" priority="15" stopIfTrue="1" operator="lessThanOrEqual">
      <formula>-0.1</formula>
    </cfRule>
    <cfRule type="expression" dxfId="25" priority="16">
      <formula>AND(ISNUMBER(F2), F2&gt;=0.1)</formula>
    </cfRule>
  </conditionalFormatting>
  <conditionalFormatting sqref="F4:F8 I4:I8">
    <cfRule type="cellIs" dxfId="24" priority="3" stopIfTrue="1" operator="lessThanOrEqual">
      <formula>-0.1</formula>
    </cfRule>
    <cfRule type="expression" dxfId="23" priority="4">
      <formula>AND(ISNUMBER(F4), F4&gt;=0.1)</formula>
    </cfRule>
  </conditionalFormatting>
  <conditionalFormatting sqref="N7">
    <cfRule type="cellIs" dxfId="22" priority="1" stopIfTrue="1" operator="lessThanOrEqual">
      <formula>-0.1</formula>
    </cfRule>
    <cfRule type="expression" dxfId="21" priority="2">
      <formula>AND(ISNUMBER(N7), N7&gt;=0.1)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S337"/>
  <sheetViews>
    <sheetView zoomScale="60" zoomScaleNormal="60" workbookViewId="0">
      <pane xSplit="2" ySplit="3" topLeftCell="D4" activePane="bottomRight" state="frozen"/>
      <selection pane="bottomRight" activeCell="J24" sqref="J24"/>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9" width="8.85546875" style="57"/>
  </cols>
  <sheetData>
    <row r="1" spans="1:17" ht="19.5" customHeight="1">
      <c r="A1" s="78" t="str" cm="1">
        <f t="array" ref="A1">portfolio</f>
        <v>True Green Capital Management LLC</v>
      </c>
      <c r="B1" s="78"/>
      <c r="C1" s="78"/>
      <c r="D1" s="79" t="s">
        <v>133</v>
      </c>
      <c r="E1" s="79"/>
      <c r="F1" s="79"/>
      <c r="G1" s="77" t="s">
        <v>134</v>
      </c>
      <c r="H1" s="77"/>
      <c r="I1" s="77"/>
      <c r="J1" s="4"/>
      <c r="K1" s="4"/>
    </row>
    <row r="2" spans="1:17" ht="19.5" customHeight="1">
      <c r="A2" s="80" t="s">
        <v>2</v>
      </c>
      <c r="B2" s="80"/>
      <c r="C2" s="5">
        <f>SUM(C4:C95)</f>
        <v>4554624.5999999996</v>
      </c>
      <c r="D2" s="5">
        <f>SUM(D4:D95)</f>
        <v>3387580.9699999997</v>
      </c>
      <c r="E2" s="5">
        <f>C2-D2</f>
        <v>1167043.6299999999</v>
      </c>
      <c r="F2" s="6">
        <f>IFERROR(E2/D2, 0)</f>
        <v>0.34450649012826401</v>
      </c>
      <c r="G2" s="5">
        <f>SUM(G4:G95)</f>
        <v>5239527.66</v>
      </c>
      <c r="H2" s="7">
        <f>C2-G2</f>
        <v>-684903.06000000052</v>
      </c>
      <c r="I2" s="6">
        <f>IFERROR(H2/G2, 0)</f>
        <v>-0.1307184739625939</v>
      </c>
      <c r="J2" s="26" t="str">
        <f ca="1">IF(AND(TODAY()&gt;DATE(2024, 8, 1), COUNTA(Sites[Site])&lt;&gt;(COUNT(C:C)-1)), "Some sites are missing actual data; if new sites were added, make sure they are aligned correctly (including prior months!)", "")</f>
        <v/>
      </c>
      <c r="K2" s="4"/>
    </row>
    <row r="3" spans="1:17" ht="14.25" customHeight="1">
      <c r="A3" s="8" t="s">
        <v>3</v>
      </c>
      <c r="B3" s="8" t="s">
        <v>4</v>
      </c>
      <c r="C3" s="23" t="s">
        <v>5</v>
      </c>
      <c r="D3" s="34" t="s">
        <v>6</v>
      </c>
      <c r="E3" s="34" t="s">
        <v>7</v>
      </c>
      <c r="F3" s="35" t="s">
        <v>8</v>
      </c>
      <c r="G3" s="36" t="s">
        <v>9</v>
      </c>
      <c r="H3" s="37" t="s">
        <v>7</v>
      </c>
      <c r="I3" s="38" t="s">
        <v>8</v>
      </c>
      <c r="J3" s="25" t="s">
        <v>20</v>
      </c>
      <c r="K3" s="25" t="s">
        <v>21</v>
      </c>
    </row>
    <row r="4" spans="1:17" ht="100.9">
      <c r="A4" s="47" t="str" cm="1">
        <f t="array" ref="A4:A8">Sites[Site]</f>
        <v>Rochester - 5516 Valleyhigh NW</v>
      </c>
      <c r="B4" s="28" t="str" cm="1">
        <f t="array" ref="B4:B8">Sites[State]</f>
        <v>MN</v>
      </c>
      <c r="C4" s="24">
        <v>2164221</v>
      </c>
      <c r="D4" s="13">
        <v>2244634.71</v>
      </c>
      <c r="E4" s="13">
        <f t="shared" ref="E4:E12" si="0">IF(AND(ISNUMBER(C4),ISNUMBER(D4)), C4-D4, "")</f>
        <v>-80413.709999999963</v>
      </c>
      <c r="F4" s="14">
        <f t="shared" ref="F4:F12" si="1">IFERROR(E4/D4, "")</f>
        <v>-3.582485365736858E-2</v>
      </c>
      <c r="G4" s="15">
        <v>2394063.9700000002</v>
      </c>
      <c r="H4" s="15">
        <f>IF(AND(ISNUMBER(C4),ISNUMBER(G4)), C4-G4, "")</f>
        <v>-229842.9700000002</v>
      </c>
      <c r="I4" s="16">
        <f t="shared" ref="I4:I8" si="2">IFERROR(H4/G4, "")</f>
        <v>-9.6005358620388156E-2</v>
      </c>
      <c r="J4" s="46" t="s">
        <v>135</v>
      </c>
      <c r="K4" s="54" t="s">
        <v>136</v>
      </c>
      <c r="L4" s="56" t="s">
        <v>49</v>
      </c>
      <c r="M4" s="56" t="s">
        <v>137</v>
      </c>
      <c r="N4" s="56" t="s">
        <v>138</v>
      </c>
      <c r="O4" s="56" t="s">
        <v>139</v>
      </c>
      <c r="P4" s="56" t="s">
        <v>140</v>
      </c>
      <c r="Q4" s="56" t="s">
        <v>141</v>
      </c>
    </row>
    <row r="5" spans="1:17" ht="57.6">
      <c r="A5" s="29" t="str">
        <v>Warsaw - Hemings</v>
      </c>
      <c r="B5" s="30" t="str">
        <v>VA</v>
      </c>
      <c r="C5" s="11">
        <v>790338.5</v>
      </c>
      <c r="D5" s="18">
        <v>0</v>
      </c>
      <c r="E5" s="18">
        <f t="shared" si="0"/>
        <v>790338.5</v>
      </c>
      <c r="F5" s="19" t="str">
        <f t="shared" si="1"/>
        <v/>
      </c>
      <c r="G5" s="20">
        <v>1079860.17</v>
      </c>
      <c r="H5" s="20">
        <f t="shared" ref="H5:H12" si="3">IF(AND(ISNUMBER(C5),ISNUMBER(G5)), C5-G5, "")</f>
        <v>-289521.66999999993</v>
      </c>
      <c r="I5" s="19">
        <f t="shared" si="2"/>
        <v>-0.26811033321101191</v>
      </c>
      <c r="J5" s="45" t="s">
        <v>142</v>
      </c>
      <c r="K5" s="55" t="s">
        <v>143</v>
      </c>
      <c r="L5" s="56" t="s">
        <v>144</v>
      </c>
      <c r="M5" s="56" t="s">
        <v>145</v>
      </c>
      <c r="N5" s="56" t="s">
        <v>146</v>
      </c>
    </row>
    <row r="6" spans="1:17" ht="43.15">
      <c r="A6" s="47" t="str">
        <v>Mount Jackson - Randolf</v>
      </c>
      <c r="B6" s="28" t="str">
        <v>VA</v>
      </c>
      <c r="C6" s="24">
        <v>690534.5</v>
      </c>
      <c r="D6" s="13">
        <v>702387.51599999995</v>
      </c>
      <c r="E6" s="13">
        <f t="shared" si="0"/>
        <v>-11853.015999999945</v>
      </c>
      <c r="F6" s="14">
        <f t="shared" si="1"/>
        <v>-1.6875322710035105E-2</v>
      </c>
      <c r="G6" s="15">
        <v>760750.11</v>
      </c>
      <c r="H6" s="15">
        <f t="shared" si="3"/>
        <v>-70215.609999999986</v>
      </c>
      <c r="I6" s="16">
        <f t="shared" si="2"/>
        <v>-9.2297863749240844E-2</v>
      </c>
      <c r="J6" s="46" t="s">
        <v>147</v>
      </c>
      <c r="K6" s="54" t="s">
        <v>148</v>
      </c>
      <c r="L6" s="56" t="s">
        <v>149</v>
      </c>
    </row>
    <row r="7" spans="1:17" ht="43.15">
      <c r="A7" s="29" t="str">
        <v>Callands Gretna - Monroe</v>
      </c>
      <c r="B7" s="30" t="str">
        <v>VA</v>
      </c>
      <c r="C7" s="11">
        <v>447651</v>
      </c>
      <c r="D7" s="18">
        <v>440558.74400000001</v>
      </c>
      <c r="E7" s="18">
        <f>IF(AND(ISNUMBER(C7),ISNUMBER(D7)), C7-D7, "")</f>
        <v>7092.2559999999939</v>
      </c>
      <c r="F7" s="19">
        <f t="shared" si="1"/>
        <v>1.6098320817802207E-2</v>
      </c>
      <c r="G7" s="20">
        <v>476302.14</v>
      </c>
      <c r="H7" s="20">
        <f t="shared" si="3"/>
        <v>-28651.140000000014</v>
      </c>
      <c r="I7" s="19">
        <f t="shared" si="2"/>
        <v>-6.0153288414786489E-2</v>
      </c>
      <c r="J7" s="45" t="s">
        <v>150</v>
      </c>
      <c r="K7" s="55" t="s">
        <v>151</v>
      </c>
      <c r="L7" s="56" t="s">
        <v>152</v>
      </c>
    </row>
    <row r="8" spans="1:17" ht="72">
      <c r="A8" s="31" t="str">
        <v>Rockbridge Baths - Small Mouth Bass</v>
      </c>
      <c r="B8" s="28" t="str">
        <v>VA</v>
      </c>
      <c r="C8" s="24">
        <v>461879.6</v>
      </c>
      <c r="D8" s="13">
        <v>0</v>
      </c>
      <c r="E8" s="13">
        <f t="shared" si="0"/>
        <v>461879.6</v>
      </c>
      <c r="F8" s="14" t="str">
        <f t="shared" si="1"/>
        <v/>
      </c>
      <c r="G8" s="15">
        <v>528551.27</v>
      </c>
      <c r="H8" s="15">
        <f t="shared" si="3"/>
        <v>-66671.670000000042</v>
      </c>
      <c r="I8" s="16">
        <f t="shared" si="2"/>
        <v>-0.12614040261411166</v>
      </c>
      <c r="J8" s="46" t="s">
        <v>153</v>
      </c>
      <c r="K8" s="54" t="s">
        <v>154</v>
      </c>
      <c r="L8" s="56" t="s">
        <v>93</v>
      </c>
      <c r="M8" s="56" t="s">
        <v>155</v>
      </c>
      <c r="N8" s="56" t="s">
        <v>156</v>
      </c>
      <c r="O8" s="56" t="s">
        <v>157</v>
      </c>
    </row>
    <row r="9" spans="1:17">
      <c r="A9" s="21"/>
      <c r="B9" s="21"/>
      <c r="C9" s="21"/>
      <c r="D9" s="21"/>
      <c r="E9" s="21" t="str">
        <f t="shared" si="0"/>
        <v/>
      </c>
      <c r="F9" s="21" t="str">
        <f t="shared" si="1"/>
        <v/>
      </c>
      <c r="G9" s="21"/>
      <c r="H9" s="21" t="str">
        <f t="shared" si="3"/>
        <v/>
      </c>
      <c r="I9" s="21" t="str">
        <f t="shared" ref="I9:I12" si="4">IFERROR(H9/G9, "")</f>
        <v/>
      </c>
      <c r="J9" s="21"/>
      <c r="K9" s="21"/>
      <c r="L9" s="71"/>
    </row>
    <row r="10" spans="1:17">
      <c r="A10" s="21"/>
      <c r="B10" s="21"/>
      <c r="C10" s="21"/>
      <c r="D10" s="21"/>
      <c r="E10" s="21" t="str">
        <f t="shared" si="0"/>
        <v/>
      </c>
      <c r="F10" s="21" t="str">
        <f t="shared" si="1"/>
        <v/>
      </c>
      <c r="G10" s="21"/>
      <c r="H10" s="21" t="str">
        <f t="shared" si="3"/>
        <v/>
      </c>
      <c r="I10" s="21" t="str">
        <f t="shared" si="4"/>
        <v/>
      </c>
      <c r="J10" s="21"/>
      <c r="K10" s="21"/>
      <c r="L10" s="71"/>
    </row>
    <row r="11" spans="1:17">
      <c r="A11" s="21"/>
      <c r="B11" s="21"/>
      <c r="C11" s="21"/>
      <c r="D11" s="21"/>
      <c r="E11" s="21" t="str">
        <f t="shared" si="0"/>
        <v/>
      </c>
      <c r="F11" s="21" t="str">
        <f t="shared" si="1"/>
        <v/>
      </c>
      <c r="G11" s="21"/>
      <c r="H11" s="21" t="str">
        <f t="shared" si="3"/>
        <v/>
      </c>
      <c r="I11" s="21" t="str">
        <f t="shared" si="4"/>
        <v/>
      </c>
      <c r="J11" s="21"/>
      <c r="K11" s="21"/>
      <c r="L11" s="71"/>
    </row>
    <row r="12" spans="1:17">
      <c r="A12" s="21"/>
      <c r="B12" s="21"/>
      <c r="C12" s="21"/>
      <c r="D12" s="21"/>
      <c r="E12" s="21" t="str">
        <f t="shared" si="0"/>
        <v/>
      </c>
      <c r="F12" s="21" t="str">
        <f t="shared" si="1"/>
        <v/>
      </c>
      <c r="G12" s="21"/>
      <c r="H12" s="21" t="str">
        <f t="shared" si="3"/>
        <v/>
      </c>
      <c r="I12" s="21" t="str">
        <f t="shared" si="4"/>
        <v/>
      </c>
      <c r="J12" s="21"/>
      <c r="K12" s="21"/>
      <c r="L12" s="71"/>
    </row>
    <row r="13" spans="1:17" ht="12.75" customHeight="1">
      <c r="A13" s="21"/>
      <c r="B13" s="21"/>
      <c r="C13" s="21"/>
      <c r="D13" s="21"/>
      <c r="E13" s="21"/>
      <c r="F13" s="21"/>
      <c r="G13" s="21"/>
      <c r="H13" s="21"/>
      <c r="I13" s="21"/>
      <c r="J13" s="21"/>
      <c r="K13" s="21"/>
      <c r="L13" s="71"/>
    </row>
    <row r="14" spans="1:17">
      <c r="A14" s="21"/>
      <c r="B14" s="21"/>
      <c r="C14" s="21"/>
      <c r="D14" s="21"/>
      <c r="E14" s="21"/>
      <c r="F14" s="21"/>
      <c r="G14" s="21"/>
      <c r="H14" s="21"/>
      <c r="I14" s="21"/>
      <c r="J14" s="21"/>
      <c r="K14" s="21"/>
      <c r="L14" s="71"/>
    </row>
    <row r="15" spans="1:17">
      <c r="A15" s="21"/>
      <c r="B15" s="21"/>
      <c r="C15" s="21"/>
      <c r="D15" s="21"/>
      <c r="E15" s="21"/>
      <c r="F15" s="21"/>
      <c r="G15" s="21"/>
      <c r="H15" s="21"/>
      <c r="I15" s="21"/>
      <c r="J15" s="21"/>
      <c r="K15" s="21"/>
      <c r="L15" s="71"/>
    </row>
    <row r="16" spans="1:17"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cfRule type="cellIs" dxfId="20" priority="5" stopIfTrue="1" operator="lessThanOrEqual">
      <formula>-0.1</formula>
    </cfRule>
    <cfRule type="expression" dxfId="19" priority="6">
      <formula>AND(ISNUMBER(F2), F2&gt;=0.1)</formula>
    </cfRule>
  </conditionalFormatting>
  <conditionalFormatting sqref="F4:F95 I4:I95">
    <cfRule type="cellIs" dxfId="18" priority="1" stopIfTrue="1" operator="lessThanOrEqual">
      <formula>-0.1</formula>
    </cfRule>
    <cfRule type="expression" dxfId="17" priority="2">
      <formula>AND(ISNUMBER(F4), F4&gt;=0.1)</formula>
    </cfRule>
  </conditionalFormatting>
  <hyperlinks>
    <hyperlink ref="K4" r:id="rId1" display="https://us3.assetplanner.com/service_request?ID=102147" xr:uid="{0255A83B-57DF-40E2-A113-DDB519D00FFA}"/>
    <hyperlink ref="L4" r:id="rId2" display="https://us3.assetplanner.com/service_request?ID=099221" xr:uid="{F60D5355-63FB-46C6-9766-0B8E89F03B84}"/>
    <hyperlink ref="M4" r:id="rId3" display="https://us3.assetplanner.com/service_request?ID=105946" xr:uid="{56D41EB8-FB4B-44BB-A670-FF469F149BD0}"/>
    <hyperlink ref="N4" r:id="rId4" display="https://us3.assetplanner.com/service_request?ID=107054" xr:uid="{CD6BF34F-F8D7-46CE-A690-35AB84157536}"/>
    <hyperlink ref="O4" r:id="rId5" display="https://us3.assetplanner.com/service_request?ID=105860" xr:uid="{5DB95137-7F2D-4A56-9359-324F2896A0C9}"/>
    <hyperlink ref="P4" r:id="rId6" display="https://us3.assetplanner.com/service_request?ID=106166" xr:uid="{2759D571-7291-4686-8BF4-95745832E56E}"/>
    <hyperlink ref="Q4" r:id="rId7" display="https://us3.assetplanner.com/service_request?ID=105393" xr:uid="{E2FA669B-457F-48B0-86C5-02C79E8987E1}"/>
    <hyperlink ref="K5" r:id="rId8" display="https://us3.assetplanner.com/service_request?ID=101583" xr:uid="{BA948C3A-CD92-4DA4-8BD3-8E458F9CAED6}"/>
    <hyperlink ref="L5" r:id="rId9" display="https://us3.assetplanner.com/service_request?ID=105308" xr:uid="{F7788721-BFB9-4D8A-9C72-CBBF5B8562A4}"/>
    <hyperlink ref="M5" r:id="rId10" display="https://us3.assetplanner.com/service_request?ID=105629" xr:uid="{9A48E778-B113-4E05-AADA-56CC0469A837}"/>
    <hyperlink ref="N5" r:id="rId11" display="https://us3.assetplanner.com/service_request?ID=104941" xr:uid="{9DC9BCB5-AEAF-4BF3-9F68-C91014D404ED}"/>
    <hyperlink ref="K6" r:id="rId12" display="https://us3.assetplanner.com/service_request?ID=103137" xr:uid="{0A8E18CE-60BC-4C3D-A1FC-A3BF2E2DFA41}"/>
    <hyperlink ref="L6" r:id="rId13" display="https://us3.assetplanner.com/service_request?ID=105402" xr:uid="{32826E88-6F48-40F2-904A-143EB367DDEE}"/>
    <hyperlink ref="K7" r:id="rId14" display="https://us3.assetplanner.com/service_request?ID=099420" xr:uid="{DA255E4D-AE6B-420A-8D3E-6E22EE538045}"/>
    <hyperlink ref="L7" r:id="rId15" display="https://us3.assetplanner.com/service_request?ID=101449" xr:uid="{B10CE8E4-9ADE-47CF-9AF0-B1B81563729E}"/>
    <hyperlink ref="K8" r:id="rId16" display="https://us3.assetplanner.com/service_request?ID=101580" xr:uid="{737C7A57-A911-4020-B83E-D0EEF188DC1A}"/>
    <hyperlink ref="L8" r:id="rId17" display="https://us3.assetplanner.com/service_request?ID=100415" xr:uid="{5EA81E41-D2C8-4017-B3B4-43F23A1E9C3B}"/>
    <hyperlink ref="M8" r:id="rId18" display="https://us3.assetplanner.com/service_request?ID=105397" xr:uid="{34BE1A8E-C920-42AC-B3AE-A4E6293E379B}"/>
    <hyperlink ref="N8" r:id="rId19" display="https://us3.assetplanner.com/service_request?ID=106590" xr:uid="{4C0DB83A-5FE7-4244-B152-172BAF51C047}"/>
    <hyperlink ref="O8" r:id="rId20" display="https://us3.assetplanner.com/service_request?ID=106873" xr:uid="{4E60054B-14F4-464C-BC36-382B6A40545A}"/>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O337"/>
  <sheetViews>
    <sheetView zoomScale="70" zoomScaleNormal="70" workbookViewId="0">
      <pane xSplit="2" ySplit="3" topLeftCell="J15" activePane="bottomRight" state="frozen"/>
      <selection pane="bottomRight" activeCell="J15" sqref="J15"/>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57"/>
  </cols>
  <sheetData>
    <row r="1" spans="1:14" ht="19.5" customHeight="1">
      <c r="A1" s="78" t="str" cm="1">
        <f t="array" ref="A1">portfolio</f>
        <v>True Green Capital Management LLC</v>
      </c>
      <c r="B1" s="78"/>
      <c r="C1" s="78"/>
      <c r="D1" s="79" t="s">
        <v>158</v>
      </c>
      <c r="E1" s="79"/>
      <c r="F1" s="79"/>
      <c r="G1" s="77" t="s">
        <v>159</v>
      </c>
      <c r="H1" s="77"/>
      <c r="I1" s="77"/>
      <c r="J1" s="4"/>
      <c r="K1" s="4"/>
    </row>
    <row r="2" spans="1:14" ht="19.5" customHeight="1">
      <c r="A2" s="80" t="s">
        <v>2</v>
      </c>
      <c r="B2" s="80"/>
      <c r="C2" s="5">
        <f>SUM(C4:C95)</f>
        <v>3515868.6999999997</v>
      </c>
      <c r="D2" s="5">
        <f>SUM(D4:D95)</f>
        <v>2048734.3</v>
      </c>
      <c r="E2" s="5">
        <f>C2-D2</f>
        <v>1467134.3999999997</v>
      </c>
      <c r="F2" s="6">
        <f>IFERROR(E2/D2, 0)</f>
        <v>0.71611745847179875</v>
      </c>
      <c r="G2" s="5">
        <f>SUM(G4:G95)</f>
        <v>4259688.4000000004</v>
      </c>
      <c r="H2" s="7">
        <f>C2-G2</f>
        <v>-743819.70000000065</v>
      </c>
      <c r="I2" s="6">
        <f>IFERROR(H2/G2, 0)</f>
        <v>-0.17461833593274112</v>
      </c>
      <c r="J2" s="26" t="str">
        <f ca="1">IF(AND(TODAY()&gt;DATE(2024, 9, 1), COUNTA(Sites[Site])&lt;&gt;(COUNT(C:C)-1)), "Some sites are missing actual data; if new sites were added, make sure they are aligned correctly (including prior months!)", "")</f>
        <v/>
      </c>
      <c r="K2" s="4"/>
    </row>
    <row r="3" spans="1:14" ht="14.25" customHeight="1">
      <c r="A3" s="8" t="s">
        <v>3</v>
      </c>
      <c r="B3" s="8" t="s">
        <v>4</v>
      </c>
      <c r="C3" s="23" t="s">
        <v>5</v>
      </c>
      <c r="D3" s="34" t="s">
        <v>6</v>
      </c>
      <c r="E3" s="34" t="s">
        <v>7</v>
      </c>
      <c r="F3" s="35" t="s">
        <v>8</v>
      </c>
      <c r="G3" s="36" t="s">
        <v>9</v>
      </c>
      <c r="H3" s="37" t="s">
        <v>7</v>
      </c>
      <c r="I3" s="38" t="s">
        <v>8</v>
      </c>
      <c r="J3" s="25" t="s">
        <v>20</v>
      </c>
      <c r="K3" s="25" t="s">
        <v>21</v>
      </c>
    </row>
    <row r="4" spans="1:14" ht="90.75" customHeight="1">
      <c r="A4" s="29" t="str" cm="1">
        <f t="array" ref="A4:A8">Sites[Site]</f>
        <v>Rochester - 5516 Valleyhigh NW</v>
      </c>
      <c r="B4" s="30" t="str" cm="1">
        <f t="array" ref="B4:B8">Sites[State]</f>
        <v>MN</v>
      </c>
      <c r="C4" s="11">
        <v>1421436</v>
      </c>
      <c r="D4" s="18">
        <v>1231101</v>
      </c>
      <c r="E4" s="18">
        <f t="shared" ref="E4:E12" si="0">IF(AND(ISNUMBER(C4),ISNUMBER(D4)), C4-D4, "")</f>
        <v>190335</v>
      </c>
      <c r="F4" s="19">
        <f t="shared" ref="F4:F12" si="1">IFERROR(E4/D4, "")</f>
        <v>0.15460551165176536</v>
      </c>
      <c r="G4" s="49">
        <v>1880527</v>
      </c>
      <c r="H4" s="20">
        <f t="shared" ref="H4:H12" si="2">IF(AND(ISNUMBER(C4),ISNUMBER(G4)), C4-G4, "")</f>
        <v>-459091</v>
      </c>
      <c r="I4" s="19">
        <f t="shared" ref="I4:I12" si="3">IFERROR(H4/G4, "")</f>
        <v>-0.24412890641825402</v>
      </c>
      <c r="J4" s="50" t="s">
        <v>160</v>
      </c>
      <c r="K4" s="72" t="s">
        <v>161</v>
      </c>
      <c r="L4" s="56" t="s">
        <v>162</v>
      </c>
      <c r="M4" s="56" t="s">
        <v>49</v>
      </c>
      <c r="N4" s="56" t="s">
        <v>163</v>
      </c>
    </row>
    <row r="5" spans="1:14" ht="45" customHeight="1">
      <c r="A5" s="31" t="str">
        <v>Warsaw - Hemings</v>
      </c>
      <c r="B5" s="28" t="str">
        <v>VA</v>
      </c>
      <c r="C5" s="24">
        <v>756441.8</v>
      </c>
      <c r="D5" s="13">
        <v>0</v>
      </c>
      <c r="E5" s="13">
        <f t="shared" si="0"/>
        <v>756441.8</v>
      </c>
      <c r="F5" s="14" t="str">
        <f t="shared" si="1"/>
        <v/>
      </c>
      <c r="G5" s="15">
        <v>903150</v>
      </c>
      <c r="H5" s="15">
        <f t="shared" si="2"/>
        <v>-146708.19999999995</v>
      </c>
      <c r="I5" s="16">
        <f t="shared" si="3"/>
        <v>-0.16244056911919388</v>
      </c>
      <c r="J5" s="40" t="s">
        <v>164</v>
      </c>
      <c r="K5" s="60" t="s">
        <v>165</v>
      </c>
      <c r="L5" s="56" t="s">
        <v>166</v>
      </c>
      <c r="M5" s="56" t="s">
        <v>103</v>
      </c>
    </row>
    <row r="6" spans="1:14" ht="34.5" customHeight="1">
      <c r="A6" s="29" t="str">
        <v>Mount Jackson - Randolf</v>
      </c>
      <c r="B6" s="30" t="str">
        <v>VA</v>
      </c>
      <c r="C6" s="11">
        <v>513321.6</v>
      </c>
      <c r="D6" s="18">
        <v>472595.8</v>
      </c>
      <c r="E6" s="18">
        <f t="shared" si="0"/>
        <v>40725.799999999988</v>
      </c>
      <c r="F6" s="19">
        <f t="shared" si="1"/>
        <v>8.6174697278308413E-2</v>
      </c>
      <c r="G6" s="20">
        <v>629251.5</v>
      </c>
      <c r="H6" s="20">
        <f t="shared" si="2"/>
        <v>-115929.90000000002</v>
      </c>
      <c r="I6" s="19">
        <f t="shared" si="3"/>
        <v>-0.1842346025396841</v>
      </c>
      <c r="J6" s="50" t="s">
        <v>167</v>
      </c>
      <c r="K6" s="73" t="s">
        <v>168</v>
      </c>
      <c r="L6" s="56" t="s">
        <v>169</v>
      </c>
      <c r="M6" s="71"/>
    </row>
    <row r="7" spans="1:14" ht="57.6">
      <c r="A7" s="31" t="str">
        <v>Callands Gretna - Monroe</v>
      </c>
      <c r="B7" s="28" t="str">
        <v>VA</v>
      </c>
      <c r="C7" s="24">
        <v>403870</v>
      </c>
      <c r="D7" s="13">
        <v>345037.5</v>
      </c>
      <c r="E7" s="13">
        <f t="shared" si="0"/>
        <v>58832.5</v>
      </c>
      <c r="F7" s="14">
        <f t="shared" si="1"/>
        <v>0.17051045176248958</v>
      </c>
      <c r="G7" s="15">
        <v>405959.9</v>
      </c>
      <c r="H7" s="15">
        <f t="shared" si="2"/>
        <v>-2089.9000000000233</v>
      </c>
      <c r="I7" s="16">
        <f t="shared" si="3"/>
        <v>-5.1480454103965028E-3</v>
      </c>
      <c r="J7" s="40" t="s">
        <v>170</v>
      </c>
      <c r="K7" s="60" t="s">
        <v>171</v>
      </c>
      <c r="L7" s="56" t="s">
        <v>172</v>
      </c>
      <c r="M7" s="56" t="s">
        <v>152</v>
      </c>
    </row>
    <row r="8" spans="1:14" ht="39.6">
      <c r="A8" s="29" t="str">
        <v>Rockbridge Baths - Small Mouth Bass</v>
      </c>
      <c r="B8" s="30" t="str">
        <v>VA</v>
      </c>
      <c r="C8" s="11">
        <v>420799.3</v>
      </c>
      <c r="D8" s="18">
        <v>0</v>
      </c>
      <c r="E8" s="18">
        <f t="shared" si="0"/>
        <v>420799.3</v>
      </c>
      <c r="F8" s="19" t="str">
        <f t="shared" si="1"/>
        <v/>
      </c>
      <c r="G8" s="20">
        <v>440800</v>
      </c>
      <c r="H8" s="20">
        <f t="shared" si="2"/>
        <v>-20000.700000000012</v>
      </c>
      <c r="I8" s="19">
        <f t="shared" si="3"/>
        <v>-4.5373638838475526E-2</v>
      </c>
      <c r="J8" s="41" t="s">
        <v>173</v>
      </c>
      <c r="K8" s="72" t="s">
        <v>174</v>
      </c>
      <c r="L8" s="56" t="s">
        <v>108</v>
      </c>
      <c r="M8" s="56" t="s">
        <v>93</v>
      </c>
    </row>
    <row r="9" spans="1:14">
      <c r="A9" s="21"/>
      <c r="B9" s="21"/>
      <c r="C9" s="21"/>
      <c r="D9" s="21"/>
      <c r="E9" s="21" t="str">
        <f t="shared" si="0"/>
        <v/>
      </c>
      <c r="F9" s="21" t="str">
        <f t="shared" si="1"/>
        <v/>
      </c>
      <c r="G9" s="21"/>
      <c r="H9" s="21" t="str">
        <f t="shared" si="2"/>
        <v/>
      </c>
      <c r="I9" s="21" t="str">
        <f t="shared" si="3"/>
        <v/>
      </c>
      <c r="J9" s="21"/>
      <c r="K9" s="21"/>
      <c r="L9" s="71"/>
      <c r="M9" s="71"/>
    </row>
    <row r="10" spans="1:14">
      <c r="A10" s="21"/>
      <c r="B10" s="21"/>
      <c r="C10" s="21"/>
      <c r="D10" s="21"/>
      <c r="E10" s="21" t="str">
        <f t="shared" si="0"/>
        <v/>
      </c>
      <c r="F10" s="21" t="str">
        <f t="shared" si="1"/>
        <v/>
      </c>
      <c r="G10" s="21"/>
      <c r="H10" s="21" t="str">
        <f t="shared" si="2"/>
        <v/>
      </c>
      <c r="I10" s="21" t="str">
        <f t="shared" si="3"/>
        <v/>
      </c>
      <c r="J10" s="21"/>
      <c r="K10" s="21"/>
      <c r="L10" s="71"/>
      <c r="M10" s="71"/>
    </row>
    <row r="11" spans="1:14">
      <c r="A11" s="21"/>
      <c r="B11" s="21"/>
      <c r="C11" s="21"/>
      <c r="D11" s="21"/>
      <c r="E11" s="21" t="str">
        <f t="shared" si="0"/>
        <v/>
      </c>
      <c r="F11" s="21" t="str">
        <f t="shared" si="1"/>
        <v/>
      </c>
      <c r="G11" s="21"/>
      <c r="H11" s="21" t="str">
        <f t="shared" si="2"/>
        <v/>
      </c>
      <c r="I11" s="21" t="str">
        <f t="shared" si="3"/>
        <v/>
      </c>
      <c r="J11" s="21"/>
      <c r="K11" s="21"/>
      <c r="L11" s="71"/>
      <c r="M11" s="71"/>
    </row>
    <row r="12" spans="1:14">
      <c r="A12" s="21"/>
      <c r="B12" s="21"/>
      <c r="C12" s="21"/>
      <c r="D12" s="21"/>
      <c r="E12" s="21" t="str">
        <f t="shared" si="0"/>
        <v/>
      </c>
      <c r="F12" s="21" t="str">
        <f t="shared" si="1"/>
        <v/>
      </c>
      <c r="G12" s="21"/>
      <c r="H12" s="21" t="str">
        <f t="shared" si="2"/>
        <v/>
      </c>
      <c r="I12" s="21" t="str">
        <f t="shared" si="3"/>
        <v/>
      </c>
      <c r="J12" s="21"/>
      <c r="K12" s="21"/>
      <c r="L12" s="71"/>
      <c r="M12" s="71"/>
    </row>
    <row r="13" spans="1:14" ht="12.75" customHeight="1">
      <c r="A13" s="21"/>
      <c r="B13" s="32"/>
      <c r="C13" s="21"/>
      <c r="D13" s="21"/>
      <c r="E13" s="21"/>
      <c r="F13" s="21"/>
      <c r="G13" s="21"/>
      <c r="H13" s="21"/>
      <c r="I13" s="21"/>
      <c r="J13" s="21"/>
      <c r="K13" s="21"/>
    </row>
    <row r="14" spans="1:14" ht="14.45">
      <c r="A14" s="21"/>
      <c r="B14" s="32"/>
      <c r="C14" s="21"/>
      <c r="D14" s="21"/>
      <c r="E14" s="21"/>
      <c r="F14" s="21"/>
      <c r="G14" s="21"/>
      <c r="H14" s="21"/>
      <c r="I14" s="21"/>
      <c r="J14" s="21"/>
      <c r="K14" s="21"/>
    </row>
    <row r="15" spans="1:14" ht="14.45">
      <c r="A15" s="21"/>
      <c r="B15" s="32"/>
      <c r="C15" s="21"/>
      <c r="D15" s="21"/>
      <c r="E15" s="21"/>
      <c r="F15" s="21"/>
      <c r="G15" s="21"/>
      <c r="H15" s="21"/>
      <c r="I15" s="21"/>
      <c r="J15" s="21"/>
      <c r="K15" s="21"/>
    </row>
    <row r="16" spans="1:14"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16" priority="3" stopIfTrue="1" operator="lessThanOrEqual">
      <formula>-0.1</formula>
    </cfRule>
    <cfRule type="expression" dxfId="15" priority="4">
      <formula>AND(ISNUMBER(F2), F2&gt;=0.1)</formula>
    </cfRule>
  </conditionalFormatting>
  <conditionalFormatting sqref="F13:F95 I13:I95">
    <cfRule type="cellIs" dxfId="14" priority="1" stopIfTrue="1" operator="lessThanOrEqual">
      <formula>-0.1</formula>
    </cfRule>
    <cfRule type="expression" dxfId="13" priority="2">
      <formula>AND(ISNUMBER(F13), F13&gt;=0.1)</formula>
    </cfRule>
  </conditionalFormatting>
  <hyperlinks>
    <hyperlink ref="K4" r:id="rId1" display="https://us3.assetplanner.com/service_request?ID=107451" xr:uid="{8F63755C-0E34-49AA-99C0-8626F3CCFEF6}"/>
    <hyperlink ref="L4" r:id="rId2" display="https://us3.assetplanner.com/service_request?ID=107650" xr:uid="{177290BD-F0BC-4418-94B9-5302E682F041}"/>
    <hyperlink ref="M4" r:id="rId3" display="https://us3.assetplanner.com/service_request?ID=099221" xr:uid="{B9E95D0D-406D-4C8F-BCCB-EADA5FE8D2A9}"/>
    <hyperlink ref="N4" r:id="rId4" display="https://us3.assetplanner.com/service_request?ID=102147" xr:uid="{826F1E1C-55AC-4757-8EEE-E429B2EB92A7}"/>
    <hyperlink ref="K5" r:id="rId5" display="https://us3.assetplanner.com/service_request?ID=104941" xr:uid="{0CF89D99-741B-4A0C-87BD-72FC20D5597E}"/>
    <hyperlink ref="L5" r:id="rId6" display="https://us3.assetplanner.com/service_request?ID=107935" xr:uid="{ED2F836C-07F8-452B-8EE3-52212191842A}"/>
    <hyperlink ref="M5" r:id="rId7" display="https://us3.assetplanner.com/service_request?ID=101583" xr:uid="{4B2C0EA7-A84A-4976-B66B-06E5F23D378A}"/>
    <hyperlink ref="K6" r:id="rId8" display="https://us3.assetplanner.com/service_request?ID=105402" xr:uid="{B0292592-B965-4C54-8B97-2F45507E8E29}"/>
    <hyperlink ref="L6" r:id="rId9" display="https://us3.assetplanner.com/service_request?ID=108406" xr:uid="{0BEEFB94-8C1F-42BE-B20E-FC86636F8B7D}"/>
    <hyperlink ref="K7" r:id="rId10" display="https://us3.assetplanner.com/service_request?ID=099420" xr:uid="{DDC4BBC7-6146-4ED4-90C0-933D4A763FF0}"/>
    <hyperlink ref="L7" r:id="rId11" display="https://us3.assetplanner.com/service_request?ID=108512" xr:uid="{ED4EB52A-A9CE-497A-9DB6-E4FD66DE6569}"/>
    <hyperlink ref="M7" r:id="rId12" display="https://us3.assetplanner.com/service_request?ID=101449" xr:uid="{BCEF1F0D-7473-4543-83AC-FF32D3B2B884}"/>
    <hyperlink ref="K8" r:id="rId13" display="https://us3.assetplanner.com/service_request?ID=105397" xr:uid="{1B8170F0-F5D0-4CBD-A427-127C620C6FCB}"/>
    <hyperlink ref="L8" r:id="rId14" display="https://us3.assetplanner.com/service_request?ID=101580" xr:uid="{8B1D2C4D-75A6-4052-8D70-C4D0ED34FC15}"/>
    <hyperlink ref="M8" r:id="rId15" display="https://us3.assetplanner.com/service_request?ID=100415" xr:uid="{FE3ECB99-7CB2-47F6-A755-C8D15FD04211}"/>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R337"/>
  <sheetViews>
    <sheetView zoomScale="70" zoomScaleNormal="70" workbookViewId="0">
      <pane xSplit="2" ySplit="3" topLeftCell="C4" activePane="bottomRight" state="frozen"/>
      <selection pane="bottomRight" activeCell="J4" sqref="J4"/>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3.5703125" customWidth="1"/>
    <col min="12" max="12" width="23.5703125" style="57" customWidth="1"/>
  </cols>
  <sheetData>
    <row r="1" spans="1:18" ht="19.5" customHeight="1">
      <c r="A1" s="78" t="str" cm="1">
        <f t="array" ref="A1">portfolio</f>
        <v>True Green Capital Management LLC</v>
      </c>
      <c r="B1" s="78"/>
      <c r="C1" s="78"/>
      <c r="D1" s="79" t="s">
        <v>175</v>
      </c>
      <c r="E1" s="79"/>
      <c r="F1" s="79"/>
      <c r="G1" s="77" t="s">
        <v>176</v>
      </c>
      <c r="H1" s="77"/>
      <c r="I1" s="77"/>
      <c r="J1" s="4"/>
      <c r="K1" s="4"/>
    </row>
    <row r="2" spans="1:18" ht="19.5" customHeight="1">
      <c r="A2" s="80" t="s">
        <v>2</v>
      </c>
      <c r="B2" s="80"/>
      <c r="C2" s="5">
        <f>SUM(C4:C95)</f>
        <v>3409621.5</v>
      </c>
      <c r="D2" s="5">
        <f>SUM(D4:D95)</f>
        <v>2918121.5</v>
      </c>
      <c r="E2" s="5">
        <f>C2-D2</f>
        <v>491500</v>
      </c>
      <c r="F2" s="6">
        <f>IFERROR(E2/D2, 0)</f>
        <v>0.1684302726942658</v>
      </c>
      <c r="G2" s="5">
        <f>SUM(G4:G95)</f>
        <v>3339773.8000000003</v>
      </c>
      <c r="H2" s="7">
        <f>C2-G2</f>
        <v>69847.699999999721</v>
      </c>
      <c r="I2" s="6">
        <f>IFERROR(H2/G2, 0)</f>
        <v>2.0913901414520861E-2</v>
      </c>
      <c r="J2" s="26" t="str">
        <f ca="1">IF(AND(TODAY()&gt;DATE(2024, 10, 1), COUNTA(Sites[Site])&lt;&gt;(COUNT(C:C)-1)), "Some sites are missing actual data; if new sites were added, make sure they are aligned correctly (including prior months!)", "")</f>
        <v/>
      </c>
      <c r="K2" s="4"/>
    </row>
    <row r="3" spans="1:18" ht="14.25" customHeight="1">
      <c r="A3" s="8" t="s">
        <v>3</v>
      </c>
      <c r="B3" s="8" t="s">
        <v>4</v>
      </c>
      <c r="C3" s="23" t="s">
        <v>5</v>
      </c>
      <c r="D3" s="34" t="s">
        <v>6</v>
      </c>
      <c r="E3" s="34" t="s">
        <v>7</v>
      </c>
      <c r="F3" s="35" t="s">
        <v>8</v>
      </c>
      <c r="G3" s="36" t="s">
        <v>9</v>
      </c>
      <c r="H3" s="37" t="s">
        <v>7</v>
      </c>
      <c r="I3" s="38" t="s">
        <v>8</v>
      </c>
      <c r="J3" s="25" t="s">
        <v>20</v>
      </c>
      <c r="K3" s="25" t="s">
        <v>21</v>
      </c>
      <c r="L3" s="53" t="s">
        <v>177</v>
      </c>
    </row>
    <row r="4" spans="1:18" ht="253.9" customHeight="1">
      <c r="A4" s="29" t="str" cm="1">
        <f t="array" ref="A4:A8">Sites[Site]</f>
        <v>Rochester - 5516 Valleyhigh NW</v>
      </c>
      <c r="B4" s="30" t="str" cm="1">
        <f t="array" ref="B4:B8">Sites[State]</f>
        <v>MN</v>
      </c>
      <c r="C4" s="11">
        <v>1187198</v>
      </c>
      <c r="D4" s="18">
        <v>1325631</v>
      </c>
      <c r="E4" s="18">
        <f t="shared" ref="E4:E12" si="0">IF(AND(ISNUMBER(C4),ISNUMBER(D4)), C4-D4, "")</f>
        <v>-138433</v>
      </c>
      <c r="F4" s="19">
        <f t="shared" ref="F4:F12" si="1">IFERROR(E4/D4, "")</f>
        <v>-0.10442800447485009</v>
      </c>
      <c r="G4" s="20">
        <v>1337272</v>
      </c>
      <c r="H4" s="20">
        <f t="shared" ref="H4:H11" si="2">IF(AND(ISNUMBER(C4),ISNUMBER(G4)), C4-G4, "")</f>
        <v>-150074</v>
      </c>
      <c r="I4" s="19">
        <f t="shared" ref="I4:I11" si="3">IFERROR(H4/G4, "")</f>
        <v>-0.11222399033255763</v>
      </c>
      <c r="J4" s="50" t="s">
        <v>178</v>
      </c>
      <c r="K4" s="55" t="s">
        <v>179</v>
      </c>
      <c r="L4" s="74" t="s">
        <v>180</v>
      </c>
      <c r="M4" s="59" t="s">
        <v>49</v>
      </c>
      <c r="N4" s="59" t="s">
        <v>163</v>
      </c>
      <c r="O4" s="59" t="s">
        <v>181</v>
      </c>
      <c r="P4" s="59" t="s">
        <v>182</v>
      </c>
      <c r="Q4" s="59" t="s">
        <v>183</v>
      </c>
      <c r="R4" s="59" t="s">
        <v>184</v>
      </c>
    </row>
    <row r="5" spans="1:18" ht="66.400000000000006" customHeight="1">
      <c r="A5" s="31" t="str">
        <v>Warsaw - Hemings</v>
      </c>
      <c r="B5" s="28" t="str">
        <v>VA</v>
      </c>
      <c r="C5" s="24">
        <v>875509.89999999898</v>
      </c>
      <c r="D5" s="13">
        <v>861665.3</v>
      </c>
      <c r="E5" s="13">
        <f t="shared" si="0"/>
        <v>13844.599999998929</v>
      </c>
      <c r="F5" s="14">
        <f t="shared" si="1"/>
        <v>1.6067259526406516E-2</v>
      </c>
      <c r="G5" s="15">
        <v>723990</v>
      </c>
      <c r="H5" s="15">
        <f t="shared" si="2"/>
        <v>151519.89999999898</v>
      </c>
      <c r="I5" s="16">
        <f t="shared" si="3"/>
        <v>0.20928452050442545</v>
      </c>
      <c r="J5" s="46" t="s">
        <v>185</v>
      </c>
      <c r="K5" s="54" t="s">
        <v>186</v>
      </c>
      <c r="L5" s="46" t="s">
        <v>187</v>
      </c>
      <c r="M5" s="59" t="s">
        <v>188</v>
      </c>
    </row>
    <row r="6" spans="1:18" ht="15.6">
      <c r="A6" s="29" t="str">
        <v>Mount Jackson - Randolf</v>
      </c>
      <c r="B6" s="30" t="str">
        <v>VA</v>
      </c>
      <c r="C6" s="11">
        <v>590677.10000000102</v>
      </c>
      <c r="D6" s="18">
        <v>575691.1</v>
      </c>
      <c r="E6" s="18">
        <f t="shared" si="0"/>
        <v>14986.000000001048</v>
      </c>
      <c r="F6" s="19">
        <f t="shared" si="1"/>
        <v>2.6031321311031294E-2</v>
      </c>
      <c r="G6" s="20">
        <v>536959.19999999995</v>
      </c>
      <c r="H6" s="20">
        <f t="shared" si="2"/>
        <v>53717.900000001071</v>
      </c>
      <c r="I6" s="19">
        <f t="shared" si="3"/>
        <v>0.1000409342087836</v>
      </c>
      <c r="J6" s="45" t="s">
        <v>189</v>
      </c>
      <c r="K6" s="45"/>
    </row>
    <row r="7" spans="1:18" ht="15.6">
      <c r="A7" s="31" t="str">
        <v>Callands Gretna - Monroe</v>
      </c>
      <c r="B7" s="28" t="str">
        <v>VA</v>
      </c>
      <c r="C7" s="24">
        <v>376347</v>
      </c>
      <c r="D7" s="13">
        <v>155134.1</v>
      </c>
      <c r="E7" s="13">
        <f t="shared" si="0"/>
        <v>221212.9</v>
      </c>
      <c r="F7" s="14">
        <f t="shared" si="1"/>
        <v>1.4259463264362895</v>
      </c>
      <c r="G7" s="15">
        <v>361097.6</v>
      </c>
      <c r="H7" s="15">
        <f t="shared" si="2"/>
        <v>15249.400000000023</v>
      </c>
      <c r="I7" s="16">
        <f t="shared" si="3"/>
        <v>4.2230687769733238E-2</v>
      </c>
      <c r="J7" s="46" t="s">
        <v>190</v>
      </c>
      <c r="K7" s="54" t="s">
        <v>191</v>
      </c>
      <c r="L7" s="46" t="s">
        <v>192</v>
      </c>
    </row>
    <row r="8" spans="1:18" ht="86.45">
      <c r="A8" s="29" t="str">
        <v>Rockbridge Baths - Small Mouth Bass</v>
      </c>
      <c r="B8" s="30" t="str">
        <v>VA</v>
      </c>
      <c r="C8" s="11">
        <v>379889.5</v>
      </c>
      <c r="D8" s="18">
        <v>0</v>
      </c>
      <c r="E8" s="18">
        <f t="shared" si="0"/>
        <v>379889.5</v>
      </c>
      <c r="F8" s="19" t="str">
        <f t="shared" si="1"/>
        <v/>
      </c>
      <c r="G8" s="20">
        <v>380455</v>
      </c>
      <c r="H8" s="20">
        <f t="shared" si="2"/>
        <v>-565.5</v>
      </c>
      <c r="I8" s="19">
        <f t="shared" si="3"/>
        <v>-1.4863781524753256E-3</v>
      </c>
      <c r="J8" s="45" t="s">
        <v>193</v>
      </c>
      <c r="K8" s="55" t="s">
        <v>194</v>
      </c>
      <c r="L8" s="74" t="s">
        <v>195</v>
      </c>
      <c r="M8" s="59" t="s">
        <v>196</v>
      </c>
    </row>
    <row r="9" spans="1:18">
      <c r="A9" s="21"/>
      <c r="B9" s="21"/>
      <c r="C9" s="21"/>
      <c r="D9" s="21"/>
      <c r="E9" s="21" t="str">
        <f t="shared" si="0"/>
        <v/>
      </c>
      <c r="F9" s="21" t="str">
        <f t="shared" si="1"/>
        <v/>
      </c>
      <c r="G9" s="21"/>
      <c r="H9" s="21" t="str">
        <f t="shared" si="2"/>
        <v/>
      </c>
      <c r="I9" s="21" t="str">
        <f t="shared" si="3"/>
        <v/>
      </c>
      <c r="J9" s="21"/>
      <c r="K9" s="21"/>
    </row>
    <row r="10" spans="1:18">
      <c r="A10" s="21"/>
      <c r="B10" s="21"/>
      <c r="C10" s="21"/>
      <c r="D10" s="21"/>
      <c r="E10" s="21" t="str">
        <f t="shared" si="0"/>
        <v/>
      </c>
      <c r="F10" s="21" t="str">
        <f t="shared" si="1"/>
        <v/>
      </c>
      <c r="G10" s="21"/>
      <c r="H10" s="21" t="str">
        <f t="shared" si="2"/>
        <v/>
      </c>
      <c r="I10" s="21" t="str">
        <f t="shared" si="3"/>
        <v/>
      </c>
      <c r="J10" s="21"/>
      <c r="K10" s="21"/>
    </row>
    <row r="11" spans="1:18">
      <c r="A11" s="21"/>
      <c r="B11" s="21"/>
      <c r="C11" s="21"/>
      <c r="D11" s="21"/>
      <c r="E11" s="21" t="str">
        <f t="shared" si="0"/>
        <v/>
      </c>
      <c r="F11" s="21" t="str">
        <f t="shared" si="1"/>
        <v/>
      </c>
      <c r="G11" s="21"/>
      <c r="H11" s="21" t="str">
        <f t="shared" si="2"/>
        <v/>
      </c>
      <c r="I11" s="21" t="str">
        <f t="shared" si="3"/>
        <v/>
      </c>
      <c r="J11" s="21"/>
      <c r="K11" s="21"/>
    </row>
    <row r="12" spans="1:18">
      <c r="A12" s="21"/>
      <c r="B12" s="21"/>
      <c r="C12" s="21"/>
      <c r="D12" s="21"/>
      <c r="E12" s="21" t="str">
        <f t="shared" si="0"/>
        <v/>
      </c>
      <c r="F12" s="21" t="str">
        <f t="shared" si="1"/>
        <v/>
      </c>
      <c r="G12" s="21"/>
      <c r="H12" s="21" t="str">
        <f>IF(AND(ISNUMBER(C12),ISNUMBER(G12)), C12-G12, "")</f>
        <v/>
      </c>
      <c r="I12" s="21" t="str">
        <f>IFERROR(H12/G12, "")</f>
        <v/>
      </c>
      <c r="J12" s="21"/>
      <c r="K12" s="21"/>
    </row>
    <row r="13" spans="1:18" ht="12.75" customHeight="1">
      <c r="A13" s="21"/>
      <c r="B13" s="21"/>
      <c r="C13" s="21"/>
      <c r="D13" s="21"/>
      <c r="E13" s="21"/>
      <c r="F13" s="21"/>
      <c r="G13" s="21"/>
      <c r="H13" s="21"/>
      <c r="I13" s="21"/>
      <c r="J13" s="21"/>
      <c r="K13" s="21"/>
    </row>
    <row r="14" spans="1:18">
      <c r="A14" s="21"/>
      <c r="B14" s="21"/>
      <c r="C14" s="21"/>
      <c r="D14" s="21"/>
      <c r="E14" s="21"/>
      <c r="F14" s="21"/>
      <c r="G14" s="21"/>
      <c r="H14" s="21"/>
      <c r="I14" s="21"/>
      <c r="J14" s="21"/>
      <c r="K14" s="21"/>
    </row>
    <row r="15" spans="1:18" ht="14.45">
      <c r="A15" s="21"/>
      <c r="B15" s="32"/>
      <c r="C15" s="21"/>
      <c r="D15" s="21"/>
      <c r="E15" s="21"/>
      <c r="F15" s="21"/>
      <c r="G15" s="21"/>
      <c r="H15" s="21"/>
      <c r="I15" s="21"/>
      <c r="J15" s="21"/>
      <c r="K15" s="21"/>
    </row>
    <row r="16" spans="1:18" ht="14.45">
      <c r="A16" s="21"/>
      <c r="B16" s="32"/>
      <c r="C16" s="21"/>
      <c r="D16" s="21"/>
      <c r="E16" s="21"/>
      <c r="F16" s="21"/>
      <c r="G16" s="21"/>
      <c r="H16" s="21"/>
      <c r="I16" s="21"/>
      <c r="J16" s="21"/>
      <c r="K16" s="21"/>
    </row>
    <row r="17" spans="1:11" ht="14.45">
      <c r="A17" s="21"/>
      <c r="B17" s="32"/>
      <c r="C17" s="21"/>
      <c r="D17" s="21"/>
      <c r="E17" s="21"/>
      <c r="F17" s="21"/>
      <c r="G17" s="21"/>
      <c r="H17" s="21"/>
      <c r="I17" s="21"/>
      <c r="J17" s="21"/>
      <c r="K17" s="21"/>
    </row>
    <row r="18" spans="1:11" ht="14.45">
      <c r="A18" s="21"/>
      <c r="B18" s="32"/>
      <c r="C18" s="21"/>
      <c r="D18" s="21"/>
      <c r="E18" s="21"/>
      <c r="F18" s="21"/>
      <c r="G18" s="21"/>
      <c r="H18" s="21"/>
      <c r="I18" s="21"/>
      <c r="J18" s="21"/>
      <c r="K18" s="21"/>
    </row>
    <row r="19" spans="1:11" ht="14.45">
      <c r="A19" s="21"/>
      <c r="B19" s="32"/>
      <c r="C19" s="21"/>
      <c r="D19" s="21"/>
      <c r="E19" s="21"/>
      <c r="F19" s="21"/>
      <c r="G19" s="21"/>
      <c r="H19" s="21"/>
      <c r="I19" s="21"/>
      <c r="J19" s="21"/>
      <c r="K19" s="21"/>
    </row>
    <row r="20" spans="1:11" ht="14.45">
      <c r="A20" s="21"/>
      <c r="B20" s="32"/>
      <c r="C20" s="21"/>
      <c r="D20" s="21"/>
      <c r="E20" s="21"/>
      <c r="F20" s="21"/>
      <c r="G20" s="21"/>
      <c r="H20" s="21"/>
      <c r="I20" s="21"/>
      <c r="J20" s="21"/>
      <c r="K20" s="21"/>
    </row>
    <row r="21" spans="1:11" ht="14.45">
      <c r="A21" s="21"/>
      <c r="B21" s="32"/>
      <c r="C21" s="21"/>
      <c r="D21" s="21"/>
      <c r="E21" s="21"/>
      <c r="F21" s="21"/>
      <c r="G21" s="21"/>
      <c r="H21" s="21"/>
      <c r="I21" s="21"/>
      <c r="J21" s="21"/>
      <c r="K21" s="21"/>
    </row>
    <row r="22" spans="1:11" ht="14.45">
      <c r="A22" s="21"/>
      <c r="B22" s="32"/>
      <c r="C22" s="21"/>
      <c r="D22" s="21"/>
      <c r="E22" s="21"/>
      <c r="F22" s="21"/>
      <c r="G22" s="21"/>
      <c r="H22" s="21"/>
      <c r="I22" s="21"/>
      <c r="J22" s="21"/>
      <c r="K22" s="21"/>
    </row>
    <row r="23" spans="1:11" ht="14.45">
      <c r="A23" s="21"/>
      <c r="B23" s="32"/>
      <c r="C23" s="21"/>
      <c r="D23" s="21"/>
      <c r="E23" s="21"/>
      <c r="F23" s="21"/>
      <c r="G23" s="21"/>
      <c r="H23" s="21"/>
      <c r="I23" s="21"/>
      <c r="J23" s="21"/>
      <c r="K23" s="21"/>
    </row>
    <row r="24" spans="1:11" ht="14.45">
      <c r="A24" s="21"/>
      <c r="B24" s="32"/>
      <c r="C24" s="21"/>
      <c r="D24" s="21"/>
      <c r="E24" s="21"/>
      <c r="F24" s="21"/>
      <c r="G24" s="21"/>
      <c r="H24" s="21"/>
      <c r="I24" s="21"/>
      <c r="J24" s="21"/>
      <c r="K24" s="21"/>
    </row>
    <row r="25" spans="1:11" ht="14.45">
      <c r="A25" s="21"/>
      <c r="B25" s="32"/>
      <c r="C25" s="21"/>
      <c r="D25" s="21"/>
      <c r="E25" s="21"/>
      <c r="F25" s="21"/>
      <c r="G25" s="21"/>
      <c r="H25" s="21"/>
      <c r="I25" s="21"/>
      <c r="J25" s="21"/>
      <c r="K25" s="21"/>
    </row>
    <row r="26" spans="1:11" ht="14.45">
      <c r="A26" s="21"/>
      <c r="B26" s="32"/>
      <c r="C26" s="21"/>
      <c r="D26" s="21"/>
      <c r="E26" s="21"/>
      <c r="F26" s="21"/>
      <c r="G26" s="21"/>
      <c r="H26" s="21"/>
      <c r="I26" s="21"/>
      <c r="J26" s="21"/>
      <c r="K26" s="21"/>
    </row>
    <row r="27" spans="1:11" ht="14.45">
      <c r="A27" s="21"/>
      <c r="B27" s="32"/>
      <c r="C27" s="21"/>
      <c r="D27" s="21"/>
      <c r="E27" s="21"/>
      <c r="F27" s="21"/>
      <c r="G27" s="21"/>
      <c r="H27" s="21"/>
      <c r="I27" s="21"/>
      <c r="J27" s="21"/>
      <c r="K27" s="21"/>
    </row>
    <row r="28" spans="1:11" ht="14.45">
      <c r="A28" s="21"/>
      <c r="B28" s="32"/>
      <c r="C28" s="21"/>
      <c r="D28" s="21"/>
      <c r="E28" s="21"/>
      <c r="F28" s="22"/>
      <c r="G28" s="21"/>
      <c r="H28" s="21"/>
      <c r="I28" s="22"/>
      <c r="J28" s="21"/>
      <c r="K28" s="21"/>
    </row>
    <row r="29" spans="1:11" ht="14.45">
      <c r="A29" s="21"/>
      <c r="B29" s="32"/>
      <c r="C29" s="21"/>
      <c r="D29" s="21"/>
      <c r="E29" s="21"/>
      <c r="F29" s="22"/>
      <c r="G29" s="21"/>
      <c r="H29" s="21"/>
      <c r="I29" s="22"/>
      <c r="J29" s="21"/>
      <c r="K29" s="21"/>
    </row>
    <row r="30" spans="1:11" ht="14.45">
      <c r="A30" s="21"/>
      <c r="B30" s="32"/>
      <c r="C30" s="21"/>
      <c r="D30" s="21"/>
      <c r="E30" s="21"/>
      <c r="F30" s="22"/>
      <c r="G30" s="21"/>
      <c r="H30" s="21"/>
      <c r="I30" s="22"/>
      <c r="J30" s="21"/>
      <c r="K30" s="21"/>
    </row>
    <row r="31" spans="1:11" ht="14.45">
      <c r="A31" s="21"/>
      <c r="B31" s="32"/>
      <c r="C31" s="21"/>
      <c r="D31" s="21"/>
      <c r="E31" s="21"/>
      <c r="F31" s="22"/>
      <c r="G31" s="21"/>
      <c r="H31" s="21"/>
      <c r="I31" s="22"/>
      <c r="J31" s="21"/>
      <c r="K31" s="21"/>
    </row>
    <row r="32" spans="1:11"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8 I4:I8">
    <cfRule type="cellIs" dxfId="12" priority="3" stopIfTrue="1" operator="lessThanOrEqual">
      <formula>-0.1</formula>
    </cfRule>
    <cfRule type="expression" dxfId="11" priority="4">
      <formula>AND(ISNUMBER(F2), F2&gt;=0.1)</formula>
    </cfRule>
  </conditionalFormatting>
  <conditionalFormatting sqref="F15:F95 I15:I95">
    <cfRule type="cellIs" dxfId="10" priority="1" stopIfTrue="1" operator="lessThanOrEqual">
      <formula>-0.1</formula>
    </cfRule>
    <cfRule type="expression" dxfId="9" priority="2">
      <formula>AND(ISNUMBER(F15), F15&gt;=0.1)</formula>
    </cfRule>
  </conditionalFormatting>
  <hyperlinks>
    <hyperlink ref="K4" r:id="rId1" display="https://us3.assetplanner.com/service_request?ID=107650" xr:uid="{8996EE0E-C912-4D1C-BED2-C2672628E41E}"/>
    <hyperlink ref="M4" r:id="rId2" display="https://us3.assetplanner.com/service_request?ID=099221" xr:uid="{6570B289-5338-4691-9156-9BF6F3AB7B1A}"/>
    <hyperlink ref="N4" r:id="rId3" display="https://us3.assetplanner.com/service_request?ID=102147" xr:uid="{CBCB0FB6-51FE-446E-9F2A-200122579921}"/>
    <hyperlink ref="O4" r:id="rId4" display="https://us3.assetplanner.com/service_request?ID=109898" xr:uid="{7E56DB8F-BEA6-482A-9436-56E2ACBE943D}"/>
    <hyperlink ref="P4" r:id="rId5" display="https://us3.assetplanner.com/service_request?ID=109945" xr:uid="{E0CEF222-50B9-4161-B3E6-36B84A17C786}"/>
    <hyperlink ref="Q4" r:id="rId6" display="https://us3.assetplanner.com/service_request?ID=109354" xr:uid="{2F85DA53-1ABD-4E5F-B6F0-204CA059BE6A}"/>
    <hyperlink ref="R4" r:id="rId7" display="https://us3.assetplanner.com/service_request?ID=109388" xr:uid="{81CE8221-AE8D-4833-BD92-EC252D907094}"/>
    <hyperlink ref="K5" r:id="rId8" display="https://us3.assetplanner.com/service_request?ID=108844" xr:uid="{85530B75-CAD8-43DF-9269-15D5AFD2228F}"/>
    <hyperlink ref="M5" r:id="rId9" display="https://us3.assetplanner.com/service_request?ID=109883" xr:uid="{278D53B5-9117-4015-B744-D9CE48B4F3E4}"/>
    <hyperlink ref="K7" r:id="rId10" display="https://us3.assetplanner.com/service_request?ID=108512" xr:uid="{991805A3-941C-4E3A-A2D1-E2D7791F4D63}"/>
    <hyperlink ref="K8" r:id="rId11" display="https://us3.assetplanner.com/service_request?ID=105397" xr:uid="{F08167D1-46A2-4EDF-89BE-D1C12BA9C2A5}"/>
    <hyperlink ref="M8" r:id="rId12" display="https://us3.assetplanner.com/service_request?ID=109931" xr:uid="{EE355158-3B6E-4BFC-9478-1A2BA8D1C808}"/>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Q337"/>
  <sheetViews>
    <sheetView zoomScale="70" zoomScaleNormal="70" workbookViewId="0">
      <pane xSplit="2" ySplit="3" topLeftCell="C4" activePane="bottomRight" state="frozen"/>
      <selection pane="bottomRight" activeCell="J8" sqref="J8"/>
      <selection pane="bottomLeft" activeCell="F23" sqref="F23"/>
      <selection pane="topRight" activeCell="F23" sqref="F23"/>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2.7109375" customWidth="1"/>
    <col min="13" max="17" width="9.140625" style="75"/>
  </cols>
  <sheetData>
    <row r="1" spans="1:17" ht="19.5" customHeight="1">
      <c r="A1" s="78" t="str" cm="1">
        <f t="array" ref="A1">portfolio</f>
        <v>True Green Capital Management LLC</v>
      </c>
      <c r="B1" s="78"/>
      <c r="C1" s="78"/>
      <c r="D1" s="79" t="s">
        <v>197</v>
      </c>
      <c r="E1" s="79"/>
      <c r="F1" s="79"/>
      <c r="G1" s="77" t="s">
        <v>198</v>
      </c>
      <c r="H1" s="77"/>
      <c r="I1" s="77"/>
      <c r="J1" s="4"/>
      <c r="K1" s="4"/>
    </row>
    <row r="2" spans="1:17" ht="19.5" customHeight="1">
      <c r="A2" s="80" t="s">
        <v>2</v>
      </c>
      <c r="B2" s="80"/>
      <c r="C2" s="5">
        <f>SUM(C4:C95)</f>
        <v>2461452.6490000002</v>
      </c>
      <c r="D2" s="5">
        <f>SUM(D4:D95)</f>
        <v>2220880.3501000004</v>
      </c>
      <c r="E2" s="5">
        <f>C2-D2</f>
        <v>240572.29889999982</v>
      </c>
      <c r="F2" s="6">
        <f>IFERROR(E2/D2, 0)</f>
        <v>0.10832294449773824</v>
      </c>
      <c r="G2" s="5">
        <f>SUM(G4:G95)</f>
        <v>2364226.7000000002</v>
      </c>
      <c r="H2" s="7">
        <f>C2-G2</f>
        <v>97225.949000000022</v>
      </c>
      <c r="I2" s="6">
        <f>IFERROR(H2/G2, 0)</f>
        <v>4.112378436467197E-2</v>
      </c>
      <c r="J2" s="26" t="str">
        <f ca="1">IF(AND(TODAY()&gt;DATE(2024, 11, 1), COUNTA(Sites[Site])&lt;&gt;(COUNT(C:C)-1)), "Some sites are missing actual data; if new sites were added, make sure they are aligned correctly (including prior months!)", "")</f>
        <v/>
      </c>
      <c r="K2" s="4"/>
    </row>
    <row r="3" spans="1:17" ht="14.25" customHeight="1">
      <c r="A3" s="8" t="s">
        <v>3</v>
      </c>
      <c r="B3" s="8" t="s">
        <v>4</v>
      </c>
      <c r="C3" s="23" t="s">
        <v>5</v>
      </c>
      <c r="D3" s="34" t="s">
        <v>6</v>
      </c>
      <c r="E3" s="34" t="s">
        <v>7</v>
      </c>
      <c r="F3" s="35" t="s">
        <v>8</v>
      </c>
      <c r="G3" s="36" t="s">
        <v>9</v>
      </c>
      <c r="H3" s="37" t="s">
        <v>7</v>
      </c>
      <c r="I3" s="38" t="s">
        <v>8</v>
      </c>
      <c r="J3" s="25" t="s">
        <v>20</v>
      </c>
      <c r="K3" s="25" t="s">
        <v>21</v>
      </c>
      <c r="L3" s="25" t="s">
        <v>177</v>
      </c>
    </row>
    <row r="4" spans="1:17" ht="190.5" customHeight="1">
      <c r="A4" s="29" t="str" cm="1">
        <f t="array" ref="A4:A8">Sites[Site]</f>
        <v>Rochester - 5516 Valleyhigh NW</v>
      </c>
      <c r="B4" s="30" t="str" cm="1">
        <f t="array" ref="B4:B8">Sites[State]</f>
        <v>MN</v>
      </c>
      <c r="C4" s="18">
        <v>868747.94900000002</v>
      </c>
      <c r="D4" s="18">
        <v>809870.4</v>
      </c>
      <c r="E4" s="18">
        <f t="shared" ref="E4:E8" si="0">IF(AND(ISNUMBER(C4),ISNUMBER(D4)), C4-D4, "")</f>
        <v>58877.548999999999</v>
      </c>
      <c r="F4" s="19">
        <f t="shared" ref="F4:F8" si="1">IFERROR(E4/D4, "")</f>
        <v>7.2699964093020306E-2</v>
      </c>
      <c r="G4" s="20">
        <v>827046.8</v>
      </c>
      <c r="H4" s="20">
        <f t="shared" ref="H4:H8" si="2">IF(AND(ISNUMBER(C4),ISNUMBER(G4)), C4-G4, "")</f>
        <v>41701.148999999976</v>
      </c>
      <c r="I4" s="19">
        <f t="shared" ref="I4:I8" si="3">IFERROR(H4/G4, "")</f>
        <v>5.0421752432873175E-2</v>
      </c>
      <c r="J4" s="50" t="s">
        <v>199</v>
      </c>
      <c r="K4" s="72" t="s">
        <v>200</v>
      </c>
      <c r="L4" s="50" t="s">
        <v>201</v>
      </c>
      <c r="M4" s="69" t="s">
        <v>49</v>
      </c>
      <c r="N4" s="69" t="s">
        <v>181</v>
      </c>
      <c r="O4" s="69" t="s">
        <v>202</v>
      </c>
      <c r="P4" s="69" t="s">
        <v>203</v>
      </c>
      <c r="Q4" s="69" t="s">
        <v>204</v>
      </c>
    </row>
    <row r="5" spans="1:17" ht="28.9">
      <c r="A5" s="31" t="str">
        <v>Warsaw - Hemings</v>
      </c>
      <c r="B5" s="28" t="str">
        <v>VA</v>
      </c>
      <c r="C5" s="24">
        <v>626241.80000000098</v>
      </c>
      <c r="D5" s="13">
        <v>620515.30000000005</v>
      </c>
      <c r="E5" s="13">
        <f t="shared" si="0"/>
        <v>5726.5000000009313</v>
      </c>
      <c r="F5" s="14">
        <f t="shared" si="1"/>
        <v>9.228620148449088E-3</v>
      </c>
      <c r="G5" s="15">
        <v>585025</v>
      </c>
      <c r="H5" s="15">
        <f t="shared" si="2"/>
        <v>41216.800000000978</v>
      </c>
      <c r="I5" s="16">
        <f t="shared" si="3"/>
        <v>7.0453057561644342E-2</v>
      </c>
      <c r="J5" s="40" t="s">
        <v>205</v>
      </c>
      <c r="K5" s="60" t="s">
        <v>206</v>
      </c>
      <c r="L5" s="40" t="s">
        <v>207</v>
      </c>
      <c r="M5" s="69" t="s">
        <v>208</v>
      </c>
    </row>
    <row r="6" spans="1:17" ht="28.9">
      <c r="A6" s="29" t="str">
        <v>Mount Jackson - Randolf</v>
      </c>
      <c r="B6" s="30" t="str">
        <v>VA</v>
      </c>
      <c r="C6" s="11">
        <v>412573.39999999898</v>
      </c>
      <c r="D6" s="18">
        <v>389031.7</v>
      </c>
      <c r="E6" s="18">
        <f t="shared" si="0"/>
        <v>23541.699999998964</v>
      </c>
      <c r="F6" s="19">
        <f t="shared" si="1"/>
        <v>6.0513577685311924E-2</v>
      </c>
      <c r="G6" s="20">
        <v>390483.7</v>
      </c>
      <c r="H6" s="20">
        <f t="shared" si="2"/>
        <v>22089.699999998964</v>
      </c>
      <c r="I6" s="19">
        <f t="shared" si="3"/>
        <v>5.6570094987316917E-2</v>
      </c>
      <c r="J6" s="50" t="s">
        <v>209</v>
      </c>
      <c r="K6" s="72" t="s">
        <v>210</v>
      </c>
      <c r="L6" s="50" t="s">
        <v>211</v>
      </c>
    </row>
    <row r="7" spans="1:17" ht="15.6">
      <c r="A7" s="31" t="str">
        <v>Callands Gretna - Monroe</v>
      </c>
      <c r="B7" s="28" t="str">
        <v>VA</v>
      </c>
      <c r="C7" s="24">
        <v>282204</v>
      </c>
      <c r="D7" s="13">
        <v>400857.8</v>
      </c>
      <c r="E7" s="13">
        <f t="shared" si="0"/>
        <v>-118653.79999999999</v>
      </c>
      <c r="F7" s="14">
        <f t="shared" si="1"/>
        <v>-0.29599972858205575</v>
      </c>
      <c r="G7" s="15">
        <v>278841.2</v>
      </c>
      <c r="H7" s="15">
        <f t="shared" si="2"/>
        <v>3362.7999999999884</v>
      </c>
      <c r="I7" s="16">
        <f t="shared" si="3"/>
        <v>1.2059910802277383E-2</v>
      </c>
      <c r="J7" s="40" t="s">
        <v>212</v>
      </c>
      <c r="K7" s="60" t="s">
        <v>213</v>
      </c>
      <c r="L7" s="40" t="s">
        <v>211</v>
      </c>
    </row>
    <row r="8" spans="1:17" ht="86.45">
      <c r="A8" s="29" t="str">
        <v>Rockbridge Baths - Small Mouth Bass</v>
      </c>
      <c r="B8" s="30" t="str">
        <v>VA</v>
      </c>
      <c r="C8" s="11">
        <v>271685.5</v>
      </c>
      <c r="D8" s="18">
        <v>605.15009999999995</v>
      </c>
      <c r="E8" s="18">
        <f t="shared" si="0"/>
        <v>271080.34989999997</v>
      </c>
      <c r="F8" s="19">
        <f t="shared" si="1"/>
        <v>447.95555664619405</v>
      </c>
      <c r="G8" s="20">
        <v>282830</v>
      </c>
      <c r="H8" s="20">
        <f t="shared" si="2"/>
        <v>-11144.5</v>
      </c>
      <c r="I8" s="19">
        <f t="shared" si="3"/>
        <v>-3.940352862143337E-2</v>
      </c>
      <c r="J8" s="50" t="s">
        <v>214</v>
      </c>
      <c r="K8" s="72" t="s">
        <v>215</v>
      </c>
      <c r="L8" s="50" t="s">
        <v>207</v>
      </c>
      <c r="M8" s="69" t="s">
        <v>155</v>
      </c>
    </row>
    <row r="9" spans="1:17" ht="15.6">
      <c r="A9" s="29"/>
      <c r="B9" s="29"/>
      <c r="C9" s="29"/>
      <c r="D9" s="29"/>
      <c r="E9" s="29" t="str">
        <f t="shared" ref="E9:E12" si="4">IF(AND(ISNUMBER(C9),ISNUMBER(D9)), C9-D9, "")</f>
        <v/>
      </c>
      <c r="F9" s="29" t="str">
        <f t="shared" ref="F9:F12" si="5">IFERROR(E9/D9, "")</f>
        <v/>
      </c>
      <c r="G9" s="29"/>
      <c r="H9" s="29" t="str">
        <f t="shared" ref="H9:H12" si="6">IF(AND(ISNUMBER(C9),ISNUMBER(G9)), C9-G9, "")</f>
        <v/>
      </c>
      <c r="I9" s="29" t="str">
        <f t="shared" ref="I9:I12" si="7">IFERROR(H9/G9, "")</f>
        <v/>
      </c>
      <c r="J9" s="29"/>
      <c r="K9" s="29"/>
      <c r="L9" s="29"/>
    </row>
    <row r="10" spans="1:17" ht="15.6">
      <c r="A10" s="29"/>
      <c r="B10" s="29"/>
      <c r="C10" s="29"/>
      <c r="D10" s="29"/>
      <c r="E10" s="29" t="str">
        <f t="shared" si="4"/>
        <v/>
      </c>
      <c r="F10" s="29" t="str">
        <f t="shared" si="5"/>
        <v/>
      </c>
      <c r="G10" s="29"/>
      <c r="H10" s="29" t="str">
        <f t="shared" si="6"/>
        <v/>
      </c>
      <c r="I10" s="29" t="str">
        <f t="shared" si="7"/>
        <v/>
      </c>
      <c r="J10" s="29"/>
      <c r="K10" s="29"/>
      <c r="L10" s="29"/>
    </row>
    <row r="11" spans="1:17" ht="15.6">
      <c r="A11" s="29"/>
      <c r="B11" s="29"/>
      <c r="C11" s="29"/>
      <c r="D11" s="29"/>
      <c r="E11" s="29" t="str">
        <f t="shared" si="4"/>
        <v/>
      </c>
      <c r="F11" s="29" t="str">
        <f t="shared" si="5"/>
        <v/>
      </c>
      <c r="G11" s="29"/>
      <c r="H11" s="29" t="str">
        <f t="shared" si="6"/>
        <v/>
      </c>
      <c r="I11" s="29" t="str">
        <f t="shared" si="7"/>
        <v/>
      </c>
      <c r="J11" s="29"/>
      <c r="K11" s="29"/>
      <c r="L11" s="29"/>
    </row>
    <row r="12" spans="1:17" ht="15.6">
      <c r="A12" s="29"/>
      <c r="B12" s="29"/>
      <c r="C12" s="29"/>
      <c r="D12" s="29"/>
      <c r="E12" s="29" t="str">
        <f t="shared" si="4"/>
        <v/>
      </c>
      <c r="F12" s="29" t="str">
        <f t="shared" si="5"/>
        <v/>
      </c>
      <c r="G12" s="29"/>
      <c r="H12" s="29" t="str">
        <f t="shared" si="6"/>
        <v/>
      </c>
      <c r="I12" s="29" t="str">
        <f t="shared" si="7"/>
        <v/>
      </c>
      <c r="J12" s="29"/>
      <c r="K12" s="29"/>
      <c r="L12" s="29"/>
    </row>
    <row r="13" spans="1:17" ht="12.75" customHeight="1">
      <c r="A13" s="29"/>
      <c r="B13" s="29"/>
      <c r="C13" s="29"/>
      <c r="D13" s="29"/>
      <c r="E13" s="29"/>
      <c r="F13" s="29"/>
      <c r="G13" s="29"/>
      <c r="H13" s="29"/>
      <c r="I13" s="29"/>
      <c r="J13" s="29"/>
      <c r="K13" s="29"/>
      <c r="L13" s="29"/>
    </row>
    <row r="14" spans="1:17" ht="15.6">
      <c r="A14" s="29"/>
      <c r="B14" s="29"/>
      <c r="C14" s="29"/>
      <c r="D14" s="29"/>
      <c r="E14" s="29"/>
      <c r="F14" s="29"/>
      <c r="G14" s="29"/>
      <c r="H14" s="29"/>
      <c r="I14" s="29"/>
      <c r="J14" s="29"/>
      <c r="K14" s="29"/>
      <c r="L14" s="29"/>
    </row>
    <row r="15" spans="1:17" ht="15.6">
      <c r="A15" s="29"/>
      <c r="B15" s="29"/>
      <c r="C15" s="29"/>
      <c r="D15" s="29"/>
      <c r="E15" s="29"/>
      <c r="F15" s="29"/>
      <c r="G15" s="29"/>
      <c r="H15" s="29"/>
      <c r="I15" s="29"/>
      <c r="J15" s="29"/>
      <c r="K15" s="29"/>
      <c r="L15" s="29"/>
    </row>
    <row r="16" spans="1:17" ht="15.6">
      <c r="A16" s="29"/>
      <c r="B16" s="29"/>
      <c r="C16" s="29"/>
      <c r="D16" s="29"/>
      <c r="E16" s="29"/>
      <c r="F16" s="29"/>
      <c r="G16" s="29"/>
      <c r="H16" s="29"/>
      <c r="I16" s="29"/>
      <c r="J16" s="29"/>
      <c r="K16" s="29"/>
      <c r="L16" s="29"/>
    </row>
    <row r="17" spans="1:12" ht="15.6">
      <c r="A17" s="29"/>
      <c r="B17" s="29"/>
      <c r="C17" s="29"/>
      <c r="D17" s="29"/>
      <c r="E17" s="29"/>
      <c r="F17" s="29"/>
      <c r="G17" s="29"/>
      <c r="H17" s="29"/>
      <c r="I17" s="29"/>
      <c r="J17" s="29"/>
      <c r="K17" s="29"/>
      <c r="L17" s="29"/>
    </row>
    <row r="18" spans="1:12" ht="15.6">
      <c r="A18" s="29"/>
      <c r="B18" s="29"/>
      <c r="C18" s="29"/>
      <c r="D18" s="29"/>
      <c r="E18" s="29"/>
      <c r="F18" s="29"/>
      <c r="G18" s="29"/>
      <c r="H18" s="29"/>
      <c r="I18" s="29"/>
      <c r="J18" s="29"/>
      <c r="K18" s="29"/>
      <c r="L18" s="29"/>
    </row>
    <row r="19" spans="1:12" ht="14.45">
      <c r="A19" s="21"/>
      <c r="B19" s="32"/>
      <c r="C19" s="21"/>
      <c r="D19" s="21"/>
      <c r="E19" s="21"/>
      <c r="F19" s="21"/>
      <c r="G19" s="21"/>
      <c r="H19" s="21"/>
      <c r="I19" s="21"/>
      <c r="J19" s="21"/>
      <c r="K19" s="21"/>
    </row>
    <row r="20" spans="1:12" ht="14.45">
      <c r="A20" s="21"/>
      <c r="B20" s="32"/>
      <c r="C20" s="21"/>
      <c r="D20" s="21"/>
      <c r="E20" s="21"/>
      <c r="F20" s="21"/>
      <c r="G20" s="21"/>
      <c r="H20" s="21"/>
      <c r="I20" s="21"/>
      <c r="J20" s="21"/>
      <c r="K20" s="21"/>
    </row>
    <row r="21" spans="1:12" ht="14.45">
      <c r="A21" s="21"/>
      <c r="B21" s="32"/>
      <c r="C21" s="21"/>
      <c r="D21" s="21"/>
      <c r="E21" s="21"/>
      <c r="F21" s="21"/>
      <c r="G21" s="21"/>
      <c r="H21" s="21"/>
      <c r="I21" s="21"/>
      <c r="J21" s="21"/>
      <c r="K21" s="21"/>
    </row>
    <row r="22" spans="1:12" ht="14.45">
      <c r="A22" s="21"/>
      <c r="B22" s="32"/>
      <c r="C22" s="21"/>
      <c r="D22" s="21"/>
      <c r="E22" s="21"/>
      <c r="F22" s="21"/>
      <c r="G22" s="21"/>
      <c r="H22" s="21"/>
      <c r="I22" s="21"/>
      <c r="J22" s="21"/>
      <c r="K22" s="21"/>
    </row>
    <row r="23" spans="1:12" ht="14.45">
      <c r="A23" s="21"/>
      <c r="B23" s="32"/>
      <c r="C23" s="21"/>
      <c r="D23" s="21"/>
      <c r="E23" s="21"/>
      <c r="F23" s="21"/>
      <c r="G23" s="21"/>
      <c r="H23" s="21"/>
      <c r="I23" s="21"/>
      <c r="J23" s="21"/>
      <c r="K23" s="21"/>
    </row>
    <row r="24" spans="1:12" ht="14.45">
      <c r="A24" s="21"/>
      <c r="B24" s="32"/>
      <c r="C24" s="21"/>
      <c r="D24" s="21"/>
      <c r="E24" s="21"/>
      <c r="F24" s="21"/>
      <c r="G24" s="21"/>
      <c r="H24" s="21"/>
      <c r="I24" s="21"/>
      <c r="J24" s="21"/>
      <c r="K24" s="21"/>
    </row>
    <row r="25" spans="1:12" ht="14.45">
      <c r="A25" s="21"/>
      <c r="B25" s="32"/>
      <c r="C25" s="21"/>
      <c r="D25" s="21"/>
      <c r="E25" s="21"/>
      <c r="F25" s="21"/>
      <c r="G25" s="21"/>
      <c r="H25" s="21"/>
      <c r="I25" s="21"/>
      <c r="J25" s="21"/>
      <c r="K25" s="21"/>
    </row>
    <row r="26" spans="1:12" ht="14.45">
      <c r="A26" s="21"/>
      <c r="B26" s="32"/>
      <c r="C26" s="21"/>
      <c r="D26" s="21"/>
      <c r="E26" s="21"/>
      <c r="F26" s="21"/>
      <c r="G26" s="21"/>
      <c r="H26" s="21"/>
      <c r="I26" s="21"/>
      <c r="J26" s="21"/>
      <c r="K26" s="21"/>
    </row>
    <row r="27" spans="1:12" ht="14.45">
      <c r="A27" s="21"/>
      <c r="B27" s="32"/>
      <c r="C27" s="21"/>
      <c r="D27" s="21"/>
      <c r="E27" s="21"/>
      <c r="F27" s="21"/>
      <c r="G27" s="21"/>
      <c r="H27" s="21"/>
      <c r="I27" s="21"/>
      <c r="J27" s="21"/>
      <c r="K27" s="21"/>
    </row>
    <row r="28" spans="1:12" ht="14.45">
      <c r="A28" s="21"/>
      <c r="B28" s="32"/>
      <c r="C28" s="21"/>
      <c r="D28" s="21"/>
      <c r="E28" s="21"/>
      <c r="F28" s="22"/>
      <c r="G28" s="21"/>
      <c r="H28" s="21"/>
      <c r="I28" s="22"/>
      <c r="J28" s="21"/>
      <c r="K28" s="21"/>
    </row>
    <row r="29" spans="1:12" ht="14.45">
      <c r="A29" s="21"/>
      <c r="B29" s="32"/>
      <c r="C29" s="21"/>
      <c r="D29" s="21"/>
      <c r="E29" s="21"/>
      <c r="F29" s="22"/>
      <c r="G29" s="21"/>
      <c r="H29" s="21"/>
      <c r="I29" s="22"/>
      <c r="J29" s="21"/>
      <c r="K29" s="21"/>
    </row>
    <row r="30" spans="1:12" ht="14.45">
      <c r="A30" s="21"/>
      <c r="B30" s="32"/>
      <c r="C30" s="21"/>
      <c r="D30" s="21"/>
      <c r="E30" s="21"/>
      <c r="F30" s="22"/>
      <c r="G30" s="21"/>
      <c r="H30" s="21"/>
      <c r="I30" s="22"/>
      <c r="J30" s="21"/>
      <c r="K30" s="21"/>
    </row>
    <row r="31" spans="1:12" ht="14.45">
      <c r="A31" s="21"/>
      <c r="B31" s="32"/>
      <c r="C31" s="21"/>
      <c r="D31" s="21"/>
      <c r="E31" s="21"/>
      <c r="F31" s="22"/>
      <c r="G31" s="21"/>
      <c r="H31" s="21"/>
      <c r="I31" s="22"/>
      <c r="J31" s="21"/>
      <c r="K31" s="21"/>
    </row>
    <row r="32" spans="1:12" ht="14.45">
      <c r="A32" s="21"/>
      <c r="B32" s="32"/>
      <c r="C32" s="21"/>
      <c r="D32" s="21"/>
      <c r="E32" s="21"/>
      <c r="F32" s="22"/>
      <c r="G32" s="21"/>
      <c r="H32" s="21"/>
      <c r="I32" s="22"/>
      <c r="J32" s="21"/>
      <c r="K32" s="21"/>
    </row>
    <row r="33" spans="1:11" ht="14.45">
      <c r="A33" s="21"/>
      <c r="B33" s="32"/>
      <c r="C33" s="21"/>
      <c r="D33" s="21"/>
      <c r="E33" s="21"/>
      <c r="F33" s="22"/>
      <c r="G33" s="21"/>
      <c r="H33" s="21"/>
      <c r="I33" s="22"/>
      <c r="J33" s="21"/>
      <c r="K33" s="21"/>
    </row>
    <row r="34" spans="1:11" ht="14.45">
      <c r="A34" s="21"/>
      <c r="B34" s="32"/>
      <c r="C34" s="21"/>
      <c r="D34" s="21"/>
      <c r="E34" s="21"/>
      <c r="F34" s="22"/>
      <c r="G34" s="21"/>
      <c r="H34" s="21"/>
      <c r="I34" s="22"/>
      <c r="J34" s="21"/>
      <c r="K34" s="21"/>
    </row>
    <row r="35" spans="1:11" ht="14.45">
      <c r="A35" s="21"/>
      <c r="B35" s="32"/>
      <c r="C35" s="21"/>
      <c r="D35" s="21"/>
      <c r="E35" s="21"/>
      <c r="F35" s="22"/>
      <c r="G35" s="21"/>
      <c r="H35" s="21"/>
      <c r="I35" s="22"/>
      <c r="J35" s="21"/>
      <c r="K35" s="21"/>
    </row>
    <row r="36" spans="1:11" ht="14.45">
      <c r="A36" s="21"/>
      <c r="B36" s="32"/>
      <c r="C36" s="21"/>
      <c r="D36" s="21"/>
      <c r="E36" s="21"/>
      <c r="F36" s="22"/>
      <c r="G36" s="21"/>
      <c r="H36" s="21"/>
      <c r="I36" s="22"/>
      <c r="J36" s="21"/>
      <c r="K36" s="21"/>
    </row>
    <row r="37" spans="1:11" ht="14.45">
      <c r="A37" s="21"/>
      <c r="B37" s="32"/>
      <c r="C37" s="21"/>
      <c r="D37" s="21"/>
      <c r="E37" s="21"/>
      <c r="F37" s="22"/>
      <c r="G37" s="21"/>
      <c r="H37" s="21"/>
      <c r="I37" s="22"/>
      <c r="J37" s="21"/>
      <c r="K37" s="21"/>
    </row>
    <row r="38" spans="1:11" ht="14.45">
      <c r="A38" s="21"/>
      <c r="B38" s="32"/>
      <c r="C38" s="21"/>
      <c r="D38" s="21"/>
      <c r="E38" s="21"/>
      <c r="F38" s="22"/>
      <c r="G38" s="21"/>
      <c r="H38" s="21"/>
      <c r="I38" s="22"/>
      <c r="J38" s="21"/>
      <c r="K38" s="21"/>
    </row>
    <row r="39" spans="1:11" ht="14.45">
      <c r="A39" s="21"/>
      <c r="B39" s="32"/>
      <c r="C39" s="21"/>
      <c r="D39" s="21"/>
      <c r="E39" s="21"/>
      <c r="F39" s="22"/>
      <c r="G39" s="21"/>
      <c r="H39" s="21"/>
      <c r="I39" s="22"/>
      <c r="J39" s="21"/>
      <c r="K39" s="21"/>
    </row>
    <row r="40" spans="1:11" ht="14.45">
      <c r="A40" s="21"/>
      <c r="B40" s="32"/>
      <c r="C40" s="21"/>
      <c r="D40" s="21"/>
      <c r="E40" s="21"/>
      <c r="F40" s="22"/>
      <c r="G40" s="21"/>
      <c r="H40" s="21"/>
      <c r="I40" s="22"/>
      <c r="J40" s="21"/>
      <c r="K40" s="21"/>
    </row>
    <row r="41" spans="1:11" ht="14.45">
      <c r="A41" s="21"/>
      <c r="B41" s="32"/>
      <c r="C41" s="21"/>
      <c r="D41" s="21"/>
      <c r="E41" s="21"/>
      <c r="F41" s="22"/>
      <c r="G41" s="21"/>
      <c r="H41" s="21"/>
      <c r="I41" s="22"/>
      <c r="J41" s="21"/>
      <c r="K41" s="21"/>
    </row>
    <row r="42" spans="1:11" ht="14.45">
      <c r="A42" s="21"/>
      <c r="B42" s="32"/>
      <c r="C42" s="21"/>
      <c r="D42" s="21"/>
      <c r="E42" s="21"/>
      <c r="F42" s="22"/>
      <c r="G42" s="21"/>
      <c r="H42" s="21"/>
      <c r="I42" s="22"/>
      <c r="J42" s="21"/>
      <c r="K42" s="21"/>
    </row>
    <row r="43" spans="1:11" ht="14.45">
      <c r="A43" s="21"/>
      <c r="B43" s="32"/>
      <c r="C43" s="21"/>
      <c r="D43" s="21"/>
      <c r="E43" s="21"/>
      <c r="F43" s="22"/>
      <c r="G43" s="21"/>
      <c r="H43" s="21"/>
      <c r="I43" s="22"/>
      <c r="J43" s="21"/>
      <c r="K43" s="21"/>
    </row>
    <row r="44" spans="1:11" ht="14.45">
      <c r="A44" s="21"/>
      <c r="B44" s="32"/>
      <c r="C44" s="21"/>
      <c r="D44" s="21"/>
      <c r="E44" s="21"/>
      <c r="F44" s="22"/>
      <c r="G44" s="21"/>
      <c r="H44" s="21"/>
      <c r="I44" s="22"/>
      <c r="J44" s="21"/>
      <c r="K44" s="21"/>
    </row>
    <row r="45" spans="1:11" ht="14.45">
      <c r="A45" s="21"/>
      <c r="B45" s="32"/>
      <c r="C45" s="21"/>
      <c r="D45" s="21"/>
      <c r="E45" s="21"/>
      <c r="F45" s="22"/>
      <c r="G45" s="21"/>
      <c r="H45" s="21"/>
      <c r="I45" s="22"/>
      <c r="J45" s="21"/>
      <c r="K45" s="21"/>
    </row>
    <row r="46" spans="1:11" ht="14.45">
      <c r="A46" s="21"/>
      <c r="B46" s="32"/>
      <c r="C46" s="21"/>
      <c r="D46" s="21"/>
      <c r="E46" s="21"/>
      <c r="F46" s="22"/>
      <c r="G46" s="21"/>
      <c r="H46" s="21"/>
      <c r="I46" s="22"/>
      <c r="J46" s="21"/>
      <c r="K46" s="21"/>
    </row>
    <row r="47" spans="1:11" ht="14.45">
      <c r="A47" s="21"/>
      <c r="B47" s="32"/>
      <c r="C47" s="21"/>
      <c r="D47" s="21"/>
      <c r="E47" s="21"/>
      <c r="F47" s="22"/>
      <c r="G47" s="21"/>
      <c r="H47" s="21"/>
      <c r="I47" s="22"/>
      <c r="J47" s="21"/>
      <c r="K47" s="21"/>
    </row>
    <row r="48" spans="1:11" ht="14.45">
      <c r="A48" s="21"/>
      <c r="B48" s="32"/>
      <c r="C48" s="21"/>
      <c r="D48" s="21"/>
      <c r="E48" s="21"/>
      <c r="F48" s="22"/>
      <c r="G48" s="21"/>
      <c r="H48" s="21"/>
      <c r="I48" s="22"/>
      <c r="J48" s="21"/>
      <c r="K48" s="21"/>
    </row>
    <row r="49" spans="1:11" ht="14.45">
      <c r="A49" s="21"/>
      <c r="B49" s="32"/>
      <c r="C49" s="21"/>
      <c r="D49" s="21"/>
      <c r="E49" s="21"/>
      <c r="F49" s="22"/>
      <c r="G49" s="21"/>
      <c r="H49" s="21"/>
      <c r="I49" s="22"/>
      <c r="J49" s="21"/>
      <c r="K49" s="21"/>
    </row>
    <row r="50" spans="1:11" ht="14.45">
      <c r="A50" s="21"/>
      <c r="B50" s="32"/>
      <c r="C50" s="21"/>
      <c r="D50" s="21"/>
      <c r="E50" s="21"/>
      <c r="F50" s="22"/>
      <c r="G50" s="21"/>
      <c r="H50" s="21"/>
      <c r="I50" s="22"/>
      <c r="J50" s="21"/>
      <c r="K50" s="21"/>
    </row>
    <row r="51" spans="1:11" ht="14.45">
      <c r="A51" s="21"/>
      <c r="B51" s="32"/>
      <c r="C51" s="21"/>
      <c r="D51" s="21"/>
      <c r="E51" s="21"/>
      <c r="F51" s="22"/>
      <c r="G51" s="21"/>
      <c r="H51" s="21"/>
      <c r="I51" s="22"/>
      <c r="J51" s="21"/>
      <c r="K51" s="21"/>
    </row>
    <row r="52" spans="1:11" ht="14.45">
      <c r="A52" s="21"/>
      <c r="B52" s="32"/>
      <c r="C52" s="21"/>
      <c r="D52" s="21"/>
      <c r="E52" s="21"/>
      <c r="F52" s="22"/>
      <c r="G52" s="21"/>
      <c r="H52" s="21"/>
      <c r="I52" s="22"/>
      <c r="J52" s="21"/>
      <c r="K52" s="21"/>
    </row>
    <row r="53" spans="1:11" ht="14.45">
      <c r="A53" s="21"/>
      <c r="B53" s="32"/>
      <c r="C53" s="21"/>
      <c r="D53" s="21"/>
      <c r="E53" s="21"/>
      <c r="F53" s="22"/>
      <c r="G53" s="21"/>
      <c r="H53" s="21"/>
      <c r="I53" s="22"/>
      <c r="J53" s="21"/>
      <c r="K53" s="21"/>
    </row>
    <row r="54" spans="1:11" ht="14.45">
      <c r="A54" s="21"/>
      <c r="B54" s="32"/>
      <c r="C54" s="21"/>
      <c r="D54" s="21"/>
      <c r="E54" s="21"/>
      <c r="F54" s="22"/>
      <c r="G54" s="21"/>
      <c r="H54" s="21"/>
      <c r="I54" s="22"/>
      <c r="J54" s="21"/>
      <c r="K54" s="21"/>
    </row>
    <row r="55" spans="1:11" ht="14.45">
      <c r="A55" s="21"/>
      <c r="B55" s="32"/>
      <c r="C55" s="21"/>
      <c r="D55" s="21"/>
      <c r="E55" s="21"/>
      <c r="F55" s="22"/>
      <c r="G55" s="21"/>
      <c r="H55" s="21"/>
      <c r="I55" s="22"/>
      <c r="J55" s="21"/>
      <c r="K55" s="21"/>
    </row>
    <row r="56" spans="1:11" ht="14.45">
      <c r="A56" s="21"/>
      <c r="B56" s="32"/>
      <c r="C56" s="21"/>
      <c r="D56" s="21"/>
      <c r="E56" s="21"/>
      <c r="F56" s="22"/>
      <c r="G56" s="21"/>
      <c r="H56" s="21"/>
      <c r="I56" s="22"/>
      <c r="J56" s="21"/>
      <c r="K56" s="21"/>
    </row>
    <row r="57" spans="1:11" ht="14.45">
      <c r="A57" s="21"/>
      <c r="B57" s="32"/>
      <c r="C57" s="21"/>
      <c r="D57" s="21"/>
      <c r="E57" s="21"/>
      <c r="F57" s="22"/>
      <c r="G57" s="21"/>
      <c r="H57" s="21"/>
      <c r="I57" s="22"/>
      <c r="J57" s="21"/>
      <c r="K57" s="21"/>
    </row>
    <row r="58" spans="1:11" ht="14.45">
      <c r="A58" s="21"/>
      <c r="B58" s="32"/>
      <c r="C58" s="21"/>
      <c r="D58" s="21"/>
      <c r="E58" s="21"/>
      <c r="F58" s="22"/>
      <c r="G58" s="21"/>
      <c r="H58" s="21"/>
      <c r="I58" s="22"/>
      <c r="J58" s="21"/>
      <c r="K58" s="21"/>
    </row>
    <row r="59" spans="1:11" ht="14.45">
      <c r="A59" s="21"/>
      <c r="B59" s="32"/>
      <c r="C59" s="21"/>
      <c r="D59" s="21"/>
      <c r="E59" s="21"/>
      <c r="F59" s="22"/>
      <c r="G59" s="21"/>
      <c r="H59" s="21"/>
      <c r="I59" s="22"/>
      <c r="J59" s="21"/>
      <c r="K59" s="21"/>
    </row>
    <row r="60" spans="1:11" ht="14.45">
      <c r="A60" s="21"/>
      <c r="B60" s="32"/>
      <c r="C60" s="21"/>
      <c r="D60" s="21"/>
      <c r="E60" s="21"/>
      <c r="F60" s="22"/>
      <c r="G60" s="21"/>
      <c r="H60" s="21"/>
      <c r="I60" s="22"/>
      <c r="J60" s="21"/>
      <c r="K60" s="21"/>
    </row>
    <row r="61" spans="1:11" ht="14.45">
      <c r="A61" s="21"/>
      <c r="B61" s="32"/>
      <c r="C61" s="21"/>
      <c r="D61" s="21"/>
      <c r="E61" s="21"/>
      <c r="F61" s="22"/>
      <c r="G61" s="21"/>
      <c r="H61" s="21"/>
      <c r="I61" s="22"/>
      <c r="J61" s="21"/>
      <c r="K61" s="21"/>
    </row>
    <row r="62" spans="1:11" ht="14.45">
      <c r="A62" s="21"/>
      <c r="B62" s="32"/>
      <c r="C62" s="21"/>
      <c r="D62" s="21"/>
      <c r="E62" s="21"/>
      <c r="F62" s="22"/>
      <c r="G62" s="21"/>
      <c r="H62" s="21"/>
      <c r="I62" s="22"/>
      <c r="J62" s="21"/>
      <c r="K62" s="21"/>
    </row>
    <row r="63" spans="1:11" ht="14.45">
      <c r="A63" s="21"/>
      <c r="B63" s="32"/>
      <c r="C63" s="21"/>
      <c r="D63" s="21"/>
      <c r="E63" s="21"/>
      <c r="F63" s="22"/>
      <c r="G63" s="21"/>
      <c r="H63" s="21"/>
      <c r="I63" s="22"/>
      <c r="J63" s="21"/>
      <c r="K63" s="21"/>
    </row>
    <row r="64" spans="1:11" ht="14.45">
      <c r="A64" s="21"/>
      <c r="B64" s="32"/>
      <c r="C64" s="21"/>
      <c r="D64" s="21"/>
      <c r="E64" s="21"/>
      <c r="F64" s="22"/>
      <c r="G64" s="21"/>
      <c r="H64" s="21"/>
      <c r="I64" s="22"/>
      <c r="J64" s="21"/>
      <c r="K64" s="21"/>
    </row>
    <row r="65" spans="1:11" ht="14.45">
      <c r="A65" s="21"/>
      <c r="B65" s="32"/>
      <c r="C65" s="21"/>
      <c r="D65" s="21"/>
      <c r="E65" s="21"/>
      <c r="F65" s="22"/>
      <c r="G65" s="21"/>
      <c r="H65" s="21"/>
      <c r="I65" s="22"/>
      <c r="J65" s="21"/>
      <c r="K65" s="21"/>
    </row>
    <row r="66" spans="1:11" ht="14.45">
      <c r="A66" s="21"/>
      <c r="B66" s="32"/>
      <c r="C66" s="21"/>
      <c r="D66" s="21"/>
      <c r="E66" s="21"/>
      <c r="F66" s="22"/>
      <c r="G66" s="21"/>
      <c r="H66" s="21"/>
      <c r="I66" s="22"/>
      <c r="J66" s="21"/>
      <c r="K66" s="21"/>
    </row>
    <row r="67" spans="1:11" ht="14.45">
      <c r="A67" s="21"/>
      <c r="B67" s="32"/>
      <c r="C67" s="21"/>
      <c r="D67" s="21"/>
      <c r="E67" s="21"/>
      <c r="F67" s="22"/>
      <c r="G67" s="21"/>
      <c r="H67" s="21"/>
      <c r="I67" s="22"/>
      <c r="J67" s="21"/>
      <c r="K67" s="21"/>
    </row>
    <row r="68" spans="1:11" ht="14.45">
      <c r="A68" s="21"/>
      <c r="B68" s="32"/>
      <c r="C68" s="21"/>
      <c r="D68" s="21"/>
      <c r="E68" s="21"/>
      <c r="F68" s="22"/>
      <c r="G68" s="21"/>
      <c r="H68" s="21"/>
      <c r="I68" s="22"/>
      <c r="J68" s="21"/>
      <c r="K68" s="21"/>
    </row>
    <row r="69" spans="1:11" ht="14.45">
      <c r="A69" s="21"/>
      <c r="B69" s="32"/>
      <c r="C69" s="21"/>
      <c r="D69" s="21"/>
      <c r="E69" s="21"/>
      <c r="F69" s="22"/>
      <c r="G69" s="21"/>
      <c r="H69" s="21"/>
      <c r="I69" s="22"/>
      <c r="J69" s="21"/>
      <c r="K69" s="21"/>
    </row>
    <row r="70" spans="1:11" ht="14.45">
      <c r="A70" s="21"/>
      <c r="B70" s="32"/>
      <c r="C70" s="21"/>
      <c r="D70" s="21"/>
      <c r="E70" s="21"/>
      <c r="F70" s="22"/>
      <c r="G70" s="21"/>
      <c r="H70" s="21"/>
      <c r="I70" s="22"/>
      <c r="J70" s="21"/>
      <c r="K70" s="21"/>
    </row>
    <row r="71" spans="1:11" ht="14.45">
      <c r="A71" s="21"/>
      <c r="B71" s="32"/>
      <c r="C71" s="21"/>
      <c r="D71" s="21"/>
      <c r="E71" s="21"/>
      <c r="F71" s="22"/>
      <c r="G71" s="21"/>
      <c r="H71" s="21"/>
      <c r="I71" s="22"/>
      <c r="J71" s="21"/>
      <c r="K71" s="21"/>
    </row>
    <row r="72" spans="1:11" ht="14.45">
      <c r="A72" s="21"/>
      <c r="B72" s="32"/>
      <c r="C72" s="21"/>
      <c r="D72" s="21"/>
      <c r="E72" s="21"/>
      <c r="F72" s="22"/>
      <c r="G72" s="21"/>
      <c r="H72" s="21"/>
      <c r="I72" s="22"/>
      <c r="J72" s="21"/>
      <c r="K72" s="21"/>
    </row>
    <row r="73" spans="1:11" ht="14.45">
      <c r="A73" s="21"/>
      <c r="B73" s="32"/>
      <c r="C73" s="21"/>
      <c r="D73" s="21"/>
      <c r="E73" s="21"/>
      <c r="F73" s="22"/>
      <c r="G73" s="21"/>
      <c r="H73" s="21"/>
      <c r="I73" s="22"/>
      <c r="J73" s="21"/>
      <c r="K73" s="21"/>
    </row>
    <row r="74" spans="1:11" ht="14.45">
      <c r="A74" s="21"/>
      <c r="B74" s="32"/>
      <c r="C74" s="21"/>
      <c r="D74" s="21"/>
      <c r="E74" s="21"/>
      <c r="F74" s="22"/>
      <c r="G74" s="21"/>
      <c r="H74" s="21"/>
      <c r="I74" s="22"/>
      <c r="J74" s="21"/>
      <c r="K74" s="21"/>
    </row>
    <row r="75" spans="1:11" ht="14.45">
      <c r="A75" s="21"/>
      <c r="B75" s="32"/>
      <c r="C75" s="21"/>
      <c r="D75" s="21"/>
      <c r="E75" s="21"/>
      <c r="F75" s="22"/>
      <c r="G75" s="21"/>
      <c r="H75" s="21"/>
      <c r="I75" s="22"/>
      <c r="J75" s="21"/>
      <c r="K75" s="21"/>
    </row>
    <row r="76" spans="1:11" ht="14.45">
      <c r="A76" s="21"/>
      <c r="B76" s="32"/>
      <c r="C76" s="21"/>
      <c r="D76" s="21"/>
      <c r="E76" s="21"/>
      <c r="F76" s="22"/>
      <c r="G76" s="21"/>
      <c r="H76" s="21"/>
      <c r="I76" s="22"/>
      <c r="J76" s="21"/>
      <c r="K76" s="21"/>
    </row>
    <row r="77" spans="1:11" ht="14.45">
      <c r="A77" s="21"/>
      <c r="B77" s="32"/>
      <c r="C77" s="21"/>
      <c r="D77" s="21"/>
      <c r="E77" s="21"/>
      <c r="F77" s="22"/>
      <c r="G77" s="21"/>
      <c r="H77" s="21"/>
      <c r="I77" s="22"/>
      <c r="J77" s="21"/>
      <c r="K77" s="21"/>
    </row>
    <row r="78" spans="1:11" ht="14.45">
      <c r="A78" s="21"/>
      <c r="B78" s="32"/>
      <c r="C78" s="21"/>
      <c r="D78" s="21"/>
      <c r="E78" s="21"/>
      <c r="F78" s="22"/>
      <c r="G78" s="21"/>
      <c r="H78" s="21"/>
      <c r="I78" s="22"/>
      <c r="J78" s="21"/>
      <c r="K78" s="21"/>
    </row>
    <row r="79" spans="1:11" ht="14.45">
      <c r="A79" s="21"/>
      <c r="B79" s="32"/>
      <c r="C79" s="21"/>
      <c r="D79" s="21"/>
      <c r="E79" s="21"/>
      <c r="F79" s="22"/>
      <c r="G79" s="21"/>
      <c r="H79" s="21"/>
      <c r="I79" s="22"/>
      <c r="J79" s="21"/>
      <c r="K79" s="21"/>
    </row>
    <row r="80" spans="1:11" ht="14.45">
      <c r="A80" s="21"/>
      <c r="B80" s="32"/>
      <c r="C80" s="21"/>
      <c r="D80" s="21"/>
      <c r="E80" s="21"/>
      <c r="F80" s="22"/>
      <c r="G80" s="21"/>
      <c r="H80" s="21"/>
      <c r="I80" s="22"/>
      <c r="J80" s="21"/>
      <c r="K80" s="21"/>
    </row>
    <row r="81" spans="1:11" ht="14.45">
      <c r="A81" s="21"/>
      <c r="B81" s="32"/>
      <c r="C81" s="21"/>
      <c r="D81" s="21"/>
      <c r="E81" s="21"/>
      <c r="F81" s="22"/>
      <c r="G81" s="21"/>
      <c r="H81" s="21"/>
      <c r="I81" s="22"/>
      <c r="J81" s="21"/>
      <c r="K81" s="21"/>
    </row>
    <row r="82" spans="1:11" ht="14.45">
      <c r="A82" s="21"/>
      <c r="B82" s="32"/>
      <c r="C82" s="21"/>
      <c r="D82" s="21"/>
      <c r="E82" s="21"/>
      <c r="F82" s="22"/>
      <c r="G82" s="21"/>
      <c r="H82" s="21"/>
      <c r="I82" s="22"/>
      <c r="J82" s="21"/>
      <c r="K82" s="21"/>
    </row>
    <row r="83" spans="1:11" ht="14.45">
      <c r="A83" s="21"/>
      <c r="B83" s="32"/>
      <c r="C83" s="21"/>
      <c r="D83" s="21"/>
      <c r="E83" s="21"/>
      <c r="F83" s="22"/>
      <c r="G83" s="21"/>
      <c r="H83" s="21"/>
      <c r="I83" s="22"/>
      <c r="J83" s="21"/>
      <c r="K83" s="21"/>
    </row>
    <row r="84" spans="1:11" ht="14.45">
      <c r="A84" s="21"/>
      <c r="B84" s="32"/>
      <c r="C84" s="21"/>
      <c r="D84" s="21"/>
      <c r="E84" s="21"/>
      <c r="F84" s="22"/>
      <c r="G84" s="21"/>
      <c r="H84" s="21"/>
      <c r="I84" s="22"/>
      <c r="J84" s="21"/>
      <c r="K84" s="21"/>
    </row>
    <row r="85" spans="1:11" ht="14.45">
      <c r="A85" s="21"/>
      <c r="B85" s="32"/>
      <c r="C85" s="21"/>
      <c r="D85" s="21"/>
      <c r="E85" s="21"/>
      <c r="F85" s="22"/>
      <c r="G85" s="21"/>
      <c r="H85" s="21"/>
      <c r="I85" s="22"/>
      <c r="J85" s="21"/>
      <c r="K85" s="21"/>
    </row>
    <row r="86" spans="1:11" ht="14.45">
      <c r="A86" s="21"/>
      <c r="B86" s="32"/>
      <c r="C86" s="21"/>
      <c r="D86" s="21"/>
      <c r="E86" s="21"/>
      <c r="F86" s="22"/>
      <c r="G86" s="21"/>
      <c r="H86" s="21"/>
      <c r="I86" s="22"/>
      <c r="J86" s="21"/>
      <c r="K86" s="21"/>
    </row>
    <row r="87" spans="1:11" ht="14.45">
      <c r="A87" s="21"/>
      <c r="B87" s="32"/>
      <c r="C87" s="21"/>
      <c r="D87" s="21"/>
      <c r="E87" s="21"/>
      <c r="F87" s="22"/>
      <c r="G87" s="21"/>
      <c r="H87" s="21"/>
      <c r="I87" s="22"/>
      <c r="J87" s="21"/>
      <c r="K87" s="21"/>
    </row>
    <row r="88" spans="1:11" ht="14.45">
      <c r="A88" s="21"/>
      <c r="B88" s="32"/>
      <c r="C88" s="21"/>
      <c r="D88" s="21"/>
      <c r="E88" s="21"/>
      <c r="F88" s="22"/>
      <c r="G88" s="21"/>
      <c r="H88" s="21"/>
      <c r="I88" s="22"/>
      <c r="J88" s="21"/>
      <c r="K88" s="21"/>
    </row>
    <row r="89" spans="1:11" ht="14.45">
      <c r="A89" s="21"/>
      <c r="B89" s="32"/>
      <c r="C89" s="21"/>
      <c r="D89" s="21"/>
      <c r="E89" s="21"/>
      <c r="F89" s="22"/>
      <c r="G89" s="21"/>
      <c r="H89" s="21"/>
      <c r="I89" s="22"/>
      <c r="J89" s="21"/>
      <c r="K89" s="21"/>
    </row>
    <row r="90" spans="1:11" ht="14.45">
      <c r="A90" s="21"/>
      <c r="B90" s="32"/>
      <c r="C90" s="21"/>
      <c r="D90" s="21"/>
      <c r="E90" s="21"/>
      <c r="F90" s="22"/>
      <c r="G90" s="21"/>
      <c r="H90" s="21"/>
      <c r="I90" s="22"/>
      <c r="J90" s="21"/>
      <c r="K90" s="21"/>
    </row>
    <row r="91" spans="1:11" ht="14.45">
      <c r="A91" s="21"/>
      <c r="B91" s="32"/>
      <c r="C91" s="21"/>
      <c r="D91" s="21"/>
      <c r="E91" s="21"/>
      <c r="F91" s="22"/>
      <c r="G91" s="21"/>
      <c r="H91" s="21"/>
      <c r="I91" s="22"/>
      <c r="J91" s="21"/>
      <c r="K91" s="21"/>
    </row>
    <row r="92" spans="1:11" ht="14.45">
      <c r="A92" s="21"/>
      <c r="B92" s="32"/>
      <c r="C92" s="21"/>
      <c r="D92" s="21"/>
      <c r="E92" s="21"/>
      <c r="F92" s="22"/>
      <c r="G92" s="21"/>
      <c r="H92" s="21"/>
      <c r="I92" s="22"/>
      <c r="J92" s="21"/>
      <c r="K92" s="21"/>
    </row>
    <row r="93" spans="1:11" ht="14.45">
      <c r="A93" s="21"/>
      <c r="B93" s="32"/>
      <c r="C93" s="21"/>
      <c r="D93" s="21"/>
      <c r="E93" s="21"/>
      <c r="F93" s="22"/>
      <c r="G93" s="21"/>
      <c r="H93" s="21"/>
      <c r="I93" s="22"/>
      <c r="J93" s="21"/>
      <c r="K93" s="21"/>
    </row>
    <row r="94" spans="1:11" ht="14.45">
      <c r="A94" s="21"/>
      <c r="B94" s="32"/>
      <c r="C94" s="21"/>
      <c r="D94" s="21"/>
      <c r="E94" s="21"/>
      <c r="F94" s="22"/>
      <c r="G94" s="21"/>
      <c r="H94" s="21"/>
      <c r="I94" s="22"/>
      <c r="J94" s="21"/>
      <c r="K94" s="21"/>
    </row>
    <row r="95" spans="1:11" ht="14.45">
      <c r="A95" s="21"/>
      <c r="B95" s="32"/>
      <c r="C95" s="21"/>
      <c r="D95" s="21"/>
      <c r="E95" s="21"/>
      <c r="F95" s="22"/>
      <c r="G95" s="21"/>
      <c r="H95" s="21"/>
      <c r="I95" s="22"/>
      <c r="J95" s="21"/>
      <c r="K95" s="21"/>
    </row>
    <row r="96" spans="1:11" ht="14.45">
      <c r="A96" s="21"/>
      <c r="B96" s="32"/>
      <c r="C96" s="21"/>
      <c r="D96" s="21"/>
      <c r="E96" s="21"/>
      <c r="F96" s="22"/>
      <c r="G96" s="21"/>
      <c r="H96" s="21"/>
      <c r="I96" s="22"/>
      <c r="J96" s="21"/>
      <c r="K96" s="21"/>
    </row>
    <row r="97" spans="1:11" ht="14.45">
      <c r="A97" s="21"/>
      <c r="B97" s="32"/>
      <c r="C97" s="21"/>
      <c r="D97" s="21"/>
      <c r="E97" s="21"/>
      <c r="F97" s="22"/>
      <c r="G97" s="21"/>
      <c r="H97" s="21"/>
      <c r="I97" s="22"/>
      <c r="J97" s="21"/>
      <c r="K97" s="21"/>
    </row>
    <row r="98" spans="1:11" ht="14.45">
      <c r="A98" s="21"/>
      <c r="B98" s="32"/>
      <c r="C98" s="21"/>
      <c r="D98" s="21"/>
      <c r="E98" s="21"/>
      <c r="F98" s="22"/>
      <c r="G98" s="21"/>
      <c r="H98" s="21"/>
      <c r="I98" s="22"/>
      <c r="J98" s="21"/>
      <c r="K98" s="21"/>
    </row>
    <row r="99" spans="1:11" ht="14.45">
      <c r="A99" s="21"/>
      <c r="B99" s="32"/>
      <c r="C99" s="21"/>
      <c r="D99" s="21"/>
      <c r="E99" s="21"/>
      <c r="F99" s="22"/>
      <c r="G99" s="21"/>
      <c r="H99" s="21"/>
      <c r="I99" s="22"/>
      <c r="J99" s="21"/>
      <c r="K99" s="21"/>
    </row>
    <row r="100" spans="1:11" ht="14.45">
      <c r="A100" s="21"/>
      <c r="B100" s="32"/>
      <c r="C100" s="21"/>
      <c r="D100" s="21"/>
      <c r="E100" s="21"/>
      <c r="F100" s="22"/>
      <c r="G100" s="21"/>
      <c r="H100" s="21"/>
      <c r="I100" s="22"/>
      <c r="J100" s="21"/>
      <c r="K100" s="21"/>
    </row>
    <row r="101" spans="1:11" ht="14.45">
      <c r="A101" s="21"/>
      <c r="B101" s="32"/>
      <c r="C101" s="21"/>
      <c r="D101" s="21"/>
      <c r="E101" s="21"/>
      <c r="F101" s="22"/>
      <c r="G101" s="21"/>
      <c r="H101" s="21"/>
      <c r="I101" s="22"/>
      <c r="J101" s="21"/>
      <c r="K101" s="21"/>
    </row>
    <row r="102" spans="1:11" ht="14.45">
      <c r="A102" s="21"/>
      <c r="B102" s="32"/>
      <c r="C102" s="21"/>
      <c r="D102" s="21"/>
      <c r="E102" s="21"/>
      <c r="F102" s="22"/>
      <c r="G102" s="21"/>
      <c r="H102" s="21"/>
      <c r="I102" s="22"/>
      <c r="J102" s="21"/>
      <c r="K102" s="21"/>
    </row>
    <row r="103" spans="1:11" ht="14.45">
      <c r="A103" s="21"/>
      <c r="B103" s="32"/>
      <c r="C103" s="21"/>
      <c r="D103" s="21"/>
      <c r="E103" s="21"/>
      <c r="F103" s="22"/>
      <c r="G103" s="21"/>
      <c r="H103" s="21"/>
      <c r="I103" s="22"/>
      <c r="J103" s="21"/>
      <c r="K103" s="21"/>
    </row>
    <row r="104" spans="1:11" ht="14.45">
      <c r="A104" s="21"/>
      <c r="B104" s="32"/>
      <c r="C104" s="21"/>
      <c r="D104" s="21"/>
      <c r="E104" s="21"/>
      <c r="F104" s="22"/>
      <c r="G104" s="21"/>
      <c r="H104" s="21"/>
      <c r="I104" s="22"/>
      <c r="J104" s="21"/>
      <c r="K104" s="21"/>
    </row>
    <row r="105" spans="1:11" ht="14.45">
      <c r="A105" s="21"/>
      <c r="B105" s="32"/>
      <c r="C105" s="21"/>
      <c r="D105" s="21"/>
      <c r="E105" s="21"/>
      <c r="F105" s="22"/>
      <c r="G105" s="21"/>
      <c r="H105" s="21"/>
      <c r="I105" s="22"/>
      <c r="J105" s="21"/>
      <c r="K105" s="21"/>
    </row>
    <row r="106" spans="1:11" ht="14.45">
      <c r="A106" s="21"/>
      <c r="B106" s="32"/>
      <c r="C106" s="21"/>
      <c r="D106" s="21"/>
      <c r="E106" s="21"/>
      <c r="F106" s="22"/>
      <c r="G106" s="21"/>
      <c r="H106" s="21"/>
      <c r="I106" s="22"/>
      <c r="J106" s="21"/>
      <c r="K106" s="21"/>
    </row>
    <row r="107" spans="1:11" ht="14.45">
      <c r="A107" s="21"/>
      <c r="B107" s="32"/>
      <c r="C107" s="21"/>
      <c r="D107" s="21"/>
      <c r="E107" s="21"/>
      <c r="F107" s="22"/>
      <c r="G107" s="21"/>
      <c r="H107" s="21"/>
      <c r="I107" s="22"/>
      <c r="J107" s="21"/>
      <c r="K107" s="21"/>
    </row>
    <row r="108" spans="1:11" ht="14.45">
      <c r="A108" s="21"/>
      <c r="B108" s="32"/>
      <c r="C108" s="21"/>
      <c r="D108" s="21"/>
      <c r="E108" s="21"/>
      <c r="F108" s="22"/>
      <c r="G108" s="21"/>
      <c r="H108" s="21"/>
      <c r="I108" s="22"/>
      <c r="J108" s="21"/>
      <c r="K108" s="21"/>
    </row>
    <row r="109" spans="1:11" ht="14.45">
      <c r="A109" s="21"/>
      <c r="B109" s="32"/>
      <c r="C109" s="21"/>
      <c r="D109" s="21"/>
      <c r="E109" s="21"/>
      <c r="F109" s="22"/>
      <c r="G109" s="21"/>
      <c r="H109" s="21"/>
      <c r="I109" s="22"/>
      <c r="J109" s="21"/>
      <c r="K109" s="21"/>
    </row>
    <row r="110" spans="1:11" ht="14.45">
      <c r="A110" s="21"/>
      <c r="B110" s="32"/>
      <c r="C110" s="21"/>
      <c r="D110" s="21"/>
      <c r="E110" s="21"/>
      <c r="F110" s="22"/>
      <c r="G110" s="21"/>
      <c r="H110" s="21"/>
      <c r="I110" s="22"/>
      <c r="J110" s="21"/>
      <c r="K110" s="21"/>
    </row>
    <row r="111" spans="1:11" ht="14.45">
      <c r="A111" s="21"/>
      <c r="B111" s="32"/>
      <c r="C111" s="21"/>
      <c r="D111" s="21"/>
      <c r="E111" s="21"/>
      <c r="F111" s="22"/>
      <c r="G111" s="21"/>
      <c r="H111" s="21"/>
      <c r="I111" s="22"/>
      <c r="J111" s="21"/>
      <c r="K111" s="21"/>
    </row>
    <row r="112" spans="1:11" ht="14.45">
      <c r="A112" s="21"/>
      <c r="B112" s="32"/>
      <c r="C112" s="21"/>
      <c r="D112" s="21"/>
      <c r="E112" s="21"/>
      <c r="F112" s="22"/>
      <c r="G112" s="21"/>
      <c r="H112" s="21"/>
      <c r="I112" s="22"/>
      <c r="J112" s="21"/>
      <c r="K112" s="21"/>
    </row>
    <row r="113" spans="1:11" ht="14.45">
      <c r="A113" s="21"/>
      <c r="B113" s="32"/>
      <c r="C113" s="21"/>
      <c r="D113" s="21"/>
      <c r="E113" s="21"/>
      <c r="F113" s="22"/>
      <c r="G113" s="21"/>
      <c r="H113" s="21"/>
      <c r="I113" s="22"/>
      <c r="J113" s="21"/>
      <c r="K113" s="21"/>
    </row>
    <row r="114" spans="1:11" ht="14.45">
      <c r="A114" s="21"/>
      <c r="B114" s="32"/>
      <c r="C114" s="21"/>
      <c r="D114" s="21"/>
      <c r="E114" s="21"/>
      <c r="F114" s="22"/>
      <c r="G114" s="21"/>
      <c r="H114" s="21"/>
      <c r="I114" s="22"/>
      <c r="J114" s="21"/>
      <c r="K114" s="21"/>
    </row>
    <row r="115" spans="1:11" ht="14.45">
      <c r="A115" s="21"/>
      <c r="B115" s="32"/>
      <c r="C115" s="21"/>
      <c r="D115" s="21"/>
      <c r="E115" s="21"/>
      <c r="F115" s="22"/>
      <c r="G115" s="21"/>
      <c r="H115" s="21"/>
      <c r="I115" s="22"/>
      <c r="J115" s="21"/>
      <c r="K115" s="21"/>
    </row>
    <row r="116" spans="1:11" ht="14.45">
      <c r="A116" s="21"/>
      <c r="B116" s="32"/>
      <c r="C116" s="21"/>
      <c r="D116" s="21"/>
      <c r="E116" s="21"/>
      <c r="F116" s="22"/>
      <c r="G116" s="21"/>
      <c r="H116" s="21"/>
      <c r="I116" s="22"/>
      <c r="J116" s="21"/>
      <c r="K116" s="21"/>
    </row>
    <row r="117" spans="1:11" ht="14.45">
      <c r="A117" s="21"/>
      <c r="B117" s="32"/>
      <c r="C117" s="21"/>
      <c r="D117" s="21"/>
      <c r="E117" s="21"/>
      <c r="F117" s="22"/>
      <c r="G117" s="21"/>
      <c r="H117" s="21"/>
      <c r="I117" s="22"/>
      <c r="J117" s="21"/>
      <c r="K117" s="21"/>
    </row>
    <row r="118" spans="1:11" ht="14.45">
      <c r="A118" s="21"/>
      <c r="B118" s="32"/>
      <c r="C118" s="21"/>
      <c r="D118" s="21"/>
      <c r="E118" s="21"/>
      <c r="F118" s="22"/>
      <c r="G118" s="21"/>
      <c r="H118" s="21"/>
      <c r="I118" s="22"/>
      <c r="J118" s="21"/>
      <c r="K118" s="21"/>
    </row>
    <row r="119" spans="1:11" ht="14.45">
      <c r="A119" s="21"/>
      <c r="B119" s="32"/>
      <c r="C119" s="21"/>
      <c r="D119" s="21"/>
      <c r="E119" s="21"/>
      <c r="F119" s="22"/>
      <c r="G119" s="21"/>
      <c r="H119" s="21"/>
      <c r="I119" s="22"/>
      <c r="J119" s="21"/>
      <c r="K119" s="21"/>
    </row>
    <row r="120" spans="1:11" ht="14.45">
      <c r="A120" s="21"/>
      <c r="B120" s="32"/>
      <c r="C120" s="21"/>
      <c r="D120" s="21"/>
      <c r="E120" s="21"/>
      <c r="F120" s="22"/>
      <c r="G120" s="21"/>
      <c r="H120" s="21"/>
      <c r="I120" s="22"/>
      <c r="J120" s="21"/>
      <c r="K120" s="21"/>
    </row>
    <row r="121" spans="1:11" ht="14.45">
      <c r="A121" s="21"/>
      <c r="B121" s="32"/>
      <c r="C121" s="21"/>
      <c r="D121" s="21"/>
      <c r="E121" s="21"/>
      <c r="F121" s="22"/>
      <c r="G121" s="21"/>
      <c r="H121" s="21"/>
      <c r="I121" s="22"/>
      <c r="J121" s="21"/>
      <c r="K121" s="21"/>
    </row>
    <row r="122" spans="1:11" ht="14.45">
      <c r="A122" s="21"/>
      <c r="B122" s="32"/>
      <c r="C122" s="21"/>
      <c r="D122" s="21"/>
      <c r="E122" s="21"/>
      <c r="F122" s="22"/>
      <c r="G122" s="21"/>
      <c r="H122" s="21"/>
      <c r="I122" s="22"/>
      <c r="J122" s="21"/>
      <c r="K122" s="21"/>
    </row>
    <row r="123" spans="1:11" ht="14.45">
      <c r="A123" s="21"/>
      <c r="B123" s="32"/>
      <c r="C123" s="21"/>
      <c r="D123" s="21"/>
      <c r="E123" s="21"/>
      <c r="F123" s="22"/>
      <c r="G123" s="21"/>
      <c r="H123" s="21"/>
      <c r="I123" s="22"/>
      <c r="J123" s="21"/>
      <c r="K123" s="21"/>
    </row>
    <row r="124" spans="1:11" ht="14.45">
      <c r="A124" s="21"/>
      <c r="B124" s="32"/>
      <c r="C124" s="21"/>
      <c r="D124" s="21"/>
      <c r="E124" s="21"/>
      <c r="F124" s="22"/>
      <c r="G124" s="21"/>
      <c r="H124" s="21"/>
      <c r="I124" s="22"/>
      <c r="J124" s="21"/>
      <c r="K124" s="21"/>
    </row>
    <row r="125" spans="1:11" ht="14.45">
      <c r="A125" s="21"/>
      <c r="B125" s="32"/>
      <c r="C125" s="21"/>
      <c r="D125" s="21"/>
      <c r="E125" s="21"/>
      <c r="F125" s="22"/>
      <c r="G125" s="21"/>
      <c r="H125" s="21"/>
      <c r="I125" s="22"/>
      <c r="J125" s="21"/>
      <c r="K125" s="21"/>
    </row>
    <row r="126" spans="1:11" ht="14.45">
      <c r="A126" s="21"/>
      <c r="B126" s="32"/>
      <c r="C126" s="21"/>
      <c r="D126" s="21"/>
      <c r="E126" s="21"/>
      <c r="F126" s="22"/>
      <c r="G126" s="21"/>
      <c r="H126" s="21"/>
      <c r="I126" s="22"/>
      <c r="J126" s="21"/>
      <c r="K126" s="21"/>
    </row>
    <row r="127" spans="1:11" ht="14.45">
      <c r="A127" s="21"/>
      <c r="B127" s="32"/>
      <c r="C127" s="21"/>
      <c r="D127" s="21"/>
      <c r="E127" s="21"/>
      <c r="F127" s="22"/>
      <c r="G127" s="21"/>
      <c r="H127" s="21"/>
      <c r="I127" s="22"/>
      <c r="J127" s="21"/>
      <c r="K127" s="21"/>
    </row>
    <row r="128" spans="1:11" ht="14.45">
      <c r="A128" s="21"/>
      <c r="B128" s="32"/>
      <c r="C128" s="21"/>
      <c r="D128" s="21"/>
      <c r="E128" s="21"/>
      <c r="F128" s="22"/>
      <c r="G128" s="21"/>
      <c r="H128" s="21"/>
      <c r="I128" s="22"/>
      <c r="J128" s="21"/>
      <c r="K128" s="21"/>
    </row>
    <row r="129" spans="1:11" ht="14.45">
      <c r="A129" s="21"/>
      <c r="B129" s="32"/>
      <c r="C129" s="21"/>
      <c r="D129" s="21"/>
      <c r="E129" s="21"/>
      <c r="F129" s="22"/>
      <c r="G129" s="21"/>
      <c r="H129" s="21"/>
      <c r="I129" s="22"/>
      <c r="J129" s="21"/>
      <c r="K129" s="21"/>
    </row>
    <row r="130" spans="1:11" ht="14.45">
      <c r="A130" s="21"/>
      <c r="B130" s="32"/>
      <c r="C130" s="21"/>
      <c r="D130" s="21"/>
      <c r="E130" s="21"/>
      <c r="F130" s="22"/>
      <c r="G130" s="21"/>
      <c r="H130" s="21"/>
      <c r="I130" s="22"/>
      <c r="J130" s="21"/>
      <c r="K130" s="21"/>
    </row>
    <row r="131" spans="1:11" ht="14.45">
      <c r="A131" s="21"/>
      <c r="B131" s="32"/>
      <c r="C131" s="21"/>
      <c r="D131" s="21"/>
      <c r="E131" s="21"/>
      <c r="F131" s="22"/>
      <c r="G131" s="21"/>
      <c r="H131" s="21"/>
      <c r="I131" s="22"/>
      <c r="J131" s="21"/>
      <c r="K131" s="21"/>
    </row>
    <row r="132" spans="1:11" ht="14.45">
      <c r="A132" s="21"/>
      <c r="B132" s="32"/>
      <c r="C132" s="21"/>
      <c r="D132" s="21"/>
      <c r="E132" s="21"/>
      <c r="F132" s="22"/>
      <c r="G132" s="21"/>
      <c r="H132" s="21"/>
      <c r="I132" s="22"/>
      <c r="J132" s="21"/>
      <c r="K132" s="21"/>
    </row>
    <row r="133" spans="1:11" ht="14.45">
      <c r="A133" s="21"/>
      <c r="B133" s="32"/>
      <c r="C133" s="21"/>
      <c r="D133" s="21"/>
      <c r="E133" s="21"/>
      <c r="F133" s="22"/>
      <c r="G133" s="21"/>
      <c r="H133" s="21"/>
      <c r="I133" s="22"/>
      <c r="J133" s="21"/>
      <c r="K133" s="21"/>
    </row>
    <row r="134" spans="1:11" ht="14.45">
      <c r="A134" s="21"/>
      <c r="B134" s="32"/>
      <c r="C134" s="21"/>
      <c r="D134" s="21"/>
      <c r="E134" s="21"/>
      <c r="F134" s="22"/>
      <c r="G134" s="21"/>
      <c r="H134" s="21"/>
      <c r="I134" s="22"/>
      <c r="J134" s="21"/>
      <c r="K134" s="21"/>
    </row>
    <row r="135" spans="1:11" ht="14.45">
      <c r="A135" s="21"/>
      <c r="B135" s="32"/>
      <c r="C135" s="21"/>
      <c r="D135" s="21"/>
      <c r="E135" s="21"/>
      <c r="F135" s="22"/>
      <c r="G135" s="21"/>
      <c r="H135" s="21"/>
      <c r="I135" s="22"/>
      <c r="J135" s="21"/>
      <c r="K135" s="21"/>
    </row>
    <row r="136" spans="1:11" ht="14.45">
      <c r="A136" s="21"/>
      <c r="B136" s="32"/>
      <c r="C136" s="21"/>
      <c r="D136" s="21"/>
      <c r="E136" s="21"/>
      <c r="F136" s="22"/>
      <c r="G136" s="21"/>
      <c r="H136" s="21"/>
      <c r="I136" s="22"/>
      <c r="J136" s="21"/>
      <c r="K136" s="21"/>
    </row>
    <row r="137" spans="1:11" ht="14.45">
      <c r="A137" s="21"/>
      <c r="B137" s="32"/>
      <c r="C137" s="21"/>
      <c r="D137" s="21"/>
      <c r="E137" s="21"/>
      <c r="F137" s="22"/>
      <c r="G137" s="21"/>
      <c r="H137" s="21"/>
      <c r="I137" s="22"/>
      <c r="J137" s="21"/>
      <c r="K137" s="21"/>
    </row>
    <row r="138" spans="1:11" ht="14.45">
      <c r="A138" s="21"/>
      <c r="B138" s="32"/>
      <c r="C138" s="21"/>
      <c r="D138" s="21"/>
      <c r="E138" s="21"/>
      <c r="F138" s="22"/>
      <c r="G138" s="21"/>
      <c r="H138" s="21"/>
      <c r="I138" s="22"/>
      <c r="J138" s="21"/>
      <c r="K138" s="21"/>
    </row>
    <row r="139" spans="1:11" ht="14.45">
      <c r="A139" s="21"/>
      <c r="B139" s="32"/>
      <c r="C139" s="21"/>
      <c r="D139" s="21"/>
      <c r="E139" s="21"/>
      <c r="F139" s="22"/>
      <c r="G139" s="21"/>
      <c r="H139" s="21"/>
      <c r="I139" s="22"/>
      <c r="J139" s="21"/>
      <c r="K139" s="21"/>
    </row>
    <row r="140" spans="1:11" ht="14.45">
      <c r="A140" s="21"/>
      <c r="B140" s="32"/>
      <c r="C140" s="21"/>
      <c r="D140" s="21"/>
      <c r="E140" s="21"/>
      <c r="F140" s="22"/>
      <c r="G140" s="21"/>
      <c r="H140" s="21"/>
      <c r="I140" s="22"/>
      <c r="J140" s="21"/>
      <c r="K140" s="21"/>
    </row>
    <row r="141" spans="1:11" ht="14.45">
      <c r="A141" s="21"/>
      <c r="B141" s="32"/>
      <c r="C141" s="21"/>
      <c r="D141" s="21"/>
      <c r="E141" s="21"/>
      <c r="F141" s="22"/>
      <c r="G141" s="21"/>
      <c r="H141" s="21"/>
      <c r="I141" s="22"/>
      <c r="J141" s="21"/>
      <c r="K141" s="21"/>
    </row>
    <row r="142" spans="1:11" ht="14.45">
      <c r="A142" s="21"/>
      <c r="B142" s="32"/>
      <c r="C142" s="21"/>
      <c r="D142" s="21"/>
      <c r="E142" s="21"/>
      <c r="F142" s="22"/>
      <c r="G142" s="21"/>
      <c r="H142" s="21"/>
      <c r="I142" s="22"/>
      <c r="J142" s="21"/>
      <c r="K142" s="21"/>
    </row>
    <row r="143" spans="1:11" ht="14.45">
      <c r="A143" s="21"/>
      <c r="B143" s="32"/>
      <c r="C143" s="21"/>
      <c r="D143" s="21"/>
      <c r="E143" s="21"/>
      <c r="F143" s="22"/>
      <c r="G143" s="21"/>
      <c r="H143" s="21"/>
      <c r="I143" s="22"/>
      <c r="J143" s="21"/>
      <c r="K143" s="21"/>
    </row>
    <row r="144" spans="1:11" ht="14.45">
      <c r="A144" s="21"/>
      <c r="B144" s="32"/>
      <c r="C144" s="21"/>
      <c r="D144" s="21"/>
      <c r="E144" s="21"/>
      <c r="F144" s="22"/>
      <c r="G144" s="21"/>
      <c r="H144" s="21"/>
      <c r="I144" s="22"/>
      <c r="J144" s="21"/>
      <c r="K144" s="21"/>
    </row>
    <row r="145" spans="1:11" ht="14.45">
      <c r="A145" s="21"/>
      <c r="B145" s="32"/>
      <c r="C145" s="21"/>
      <c r="D145" s="21"/>
      <c r="E145" s="21"/>
      <c r="F145" s="22"/>
      <c r="G145" s="21"/>
      <c r="H145" s="21"/>
      <c r="I145" s="22"/>
      <c r="J145" s="21"/>
      <c r="K145" s="21"/>
    </row>
    <row r="146" spans="1:11" ht="14.45">
      <c r="A146" s="21"/>
      <c r="B146" s="32"/>
      <c r="C146" s="21"/>
      <c r="D146" s="21"/>
      <c r="E146" s="21"/>
      <c r="F146" s="22"/>
      <c r="G146" s="21"/>
      <c r="H146" s="21"/>
      <c r="I146" s="22"/>
      <c r="J146" s="21"/>
      <c r="K146" s="21"/>
    </row>
    <row r="147" spans="1:11" ht="14.45">
      <c r="A147" s="21"/>
      <c r="B147" s="32"/>
      <c r="C147" s="21"/>
      <c r="D147" s="21"/>
      <c r="E147" s="21"/>
      <c r="F147" s="22"/>
      <c r="G147" s="21"/>
      <c r="H147" s="21"/>
      <c r="I147" s="22"/>
      <c r="J147" s="21"/>
      <c r="K147" s="21"/>
    </row>
    <row r="148" spans="1:11" ht="14.45">
      <c r="A148" s="21"/>
      <c r="B148" s="32"/>
      <c r="C148" s="21"/>
      <c r="D148" s="21"/>
      <c r="E148" s="21"/>
      <c r="F148" s="22"/>
      <c r="G148" s="21"/>
      <c r="H148" s="21"/>
      <c r="I148" s="22"/>
      <c r="J148" s="21"/>
      <c r="K148" s="21"/>
    </row>
    <row r="149" spans="1:11" ht="14.45">
      <c r="A149" s="21"/>
      <c r="B149" s="32"/>
      <c r="C149" s="21"/>
      <c r="D149" s="21"/>
      <c r="E149" s="21"/>
      <c r="F149" s="22"/>
      <c r="G149" s="21"/>
      <c r="H149" s="21"/>
      <c r="I149" s="22"/>
      <c r="J149" s="21"/>
      <c r="K149" s="21"/>
    </row>
    <row r="150" spans="1:11" ht="14.45">
      <c r="A150" s="21"/>
      <c r="B150" s="32"/>
      <c r="C150" s="21"/>
      <c r="D150" s="21"/>
      <c r="E150" s="21"/>
      <c r="F150" s="22"/>
      <c r="G150" s="21"/>
      <c r="H150" s="21"/>
      <c r="I150" s="22"/>
      <c r="J150" s="21"/>
      <c r="K150" s="21"/>
    </row>
    <row r="151" spans="1:11" ht="14.45">
      <c r="A151" s="21"/>
      <c r="B151" s="32"/>
      <c r="C151" s="21"/>
      <c r="D151" s="21"/>
      <c r="E151" s="21"/>
      <c r="F151" s="22"/>
      <c r="G151" s="21"/>
      <c r="H151" s="21"/>
      <c r="I151" s="22"/>
      <c r="J151" s="21"/>
      <c r="K151" s="21"/>
    </row>
    <row r="152" spans="1:11" ht="14.45">
      <c r="A152" s="21"/>
      <c r="B152" s="32"/>
      <c r="C152" s="21"/>
      <c r="D152" s="21"/>
      <c r="E152" s="21"/>
      <c r="F152" s="22"/>
      <c r="G152" s="21"/>
      <c r="H152" s="21"/>
      <c r="I152" s="22"/>
      <c r="J152" s="21"/>
      <c r="K152" s="21"/>
    </row>
    <row r="153" spans="1:11" ht="14.45">
      <c r="A153" s="21"/>
      <c r="B153" s="32"/>
      <c r="C153" s="21"/>
      <c r="D153" s="21"/>
      <c r="E153" s="21"/>
      <c r="F153" s="22"/>
      <c r="G153" s="21"/>
      <c r="H153" s="21"/>
      <c r="I153" s="22"/>
      <c r="J153" s="21"/>
      <c r="K153" s="21"/>
    </row>
    <row r="154" spans="1:11" ht="14.45">
      <c r="A154" s="21"/>
      <c r="B154" s="32"/>
      <c r="C154" s="21"/>
      <c r="D154" s="21"/>
      <c r="E154" s="21"/>
      <c r="F154" s="22"/>
      <c r="G154" s="21"/>
      <c r="H154" s="21"/>
      <c r="I154" s="22"/>
      <c r="J154" s="21"/>
      <c r="K154" s="21"/>
    </row>
    <row r="155" spans="1:11" ht="14.45">
      <c r="A155" s="21"/>
      <c r="B155" s="32"/>
      <c r="C155" s="21"/>
      <c r="D155" s="21"/>
      <c r="E155" s="21"/>
      <c r="F155" s="22"/>
      <c r="G155" s="21"/>
      <c r="H155" s="21"/>
      <c r="I155" s="22"/>
      <c r="J155" s="21"/>
      <c r="K155" s="21"/>
    </row>
    <row r="156" spans="1:11" ht="14.45">
      <c r="A156" s="21"/>
      <c r="B156" s="32"/>
      <c r="C156" s="21"/>
      <c r="D156" s="21"/>
      <c r="E156" s="21"/>
      <c r="F156" s="22"/>
      <c r="G156" s="21"/>
      <c r="H156" s="21"/>
      <c r="I156" s="22"/>
      <c r="J156" s="21"/>
      <c r="K156" s="21"/>
    </row>
    <row r="157" spans="1:11" ht="14.45">
      <c r="A157" s="21"/>
      <c r="B157" s="32"/>
      <c r="C157" s="21"/>
      <c r="D157" s="21"/>
      <c r="E157" s="21"/>
      <c r="F157" s="22"/>
      <c r="G157" s="21"/>
      <c r="H157" s="21"/>
      <c r="I157" s="22"/>
      <c r="J157" s="21"/>
      <c r="K157" s="21"/>
    </row>
    <row r="158" spans="1:11" ht="14.45">
      <c r="A158" s="21"/>
      <c r="B158" s="32"/>
      <c r="C158" s="21"/>
      <c r="D158" s="21"/>
      <c r="E158" s="21"/>
      <c r="F158" s="22"/>
      <c r="G158" s="21"/>
      <c r="H158" s="21"/>
      <c r="I158" s="22"/>
      <c r="J158" s="21"/>
      <c r="K158" s="21"/>
    </row>
    <row r="159" spans="1:11" ht="14.45">
      <c r="A159" s="21"/>
      <c r="B159" s="32"/>
      <c r="C159" s="21"/>
      <c r="D159" s="21"/>
      <c r="E159" s="21"/>
      <c r="F159" s="22"/>
      <c r="G159" s="21"/>
      <c r="H159" s="21"/>
      <c r="I159" s="22"/>
      <c r="J159" s="21"/>
      <c r="K159" s="21"/>
    </row>
    <row r="160" spans="1:11" ht="14.45">
      <c r="A160" s="21"/>
      <c r="B160" s="32"/>
      <c r="C160" s="21"/>
      <c r="D160" s="21"/>
      <c r="E160" s="21"/>
      <c r="F160" s="22"/>
      <c r="G160" s="21"/>
      <c r="H160" s="21"/>
      <c r="I160" s="22"/>
      <c r="J160" s="21"/>
      <c r="K160" s="21"/>
    </row>
    <row r="161" spans="1:11" ht="14.45">
      <c r="A161" s="21"/>
      <c r="B161" s="32"/>
      <c r="C161" s="21"/>
      <c r="D161" s="21"/>
      <c r="E161" s="21"/>
      <c r="F161" s="22"/>
      <c r="G161" s="21"/>
      <c r="H161" s="21"/>
      <c r="I161" s="22"/>
      <c r="J161" s="21"/>
      <c r="K161" s="21"/>
    </row>
    <row r="162" spans="1:11" ht="14.45">
      <c r="A162" s="21"/>
      <c r="B162" s="32"/>
      <c r="C162" s="21"/>
      <c r="D162" s="21"/>
      <c r="E162" s="21"/>
      <c r="F162" s="22"/>
      <c r="G162" s="21"/>
      <c r="H162" s="21"/>
      <c r="I162" s="22"/>
      <c r="J162" s="21"/>
      <c r="K162" s="21"/>
    </row>
    <row r="163" spans="1:11" ht="14.45">
      <c r="A163" s="21"/>
      <c r="B163" s="32"/>
      <c r="C163" s="21"/>
      <c r="D163" s="21"/>
      <c r="E163" s="21"/>
      <c r="F163" s="22"/>
      <c r="G163" s="21"/>
      <c r="H163" s="21"/>
      <c r="I163" s="22"/>
      <c r="J163" s="21"/>
      <c r="K163" s="21"/>
    </row>
    <row r="164" spans="1:11" ht="14.45">
      <c r="A164" s="21"/>
      <c r="B164" s="32"/>
      <c r="C164" s="21"/>
      <c r="D164" s="21"/>
      <c r="E164" s="21"/>
      <c r="F164" s="22"/>
      <c r="G164" s="21"/>
      <c r="H164" s="21"/>
      <c r="I164" s="22"/>
      <c r="J164" s="21"/>
      <c r="K164" s="21"/>
    </row>
    <row r="165" spans="1:11" ht="14.45">
      <c r="A165" s="21"/>
      <c r="B165" s="32"/>
      <c r="C165" s="21"/>
      <c r="D165" s="21"/>
      <c r="E165" s="21"/>
      <c r="F165" s="22"/>
      <c r="G165" s="21"/>
      <c r="H165" s="21"/>
      <c r="I165" s="22"/>
      <c r="J165" s="21"/>
      <c r="K165" s="21"/>
    </row>
    <row r="166" spans="1:11" ht="14.45">
      <c r="A166" s="21"/>
      <c r="B166" s="32"/>
      <c r="C166" s="21"/>
      <c r="D166" s="21"/>
      <c r="E166" s="21"/>
      <c r="F166" s="22"/>
      <c r="G166" s="21"/>
      <c r="H166" s="21"/>
      <c r="I166" s="22"/>
      <c r="J166" s="21"/>
      <c r="K166" s="21"/>
    </row>
    <row r="167" spans="1:11" ht="14.45">
      <c r="A167" s="21"/>
      <c r="B167" s="32"/>
      <c r="C167" s="21"/>
      <c r="D167" s="21"/>
      <c r="E167" s="21"/>
      <c r="F167" s="22"/>
      <c r="G167" s="21"/>
      <c r="H167" s="21"/>
      <c r="I167" s="22"/>
      <c r="J167" s="21"/>
      <c r="K167" s="21"/>
    </row>
    <row r="168" spans="1:11" ht="14.45">
      <c r="A168" s="21"/>
      <c r="B168" s="32"/>
      <c r="C168" s="21"/>
      <c r="D168" s="21"/>
      <c r="E168" s="21"/>
      <c r="F168" s="22"/>
      <c r="G168" s="21"/>
      <c r="H168" s="21"/>
      <c r="I168" s="22"/>
      <c r="J168" s="21"/>
      <c r="K168" s="21"/>
    </row>
    <row r="169" spans="1:11" ht="14.45">
      <c r="A169" s="21"/>
      <c r="B169" s="32"/>
      <c r="C169" s="21"/>
      <c r="D169" s="21"/>
      <c r="E169" s="21"/>
      <c r="F169" s="22"/>
      <c r="G169" s="21"/>
      <c r="H169" s="21"/>
      <c r="I169" s="22"/>
      <c r="J169" s="21"/>
      <c r="K169" s="21"/>
    </row>
    <row r="170" spans="1:11" ht="14.45">
      <c r="A170" s="21"/>
      <c r="B170" s="32"/>
      <c r="C170" s="21"/>
      <c r="D170" s="21"/>
      <c r="E170" s="21"/>
      <c r="F170" s="22"/>
      <c r="G170" s="21"/>
      <c r="H170" s="21"/>
      <c r="I170" s="22"/>
      <c r="J170" s="21"/>
      <c r="K170" s="21"/>
    </row>
    <row r="171" spans="1:11" ht="14.45">
      <c r="A171" s="21"/>
      <c r="B171" s="32"/>
      <c r="C171" s="21"/>
      <c r="D171" s="21"/>
      <c r="E171" s="21"/>
      <c r="F171" s="22"/>
      <c r="G171" s="21"/>
      <c r="H171" s="21"/>
      <c r="I171" s="22"/>
      <c r="J171" s="21"/>
      <c r="K171" s="21"/>
    </row>
    <row r="172" spans="1:11" ht="14.45">
      <c r="A172" s="21"/>
      <c r="B172" s="32"/>
      <c r="C172" s="21"/>
      <c r="D172" s="21"/>
      <c r="E172" s="21"/>
      <c r="F172" s="22"/>
      <c r="G172" s="21"/>
      <c r="H172" s="21"/>
      <c r="I172" s="22"/>
      <c r="J172" s="21"/>
      <c r="K172" s="21"/>
    </row>
    <row r="173" spans="1:11" ht="14.45">
      <c r="A173" s="21"/>
      <c r="B173" s="32"/>
      <c r="C173" s="21"/>
      <c r="D173" s="21"/>
      <c r="E173" s="21"/>
      <c r="F173" s="22"/>
      <c r="G173" s="21"/>
      <c r="H173" s="21"/>
      <c r="I173" s="22"/>
      <c r="J173" s="21"/>
      <c r="K173" s="21"/>
    </row>
    <row r="174" spans="1:11" ht="14.45">
      <c r="A174" s="21"/>
      <c r="B174" s="32"/>
      <c r="C174" s="21"/>
      <c r="D174" s="21"/>
      <c r="E174" s="21"/>
      <c r="F174" s="22"/>
      <c r="G174" s="21"/>
      <c r="H174" s="21"/>
      <c r="I174" s="22"/>
      <c r="J174" s="21"/>
      <c r="K174" s="21"/>
    </row>
    <row r="175" spans="1:11" ht="14.45">
      <c r="A175" s="21"/>
      <c r="B175" s="32"/>
      <c r="C175" s="21"/>
      <c r="D175" s="21"/>
      <c r="E175" s="21"/>
      <c r="F175" s="22"/>
      <c r="G175" s="21"/>
      <c r="H175" s="21"/>
      <c r="I175" s="22"/>
      <c r="J175" s="21"/>
      <c r="K175" s="21"/>
    </row>
    <row r="176" spans="1:11" ht="14.45">
      <c r="A176" s="21"/>
      <c r="B176" s="32"/>
      <c r="C176" s="21"/>
      <c r="D176" s="21"/>
      <c r="E176" s="21"/>
      <c r="F176" s="22"/>
      <c r="G176" s="21"/>
      <c r="H176" s="21"/>
      <c r="I176" s="22"/>
      <c r="J176" s="21"/>
      <c r="K176" s="21"/>
    </row>
    <row r="177" spans="1:11" ht="14.45">
      <c r="A177" s="21"/>
      <c r="B177" s="32"/>
      <c r="C177" s="21"/>
      <c r="D177" s="21"/>
      <c r="E177" s="21"/>
      <c r="F177" s="22"/>
      <c r="G177" s="21"/>
      <c r="H177" s="21"/>
      <c r="I177" s="22"/>
      <c r="J177" s="21"/>
      <c r="K177" s="21"/>
    </row>
    <row r="178" spans="1:11" ht="14.45">
      <c r="A178" s="21"/>
      <c r="B178" s="32"/>
      <c r="C178" s="21"/>
      <c r="D178" s="21"/>
      <c r="E178" s="21"/>
      <c r="F178" s="22"/>
      <c r="G178" s="21"/>
      <c r="H178" s="21"/>
      <c r="I178" s="22"/>
      <c r="J178" s="21"/>
      <c r="K178" s="21"/>
    </row>
    <row r="179" spans="1:11" ht="14.45">
      <c r="A179" s="21"/>
      <c r="B179" s="32"/>
      <c r="C179" s="21"/>
      <c r="D179" s="21"/>
      <c r="E179" s="21"/>
      <c r="F179" s="22"/>
      <c r="G179" s="21"/>
      <c r="H179" s="21"/>
      <c r="I179" s="22"/>
      <c r="J179" s="21"/>
      <c r="K179" s="21"/>
    </row>
    <row r="180" spans="1:11" ht="14.45">
      <c r="A180" s="21"/>
      <c r="B180" s="32"/>
      <c r="C180" s="21"/>
      <c r="D180" s="21"/>
      <c r="E180" s="21"/>
      <c r="F180" s="22"/>
      <c r="G180" s="21"/>
      <c r="H180" s="21"/>
      <c r="I180" s="22"/>
      <c r="J180" s="21"/>
      <c r="K180" s="21"/>
    </row>
    <row r="181" spans="1:11" ht="14.45">
      <c r="A181" s="21"/>
      <c r="B181" s="32"/>
      <c r="C181" s="21"/>
      <c r="D181" s="21"/>
      <c r="E181" s="21"/>
      <c r="F181" s="22"/>
      <c r="G181" s="21"/>
      <c r="H181" s="21"/>
      <c r="I181" s="22"/>
      <c r="J181" s="21"/>
      <c r="K181" s="21"/>
    </row>
    <row r="182" spans="1:11" ht="14.45">
      <c r="A182" s="21"/>
      <c r="B182" s="32"/>
      <c r="C182" s="21"/>
      <c r="D182" s="21"/>
      <c r="E182" s="21"/>
      <c r="F182" s="22"/>
      <c r="G182" s="21"/>
      <c r="H182" s="21"/>
      <c r="I182" s="22"/>
      <c r="J182" s="21"/>
      <c r="K182" s="21"/>
    </row>
    <row r="183" spans="1:11" ht="14.45">
      <c r="A183" s="21"/>
      <c r="B183" s="32"/>
      <c r="C183" s="21"/>
      <c r="D183" s="21"/>
      <c r="E183" s="21"/>
      <c r="F183" s="22"/>
      <c r="G183" s="21"/>
      <c r="H183" s="21"/>
      <c r="I183" s="22"/>
      <c r="J183" s="21"/>
      <c r="K183" s="21"/>
    </row>
    <row r="184" spans="1:11" ht="14.45">
      <c r="A184" s="21"/>
      <c r="B184" s="32"/>
      <c r="C184" s="21"/>
      <c r="D184" s="21"/>
      <c r="E184" s="21"/>
      <c r="F184" s="22"/>
      <c r="G184" s="21"/>
      <c r="H184" s="21"/>
      <c r="I184" s="22"/>
      <c r="J184" s="21"/>
      <c r="K184" s="21"/>
    </row>
    <row r="185" spans="1:11" ht="14.45">
      <c r="A185" s="21"/>
      <c r="B185" s="32"/>
      <c r="C185" s="21"/>
      <c r="D185" s="21"/>
      <c r="E185" s="21"/>
      <c r="F185" s="22"/>
      <c r="G185" s="21"/>
      <c r="H185" s="21"/>
      <c r="I185" s="22"/>
      <c r="J185" s="21"/>
      <c r="K185" s="21"/>
    </row>
    <row r="186" spans="1:11" ht="14.45">
      <c r="A186" s="21"/>
      <c r="B186" s="32"/>
      <c r="C186" s="21"/>
      <c r="D186" s="21"/>
      <c r="E186" s="21"/>
      <c r="F186" s="22"/>
      <c r="G186" s="21"/>
      <c r="H186" s="21"/>
      <c r="I186" s="22"/>
      <c r="J186" s="21"/>
      <c r="K186" s="21"/>
    </row>
    <row r="187" spans="1:11" ht="14.45">
      <c r="A187" s="21"/>
      <c r="B187" s="32"/>
      <c r="C187" s="21"/>
      <c r="D187" s="21"/>
      <c r="E187" s="21"/>
      <c r="F187" s="22"/>
      <c r="G187" s="21"/>
      <c r="H187" s="21"/>
      <c r="I187" s="22"/>
      <c r="J187" s="21"/>
      <c r="K187" s="21"/>
    </row>
    <row r="188" spans="1:11" ht="14.45">
      <c r="A188" s="21"/>
      <c r="B188" s="32"/>
      <c r="C188" s="21"/>
      <c r="D188" s="21"/>
      <c r="E188" s="21"/>
      <c r="F188" s="22"/>
      <c r="G188" s="21"/>
      <c r="H188" s="21"/>
      <c r="I188" s="22"/>
      <c r="J188" s="21"/>
      <c r="K188" s="21"/>
    </row>
    <row r="189" spans="1:11" ht="14.45">
      <c r="A189" s="21"/>
      <c r="B189" s="32"/>
      <c r="C189" s="21"/>
      <c r="D189" s="21"/>
      <c r="E189" s="21"/>
      <c r="F189" s="22"/>
      <c r="G189" s="21"/>
      <c r="H189" s="21"/>
      <c r="I189" s="22"/>
      <c r="J189" s="21"/>
      <c r="K189" s="21"/>
    </row>
    <row r="190" spans="1:11" ht="14.45">
      <c r="A190" s="21"/>
      <c r="B190" s="32"/>
      <c r="C190" s="21"/>
      <c r="D190" s="21"/>
      <c r="E190" s="21"/>
      <c r="F190" s="22"/>
      <c r="G190" s="21"/>
      <c r="H190" s="21"/>
      <c r="I190" s="22"/>
      <c r="J190" s="21"/>
      <c r="K190" s="21"/>
    </row>
    <row r="191" spans="1:11" ht="14.45">
      <c r="A191" s="21"/>
      <c r="B191" s="32"/>
      <c r="C191" s="21"/>
      <c r="D191" s="21"/>
      <c r="E191" s="21"/>
      <c r="F191" s="22"/>
      <c r="G191" s="21"/>
      <c r="H191" s="21"/>
      <c r="I191" s="22"/>
      <c r="J191" s="21"/>
      <c r="K191" s="21"/>
    </row>
    <row r="192" spans="1:11" ht="14.45">
      <c r="A192" s="21"/>
      <c r="B192" s="32"/>
      <c r="C192" s="21"/>
      <c r="D192" s="21"/>
      <c r="E192" s="21"/>
      <c r="F192" s="22"/>
      <c r="G192" s="21"/>
      <c r="H192" s="21"/>
      <c r="I192" s="22"/>
      <c r="J192" s="21"/>
      <c r="K192" s="21"/>
    </row>
    <row r="193" spans="1:11" ht="14.45">
      <c r="A193" s="21"/>
      <c r="B193" s="32"/>
      <c r="C193" s="21"/>
      <c r="D193" s="21"/>
      <c r="E193" s="21"/>
      <c r="F193" s="22"/>
      <c r="G193" s="21"/>
      <c r="H193" s="21"/>
      <c r="I193" s="22"/>
      <c r="J193" s="21"/>
      <c r="K193" s="21"/>
    </row>
    <row r="194" spans="1:11" ht="14.45">
      <c r="A194" s="21"/>
      <c r="B194" s="32"/>
      <c r="C194" s="21"/>
      <c r="D194" s="21"/>
      <c r="E194" s="21"/>
      <c r="F194" s="22"/>
      <c r="G194" s="21"/>
      <c r="H194" s="21"/>
      <c r="I194" s="22"/>
      <c r="J194" s="21"/>
      <c r="K194" s="21"/>
    </row>
    <row r="195" spans="1:11" ht="14.45">
      <c r="A195" s="21"/>
      <c r="B195" s="32"/>
      <c r="C195" s="21"/>
      <c r="D195" s="21"/>
      <c r="E195" s="21"/>
      <c r="F195" s="22"/>
      <c r="G195" s="21"/>
      <c r="H195" s="21"/>
      <c r="I195" s="22"/>
      <c r="J195" s="21"/>
      <c r="K195" s="21"/>
    </row>
    <row r="196" spans="1:11" ht="14.45">
      <c r="A196" s="21"/>
      <c r="B196" s="32"/>
      <c r="C196" s="21"/>
      <c r="D196" s="21"/>
      <c r="E196" s="21"/>
      <c r="F196" s="22"/>
      <c r="G196" s="21"/>
      <c r="H196" s="21"/>
      <c r="I196" s="22"/>
      <c r="J196" s="21"/>
      <c r="K196" s="21"/>
    </row>
    <row r="197" spans="1:11" ht="14.45">
      <c r="A197" s="21"/>
      <c r="B197" s="32"/>
      <c r="C197" s="21"/>
      <c r="D197" s="21"/>
      <c r="E197" s="21"/>
      <c r="F197" s="22"/>
      <c r="G197" s="21"/>
      <c r="H197" s="21"/>
      <c r="I197" s="22"/>
      <c r="J197" s="21"/>
      <c r="K197" s="21"/>
    </row>
    <row r="198" spans="1:11" ht="14.45">
      <c r="A198" s="21"/>
      <c r="B198" s="32"/>
      <c r="C198" s="21"/>
      <c r="D198" s="21"/>
      <c r="E198" s="21"/>
      <c r="F198" s="22"/>
      <c r="G198" s="21"/>
      <c r="H198" s="21"/>
      <c r="I198" s="22"/>
      <c r="J198" s="21"/>
      <c r="K198" s="21"/>
    </row>
    <row r="199" spans="1:11" ht="14.45">
      <c r="A199" s="21"/>
      <c r="B199" s="32"/>
      <c r="C199" s="21"/>
      <c r="D199" s="21"/>
      <c r="E199" s="21"/>
      <c r="F199" s="22"/>
      <c r="G199" s="21"/>
      <c r="H199" s="21"/>
      <c r="I199" s="22"/>
      <c r="J199" s="21"/>
      <c r="K199" s="21"/>
    </row>
    <row r="200" spans="1:11" ht="14.45">
      <c r="A200" s="21"/>
      <c r="B200" s="32"/>
      <c r="C200" s="21"/>
      <c r="D200" s="21"/>
      <c r="E200" s="21"/>
      <c r="F200" s="22"/>
      <c r="G200" s="21"/>
      <c r="H200" s="21"/>
      <c r="I200" s="22"/>
      <c r="J200" s="21"/>
      <c r="K200" s="21"/>
    </row>
    <row r="201" spans="1:11" ht="14.45">
      <c r="A201" s="21"/>
      <c r="B201" s="32"/>
      <c r="C201" s="21"/>
      <c r="D201" s="21"/>
      <c r="E201" s="21"/>
      <c r="F201" s="22"/>
      <c r="G201" s="21"/>
      <c r="H201" s="21"/>
      <c r="I201" s="22"/>
      <c r="J201" s="21"/>
      <c r="K201" s="21"/>
    </row>
    <row r="202" spans="1:11" ht="14.45">
      <c r="A202" s="21"/>
      <c r="B202" s="32"/>
      <c r="C202" s="21"/>
      <c r="D202" s="21"/>
      <c r="E202" s="21"/>
      <c r="F202" s="22"/>
      <c r="G202" s="21"/>
      <c r="H202" s="21"/>
      <c r="I202" s="22"/>
      <c r="J202" s="21"/>
      <c r="K202" s="21"/>
    </row>
    <row r="203" spans="1:11" ht="14.45">
      <c r="A203" s="21"/>
      <c r="B203" s="32"/>
      <c r="C203" s="21"/>
      <c r="D203" s="21"/>
      <c r="E203" s="21"/>
      <c r="F203" s="22"/>
      <c r="G203" s="21"/>
      <c r="H203" s="21"/>
      <c r="I203" s="22"/>
      <c r="J203" s="21"/>
      <c r="K203" s="21"/>
    </row>
    <row r="204" spans="1:11" ht="14.45">
      <c r="A204" s="21"/>
      <c r="B204" s="32"/>
      <c r="C204" s="21"/>
      <c r="D204" s="21"/>
      <c r="E204" s="21"/>
      <c r="F204" s="22"/>
      <c r="G204" s="21"/>
      <c r="H204" s="21"/>
      <c r="I204" s="22"/>
      <c r="J204" s="21"/>
      <c r="K204" s="21"/>
    </row>
    <row r="205" spans="1:11" ht="14.45">
      <c r="A205" s="21"/>
      <c r="B205" s="32"/>
      <c r="C205" s="21"/>
      <c r="D205" s="21"/>
      <c r="E205" s="21"/>
      <c r="F205" s="22"/>
      <c r="G205" s="21"/>
      <c r="H205" s="21"/>
      <c r="I205" s="22"/>
      <c r="J205" s="21"/>
      <c r="K205" s="21"/>
    </row>
    <row r="206" spans="1:11" ht="14.45">
      <c r="A206" s="21"/>
      <c r="B206" s="32"/>
      <c r="C206" s="21"/>
      <c r="D206" s="21"/>
      <c r="E206" s="21"/>
      <c r="F206" s="22"/>
      <c r="G206" s="21"/>
      <c r="H206" s="21"/>
      <c r="I206" s="22"/>
      <c r="J206" s="21"/>
      <c r="K206" s="21"/>
    </row>
    <row r="207" spans="1:11" ht="14.45">
      <c r="A207" s="21"/>
      <c r="B207" s="32"/>
      <c r="C207" s="21"/>
      <c r="D207" s="21"/>
      <c r="E207" s="21"/>
      <c r="F207" s="22"/>
      <c r="G207" s="21"/>
      <c r="H207" s="21"/>
      <c r="I207" s="22"/>
      <c r="J207" s="21"/>
      <c r="K207" s="21"/>
    </row>
    <row r="208" spans="1:11" ht="14.45">
      <c r="A208" s="21"/>
      <c r="B208" s="32"/>
      <c r="C208" s="21"/>
      <c r="D208" s="21"/>
      <c r="E208" s="21"/>
      <c r="F208" s="22"/>
      <c r="G208" s="21"/>
      <c r="H208" s="21"/>
      <c r="I208" s="22"/>
      <c r="J208" s="21"/>
      <c r="K208" s="21"/>
    </row>
    <row r="209" spans="1:11" ht="14.45">
      <c r="A209" s="21"/>
      <c r="B209" s="32"/>
      <c r="C209" s="21"/>
      <c r="D209" s="21"/>
      <c r="E209" s="21"/>
      <c r="F209" s="22"/>
      <c r="G209" s="21"/>
      <c r="H209" s="21"/>
      <c r="I209" s="22"/>
      <c r="J209" s="21"/>
      <c r="K209" s="21"/>
    </row>
    <row r="210" spans="1:11" ht="14.45">
      <c r="A210" s="21"/>
      <c r="B210" s="32"/>
      <c r="C210" s="21"/>
      <c r="D210" s="21"/>
      <c r="E210" s="21"/>
      <c r="F210" s="22"/>
      <c r="G210" s="21"/>
      <c r="H210" s="21"/>
      <c r="I210" s="22"/>
      <c r="J210" s="21"/>
      <c r="K210" s="21"/>
    </row>
    <row r="211" spans="1:11" ht="14.45">
      <c r="A211" s="21"/>
      <c r="B211" s="32"/>
      <c r="C211" s="21"/>
      <c r="D211" s="21"/>
      <c r="E211" s="21"/>
      <c r="F211" s="22"/>
      <c r="G211" s="21"/>
      <c r="H211" s="21"/>
      <c r="I211" s="22"/>
      <c r="J211" s="21"/>
      <c r="K211" s="21"/>
    </row>
    <row r="212" spans="1:11" ht="14.45">
      <c r="A212" s="21"/>
      <c r="B212" s="32"/>
      <c r="C212" s="21"/>
      <c r="D212" s="21"/>
      <c r="E212" s="21"/>
      <c r="F212" s="22"/>
      <c r="G212" s="21"/>
      <c r="H212" s="21"/>
      <c r="I212" s="22"/>
      <c r="J212" s="21"/>
      <c r="K212" s="21"/>
    </row>
    <row r="213" spans="1:11" ht="14.45">
      <c r="A213" s="21"/>
      <c r="B213" s="32"/>
      <c r="C213" s="21"/>
      <c r="D213" s="21"/>
      <c r="E213" s="21"/>
      <c r="F213" s="22"/>
      <c r="G213" s="21"/>
      <c r="H213" s="21"/>
      <c r="I213" s="22"/>
      <c r="J213" s="21"/>
      <c r="K213" s="21"/>
    </row>
    <row r="214" spans="1:11" ht="14.45">
      <c r="A214" s="21"/>
      <c r="B214" s="32"/>
      <c r="C214" s="21"/>
      <c r="D214" s="21"/>
      <c r="E214" s="21"/>
      <c r="F214" s="22"/>
      <c r="G214" s="21"/>
      <c r="H214" s="21"/>
      <c r="I214" s="22"/>
      <c r="J214" s="21"/>
      <c r="K214" s="21"/>
    </row>
    <row r="215" spans="1:11" ht="14.45">
      <c r="A215" s="21"/>
      <c r="B215" s="32"/>
      <c r="C215" s="21"/>
      <c r="D215" s="21"/>
      <c r="E215" s="21"/>
      <c r="F215" s="22"/>
      <c r="G215" s="21"/>
      <c r="H215" s="21"/>
      <c r="I215" s="22"/>
      <c r="J215" s="21"/>
      <c r="K215" s="21"/>
    </row>
    <row r="216" spans="1:11" ht="14.45">
      <c r="A216" s="21"/>
      <c r="B216" s="32"/>
      <c r="C216" s="21"/>
      <c r="D216" s="21"/>
      <c r="E216" s="21"/>
      <c r="F216" s="22"/>
      <c r="G216" s="21"/>
      <c r="H216" s="21"/>
      <c r="I216" s="22"/>
      <c r="J216" s="21"/>
      <c r="K216" s="21"/>
    </row>
    <row r="217" spans="1:11" ht="14.45">
      <c r="A217" s="21"/>
      <c r="B217" s="32"/>
      <c r="C217" s="21"/>
      <c r="D217" s="21"/>
      <c r="E217" s="21"/>
      <c r="F217" s="22"/>
      <c r="G217" s="21"/>
      <c r="H217" s="21"/>
      <c r="I217" s="22"/>
      <c r="J217" s="21"/>
      <c r="K217" s="21"/>
    </row>
    <row r="218" spans="1:11" ht="14.45">
      <c r="A218" s="21"/>
      <c r="B218" s="32"/>
      <c r="C218" s="21"/>
      <c r="D218" s="21"/>
      <c r="E218" s="21"/>
      <c r="F218" s="22"/>
      <c r="G218" s="21"/>
      <c r="H218" s="21"/>
      <c r="I218" s="22"/>
      <c r="J218" s="21"/>
      <c r="K218" s="21"/>
    </row>
    <row r="219" spans="1:11" ht="14.45">
      <c r="A219" s="21"/>
      <c r="B219" s="32"/>
      <c r="C219" s="21"/>
      <c r="D219" s="21"/>
      <c r="E219" s="21"/>
      <c r="F219" s="22"/>
      <c r="G219" s="21"/>
      <c r="H219" s="21"/>
      <c r="I219" s="22"/>
      <c r="J219" s="21"/>
      <c r="K219" s="21"/>
    </row>
    <row r="220" spans="1:11" ht="14.45">
      <c r="A220" s="21"/>
      <c r="B220" s="32"/>
      <c r="C220" s="21"/>
      <c r="D220" s="21"/>
      <c r="E220" s="21"/>
      <c r="F220" s="22"/>
      <c r="G220" s="21"/>
      <c r="H220" s="21"/>
      <c r="I220" s="22"/>
      <c r="J220" s="21"/>
      <c r="K220" s="21"/>
    </row>
    <row r="221" spans="1:11" ht="14.45">
      <c r="A221" s="21"/>
      <c r="B221" s="32"/>
      <c r="C221" s="21"/>
      <c r="D221" s="21"/>
      <c r="E221" s="21"/>
      <c r="F221" s="22"/>
      <c r="G221" s="21"/>
      <c r="H221" s="21"/>
      <c r="I221" s="22"/>
      <c r="J221" s="21"/>
      <c r="K221" s="21"/>
    </row>
    <row r="222" spans="1:11" ht="14.45">
      <c r="A222" s="21"/>
      <c r="B222" s="32"/>
      <c r="C222" s="21"/>
      <c r="D222" s="21"/>
      <c r="E222" s="21"/>
      <c r="F222" s="22"/>
      <c r="G222" s="21"/>
      <c r="H222" s="21"/>
      <c r="I222" s="22"/>
      <c r="J222" s="21"/>
      <c r="K222" s="21"/>
    </row>
    <row r="223" spans="1:11" ht="14.45">
      <c r="A223" s="21"/>
      <c r="B223" s="32"/>
      <c r="C223" s="21"/>
      <c r="D223" s="21"/>
      <c r="E223" s="21"/>
      <c r="F223" s="22"/>
      <c r="G223" s="21"/>
      <c r="H223" s="21"/>
      <c r="I223" s="22"/>
      <c r="J223" s="21"/>
      <c r="K223" s="21"/>
    </row>
    <row r="224" spans="1:11" ht="14.45">
      <c r="A224" s="21"/>
      <c r="B224" s="32"/>
      <c r="C224" s="21"/>
      <c r="D224" s="21"/>
      <c r="E224" s="21"/>
      <c r="F224" s="22"/>
      <c r="G224" s="21"/>
      <c r="H224" s="21"/>
      <c r="I224" s="22"/>
      <c r="J224" s="21"/>
      <c r="K224" s="21"/>
    </row>
    <row r="225" spans="1:11" ht="14.45">
      <c r="A225" s="21"/>
      <c r="B225" s="32"/>
      <c r="C225" s="21"/>
      <c r="D225" s="21"/>
      <c r="E225" s="21"/>
      <c r="F225" s="22"/>
      <c r="G225" s="21"/>
      <c r="H225" s="21"/>
      <c r="I225" s="22"/>
      <c r="J225" s="21"/>
      <c r="K225" s="21"/>
    </row>
    <row r="226" spans="1:11" ht="14.45">
      <c r="A226" s="21"/>
      <c r="B226" s="32"/>
      <c r="C226" s="21"/>
      <c r="D226" s="21"/>
      <c r="E226" s="21"/>
      <c r="F226" s="22"/>
      <c r="G226" s="21"/>
      <c r="H226" s="21"/>
      <c r="I226" s="22"/>
      <c r="J226" s="21"/>
      <c r="K226" s="21"/>
    </row>
    <row r="227" spans="1:11" ht="14.45">
      <c r="A227" s="21"/>
      <c r="B227" s="32"/>
      <c r="C227" s="21"/>
      <c r="D227" s="21"/>
      <c r="E227" s="21"/>
      <c r="F227" s="22"/>
      <c r="G227" s="21"/>
      <c r="H227" s="21"/>
      <c r="I227" s="22"/>
      <c r="J227" s="21"/>
      <c r="K227" s="21"/>
    </row>
    <row r="228" spans="1:11" ht="14.45">
      <c r="A228" s="21"/>
      <c r="B228" s="32"/>
      <c r="C228" s="21"/>
      <c r="D228" s="21"/>
      <c r="E228" s="21"/>
      <c r="F228" s="22"/>
      <c r="G228" s="21"/>
      <c r="H228" s="21"/>
      <c r="I228" s="22"/>
      <c r="J228" s="21"/>
      <c r="K228" s="21"/>
    </row>
    <row r="229" spans="1:11" ht="14.45">
      <c r="A229" s="21"/>
      <c r="B229" s="32"/>
      <c r="C229" s="21"/>
      <c r="D229" s="21"/>
      <c r="E229" s="21"/>
      <c r="F229" s="22"/>
      <c r="G229" s="21"/>
      <c r="H229" s="21"/>
      <c r="I229" s="22"/>
      <c r="J229" s="21"/>
      <c r="K229" s="21"/>
    </row>
    <row r="230" spans="1:11" ht="14.45">
      <c r="A230" s="21"/>
      <c r="B230" s="32"/>
      <c r="C230" s="21"/>
      <c r="D230" s="21"/>
      <c r="E230" s="21"/>
      <c r="F230" s="22"/>
      <c r="G230" s="21"/>
      <c r="H230" s="21"/>
      <c r="I230" s="22"/>
      <c r="J230" s="21"/>
      <c r="K230" s="21"/>
    </row>
    <row r="231" spans="1:11" ht="14.45">
      <c r="A231" s="21"/>
      <c r="B231" s="32"/>
      <c r="C231" s="21"/>
      <c r="D231" s="21"/>
      <c r="E231" s="21"/>
      <c r="F231" s="22"/>
      <c r="G231" s="21"/>
      <c r="H231" s="21"/>
      <c r="I231" s="22"/>
      <c r="J231" s="21"/>
      <c r="K231" s="21"/>
    </row>
    <row r="232" spans="1:11" ht="14.45">
      <c r="A232" s="21"/>
      <c r="B232" s="32"/>
      <c r="C232" s="21"/>
      <c r="D232" s="21"/>
      <c r="E232" s="21"/>
      <c r="F232" s="22"/>
      <c r="G232" s="21"/>
      <c r="H232" s="21"/>
      <c r="I232" s="22"/>
      <c r="J232" s="21"/>
      <c r="K232" s="21"/>
    </row>
    <row r="233" spans="1:11" ht="14.45">
      <c r="A233" s="21"/>
      <c r="B233" s="32"/>
      <c r="C233" s="21"/>
      <c r="D233" s="21"/>
      <c r="E233" s="21"/>
      <c r="F233" s="22"/>
      <c r="G233" s="21"/>
      <c r="H233" s="21"/>
      <c r="I233" s="22"/>
      <c r="J233" s="21"/>
      <c r="K233" s="21"/>
    </row>
    <row r="234" spans="1:11" ht="14.45">
      <c r="A234" s="21"/>
      <c r="B234" s="32"/>
      <c r="C234" s="21"/>
      <c r="D234" s="21"/>
      <c r="E234" s="21"/>
      <c r="F234" s="22"/>
      <c r="G234" s="21"/>
      <c r="H234" s="21"/>
      <c r="I234" s="22"/>
      <c r="J234" s="21"/>
      <c r="K234" s="21"/>
    </row>
    <row r="235" spans="1:11" ht="14.45">
      <c r="A235" s="21"/>
      <c r="B235" s="32"/>
      <c r="C235" s="21"/>
      <c r="D235" s="21"/>
      <c r="E235" s="21"/>
      <c r="F235" s="22"/>
      <c r="G235" s="21"/>
      <c r="H235" s="21"/>
      <c r="I235" s="22"/>
      <c r="J235" s="21"/>
      <c r="K235" s="21"/>
    </row>
    <row r="236" spans="1:11" ht="14.45">
      <c r="A236" s="21"/>
      <c r="B236" s="32"/>
      <c r="C236" s="21"/>
      <c r="D236" s="21"/>
      <c r="E236" s="21"/>
      <c r="F236" s="22"/>
      <c r="G236" s="21"/>
      <c r="H236" s="21"/>
      <c r="I236" s="22"/>
      <c r="J236" s="21"/>
      <c r="K236" s="21"/>
    </row>
    <row r="237" spans="1:11" ht="14.45">
      <c r="A237" s="21"/>
      <c r="B237" s="32"/>
      <c r="C237" s="21"/>
      <c r="D237" s="21"/>
      <c r="E237" s="21"/>
      <c r="F237" s="22"/>
      <c r="G237" s="21"/>
      <c r="H237" s="21"/>
      <c r="I237" s="22"/>
      <c r="J237" s="21"/>
      <c r="K237" s="21"/>
    </row>
    <row r="238" spans="1:11" ht="14.45">
      <c r="A238" s="21"/>
      <c r="B238" s="32"/>
      <c r="C238" s="21"/>
      <c r="D238" s="21"/>
      <c r="E238" s="21"/>
      <c r="F238" s="22"/>
      <c r="G238" s="21"/>
      <c r="H238" s="21"/>
      <c r="I238" s="22"/>
      <c r="J238" s="21"/>
      <c r="K238" s="21"/>
    </row>
    <row r="239" spans="1:11" ht="14.45">
      <c r="A239" s="21"/>
      <c r="B239" s="32"/>
      <c r="C239" s="21"/>
      <c r="D239" s="21"/>
      <c r="E239" s="21"/>
      <c r="F239" s="22"/>
      <c r="G239" s="21"/>
      <c r="H239" s="21"/>
      <c r="I239" s="22"/>
      <c r="J239" s="21"/>
      <c r="K239" s="21"/>
    </row>
    <row r="240" spans="1:11" ht="14.45">
      <c r="A240" s="21"/>
      <c r="B240" s="32"/>
      <c r="C240" s="21"/>
      <c r="D240" s="21"/>
      <c r="E240" s="21"/>
      <c r="F240" s="22"/>
      <c r="G240" s="21"/>
      <c r="H240" s="21"/>
      <c r="I240" s="22"/>
      <c r="J240" s="21"/>
      <c r="K240" s="21"/>
    </row>
    <row r="241" spans="1:11" ht="14.45">
      <c r="A241" s="21"/>
      <c r="B241" s="32"/>
      <c r="C241" s="21"/>
      <c r="D241" s="21"/>
      <c r="E241" s="21"/>
      <c r="F241" s="22"/>
      <c r="G241" s="21"/>
      <c r="H241" s="21"/>
      <c r="I241" s="22"/>
      <c r="J241" s="21"/>
      <c r="K241" s="21"/>
    </row>
    <row r="242" spans="1:11" ht="14.45">
      <c r="A242" s="21"/>
      <c r="B242" s="32"/>
      <c r="C242" s="21"/>
      <c r="D242" s="21"/>
      <c r="E242" s="21"/>
      <c r="F242" s="22"/>
      <c r="G242" s="21"/>
      <c r="H242" s="21"/>
      <c r="I242" s="22"/>
      <c r="J242" s="21"/>
      <c r="K242" s="21"/>
    </row>
    <row r="243" spans="1:11" ht="14.45">
      <c r="A243" s="21"/>
      <c r="B243" s="32"/>
      <c r="C243" s="21"/>
      <c r="D243" s="21"/>
      <c r="E243" s="21"/>
      <c r="F243" s="22"/>
      <c r="G243" s="21"/>
      <c r="H243" s="21"/>
      <c r="I243" s="22"/>
      <c r="J243" s="21"/>
      <c r="K243" s="21"/>
    </row>
    <row r="244" spans="1:11" ht="14.45">
      <c r="A244" s="21"/>
      <c r="B244" s="32"/>
      <c r="C244" s="21"/>
      <c r="D244" s="21"/>
      <c r="E244" s="21"/>
      <c r="F244" s="22"/>
      <c r="G244" s="21"/>
      <c r="H244" s="21"/>
      <c r="I244" s="22"/>
      <c r="J244" s="21"/>
      <c r="K244" s="21"/>
    </row>
    <row r="245" spans="1:11" ht="14.45">
      <c r="A245" s="21"/>
      <c r="B245" s="32"/>
      <c r="C245" s="21"/>
      <c r="D245" s="21"/>
      <c r="E245" s="21"/>
      <c r="F245" s="22"/>
      <c r="G245" s="21"/>
      <c r="H245" s="21"/>
      <c r="I245" s="22"/>
      <c r="J245" s="21"/>
      <c r="K245" s="21"/>
    </row>
    <row r="246" spans="1:11" ht="14.45">
      <c r="A246" s="21"/>
      <c r="B246" s="32"/>
      <c r="C246" s="21"/>
      <c r="D246" s="21"/>
      <c r="E246" s="21"/>
      <c r="F246" s="22"/>
      <c r="G246" s="21"/>
      <c r="H246" s="21"/>
      <c r="I246" s="22"/>
      <c r="J246" s="21"/>
      <c r="K246" s="21"/>
    </row>
    <row r="247" spans="1:11" ht="14.45">
      <c r="A247" s="21"/>
      <c r="B247" s="32"/>
      <c r="C247" s="21"/>
      <c r="D247" s="21"/>
      <c r="E247" s="21"/>
      <c r="F247" s="22"/>
      <c r="G247" s="21"/>
      <c r="H247" s="21"/>
      <c r="I247" s="22"/>
      <c r="J247" s="21"/>
      <c r="K247" s="21"/>
    </row>
    <row r="248" spans="1:11" ht="14.45">
      <c r="A248" s="21"/>
      <c r="B248" s="32"/>
      <c r="C248" s="21"/>
      <c r="D248" s="21"/>
      <c r="E248" s="21"/>
      <c r="F248" s="22"/>
      <c r="G248" s="21"/>
      <c r="H248" s="21"/>
      <c r="I248" s="22"/>
      <c r="J248" s="21"/>
      <c r="K248" s="21"/>
    </row>
    <row r="249" spans="1:11" ht="14.45">
      <c r="A249" s="21"/>
      <c r="B249" s="32"/>
      <c r="C249" s="21"/>
      <c r="D249" s="21"/>
      <c r="E249" s="21"/>
      <c r="F249" s="22"/>
      <c r="G249" s="21"/>
      <c r="H249" s="21"/>
      <c r="I249" s="22"/>
      <c r="J249" s="21"/>
      <c r="K249" s="21"/>
    </row>
    <row r="250" spans="1:11" ht="14.45">
      <c r="A250" s="21"/>
      <c r="B250" s="32"/>
      <c r="C250" s="21"/>
      <c r="D250" s="21"/>
      <c r="E250" s="21"/>
      <c r="F250" s="22"/>
      <c r="G250" s="21"/>
      <c r="H250" s="21"/>
      <c r="I250" s="22"/>
      <c r="J250" s="21"/>
      <c r="K250" s="21"/>
    </row>
    <row r="251" spans="1:11" ht="14.45">
      <c r="A251" s="21"/>
      <c r="B251" s="32"/>
      <c r="C251" s="21"/>
      <c r="D251" s="21"/>
      <c r="E251" s="21"/>
      <c r="F251" s="22"/>
      <c r="G251" s="21"/>
      <c r="H251" s="21"/>
      <c r="I251" s="22"/>
      <c r="J251" s="21"/>
      <c r="K251" s="21"/>
    </row>
    <row r="252" spans="1:11" ht="14.45">
      <c r="A252" s="21"/>
      <c r="B252" s="32"/>
      <c r="C252" s="21"/>
      <c r="D252" s="21"/>
      <c r="E252" s="21"/>
      <c r="F252" s="22"/>
      <c r="G252" s="21"/>
      <c r="H252" s="21"/>
      <c r="I252" s="22"/>
      <c r="J252" s="21"/>
      <c r="K252" s="21"/>
    </row>
    <row r="253" spans="1:11" ht="14.45">
      <c r="A253" s="21"/>
      <c r="B253" s="32"/>
      <c r="C253" s="21"/>
      <c r="D253" s="21"/>
      <c r="E253" s="21"/>
      <c r="F253" s="22"/>
      <c r="G253" s="21"/>
      <c r="H253" s="21"/>
      <c r="I253" s="22"/>
      <c r="J253" s="21"/>
      <c r="K253" s="21"/>
    </row>
    <row r="254" spans="1:11" ht="14.45">
      <c r="A254" s="21"/>
      <c r="B254" s="32"/>
      <c r="C254" s="21"/>
      <c r="D254" s="21"/>
      <c r="E254" s="21"/>
      <c r="F254" s="22"/>
      <c r="G254" s="21"/>
      <c r="H254" s="21"/>
      <c r="I254" s="22"/>
      <c r="J254" s="21"/>
      <c r="K254" s="21"/>
    </row>
    <row r="255" spans="1:11" ht="14.45">
      <c r="A255" s="21"/>
      <c r="B255" s="32"/>
      <c r="C255" s="21"/>
      <c r="D255" s="21"/>
      <c r="E255" s="21"/>
      <c r="F255" s="22"/>
      <c r="G255" s="21"/>
      <c r="H255" s="21"/>
      <c r="I255" s="22"/>
      <c r="J255" s="21"/>
      <c r="K255" s="21"/>
    </row>
    <row r="256" spans="1:11" ht="14.45">
      <c r="A256" s="21"/>
      <c r="B256" s="32"/>
      <c r="C256" s="21"/>
      <c r="D256" s="21"/>
      <c r="E256" s="21"/>
      <c r="F256" s="22"/>
      <c r="G256" s="21"/>
      <c r="H256" s="21"/>
      <c r="I256" s="22"/>
      <c r="J256" s="21"/>
      <c r="K256" s="21"/>
    </row>
    <row r="257" spans="1:11" ht="14.45">
      <c r="A257" s="21"/>
      <c r="B257" s="32"/>
      <c r="C257" s="21"/>
      <c r="D257" s="21"/>
      <c r="E257" s="21"/>
      <c r="F257" s="22"/>
      <c r="G257" s="21"/>
      <c r="H257" s="21"/>
      <c r="I257" s="22"/>
      <c r="J257" s="21"/>
      <c r="K257" s="21"/>
    </row>
    <row r="258" spans="1:11" ht="14.45">
      <c r="A258" s="21"/>
      <c r="B258" s="32"/>
      <c r="C258" s="21"/>
      <c r="D258" s="21"/>
      <c r="E258" s="21"/>
      <c r="F258" s="22"/>
      <c r="G258" s="21"/>
      <c r="H258" s="21"/>
      <c r="I258" s="22"/>
      <c r="J258" s="21"/>
      <c r="K258" s="21"/>
    </row>
    <row r="259" spans="1:11" ht="14.45">
      <c r="A259" s="21"/>
      <c r="B259" s="32"/>
      <c r="C259" s="21"/>
      <c r="D259" s="21"/>
      <c r="E259" s="21"/>
      <c r="F259" s="22"/>
      <c r="G259" s="21"/>
      <c r="H259" s="21"/>
      <c r="I259" s="22"/>
      <c r="J259" s="21"/>
      <c r="K259" s="21"/>
    </row>
    <row r="260" spans="1:11" ht="14.45">
      <c r="A260" s="21"/>
      <c r="B260" s="32"/>
      <c r="C260" s="21"/>
      <c r="D260" s="21"/>
      <c r="E260" s="21"/>
      <c r="F260" s="22"/>
      <c r="G260" s="21"/>
      <c r="H260" s="21"/>
      <c r="I260" s="22"/>
      <c r="J260" s="21"/>
      <c r="K260" s="21"/>
    </row>
    <row r="261" spans="1:11" ht="14.45">
      <c r="A261" s="21"/>
      <c r="B261" s="32"/>
      <c r="C261" s="21"/>
      <c r="D261" s="21"/>
      <c r="E261" s="21"/>
      <c r="F261" s="22"/>
      <c r="G261" s="21"/>
      <c r="H261" s="21"/>
      <c r="I261" s="22"/>
      <c r="J261" s="21"/>
      <c r="K261" s="21"/>
    </row>
    <row r="262" spans="1:11" ht="14.45">
      <c r="A262" s="21"/>
      <c r="B262" s="32"/>
      <c r="C262" s="21"/>
      <c r="D262" s="21"/>
      <c r="E262" s="21"/>
      <c r="F262" s="22"/>
      <c r="G262" s="21"/>
      <c r="H262" s="21"/>
      <c r="I262" s="22"/>
      <c r="J262" s="21"/>
      <c r="K262" s="21"/>
    </row>
    <row r="263" spans="1:11" ht="14.45">
      <c r="A263" s="21"/>
      <c r="B263" s="32"/>
      <c r="C263" s="21"/>
      <c r="D263" s="21"/>
      <c r="E263" s="21"/>
      <c r="F263" s="22"/>
      <c r="G263" s="21"/>
      <c r="H263" s="21"/>
      <c r="I263" s="22"/>
      <c r="J263" s="21"/>
      <c r="K263" s="21"/>
    </row>
    <row r="264" spans="1:11" ht="14.45">
      <c r="A264" s="21"/>
      <c r="B264" s="32"/>
      <c r="C264" s="21"/>
      <c r="D264" s="21"/>
      <c r="E264" s="21"/>
      <c r="F264" s="22"/>
      <c r="G264" s="21"/>
      <c r="H264" s="21"/>
      <c r="I264" s="22"/>
      <c r="J264" s="21"/>
      <c r="K264" s="21"/>
    </row>
    <row r="265" spans="1:11" ht="14.45">
      <c r="A265" s="21"/>
      <c r="B265" s="32"/>
      <c r="C265" s="21"/>
      <c r="D265" s="21"/>
      <c r="E265" s="21"/>
      <c r="F265" s="22"/>
      <c r="G265" s="21"/>
      <c r="H265" s="21"/>
      <c r="I265" s="22"/>
      <c r="J265" s="21"/>
      <c r="K265" s="21"/>
    </row>
    <row r="266" spans="1:11" ht="14.45">
      <c r="A266" s="21"/>
      <c r="B266" s="32"/>
      <c r="C266" s="21"/>
      <c r="D266" s="21"/>
      <c r="E266" s="21"/>
      <c r="F266" s="22"/>
      <c r="G266" s="21"/>
      <c r="H266" s="21"/>
      <c r="I266" s="22"/>
      <c r="J266" s="21"/>
      <c r="K266" s="21"/>
    </row>
    <row r="267" spans="1:11" ht="14.45">
      <c r="A267" s="21"/>
      <c r="B267" s="32"/>
      <c r="C267" s="21"/>
      <c r="D267" s="21"/>
      <c r="E267" s="21"/>
      <c r="F267" s="22"/>
      <c r="G267" s="21"/>
      <c r="H267" s="21"/>
      <c r="I267" s="22"/>
      <c r="J267" s="21"/>
      <c r="K267" s="21"/>
    </row>
    <row r="268" spans="1:11" ht="14.45">
      <c r="A268" s="21"/>
      <c r="B268" s="32"/>
      <c r="C268" s="21"/>
      <c r="D268" s="21"/>
      <c r="E268" s="21"/>
      <c r="F268" s="22"/>
      <c r="G268" s="21"/>
      <c r="H268" s="21"/>
      <c r="I268" s="22"/>
      <c r="J268" s="21"/>
      <c r="K268" s="21"/>
    </row>
    <row r="269" spans="1:11" ht="14.45">
      <c r="A269" s="21"/>
      <c r="B269" s="32"/>
      <c r="C269" s="21"/>
      <c r="D269" s="21"/>
      <c r="E269" s="21"/>
      <c r="F269" s="22"/>
      <c r="G269" s="21"/>
      <c r="H269" s="21"/>
      <c r="I269" s="22"/>
      <c r="J269" s="21"/>
      <c r="K269" s="21"/>
    </row>
    <row r="270" spans="1:11" ht="14.45">
      <c r="A270" s="21"/>
      <c r="B270" s="32"/>
      <c r="C270" s="21"/>
      <c r="D270" s="21"/>
      <c r="E270" s="21"/>
      <c r="F270" s="22"/>
      <c r="G270" s="21"/>
      <c r="H270" s="21"/>
      <c r="I270" s="22"/>
      <c r="J270" s="21"/>
      <c r="K270" s="21"/>
    </row>
    <row r="271" spans="1:11" ht="14.45">
      <c r="A271" s="21"/>
      <c r="B271" s="32"/>
      <c r="C271" s="21"/>
      <c r="D271" s="21"/>
      <c r="E271" s="21"/>
      <c r="F271" s="22"/>
      <c r="G271" s="21"/>
      <c r="H271" s="21"/>
      <c r="I271" s="22"/>
      <c r="J271" s="21"/>
      <c r="K271" s="21"/>
    </row>
    <row r="272" spans="1:11" ht="14.45">
      <c r="A272" s="21"/>
      <c r="B272" s="32"/>
      <c r="C272" s="21"/>
      <c r="D272" s="21"/>
      <c r="E272" s="21"/>
      <c r="F272" s="22"/>
      <c r="G272" s="21"/>
      <c r="H272" s="21"/>
      <c r="I272" s="22"/>
      <c r="J272" s="21"/>
      <c r="K272" s="21"/>
    </row>
    <row r="273" spans="1:11" ht="14.45">
      <c r="A273" s="21"/>
      <c r="B273" s="32"/>
      <c r="C273" s="21"/>
      <c r="D273" s="21"/>
      <c r="E273" s="21"/>
      <c r="F273" s="22"/>
      <c r="G273" s="21"/>
      <c r="H273" s="21"/>
      <c r="I273" s="22"/>
      <c r="J273" s="21"/>
      <c r="K273" s="21"/>
    </row>
    <row r="274" spans="1:11" ht="14.45">
      <c r="A274" s="21"/>
      <c r="B274" s="32"/>
      <c r="C274" s="21"/>
      <c r="D274" s="21"/>
      <c r="E274" s="21"/>
      <c r="F274" s="22"/>
      <c r="G274" s="21"/>
      <c r="H274" s="21"/>
      <c r="I274" s="22"/>
      <c r="J274" s="21"/>
      <c r="K274" s="21"/>
    </row>
    <row r="275" spans="1:11" ht="14.45">
      <c r="A275" s="21"/>
      <c r="B275" s="32"/>
      <c r="C275" s="21"/>
      <c r="D275" s="21"/>
      <c r="E275" s="21"/>
      <c r="F275" s="22"/>
      <c r="G275" s="21"/>
      <c r="H275" s="21"/>
      <c r="I275" s="22"/>
      <c r="J275" s="21"/>
      <c r="K275" s="21"/>
    </row>
    <row r="276" spans="1:11" ht="14.45">
      <c r="A276" s="21"/>
      <c r="B276" s="32"/>
      <c r="C276" s="21"/>
      <c r="D276" s="21"/>
      <c r="E276" s="21"/>
      <c r="F276" s="22"/>
      <c r="G276" s="21"/>
      <c r="H276" s="21"/>
      <c r="I276" s="22"/>
      <c r="J276" s="21"/>
      <c r="K276" s="21"/>
    </row>
    <row r="277" spans="1:11" ht="14.45">
      <c r="A277" s="21"/>
      <c r="B277" s="32"/>
      <c r="C277" s="21"/>
      <c r="D277" s="21"/>
      <c r="E277" s="21"/>
      <c r="F277" s="22"/>
      <c r="G277" s="21"/>
      <c r="H277" s="21"/>
      <c r="I277" s="22"/>
      <c r="J277" s="21"/>
      <c r="K277" s="21"/>
    </row>
    <row r="278" spans="1:11" ht="14.45">
      <c r="A278" s="21"/>
      <c r="B278" s="32"/>
      <c r="C278" s="21"/>
      <c r="D278" s="21"/>
      <c r="E278" s="21"/>
      <c r="F278" s="22"/>
      <c r="G278" s="21"/>
      <c r="H278" s="21"/>
      <c r="I278" s="22"/>
      <c r="J278" s="21"/>
      <c r="K278" s="21"/>
    </row>
    <row r="279" spans="1:11" ht="14.45">
      <c r="A279" s="21"/>
      <c r="B279" s="32"/>
      <c r="C279" s="21"/>
      <c r="D279" s="21"/>
      <c r="E279" s="21"/>
      <c r="F279" s="22"/>
      <c r="G279" s="21"/>
      <c r="H279" s="21"/>
      <c r="I279" s="22"/>
      <c r="J279" s="21"/>
      <c r="K279" s="21"/>
    </row>
    <row r="280" spans="1:11" ht="14.45">
      <c r="A280" s="21"/>
      <c r="B280" s="32"/>
      <c r="C280" s="21"/>
      <c r="D280" s="21"/>
      <c r="E280" s="21"/>
      <c r="F280" s="22"/>
      <c r="G280" s="21"/>
      <c r="H280" s="21"/>
      <c r="I280" s="22"/>
      <c r="J280" s="21"/>
      <c r="K280" s="21"/>
    </row>
    <row r="281" spans="1:11" ht="14.45">
      <c r="A281" s="21"/>
      <c r="B281" s="32"/>
      <c r="C281" s="21"/>
      <c r="D281" s="21"/>
      <c r="E281" s="21"/>
      <c r="F281" s="22"/>
      <c r="G281" s="21"/>
      <c r="H281" s="21"/>
      <c r="I281" s="22"/>
      <c r="J281" s="21"/>
      <c r="K281" s="21"/>
    </row>
    <row r="282" spans="1:11" ht="14.45">
      <c r="A282" s="21"/>
      <c r="B282" s="32"/>
      <c r="C282" s="21"/>
      <c r="D282" s="21"/>
      <c r="E282" s="21"/>
      <c r="F282" s="22"/>
      <c r="G282" s="21"/>
      <c r="H282" s="21"/>
      <c r="I282" s="22"/>
      <c r="J282" s="21"/>
      <c r="K282" s="21"/>
    </row>
    <row r="283" spans="1:11" ht="14.45">
      <c r="A283" s="21"/>
      <c r="B283" s="32"/>
      <c r="C283" s="21"/>
      <c r="D283" s="21"/>
      <c r="E283" s="21"/>
      <c r="F283" s="22"/>
      <c r="G283" s="21"/>
      <c r="H283" s="21"/>
      <c r="I283" s="22"/>
      <c r="J283" s="21"/>
      <c r="K283" s="21"/>
    </row>
    <row r="284" spans="1:11" ht="14.45">
      <c r="A284" s="21"/>
      <c r="B284" s="32"/>
      <c r="C284" s="21"/>
      <c r="D284" s="21"/>
      <c r="E284" s="21"/>
      <c r="F284" s="22"/>
      <c r="G284" s="21"/>
      <c r="H284" s="21"/>
      <c r="I284" s="22"/>
      <c r="J284" s="21"/>
      <c r="K284" s="21"/>
    </row>
    <row r="285" spans="1:11" ht="14.45">
      <c r="A285" s="21"/>
      <c r="B285" s="32"/>
      <c r="C285" s="21"/>
      <c r="D285" s="21"/>
      <c r="E285" s="21"/>
      <c r="F285" s="22"/>
      <c r="G285" s="21"/>
      <c r="H285" s="21"/>
      <c r="I285" s="22"/>
      <c r="J285" s="21"/>
      <c r="K285" s="21"/>
    </row>
    <row r="286" spans="1:11" ht="14.45">
      <c r="A286" s="21"/>
      <c r="B286" s="32"/>
      <c r="C286" s="21"/>
      <c r="D286" s="21"/>
      <c r="E286" s="21"/>
      <c r="F286" s="22"/>
      <c r="G286" s="21"/>
      <c r="H286" s="21"/>
      <c r="I286" s="22"/>
      <c r="J286" s="21"/>
      <c r="K286" s="21"/>
    </row>
    <row r="287" spans="1:11" ht="14.45">
      <c r="A287" s="21"/>
      <c r="B287" s="32"/>
      <c r="C287" s="21"/>
      <c r="D287" s="21"/>
      <c r="E287" s="21"/>
      <c r="F287" s="22"/>
      <c r="G287" s="21"/>
      <c r="H287" s="21"/>
      <c r="I287" s="22"/>
      <c r="J287" s="21"/>
      <c r="K287" s="21"/>
    </row>
    <row r="288" spans="1:11" ht="14.45">
      <c r="A288" s="21"/>
      <c r="B288" s="32"/>
      <c r="C288" s="21"/>
      <c r="D288" s="21"/>
      <c r="E288" s="21"/>
      <c r="F288" s="22"/>
      <c r="G288" s="21"/>
      <c r="H288" s="21"/>
      <c r="I288" s="22"/>
      <c r="J288" s="21"/>
      <c r="K288" s="21"/>
    </row>
    <row r="289" spans="1:11" ht="14.45">
      <c r="A289" s="21"/>
      <c r="B289" s="32"/>
      <c r="C289" s="21"/>
      <c r="D289" s="21"/>
      <c r="E289" s="21"/>
      <c r="F289" s="22"/>
      <c r="G289" s="21"/>
      <c r="H289" s="21"/>
      <c r="I289" s="22"/>
      <c r="J289" s="21"/>
      <c r="K289" s="21"/>
    </row>
    <row r="290" spans="1:11" ht="14.45">
      <c r="A290" s="21"/>
      <c r="B290" s="32"/>
      <c r="C290" s="21"/>
      <c r="D290" s="21"/>
      <c r="E290" s="21"/>
      <c r="F290" s="22"/>
      <c r="G290" s="21"/>
      <c r="H290" s="21"/>
      <c r="I290" s="22"/>
      <c r="J290" s="21"/>
      <c r="K290" s="21"/>
    </row>
    <row r="291" spans="1:11" ht="14.45">
      <c r="A291" s="21"/>
      <c r="B291" s="32"/>
      <c r="C291" s="21"/>
      <c r="D291" s="21"/>
      <c r="E291" s="21"/>
      <c r="F291" s="22"/>
      <c r="G291" s="21"/>
      <c r="H291" s="21"/>
      <c r="I291" s="22"/>
      <c r="J291" s="21"/>
      <c r="K291" s="21"/>
    </row>
    <row r="292" spans="1:11" ht="14.45">
      <c r="A292" s="21"/>
      <c r="B292" s="32"/>
      <c r="C292" s="21"/>
      <c r="D292" s="21"/>
      <c r="E292" s="21"/>
      <c r="F292" s="22"/>
      <c r="G292" s="21"/>
      <c r="H292" s="21"/>
      <c r="I292" s="22"/>
      <c r="J292" s="21"/>
      <c r="K292" s="21"/>
    </row>
    <row r="293" spans="1:11" ht="14.45">
      <c r="A293" s="21"/>
      <c r="B293" s="32"/>
      <c r="C293" s="21"/>
      <c r="D293" s="21"/>
      <c r="E293" s="21"/>
      <c r="F293" s="22"/>
      <c r="G293" s="21"/>
      <c r="H293" s="21"/>
      <c r="I293" s="22"/>
      <c r="J293" s="21"/>
      <c r="K293" s="21"/>
    </row>
    <row r="294" spans="1:11" ht="14.45">
      <c r="A294" s="21"/>
      <c r="B294" s="32"/>
      <c r="C294" s="21"/>
      <c r="D294" s="21"/>
      <c r="E294" s="21"/>
      <c r="F294" s="22"/>
      <c r="G294" s="21"/>
      <c r="H294" s="21"/>
      <c r="I294" s="22"/>
      <c r="J294" s="21"/>
      <c r="K294" s="21"/>
    </row>
    <row r="295" spans="1:11" ht="14.45">
      <c r="A295" s="21"/>
      <c r="B295" s="32"/>
      <c r="C295" s="21"/>
      <c r="D295" s="21"/>
      <c r="E295" s="21"/>
      <c r="F295" s="22"/>
      <c r="G295" s="21"/>
      <c r="H295" s="21"/>
      <c r="I295" s="22"/>
      <c r="J295" s="21"/>
      <c r="K295" s="21"/>
    </row>
    <row r="296" spans="1:11" ht="14.45">
      <c r="A296" s="21"/>
      <c r="B296" s="32"/>
      <c r="C296" s="21"/>
      <c r="D296" s="21"/>
      <c r="E296" s="21"/>
      <c r="F296" s="22"/>
      <c r="G296" s="21"/>
      <c r="H296" s="21"/>
      <c r="I296" s="22"/>
      <c r="J296" s="21"/>
      <c r="K296" s="21"/>
    </row>
    <row r="297" spans="1:11" ht="14.45">
      <c r="A297" s="21"/>
      <c r="B297" s="32"/>
      <c r="C297" s="21"/>
      <c r="D297" s="21"/>
      <c r="E297" s="21"/>
      <c r="F297" s="22"/>
      <c r="G297" s="21"/>
      <c r="H297" s="21"/>
      <c r="I297" s="22"/>
      <c r="J297" s="21"/>
      <c r="K297" s="21"/>
    </row>
    <row r="298" spans="1:11" ht="14.45">
      <c r="A298" s="21"/>
      <c r="B298" s="32"/>
      <c r="C298" s="21"/>
      <c r="D298" s="21"/>
      <c r="E298" s="21"/>
      <c r="F298" s="22"/>
      <c r="G298" s="21"/>
      <c r="H298" s="21"/>
      <c r="I298" s="22"/>
      <c r="J298" s="21"/>
      <c r="K298" s="21"/>
    </row>
    <row r="299" spans="1:11" ht="14.45">
      <c r="A299" s="21"/>
      <c r="B299" s="32"/>
      <c r="C299" s="21"/>
      <c r="D299" s="21"/>
      <c r="E299" s="21"/>
      <c r="F299" s="22"/>
      <c r="G299" s="21"/>
      <c r="H299" s="21"/>
      <c r="I299" s="22"/>
      <c r="J299" s="21"/>
      <c r="K299" s="21"/>
    </row>
    <row r="300" spans="1:11" ht="14.45">
      <c r="A300" s="21"/>
      <c r="B300" s="32"/>
      <c r="C300" s="21"/>
      <c r="D300" s="21"/>
      <c r="E300" s="21"/>
      <c r="F300" s="22"/>
      <c r="G300" s="21"/>
      <c r="H300" s="21"/>
      <c r="I300" s="22"/>
      <c r="J300" s="21"/>
      <c r="K300" s="21"/>
    </row>
    <row r="301" spans="1:11" ht="14.45">
      <c r="A301" s="21"/>
      <c r="B301" s="32"/>
      <c r="C301" s="21"/>
      <c r="D301" s="21"/>
      <c r="E301" s="21"/>
      <c r="F301" s="22"/>
      <c r="G301" s="21"/>
      <c r="H301" s="21"/>
      <c r="I301" s="22"/>
      <c r="J301" s="21"/>
      <c r="K301" s="21"/>
    </row>
    <row r="302" spans="1:11" ht="14.45">
      <c r="A302" s="21"/>
      <c r="B302" s="32"/>
      <c r="C302" s="21"/>
      <c r="D302" s="21"/>
      <c r="E302" s="21"/>
      <c r="F302" s="22"/>
      <c r="G302" s="21"/>
      <c r="H302" s="21"/>
      <c r="I302" s="22"/>
      <c r="J302" s="21"/>
      <c r="K302" s="21"/>
    </row>
    <row r="303" spans="1:11" ht="14.45">
      <c r="A303" s="21"/>
      <c r="B303" s="32"/>
      <c r="C303" s="21"/>
      <c r="D303" s="21"/>
      <c r="E303" s="21"/>
      <c r="F303" s="22"/>
      <c r="G303" s="21"/>
      <c r="H303" s="21"/>
      <c r="I303" s="22"/>
      <c r="J303" s="21"/>
      <c r="K303" s="21"/>
    </row>
    <row r="304" spans="1:11" ht="14.45">
      <c r="A304" s="21"/>
      <c r="B304" s="32"/>
      <c r="C304" s="21"/>
      <c r="D304" s="21"/>
      <c r="E304" s="21"/>
      <c r="F304" s="22"/>
      <c r="G304" s="21"/>
      <c r="H304" s="21"/>
      <c r="I304" s="22"/>
      <c r="J304" s="21"/>
      <c r="K304" s="21"/>
    </row>
    <row r="305" spans="1:11" ht="14.45">
      <c r="A305" s="21"/>
      <c r="B305" s="32"/>
      <c r="C305" s="21"/>
      <c r="D305" s="21"/>
      <c r="E305" s="21"/>
      <c r="F305" s="22"/>
      <c r="G305" s="21"/>
      <c r="H305" s="21"/>
      <c r="I305" s="22"/>
      <c r="J305" s="21"/>
      <c r="K305" s="21"/>
    </row>
    <row r="306" spans="1:11" ht="14.45">
      <c r="A306" s="21"/>
      <c r="B306" s="32"/>
      <c r="C306" s="21"/>
      <c r="D306" s="21"/>
      <c r="E306" s="21"/>
      <c r="F306" s="22"/>
      <c r="G306" s="21"/>
      <c r="H306" s="21"/>
      <c r="I306" s="22"/>
      <c r="J306" s="21"/>
      <c r="K306" s="21"/>
    </row>
    <row r="307" spans="1:11" ht="14.45">
      <c r="A307" s="21"/>
      <c r="B307" s="32"/>
      <c r="C307" s="21"/>
      <c r="D307" s="21"/>
      <c r="E307" s="21"/>
      <c r="F307" s="22"/>
      <c r="G307" s="21"/>
      <c r="H307" s="21"/>
      <c r="I307" s="22"/>
      <c r="J307" s="21"/>
      <c r="K307" s="21"/>
    </row>
    <row r="308" spans="1:11" ht="14.45">
      <c r="A308" s="21"/>
      <c r="B308" s="32"/>
      <c r="C308" s="21"/>
      <c r="D308" s="21"/>
      <c r="E308" s="21"/>
      <c r="F308" s="22"/>
      <c r="G308" s="21"/>
      <c r="H308" s="21"/>
      <c r="I308" s="22"/>
      <c r="J308" s="21"/>
      <c r="K308" s="21"/>
    </row>
    <row r="309" spans="1:11" ht="14.45">
      <c r="A309" s="21"/>
      <c r="B309" s="32"/>
      <c r="C309" s="21"/>
      <c r="D309" s="21"/>
      <c r="E309" s="21"/>
      <c r="F309" s="22"/>
      <c r="G309" s="21"/>
      <c r="H309" s="21"/>
      <c r="I309" s="22"/>
      <c r="J309" s="21"/>
      <c r="K309" s="21"/>
    </row>
    <row r="310" spans="1:11" ht="14.45">
      <c r="A310" s="21"/>
      <c r="B310" s="32"/>
      <c r="C310" s="21"/>
      <c r="D310" s="21"/>
      <c r="E310" s="21"/>
      <c r="F310" s="22"/>
      <c r="G310" s="21"/>
      <c r="H310" s="21"/>
      <c r="I310" s="22"/>
      <c r="J310" s="21"/>
      <c r="K310" s="21"/>
    </row>
    <row r="311" spans="1:11" ht="14.45">
      <c r="A311" s="21"/>
      <c r="B311" s="32"/>
      <c r="C311" s="21"/>
      <c r="D311" s="21"/>
      <c r="E311" s="21"/>
      <c r="F311" s="22"/>
      <c r="G311" s="21"/>
      <c r="H311" s="21"/>
      <c r="I311" s="22"/>
      <c r="J311" s="21"/>
      <c r="K311" s="21"/>
    </row>
    <row r="312" spans="1:11" ht="14.45">
      <c r="A312" s="21"/>
      <c r="B312" s="32"/>
      <c r="C312" s="21"/>
      <c r="D312" s="21"/>
      <c r="E312" s="21"/>
      <c r="F312" s="22"/>
      <c r="G312" s="21"/>
      <c r="H312" s="21"/>
      <c r="I312" s="22"/>
      <c r="J312" s="21"/>
      <c r="K312" s="21"/>
    </row>
    <row r="313" spans="1:11" ht="14.45">
      <c r="A313" s="21"/>
      <c r="B313" s="32"/>
      <c r="C313" s="21"/>
      <c r="D313" s="21"/>
      <c r="E313" s="21"/>
      <c r="F313" s="22"/>
      <c r="G313" s="21"/>
      <c r="H313" s="21"/>
      <c r="I313" s="22"/>
      <c r="J313" s="21"/>
      <c r="K313" s="21"/>
    </row>
    <row r="314" spans="1:11" ht="14.45">
      <c r="A314" s="21"/>
      <c r="B314" s="32"/>
      <c r="C314" s="21"/>
      <c r="D314" s="21"/>
      <c r="E314" s="21"/>
      <c r="F314" s="22"/>
      <c r="G314" s="21"/>
      <c r="H314" s="21"/>
      <c r="I314" s="22"/>
      <c r="J314" s="21"/>
      <c r="K314" s="21"/>
    </row>
    <row r="315" spans="1:11" ht="14.45">
      <c r="A315" s="21"/>
      <c r="B315" s="32"/>
      <c r="C315" s="21"/>
      <c r="D315" s="21"/>
      <c r="E315" s="21"/>
      <c r="F315" s="22"/>
      <c r="G315" s="21"/>
      <c r="H315" s="21"/>
      <c r="I315" s="22"/>
      <c r="J315" s="21"/>
      <c r="K315" s="21"/>
    </row>
    <row r="316" spans="1:11" ht="14.45">
      <c r="A316" s="21"/>
      <c r="B316" s="32"/>
      <c r="C316" s="21"/>
      <c r="D316" s="21"/>
      <c r="E316" s="21"/>
      <c r="F316" s="22"/>
      <c r="G316" s="21"/>
      <c r="H316" s="21"/>
      <c r="I316" s="22"/>
      <c r="J316" s="21"/>
      <c r="K316" s="21"/>
    </row>
    <row r="317" spans="1:11" ht="14.45">
      <c r="A317" s="21"/>
      <c r="B317" s="32"/>
      <c r="C317" s="21"/>
      <c r="D317" s="21"/>
      <c r="E317" s="21"/>
      <c r="F317" s="22"/>
      <c r="G317" s="21"/>
      <c r="H317" s="21"/>
      <c r="I317" s="22"/>
      <c r="J317" s="21"/>
      <c r="K317" s="21"/>
    </row>
    <row r="318" spans="1:11" ht="14.45">
      <c r="A318" s="21"/>
      <c r="B318" s="32"/>
      <c r="C318" s="21"/>
      <c r="D318" s="21"/>
      <c r="E318" s="21"/>
      <c r="F318" s="22"/>
      <c r="G318" s="21"/>
      <c r="H318" s="21"/>
      <c r="I318" s="22"/>
      <c r="J318" s="21"/>
      <c r="K318" s="21"/>
    </row>
    <row r="319" spans="1:11" ht="14.45">
      <c r="A319" s="21"/>
      <c r="B319" s="32"/>
      <c r="C319" s="21"/>
      <c r="D319" s="21"/>
      <c r="E319" s="21"/>
      <c r="F319" s="22"/>
      <c r="G319" s="21"/>
      <c r="H319" s="21"/>
      <c r="I319" s="22"/>
      <c r="J319" s="21"/>
      <c r="K319" s="21"/>
    </row>
    <row r="320" spans="1:11" ht="14.45">
      <c r="A320" s="21"/>
      <c r="B320" s="32"/>
      <c r="C320" s="21"/>
      <c r="D320" s="21"/>
      <c r="E320" s="21"/>
      <c r="F320" s="22"/>
      <c r="G320" s="21"/>
      <c r="H320" s="21"/>
      <c r="I320" s="22"/>
      <c r="J320" s="21"/>
      <c r="K320" s="21"/>
    </row>
    <row r="321" spans="1:11" ht="14.45">
      <c r="A321" s="21"/>
      <c r="B321" s="32"/>
      <c r="C321" s="21"/>
      <c r="D321" s="21"/>
      <c r="E321" s="21"/>
      <c r="F321" s="22"/>
      <c r="G321" s="21"/>
      <c r="H321" s="21"/>
      <c r="I321" s="22"/>
      <c r="J321" s="21"/>
      <c r="K321" s="21"/>
    </row>
    <row r="322" spans="1:11" ht="14.45">
      <c r="A322" s="21"/>
      <c r="B322" s="32"/>
      <c r="C322" s="21"/>
      <c r="D322" s="21"/>
      <c r="E322" s="21"/>
      <c r="F322" s="22"/>
      <c r="G322" s="21"/>
      <c r="H322" s="21"/>
      <c r="I322" s="22"/>
      <c r="J322" s="21"/>
      <c r="K322" s="21"/>
    </row>
    <row r="323" spans="1:11" ht="14.45">
      <c r="A323" s="21"/>
      <c r="B323" s="32"/>
      <c r="C323" s="21"/>
      <c r="D323" s="21"/>
      <c r="E323" s="21"/>
      <c r="F323" s="22"/>
      <c r="G323" s="21"/>
      <c r="H323" s="21"/>
      <c r="I323" s="22"/>
      <c r="J323" s="21"/>
      <c r="K323" s="21"/>
    </row>
    <row r="324" spans="1:11" ht="14.45">
      <c r="A324" s="21"/>
      <c r="B324" s="32"/>
      <c r="C324" s="21"/>
      <c r="D324" s="21"/>
      <c r="E324" s="21"/>
      <c r="F324" s="22"/>
      <c r="G324" s="21"/>
      <c r="H324" s="21"/>
      <c r="I324" s="22"/>
      <c r="J324" s="21"/>
      <c r="K324" s="21"/>
    </row>
    <row r="325" spans="1:11" ht="14.45">
      <c r="A325" s="21"/>
      <c r="B325" s="32"/>
      <c r="C325" s="21"/>
      <c r="D325" s="21"/>
      <c r="E325" s="21"/>
      <c r="F325" s="22"/>
      <c r="G325" s="21"/>
      <c r="H325" s="21"/>
      <c r="I325" s="22"/>
      <c r="J325" s="21"/>
      <c r="K325" s="21"/>
    </row>
    <row r="326" spans="1:11" ht="14.45">
      <c r="A326" s="21"/>
      <c r="B326" s="32"/>
      <c r="C326" s="21"/>
      <c r="D326" s="21"/>
      <c r="E326" s="21"/>
      <c r="F326" s="22"/>
      <c r="G326" s="21"/>
      <c r="H326" s="21"/>
      <c r="I326" s="22"/>
      <c r="J326" s="21"/>
      <c r="K326" s="21"/>
    </row>
    <row r="327" spans="1:11" ht="14.45">
      <c r="A327" s="21"/>
      <c r="B327" s="32"/>
      <c r="C327" s="21"/>
      <c r="D327" s="21"/>
      <c r="E327" s="21"/>
      <c r="F327" s="22"/>
      <c r="G327" s="21"/>
      <c r="H327" s="21"/>
      <c r="I327" s="22"/>
      <c r="J327" s="21"/>
      <c r="K327" s="21"/>
    </row>
    <row r="328" spans="1:11" ht="14.45">
      <c r="A328" s="21"/>
      <c r="B328" s="32"/>
      <c r="C328" s="21"/>
      <c r="D328" s="21"/>
      <c r="E328" s="21"/>
      <c r="F328" s="22"/>
      <c r="G328" s="21"/>
      <c r="H328" s="21"/>
      <c r="I328" s="22"/>
      <c r="J328" s="21"/>
      <c r="K328" s="21"/>
    </row>
    <row r="329" spans="1:11" ht="14.45">
      <c r="A329" s="21"/>
      <c r="B329" s="32"/>
      <c r="C329" s="21"/>
      <c r="D329" s="21"/>
      <c r="E329" s="21"/>
      <c r="F329" s="22"/>
      <c r="G329" s="21"/>
      <c r="H329" s="21"/>
      <c r="I329" s="22"/>
      <c r="J329" s="21"/>
      <c r="K329" s="21"/>
    </row>
    <row r="330" spans="1:11" ht="14.45">
      <c r="A330" s="21"/>
      <c r="B330" s="32"/>
      <c r="C330" s="21"/>
      <c r="D330" s="21"/>
      <c r="E330" s="21"/>
      <c r="F330" s="22"/>
      <c r="G330" s="21"/>
      <c r="H330" s="21"/>
      <c r="I330" s="22"/>
      <c r="J330" s="21"/>
      <c r="K330" s="21"/>
    </row>
    <row r="331" spans="1:11" ht="14.45">
      <c r="A331" s="21"/>
      <c r="B331" s="32"/>
      <c r="C331" s="21"/>
      <c r="D331" s="21"/>
      <c r="E331" s="21"/>
      <c r="F331" s="22"/>
      <c r="G331" s="21"/>
      <c r="H331" s="21"/>
      <c r="I331" s="22"/>
      <c r="J331" s="21"/>
      <c r="K331" s="21"/>
    </row>
    <row r="332" spans="1:11" ht="14.45">
      <c r="A332" s="21"/>
      <c r="B332" s="32"/>
      <c r="C332" s="21"/>
      <c r="D332" s="21"/>
      <c r="E332" s="21"/>
      <c r="F332" s="22"/>
      <c r="G332" s="21"/>
      <c r="H332" s="21"/>
      <c r="I332" s="22"/>
      <c r="J332" s="21"/>
      <c r="K332" s="21"/>
    </row>
    <row r="333" spans="1:11" ht="14.45">
      <c r="A333" s="21"/>
      <c r="B333" s="32"/>
      <c r="C333" s="21"/>
      <c r="D333" s="21"/>
      <c r="E333" s="21"/>
      <c r="F333" s="22"/>
      <c r="G333" s="21"/>
      <c r="H333" s="21"/>
      <c r="I333" s="22"/>
      <c r="J333" s="21"/>
      <c r="K333" s="21"/>
    </row>
    <row r="334" spans="1:11" ht="14.45">
      <c r="A334" s="21"/>
      <c r="B334" s="32"/>
      <c r="C334" s="21"/>
      <c r="D334" s="21"/>
      <c r="E334" s="21"/>
      <c r="F334" s="22"/>
      <c r="G334" s="21"/>
      <c r="H334" s="21"/>
      <c r="I334" s="22"/>
      <c r="J334" s="21"/>
      <c r="K334" s="21"/>
    </row>
    <row r="335" spans="1:11" ht="14.45">
      <c r="A335" s="21"/>
      <c r="B335" s="32"/>
      <c r="C335" s="21"/>
      <c r="D335" s="21"/>
      <c r="E335" s="21"/>
      <c r="F335" s="22"/>
      <c r="G335" s="21"/>
      <c r="H335" s="21"/>
      <c r="I335" s="22"/>
      <c r="J335" s="21"/>
      <c r="K335" s="21"/>
    </row>
    <row r="336" spans="1:11" ht="14.45">
      <c r="A336" s="21"/>
      <c r="B336" s="32"/>
      <c r="C336" s="21"/>
      <c r="D336" s="21"/>
      <c r="E336" s="21"/>
      <c r="F336" s="22"/>
      <c r="G336" s="21"/>
      <c r="H336" s="21"/>
      <c r="I336" s="22"/>
      <c r="J336" s="21"/>
      <c r="K336" s="21"/>
    </row>
    <row r="337" spans="3:11" ht="14.45">
      <c r="C337" s="21"/>
      <c r="D337" s="21"/>
      <c r="E337" s="21"/>
      <c r="F337" s="22"/>
      <c r="G337" s="21"/>
      <c r="H337" s="21"/>
      <c r="I337" s="22"/>
      <c r="J337" s="21"/>
      <c r="K337" s="21"/>
    </row>
  </sheetData>
  <mergeCells count="4">
    <mergeCell ref="G1:I1"/>
    <mergeCell ref="A1:C1"/>
    <mergeCell ref="D1:F1"/>
    <mergeCell ref="A2:B2"/>
  </mergeCells>
  <conditionalFormatting sqref="F2 I2 F4:F95 I4:I95">
    <cfRule type="cellIs" dxfId="8" priority="3" stopIfTrue="1" operator="lessThanOrEqual">
      <formula>-0.1</formula>
    </cfRule>
    <cfRule type="expression" dxfId="7" priority="4">
      <formula>AND(ISNUMBER(F2), F2&gt;=0.1)</formula>
    </cfRule>
  </conditionalFormatting>
  <hyperlinks>
    <hyperlink ref="K4" r:id="rId1" display="https://us3.assetplanner.com/service_request?ID=111820" xr:uid="{6B5FB403-A04C-454A-99B5-14E5EB109BB9}"/>
    <hyperlink ref="M4" r:id="rId2" display="https://us3.assetplanner.com/service_request?ID=099221" xr:uid="{A67DC7E6-C442-4306-AA20-A4E27D037042}"/>
    <hyperlink ref="N4" r:id="rId3" display="https://us3.assetplanner.com/service_request?ID=109898" xr:uid="{D217E7C1-B10E-412D-877C-4465EC045426}"/>
    <hyperlink ref="O4" r:id="rId4" display="https://us3.assetplanner.com/service_request?ID=110765" xr:uid="{31B47C36-123C-4A2B-B3CB-5BAF972001C9}"/>
    <hyperlink ref="P4" r:id="rId5" display="https://us3.assetplanner.com/service_request?ID=111456" xr:uid="{7D3D6E74-9DA1-40B0-8928-2AC78A9388D1}"/>
    <hyperlink ref="Q4" r:id="rId6" display="https://us3.assetplanner.com/service_request?ID=110529" xr:uid="{4CFBB061-9D59-4D1A-ACDC-5690579921AB}"/>
    <hyperlink ref="K5" r:id="rId7" display="https://us3.assetplanner.com/service_request?ID=109883" xr:uid="{EAD3D3BF-A0E7-4C1B-BD1D-0F797B521347}"/>
    <hyperlink ref="M5" r:id="rId8" display="https://us3.assetplanner.com/service_request?ID=110594" xr:uid="{1B1E18CA-027D-4C21-961B-40B65E39CE41}"/>
    <hyperlink ref="K6" r:id="rId9" display="https://us3.assetplanner.com/service_request?ID=110898" xr:uid="{C3391103-9899-4AC9-8A71-1CD2A357DFF6}"/>
    <hyperlink ref="K7" r:id="rId10" display="https://us3.assetplanner.com/service_request?ID=101449" xr:uid="{C30E8F2C-E3D0-4919-99E7-73AFA355207A}"/>
    <hyperlink ref="K8" r:id="rId11" display="https://us3.assetplanner.com/service_request?ID=109931" xr:uid="{1BFD784D-5584-4329-9771-D81762563F78}"/>
    <hyperlink ref="M8" r:id="rId12" display="https://us3.assetplanner.com/service_request?ID=105397" xr:uid="{0A25AFAE-DBC7-44D6-B34A-E6EED195D3DB}"/>
  </hyperlinks>
  <pageMargins left="0.4" right="0.7" top="0.25" bottom="0.25" header="0.3" footer="0.3"/>
  <pageSetup fitToHeight="99" orientation="landscape" r:id="rId13"/>
  <legacyDrawing r:id="rId1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37"/>
  <sheetViews>
    <sheetView tabSelected="1" zoomScale="70" zoomScaleNormal="70" workbookViewId="0">
      <pane xSplit="2" ySplit="3" topLeftCell="C4" activePane="bottomRight" state="frozen"/>
      <selection pane="bottomRight" activeCell="J8" sqref="J8"/>
      <selection pane="bottomLeft" activeCell="G27" sqref="G27"/>
      <selection pane="topRight" activeCell="G27" sqref="G27"/>
    </sheetView>
  </sheetViews>
  <sheetFormatPr defaultRowHeight="13.9"/>
  <cols>
    <col min="1" max="1" width="35.85546875" bestFit="1" customWidth="1"/>
    <col min="2" max="2" width="8.42578125" style="33"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6.85546875" style="57" customWidth="1"/>
  </cols>
  <sheetData>
    <row r="1" spans="1:14" ht="19.5" customHeight="1">
      <c r="A1" s="78" t="str" cm="1">
        <f t="array" ref="A1">portfolio</f>
        <v>True Green Capital Management LLC</v>
      </c>
      <c r="B1" s="78"/>
      <c r="C1" s="78"/>
      <c r="D1" s="79" t="s">
        <v>216</v>
      </c>
      <c r="E1" s="79"/>
      <c r="F1" s="79"/>
      <c r="G1" s="77" t="s">
        <v>217</v>
      </c>
      <c r="H1" s="77"/>
      <c r="I1" s="77"/>
      <c r="J1" s="4"/>
      <c r="K1" s="4"/>
      <c r="L1" s="4"/>
    </row>
    <row r="2" spans="1:14" ht="19.5" customHeight="1">
      <c r="A2" s="80" t="s">
        <v>2</v>
      </c>
      <c r="B2" s="80"/>
      <c r="C2" s="5">
        <f>SUM(C4:C95)</f>
        <v>1784691.966</v>
      </c>
      <c r="D2" s="5">
        <f>SUM(D4:D95)</f>
        <v>1776400.2520000001</v>
      </c>
      <c r="E2" s="5">
        <f>C2-D2</f>
        <v>8291.7139999999199</v>
      </c>
      <c r="F2" s="6">
        <f>IFERROR(E2/D2, 0)</f>
        <v>4.6677059354526141E-3</v>
      </c>
      <c r="G2" s="5">
        <f>SUM(G4:G95)</f>
        <v>1866067.7000000002</v>
      </c>
      <c r="H2" s="7">
        <f>C2-G2</f>
        <v>-81375.734000000171</v>
      </c>
      <c r="I2" s="6">
        <f>IFERROR(H2/G2, 0)</f>
        <v>-4.3608135974916751E-2</v>
      </c>
      <c r="J2" s="26" t="str">
        <f ca="1">IF(AND(TODAY()&gt;DATE(2024, 12, 1), COUNTA(Sites[Site])&lt;&gt;(COUNT(C:C)-1)), "Some sites are missing actual data; if new sites were added, make sure they are aligned correctly (including prior months!)", "")</f>
        <v/>
      </c>
      <c r="K2" s="4"/>
      <c r="L2" s="26"/>
    </row>
    <row r="3" spans="1:14" ht="14.25" customHeight="1">
      <c r="A3" s="8" t="s">
        <v>3</v>
      </c>
      <c r="B3" s="8" t="s">
        <v>4</v>
      </c>
      <c r="C3" s="23" t="s">
        <v>5</v>
      </c>
      <c r="D3" s="34" t="s">
        <v>6</v>
      </c>
      <c r="E3" s="34" t="s">
        <v>7</v>
      </c>
      <c r="F3" s="35" t="s">
        <v>8</v>
      </c>
      <c r="G3" s="36" t="s">
        <v>9</v>
      </c>
      <c r="H3" s="37" t="s">
        <v>7</v>
      </c>
      <c r="I3" s="38" t="s">
        <v>8</v>
      </c>
      <c r="J3" s="25" t="s">
        <v>20</v>
      </c>
      <c r="K3" s="25" t="s">
        <v>21</v>
      </c>
      <c r="L3" s="25" t="s">
        <v>177</v>
      </c>
    </row>
    <row r="4" spans="1:14" ht="137.25">
      <c r="A4" s="29" t="str" cm="1">
        <f t="array" ref="A4:A8">Sites[Site]</f>
        <v>Rochester - 5516 Valleyhigh NW</v>
      </c>
      <c r="B4" s="30" t="str" cm="1">
        <f t="array" ref="B4:B8">Sites[State]</f>
        <v>MN</v>
      </c>
      <c r="C4" s="11">
        <v>679805.06599999999</v>
      </c>
      <c r="D4" s="18">
        <v>593312.1</v>
      </c>
      <c r="E4" s="18">
        <f t="shared" ref="E4:E8" si="0">IF(AND(ISNUMBER(C4),ISNUMBER(D4)), C4-D4, "")</f>
        <v>86492.966000000015</v>
      </c>
      <c r="F4" s="19">
        <f t="shared" ref="F4:F8" si="1">IFERROR(E4/D4, "")</f>
        <v>0.14577987875184076</v>
      </c>
      <c r="G4" s="20">
        <v>664670</v>
      </c>
      <c r="H4" s="20">
        <f t="shared" ref="H4:H8" si="2">IF(AND(ISNUMBER(C4),ISNUMBER(G4)), C4-G4, "")</f>
        <v>15135.065999999992</v>
      </c>
      <c r="I4" s="19">
        <f t="shared" ref="I4:I8" si="3">IFERROR(H4/G4, "")</f>
        <v>2.2770797538628179E-2</v>
      </c>
      <c r="J4" s="45" t="s">
        <v>218</v>
      </c>
      <c r="K4" s="55" t="s">
        <v>219</v>
      </c>
      <c r="L4" s="45" t="s">
        <v>220</v>
      </c>
      <c r="M4" s="59" t="s">
        <v>204</v>
      </c>
      <c r="N4" s="59" t="s">
        <v>49</v>
      </c>
    </row>
    <row r="5" spans="1:14" ht="15.6">
      <c r="A5" s="31" t="str">
        <v>Warsaw - Hemings</v>
      </c>
      <c r="B5" s="28" t="str">
        <v>VA</v>
      </c>
      <c r="C5" s="24">
        <v>459760.4</v>
      </c>
      <c r="D5" s="13">
        <v>477537.6</v>
      </c>
      <c r="E5" s="13">
        <f t="shared" si="0"/>
        <v>-17777.199999999953</v>
      </c>
      <c r="F5" s="14">
        <f t="shared" si="1"/>
        <v>-3.7226806852486492E-2</v>
      </c>
      <c r="G5" s="15">
        <v>441945</v>
      </c>
      <c r="H5" s="15">
        <f t="shared" si="2"/>
        <v>17815.400000000023</v>
      </c>
      <c r="I5" s="16">
        <f t="shared" si="3"/>
        <v>4.0311350959961134E-2</v>
      </c>
      <c r="J5" s="46"/>
      <c r="K5" s="46"/>
      <c r="L5" s="46"/>
      <c r="M5" s="21"/>
      <c r="N5" s="21"/>
    </row>
    <row r="6" spans="1:14" ht="15.6">
      <c r="A6" s="29" t="str">
        <v>Mount Jackson - Randolf</v>
      </c>
      <c r="B6" s="30" t="str">
        <v>VA</v>
      </c>
      <c r="C6" s="11">
        <v>297274.3</v>
      </c>
      <c r="D6" s="18">
        <v>281935.90000000002</v>
      </c>
      <c r="E6" s="18">
        <f t="shared" si="0"/>
        <v>15338.399999999965</v>
      </c>
      <c r="F6" s="19">
        <f t="shared" si="1"/>
        <v>5.4403855628176345E-2</v>
      </c>
      <c r="G6" s="20">
        <v>307798.09999999998</v>
      </c>
      <c r="H6" s="20">
        <f t="shared" si="2"/>
        <v>-10523.799999999988</v>
      </c>
      <c r="I6" s="19">
        <f t="shared" si="3"/>
        <v>-3.4190594418873899E-2</v>
      </c>
      <c r="J6" s="45"/>
      <c r="K6" s="45"/>
      <c r="L6" s="45"/>
      <c r="M6" s="21"/>
      <c r="N6" s="21"/>
    </row>
    <row r="7" spans="1:14" ht="30.75">
      <c r="A7" s="31" t="str">
        <v>Callands Gretna - Monroe</v>
      </c>
      <c r="B7" s="28" t="str">
        <v>VA</v>
      </c>
      <c r="C7" s="24">
        <v>179336</v>
      </c>
      <c r="D7" s="13">
        <v>273231.3</v>
      </c>
      <c r="E7" s="13">
        <f t="shared" si="0"/>
        <v>-93895.299999999988</v>
      </c>
      <c r="F7" s="14">
        <f t="shared" si="1"/>
        <v>-0.3436476714051428</v>
      </c>
      <c r="G7" s="15">
        <v>226459.6</v>
      </c>
      <c r="H7" s="15">
        <f t="shared" si="2"/>
        <v>-47123.600000000006</v>
      </c>
      <c r="I7" s="16">
        <f t="shared" si="3"/>
        <v>-0.20808833010391259</v>
      </c>
      <c r="J7" s="46" t="s">
        <v>221</v>
      </c>
      <c r="K7" s="54" t="s">
        <v>213</v>
      </c>
      <c r="L7" s="46" t="s">
        <v>211</v>
      </c>
      <c r="M7" s="21"/>
      <c r="N7" s="21"/>
    </row>
    <row r="8" spans="1:14" ht="111.75" customHeight="1">
      <c r="A8" s="29" t="str">
        <v>Rockbridge Baths - Small Mouth Bass</v>
      </c>
      <c r="B8" s="30" t="str">
        <v>VA</v>
      </c>
      <c r="C8" s="11">
        <v>168516.2</v>
      </c>
      <c r="D8" s="18">
        <v>150383.35200000001</v>
      </c>
      <c r="E8" s="18">
        <f t="shared" si="0"/>
        <v>18132.847999999998</v>
      </c>
      <c r="F8" s="19">
        <f t="shared" si="1"/>
        <v>0.12057749583876809</v>
      </c>
      <c r="G8" s="20">
        <v>225195</v>
      </c>
      <c r="H8" s="20">
        <f t="shared" si="2"/>
        <v>-56678.799999999988</v>
      </c>
      <c r="I8" s="19">
        <f t="shared" si="3"/>
        <v>-0.25168764848242631</v>
      </c>
      <c r="J8" s="76" t="s">
        <v>222</v>
      </c>
      <c r="K8" s="55" t="s">
        <v>223</v>
      </c>
      <c r="L8" s="45" t="s">
        <v>192</v>
      </c>
      <c r="M8" s="21"/>
      <c r="N8" s="21"/>
    </row>
    <row r="9" spans="1:14">
      <c r="A9" s="21"/>
      <c r="B9" s="21"/>
      <c r="C9" s="21"/>
      <c r="D9" s="21"/>
      <c r="E9" s="21" t="str">
        <f t="shared" ref="E9:E12" si="4">IF(AND(ISNUMBER(C9),ISNUMBER(D9)), C9-D9, "")</f>
        <v/>
      </c>
      <c r="F9" s="21" t="str">
        <f t="shared" ref="F9:F12" si="5">IFERROR(E9/D9, "")</f>
        <v/>
      </c>
      <c r="G9" s="21"/>
      <c r="H9" s="21" t="str">
        <f t="shared" ref="H9:H12" si="6">IF(AND(ISNUMBER(C9),ISNUMBER(G9)), C9-G9, "")</f>
        <v/>
      </c>
      <c r="I9" s="21" t="str">
        <f t="shared" ref="I9:I12" si="7">IFERROR(H9/G9, "")</f>
        <v/>
      </c>
      <c r="J9" s="21"/>
      <c r="K9" s="21"/>
      <c r="L9" s="21"/>
      <c r="M9" s="21"/>
      <c r="N9" s="21"/>
    </row>
    <row r="10" spans="1:14">
      <c r="A10" s="21"/>
      <c r="B10" s="21"/>
      <c r="C10" s="21"/>
      <c r="D10" s="21"/>
      <c r="E10" s="21" t="str">
        <f t="shared" si="4"/>
        <v/>
      </c>
      <c r="F10" s="21" t="str">
        <f t="shared" si="5"/>
        <v/>
      </c>
      <c r="G10" s="21"/>
      <c r="H10" s="21" t="str">
        <f t="shared" si="6"/>
        <v/>
      </c>
      <c r="I10" s="21" t="str">
        <f t="shared" si="7"/>
        <v/>
      </c>
      <c r="J10" s="21"/>
      <c r="K10" s="21"/>
      <c r="L10" s="21"/>
      <c r="M10" s="21"/>
      <c r="N10" s="21"/>
    </row>
    <row r="11" spans="1:14">
      <c r="A11" s="21"/>
      <c r="B11" s="21"/>
      <c r="C11" s="21"/>
      <c r="D11" s="21"/>
      <c r="E11" s="21" t="str">
        <f t="shared" si="4"/>
        <v/>
      </c>
      <c r="F11" s="21" t="str">
        <f t="shared" si="5"/>
        <v/>
      </c>
      <c r="G11" s="21"/>
      <c r="H11" s="21" t="str">
        <f t="shared" si="6"/>
        <v/>
      </c>
      <c r="I11" s="21" t="str">
        <f t="shared" si="7"/>
        <v/>
      </c>
      <c r="J11" s="21"/>
      <c r="K11" s="21"/>
      <c r="L11" s="21"/>
      <c r="M11" s="21"/>
      <c r="N11" s="21"/>
    </row>
    <row r="12" spans="1:14">
      <c r="A12" s="21"/>
      <c r="B12" s="21"/>
      <c r="C12" s="21"/>
      <c r="D12" s="21"/>
      <c r="E12" s="21" t="str">
        <f t="shared" si="4"/>
        <v/>
      </c>
      <c r="F12" s="21" t="str">
        <f t="shared" si="5"/>
        <v/>
      </c>
      <c r="G12" s="21"/>
      <c r="H12" s="21" t="str">
        <f t="shared" si="6"/>
        <v/>
      </c>
      <c r="I12" s="21" t="str">
        <f t="shared" si="7"/>
        <v/>
      </c>
      <c r="J12" s="21"/>
      <c r="K12" s="21"/>
      <c r="L12" s="21"/>
      <c r="M12" s="21"/>
      <c r="N12" s="21"/>
    </row>
    <row r="13" spans="1:14" ht="12.75" customHeight="1">
      <c r="A13" s="21"/>
      <c r="B13" s="21"/>
      <c r="C13" s="21"/>
      <c r="D13" s="21"/>
      <c r="E13" s="21"/>
      <c r="F13" s="21"/>
      <c r="G13" s="21"/>
      <c r="H13" s="21"/>
      <c r="I13" s="21"/>
      <c r="J13" s="21"/>
      <c r="K13" s="21"/>
      <c r="L13" s="21"/>
      <c r="M13" s="21"/>
      <c r="N13" s="21"/>
    </row>
    <row r="14" spans="1:14">
      <c r="A14" s="21"/>
      <c r="B14" s="21"/>
      <c r="C14" s="21"/>
      <c r="D14" s="21"/>
      <c r="E14" s="21"/>
      <c r="F14" s="21"/>
      <c r="G14" s="21"/>
      <c r="H14" s="21"/>
      <c r="I14" s="21"/>
      <c r="J14" s="21"/>
      <c r="K14" s="21"/>
      <c r="L14" s="21"/>
      <c r="M14" s="21"/>
      <c r="N14" s="21"/>
    </row>
    <row r="15" spans="1:14" ht="14.45">
      <c r="A15" s="21"/>
      <c r="B15" s="32"/>
      <c r="C15" s="21"/>
      <c r="D15" s="21"/>
      <c r="E15" s="21"/>
      <c r="F15" s="21"/>
      <c r="G15" s="21"/>
      <c r="H15" s="21"/>
      <c r="I15" s="21"/>
      <c r="J15" s="21"/>
      <c r="K15" s="21"/>
      <c r="L15" s="21"/>
    </row>
    <row r="16" spans="1:14" ht="14.45">
      <c r="A16" s="21"/>
      <c r="B16" s="32"/>
      <c r="C16" s="21"/>
      <c r="D16" s="21"/>
      <c r="E16" s="21"/>
      <c r="F16" s="21"/>
      <c r="G16" s="21"/>
      <c r="H16" s="21"/>
      <c r="I16" s="21"/>
      <c r="J16" s="21"/>
      <c r="K16" s="21"/>
      <c r="L16" s="21"/>
    </row>
    <row r="17" spans="1:12" ht="14.45">
      <c r="A17" s="21"/>
      <c r="B17" s="32"/>
      <c r="C17" s="21"/>
      <c r="D17" s="21"/>
      <c r="E17" s="21"/>
      <c r="F17" s="21"/>
      <c r="G17" s="21"/>
      <c r="H17" s="21"/>
      <c r="I17" s="21"/>
      <c r="J17" s="21"/>
      <c r="K17" s="21"/>
      <c r="L17" s="21"/>
    </row>
    <row r="18" spans="1:12" ht="14.45">
      <c r="A18" s="21"/>
      <c r="B18" s="32"/>
      <c r="C18" s="21"/>
      <c r="D18" s="21"/>
      <c r="E18" s="21"/>
      <c r="F18" s="21"/>
      <c r="G18" s="21"/>
      <c r="H18" s="21"/>
      <c r="I18" s="21"/>
      <c r="J18" s="21"/>
      <c r="K18" s="21"/>
      <c r="L18" s="21"/>
    </row>
    <row r="19" spans="1:12" ht="14.45">
      <c r="A19" s="21"/>
      <c r="B19" s="32"/>
      <c r="C19" s="21"/>
      <c r="D19" s="21"/>
      <c r="E19" s="21"/>
      <c r="F19" s="21"/>
      <c r="G19" s="21"/>
      <c r="H19" s="21"/>
      <c r="I19" s="21"/>
      <c r="J19" s="21"/>
      <c r="K19" s="21"/>
      <c r="L19" s="21"/>
    </row>
    <row r="20" spans="1:12" ht="14.45">
      <c r="A20" s="21"/>
      <c r="B20" s="32"/>
      <c r="C20" s="21"/>
      <c r="D20" s="21"/>
      <c r="E20" s="21"/>
      <c r="F20" s="21"/>
      <c r="G20" s="21"/>
      <c r="H20" s="21"/>
      <c r="I20" s="21"/>
      <c r="J20" s="21"/>
      <c r="K20" s="21"/>
      <c r="L20" s="21"/>
    </row>
    <row r="21" spans="1:12" ht="14.45">
      <c r="A21" s="21"/>
      <c r="B21" s="32"/>
      <c r="C21" s="21"/>
      <c r="D21" s="21"/>
      <c r="E21" s="21"/>
      <c r="F21" s="21"/>
      <c r="G21" s="21"/>
      <c r="H21" s="21"/>
      <c r="I21" s="21"/>
      <c r="J21" s="21"/>
      <c r="K21" s="21"/>
      <c r="L21" s="21"/>
    </row>
    <row r="22" spans="1:12" ht="14.45">
      <c r="A22" s="21"/>
      <c r="B22" s="32"/>
      <c r="C22" s="21"/>
      <c r="D22" s="21"/>
      <c r="E22" s="21"/>
      <c r="F22" s="21"/>
      <c r="G22" s="21"/>
      <c r="H22" s="21"/>
      <c r="I22" s="21"/>
      <c r="J22" s="21"/>
      <c r="K22" s="21"/>
      <c r="L22" s="21"/>
    </row>
    <row r="23" spans="1:12" ht="14.45">
      <c r="A23" s="21"/>
      <c r="B23" s="32"/>
      <c r="C23" s="21"/>
      <c r="D23" s="21"/>
      <c r="E23" s="21"/>
      <c r="F23" s="21"/>
      <c r="G23" s="21"/>
      <c r="H23" s="21"/>
      <c r="I23" s="21"/>
      <c r="J23" s="21"/>
      <c r="K23" s="21"/>
      <c r="L23" s="21"/>
    </row>
    <row r="24" spans="1:12" ht="14.45">
      <c r="A24" s="21"/>
      <c r="B24" s="32"/>
      <c r="C24" s="21"/>
      <c r="D24" s="21"/>
      <c r="E24" s="21"/>
      <c r="F24" s="21"/>
      <c r="G24" s="21"/>
      <c r="H24" s="21"/>
      <c r="I24" s="21"/>
      <c r="J24" s="21"/>
      <c r="K24" s="21"/>
      <c r="L24" s="21"/>
    </row>
    <row r="25" spans="1:12" ht="14.45">
      <c r="A25" s="21"/>
      <c r="B25" s="32"/>
      <c r="C25" s="21"/>
      <c r="D25" s="21"/>
      <c r="E25" s="21"/>
      <c r="F25" s="21"/>
      <c r="G25" s="21"/>
      <c r="H25" s="21"/>
      <c r="I25" s="21"/>
      <c r="J25" s="21"/>
      <c r="K25" s="21"/>
      <c r="L25" s="21"/>
    </row>
    <row r="26" spans="1:12" ht="14.45">
      <c r="A26" s="21"/>
      <c r="B26" s="32"/>
      <c r="C26" s="21"/>
      <c r="D26" s="21"/>
      <c r="E26" s="21"/>
      <c r="F26" s="21"/>
      <c r="G26" s="21"/>
      <c r="H26" s="21"/>
      <c r="I26" s="21"/>
      <c r="J26" s="21"/>
      <c r="K26" s="21"/>
      <c r="L26" s="21"/>
    </row>
    <row r="27" spans="1:12" ht="14.45">
      <c r="A27" s="21"/>
      <c r="B27" s="32"/>
      <c r="C27" s="21"/>
      <c r="D27" s="21"/>
      <c r="E27" s="21"/>
      <c r="F27" s="21"/>
      <c r="G27" s="21"/>
      <c r="H27" s="21"/>
      <c r="I27" s="21"/>
      <c r="J27" s="21"/>
      <c r="K27" s="21"/>
      <c r="L27" s="21"/>
    </row>
    <row r="28" spans="1:12" ht="14.45">
      <c r="A28" s="21"/>
      <c r="B28" s="32"/>
      <c r="C28" s="21"/>
      <c r="D28" s="21"/>
      <c r="E28" s="21"/>
      <c r="F28" s="22"/>
      <c r="G28" s="21"/>
      <c r="H28" s="21"/>
      <c r="I28" s="22"/>
      <c r="J28" s="21"/>
      <c r="K28" s="21"/>
      <c r="L28" s="21"/>
    </row>
    <row r="29" spans="1:12" ht="14.45">
      <c r="A29" s="21"/>
      <c r="B29" s="32"/>
      <c r="C29" s="21"/>
      <c r="D29" s="21"/>
      <c r="E29" s="21"/>
      <c r="F29" s="22"/>
      <c r="G29" s="21"/>
      <c r="H29" s="21"/>
      <c r="I29" s="22"/>
      <c r="J29" s="21"/>
      <c r="K29" s="21"/>
      <c r="L29" s="21"/>
    </row>
    <row r="30" spans="1:12" ht="14.45">
      <c r="A30" s="21"/>
      <c r="B30" s="32"/>
      <c r="C30" s="21"/>
      <c r="D30" s="21"/>
      <c r="E30" s="21"/>
      <c r="F30" s="22"/>
      <c r="G30" s="21"/>
      <c r="H30" s="21"/>
      <c r="I30" s="22"/>
      <c r="J30" s="21"/>
      <c r="K30" s="21"/>
      <c r="L30" s="21"/>
    </row>
    <row r="31" spans="1:12" ht="14.45">
      <c r="A31" s="21"/>
      <c r="B31" s="32"/>
      <c r="C31" s="21"/>
      <c r="D31" s="21"/>
      <c r="E31" s="21"/>
      <c r="F31" s="22"/>
      <c r="G31" s="21"/>
      <c r="H31" s="21"/>
      <c r="I31" s="22"/>
      <c r="J31" s="21"/>
      <c r="K31" s="21"/>
      <c r="L31" s="21"/>
    </row>
    <row r="32" spans="1:12" ht="14.45">
      <c r="A32" s="21"/>
      <c r="B32" s="32"/>
      <c r="C32" s="21"/>
      <c r="D32" s="21"/>
      <c r="E32" s="21"/>
      <c r="F32" s="22"/>
      <c r="G32" s="21"/>
      <c r="H32" s="21"/>
      <c r="I32" s="22"/>
      <c r="J32" s="21"/>
      <c r="K32" s="21"/>
      <c r="L32" s="21"/>
    </row>
    <row r="33" spans="1:12" ht="14.45">
      <c r="A33" s="21"/>
      <c r="B33" s="32"/>
      <c r="C33" s="21"/>
      <c r="D33" s="21"/>
      <c r="E33" s="21"/>
      <c r="F33" s="22"/>
      <c r="G33" s="21"/>
      <c r="H33" s="21"/>
      <c r="I33" s="22"/>
      <c r="J33" s="21"/>
      <c r="K33" s="21"/>
      <c r="L33" s="21"/>
    </row>
    <row r="34" spans="1:12" ht="14.45">
      <c r="A34" s="21"/>
      <c r="B34" s="32"/>
      <c r="C34" s="21"/>
      <c r="D34" s="21"/>
      <c r="E34" s="21"/>
      <c r="F34" s="22"/>
      <c r="G34" s="21"/>
      <c r="H34" s="21"/>
      <c r="I34" s="22"/>
      <c r="J34" s="21"/>
      <c r="K34" s="21"/>
      <c r="L34" s="21"/>
    </row>
    <row r="35" spans="1:12" ht="14.45">
      <c r="A35" s="21"/>
      <c r="B35" s="32"/>
      <c r="C35" s="21"/>
      <c r="D35" s="21"/>
      <c r="E35" s="21"/>
      <c r="F35" s="22"/>
      <c r="G35" s="21"/>
      <c r="H35" s="21"/>
      <c r="I35" s="22"/>
      <c r="J35" s="21"/>
      <c r="K35" s="21"/>
      <c r="L35" s="21"/>
    </row>
    <row r="36" spans="1:12" ht="14.45">
      <c r="A36" s="21"/>
      <c r="B36" s="32"/>
      <c r="C36" s="21"/>
      <c r="D36" s="21"/>
      <c r="E36" s="21"/>
      <c r="F36" s="22"/>
      <c r="G36" s="21"/>
      <c r="H36" s="21"/>
      <c r="I36" s="22"/>
      <c r="J36" s="21"/>
      <c r="K36" s="21"/>
      <c r="L36" s="21"/>
    </row>
    <row r="37" spans="1:12" ht="14.45">
      <c r="A37" s="21"/>
      <c r="B37" s="32"/>
      <c r="C37" s="21"/>
      <c r="D37" s="21"/>
      <c r="E37" s="21"/>
      <c r="F37" s="22"/>
      <c r="G37" s="21"/>
      <c r="H37" s="21"/>
      <c r="I37" s="22"/>
      <c r="J37" s="21"/>
      <c r="K37" s="21"/>
      <c r="L37" s="21"/>
    </row>
    <row r="38" spans="1:12" ht="14.45">
      <c r="A38" s="21"/>
      <c r="B38" s="32"/>
      <c r="C38" s="21"/>
      <c r="D38" s="21"/>
      <c r="E38" s="21"/>
      <c r="F38" s="22"/>
      <c r="G38" s="21"/>
      <c r="H38" s="21"/>
      <c r="I38" s="22"/>
      <c r="J38" s="21"/>
      <c r="K38" s="21"/>
      <c r="L38" s="21"/>
    </row>
    <row r="39" spans="1:12" ht="14.45">
      <c r="A39" s="21"/>
      <c r="B39" s="32"/>
      <c r="C39" s="21"/>
      <c r="D39" s="21"/>
      <c r="E39" s="21"/>
      <c r="F39" s="22"/>
      <c r="G39" s="21"/>
      <c r="H39" s="21"/>
      <c r="I39" s="22"/>
      <c r="J39" s="21"/>
      <c r="K39" s="21"/>
      <c r="L39" s="21"/>
    </row>
    <row r="40" spans="1:12" ht="14.45">
      <c r="A40" s="21"/>
      <c r="B40" s="32"/>
      <c r="C40" s="21"/>
      <c r="D40" s="21"/>
      <c r="E40" s="21"/>
      <c r="F40" s="22"/>
      <c r="G40" s="21"/>
      <c r="H40" s="21"/>
      <c r="I40" s="22"/>
      <c r="J40" s="21"/>
      <c r="K40" s="21"/>
      <c r="L40" s="21"/>
    </row>
    <row r="41" spans="1:12" ht="14.45">
      <c r="A41" s="21"/>
      <c r="B41" s="32"/>
      <c r="C41" s="21"/>
      <c r="D41" s="21"/>
      <c r="E41" s="21"/>
      <c r="F41" s="22"/>
      <c r="G41" s="21"/>
      <c r="H41" s="21"/>
      <c r="I41" s="22"/>
      <c r="J41" s="21"/>
      <c r="K41" s="21"/>
      <c r="L41" s="21"/>
    </row>
    <row r="42" spans="1:12" ht="14.45">
      <c r="A42" s="21"/>
      <c r="B42" s="32"/>
      <c r="C42" s="21"/>
      <c r="D42" s="21"/>
      <c r="E42" s="21"/>
      <c r="F42" s="22"/>
      <c r="G42" s="21"/>
      <c r="H42" s="21"/>
      <c r="I42" s="22"/>
      <c r="J42" s="21"/>
      <c r="K42" s="21"/>
      <c r="L42" s="21"/>
    </row>
    <row r="43" spans="1:12" ht="14.45">
      <c r="A43" s="21"/>
      <c r="B43" s="32"/>
      <c r="C43" s="21"/>
      <c r="D43" s="21"/>
      <c r="E43" s="21"/>
      <c r="F43" s="22"/>
      <c r="G43" s="21"/>
      <c r="H43" s="21"/>
      <c r="I43" s="22"/>
      <c r="J43" s="21"/>
      <c r="K43" s="21"/>
      <c r="L43" s="21"/>
    </row>
    <row r="44" spans="1:12" ht="14.45">
      <c r="A44" s="21"/>
      <c r="B44" s="32"/>
      <c r="C44" s="21"/>
      <c r="D44" s="21"/>
      <c r="E44" s="21"/>
      <c r="F44" s="22"/>
      <c r="G44" s="21"/>
      <c r="H44" s="21"/>
      <c r="I44" s="22"/>
      <c r="J44" s="21"/>
      <c r="K44" s="21"/>
      <c r="L44" s="21"/>
    </row>
    <row r="45" spans="1:12" ht="14.45">
      <c r="A45" s="21"/>
      <c r="B45" s="32"/>
      <c r="C45" s="21"/>
      <c r="D45" s="21"/>
      <c r="E45" s="21"/>
      <c r="F45" s="22"/>
      <c r="G45" s="21"/>
      <c r="H45" s="21"/>
      <c r="I45" s="22"/>
      <c r="J45" s="21"/>
      <c r="K45" s="21"/>
      <c r="L45" s="21"/>
    </row>
    <row r="46" spans="1:12" ht="14.45">
      <c r="A46" s="21"/>
      <c r="B46" s="32"/>
      <c r="C46" s="21"/>
      <c r="D46" s="21"/>
      <c r="E46" s="21"/>
      <c r="F46" s="22"/>
      <c r="G46" s="21"/>
      <c r="H46" s="21"/>
      <c r="I46" s="22"/>
      <c r="J46" s="21"/>
      <c r="K46" s="21"/>
      <c r="L46" s="21"/>
    </row>
    <row r="47" spans="1:12" ht="14.45">
      <c r="A47" s="21"/>
      <c r="B47" s="32"/>
      <c r="C47" s="21"/>
      <c r="D47" s="21"/>
      <c r="E47" s="21"/>
      <c r="F47" s="22"/>
      <c r="G47" s="21"/>
      <c r="H47" s="21"/>
      <c r="I47" s="22"/>
      <c r="J47" s="21"/>
      <c r="K47" s="21"/>
      <c r="L47" s="21"/>
    </row>
    <row r="48" spans="1:12" ht="14.45">
      <c r="A48" s="21"/>
      <c r="B48" s="32"/>
      <c r="C48" s="21"/>
      <c r="D48" s="21"/>
      <c r="E48" s="21"/>
      <c r="F48" s="22"/>
      <c r="G48" s="21"/>
      <c r="H48" s="21"/>
      <c r="I48" s="22"/>
      <c r="J48" s="21"/>
      <c r="K48" s="21"/>
      <c r="L48" s="21"/>
    </row>
    <row r="49" spans="1:12" ht="14.45">
      <c r="A49" s="21"/>
      <c r="B49" s="32"/>
      <c r="C49" s="21"/>
      <c r="D49" s="21"/>
      <c r="E49" s="21"/>
      <c r="F49" s="22"/>
      <c r="G49" s="21"/>
      <c r="H49" s="21"/>
      <c r="I49" s="22"/>
      <c r="J49" s="21"/>
      <c r="K49" s="21"/>
      <c r="L49" s="21"/>
    </row>
    <row r="50" spans="1:12" ht="14.45">
      <c r="A50" s="21"/>
      <c r="B50" s="32"/>
      <c r="C50" s="21"/>
      <c r="D50" s="21"/>
      <c r="E50" s="21"/>
      <c r="F50" s="22"/>
      <c r="G50" s="21"/>
      <c r="H50" s="21"/>
      <c r="I50" s="22"/>
      <c r="J50" s="21"/>
      <c r="K50" s="21"/>
      <c r="L50" s="21"/>
    </row>
    <row r="51" spans="1:12" ht="14.45">
      <c r="A51" s="21"/>
      <c r="B51" s="32"/>
      <c r="C51" s="21"/>
      <c r="D51" s="21"/>
      <c r="E51" s="21"/>
      <c r="F51" s="22"/>
      <c r="G51" s="21"/>
      <c r="H51" s="21"/>
      <c r="I51" s="22"/>
      <c r="J51" s="21"/>
      <c r="K51" s="21"/>
      <c r="L51" s="21"/>
    </row>
    <row r="52" spans="1:12" ht="14.45">
      <c r="A52" s="21"/>
      <c r="B52" s="32"/>
      <c r="C52" s="21"/>
      <c r="D52" s="21"/>
      <c r="E52" s="21"/>
      <c r="F52" s="22"/>
      <c r="G52" s="21"/>
      <c r="H52" s="21"/>
      <c r="I52" s="22"/>
      <c r="J52" s="21"/>
      <c r="K52" s="21"/>
      <c r="L52" s="21"/>
    </row>
    <row r="53" spans="1:12" ht="14.45">
      <c r="A53" s="21"/>
      <c r="B53" s="32"/>
      <c r="C53" s="21"/>
      <c r="D53" s="21"/>
      <c r="E53" s="21"/>
      <c r="F53" s="22"/>
      <c r="G53" s="21"/>
      <c r="H53" s="21"/>
      <c r="I53" s="22"/>
      <c r="J53" s="21"/>
      <c r="K53" s="21"/>
      <c r="L53" s="21"/>
    </row>
    <row r="54" spans="1:12" ht="14.45">
      <c r="A54" s="21"/>
      <c r="B54" s="32"/>
      <c r="C54" s="21"/>
      <c r="D54" s="21"/>
      <c r="E54" s="21"/>
      <c r="F54" s="22"/>
      <c r="G54" s="21"/>
      <c r="H54" s="21"/>
      <c r="I54" s="22"/>
      <c r="J54" s="21"/>
      <c r="K54" s="21"/>
      <c r="L54" s="21"/>
    </row>
    <row r="55" spans="1:12" ht="14.45">
      <c r="A55" s="21"/>
      <c r="B55" s="32"/>
      <c r="C55" s="21"/>
      <c r="D55" s="21"/>
      <c r="E55" s="21"/>
      <c r="F55" s="22"/>
      <c r="G55" s="21"/>
      <c r="H55" s="21"/>
      <c r="I55" s="22"/>
      <c r="J55" s="21"/>
      <c r="K55" s="21"/>
      <c r="L55" s="21"/>
    </row>
    <row r="56" spans="1:12" ht="14.45">
      <c r="A56" s="21"/>
      <c r="B56" s="32"/>
      <c r="C56" s="21"/>
      <c r="D56" s="21"/>
      <c r="E56" s="21"/>
      <c r="F56" s="22"/>
      <c r="G56" s="21"/>
      <c r="H56" s="21"/>
      <c r="I56" s="22"/>
      <c r="J56" s="21"/>
      <c r="K56" s="21"/>
      <c r="L56" s="21"/>
    </row>
    <row r="57" spans="1:12" ht="14.45">
      <c r="A57" s="21"/>
      <c r="B57" s="32"/>
      <c r="C57" s="21"/>
      <c r="D57" s="21"/>
      <c r="E57" s="21"/>
      <c r="F57" s="22"/>
      <c r="G57" s="21"/>
      <c r="H57" s="21"/>
      <c r="I57" s="22"/>
      <c r="J57" s="21"/>
      <c r="K57" s="21"/>
      <c r="L57" s="21"/>
    </row>
    <row r="58" spans="1:12" ht="14.45">
      <c r="A58" s="21"/>
      <c r="B58" s="32"/>
      <c r="C58" s="21"/>
      <c r="D58" s="21"/>
      <c r="E58" s="21"/>
      <c r="F58" s="22"/>
      <c r="G58" s="21"/>
      <c r="H58" s="21"/>
      <c r="I58" s="22"/>
      <c r="J58" s="21"/>
      <c r="K58" s="21"/>
      <c r="L58" s="21"/>
    </row>
    <row r="59" spans="1:12" ht="14.45">
      <c r="A59" s="21"/>
      <c r="B59" s="32"/>
      <c r="C59" s="21"/>
      <c r="D59" s="21"/>
      <c r="E59" s="21"/>
      <c r="F59" s="22"/>
      <c r="G59" s="21"/>
      <c r="H59" s="21"/>
      <c r="I59" s="22"/>
      <c r="J59" s="21"/>
      <c r="K59" s="21"/>
      <c r="L59" s="21"/>
    </row>
    <row r="60" spans="1:12" ht="14.45">
      <c r="A60" s="21"/>
      <c r="B60" s="32"/>
      <c r="C60" s="21"/>
      <c r="D60" s="21"/>
      <c r="E60" s="21"/>
      <c r="F60" s="22"/>
      <c r="G60" s="21"/>
      <c r="H60" s="21"/>
      <c r="I60" s="22"/>
      <c r="J60" s="21"/>
      <c r="K60" s="21"/>
      <c r="L60" s="21"/>
    </row>
    <row r="61" spans="1:12" ht="14.45">
      <c r="A61" s="21"/>
      <c r="B61" s="32"/>
      <c r="C61" s="21"/>
      <c r="D61" s="21"/>
      <c r="E61" s="21"/>
      <c r="F61" s="22"/>
      <c r="G61" s="21"/>
      <c r="H61" s="21"/>
      <c r="I61" s="22"/>
      <c r="J61" s="21"/>
      <c r="K61" s="21"/>
      <c r="L61" s="21"/>
    </row>
    <row r="62" spans="1:12" ht="14.45">
      <c r="A62" s="21"/>
      <c r="B62" s="32"/>
      <c r="C62" s="21"/>
      <c r="D62" s="21"/>
      <c r="E62" s="21"/>
      <c r="F62" s="22"/>
      <c r="G62" s="21"/>
      <c r="H62" s="21"/>
      <c r="I62" s="22"/>
      <c r="J62" s="21"/>
      <c r="K62" s="21"/>
      <c r="L62" s="21"/>
    </row>
    <row r="63" spans="1:12" ht="14.45">
      <c r="A63" s="21"/>
      <c r="B63" s="32"/>
      <c r="C63" s="21"/>
      <c r="D63" s="21"/>
      <c r="E63" s="21"/>
      <c r="F63" s="22"/>
      <c r="G63" s="21"/>
      <c r="H63" s="21"/>
      <c r="I63" s="22"/>
      <c r="J63" s="21"/>
      <c r="K63" s="21"/>
      <c r="L63" s="21"/>
    </row>
    <row r="64" spans="1:12" ht="14.45">
      <c r="A64" s="21"/>
      <c r="B64" s="32"/>
      <c r="C64" s="21"/>
      <c r="D64" s="21"/>
      <c r="E64" s="21"/>
      <c r="F64" s="22"/>
      <c r="G64" s="21"/>
      <c r="H64" s="21"/>
      <c r="I64" s="22"/>
      <c r="J64" s="21"/>
      <c r="K64" s="21"/>
      <c r="L64" s="21"/>
    </row>
    <row r="65" spans="1:12" ht="14.45">
      <c r="A65" s="21"/>
      <c r="B65" s="32"/>
      <c r="C65" s="21"/>
      <c r="D65" s="21"/>
      <c r="E65" s="21"/>
      <c r="F65" s="22"/>
      <c r="G65" s="21"/>
      <c r="H65" s="21"/>
      <c r="I65" s="22"/>
      <c r="J65" s="21"/>
      <c r="K65" s="21"/>
      <c r="L65" s="21"/>
    </row>
    <row r="66" spans="1:12" ht="14.45">
      <c r="A66" s="21"/>
      <c r="B66" s="32"/>
      <c r="C66" s="21"/>
      <c r="D66" s="21"/>
      <c r="E66" s="21"/>
      <c r="F66" s="22"/>
      <c r="G66" s="21"/>
      <c r="H66" s="21"/>
      <c r="I66" s="22"/>
      <c r="J66" s="21"/>
      <c r="K66" s="21"/>
      <c r="L66" s="21"/>
    </row>
    <row r="67" spans="1:12" ht="14.45">
      <c r="A67" s="21"/>
      <c r="B67" s="32"/>
      <c r="C67" s="21"/>
      <c r="D67" s="21"/>
      <c r="E67" s="21"/>
      <c r="F67" s="22"/>
      <c r="G67" s="21"/>
      <c r="H67" s="21"/>
      <c r="I67" s="22"/>
      <c r="J67" s="21"/>
      <c r="K67" s="21"/>
      <c r="L67" s="21"/>
    </row>
    <row r="68" spans="1:12" ht="14.45">
      <c r="A68" s="21"/>
      <c r="B68" s="32"/>
      <c r="C68" s="21"/>
      <c r="D68" s="21"/>
      <c r="E68" s="21"/>
      <c r="F68" s="22"/>
      <c r="G68" s="21"/>
      <c r="H68" s="21"/>
      <c r="I68" s="22"/>
      <c r="J68" s="21"/>
      <c r="K68" s="21"/>
      <c r="L68" s="21"/>
    </row>
    <row r="69" spans="1:12" ht="14.45">
      <c r="A69" s="21"/>
      <c r="B69" s="32"/>
      <c r="C69" s="21"/>
      <c r="D69" s="21"/>
      <c r="E69" s="21"/>
      <c r="F69" s="22"/>
      <c r="G69" s="21"/>
      <c r="H69" s="21"/>
      <c r="I69" s="22"/>
      <c r="J69" s="21"/>
      <c r="K69" s="21"/>
      <c r="L69" s="21"/>
    </row>
    <row r="70" spans="1:12" ht="14.45">
      <c r="A70" s="21"/>
      <c r="B70" s="32"/>
      <c r="C70" s="21"/>
      <c r="D70" s="21"/>
      <c r="E70" s="21"/>
      <c r="F70" s="22"/>
      <c r="G70" s="21"/>
      <c r="H70" s="21"/>
      <c r="I70" s="22"/>
      <c r="J70" s="21"/>
      <c r="K70" s="21"/>
      <c r="L70" s="21"/>
    </row>
    <row r="71" spans="1:12" ht="14.45">
      <c r="A71" s="21"/>
      <c r="B71" s="32"/>
      <c r="C71" s="21"/>
      <c r="D71" s="21"/>
      <c r="E71" s="21"/>
      <c r="F71" s="22"/>
      <c r="G71" s="21"/>
      <c r="H71" s="21"/>
      <c r="I71" s="22"/>
      <c r="J71" s="21"/>
      <c r="K71" s="21"/>
      <c r="L71" s="21"/>
    </row>
    <row r="72" spans="1:12" ht="14.45">
      <c r="A72" s="21"/>
      <c r="B72" s="32"/>
      <c r="C72" s="21"/>
      <c r="D72" s="21"/>
      <c r="E72" s="21"/>
      <c r="F72" s="22"/>
      <c r="G72" s="21"/>
      <c r="H72" s="21"/>
      <c r="I72" s="22"/>
      <c r="J72" s="21"/>
      <c r="K72" s="21"/>
      <c r="L72" s="21"/>
    </row>
    <row r="73" spans="1:12" ht="14.45">
      <c r="A73" s="21"/>
      <c r="B73" s="32"/>
      <c r="C73" s="21"/>
      <c r="D73" s="21"/>
      <c r="E73" s="21"/>
      <c r="F73" s="22"/>
      <c r="G73" s="21"/>
      <c r="H73" s="21"/>
      <c r="I73" s="22"/>
      <c r="J73" s="21"/>
      <c r="K73" s="21"/>
      <c r="L73" s="21"/>
    </row>
    <row r="74" spans="1:12" ht="14.45">
      <c r="A74" s="21"/>
      <c r="B74" s="32"/>
      <c r="C74" s="21"/>
      <c r="D74" s="21"/>
      <c r="E74" s="21"/>
      <c r="F74" s="22"/>
      <c r="G74" s="21"/>
      <c r="H74" s="21"/>
      <c r="I74" s="22"/>
      <c r="J74" s="21"/>
      <c r="K74" s="21"/>
      <c r="L74" s="21"/>
    </row>
    <row r="75" spans="1:12" ht="14.45">
      <c r="A75" s="21"/>
      <c r="B75" s="32"/>
      <c r="C75" s="21"/>
      <c r="D75" s="21"/>
      <c r="E75" s="21"/>
      <c r="F75" s="22"/>
      <c r="G75" s="21"/>
      <c r="H75" s="21"/>
      <c r="I75" s="22"/>
      <c r="J75" s="21"/>
      <c r="K75" s="21"/>
      <c r="L75" s="21"/>
    </row>
    <row r="76" spans="1:12" ht="14.45">
      <c r="A76" s="21"/>
      <c r="B76" s="32"/>
      <c r="C76" s="21"/>
      <c r="D76" s="21"/>
      <c r="E76" s="21"/>
      <c r="F76" s="22"/>
      <c r="G76" s="21"/>
      <c r="H76" s="21"/>
      <c r="I76" s="22"/>
      <c r="J76" s="21"/>
      <c r="K76" s="21"/>
      <c r="L76" s="21"/>
    </row>
    <row r="77" spans="1:12" ht="14.45">
      <c r="A77" s="21"/>
      <c r="B77" s="32"/>
      <c r="C77" s="21"/>
      <c r="D77" s="21"/>
      <c r="E77" s="21"/>
      <c r="F77" s="22"/>
      <c r="G77" s="21"/>
      <c r="H77" s="21"/>
      <c r="I77" s="22"/>
      <c r="J77" s="21"/>
      <c r="K77" s="21"/>
      <c r="L77" s="21"/>
    </row>
    <row r="78" spans="1:12" ht="14.45">
      <c r="A78" s="21"/>
      <c r="B78" s="32"/>
      <c r="C78" s="21"/>
      <c r="D78" s="21"/>
      <c r="E78" s="21"/>
      <c r="F78" s="22"/>
      <c r="G78" s="21"/>
      <c r="H78" s="21"/>
      <c r="I78" s="22"/>
      <c r="J78" s="21"/>
      <c r="K78" s="21"/>
      <c r="L78" s="21"/>
    </row>
    <row r="79" spans="1:12" ht="14.45">
      <c r="A79" s="21"/>
      <c r="B79" s="32"/>
      <c r="C79" s="21"/>
      <c r="D79" s="21"/>
      <c r="E79" s="21"/>
      <c r="F79" s="22"/>
      <c r="G79" s="21"/>
      <c r="H79" s="21"/>
      <c r="I79" s="22"/>
      <c r="J79" s="21"/>
      <c r="K79" s="21"/>
      <c r="L79" s="21"/>
    </row>
    <row r="80" spans="1:12" ht="14.45">
      <c r="A80" s="21"/>
      <c r="B80" s="32"/>
      <c r="C80" s="21"/>
      <c r="D80" s="21"/>
      <c r="E80" s="21"/>
      <c r="F80" s="22"/>
      <c r="G80" s="21"/>
      <c r="H80" s="21"/>
      <c r="I80" s="22"/>
      <c r="J80" s="21"/>
      <c r="K80" s="21"/>
      <c r="L80" s="21"/>
    </row>
    <row r="81" spans="1:12" ht="14.45">
      <c r="A81" s="21"/>
      <c r="B81" s="32"/>
      <c r="C81" s="21"/>
      <c r="D81" s="21"/>
      <c r="E81" s="21"/>
      <c r="F81" s="22"/>
      <c r="G81" s="21"/>
      <c r="H81" s="21"/>
      <c r="I81" s="22"/>
      <c r="J81" s="21"/>
      <c r="K81" s="21"/>
      <c r="L81" s="21"/>
    </row>
    <row r="82" spans="1:12" ht="14.45">
      <c r="A82" s="21"/>
      <c r="B82" s="32"/>
      <c r="C82" s="21"/>
      <c r="D82" s="21"/>
      <c r="E82" s="21"/>
      <c r="F82" s="22"/>
      <c r="G82" s="21"/>
      <c r="H82" s="21"/>
      <c r="I82" s="22"/>
      <c r="J82" s="21"/>
      <c r="K82" s="21"/>
      <c r="L82" s="21"/>
    </row>
    <row r="83" spans="1:12" ht="14.45">
      <c r="A83" s="21"/>
      <c r="B83" s="32"/>
      <c r="C83" s="21"/>
      <c r="D83" s="21"/>
      <c r="E83" s="21"/>
      <c r="F83" s="22"/>
      <c r="G83" s="21"/>
      <c r="H83" s="21"/>
      <c r="I83" s="22"/>
      <c r="J83" s="21"/>
      <c r="K83" s="21"/>
      <c r="L83" s="21"/>
    </row>
    <row r="84" spans="1:12" ht="14.45">
      <c r="A84" s="21"/>
      <c r="B84" s="32"/>
      <c r="C84" s="21"/>
      <c r="D84" s="21"/>
      <c r="E84" s="21"/>
      <c r="F84" s="22"/>
      <c r="G84" s="21"/>
      <c r="H84" s="21"/>
      <c r="I84" s="22"/>
      <c r="J84" s="21"/>
      <c r="K84" s="21"/>
      <c r="L84" s="21"/>
    </row>
    <row r="85" spans="1:12" ht="14.45">
      <c r="A85" s="21"/>
      <c r="B85" s="32"/>
      <c r="C85" s="21"/>
      <c r="D85" s="21"/>
      <c r="E85" s="21"/>
      <c r="F85" s="22"/>
      <c r="G85" s="21"/>
      <c r="H85" s="21"/>
      <c r="I85" s="22"/>
      <c r="J85" s="21"/>
      <c r="K85" s="21"/>
      <c r="L85" s="21"/>
    </row>
    <row r="86" spans="1:12" ht="14.45">
      <c r="A86" s="21"/>
      <c r="B86" s="32"/>
      <c r="C86" s="21"/>
      <c r="D86" s="21"/>
      <c r="E86" s="21"/>
      <c r="F86" s="22"/>
      <c r="G86" s="21"/>
      <c r="H86" s="21"/>
      <c r="I86" s="22"/>
      <c r="J86" s="21"/>
      <c r="K86" s="21"/>
      <c r="L86" s="21"/>
    </row>
    <row r="87" spans="1:12" ht="14.45">
      <c r="A87" s="21"/>
      <c r="B87" s="32"/>
      <c r="C87" s="21"/>
      <c r="D87" s="21"/>
      <c r="E87" s="21"/>
      <c r="F87" s="22"/>
      <c r="G87" s="21"/>
      <c r="H87" s="21"/>
      <c r="I87" s="22"/>
      <c r="J87" s="21"/>
      <c r="K87" s="21"/>
      <c r="L87" s="21"/>
    </row>
    <row r="88" spans="1:12" ht="14.45">
      <c r="A88" s="21"/>
      <c r="B88" s="32"/>
      <c r="C88" s="21"/>
      <c r="D88" s="21"/>
      <c r="E88" s="21"/>
      <c r="F88" s="22"/>
      <c r="G88" s="21"/>
      <c r="H88" s="21"/>
      <c r="I88" s="22"/>
      <c r="J88" s="21"/>
      <c r="K88" s="21"/>
      <c r="L88" s="21"/>
    </row>
    <row r="89" spans="1:12" ht="14.45">
      <c r="A89" s="21"/>
      <c r="B89" s="32"/>
      <c r="C89" s="21"/>
      <c r="D89" s="21"/>
      <c r="E89" s="21"/>
      <c r="F89" s="22"/>
      <c r="G89" s="21"/>
      <c r="H89" s="21"/>
      <c r="I89" s="22"/>
      <c r="J89" s="21"/>
      <c r="K89" s="21"/>
      <c r="L89" s="21"/>
    </row>
    <row r="90" spans="1:12" ht="14.45">
      <c r="A90" s="21"/>
      <c r="B90" s="32"/>
      <c r="C90" s="21"/>
      <c r="D90" s="21"/>
      <c r="E90" s="21"/>
      <c r="F90" s="22"/>
      <c r="G90" s="21"/>
      <c r="H90" s="21"/>
      <c r="I90" s="22"/>
      <c r="J90" s="21"/>
      <c r="K90" s="21"/>
      <c r="L90" s="21"/>
    </row>
    <row r="91" spans="1:12" ht="14.45">
      <c r="A91" s="21"/>
      <c r="B91" s="32"/>
      <c r="C91" s="21"/>
      <c r="D91" s="21"/>
      <c r="E91" s="21"/>
      <c r="F91" s="22"/>
      <c r="G91" s="21"/>
      <c r="H91" s="21"/>
      <c r="I91" s="22"/>
      <c r="J91" s="21"/>
      <c r="K91" s="21"/>
      <c r="L91" s="21"/>
    </row>
    <row r="92" spans="1:12" ht="14.45">
      <c r="A92" s="21"/>
      <c r="B92" s="32"/>
      <c r="C92" s="21"/>
      <c r="D92" s="21"/>
      <c r="E92" s="21"/>
      <c r="F92" s="22"/>
      <c r="G92" s="21"/>
      <c r="H92" s="21"/>
      <c r="I92" s="22"/>
      <c r="J92" s="21"/>
      <c r="K92" s="21"/>
      <c r="L92" s="21"/>
    </row>
    <row r="93" spans="1:12" ht="14.45">
      <c r="A93" s="21"/>
      <c r="B93" s="32"/>
      <c r="C93" s="21"/>
      <c r="D93" s="21"/>
      <c r="E93" s="21"/>
      <c r="F93" s="22"/>
      <c r="G93" s="21"/>
      <c r="H93" s="21"/>
      <c r="I93" s="22"/>
      <c r="J93" s="21"/>
      <c r="K93" s="21"/>
      <c r="L93" s="21"/>
    </row>
    <row r="94" spans="1:12" ht="14.45">
      <c r="A94" s="21"/>
      <c r="B94" s="32"/>
      <c r="C94" s="21"/>
      <c r="D94" s="21"/>
      <c r="E94" s="21"/>
      <c r="F94" s="22"/>
      <c r="G94" s="21"/>
      <c r="H94" s="21"/>
      <c r="I94" s="22"/>
      <c r="J94" s="21"/>
      <c r="K94" s="21"/>
      <c r="L94" s="21"/>
    </row>
    <row r="95" spans="1:12" ht="14.45">
      <c r="A95" s="21"/>
      <c r="B95" s="32"/>
      <c r="C95" s="21"/>
      <c r="D95" s="21"/>
      <c r="E95" s="21"/>
      <c r="F95" s="22"/>
      <c r="G95" s="21"/>
      <c r="H95" s="21"/>
      <c r="I95" s="22"/>
      <c r="J95" s="21"/>
      <c r="K95" s="21"/>
      <c r="L95" s="21"/>
    </row>
    <row r="96" spans="1:12" ht="14.45">
      <c r="A96" s="21"/>
      <c r="B96" s="32"/>
      <c r="C96" s="21"/>
      <c r="D96" s="21"/>
      <c r="E96" s="21"/>
      <c r="F96" s="22"/>
      <c r="G96" s="21"/>
      <c r="H96" s="21"/>
      <c r="I96" s="22"/>
      <c r="J96" s="21"/>
      <c r="K96" s="21"/>
      <c r="L96" s="21"/>
    </row>
    <row r="97" spans="1:12" ht="14.45">
      <c r="A97" s="21"/>
      <c r="B97" s="32"/>
      <c r="C97" s="21"/>
      <c r="D97" s="21"/>
      <c r="E97" s="21"/>
      <c r="F97" s="22"/>
      <c r="G97" s="21"/>
      <c r="H97" s="21"/>
      <c r="I97" s="22"/>
      <c r="J97" s="21"/>
      <c r="K97" s="21"/>
      <c r="L97" s="21"/>
    </row>
    <row r="98" spans="1:12" ht="14.45">
      <c r="A98" s="21"/>
      <c r="B98" s="32"/>
      <c r="C98" s="21"/>
      <c r="D98" s="21"/>
      <c r="E98" s="21"/>
      <c r="F98" s="22"/>
      <c r="G98" s="21"/>
      <c r="H98" s="21"/>
      <c r="I98" s="22"/>
      <c r="J98" s="21"/>
      <c r="K98" s="21"/>
      <c r="L98" s="21"/>
    </row>
    <row r="99" spans="1:12" ht="14.45">
      <c r="A99" s="21"/>
      <c r="B99" s="32"/>
      <c r="C99" s="21"/>
      <c r="D99" s="21"/>
      <c r="E99" s="21"/>
      <c r="F99" s="22"/>
      <c r="G99" s="21"/>
      <c r="H99" s="21"/>
      <c r="I99" s="22"/>
      <c r="J99" s="21"/>
      <c r="K99" s="21"/>
      <c r="L99" s="21"/>
    </row>
    <row r="100" spans="1:12" ht="14.45">
      <c r="A100" s="21"/>
      <c r="B100" s="32"/>
      <c r="C100" s="21"/>
      <c r="D100" s="21"/>
      <c r="E100" s="21"/>
      <c r="F100" s="22"/>
      <c r="G100" s="21"/>
      <c r="H100" s="21"/>
      <c r="I100" s="22"/>
      <c r="J100" s="21"/>
      <c r="K100" s="21"/>
      <c r="L100" s="21"/>
    </row>
    <row r="101" spans="1:12" ht="14.45">
      <c r="A101" s="21"/>
      <c r="B101" s="32"/>
      <c r="C101" s="21"/>
      <c r="D101" s="21"/>
      <c r="E101" s="21"/>
      <c r="F101" s="22"/>
      <c r="G101" s="21"/>
      <c r="H101" s="21"/>
      <c r="I101" s="22"/>
      <c r="J101" s="21"/>
      <c r="K101" s="21"/>
      <c r="L101" s="21"/>
    </row>
    <row r="102" spans="1:12" ht="14.45">
      <c r="A102" s="21"/>
      <c r="B102" s="32"/>
      <c r="C102" s="21"/>
      <c r="D102" s="21"/>
      <c r="E102" s="21"/>
      <c r="F102" s="22"/>
      <c r="G102" s="21"/>
      <c r="H102" s="21"/>
      <c r="I102" s="22"/>
      <c r="J102" s="21"/>
      <c r="K102" s="21"/>
      <c r="L102" s="21"/>
    </row>
    <row r="103" spans="1:12" ht="14.45">
      <c r="A103" s="21"/>
      <c r="B103" s="32"/>
      <c r="C103" s="21"/>
      <c r="D103" s="21"/>
      <c r="E103" s="21"/>
      <c r="F103" s="22"/>
      <c r="G103" s="21"/>
      <c r="H103" s="21"/>
      <c r="I103" s="22"/>
      <c r="J103" s="21"/>
      <c r="K103" s="21"/>
      <c r="L103" s="21"/>
    </row>
    <row r="104" spans="1:12" ht="14.45">
      <c r="A104" s="21"/>
      <c r="B104" s="32"/>
      <c r="C104" s="21"/>
      <c r="D104" s="21"/>
      <c r="E104" s="21"/>
      <c r="F104" s="22"/>
      <c r="G104" s="21"/>
      <c r="H104" s="21"/>
      <c r="I104" s="22"/>
      <c r="J104" s="21"/>
      <c r="K104" s="21"/>
      <c r="L104" s="21"/>
    </row>
    <row r="105" spans="1:12" ht="14.45">
      <c r="A105" s="21"/>
      <c r="B105" s="32"/>
      <c r="C105" s="21"/>
      <c r="D105" s="21"/>
      <c r="E105" s="21"/>
      <c r="F105" s="22"/>
      <c r="G105" s="21"/>
      <c r="H105" s="21"/>
      <c r="I105" s="22"/>
      <c r="J105" s="21"/>
      <c r="K105" s="21"/>
      <c r="L105" s="21"/>
    </row>
    <row r="106" spans="1:12" ht="14.45">
      <c r="A106" s="21"/>
      <c r="B106" s="32"/>
      <c r="C106" s="21"/>
      <c r="D106" s="21"/>
      <c r="E106" s="21"/>
      <c r="F106" s="22"/>
      <c r="G106" s="21"/>
      <c r="H106" s="21"/>
      <c r="I106" s="22"/>
      <c r="J106" s="21"/>
      <c r="K106" s="21"/>
      <c r="L106" s="21"/>
    </row>
    <row r="107" spans="1:12" ht="14.45">
      <c r="A107" s="21"/>
      <c r="B107" s="32"/>
      <c r="C107" s="21"/>
      <c r="D107" s="21"/>
      <c r="E107" s="21"/>
      <c r="F107" s="22"/>
      <c r="G107" s="21"/>
      <c r="H107" s="21"/>
      <c r="I107" s="22"/>
      <c r="J107" s="21"/>
      <c r="K107" s="21"/>
      <c r="L107" s="21"/>
    </row>
    <row r="108" spans="1:12" ht="14.45">
      <c r="A108" s="21"/>
      <c r="B108" s="32"/>
      <c r="C108" s="21"/>
      <c r="D108" s="21"/>
      <c r="E108" s="21"/>
      <c r="F108" s="22"/>
      <c r="G108" s="21"/>
      <c r="H108" s="21"/>
      <c r="I108" s="22"/>
      <c r="J108" s="21"/>
      <c r="K108" s="21"/>
      <c r="L108" s="21"/>
    </row>
    <row r="109" spans="1:12" ht="14.45">
      <c r="A109" s="21"/>
      <c r="B109" s="32"/>
      <c r="C109" s="21"/>
      <c r="D109" s="21"/>
      <c r="E109" s="21"/>
      <c r="F109" s="22"/>
      <c r="G109" s="21"/>
      <c r="H109" s="21"/>
      <c r="I109" s="22"/>
      <c r="J109" s="21"/>
      <c r="K109" s="21"/>
      <c r="L109" s="21"/>
    </row>
    <row r="110" spans="1:12" ht="14.45">
      <c r="A110" s="21"/>
      <c r="B110" s="32"/>
      <c r="C110" s="21"/>
      <c r="D110" s="21"/>
      <c r="E110" s="21"/>
      <c r="F110" s="22"/>
      <c r="G110" s="21"/>
      <c r="H110" s="21"/>
      <c r="I110" s="22"/>
      <c r="J110" s="21"/>
      <c r="K110" s="21"/>
      <c r="L110" s="21"/>
    </row>
    <row r="111" spans="1:12" ht="14.45">
      <c r="A111" s="21"/>
      <c r="B111" s="32"/>
      <c r="C111" s="21"/>
      <c r="D111" s="21"/>
      <c r="E111" s="21"/>
      <c r="F111" s="22"/>
      <c r="G111" s="21"/>
      <c r="H111" s="21"/>
      <c r="I111" s="22"/>
      <c r="J111" s="21"/>
      <c r="K111" s="21"/>
      <c r="L111" s="21"/>
    </row>
    <row r="112" spans="1:12" ht="14.45">
      <c r="A112" s="21"/>
      <c r="B112" s="32"/>
      <c r="C112" s="21"/>
      <c r="D112" s="21"/>
      <c r="E112" s="21"/>
      <c r="F112" s="22"/>
      <c r="G112" s="21"/>
      <c r="H112" s="21"/>
      <c r="I112" s="22"/>
      <c r="J112" s="21"/>
      <c r="K112" s="21"/>
      <c r="L112" s="21"/>
    </row>
    <row r="113" spans="1:12" ht="14.45">
      <c r="A113" s="21"/>
      <c r="B113" s="32"/>
      <c r="C113" s="21"/>
      <c r="D113" s="21"/>
      <c r="E113" s="21"/>
      <c r="F113" s="22"/>
      <c r="G113" s="21"/>
      <c r="H113" s="21"/>
      <c r="I113" s="22"/>
      <c r="J113" s="21"/>
      <c r="K113" s="21"/>
      <c r="L113" s="21"/>
    </row>
    <row r="114" spans="1:12" ht="14.45">
      <c r="A114" s="21"/>
      <c r="B114" s="32"/>
      <c r="C114" s="21"/>
      <c r="D114" s="21"/>
      <c r="E114" s="21"/>
      <c r="F114" s="22"/>
      <c r="G114" s="21"/>
      <c r="H114" s="21"/>
      <c r="I114" s="22"/>
      <c r="J114" s="21"/>
      <c r="K114" s="21"/>
      <c r="L114" s="21"/>
    </row>
    <row r="115" spans="1:12" ht="14.45">
      <c r="A115" s="21"/>
      <c r="B115" s="32"/>
      <c r="C115" s="21"/>
      <c r="D115" s="21"/>
      <c r="E115" s="21"/>
      <c r="F115" s="22"/>
      <c r="G115" s="21"/>
      <c r="H115" s="21"/>
      <c r="I115" s="22"/>
      <c r="J115" s="21"/>
      <c r="K115" s="21"/>
      <c r="L115" s="21"/>
    </row>
    <row r="116" spans="1:12" ht="14.45">
      <c r="A116" s="21"/>
      <c r="B116" s="32"/>
      <c r="C116" s="21"/>
      <c r="D116" s="21"/>
      <c r="E116" s="21"/>
      <c r="F116" s="22"/>
      <c r="G116" s="21"/>
      <c r="H116" s="21"/>
      <c r="I116" s="22"/>
      <c r="J116" s="21"/>
      <c r="K116" s="21"/>
      <c r="L116" s="21"/>
    </row>
    <row r="117" spans="1:12" ht="14.45">
      <c r="A117" s="21"/>
      <c r="B117" s="32"/>
      <c r="C117" s="21"/>
      <c r="D117" s="21"/>
      <c r="E117" s="21"/>
      <c r="F117" s="22"/>
      <c r="G117" s="21"/>
      <c r="H117" s="21"/>
      <c r="I117" s="22"/>
      <c r="J117" s="21"/>
      <c r="K117" s="21"/>
      <c r="L117" s="21"/>
    </row>
    <row r="118" spans="1:12" ht="14.45">
      <c r="A118" s="21"/>
      <c r="B118" s="32"/>
      <c r="C118" s="21"/>
      <c r="D118" s="21"/>
      <c r="E118" s="21"/>
      <c r="F118" s="22"/>
      <c r="G118" s="21"/>
      <c r="H118" s="21"/>
      <c r="I118" s="22"/>
      <c r="J118" s="21"/>
      <c r="K118" s="21"/>
      <c r="L118" s="21"/>
    </row>
    <row r="119" spans="1:12" ht="14.45">
      <c r="A119" s="21"/>
      <c r="B119" s="32"/>
      <c r="C119" s="21"/>
      <c r="D119" s="21"/>
      <c r="E119" s="21"/>
      <c r="F119" s="22"/>
      <c r="G119" s="21"/>
      <c r="H119" s="21"/>
      <c r="I119" s="22"/>
      <c r="J119" s="21"/>
      <c r="K119" s="21"/>
      <c r="L119" s="21"/>
    </row>
    <row r="120" spans="1:12" ht="14.45">
      <c r="A120" s="21"/>
      <c r="B120" s="32"/>
      <c r="C120" s="21"/>
      <c r="D120" s="21"/>
      <c r="E120" s="21"/>
      <c r="F120" s="22"/>
      <c r="G120" s="21"/>
      <c r="H120" s="21"/>
      <c r="I120" s="22"/>
      <c r="J120" s="21"/>
      <c r="K120" s="21"/>
      <c r="L120" s="21"/>
    </row>
    <row r="121" spans="1:12" ht="14.45">
      <c r="A121" s="21"/>
      <c r="B121" s="32"/>
      <c r="C121" s="21"/>
      <c r="D121" s="21"/>
      <c r="E121" s="21"/>
      <c r="F121" s="22"/>
      <c r="G121" s="21"/>
      <c r="H121" s="21"/>
      <c r="I121" s="22"/>
      <c r="J121" s="21"/>
      <c r="K121" s="21"/>
      <c r="L121" s="21"/>
    </row>
    <row r="122" spans="1:12" ht="14.45">
      <c r="A122" s="21"/>
      <c r="B122" s="32"/>
      <c r="C122" s="21"/>
      <c r="D122" s="21"/>
      <c r="E122" s="21"/>
      <c r="F122" s="22"/>
      <c r="G122" s="21"/>
      <c r="H122" s="21"/>
      <c r="I122" s="22"/>
      <c r="J122" s="21"/>
      <c r="K122" s="21"/>
      <c r="L122" s="21"/>
    </row>
    <row r="123" spans="1:12" ht="14.45">
      <c r="A123" s="21"/>
      <c r="B123" s="32"/>
      <c r="C123" s="21"/>
      <c r="D123" s="21"/>
      <c r="E123" s="21"/>
      <c r="F123" s="22"/>
      <c r="G123" s="21"/>
      <c r="H123" s="21"/>
      <c r="I123" s="22"/>
      <c r="J123" s="21"/>
      <c r="K123" s="21"/>
      <c r="L123" s="21"/>
    </row>
    <row r="124" spans="1:12" ht="14.45">
      <c r="A124" s="21"/>
      <c r="B124" s="32"/>
      <c r="C124" s="21"/>
      <c r="D124" s="21"/>
      <c r="E124" s="21"/>
      <c r="F124" s="22"/>
      <c r="G124" s="21"/>
      <c r="H124" s="21"/>
      <c r="I124" s="22"/>
      <c r="J124" s="21"/>
      <c r="K124" s="21"/>
      <c r="L124" s="21"/>
    </row>
    <row r="125" spans="1:12" ht="14.45">
      <c r="A125" s="21"/>
      <c r="B125" s="32"/>
      <c r="C125" s="21"/>
      <c r="D125" s="21"/>
      <c r="E125" s="21"/>
      <c r="F125" s="22"/>
      <c r="G125" s="21"/>
      <c r="H125" s="21"/>
      <c r="I125" s="22"/>
      <c r="J125" s="21"/>
      <c r="K125" s="21"/>
      <c r="L125" s="21"/>
    </row>
    <row r="126" spans="1:12" ht="14.45">
      <c r="A126" s="21"/>
      <c r="B126" s="32"/>
      <c r="C126" s="21"/>
      <c r="D126" s="21"/>
      <c r="E126" s="21"/>
      <c r="F126" s="22"/>
      <c r="G126" s="21"/>
      <c r="H126" s="21"/>
      <c r="I126" s="22"/>
      <c r="J126" s="21"/>
      <c r="K126" s="21"/>
      <c r="L126" s="21"/>
    </row>
    <row r="127" spans="1:12" ht="14.45">
      <c r="A127" s="21"/>
      <c r="B127" s="32"/>
      <c r="C127" s="21"/>
      <c r="D127" s="21"/>
      <c r="E127" s="21"/>
      <c r="F127" s="22"/>
      <c r="G127" s="21"/>
      <c r="H127" s="21"/>
      <c r="I127" s="22"/>
      <c r="J127" s="21"/>
      <c r="K127" s="21"/>
      <c r="L127" s="21"/>
    </row>
    <row r="128" spans="1:12" ht="14.45">
      <c r="A128" s="21"/>
      <c r="B128" s="32"/>
      <c r="C128" s="21"/>
      <c r="D128" s="21"/>
      <c r="E128" s="21"/>
      <c r="F128" s="22"/>
      <c r="G128" s="21"/>
      <c r="H128" s="21"/>
      <c r="I128" s="22"/>
      <c r="J128" s="21"/>
      <c r="K128" s="21"/>
      <c r="L128" s="21"/>
    </row>
    <row r="129" spans="1:12" ht="14.45">
      <c r="A129" s="21"/>
      <c r="B129" s="32"/>
      <c r="C129" s="21"/>
      <c r="D129" s="21"/>
      <c r="E129" s="21"/>
      <c r="F129" s="22"/>
      <c r="G129" s="21"/>
      <c r="H129" s="21"/>
      <c r="I129" s="22"/>
      <c r="J129" s="21"/>
      <c r="K129" s="21"/>
      <c r="L129" s="21"/>
    </row>
    <row r="130" spans="1:12" ht="14.45">
      <c r="A130" s="21"/>
      <c r="B130" s="32"/>
      <c r="C130" s="21"/>
      <c r="D130" s="21"/>
      <c r="E130" s="21"/>
      <c r="F130" s="22"/>
      <c r="G130" s="21"/>
      <c r="H130" s="21"/>
      <c r="I130" s="22"/>
      <c r="J130" s="21"/>
      <c r="K130" s="21"/>
      <c r="L130" s="21"/>
    </row>
    <row r="131" spans="1:12" ht="14.45">
      <c r="A131" s="21"/>
      <c r="B131" s="32"/>
      <c r="C131" s="21"/>
      <c r="D131" s="21"/>
      <c r="E131" s="21"/>
      <c r="F131" s="22"/>
      <c r="G131" s="21"/>
      <c r="H131" s="21"/>
      <c r="I131" s="22"/>
      <c r="J131" s="21"/>
      <c r="K131" s="21"/>
      <c r="L131" s="21"/>
    </row>
    <row r="132" spans="1:12" ht="14.45">
      <c r="A132" s="21"/>
      <c r="B132" s="32"/>
      <c r="C132" s="21"/>
      <c r="D132" s="21"/>
      <c r="E132" s="21"/>
      <c r="F132" s="22"/>
      <c r="G132" s="21"/>
      <c r="H132" s="21"/>
      <c r="I132" s="22"/>
      <c r="J132" s="21"/>
      <c r="K132" s="21"/>
      <c r="L132" s="21"/>
    </row>
    <row r="133" spans="1:12" ht="14.45">
      <c r="A133" s="21"/>
      <c r="B133" s="32"/>
      <c r="C133" s="21"/>
      <c r="D133" s="21"/>
      <c r="E133" s="21"/>
      <c r="F133" s="22"/>
      <c r="G133" s="21"/>
      <c r="H133" s="21"/>
      <c r="I133" s="22"/>
      <c r="J133" s="21"/>
      <c r="K133" s="21"/>
      <c r="L133" s="21"/>
    </row>
    <row r="134" spans="1:12" ht="14.45">
      <c r="A134" s="21"/>
      <c r="B134" s="32"/>
      <c r="C134" s="21"/>
      <c r="D134" s="21"/>
      <c r="E134" s="21"/>
      <c r="F134" s="22"/>
      <c r="G134" s="21"/>
      <c r="H134" s="21"/>
      <c r="I134" s="22"/>
      <c r="J134" s="21"/>
      <c r="K134" s="21"/>
      <c r="L134" s="21"/>
    </row>
    <row r="135" spans="1:12" ht="14.45">
      <c r="A135" s="21"/>
      <c r="B135" s="32"/>
      <c r="C135" s="21"/>
      <c r="D135" s="21"/>
      <c r="E135" s="21"/>
      <c r="F135" s="22"/>
      <c r="G135" s="21"/>
      <c r="H135" s="21"/>
      <c r="I135" s="22"/>
      <c r="J135" s="21"/>
      <c r="K135" s="21"/>
      <c r="L135" s="21"/>
    </row>
    <row r="136" spans="1:12" ht="14.45">
      <c r="A136" s="21"/>
      <c r="B136" s="32"/>
      <c r="C136" s="21"/>
      <c r="D136" s="21"/>
      <c r="E136" s="21"/>
      <c r="F136" s="22"/>
      <c r="G136" s="21"/>
      <c r="H136" s="21"/>
      <c r="I136" s="22"/>
      <c r="J136" s="21"/>
      <c r="K136" s="21"/>
      <c r="L136" s="21"/>
    </row>
    <row r="137" spans="1:12" ht="14.45">
      <c r="A137" s="21"/>
      <c r="B137" s="32"/>
      <c r="C137" s="21"/>
      <c r="D137" s="21"/>
      <c r="E137" s="21"/>
      <c r="F137" s="22"/>
      <c r="G137" s="21"/>
      <c r="H137" s="21"/>
      <c r="I137" s="22"/>
      <c r="J137" s="21"/>
      <c r="K137" s="21"/>
      <c r="L137" s="21"/>
    </row>
    <row r="138" spans="1:12" ht="14.45">
      <c r="A138" s="21"/>
      <c r="B138" s="32"/>
      <c r="C138" s="21"/>
      <c r="D138" s="21"/>
      <c r="E138" s="21"/>
      <c r="F138" s="22"/>
      <c r="G138" s="21"/>
      <c r="H138" s="21"/>
      <c r="I138" s="22"/>
      <c r="J138" s="21"/>
      <c r="K138" s="21"/>
      <c r="L138" s="21"/>
    </row>
    <row r="139" spans="1:12" ht="14.45">
      <c r="A139" s="21"/>
      <c r="B139" s="32"/>
      <c r="C139" s="21"/>
      <c r="D139" s="21"/>
      <c r="E139" s="21"/>
      <c r="F139" s="22"/>
      <c r="G139" s="21"/>
      <c r="H139" s="21"/>
      <c r="I139" s="22"/>
      <c r="J139" s="21"/>
      <c r="K139" s="21"/>
      <c r="L139" s="21"/>
    </row>
    <row r="140" spans="1:12" ht="14.45">
      <c r="A140" s="21"/>
      <c r="B140" s="32"/>
      <c r="C140" s="21"/>
      <c r="D140" s="21"/>
      <c r="E140" s="21"/>
      <c r="F140" s="22"/>
      <c r="G140" s="21"/>
      <c r="H140" s="21"/>
      <c r="I140" s="22"/>
      <c r="J140" s="21"/>
      <c r="K140" s="21"/>
      <c r="L140" s="21"/>
    </row>
    <row r="141" spans="1:12" ht="14.45">
      <c r="A141" s="21"/>
      <c r="B141" s="32"/>
      <c r="C141" s="21"/>
      <c r="D141" s="21"/>
      <c r="E141" s="21"/>
      <c r="F141" s="22"/>
      <c r="G141" s="21"/>
      <c r="H141" s="21"/>
      <c r="I141" s="22"/>
      <c r="J141" s="21"/>
      <c r="K141" s="21"/>
      <c r="L141" s="21"/>
    </row>
    <row r="142" spans="1:12" ht="14.45">
      <c r="A142" s="21"/>
      <c r="B142" s="32"/>
      <c r="C142" s="21"/>
      <c r="D142" s="21"/>
      <c r="E142" s="21"/>
      <c r="F142" s="22"/>
      <c r="G142" s="21"/>
      <c r="H142" s="21"/>
      <c r="I142" s="22"/>
      <c r="J142" s="21"/>
      <c r="K142" s="21"/>
      <c r="L142" s="21"/>
    </row>
    <row r="143" spans="1:12" ht="14.45">
      <c r="A143" s="21"/>
      <c r="B143" s="32"/>
      <c r="C143" s="21"/>
      <c r="D143" s="21"/>
      <c r="E143" s="21"/>
      <c r="F143" s="22"/>
      <c r="G143" s="21"/>
      <c r="H143" s="21"/>
      <c r="I143" s="22"/>
      <c r="J143" s="21"/>
      <c r="K143" s="21"/>
      <c r="L143" s="21"/>
    </row>
    <row r="144" spans="1:12" ht="14.45">
      <c r="A144" s="21"/>
      <c r="B144" s="32"/>
      <c r="C144" s="21"/>
      <c r="D144" s="21"/>
      <c r="E144" s="21"/>
      <c r="F144" s="22"/>
      <c r="G144" s="21"/>
      <c r="H144" s="21"/>
      <c r="I144" s="22"/>
      <c r="J144" s="21"/>
      <c r="K144" s="21"/>
      <c r="L144" s="21"/>
    </row>
    <row r="145" spans="1:12" ht="14.45">
      <c r="A145" s="21"/>
      <c r="B145" s="32"/>
      <c r="C145" s="21"/>
      <c r="D145" s="21"/>
      <c r="E145" s="21"/>
      <c r="F145" s="22"/>
      <c r="G145" s="21"/>
      <c r="H145" s="21"/>
      <c r="I145" s="22"/>
      <c r="J145" s="21"/>
      <c r="K145" s="21"/>
      <c r="L145" s="21"/>
    </row>
    <row r="146" spans="1:12" ht="14.45">
      <c r="A146" s="21"/>
      <c r="B146" s="32"/>
      <c r="C146" s="21"/>
      <c r="D146" s="21"/>
      <c r="E146" s="21"/>
      <c r="F146" s="22"/>
      <c r="G146" s="21"/>
      <c r="H146" s="21"/>
      <c r="I146" s="22"/>
      <c r="J146" s="21"/>
      <c r="K146" s="21"/>
      <c r="L146" s="21"/>
    </row>
    <row r="147" spans="1:12" ht="14.45">
      <c r="A147" s="21"/>
      <c r="B147" s="32"/>
      <c r="C147" s="21"/>
      <c r="D147" s="21"/>
      <c r="E147" s="21"/>
      <c r="F147" s="22"/>
      <c r="G147" s="21"/>
      <c r="H147" s="21"/>
      <c r="I147" s="22"/>
      <c r="J147" s="21"/>
      <c r="K147" s="21"/>
      <c r="L147" s="21"/>
    </row>
    <row r="148" spans="1:12" ht="14.45">
      <c r="A148" s="21"/>
      <c r="B148" s="32"/>
      <c r="C148" s="21"/>
      <c r="D148" s="21"/>
      <c r="E148" s="21"/>
      <c r="F148" s="22"/>
      <c r="G148" s="21"/>
      <c r="H148" s="21"/>
      <c r="I148" s="22"/>
      <c r="J148" s="21"/>
      <c r="K148" s="21"/>
      <c r="L148" s="21"/>
    </row>
    <row r="149" spans="1:12" ht="14.45">
      <c r="A149" s="21"/>
      <c r="B149" s="32"/>
      <c r="C149" s="21"/>
      <c r="D149" s="21"/>
      <c r="E149" s="21"/>
      <c r="F149" s="22"/>
      <c r="G149" s="21"/>
      <c r="H149" s="21"/>
      <c r="I149" s="22"/>
      <c r="J149" s="21"/>
      <c r="K149" s="21"/>
      <c r="L149" s="21"/>
    </row>
    <row r="150" spans="1:12" ht="14.45">
      <c r="A150" s="21"/>
      <c r="B150" s="32"/>
      <c r="C150" s="21"/>
      <c r="D150" s="21"/>
      <c r="E150" s="21"/>
      <c r="F150" s="22"/>
      <c r="G150" s="21"/>
      <c r="H150" s="21"/>
      <c r="I150" s="22"/>
      <c r="J150" s="21"/>
      <c r="K150" s="21"/>
      <c r="L150" s="21"/>
    </row>
    <row r="151" spans="1:12" ht="14.45">
      <c r="A151" s="21"/>
      <c r="B151" s="32"/>
      <c r="C151" s="21"/>
      <c r="D151" s="21"/>
      <c r="E151" s="21"/>
      <c r="F151" s="22"/>
      <c r="G151" s="21"/>
      <c r="H151" s="21"/>
      <c r="I151" s="22"/>
      <c r="J151" s="21"/>
      <c r="K151" s="21"/>
      <c r="L151" s="21"/>
    </row>
    <row r="152" spans="1:12" ht="14.45">
      <c r="A152" s="21"/>
      <c r="B152" s="32"/>
      <c r="C152" s="21"/>
      <c r="D152" s="21"/>
      <c r="E152" s="21"/>
      <c r="F152" s="22"/>
      <c r="G152" s="21"/>
      <c r="H152" s="21"/>
      <c r="I152" s="22"/>
      <c r="J152" s="21"/>
      <c r="K152" s="21"/>
      <c r="L152" s="21"/>
    </row>
    <row r="153" spans="1:12" ht="14.45">
      <c r="A153" s="21"/>
      <c r="B153" s="32"/>
      <c r="C153" s="21"/>
      <c r="D153" s="21"/>
      <c r="E153" s="21"/>
      <c r="F153" s="22"/>
      <c r="G153" s="21"/>
      <c r="H153" s="21"/>
      <c r="I153" s="22"/>
      <c r="J153" s="21"/>
      <c r="K153" s="21"/>
      <c r="L153" s="21"/>
    </row>
    <row r="154" spans="1:12" ht="14.45">
      <c r="A154" s="21"/>
      <c r="B154" s="32"/>
      <c r="C154" s="21"/>
      <c r="D154" s="21"/>
      <c r="E154" s="21"/>
      <c r="F154" s="22"/>
      <c r="G154" s="21"/>
      <c r="H154" s="21"/>
      <c r="I154" s="22"/>
      <c r="J154" s="21"/>
      <c r="K154" s="21"/>
      <c r="L154" s="21"/>
    </row>
    <row r="155" spans="1:12" ht="14.45">
      <c r="A155" s="21"/>
      <c r="B155" s="32"/>
      <c r="C155" s="21"/>
      <c r="D155" s="21"/>
      <c r="E155" s="21"/>
      <c r="F155" s="22"/>
      <c r="G155" s="21"/>
      <c r="H155" s="21"/>
      <c r="I155" s="22"/>
      <c r="J155" s="21"/>
      <c r="K155" s="21"/>
      <c r="L155" s="21"/>
    </row>
    <row r="156" spans="1:12" ht="14.45">
      <c r="A156" s="21"/>
      <c r="B156" s="32"/>
      <c r="C156" s="21"/>
      <c r="D156" s="21"/>
      <c r="E156" s="21"/>
      <c r="F156" s="22"/>
      <c r="G156" s="21"/>
      <c r="H156" s="21"/>
      <c r="I156" s="22"/>
      <c r="J156" s="21"/>
      <c r="K156" s="21"/>
      <c r="L156" s="21"/>
    </row>
    <row r="157" spans="1:12" ht="14.45">
      <c r="A157" s="21"/>
      <c r="B157" s="32"/>
      <c r="C157" s="21"/>
      <c r="D157" s="21"/>
      <c r="E157" s="21"/>
      <c r="F157" s="22"/>
      <c r="G157" s="21"/>
      <c r="H157" s="21"/>
      <c r="I157" s="22"/>
      <c r="J157" s="21"/>
      <c r="K157" s="21"/>
      <c r="L157" s="21"/>
    </row>
    <row r="158" spans="1:12" ht="14.45">
      <c r="A158" s="21"/>
      <c r="B158" s="32"/>
      <c r="C158" s="21"/>
      <c r="D158" s="21"/>
      <c r="E158" s="21"/>
      <c r="F158" s="22"/>
      <c r="G158" s="21"/>
      <c r="H158" s="21"/>
      <c r="I158" s="22"/>
      <c r="J158" s="21"/>
      <c r="K158" s="21"/>
      <c r="L158" s="21"/>
    </row>
    <row r="159" spans="1:12" ht="14.45">
      <c r="A159" s="21"/>
      <c r="B159" s="32"/>
      <c r="C159" s="21"/>
      <c r="D159" s="21"/>
      <c r="E159" s="21"/>
      <c r="F159" s="22"/>
      <c r="G159" s="21"/>
      <c r="H159" s="21"/>
      <c r="I159" s="22"/>
      <c r="J159" s="21"/>
      <c r="K159" s="21"/>
      <c r="L159" s="21"/>
    </row>
    <row r="160" spans="1:12" ht="14.45">
      <c r="A160" s="21"/>
      <c r="B160" s="32"/>
      <c r="C160" s="21"/>
      <c r="D160" s="21"/>
      <c r="E160" s="21"/>
      <c r="F160" s="22"/>
      <c r="G160" s="21"/>
      <c r="H160" s="21"/>
      <c r="I160" s="22"/>
      <c r="J160" s="21"/>
      <c r="K160" s="21"/>
      <c r="L160" s="21"/>
    </row>
    <row r="161" spans="1:12" ht="14.45">
      <c r="A161" s="21"/>
      <c r="B161" s="32"/>
      <c r="C161" s="21"/>
      <c r="D161" s="21"/>
      <c r="E161" s="21"/>
      <c r="F161" s="22"/>
      <c r="G161" s="21"/>
      <c r="H161" s="21"/>
      <c r="I161" s="22"/>
      <c r="J161" s="21"/>
      <c r="K161" s="21"/>
      <c r="L161" s="21"/>
    </row>
    <row r="162" spans="1:12" ht="14.45">
      <c r="A162" s="21"/>
      <c r="B162" s="32"/>
      <c r="C162" s="21"/>
      <c r="D162" s="21"/>
      <c r="E162" s="21"/>
      <c r="F162" s="22"/>
      <c r="G162" s="21"/>
      <c r="H162" s="21"/>
      <c r="I162" s="22"/>
      <c r="J162" s="21"/>
      <c r="K162" s="21"/>
      <c r="L162" s="21"/>
    </row>
    <row r="163" spans="1:12" ht="14.45">
      <c r="A163" s="21"/>
      <c r="B163" s="32"/>
      <c r="C163" s="21"/>
      <c r="D163" s="21"/>
      <c r="E163" s="21"/>
      <c r="F163" s="22"/>
      <c r="G163" s="21"/>
      <c r="H163" s="21"/>
      <c r="I163" s="22"/>
      <c r="J163" s="21"/>
      <c r="K163" s="21"/>
      <c r="L163" s="21"/>
    </row>
    <row r="164" spans="1:12" ht="14.45">
      <c r="A164" s="21"/>
      <c r="B164" s="32"/>
      <c r="C164" s="21"/>
      <c r="D164" s="21"/>
      <c r="E164" s="21"/>
      <c r="F164" s="22"/>
      <c r="G164" s="21"/>
      <c r="H164" s="21"/>
      <c r="I164" s="22"/>
      <c r="J164" s="21"/>
      <c r="K164" s="21"/>
      <c r="L164" s="21"/>
    </row>
    <row r="165" spans="1:12" ht="14.45">
      <c r="A165" s="21"/>
      <c r="B165" s="32"/>
      <c r="C165" s="21"/>
      <c r="D165" s="21"/>
      <c r="E165" s="21"/>
      <c r="F165" s="22"/>
      <c r="G165" s="21"/>
      <c r="H165" s="21"/>
      <c r="I165" s="22"/>
      <c r="J165" s="21"/>
      <c r="K165" s="21"/>
      <c r="L165" s="21"/>
    </row>
    <row r="166" spans="1:12" ht="14.45">
      <c r="A166" s="21"/>
      <c r="B166" s="32"/>
      <c r="C166" s="21"/>
      <c r="D166" s="21"/>
      <c r="E166" s="21"/>
      <c r="F166" s="22"/>
      <c r="G166" s="21"/>
      <c r="H166" s="21"/>
      <c r="I166" s="22"/>
      <c r="J166" s="21"/>
      <c r="K166" s="21"/>
      <c r="L166" s="21"/>
    </row>
    <row r="167" spans="1:12" ht="14.45">
      <c r="A167" s="21"/>
      <c r="B167" s="32"/>
      <c r="C167" s="21"/>
      <c r="D167" s="21"/>
      <c r="E167" s="21"/>
      <c r="F167" s="22"/>
      <c r="G167" s="21"/>
      <c r="H167" s="21"/>
      <c r="I167" s="22"/>
      <c r="J167" s="21"/>
      <c r="K167" s="21"/>
      <c r="L167" s="21"/>
    </row>
    <row r="168" spans="1:12" ht="14.45">
      <c r="A168" s="21"/>
      <c r="B168" s="32"/>
      <c r="C168" s="21"/>
      <c r="D168" s="21"/>
      <c r="E168" s="21"/>
      <c r="F168" s="22"/>
      <c r="G168" s="21"/>
      <c r="H168" s="21"/>
      <c r="I168" s="22"/>
      <c r="J168" s="21"/>
      <c r="K168" s="21"/>
      <c r="L168" s="21"/>
    </row>
    <row r="169" spans="1:12" ht="14.45">
      <c r="A169" s="21"/>
      <c r="B169" s="32"/>
      <c r="C169" s="21"/>
      <c r="D169" s="21"/>
      <c r="E169" s="21"/>
      <c r="F169" s="22"/>
      <c r="G169" s="21"/>
      <c r="H169" s="21"/>
      <c r="I169" s="22"/>
      <c r="J169" s="21"/>
      <c r="K169" s="21"/>
      <c r="L169" s="21"/>
    </row>
    <row r="170" spans="1:12" ht="14.45">
      <c r="A170" s="21"/>
      <c r="B170" s="32"/>
      <c r="C170" s="21"/>
      <c r="D170" s="21"/>
      <c r="E170" s="21"/>
      <c r="F170" s="22"/>
      <c r="G170" s="21"/>
      <c r="H170" s="21"/>
      <c r="I170" s="22"/>
      <c r="J170" s="21"/>
      <c r="K170" s="21"/>
      <c r="L170" s="21"/>
    </row>
    <row r="171" spans="1:12" ht="14.45">
      <c r="A171" s="21"/>
      <c r="B171" s="32"/>
      <c r="C171" s="21"/>
      <c r="D171" s="21"/>
      <c r="E171" s="21"/>
      <c r="F171" s="22"/>
      <c r="G171" s="21"/>
      <c r="H171" s="21"/>
      <c r="I171" s="22"/>
      <c r="J171" s="21"/>
      <c r="K171" s="21"/>
      <c r="L171" s="21"/>
    </row>
    <row r="172" spans="1:12" ht="14.45">
      <c r="A172" s="21"/>
      <c r="B172" s="32"/>
      <c r="C172" s="21"/>
      <c r="D172" s="21"/>
      <c r="E172" s="21"/>
      <c r="F172" s="22"/>
      <c r="G172" s="21"/>
      <c r="H172" s="21"/>
      <c r="I172" s="22"/>
      <c r="J172" s="21"/>
      <c r="K172" s="21"/>
      <c r="L172" s="21"/>
    </row>
    <row r="173" spans="1:12" ht="14.45">
      <c r="A173" s="21"/>
      <c r="B173" s="32"/>
      <c r="C173" s="21"/>
      <c r="D173" s="21"/>
      <c r="E173" s="21"/>
      <c r="F173" s="22"/>
      <c r="G173" s="21"/>
      <c r="H173" s="21"/>
      <c r="I173" s="22"/>
      <c r="J173" s="21"/>
      <c r="K173" s="21"/>
      <c r="L173" s="21"/>
    </row>
    <row r="174" spans="1:12" ht="14.45">
      <c r="A174" s="21"/>
      <c r="B174" s="32"/>
      <c r="C174" s="21"/>
      <c r="D174" s="21"/>
      <c r="E174" s="21"/>
      <c r="F174" s="22"/>
      <c r="G174" s="21"/>
      <c r="H174" s="21"/>
      <c r="I174" s="22"/>
      <c r="J174" s="21"/>
      <c r="K174" s="21"/>
      <c r="L174" s="21"/>
    </row>
    <row r="175" spans="1:12" ht="14.45">
      <c r="A175" s="21"/>
      <c r="B175" s="32"/>
      <c r="C175" s="21"/>
      <c r="D175" s="21"/>
      <c r="E175" s="21"/>
      <c r="F175" s="22"/>
      <c r="G175" s="21"/>
      <c r="H175" s="21"/>
      <c r="I175" s="22"/>
      <c r="J175" s="21"/>
      <c r="K175" s="21"/>
      <c r="L175" s="21"/>
    </row>
    <row r="176" spans="1:12" ht="14.45">
      <c r="A176" s="21"/>
      <c r="B176" s="32"/>
      <c r="C176" s="21"/>
      <c r="D176" s="21"/>
      <c r="E176" s="21"/>
      <c r="F176" s="22"/>
      <c r="G176" s="21"/>
      <c r="H176" s="21"/>
      <c r="I176" s="22"/>
      <c r="J176" s="21"/>
      <c r="K176" s="21"/>
      <c r="L176" s="21"/>
    </row>
    <row r="177" spans="1:12" ht="14.45">
      <c r="A177" s="21"/>
      <c r="B177" s="32"/>
      <c r="C177" s="21"/>
      <c r="D177" s="21"/>
      <c r="E177" s="21"/>
      <c r="F177" s="22"/>
      <c r="G177" s="21"/>
      <c r="H177" s="21"/>
      <c r="I177" s="22"/>
      <c r="J177" s="21"/>
      <c r="K177" s="21"/>
      <c r="L177" s="21"/>
    </row>
    <row r="178" spans="1:12" ht="14.45">
      <c r="A178" s="21"/>
      <c r="B178" s="32"/>
      <c r="C178" s="21"/>
      <c r="D178" s="21"/>
      <c r="E178" s="21"/>
      <c r="F178" s="22"/>
      <c r="G178" s="21"/>
      <c r="H178" s="21"/>
      <c r="I178" s="22"/>
      <c r="J178" s="21"/>
      <c r="K178" s="21"/>
      <c r="L178" s="21"/>
    </row>
    <row r="179" spans="1:12" ht="14.45">
      <c r="A179" s="21"/>
      <c r="B179" s="32"/>
      <c r="C179" s="21"/>
      <c r="D179" s="21"/>
      <c r="E179" s="21"/>
      <c r="F179" s="22"/>
      <c r="G179" s="21"/>
      <c r="H179" s="21"/>
      <c r="I179" s="22"/>
      <c r="J179" s="21"/>
      <c r="K179" s="21"/>
      <c r="L179" s="21"/>
    </row>
    <row r="180" spans="1:12" ht="14.45">
      <c r="A180" s="21"/>
      <c r="B180" s="32"/>
      <c r="C180" s="21"/>
      <c r="D180" s="21"/>
      <c r="E180" s="21"/>
      <c r="F180" s="22"/>
      <c r="G180" s="21"/>
      <c r="H180" s="21"/>
      <c r="I180" s="22"/>
      <c r="J180" s="21"/>
      <c r="K180" s="21"/>
      <c r="L180" s="21"/>
    </row>
    <row r="181" spans="1:12" ht="14.45">
      <c r="A181" s="21"/>
      <c r="B181" s="32"/>
      <c r="C181" s="21"/>
      <c r="D181" s="21"/>
      <c r="E181" s="21"/>
      <c r="F181" s="22"/>
      <c r="G181" s="21"/>
      <c r="H181" s="21"/>
      <c r="I181" s="22"/>
      <c r="J181" s="21"/>
      <c r="K181" s="21"/>
      <c r="L181" s="21"/>
    </row>
    <row r="182" spans="1:12" ht="14.45">
      <c r="A182" s="21"/>
      <c r="B182" s="32"/>
      <c r="C182" s="21"/>
      <c r="D182" s="21"/>
      <c r="E182" s="21"/>
      <c r="F182" s="22"/>
      <c r="G182" s="21"/>
      <c r="H182" s="21"/>
      <c r="I182" s="22"/>
      <c r="J182" s="21"/>
      <c r="K182" s="21"/>
      <c r="L182" s="21"/>
    </row>
    <row r="183" spans="1:12" ht="14.45">
      <c r="A183" s="21"/>
      <c r="B183" s="32"/>
      <c r="C183" s="21"/>
      <c r="D183" s="21"/>
      <c r="E183" s="21"/>
      <c r="F183" s="22"/>
      <c r="G183" s="21"/>
      <c r="H183" s="21"/>
      <c r="I183" s="22"/>
      <c r="J183" s="21"/>
      <c r="K183" s="21"/>
      <c r="L183" s="21"/>
    </row>
    <row r="184" spans="1:12" ht="14.45">
      <c r="A184" s="21"/>
      <c r="B184" s="32"/>
      <c r="C184" s="21"/>
      <c r="D184" s="21"/>
      <c r="E184" s="21"/>
      <c r="F184" s="22"/>
      <c r="G184" s="21"/>
      <c r="H184" s="21"/>
      <c r="I184" s="22"/>
      <c r="J184" s="21"/>
      <c r="K184" s="21"/>
      <c r="L184" s="21"/>
    </row>
    <row r="185" spans="1:12" ht="14.45">
      <c r="A185" s="21"/>
      <c r="B185" s="32"/>
      <c r="C185" s="21"/>
      <c r="D185" s="21"/>
      <c r="E185" s="21"/>
      <c r="F185" s="22"/>
      <c r="G185" s="21"/>
      <c r="H185" s="21"/>
      <c r="I185" s="22"/>
      <c r="J185" s="21"/>
      <c r="K185" s="21"/>
      <c r="L185" s="21"/>
    </row>
    <row r="186" spans="1:12" ht="14.45">
      <c r="A186" s="21"/>
      <c r="B186" s="32"/>
      <c r="C186" s="21"/>
      <c r="D186" s="21"/>
      <c r="E186" s="21"/>
      <c r="F186" s="22"/>
      <c r="G186" s="21"/>
      <c r="H186" s="21"/>
      <c r="I186" s="22"/>
      <c r="J186" s="21"/>
      <c r="K186" s="21"/>
      <c r="L186" s="21"/>
    </row>
    <row r="187" spans="1:12" ht="14.45">
      <c r="A187" s="21"/>
      <c r="B187" s="32"/>
      <c r="C187" s="21"/>
      <c r="D187" s="21"/>
      <c r="E187" s="21"/>
      <c r="F187" s="22"/>
      <c r="G187" s="21"/>
      <c r="H187" s="21"/>
      <c r="I187" s="22"/>
      <c r="J187" s="21"/>
      <c r="K187" s="21"/>
      <c r="L187" s="21"/>
    </row>
    <row r="188" spans="1:12" ht="14.45">
      <c r="A188" s="21"/>
      <c r="B188" s="32"/>
      <c r="C188" s="21"/>
      <c r="D188" s="21"/>
      <c r="E188" s="21"/>
      <c r="F188" s="22"/>
      <c r="G188" s="21"/>
      <c r="H188" s="21"/>
      <c r="I188" s="22"/>
      <c r="J188" s="21"/>
      <c r="K188" s="21"/>
      <c r="L188" s="21"/>
    </row>
    <row r="189" spans="1:12" ht="14.45">
      <c r="A189" s="21"/>
      <c r="B189" s="32"/>
      <c r="C189" s="21"/>
      <c r="D189" s="21"/>
      <c r="E189" s="21"/>
      <c r="F189" s="22"/>
      <c r="G189" s="21"/>
      <c r="H189" s="21"/>
      <c r="I189" s="22"/>
      <c r="J189" s="21"/>
      <c r="K189" s="21"/>
      <c r="L189" s="21"/>
    </row>
    <row r="190" spans="1:12" ht="14.45">
      <c r="A190" s="21"/>
      <c r="B190" s="32"/>
      <c r="C190" s="21"/>
      <c r="D190" s="21"/>
      <c r="E190" s="21"/>
      <c r="F190" s="22"/>
      <c r="G190" s="21"/>
      <c r="H190" s="21"/>
      <c r="I190" s="22"/>
      <c r="J190" s="21"/>
      <c r="K190" s="21"/>
      <c r="L190" s="21"/>
    </row>
    <row r="191" spans="1:12" ht="14.45">
      <c r="A191" s="21"/>
      <c r="B191" s="32"/>
      <c r="C191" s="21"/>
      <c r="D191" s="21"/>
      <c r="E191" s="21"/>
      <c r="F191" s="22"/>
      <c r="G191" s="21"/>
      <c r="H191" s="21"/>
      <c r="I191" s="22"/>
      <c r="J191" s="21"/>
      <c r="K191" s="21"/>
      <c r="L191" s="21"/>
    </row>
    <row r="192" spans="1:12" ht="14.45">
      <c r="A192" s="21"/>
      <c r="B192" s="32"/>
      <c r="C192" s="21"/>
      <c r="D192" s="21"/>
      <c r="E192" s="21"/>
      <c r="F192" s="22"/>
      <c r="G192" s="21"/>
      <c r="H192" s="21"/>
      <c r="I192" s="22"/>
      <c r="J192" s="21"/>
      <c r="K192" s="21"/>
      <c r="L192" s="21"/>
    </row>
    <row r="193" spans="1:12" ht="14.45">
      <c r="A193" s="21"/>
      <c r="B193" s="32"/>
      <c r="C193" s="21"/>
      <c r="D193" s="21"/>
      <c r="E193" s="21"/>
      <c r="F193" s="22"/>
      <c r="G193" s="21"/>
      <c r="H193" s="21"/>
      <c r="I193" s="22"/>
      <c r="J193" s="21"/>
      <c r="K193" s="21"/>
      <c r="L193" s="21"/>
    </row>
    <row r="194" spans="1:12" ht="14.45">
      <c r="A194" s="21"/>
      <c r="B194" s="32"/>
      <c r="C194" s="21"/>
      <c r="D194" s="21"/>
      <c r="E194" s="21"/>
      <c r="F194" s="22"/>
      <c r="G194" s="21"/>
      <c r="H194" s="21"/>
      <c r="I194" s="22"/>
      <c r="J194" s="21"/>
      <c r="K194" s="21"/>
      <c r="L194" s="21"/>
    </row>
    <row r="195" spans="1:12" ht="14.45">
      <c r="A195" s="21"/>
      <c r="B195" s="32"/>
      <c r="C195" s="21"/>
      <c r="D195" s="21"/>
      <c r="E195" s="21"/>
      <c r="F195" s="22"/>
      <c r="G195" s="21"/>
      <c r="H195" s="21"/>
      <c r="I195" s="22"/>
      <c r="J195" s="21"/>
      <c r="K195" s="21"/>
      <c r="L195" s="21"/>
    </row>
    <row r="196" spans="1:12" ht="14.45">
      <c r="A196" s="21"/>
      <c r="B196" s="32"/>
      <c r="C196" s="21"/>
      <c r="D196" s="21"/>
      <c r="E196" s="21"/>
      <c r="F196" s="22"/>
      <c r="G196" s="21"/>
      <c r="H196" s="21"/>
      <c r="I196" s="22"/>
      <c r="J196" s="21"/>
      <c r="K196" s="21"/>
      <c r="L196" s="21"/>
    </row>
    <row r="197" spans="1:12" ht="14.45">
      <c r="A197" s="21"/>
      <c r="B197" s="32"/>
      <c r="C197" s="21"/>
      <c r="D197" s="21"/>
      <c r="E197" s="21"/>
      <c r="F197" s="22"/>
      <c r="G197" s="21"/>
      <c r="H197" s="21"/>
      <c r="I197" s="22"/>
      <c r="J197" s="21"/>
      <c r="K197" s="21"/>
      <c r="L197" s="21"/>
    </row>
    <row r="198" spans="1:12" ht="14.45">
      <c r="A198" s="21"/>
      <c r="B198" s="32"/>
      <c r="C198" s="21"/>
      <c r="D198" s="21"/>
      <c r="E198" s="21"/>
      <c r="F198" s="22"/>
      <c r="G198" s="21"/>
      <c r="H198" s="21"/>
      <c r="I198" s="22"/>
      <c r="J198" s="21"/>
      <c r="K198" s="21"/>
      <c r="L198" s="21"/>
    </row>
    <row r="199" spans="1:12" ht="14.45">
      <c r="A199" s="21"/>
      <c r="B199" s="32"/>
      <c r="C199" s="21"/>
      <c r="D199" s="21"/>
      <c r="E199" s="21"/>
      <c r="F199" s="22"/>
      <c r="G199" s="21"/>
      <c r="H199" s="21"/>
      <c r="I199" s="22"/>
      <c r="J199" s="21"/>
      <c r="K199" s="21"/>
      <c r="L199" s="21"/>
    </row>
    <row r="200" spans="1:12" ht="14.45">
      <c r="A200" s="21"/>
      <c r="B200" s="32"/>
      <c r="C200" s="21"/>
      <c r="D200" s="21"/>
      <c r="E200" s="21"/>
      <c r="F200" s="22"/>
      <c r="G200" s="21"/>
      <c r="H200" s="21"/>
      <c r="I200" s="22"/>
      <c r="J200" s="21"/>
      <c r="K200" s="21"/>
      <c r="L200" s="21"/>
    </row>
    <row r="201" spans="1:12" ht="14.45">
      <c r="A201" s="21"/>
      <c r="B201" s="32"/>
      <c r="C201" s="21"/>
      <c r="D201" s="21"/>
      <c r="E201" s="21"/>
      <c r="F201" s="22"/>
      <c r="G201" s="21"/>
      <c r="H201" s="21"/>
      <c r="I201" s="22"/>
      <c r="J201" s="21"/>
      <c r="K201" s="21"/>
      <c r="L201" s="21"/>
    </row>
    <row r="202" spans="1:12" ht="14.45">
      <c r="A202" s="21"/>
      <c r="B202" s="32"/>
      <c r="C202" s="21"/>
      <c r="D202" s="21"/>
      <c r="E202" s="21"/>
      <c r="F202" s="22"/>
      <c r="G202" s="21"/>
      <c r="H202" s="21"/>
      <c r="I202" s="22"/>
      <c r="J202" s="21"/>
      <c r="K202" s="21"/>
      <c r="L202" s="21"/>
    </row>
    <row r="203" spans="1:12" ht="14.45">
      <c r="A203" s="21"/>
      <c r="B203" s="32"/>
      <c r="C203" s="21"/>
      <c r="D203" s="21"/>
      <c r="E203" s="21"/>
      <c r="F203" s="22"/>
      <c r="G203" s="21"/>
      <c r="H203" s="21"/>
      <c r="I203" s="22"/>
      <c r="J203" s="21"/>
      <c r="K203" s="21"/>
      <c r="L203" s="21"/>
    </row>
    <row r="204" spans="1:12" ht="14.45">
      <c r="A204" s="21"/>
      <c r="B204" s="32"/>
      <c r="C204" s="21"/>
      <c r="D204" s="21"/>
      <c r="E204" s="21"/>
      <c r="F204" s="22"/>
      <c r="G204" s="21"/>
      <c r="H204" s="21"/>
      <c r="I204" s="22"/>
      <c r="J204" s="21"/>
      <c r="K204" s="21"/>
      <c r="L204" s="21"/>
    </row>
    <row r="205" spans="1:12" ht="14.45">
      <c r="A205" s="21"/>
      <c r="B205" s="32"/>
      <c r="C205" s="21"/>
      <c r="D205" s="21"/>
      <c r="E205" s="21"/>
      <c r="F205" s="22"/>
      <c r="G205" s="21"/>
      <c r="H205" s="21"/>
      <c r="I205" s="22"/>
      <c r="J205" s="21"/>
      <c r="K205" s="21"/>
      <c r="L205" s="21"/>
    </row>
    <row r="206" spans="1:12" ht="14.45">
      <c r="A206" s="21"/>
      <c r="B206" s="32"/>
      <c r="C206" s="21"/>
      <c r="D206" s="21"/>
      <c r="E206" s="21"/>
      <c r="F206" s="22"/>
      <c r="G206" s="21"/>
      <c r="H206" s="21"/>
      <c r="I206" s="22"/>
      <c r="J206" s="21"/>
      <c r="K206" s="21"/>
      <c r="L206" s="21"/>
    </row>
    <row r="207" spans="1:12" ht="14.45">
      <c r="A207" s="21"/>
      <c r="B207" s="32"/>
      <c r="C207" s="21"/>
      <c r="D207" s="21"/>
      <c r="E207" s="21"/>
      <c r="F207" s="22"/>
      <c r="G207" s="21"/>
      <c r="H207" s="21"/>
      <c r="I207" s="22"/>
      <c r="J207" s="21"/>
      <c r="K207" s="21"/>
      <c r="L207" s="21"/>
    </row>
    <row r="208" spans="1:12" ht="14.45">
      <c r="A208" s="21"/>
      <c r="B208" s="32"/>
      <c r="C208" s="21"/>
      <c r="D208" s="21"/>
      <c r="E208" s="21"/>
      <c r="F208" s="22"/>
      <c r="G208" s="21"/>
      <c r="H208" s="21"/>
      <c r="I208" s="22"/>
      <c r="J208" s="21"/>
      <c r="K208" s="21"/>
      <c r="L208" s="21"/>
    </row>
    <row r="209" spans="1:12" ht="14.45">
      <c r="A209" s="21"/>
      <c r="B209" s="32"/>
      <c r="C209" s="21"/>
      <c r="D209" s="21"/>
      <c r="E209" s="21"/>
      <c r="F209" s="22"/>
      <c r="G209" s="21"/>
      <c r="H209" s="21"/>
      <c r="I209" s="22"/>
      <c r="J209" s="21"/>
      <c r="K209" s="21"/>
      <c r="L209" s="21"/>
    </row>
    <row r="210" spans="1:12" ht="14.45">
      <c r="A210" s="21"/>
      <c r="B210" s="32"/>
      <c r="C210" s="21"/>
      <c r="D210" s="21"/>
      <c r="E210" s="21"/>
      <c r="F210" s="22"/>
      <c r="G210" s="21"/>
      <c r="H210" s="21"/>
      <c r="I210" s="22"/>
      <c r="J210" s="21"/>
      <c r="K210" s="21"/>
      <c r="L210" s="21"/>
    </row>
    <row r="211" spans="1:12" ht="14.45">
      <c r="A211" s="21"/>
      <c r="B211" s="32"/>
      <c r="C211" s="21"/>
      <c r="D211" s="21"/>
      <c r="E211" s="21"/>
      <c r="F211" s="22"/>
      <c r="G211" s="21"/>
      <c r="H211" s="21"/>
      <c r="I211" s="22"/>
      <c r="J211" s="21"/>
      <c r="K211" s="21"/>
      <c r="L211" s="21"/>
    </row>
    <row r="212" spans="1:12" ht="14.45">
      <c r="A212" s="21"/>
      <c r="B212" s="32"/>
      <c r="C212" s="21"/>
      <c r="D212" s="21"/>
      <c r="E212" s="21"/>
      <c r="F212" s="22"/>
      <c r="G212" s="21"/>
      <c r="H212" s="21"/>
      <c r="I212" s="22"/>
      <c r="J212" s="21"/>
      <c r="K212" s="21"/>
      <c r="L212" s="21"/>
    </row>
    <row r="213" spans="1:12" ht="14.45">
      <c r="A213" s="21"/>
      <c r="B213" s="32"/>
      <c r="C213" s="21"/>
      <c r="D213" s="21"/>
      <c r="E213" s="21"/>
      <c r="F213" s="22"/>
      <c r="G213" s="21"/>
      <c r="H213" s="21"/>
      <c r="I213" s="22"/>
      <c r="J213" s="21"/>
      <c r="K213" s="21"/>
      <c r="L213" s="21"/>
    </row>
    <row r="214" spans="1:12" ht="14.45">
      <c r="A214" s="21"/>
      <c r="B214" s="32"/>
      <c r="C214" s="21"/>
      <c r="D214" s="21"/>
      <c r="E214" s="21"/>
      <c r="F214" s="22"/>
      <c r="G214" s="21"/>
      <c r="H214" s="21"/>
      <c r="I214" s="22"/>
      <c r="J214" s="21"/>
      <c r="K214" s="21"/>
      <c r="L214" s="21"/>
    </row>
    <row r="215" spans="1:12" ht="14.45">
      <c r="A215" s="21"/>
      <c r="B215" s="32"/>
      <c r="C215" s="21"/>
      <c r="D215" s="21"/>
      <c r="E215" s="21"/>
      <c r="F215" s="22"/>
      <c r="G215" s="21"/>
      <c r="H215" s="21"/>
      <c r="I215" s="22"/>
      <c r="J215" s="21"/>
      <c r="K215" s="21"/>
      <c r="L215" s="21"/>
    </row>
    <row r="216" spans="1:12" ht="14.45">
      <c r="A216" s="21"/>
      <c r="B216" s="32"/>
      <c r="C216" s="21"/>
      <c r="D216" s="21"/>
      <c r="E216" s="21"/>
      <c r="F216" s="22"/>
      <c r="G216" s="21"/>
      <c r="H216" s="21"/>
      <c r="I216" s="22"/>
      <c r="J216" s="21"/>
      <c r="K216" s="21"/>
      <c r="L216" s="21"/>
    </row>
    <row r="217" spans="1:12" ht="14.45">
      <c r="A217" s="21"/>
      <c r="B217" s="32"/>
      <c r="C217" s="21"/>
      <c r="D217" s="21"/>
      <c r="E217" s="21"/>
      <c r="F217" s="22"/>
      <c r="G217" s="21"/>
      <c r="H217" s="21"/>
      <c r="I217" s="22"/>
      <c r="J217" s="21"/>
      <c r="K217" s="21"/>
      <c r="L217" s="21"/>
    </row>
    <row r="218" spans="1:12" ht="14.45">
      <c r="A218" s="21"/>
      <c r="B218" s="32"/>
      <c r="C218" s="21"/>
      <c r="D218" s="21"/>
      <c r="E218" s="21"/>
      <c r="F218" s="22"/>
      <c r="G218" s="21"/>
      <c r="H218" s="21"/>
      <c r="I218" s="22"/>
      <c r="J218" s="21"/>
      <c r="K218" s="21"/>
      <c r="L218" s="21"/>
    </row>
    <row r="219" spans="1:12" ht="14.45">
      <c r="A219" s="21"/>
      <c r="B219" s="32"/>
      <c r="C219" s="21"/>
      <c r="D219" s="21"/>
      <c r="E219" s="21"/>
      <c r="F219" s="22"/>
      <c r="G219" s="21"/>
      <c r="H219" s="21"/>
      <c r="I219" s="22"/>
      <c r="J219" s="21"/>
      <c r="K219" s="21"/>
      <c r="L219" s="21"/>
    </row>
    <row r="220" spans="1:12" ht="14.45">
      <c r="A220" s="21"/>
      <c r="B220" s="32"/>
      <c r="C220" s="21"/>
      <c r="D220" s="21"/>
      <c r="E220" s="21"/>
      <c r="F220" s="22"/>
      <c r="G220" s="21"/>
      <c r="H220" s="21"/>
      <c r="I220" s="22"/>
      <c r="J220" s="21"/>
      <c r="K220" s="21"/>
      <c r="L220" s="21"/>
    </row>
    <row r="221" spans="1:12" ht="14.45">
      <c r="A221" s="21"/>
      <c r="B221" s="32"/>
      <c r="C221" s="21"/>
      <c r="D221" s="21"/>
      <c r="E221" s="21"/>
      <c r="F221" s="22"/>
      <c r="G221" s="21"/>
      <c r="H221" s="21"/>
      <c r="I221" s="22"/>
      <c r="J221" s="21"/>
      <c r="K221" s="21"/>
      <c r="L221" s="21"/>
    </row>
    <row r="222" spans="1:12" ht="14.45">
      <c r="A222" s="21"/>
      <c r="B222" s="32"/>
      <c r="C222" s="21"/>
      <c r="D222" s="21"/>
      <c r="E222" s="21"/>
      <c r="F222" s="22"/>
      <c r="G222" s="21"/>
      <c r="H222" s="21"/>
      <c r="I222" s="22"/>
      <c r="J222" s="21"/>
      <c r="K222" s="21"/>
      <c r="L222" s="21"/>
    </row>
    <row r="223" spans="1:12" ht="14.45">
      <c r="A223" s="21"/>
      <c r="B223" s="32"/>
      <c r="C223" s="21"/>
      <c r="D223" s="21"/>
      <c r="E223" s="21"/>
      <c r="F223" s="22"/>
      <c r="G223" s="21"/>
      <c r="H223" s="21"/>
      <c r="I223" s="22"/>
      <c r="J223" s="21"/>
      <c r="K223" s="21"/>
      <c r="L223" s="21"/>
    </row>
    <row r="224" spans="1:12" ht="14.45">
      <c r="A224" s="21"/>
      <c r="B224" s="32"/>
      <c r="C224" s="21"/>
      <c r="D224" s="21"/>
      <c r="E224" s="21"/>
      <c r="F224" s="22"/>
      <c r="G224" s="21"/>
      <c r="H224" s="21"/>
      <c r="I224" s="22"/>
      <c r="J224" s="21"/>
      <c r="K224" s="21"/>
      <c r="L224" s="21"/>
    </row>
    <row r="225" spans="1:12" ht="14.45">
      <c r="A225" s="21"/>
      <c r="B225" s="32"/>
      <c r="C225" s="21"/>
      <c r="D225" s="21"/>
      <c r="E225" s="21"/>
      <c r="F225" s="22"/>
      <c r="G225" s="21"/>
      <c r="H225" s="21"/>
      <c r="I225" s="22"/>
      <c r="J225" s="21"/>
      <c r="K225" s="21"/>
      <c r="L225" s="21"/>
    </row>
    <row r="226" spans="1:12" ht="14.45">
      <c r="A226" s="21"/>
      <c r="B226" s="32"/>
      <c r="C226" s="21"/>
      <c r="D226" s="21"/>
      <c r="E226" s="21"/>
      <c r="F226" s="22"/>
      <c r="G226" s="21"/>
      <c r="H226" s="21"/>
      <c r="I226" s="22"/>
      <c r="J226" s="21"/>
      <c r="K226" s="21"/>
      <c r="L226" s="21"/>
    </row>
    <row r="227" spans="1:12" ht="14.45">
      <c r="A227" s="21"/>
      <c r="B227" s="32"/>
      <c r="C227" s="21"/>
      <c r="D227" s="21"/>
      <c r="E227" s="21"/>
      <c r="F227" s="22"/>
      <c r="G227" s="21"/>
      <c r="H227" s="21"/>
      <c r="I227" s="22"/>
      <c r="J227" s="21"/>
      <c r="K227" s="21"/>
      <c r="L227" s="21"/>
    </row>
    <row r="228" spans="1:12" ht="14.45">
      <c r="A228" s="21"/>
      <c r="B228" s="32"/>
      <c r="C228" s="21"/>
      <c r="D228" s="21"/>
      <c r="E228" s="21"/>
      <c r="F228" s="22"/>
      <c r="G228" s="21"/>
      <c r="H228" s="21"/>
      <c r="I228" s="22"/>
      <c r="J228" s="21"/>
      <c r="K228" s="21"/>
      <c r="L228" s="21"/>
    </row>
    <row r="229" spans="1:12" ht="14.45">
      <c r="A229" s="21"/>
      <c r="B229" s="32"/>
      <c r="C229" s="21"/>
      <c r="D229" s="21"/>
      <c r="E229" s="21"/>
      <c r="F229" s="22"/>
      <c r="G229" s="21"/>
      <c r="H229" s="21"/>
      <c r="I229" s="22"/>
      <c r="J229" s="21"/>
      <c r="K229" s="21"/>
      <c r="L229" s="21"/>
    </row>
    <row r="230" spans="1:12" ht="14.45">
      <c r="A230" s="21"/>
      <c r="B230" s="32"/>
      <c r="C230" s="21"/>
      <c r="D230" s="21"/>
      <c r="E230" s="21"/>
      <c r="F230" s="22"/>
      <c r="G230" s="21"/>
      <c r="H230" s="21"/>
      <c r="I230" s="22"/>
      <c r="J230" s="21"/>
      <c r="K230" s="21"/>
      <c r="L230" s="21"/>
    </row>
    <row r="231" spans="1:12" ht="14.45">
      <c r="A231" s="21"/>
      <c r="B231" s="32"/>
      <c r="C231" s="21"/>
      <c r="D231" s="21"/>
      <c r="E231" s="21"/>
      <c r="F231" s="22"/>
      <c r="G231" s="21"/>
      <c r="H231" s="21"/>
      <c r="I231" s="22"/>
      <c r="J231" s="21"/>
      <c r="K231" s="21"/>
      <c r="L231" s="21"/>
    </row>
    <row r="232" spans="1:12" ht="14.45">
      <c r="A232" s="21"/>
      <c r="B232" s="32"/>
      <c r="C232" s="21"/>
      <c r="D232" s="21"/>
      <c r="E232" s="21"/>
      <c r="F232" s="22"/>
      <c r="G232" s="21"/>
      <c r="H232" s="21"/>
      <c r="I232" s="22"/>
      <c r="J232" s="21"/>
      <c r="K232" s="21"/>
      <c r="L232" s="21"/>
    </row>
    <row r="233" spans="1:12" ht="14.45">
      <c r="A233" s="21"/>
      <c r="B233" s="32"/>
      <c r="C233" s="21"/>
      <c r="D233" s="21"/>
      <c r="E233" s="21"/>
      <c r="F233" s="22"/>
      <c r="G233" s="21"/>
      <c r="H233" s="21"/>
      <c r="I233" s="22"/>
      <c r="J233" s="21"/>
      <c r="K233" s="21"/>
      <c r="L233" s="21"/>
    </row>
    <row r="234" spans="1:12" ht="14.45">
      <c r="A234" s="21"/>
      <c r="B234" s="32"/>
      <c r="C234" s="21"/>
      <c r="D234" s="21"/>
      <c r="E234" s="21"/>
      <c r="F234" s="22"/>
      <c r="G234" s="21"/>
      <c r="H234" s="21"/>
      <c r="I234" s="22"/>
      <c r="J234" s="21"/>
      <c r="K234" s="21"/>
      <c r="L234" s="21"/>
    </row>
    <row r="235" spans="1:12" ht="14.45">
      <c r="A235" s="21"/>
      <c r="B235" s="32"/>
      <c r="C235" s="21"/>
      <c r="D235" s="21"/>
      <c r="E235" s="21"/>
      <c r="F235" s="22"/>
      <c r="G235" s="21"/>
      <c r="H235" s="21"/>
      <c r="I235" s="22"/>
      <c r="J235" s="21"/>
      <c r="K235" s="21"/>
      <c r="L235" s="21"/>
    </row>
    <row r="236" spans="1:12" ht="14.45">
      <c r="A236" s="21"/>
      <c r="B236" s="32"/>
      <c r="C236" s="21"/>
      <c r="D236" s="21"/>
      <c r="E236" s="21"/>
      <c r="F236" s="22"/>
      <c r="G236" s="21"/>
      <c r="H236" s="21"/>
      <c r="I236" s="22"/>
      <c r="J236" s="21"/>
      <c r="K236" s="21"/>
      <c r="L236" s="21"/>
    </row>
    <row r="237" spans="1:12" ht="14.45">
      <c r="A237" s="21"/>
      <c r="B237" s="32"/>
      <c r="C237" s="21"/>
      <c r="D237" s="21"/>
      <c r="E237" s="21"/>
      <c r="F237" s="22"/>
      <c r="G237" s="21"/>
      <c r="H237" s="21"/>
      <c r="I237" s="22"/>
      <c r="J237" s="21"/>
      <c r="K237" s="21"/>
      <c r="L237" s="21"/>
    </row>
    <row r="238" spans="1:12" ht="14.45">
      <c r="A238" s="21"/>
      <c r="B238" s="32"/>
      <c r="C238" s="21"/>
      <c r="D238" s="21"/>
      <c r="E238" s="21"/>
      <c r="F238" s="22"/>
      <c r="G238" s="21"/>
      <c r="H238" s="21"/>
      <c r="I238" s="22"/>
      <c r="J238" s="21"/>
      <c r="K238" s="21"/>
      <c r="L238" s="21"/>
    </row>
    <row r="239" spans="1:12" ht="14.45">
      <c r="A239" s="21"/>
      <c r="B239" s="32"/>
      <c r="C239" s="21"/>
      <c r="D239" s="21"/>
      <c r="E239" s="21"/>
      <c r="F239" s="22"/>
      <c r="G239" s="21"/>
      <c r="H239" s="21"/>
      <c r="I239" s="22"/>
      <c r="J239" s="21"/>
      <c r="K239" s="21"/>
      <c r="L239" s="21"/>
    </row>
    <row r="240" spans="1:12" ht="14.45">
      <c r="A240" s="21"/>
      <c r="B240" s="32"/>
      <c r="C240" s="21"/>
      <c r="D240" s="21"/>
      <c r="E240" s="21"/>
      <c r="F240" s="22"/>
      <c r="G240" s="21"/>
      <c r="H240" s="21"/>
      <c r="I240" s="22"/>
      <c r="J240" s="21"/>
      <c r="K240" s="21"/>
      <c r="L240" s="21"/>
    </row>
    <row r="241" spans="1:12" ht="14.45">
      <c r="A241" s="21"/>
      <c r="B241" s="32"/>
      <c r="C241" s="21"/>
      <c r="D241" s="21"/>
      <c r="E241" s="21"/>
      <c r="F241" s="22"/>
      <c r="G241" s="21"/>
      <c r="H241" s="21"/>
      <c r="I241" s="22"/>
      <c r="J241" s="21"/>
      <c r="K241" s="21"/>
      <c r="L241" s="21"/>
    </row>
    <row r="242" spans="1:12" ht="14.45">
      <c r="A242" s="21"/>
      <c r="B242" s="32"/>
      <c r="C242" s="21"/>
      <c r="D242" s="21"/>
      <c r="E242" s="21"/>
      <c r="F242" s="22"/>
      <c r="G242" s="21"/>
      <c r="H242" s="21"/>
      <c r="I242" s="22"/>
      <c r="J242" s="21"/>
      <c r="K242" s="21"/>
      <c r="L242" s="21"/>
    </row>
    <row r="243" spans="1:12" ht="14.45">
      <c r="A243" s="21"/>
      <c r="B243" s="32"/>
      <c r="C243" s="21"/>
      <c r="D243" s="21"/>
      <c r="E243" s="21"/>
      <c r="F243" s="22"/>
      <c r="G243" s="21"/>
      <c r="H243" s="21"/>
      <c r="I243" s="22"/>
      <c r="J243" s="21"/>
      <c r="K243" s="21"/>
      <c r="L243" s="21"/>
    </row>
    <row r="244" spans="1:12" ht="14.45">
      <c r="A244" s="21"/>
      <c r="B244" s="32"/>
      <c r="C244" s="21"/>
      <c r="D244" s="21"/>
      <c r="E244" s="21"/>
      <c r="F244" s="22"/>
      <c r="G244" s="21"/>
      <c r="H244" s="21"/>
      <c r="I244" s="22"/>
      <c r="J244" s="21"/>
      <c r="K244" s="21"/>
      <c r="L244" s="21"/>
    </row>
    <row r="245" spans="1:12" ht="14.45">
      <c r="A245" s="21"/>
      <c r="B245" s="32"/>
      <c r="C245" s="21"/>
      <c r="D245" s="21"/>
      <c r="E245" s="21"/>
      <c r="F245" s="22"/>
      <c r="G245" s="21"/>
      <c r="H245" s="21"/>
      <c r="I245" s="22"/>
      <c r="J245" s="21"/>
      <c r="K245" s="21"/>
      <c r="L245" s="21"/>
    </row>
    <row r="246" spans="1:12" ht="14.45">
      <c r="A246" s="21"/>
      <c r="B246" s="32"/>
      <c r="C246" s="21"/>
      <c r="D246" s="21"/>
      <c r="E246" s="21"/>
      <c r="F246" s="22"/>
      <c r="G246" s="21"/>
      <c r="H246" s="21"/>
      <c r="I246" s="22"/>
      <c r="J246" s="21"/>
      <c r="K246" s="21"/>
      <c r="L246" s="21"/>
    </row>
    <row r="247" spans="1:12" ht="14.45">
      <c r="A247" s="21"/>
      <c r="B247" s="32"/>
      <c r="C247" s="21"/>
      <c r="D247" s="21"/>
      <c r="E247" s="21"/>
      <c r="F247" s="22"/>
      <c r="G247" s="21"/>
      <c r="H247" s="21"/>
      <c r="I247" s="22"/>
      <c r="J247" s="21"/>
      <c r="K247" s="21"/>
      <c r="L247" s="21"/>
    </row>
    <row r="248" spans="1:12" ht="14.45">
      <c r="A248" s="21"/>
      <c r="B248" s="32"/>
      <c r="C248" s="21"/>
      <c r="D248" s="21"/>
      <c r="E248" s="21"/>
      <c r="F248" s="22"/>
      <c r="G248" s="21"/>
      <c r="H248" s="21"/>
      <c r="I248" s="22"/>
      <c r="J248" s="21"/>
      <c r="K248" s="21"/>
      <c r="L248" s="21"/>
    </row>
    <row r="249" spans="1:12" ht="14.45">
      <c r="A249" s="21"/>
      <c r="B249" s="32"/>
      <c r="C249" s="21"/>
      <c r="D249" s="21"/>
      <c r="E249" s="21"/>
      <c r="F249" s="22"/>
      <c r="G249" s="21"/>
      <c r="H249" s="21"/>
      <c r="I249" s="22"/>
      <c r="J249" s="21"/>
      <c r="K249" s="21"/>
      <c r="L249" s="21"/>
    </row>
    <row r="250" spans="1:12" ht="14.45">
      <c r="A250" s="21"/>
      <c r="B250" s="32"/>
      <c r="C250" s="21"/>
      <c r="D250" s="21"/>
      <c r="E250" s="21"/>
      <c r="F250" s="22"/>
      <c r="G250" s="21"/>
      <c r="H250" s="21"/>
      <c r="I250" s="22"/>
      <c r="J250" s="21"/>
      <c r="K250" s="21"/>
      <c r="L250" s="21"/>
    </row>
    <row r="251" spans="1:12" ht="14.45">
      <c r="A251" s="21"/>
      <c r="B251" s="32"/>
      <c r="C251" s="21"/>
      <c r="D251" s="21"/>
      <c r="E251" s="21"/>
      <c r="F251" s="22"/>
      <c r="G251" s="21"/>
      <c r="H251" s="21"/>
      <c r="I251" s="22"/>
      <c r="J251" s="21"/>
      <c r="K251" s="21"/>
      <c r="L251" s="21"/>
    </row>
    <row r="252" spans="1:12" ht="14.45">
      <c r="A252" s="21"/>
      <c r="B252" s="32"/>
      <c r="C252" s="21"/>
      <c r="D252" s="21"/>
      <c r="E252" s="21"/>
      <c r="F252" s="22"/>
      <c r="G252" s="21"/>
      <c r="H252" s="21"/>
      <c r="I252" s="22"/>
      <c r="J252" s="21"/>
      <c r="K252" s="21"/>
      <c r="L252" s="21"/>
    </row>
    <row r="253" spans="1:12" ht="14.45">
      <c r="A253" s="21"/>
      <c r="B253" s="32"/>
      <c r="C253" s="21"/>
      <c r="D253" s="21"/>
      <c r="E253" s="21"/>
      <c r="F253" s="22"/>
      <c r="G253" s="21"/>
      <c r="H253" s="21"/>
      <c r="I253" s="22"/>
      <c r="J253" s="21"/>
      <c r="K253" s="21"/>
      <c r="L253" s="21"/>
    </row>
    <row r="254" spans="1:12" ht="14.45">
      <c r="A254" s="21"/>
      <c r="B254" s="32"/>
      <c r="C254" s="21"/>
      <c r="D254" s="21"/>
      <c r="E254" s="21"/>
      <c r="F254" s="22"/>
      <c r="G254" s="21"/>
      <c r="H254" s="21"/>
      <c r="I254" s="22"/>
      <c r="J254" s="21"/>
      <c r="K254" s="21"/>
      <c r="L254" s="21"/>
    </row>
    <row r="255" spans="1:12" ht="14.45">
      <c r="A255" s="21"/>
      <c r="B255" s="32"/>
      <c r="C255" s="21"/>
      <c r="D255" s="21"/>
      <c r="E255" s="21"/>
      <c r="F255" s="22"/>
      <c r="G255" s="21"/>
      <c r="H255" s="21"/>
      <c r="I255" s="22"/>
      <c r="J255" s="21"/>
      <c r="K255" s="21"/>
      <c r="L255" s="21"/>
    </row>
    <row r="256" spans="1:12" ht="14.45">
      <c r="A256" s="21"/>
      <c r="B256" s="32"/>
      <c r="C256" s="21"/>
      <c r="D256" s="21"/>
      <c r="E256" s="21"/>
      <c r="F256" s="22"/>
      <c r="G256" s="21"/>
      <c r="H256" s="21"/>
      <c r="I256" s="22"/>
      <c r="J256" s="21"/>
      <c r="K256" s="21"/>
      <c r="L256" s="21"/>
    </row>
    <row r="257" spans="1:12" ht="14.45">
      <c r="A257" s="21"/>
      <c r="B257" s="32"/>
      <c r="C257" s="21"/>
      <c r="D257" s="21"/>
      <c r="E257" s="21"/>
      <c r="F257" s="22"/>
      <c r="G257" s="21"/>
      <c r="H257" s="21"/>
      <c r="I257" s="22"/>
      <c r="J257" s="21"/>
      <c r="K257" s="21"/>
      <c r="L257" s="21"/>
    </row>
    <row r="258" spans="1:12" ht="14.45">
      <c r="A258" s="21"/>
      <c r="B258" s="32"/>
      <c r="C258" s="21"/>
      <c r="D258" s="21"/>
      <c r="E258" s="21"/>
      <c r="F258" s="22"/>
      <c r="G258" s="21"/>
      <c r="H258" s="21"/>
      <c r="I258" s="22"/>
      <c r="J258" s="21"/>
      <c r="K258" s="21"/>
      <c r="L258" s="21"/>
    </row>
    <row r="259" spans="1:12" ht="14.45">
      <c r="A259" s="21"/>
      <c r="B259" s="32"/>
      <c r="C259" s="21"/>
      <c r="D259" s="21"/>
      <c r="E259" s="21"/>
      <c r="F259" s="22"/>
      <c r="G259" s="21"/>
      <c r="H259" s="21"/>
      <c r="I259" s="22"/>
      <c r="J259" s="21"/>
      <c r="K259" s="21"/>
      <c r="L259" s="21"/>
    </row>
    <row r="260" spans="1:12" ht="14.45">
      <c r="A260" s="21"/>
      <c r="B260" s="32"/>
      <c r="C260" s="21"/>
      <c r="D260" s="21"/>
      <c r="E260" s="21"/>
      <c r="F260" s="22"/>
      <c r="G260" s="21"/>
      <c r="H260" s="21"/>
      <c r="I260" s="22"/>
      <c r="J260" s="21"/>
      <c r="K260" s="21"/>
      <c r="L260" s="21"/>
    </row>
    <row r="261" spans="1:12" ht="14.45">
      <c r="A261" s="21"/>
      <c r="B261" s="32"/>
      <c r="C261" s="21"/>
      <c r="D261" s="21"/>
      <c r="E261" s="21"/>
      <c r="F261" s="22"/>
      <c r="G261" s="21"/>
      <c r="H261" s="21"/>
      <c r="I261" s="22"/>
      <c r="J261" s="21"/>
      <c r="K261" s="21"/>
      <c r="L261" s="21"/>
    </row>
    <row r="262" spans="1:12" ht="14.45">
      <c r="A262" s="21"/>
      <c r="B262" s="32"/>
      <c r="C262" s="21"/>
      <c r="D262" s="21"/>
      <c r="E262" s="21"/>
      <c r="F262" s="22"/>
      <c r="G262" s="21"/>
      <c r="H262" s="21"/>
      <c r="I262" s="22"/>
      <c r="J262" s="21"/>
      <c r="K262" s="21"/>
      <c r="L262" s="21"/>
    </row>
    <row r="263" spans="1:12" ht="14.45">
      <c r="A263" s="21"/>
      <c r="B263" s="32"/>
      <c r="C263" s="21"/>
      <c r="D263" s="21"/>
      <c r="E263" s="21"/>
      <c r="F263" s="22"/>
      <c r="G263" s="21"/>
      <c r="H263" s="21"/>
      <c r="I263" s="22"/>
      <c r="J263" s="21"/>
      <c r="K263" s="21"/>
      <c r="L263" s="21"/>
    </row>
    <row r="264" spans="1:12" ht="14.45">
      <c r="A264" s="21"/>
      <c r="B264" s="32"/>
      <c r="C264" s="21"/>
      <c r="D264" s="21"/>
      <c r="E264" s="21"/>
      <c r="F264" s="22"/>
      <c r="G264" s="21"/>
      <c r="H264" s="21"/>
      <c r="I264" s="22"/>
      <c r="J264" s="21"/>
      <c r="K264" s="21"/>
      <c r="L264" s="21"/>
    </row>
    <row r="265" spans="1:12" ht="14.45">
      <c r="A265" s="21"/>
      <c r="B265" s="32"/>
      <c r="C265" s="21"/>
      <c r="D265" s="21"/>
      <c r="E265" s="21"/>
      <c r="F265" s="22"/>
      <c r="G265" s="21"/>
      <c r="H265" s="21"/>
      <c r="I265" s="22"/>
      <c r="J265" s="21"/>
      <c r="K265" s="21"/>
      <c r="L265" s="21"/>
    </row>
    <row r="266" spans="1:12" ht="14.45">
      <c r="A266" s="21"/>
      <c r="B266" s="32"/>
      <c r="C266" s="21"/>
      <c r="D266" s="21"/>
      <c r="E266" s="21"/>
      <c r="F266" s="22"/>
      <c r="G266" s="21"/>
      <c r="H266" s="21"/>
      <c r="I266" s="22"/>
      <c r="J266" s="21"/>
      <c r="K266" s="21"/>
      <c r="L266" s="21"/>
    </row>
    <row r="267" spans="1:12" ht="14.45">
      <c r="A267" s="21"/>
      <c r="B267" s="32"/>
      <c r="C267" s="21"/>
      <c r="D267" s="21"/>
      <c r="E267" s="21"/>
      <c r="F267" s="22"/>
      <c r="G267" s="21"/>
      <c r="H267" s="21"/>
      <c r="I267" s="22"/>
      <c r="J267" s="21"/>
      <c r="K267" s="21"/>
      <c r="L267" s="21"/>
    </row>
    <row r="268" spans="1:12" ht="14.45">
      <c r="A268" s="21"/>
      <c r="B268" s="32"/>
      <c r="C268" s="21"/>
      <c r="D268" s="21"/>
      <c r="E268" s="21"/>
      <c r="F268" s="22"/>
      <c r="G268" s="21"/>
      <c r="H268" s="21"/>
      <c r="I268" s="22"/>
      <c r="J268" s="21"/>
      <c r="K268" s="21"/>
      <c r="L268" s="21"/>
    </row>
    <row r="269" spans="1:12" ht="14.45">
      <c r="A269" s="21"/>
      <c r="B269" s="32"/>
      <c r="C269" s="21"/>
      <c r="D269" s="21"/>
      <c r="E269" s="21"/>
      <c r="F269" s="22"/>
      <c r="G269" s="21"/>
      <c r="H269" s="21"/>
      <c r="I269" s="22"/>
      <c r="J269" s="21"/>
      <c r="K269" s="21"/>
      <c r="L269" s="21"/>
    </row>
    <row r="270" spans="1:12" ht="14.45">
      <c r="A270" s="21"/>
      <c r="B270" s="32"/>
      <c r="C270" s="21"/>
      <c r="D270" s="21"/>
      <c r="E270" s="21"/>
      <c r="F270" s="22"/>
      <c r="G270" s="21"/>
      <c r="H270" s="21"/>
      <c r="I270" s="22"/>
      <c r="J270" s="21"/>
      <c r="K270" s="21"/>
      <c r="L270" s="21"/>
    </row>
    <row r="271" spans="1:12" ht="14.45">
      <c r="A271" s="21"/>
      <c r="B271" s="32"/>
      <c r="C271" s="21"/>
      <c r="D271" s="21"/>
      <c r="E271" s="21"/>
      <c r="F271" s="22"/>
      <c r="G271" s="21"/>
      <c r="H271" s="21"/>
      <c r="I271" s="22"/>
      <c r="J271" s="21"/>
      <c r="K271" s="21"/>
      <c r="L271" s="21"/>
    </row>
    <row r="272" spans="1:12" ht="14.45">
      <c r="A272" s="21"/>
      <c r="B272" s="32"/>
      <c r="C272" s="21"/>
      <c r="D272" s="21"/>
      <c r="E272" s="21"/>
      <c r="F272" s="22"/>
      <c r="G272" s="21"/>
      <c r="H272" s="21"/>
      <c r="I272" s="22"/>
      <c r="J272" s="21"/>
      <c r="K272" s="21"/>
      <c r="L272" s="21"/>
    </row>
    <row r="273" spans="1:12" ht="14.45">
      <c r="A273" s="21"/>
      <c r="B273" s="32"/>
      <c r="C273" s="21"/>
      <c r="D273" s="21"/>
      <c r="E273" s="21"/>
      <c r="F273" s="22"/>
      <c r="G273" s="21"/>
      <c r="H273" s="21"/>
      <c r="I273" s="22"/>
      <c r="J273" s="21"/>
      <c r="K273" s="21"/>
      <c r="L273" s="21"/>
    </row>
    <row r="274" spans="1:12" ht="14.45">
      <c r="A274" s="21"/>
      <c r="B274" s="32"/>
      <c r="C274" s="21"/>
      <c r="D274" s="21"/>
      <c r="E274" s="21"/>
      <c r="F274" s="22"/>
      <c r="G274" s="21"/>
      <c r="H274" s="21"/>
      <c r="I274" s="22"/>
      <c r="J274" s="21"/>
      <c r="K274" s="21"/>
      <c r="L274" s="21"/>
    </row>
    <row r="275" spans="1:12" ht="14.45">
      <c r="A275" s="21"/>
      <c r="B275" s="32"/>
      <c r="C275" s="21"/>
      <c r="D275" s="21"/>
      <c r="E275" s="21"/>
      <c r="F275" s="22"/>
      <c r="G275" s="21"/>
      <c r="H275" s="21"/>
      <c r="I275" s="22"/>
      <c r="J275" s="21"/>
      <c r="K275" s="21"/>
      <c r="L275" s="21"/>
    </row>
    <row r="276" spans="1:12" ht="14.45">
      <c r="A276" s="21"/>
      <c r="B276" s="32"/>
      <c r="C276" s="21"/>
      <c r="D276" s="21"/>
      <c r="E276" s="21"/>
      <c r="F276" s="22"/>
      <c r="G276" s="21"/>
      <c r="H276" s="21"/>
      <c r="I276" s="22"/>
      <c r="J276" s="21"/>
      <c r="K276" s="21"/>
      <c r="L276" s="21"/>
    </row>
    <row r="277" spans="1:12" ht="14.45">
      <c r="A277" s="21"/>
      <c r="B277" s="32"/>
      <c r="C277" s="21"/>
      <c r="D277" s="21"/>
      <c r="E277" s="21"/>
      <c r="F277" s="22"/>
      <c r="G277" s="21"/>
      <c r="H277" s="21"/>
      <c r="I277" s="22"/>
      <c r="J277" s="21"/>
      <c r="K277" s="21"/>
      <c r="L277" s="21"/>
    </row>
    <row r="278" spans="1:12" ht="14.45">
      <c r="A278" s="21"/>
      <c r="B278" s="32"/>
      <c r="C278" s="21"/>
      <c r="D278" s="21"/>
      <c r="E278" s="21"/>
      <c r="F278" s="22"/>
      <c r="G278" s="21"/>
      <c r="H278" s="21"/>
      <c r="I278" s="22"/>
      <c r="J278" s="21"/>
      <c r="K278" s="21"/>
      <c r="L278" s="21"/>
    </row>
    <row r="279" spans="1:12" ht="14.45">
      <c r="A279" s="21"/>
      <c r="B279" s="32"/>
      <c r="C279" s="21"/>
      <c r="D279" s="21"/>
      <c r="E279" s="21"/>
      <c r="F279" s="22"/>
      <c r="G279" s="21"/>
      <c r="H279" s="21"/>
      <c r="I279" s="22"/>
      <c r="J279" s="21"/>
      <c r="K279" s="21"/>
      <c r="L279" s="21"/>
    </row>
    <row r="280" spans="1:12" ht="14.45">
      <c r="A280" s="21"/>
      <c r="B280" s="32"/>
      <c r="C280" s="21"/>
      <c r="D280" s="21"/>
      <c r="E280" s="21"/>
      <c r="F280" s="22"/>
      <c r="G280" s="21"/>
      <c r="H280" s="21"/>
      <c r="I280" s="22"/>
      <c r="J280" s="21"/>
      <c r="K280" s="21"/>
      <c r="L280" s="21"/>
    </row>
    <row r="281" spans="1:12" ht="14.45">
      <c r="A281" s="21"/>
      <c r="B281" s="32"/>
      <c r="C281" s="21"/>
      <c r="D281" s="21"/>
      <c r="E281" s="21"/>
      <c r="F281" s="22"/>
      <c r="G281" s="21"/>
      <c r="H281" s="21"/>
      <c r="I281" s="22"/>
      <c r="J281" s="21"/>
      <c r="K281" s="21"/>
      <c r="L281" s="21"/>
    </row>
    <row r="282" spans="1:12" ht="14.45">
      <c r="A282" s="21"/>
      <c r="B282" s="32"/>
      <c r="C282" s="21"/>
      <c r="D282" s="21"/>
      <c r="E282" s="21"/>
      <c r="F282" s="22"/>
      <c r="G282" s="21"/>
      <c r="H282" s="21"/>
      <c r="I282" s="22"/>
      <c r="J282" s="21"/>
      <c r="K282" s="21"/>
      <c r="L282" s="21"/>
    </row>
    <row r="283" spans="1:12" ht="14.45">
      <c r="A283" s="21"/>
      <c r="B283" s="32"/>
      <c r="C283" s="21"/>
      <c r="D283" s="21"/>
      <c r="E283" s="21"/>
      <c r="F283" s="22"/>
      <c r="G283" s="21"/>
      <c r="H283" s="21"/>
      <c r="I283" s="22"/>
      <c r="J283" s="21"/>
      <c r="K283" s="21"/>
      <c r="L283" s="21"/>
    </row>
    <row r="284" spans="1:12" ht="14.45">
      <c r="A284" s="21"/>
      <c r="B284" s="32"/>
      <c r="C284" s="21"/>
      <c r="D284" s="21"/>
      <c r="E284" s="21"/>
      <c r="F284" s="22"/>
      <c r="G284" s="21"/>
      <c r="H284" s="21"/>
      <c r="I284" s="22"/>
      <c r="J284" s="21"/>
      <c r="K284" s="21"/>
      <c r="L284" s="21"/>
    </row>
    <row r="285" spans="1:12" ht="14.45">
      <c r="A285" s="21"/>
      <c r="B285" s="32"/>
      <c r="C285" s="21"/>
      <c r="D285" s="21"/>
      <c r="E285" s="21"/>
      <c r="F285" s="22"/>
      <c r="G285" s="21"/>
      <c r="H285" s="21"/>
      <c r="I285" s="22"/>
      <c r="J285" s="21"/>
      <c r="K285" s="21"/>
      <c r="L285" s="21"/>
    </row>
    <row r="286" spans="1:12" ht="14.45">
      <c r="A286" s="21"/>
      <c r="B286" s="32"/>
      <c r="C286" s="21"/>
      <c r="D286" s="21"/>
      <c r="E286" s="21"/>
      <c r="F286" s="22"/>
      <c r="G286" s="21"/>
      <c r="H286" s="21"/>
      <c r="I286" s="22"/>
      <c r="J286" s="21"/>
      <c r="K286" s="21"/>
      <c r="L286" s="21"/>
    </row>
    <row r="287" spans="1:12" ht="14.45">
      <c r="A287" s="21"/>
      <c r="B287" s="32"/>
      <c r="C287" s="21"/>
      <c r="D287" s="21"/>
      <c r="E287" s="21"/>
      <c r="F287" s="22"/>
      <c r="G287" s="21"/>
      <c r="H287" s="21"/>
      <c r="I287" s="22"/>
      <c r="J287" s="21"/>
      <c r="K287" s="21"/>
      <c r="L287" s="21"/>
    </row>
    <row r="288" spans="1:12" ht="14.45">
      <c r="A288" s="21"/>
      <c r="B288" s="32"/>
      <c r="C288" s="21"/>
      <c r="D288" s="21"/>
      <c r="E288" s="21"/>
      <c r="F288" s="22"/>
      <c r="G288" s="21"/>
      <c r="H288" s="21"/>
      <c r="I288" s="22"/>
      <c r="J288" s="21"/>
      <c r="K288" s="21"/>
      <c r="L288" s="21"/>
    </row>
    <row r="289" spans="1:12" ht="14.45">
      <c r="A289" s="21"/>
      <c r="B289" s="32"/>
      <c r="C289" s="21"/>
      <c r="D289" s="21"/>
      <c r="E289" s="21"/>
      <c r="F289" s="22"/>
      <c r="G289" s="21"/>
      <c r="H289" s="21"/>
      <c r="I289" s="22"/>
      <c r="J289" s="21"/>
      <c r="K289" s="21"/>
      <c r="L289" s="21"/>
    </row>
    <row r="290" spans="1:12" ht="14.45">
      <c r="A290" s="21"/>
      <c r="B290" s="32"/>
      <c r="C290" s="21"/>
      <c r="D290" s="21"/>
      <c r="E290" s="21"/>
      <c r="F290" s="22"/>
      <c r="G290" s="21"/>
      <c r="H290" s="21"/>
      <c r="I290" s="22"/>
      <c r="J290" s="21"/>
      <c r="K290" s="21"/>
      <c r="L290" s="21"/>
    </row>
    <row r="291" spans="1:12" ht="14.45">
      <c r="A291" s="21"/>
      <c r="B291" s="32"/>
      <c r="C291" s="21"/>
      <c r="D291" s="21"/>
      <c r="E291" s="21"/>
      <c r="F291" s="22"/>
      <c r="G291" s="21"/>
      <c r="H291" s="21"/>
      <c r="I291" s="22"/>
      <c r="J291" s="21"/>
      <c r="K291" s="21"/>
      <c r="L291" s="21"/>
    </row>
    <row r="292" spans="1:12" ht="14.45">
      <c r="A292" s="21"/>
      <c r="B292" s="32"/>
      <c r="C292" s="21"/>
      <c r="D292" s="21"/>
      <c r="E292" s="21"/>
      <c r="F292" s="22"/>
      <c r="G292" s="21"/>
      <c r="H292" s="21"/>
      <c r="I292" s="22"/>
      <c r="J292" s="21"/>
      <c r="K292" s="21"/>
      <c r="L292" s="21"/>
    </row>
    <row r="293" spans="1:12" ht="14.45">
      <c r="A293" s="21"/>
      <c r="B293" s="32"/>
      <c r="C293" s="21"/>
      <c r="D293" s="21"/>
      <c r="E293" s="21"/>
      <c r="F293" s="22"/>
      <c r="G293" s="21"/>
      <c r="H293" s="21"/>
      <c r="I293" s="22"/>
      <c r="J293" s="21"/>
      <c r="K293" s="21"/>
      <c r="L293" s="21"/>
    </row>
    <row r="294" spans="1:12" ht="14.45">
      <c r="A294" s="21"/>
      <c r="B294" s="32"/>
      <c r="C294" s="21"/>
      <c r="D294" s="21"/>
      <c r="E294" s="21"/>
      <c r="F294" s="22"/>
      <c r="G294" s="21"/>
      <c r="H294" s="21"/>
      <c r="I294" s="22"/>
      <c r="J294" s="21"/>
      <c r="K294" s="21"/>
      <c r="L294" s="21"/>
    </row>
    <row r="295" spans="1:12" ht="14.45">
      <c r="A295" s="21"/>
      <c r="B295" s="32"/>
      <c r="C295" s="21"/>
      <c r="D295" s="21"/>
      <c r="E295" s="21"/>
      <c r="F295" s="22"/>
      <c r="G295" s="21"/>
      <c r="H295" s="21"/>
      <c r="I295" s="22"/>
      <c r="J295" s="21"/>
      <c r="K295" s="21"/>
      <c r="L295" s="21"/>
    </row>
    <row r="296" spans="1:12" ht="14.45">
      <c r="A296" s="21"/>
      <c r="B296" s="32"/>
      <c r="C296" s="21"/>
      <c r="D296" s="21"/>
      <c r="E296" s="21"/>
      <c r="F296" s="22"/>
      <c r="G296" s="21"/>
      <c r="H296" s="21"/>
      <c r="I296" s="22"/>
      <c r="J296" s="21"/>
      <c r="K296" s="21"/>
      <c r="L296" s="21"/>
    </row>
    <row r="297" spans="1:12" ht="14.45">
      <c r="A297" s="21"/>
      <c r="B297" s="32"/>
      <c r="C297" s="21"/>
      <c r="D297" s="21"/>
      <c r="E297" s="21"/>
      <c r="F297" s="22"/>
      <c r="G297" s="21"/>
      <c r="H297" s="21"/>
      <c r="I297" s="22"/>
      <c r="J297" s="21"/>
      <c r="K297" s="21"/>
      <c r="L297" s="21"/>
    </row>
    <row r="298" spans="1:12" ht="14.45">
      <c r="A298" s="21"/>
      <c r="B298" s="32"/>
      <c r="C298" s="21"/>
      <c r="D298" s="21"/>
      <c r="E298" s="21"/>
      <c r="F298" s="22"/>
      <c r="G298" s="21"/>
      <c r="H298" s="21"/>
      <c r="I298" s="22"/>
      <c r="J298" s="21"/>
      <c r="K298" s="21"/>
      <c r="L298" s="21"/>
    </row>
    <row r="299" spans="1:12" ht="14.45">
      <c r="A299" s="21"/>
      <c r="B299" s="32"/>
      <c r="C299" s="21"/>
      <c r="D299" s="21"/>
      <c r="E299" s="21"/>
      <c r="F299" s="22"/>
      <c r="G299" s="21"/>
      <c r="H299" s="21"/>
      <c r="I299" s="22"/>
      <c r="J299" s="21"/>
      <c r="K299" s="21"/>
      <c r="L299" s="21"/>
    </row>
    <row r="300" spans="1:12" ht="14.45">
      <c r="A300" s="21"/>
      <c r="B300" s="32"/>
      <c r="C300" s="21"/>
      <c r="D300" s="21"/>
      <c r="E300" s="21"/>
      <c r="F300" s="22"/>
      <c r="G300" s="21"/>
      <c r="H300" s="21"/>
      <c r="I300" s="22"/>
      <c r="J300" s="21"/>
      <c r="K300" s="21"/>
      <c r="L300" s="21"/>
    </row>
    <row r="301" spans="1:12" ht="14.45">
      <c r="A301" s="21"/>
      <c r="B301" s="32"/>
      <c r="C301" s="21"/>
      <c r="D301" s="21"/>
      <c r="E301" s="21"/>
      <c r="F301" s="22"/>
      <c r="G301" s="21"/>
      <c r="H301" s="21"/>
      <c r="I301" s="22"/>
      <c r="J301" s="21"/>
      <c r="K301" s="21"/>
      <c r="L301" s="21"/>
    </row>
    <row r="302" spans="1:12" ht="14.45">
      <c r="A302" s="21"/>
      <c r="B302" s="32"/>
      <c r="C302" s="21"/>
      <c r="D302" s="21"/>
      <c r="E302" s="21"/>
      <c r="F302" s="22"/>
      <c r="G302" s="21"/>
      <c r="H302" s="21"/>
      <c r="I302" s="22"/>
      <c r="J302" s="21"/>
      <c r="K302" s="21"/>
      <c r="L302" s="21"/>
    </row>
    <row r="303" spans="1:12" ht="14.45">
      <c r="A303" s="21"/>
      <c r="B303" s="32"/>
      <c r="C303" s="21"/>
      <c r="D303" s="21"/>
      <c r="E303" s="21"/>
      <c r="F303" s="22"/>
      <c r="G303" s="21"/>
      <c r="H303" s="21"/>
      <c r="I303" s="22"/>
      <c r="J303" s="21"/>
      <c r="K303" s="21"/>
      <c r="L303" s="21"/>
    </row>
    <row r="304" spans="1:12" ht="14.45">
      <c r="A304" s="21"/>
      <c r="B304" s="32"/>
      <c r="C304" s="21"/>
      <c r="D304" s="21"/>
      <c r="E304" s="21"/>
      <c r="F304" s="22"/>
      <c r="G304" s="21"/>
      <c r="H304" s="21"/>
      <c r="I304" s="22"/>
      <c r="J304" s="21"/>
      <c r="K304" s="21"/>
      <c r="L304" s="21"/>
    </row>
    <row r="305" spans="1:12" ht="14.45">
      <c r="A305" s="21"/>
      <c r="B305" s="32"/>
      <c r="C305" s="21"/>
      <c r="D305" s="21"/>
      <c r="E305" s="21"/>
      <c r="F305" s="22"/>
      <c r="G305" s="21"/>
      <c r="H305" s="21"/>
      <c r="I305" s="22"/>
      <c r="J305" s="21"/>
      <c r="K305" s="21"/>
      <c r="L305" s="21"/>
    </row>
    <row r="306" spans="1:12" ht="14.45">
      <c r="A306" s="21"/>
      <c r="B306" s="32"/>
      <c r="C306" s="21"/>
      <c r="D306" s="21"/>
      <c r="E306" s="21"/>
      <c r="F306" s="22"/>
      <c r="G306" s="21"/>
      <c r="H306" s="21"/>
      <c r="I306" s="22"/>
      <c r="J306" s="21"/>
      <c r="K306" s="21"/>
      <c r="L306" s="21"/>
    </row>
    <row r="307" spans="1:12" ht="14.45">
      <c r="A307" s="21"/>
      <c r="B307" s="32"/>
      <c r="C307" s="21"/>
      <c r="D307" s="21"/>
      <c r="E307" s="21"/>
      <c r="F307" s="22"/>
      <c r="G307" s="21"/>
      <c r="H307" s="21"/>
      <c r="I307" s="22"/>
      <c r="J307" s="21"/>
      <c r="K307" s="21"/>
      <c r="L307" s="21"/>
    </row>
    <row r="308" spans="1:12" ht="14.45">
      <c r="A308" s="21"/>
      <c r="B308" s="32"/>
      <c r="C308" s="21"/>
      <c r="D308" s="21"/>
      <c r="E308" s="21"/>
      <c r="F308" s="22"/>
      <c r="G308" s="21"/>
      <c r="H308" s="21"/>
      <c r="I308" s="22"/>
      <c r="J308" s="21"/>
      <c r="K308" s="21"/>
      <c r="L308" s="21"/>
    </row>
    <row r="309" spans="1:12" ht="14.45">
      <c r="A309" s="21"/>
      <c r="B309" s="32"/>
      <c r="C309" s="21"/>
      <c r="D309" s="21"/>
      <c r="E309" s="21"/>
      <c r="F309" s="22"/>
      <c r="G309" s="21"/>
      <c r="H309" s="21"/>
      <c r="I309" s="22"/>
      <c r="J309" s="21"/>
      <c r="K309" s="21"/>
      <c r="L309" s="21"/>
    </row>
    <row r="310" spans="1:12" ht="14.45">
      <c r="A310" s="21"/>
      <c r="B310" s="32"/>
      <c r="C310" s="21"/>
      <c r="D310" s="21"/>
      <c r="E310" s="21"/>
      <c r="F310" s="22"/>
      <c r="G310" s="21"/>
      <c r="H310" s="21"/>
      <c r="I310" s="22"/>
      <c r="J310" s="21"/>
      <c r="K310" s="21"/>
      <c r="L310" s="21"/>
    </row>
    <row r="311" spans="1:12" ht="14.45">
      <c r="A311" s="21"/>
      <c r="B311" s="32"/>
      <c r="C311" s="21"/>
      <c r="D311" s="21"/>
      <c r="E311" s="21"/>
      <c r="F311" s="22"/>
      <c r="G311" s="21"/>
      <c r="H311" s="21"/>
      <c r="I311" s="22"/>
      <c r="J311" s="21"/>
      <c r="K311" s="21"/>
      <c r="L311" s="21"/>
    </row>
    <row r="312" spans="1:12" ht="14.45">
      <c r="A312" s="21"/>
      <c r="B312" s="32"/>
      <c r="C312" s="21"/>
      <c r="D312" s="21"/>
      <c r="E312" s="21"/>
      <c r="F312" s="22"/>
      <c r="G312" s="21"/>
      <c r="H312" s="21"/>
      <c r="I312" s="22"/>
      <c r="J312" s="21"/>
      <c r="K312" s="21"/>
      <c r="L312" s="21"/>
    </row>
    <row r="313" spans="1:12" ht="14.45">
      <c r="A313" s="21"/>
      <c r="B313" s="32"/>
      <c r="C313" s="21"/>
      <c r="D313" s="21"/>
      <c r="E313" s="21"/>
      <c r="F313" s="22"/>
      <c r="G313" s="21"/>
      <c r="H313" s="21"/>
      <c r="I313" s="22"/>
      <c r="J313" s="21"/>
      <c r="K313" s="21"/>
      <c r="L313" s="21"/>
    </row>
    <row r="314" spans="1:12" ht="14.45">
      <c r="A314" s="21"/>
      <c r="B314" s="32"/>
      <c r="C314" s="21"/>
      <c r="D314" s="21"/>
      <c r="E314" s="21"/>
      <c r="F314" s="22"/>
      <c r="G314" s="21"/>
      <c r="H314" s="21"/>
      <c r="I314" s="22"/>
      <c r="J314" s="21"/>
      <c r="K314" s="21"/>
      <c r="L314" s="21"/>
    </row>
    <row r="315" spans="1:12" ht="14.45">
      <c r="A315" s="21"/>
      <c r="B315" s="32"/>
      <c r="C315" s="21"/>
      <c r="D315" s="21"/>
      <c r="E315" s="21"/>
      <c r="F315" s="22"/>
      <c r="G315" s="21"/>
      <c r="H315" s="21"/>
      <c r="I315" s="22"/>
      <c r="J315" s="21"/>
      <c r="K315" s="21"/>
      <c r="L315" s="21"/>
    </row>
    <row r="316" spans="1:12" ht="14.45">
      <c r="A316" s="21"/>
      <c r="B316" s="32"/>
      <c r="C316" s="21"/>
      <c r="D316" s="21"/>
      <c r="E316" s="21"/>
      <c r="F316" s="22"/>
      <c r="G316" s="21"/>
      <c r="H316" s="21"/>
      <c r="I316" s="22"/>
      <c r="J316" s="21"/>
      <c r="K316" s="21"/>
      <c r="L316" s="21"/>
    </row>
    <row r="317" spans="1:12" ht="14.45">
      <c r="A317" s="21"/>
      <c r="B317" s="32"/>
      <c r="C317" s="21"/>
      <c r="D317" s="21"/>
      <c r="E317" s="21"/>
      <c r="F317" s="22"/>
      <c r="G317" s="21"/>
      <c r="H317" s="21"/>
      <c r="I317" s="22"/>
      <c r="J317" s="21"/>
      <c r="K317" s="21"/>
      <c r="L317" s="21"/>
    </row>
    <row r="318" spans="1:12" ht="14.45">
      <c r="A318" s="21"/>
      <c r="B318" s="32"/>
      <c r="C318" s="21"/>
      <c r="D318" s="21"/>
      <c r="E318" s="21"/>
      <c r="F318" s="22"/>
      <c r="G318" s="21"/>
      <c r="H318" s="21"/>
      <c r="I318" s="22"/>
      <c r="J318" s="21"/>
      <c r="K318" s="21"/>
      <c r="L318" s="21"/>
    </row>
    <row r="319" spans="1:12" ht="14.45">
      <c r="A319" s="21"/>
      <c r="B319" s="32"/>
      <c r="C319" s="21"/>
      <c r="D319" s="21"/>
      <c r="E319" s="21"/>
      <c r="F319" s="22"/>
      <c r="G319" s="21"/>
      <c r="H319" s="21"/>
      <c r="I319" s="22"/>
      <c r="J319" s="21"/>
      <c r="K319" s="21"/>
      <c r="L319" s="21"/>
    </row>
    <row r="320" spans="1:12" ht="14.45">
      <c r="A320" s="21"/>
      <c r="B320" s="32"/>
      <c r="C320" s="21"/>
      <c r="D320" s="21"/>
      <c r="E320" s="21"/>
      <c r="F320" s="22"/>
      <c r="G320" s="21"/>
      <c r="H320" s="21"/>
      <c r="I320" s="22"/>
      <c r="J320" s="21"/>
      <c r="K320" s="21"/>
      <c r="L320" s="21"/>
    </row>
    <row r="321" spans="1:12" ht="14.45">
      <c r="A321" s="21"/>
      <c r="B321" s="32"/>
      <c r="C321" s="21"/>
      <c r="D321" s="21"/>
      <c r="E321" s="21"/>
      <c r="F321" s="22"/>
      <c r="G321" s="21"/>
      <c r="H321" s="21"/>
      <c r="I321" s="22"/>
      <c r="J321" s="21"/>
      <c r="K321" s="21"/>
      <c r="L321" s="21"/>
    </row>
    <row r="322" spans="1:12" ht="14.45">
      <c r="A322" s="21"/>
      <c r="B322" s="32"/>
      <c r="C322" s="21"/>
      <c r="D322" s="21"/>
      <c r="E322" s="21"/>
      <c r="F322" s="22"/>
      <c r="G322" s="21"/>
      <c r="H322" s="21"/>
      <c r="I322" s="22"/>
      <c r="J322" s="21"/>
      <c r="K322" s="21"/>
      <c r="L322" s="21"/>
    </row>
    <row r="323" spans="1:12" ht="14.45">
      <c r="A323" s="21"/>
      <c r="B323" s="32"/>
      <c r="C323" s="21"/>
      <c r="D323" s="21"/>
      <c r="E323" s="21"/>
      <c r="F323" s="22"/>
      <c r="G323" s="21"/>
      <c r="H323" s="21"/>
      <c r="I323" s="22"/>
      <c r="J323" s="21"/>
      <c r="K323" s="21"/>
      <c r="L323" s="21"/>
    </row>
    <row r="324" spans="1:12" ht="14.45">
      <c r="A324" s="21"/>
      <c r="B324" s="32"/>
      <c r="C324" s="21"/>
      <c r="D324" s="21"/>
      <c r="E324" s="21"/>
      <c r="F324" s="22"/>
      <c r="G324" s="21"/>
      <c r="H324" s="21"/>
      <c r="I324" s="22"/>
      <c r="J324" s="21"/>
      <c r="K324" s="21"/>
      <c r="L324" s="21"/>
    </row>
    <row r="325" spans="1:12" ht="14.45">
      <c r="A325" s="21"/>
      <c r="B325" s="32"/>
      <c r="C325" s="21"/>
      <c r="D325" s="21"/>
      <c r="E325" s="21"/>
      <c r="F325" s="22"/>
      <c r="G325" s="21"/>
      <c r="H325" s="21"/>
      <c r="I325" s="22"/>
      <c r="J325" s="21"/>
      <c r="K325" s="21"/>
      <c r="L325" s="21"/>
    </row>
    <row r="326" spans="1:12" ht="14.45">
      <c r="A326" s="21"/>
      <c r="B326" s="32"/>
      <c r="C326" s="21"/>
      <c r="D326" s="21"/>
      <c r="E326" s="21"/>
      <c r="F326" s="22"/>
      <c r="G326" s="21"/>
      <c r="H326" s="21"/>
      <c r="I326" s="22"/>
      <c r="J326" s="21"/>
      <c r="K326" s="21"/>
      <c r="L326" s="21"/>
    </row>
    <row r="327" spans="1:12" ht="14.45">
      <c r="A327" s="21"/>
      <c r="B327" s="32"/>
      <c r="C327" s="21"/>
      <c r="D327" s="21"/>
      <c r="E327" s="21"/>
      <c r="F327" s="22"/>
      <c r="G327" s="21"/>
      <c r="H327" s="21"/>
      <c r="I327" s="22"/>
      <c r="J327" s="21"/>
      <c r="K327" s="21"/>
      <c r="L327" s="21"/>
    </row>
    <row r="328" spans="1:12" ht="14.45">
      <c r="A328" s="21"/>
      <c r="B328" s="32"/>
      <c r="C328" s="21"/>
      <c r="D328" s="21"/>
      <c r="E328" s="21"/>
      <c r="F328" s="22"/>
      <c r="G328" s="21"/>
      <c r="H328" s="21"/>
      <c r="I328" s="22"/>
      <c r="J328" s="21"/>
      <c r="K328" s="21"/>
      <c r="L328" s="21"/>
    </row>
    <row r="329" spans="1:12" ht="14.45">
      <c r="A329" s="21"/>
      <c r="B329" s="32"/>
      <c r="C329" s="21"/>
      <c r="D329" s="21"/>
      <c r="E329" s="21"/>
      <c r="F329" s="22"/>
      <c r="G329" s="21"/>
      <c r="H329" s="21"/>
      <c r="I329" s="22"/>
      <c r="J329" s="21"/>
      <c r="K329" s="21"/>
      <c r="L329" s="21"/>
    </row>
    <row r="330" spans="1:12" ht="14.45">
      <c r="A330" s="21"/>
      <c r="B330" s="32"/>
      <c r="C330" s="21"/>
      <c r="D330" s="21"/>
      <c r="E330" s="21"/>
      <c r="F330" s="22"/>
      <c r="G330" s="21"/>
      <c r="H330" s="21"/>
      <c r="I330" s="22"/>
      <c r="J330" s="21"/>
      <c r="K330" s="21"/>
      <c r="L330" s="21"/>
    </row>
    <row r="331" spans="1:12" ht="14.45">
      <c r="A331" s="21"/>
      <c r="B331" s="32"/>
      <c r="C331" s="21"/>
      <c r="D331" s="21"/>
      <c r="E331" s="21"/>
      <c r="F331" s="22"/>
      <c r="G331" s="21"/>
      <c r="H331" s="21"/>
      <c r="I331" s="22"/>
      <c r="J331" s="21"/>
      <c r="K331" s="21"/>
      <c r="L331" s="21"/>
    </row>
    <row r="332" spans="1:12" ht="14.45">
      <c r="A332" s="21"/>
      <c r="B332" s="32"/>
      <c r="C332" s="21"/>
      <c r="D332" s="21"/>
      <c r="E332" s="21"/>
      <c r="F332" s="22"/>
      <c r="G332" s="21"/>
      <c r="H332" s="21"/>
      <c r="I332" s="22"/>
      <c r="J332" s="21"/>
      <c r="K332" s="21"/>
      <c r="L332" s="21"/>
    </row>
    <row r="333" spans="1:12" ht="14.45">
      <c r="A333" s="21"/>
      <c r="B333" s="32"/>
      <c r="C333" s="21"/>
      <c r="D333" s="21"/>
      <c r="E333" s="21"/>
      <c r="F333" s="22"/>
      <c r="G333" s="21"/>
      <c r="H333" s="21"/>
      <c r="I333" s="22"/>
      <c r="J333" s="21"/>
      <c r="K333" s="21"/>
      <c r="L333" s="21"/>
    </row>
    <row r="334" spans="1:12" ht="14.45">
      <c r="A334" s="21"/>
      <c r="B334" s="32"/>
      <c r="C334" s="21"/>
      <c r="D334" s="21"/>
      <c r="E334" s="21"/>
      <c r="F334" s="22"/>
      <c r="G334" s="21"/>
      <c r="H334" s="21"/>
      <c r="I334" s="22"/>
      <c r="J334" s="21"/>
      <c r="K334" s="21"/>
      <c r="L334" s="21"/>
    </row>
    <row r="335" spans="1:12" ht="14.45">
      <c r="A335" s="21"/>
      <c r="B335" s="32"/>
      <c r="C335" s="21"/>
      <c r="D335" s="21"/>
      <c r="E335" s="21"/>
      <c r="F335" s="22"/>
      <c r="G335" s="21"/>
      <c r="H335" s="21"/>
      <c r="I335" s="22"/>
      <c r="J335" s="21"/>
      <c r="K335" s="21"/>
      <c r="L335" s="21"/>
    </row>
    <row r="336" spans="1:12" ht="14.45">
      <c r="A336" s="21"/>
      <c r="B336" s="32"/>
      <c r="C336" s="21"/>
      <c r="D336" s="21"/>
      <c r="E336" s="21"/>
      <c r="F336" s="22"/>
      <c r="G336" s="21"/>
      <c r="H336" s="21"/>
      <c r="I336" s="22"/>
      <c r="J336" s="21"/>
      <c r="K336" s="21"/>
      <c r="L336" s="21"/>
    </row>
    <row r="337" spans="3:12" ht="14.45">
      <c r="C337" s="21"/>
      <c r="D337" s="21"/>
      <c r="E337" s="21"/>
      <c r="F337" s="22"/>
      <c r="G337" s="21"/>
      <c r="H337" s="21"/>
      <c r="I337" s="22"/>
      <c r="J337" s="21"/>
      <c r="K337" s="21"/>
      <c r="L337" s="21"/>
    </row>
  </sheetData>
  <mergeCells count="4">
    <mergeCell ref="G1:I1"/>
    <mergeCell ref="A1:C1"/>
    <mergeCell ref="D1:F1"/>
    <mergeCell ref="A2:B2"/>
  </mergeCells>
  <conditionalFormatting sqref="F2 I2 F4:F8 I4:I8">
    <cfRule type="cellIs" dxfId="6" priority="3" stopIfTrue="1" operator="lessThanOrEqual">
      <formula>-0.1</formula>
    </cfRule>
    <cfRule type="expression" dxfId="5" priority="4">
      <formula>AND(ISNUMBER(F2), F2&gt;=0.1)</formula>
    </cfRule>
  </conditionalFormatting>
  <conditionalFormatting sqref="F15:F95 I15:I95">
    <cfRule type="cellIs" dxfId="4" priority="1" stopIfTrue="1" operator="lessThanOrEqual">
      <formula>-0.1</formula>
    </cfRule>
    <cfRule type="expression" dxfId="3" priority="2">
      <formula>AND(ISNUMBER(F15), F15&gt;=0.1)</formula>
    </cfRule>
  </conditionalFormatting>
  <hyperlinks>
    <hyperlink ref="K4" r:id="rId1" display="https://us3.assetplanner.com/service_request?ID=109898" xr:uid="{26E84CA1-DE89-43A3-8211-E66996120F2A}"/>
    <hyperlink ref="M4" r:id="rId2" display="https://us3.assetplanner.com/service_request?ID=110529" xr:uid="{E0AA6FEB-10AF-4424-81E4-E2FE292ACFFF}"/>
    <hyperlink ref="N4" r:id="rId3" display="https://us3.assetplanner.com/service_request?ID=099221" xr:uid="{F8886F04-2309-42B7-9C9E-C76B014B9BF5}"/>
    <hyperlink ref="K7" r:id="rId4" display="https://us3.assetplanner.com/service_request?ID=101449" xr:uid="{8DBF6A53-D492-4AE6-8B11-5723F0E35884}"/>
    <hyperlink ref="K8" r:id="rId5" display="https://us3.assetplanner.com/service_request?ID=109931" xr:uid="{B681423D-99F9-4107-95D9-284449014558}"/>
  </hyperlinks>
  <pageMargins left="0.4" right="0.7" top="0.25" bottom="0.25" header="0.3" footer="0.3"/>
  <pageSetup fitToHeight="99" orientation="landscape"/>
  <legacyDrawing r:id="rId6"/>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E8"/>
  <sheetViews>
    <sheetView workbookViewId="0">
      <pane ySplit="3" topLeftCell="A4" activePane="bottomLeft" state="frozen"/>
      <selection pane="bottomLeft" activeCell="B11" sqref="B11"/>
    </sheetView>
  </sheetViews>
  <sheetFormatPr defaultRowHeight="12.75" customHeight="1"/>
  <cols>
    <col min="1" max="2" width="41.85546875" customWidth="1"/>
    <col min="4" max="4" width="9.140625" customWidth="1"/>
    <col min="5" max="5" width="18.28515625" customWidth="1"/>
    <col min="6" max="14" width="9.140625" customWidth="1"/>
  </cols>
  <sheetData>
    <row r="1" spans="1:5" ht="12.75" customHeight="1">
      <c r="A1" t="s">
        <v>224</v>
      </c>
      <c r="B1" s="42" t="s">
        <v>225</v>
      </c>
    </row>
    <row r="3" spans="1:5" ht="13.15">
      <c r="A3" t="s">
        <v>226</v>
      </c>
      <c r="B3" t="s">
        <v>3</v>
      </c>
      <c r="C3" t="s">
        <v>4</v>
      </c>
      <c r="D3" t="s">
        <v>227</v>
      </c>
      <c r="E3" s="2" t="s">
        <v>228</v>
      </c>
    </row>
    <row r="4" spans="1:5" ht="12.75" customHeight="1">
      <c r="A4" s="42" t="s">
        <v>229</v>
      </c>
      <c r="B4" s="42" t="s">
        <v>230</v>
      </c>
      <c r="C4" t="s">
        <v>231</v>
      </c>
      <c r="D4" t="s">
        <v>232</v>
      </c>
      <c r="E4" s="42" t="s">
        <v>233</v>
      </c>
    </row>
    <row r="5" spans="1:5" ht="12.75" customHeight="1">
      <c r="A5" s="3" t="s">
        <v>234</v>
      </c>
      <c r="B5" s="3" t="s">
        <v>235</v>
      </c>
      <c r="C5" s="3" t="s">
        <v>236</v>
      </c>
      <c r="D5" t="s">
        <v>232</v>
      </c>
      <c r="E5" s="42" t="s">
        <v>233</v>
      </c>
    </row>
    <row r="6" spans="1:5" ht="12.75" customHeight="1">
      <c r="A6" s="3" t="s">
        <v>237</v>
      </c>
      <c r="B6" s="3" t="s">
        <v>238</v>
      </c>
      <c r="C6" s="3" t="s">
        <v>236</v>
      </c>
      <c r="D6" t="s">
        <v>232</v>
      </c>
      <c r="E6" s="42" t="s">
        <v>233</v>
      </c>
    </row>
    <row r="7" spans="1:5" ht="12.75" customHeight="1">
      <c r="A7" s="3" t="s">
        <v>239</v>
      </c>
      <c r="B7" s="3" t="s">
        <v>240</v>
      </c>
      <c r="C7" s="3" t="s">
        <v>236</v>
      </c>
      <c r="D7" t="s">
        <v>232</v>
      </c>
      <c r="E7" s="42" t="s">
        <v>233</v>
      </c>
    </row>
    <row r="8" spans="1:5" ht="12.75" customHeight="1">
      <c r="A8" s="3" t="s">
        <v>241</v>
      </c>
      <c r="B8" s="3" t="s">
        <v>242</v>
      </c>
      <c r="C8" s="3" t="s">
        <v>236</v>
      </c>
      <c r="D8" t="s">
        <v>232</v>
      </c>
      <c r="E8" s="42" t="s">
        <v>233</v>
      </c>
    </row>
  </sheetData>
  <phoneticPr fontId="37"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20.xml>��
</file>

<file path=customXml/itemProps1.xml><?xml version="1.0" encoding="utf-8"?>
<ds:datastoreItem xmlns:ds="http://schemas.openxmlformats.org/officeDocument/2006/customXml" ds:itemID="{89CF5C07-45EB-4100-9AFB-2C6AF77FA787}"/>
</file>

<file path=customXml/itemProps2.xml><?xml version="1.0" encoding="utf-8"?>
<ds:datastoreItem xmlns:ds="http://schemas.openxmlformats.org/officeDocument/2006/customXml" ds:itemID="{D3A7101F-9A85-4235-8B03-415370C100B2}"/>
</file>

<file path=customXml/itemProps3.xml><?xml version="1.0" encoding="utf-8"?>
<ds:datastoreItem xmlns:ds="http://schemas.openxmlformats.org/officeDocument/2006/customXml" ds:itemID="{EDFA1AE7-FE93-49F8-9488-D461F9FD3BBF}"/>
</file>

<file path=customXml/itemProps4.xml><?xml version="1.0" encoding="utf-8"?>
<ds:datastoreItem xmlns:ds="http://schemas.openxmlformats.org/officeDocument/2006/customXml" ds:itemID="{14966E4F-347B-477B-B74C-9DAC05405806}"/>
</file>

<file path=customXml/itemProps5.xml><?xml version="1.0" encoding="utf-8"?>
<ds:datastoreItem xmlns:ds="http://schemas.openxmlformats.org/officeDocument/2006/customXml" ds:itemID="{1954BBA4-0359-438C-B0EC-A756015F7C02}"/>
</file>

<file path=customXml/itemProps6.xml><?xml version="1.0" encoding="utf-8"?>
<ds:datastoreItem xmlns:ds="http://schemas.openxmlformats.org/officeDocument/2006/customXml" ds:itemID="{7946C510-7D04-49D8-9B25-EEC04582A1CA}"/>
</file>

<file path=customXml/itemProps7.xml><?xml version="1.0" encoding="utf-8"?>
<ds:datastoreItem xmlns:ds="http://schemas.openxmlformats.org/officeDocument/2006/customXml" ds:itemID="{BE26B669-A686-459C-A5E9-FEC3409C4C81}"/>
</file>

<file path=customXml/itemProps8.xml><?xml version="1.0" encoding="utf-8"?>
<ds:datastoreItem xmlns:ds="http://schemas.openxmlformats.org/officeDocument/2006/customXml" ds:itemID="{98A113BB-8B7A-453C-8BD4-8EFC67FC2D3F}"/>
</file>

<file path=customXml/itemProps9.xml><?xml version="1.0" encoding="utf-8"?>
<ds:datastoreItem xmlns:ds="http://schemas.openxmlformats.org/officeDocument/2006/customXml" ds:itemID="{0389C43E-394D-44C0-87DC-4780FCFCFB40}"/>
</file>

<file path=customXml/itemProps10.xml><?xml version="1.0" encoding="utf-8"?>
<ds:datastoreItem xmlns:ds="http://schemas.openxmlformats.org/officeDocument/2006/customXml" ds:itemID="{F12EFA50-0068-4A8C-85A0-F1B26389EBC3}"/>
</file>

<file path=customXml/itemProps11.xml><?xml version="1.0" encoding="utf-8"?>
<ds:datastoreItem xmlns:ds="http://schemas.openxmlformats.org/officeDocument/2006/customXml" ds:itemID="{E3716282-BFD2-4ED2-BA47-BFA1123827F0}"/>
</file>

<file path=customXml/itemProps12.xml><?xml version="1.0" encoding="utf-8"?>
<ds:datastoreItem xmlns:ds="http://schemas.openxmlformats.org/officeDocument/2006/customXml" ds:itemID="{E20E8303-6A67-485C-B6F4-303542CC295C}"/>
</file>

<file path=customXml/itemProps13.xml><?xml version="1.0" encoding="utf-8"?>
<ds:datastoreItem xmlns:ds="http://schemas.openxmlformats.org/officeDocument/2006/customXml" ds:itemID="{078388C9-06F9-42F4-B857-EF76B5CAF1FD}"/>
</file>

<file path=customXml/itemProps14.xml><?xml version="1.0" encoding="utf-8"?>
<ds:datastoreItem xmlns:ds="http://schemas.openxmlformats.org/officeDocument/2006/customXml" ds:itemID="{66B09F59-6532-46F8-924A-9A02417E070D}"/>
</file>

<file path=customXml/itemProps15.xml><?xml version="1.0" encoding="utf-8"?>
<ds:datastoreItem xmlns:ds="http://schemas.openxmlformats.org/officeDocument/2006/customXml" ds:itemID="{3AEAA9D8-2182-46BA-A58E-96C72DDA1C54}"/>
</file>

<file path=customXml/itemProps16.xml><?xml version="1.0" encoding="utf-8"?>
<ds:datastoreItem xmlns:ds="http://schemas.openxmlformats.org/officeDocument/2006/customXml" ds:itemID="{BF5C6359-7763-4C37-8EAF-2BC4698CB285}"/>
</file>

<file path=customXml/itemProps17.xml><?xml version="1.0" encoding="utf-8"?>
<ds:datastoreItem xmlns:ds="http://schemas.openxmlformats.org/officeDocument/2006/customXml" ds:itemID="{2BC74AAC-D69B-4AF1-9649-B21EF3C1C463}"/>
</file>

<file path=customXml/itemProps18.xml><?xml version="1.0" encoding="utf-8"?>
<ds:datastoreItem xmlns:ds="http://schemas.openxmlformats.org/officeDocument/2006/customXml" ds:itemID="{F6B2B1A1-1C4B-4AC9-9A7D-7A102DD1C942}"/>
</file>

<file path=customXml/itemProps19.xml><?xml version="1.0" encoding="utf-8"?>
<ds:datastoreItem xmlns:ds="http://schemas.openxmlformats.org/officeDocument/2006/customXml" ds:itemID="{8D732231-4216-4543-A665-18A2886B0EB7}"/>
</file>

<file path=customXml/itemProps20.xml><?xml version="1.0" encoding="utf-8"?>
<ds:datastoreItem xmlns:ds="http://schemas.openxmlformats.org/officeDocument/2006/customXml" ds:itemID="{CB52044A-5C0B-44A2-99D0-C1C315EC30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2026-02-20T19:12:47Z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2024-09-18T22:54:06Z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de459e2a-2bc6-4866-836f-a6da970436d5</vt:lpwstr>
  </property>
  <property fmtid="{D5CDD505-2E9C-101B-9397-08002B2CF9AE}" pid="9" name="MSIP_Label_9d817c99-0b37-4a07-8277-96aa1f96b74b_ContentBits">
    <vt:lpwstr>0</vt:lpwstr>
  </property>
</Properties>
</file>