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8" documentId="13_ncr:1_{4450178B-F4D0-47EA-8644-D070C7E1A7EE}" xr6:coauthVersionLast="47" xr6:coauthVersionMax="47" xr10:uidLastSave="{4E6EFB4E-80C4-4D68-9BEF-88F0DD84B4D2}"/>
  <bookViews>
    <workbookView xWindow="43080" yWindow="-120" windowWidth="29040" windowHeight="1572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1" l="1"/>
  <c r="I4" i="21" s="1"/>
  <c r="G4" i="30"/>
  <c r="G4" i="29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<sst xmlns="http://schemas.openxmlformats.org/spreadsheetml/2006/main" count="259" uniqueCount="64">
  <si>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</si>
  <si>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</si>
  <si>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</si>
  <si>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</si>
  <si>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</si>
  <si>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</si>
  <si>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</si>
  <si>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</si>
  <si>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</si>
  <si>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</si>
  <si>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</si>
  <si>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</si>
  <si>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</si>
  <si>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</si>
  <si>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</si>
  <si>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</si>
  <si>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</si>
  <si>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</si>
  <si>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</si>
  <si>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</si>
  <si>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</si>
  <si>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</si>
  <si>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</si>
  <si>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rain/snow.</t>
  </si>
  <si>
    <t>February Actual v. Expected</t>
  </si>
  <si>
    <t>February Actual v. Forecasted</t>
  </si>
  <si>
    <t>1.Low generation due to weather/snow.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</si>
  <si>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</si>
  <si>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</si>
  <si>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</si>
  <si>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</si>
  <si>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</si>
  <si>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</si>
  <si>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</si>
  <si>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</si>
  <si>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1.Inverter 3 tripped offline at 17:18 on 06/23  and reporting "Residual current device" and is being RMA'd</t>
  </si>
  <si>
    <t>1. SR103352</t>
  </si>
  <si>
    <t>July Actual v. Expected</t>
  </si>
  <si>
    <t>July Actual v. Forecasted</t>
  </si>
  <si>
    <t>1. Inverter 3 is back online at 12:15 on 07/21.</t>
  </si>
  <si>
    <t>1.SR103352</t>
  </si>
  <si>
    <t>August Actual v. Expected</t>
  </si>
  <si>
    <t>August Actual v. Forecasted</t>
  </si>
  <si>
    <t>September Actual v. Expected</t>
  </si>
  <si>
    <t>September Actual v. Forecasted</t>
  </si>
  <si>
    <t>1. The meter has been capturing only half of the inverter's production since 15:15 on 09/12. After the technician replaced the blown fuse, meter is capturing as expected from 09:00 on 09/19.</t>
  </si>
  <si>
    <t>1. SR108211</t>
  </si>
  <si>
    <t>October Actual v. Expected</t>
  </si>
  <si>
    <t>October Actual v. Forecasted</t>
  </si>
  <si>
    <t>November Actual v. Expected</t>
  </si>
  <si>
    <t>November Actual v. Forecasted</t>
  </si>
  <si>
    <t>1. Site production was low on 11/10,11/13,11/22,11/23,11/25,11/26,11/30.</t>
  </si>
  <si>
    <t>December Actual v. Expected</t>
  </si>
  <si>
    <t>December Actual v. Forecasted</t>
  </si>
  <si>
    <t>1. Site production was low on 12/02,12/03,12/07,12/14 to 12/16,12/19,12/23,12/24,12/27 to 12/29 due to snow.</t>
  </si>
  <si>
    <t>Portfolio:</t>
  </si>
  <si>
    <t>111 Hayes Memorial Drive</t>
  </si>
  <si>
    <t>Site DAS Name</t>
  </si>
  <si>
    <t>Update</t>
  </si>
  <si>
    <t>DAS</t>
  </si>
  <si>
    <t>MA: Marlborough - 111 Hayes Memorial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</si>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</sst>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352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352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821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5">
        <f>SUM(C4:C79)</f>
        <v>319130.11987499997</v>
      </c>
      <c r="D2" s="5">
        <f>SUM(D4:D79)</f>
        <v>0</v>
      </c>
      <c r="E2" s="5">
        <f>C2-D2</f>
        <v>319130.11987499997</v>
      </c>
      <c r="F2" s="6">
        <f>IFERROR(E2/D2, 0)</f>
        <v>0</v>
      </c>
      <c r="G2" s="5">
        <f>SUM(G4:G79)</f>
        <v>295641.99199999997</v>
      </c>
      <c r="H2" s="7">
        <f>C2-G2</f>
        <v>23488.127875000006</v>
      </c>
      <c r="I2" s="6">
        <f>IFERROR(H2/G2, 0)</f>
        <v>7.9447874492064738E-2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SUM('1st Qtr'!C4, '2nd Qtr'!C4, '3rd Qtr'!C4, '4th Qtr'!C4)</f>
        <v>319130.11987499997</v>
      </c>
      <c r="D4" s="12">
        <f>SUM('1st Qtr'!D4, '2nd Qtr'!D4, '3rd Qtr'!D4, '4th Qtr'!D4)</f>
        <v>0</v>
      </c>
      <c r="E4" s="12">
        <f>IF(AND(ISNUMBER(C4),ISNUMBER(D4)), C4-D4, "")</f>
        <v>319130.11987499997</v>
      </c>
      <c r="F4" s="13" t="str">
        <f>IFERROR(E4/D4, "")</f>
        <v/>
      </c>
      <c r="G4" s="14">
        <f>SUM('1st Qtr'!G4, '2nd Qtr'!G4, '3rd Qtr'!G4, '4th Qtr'!G4)</f>
        <v>295641.99199999997</v>
      </c>
      <c r="H4" s="14">
        <f>SUM('1st Qtr'!H4, '2nd Qtr'!H4, '3rd Qtr'!H4, '4th Qtr'!H4)</f>
        <v>25310.479874999994</v>
      </c>
      <c r="I4" s="15">
        <f>IFERROR(H4/G4, "")</f>
        <v>8.5611924421751279E-2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5">
        <f>SUM(C4:C79)</f>
        <v>48264.026874999996</v>
      </c>
      <c r="D2" s="5">
        <f>SUM(D4:D79)</f>
        <v>0</v>
      </c>
      <c r="E2" s="5">
        <f>C2-D2</f>
        <v>48264.026874999996</v>
      </c>
      <c r="F2" s="6">
        <f>IFERROR(E2/D2, 0)</f>
        <v>0</v>
      </c>
      <c r="G2" s="5">
        <f>SUM(G4:G79)</f>
        <v>69229.305999999997</v>
      </c>
      <c r="H2" s="7">
        <f>C2-G2</f>
        <v>-20965.279125000001</v>
      </c>
      <c r="I2" s="6">
        <f>IFERROR(H2/G2, 0)</f>
        <v>-0.30283821023715018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SUM(Jan!C4, Feb!C4, Mar!C4)</f>
        <v>48264.026874999996</v>
      </c>
      <c r="D4" s="12">
        <f>SUM(Jan!D4, Feb!D4, Mar!D4)</f>
        <v>0</v>
      </c>
      <c r="E4" s="12">
        <f>IF(AND(ISNUMBER(C4),ISNUMBER(D4)), C4-D4, "")</f>
        <v>48264.026874999996</v>
      </c>
      <c r="F4" s="13" t="str">
        <f>IFERROR(E4/D4, "")</f>
        <v/>
      </c>
      <c r="G4" s="14">
        <f>SUM(Jan!G4, Feb!G4, Mar!G4)</f>
        <v>69229.305999999997</v>
      </c>
      <c r="H4" s="14">
        <f>SUM(Jan!H4, Feb!H4, Mar!H4)</f>
        <v>-20965.279125000001</v>
      </c>
      <c r="I4" s="15">
        <f>IFERROR(H4/G4, "")</f>
        <v>-0.30283821023715018</v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5">
        <f>SUM(C4:C79)</f>
        <v>105641.473</v>
      </c>
      <c r="D2" s="5">
        <f>SUM(D4:D79)</f>
        <v>0</v>
      </c>
      <c r="E2" s="5">
        <f>C2-D2</f>
        <v>105641.473</v>
      </c>
      <c r="F2" s="6">
        <f>IFERROR(E2/D2, 0)</f>
        <v>0</v>
      </c>
      <c r="G2" s="5">
        <f>SUM(G4:G79)</f>
        <v>84267.028000000006</v>
      </c>
      <c r="H2" s="7">
        <f>C2-G2</f>
        <v>21374.444999999992</v>
      </c>
      <c r="I2" s="6">
        <f>IFERROR(H2/G2, 0)</f>
        <v>0.25365134510261822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SUM(Apr!C4, May!C4, Jun!C4)</f>
        <v>105641.473</v>
      </c>
      <c r="D4" s="12">
        <f>SUM(Apr!D4, May!D4, Jun!D4)</f>
        <v>0</v>
      </c>
      <c r="E4" s="12">
        <f>IF(AND(ISNUMBER(C4),ISNUMBER(D4)), C4-D4, "")</f>
        <v>105641.473</v>
      </c>
      <c r="F4" s="13" t="str">
        <f>IFERROR(E4/D4, "")</f>
        <v/>
      </c>
      <c r="G4" s="14">
        <f>SUM(Apr!G4,May!G4,Jun!G4)</f>
        <v>84267.028000000006</v>
      </c>
      <c r="H4" s="14">
        <f>SUM(Apr!H4, May!H4, Jun!H4)</f>
        <v>21374.444999999996</v>
      </c>
      <c r="I4" s="15">
        <f>IFERROR(H4/G4, "")</f>
        <v>0.25365134510261822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E23" sqref="E23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5">
        <f>SUM(C4:C79)</f>
        <v>113891.5</v>
      </c>
      <c r="D2" s="5">
        <f>SUM(D4:D79)</f>
        <v>0</v>
      </c>
      <c r="E2" s="5">
        <f>C2-D2</f>
        <v>113891.5</v>
      </c>
      <c r="F2" s="6">
        <f>IFERROR(E2/D2, 0)</f>
        <v>0</v>
      </c>
      <c r="G2" s="5">
        <f>SUM(G4:G79)</f>
        <v>86500.657999999996</v>
      </c>
      <c r="H2" s="7">
        <f>C2-G2</f>
        <v>27390.842000000004</v>
      </c>
      <c r="I2" s="6">
        <f>IFERROR(H2/G2, 0)</f>
        <v>0.31665472417562424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SUM(Jul!C4, Aug!C4, Sep!C4)</f>
        <v>113891.5</v>
      </c>
      <c r="D4" s="12">
        <f>SUM(Jul!D4, Aug!D4, Sep!D4)</f>
        <v>0</v>
      </c>
      <c r="E4" s="12">
        <f>IF(AND(ISNUMBER(C4),ISNUMBER(D4)), C4-D4, "")</f>
        <v>113891.5</v>
      </c>
      <c r="F4" s="13" t="str">
        <f>IFERROR(E4/D4, "")</f>
        <v/>
      </c>
      <c r="G4" s="14">
        <f>SUM(Jun!G4,Jul!G4,Aug!G4)</f>
        <v>86500.657999999996</v>
      </c>
      <c r="H4" s="14">
        <f>SUM(Jul!H4, Aug!H4, Sep!H4)</f>
        <v>29213.194</v>
      </c>
      <c r="I4" s="15">
        <f>IFERROR(H4/G4, "")</f>
        <v>0.33772221709573585</v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D12" activePane="bottomRight" state="frozen"/>
      <selection pane="bottomRight" activeCell="D12" sqref="D12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111 Hayes Memorial Drive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5">
        <f>SUM(C4:C79)</f>
        <v>51333.119999999995</v>
      </c>
      <c r="D2" s="5">
        <f>SUM(D4:D79)</f>
        <v>0</v>
      </c>
      <c r="E2" s="5">
        <f>C2-D2</f>
        <v>51333.119999999995</v>
      </c>
      <c r="F2" s="6">
        <f>IFERROR(E2/D2, 0)</f>
        <v>0</v>
      </c>
      <c r="G2" s="5">
        <f>SUM(G4:G79)</f>
        <v>55645</v>
      </c>
      <c r="H2" s="7">
        <f>C2-G2</f>
        <v>-4311.8800000000047</v>
      </c>
      <c r="I2" s="6">
        <f>IFERROR(H2/G2, 0)</f>
        <v>-7.7489082577051033E-2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3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SUM(Oct!C4, Nov!C4, Dec!C4)</f>
        <v>51333.119999999995</v>
      </c>
      <c r="D4" s="12">
        <f>SUM(Oct!D4, Nov!D4, Dec!D4)</f>
        <v>0</v>
      </c>
      <c r="E4" s="12">
        <f>IF(AND(ISNUMBER(C4),ISNUMBER(D4)), C4-D4, "")</f>
        <v>51333.119999999995</v>
      </c>
      <c r="F4" s="13" t="str">
        <f>IFERROR(E4/D4, "")</f>
        <v/>
      </c>
      <c r="G4" s="14">
        <f>SUM(Oct!G4,Nov!G4,Dec!G4)</f>
        <v>55645</v>
      </c>
      <c r="H4" s="14">
        <f>SUM(Oct!H4, Nov!H4, Dec!H4)</f>
        <v>-4311.880000000001</v>
      </c>
      <c r="I4" s="15">
        <f>IFERROR(H4/G4, "")</f>
        <v>-7.7489082577050963E-2</v>
      </c>
    </row>
    <row r="5" spans="1:9" ht="15.75">
      <c r="A5" s="16"/>
      <c r="B5" s="10"/>
      <c r="C5" s="40"/>
      <c r="D5" s="17"/>
      <c r="E5" s="17"/>
      <c r="F5" s="18"/>
      <c r="G5" s="19"/>
      <c r="H5" s="19"/>
      <c r="I5" s="18"/>
    </row>
    <row r="6" spans="1:9" ht="14.25">
      <c r="A6" s="20"/>
      <c r="B6" s="10"/>
      <c r="C6" s="40"/>
      <c r="D6" s="17"/>
      <c r="E6" s="17"/>
      <c r="F6" s="18"/>
      <c r="G6" s="19"/>
      <c r="H6" s="19"/>
      <c r="I6" s="18"/>
    </row>
    <row r="7" spans="1:9" ht="14.25">
      <c r="A7" s="20"/>
      <c r="B7" s="10"/>
      <c r="C7" s="40"/>
      <c r="D7" s="17"/>
      <c r="E7" s="17"/>
      <c r="F7" s="18"/>
      <c r="G7" s="19"/>
      <c r="H7" s="19"/>
      <c r="I7" s="18"/>
    </row>
    <row r="8" spans="1:9" ht="14.25">
      <c r="A8" s="20"/>
      <c r="B8" s="10"/>
      <c r="C8" s="40"/>
      <c r="D8" s="17"/>
      <c r="E8" s="17"/>
      <c r="F8" s="18"/>
      <c r="G8" s="19"/>
      <c r="H8" s="19"/>
      <c r="I8" s="18"/>
    </row>
    <row r="9" spans="1:9" ht="14.25">
      <c r="A9" s="20"/>
      <c r="B9" s="10"/>
      <c r="C9" s="40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bottomRight" activeCell="E7" sqref="E7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SUM(C4:C78)</f>
        <v>10839.375</v>
      </c>
      <c r="D2" s="5">
        <f>SUM(D4:D78)</f>
        <v>0</v>
      </c>
      <c r="E2" s="5">
        <f>C2-D2</f>
        <v>10839.375</v>
      </c>
      <c r="F2" s="6">
        <f>IFERROR(E2/D2, 0)</f>
        <v>0</v>
      </c>
      <c r="G2" s="5">
        <f>SUM(G4:G78)</f>
        <v>18979.806</v>
      </c>
      <c r="H2" s="7">
        <f>C2-G2</f>
        <v>-8140.4310000000005</v>
      </c>
      <c r="I2" s="6">
        <f>IFERROR(H2/G2, 0)</f>
        <v>-0.42889958938463335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10839.375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18979.806</v>
      </c>
      <c r="H4" s="14">
        <f>IF(AND(ISNUMBER(C4),ISNUMBER(G4)), C4-G4, "")</f>
        <v>-8140.4310000000005</v>
      </c>
      <c r="I4" s="15">
        <f>IFERROR(H4/G4, "")</f>
        <v>-0.42889958938463335</v>
      </c>
      <c r="J4" s="36" t="s">
        <v>23</v>
      </c>
      <c r="K4" s="36"/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8 I4:I7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70" zoomScaleNormal="70" workbookViewId="0">
      <pane xSplit="2" ySplit="3" topLeftCell="E4" activePane="bottomRight" state="frozen"/>
      <selection pane="bottomRight" activeCell="E17" sqref="E17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24</v>
      </c>
      <c r="E1" s="52"/>
      <c r="F1" s="52"/>
      <c r="G1" s="50" t="s">
        <v>25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6484.875</v>
      </c>
      <c r="D2" s="5">
        <f>SUM(D4:D79)</f>
        <v>0</v>
      </c>
      <c r="E2" s="5">
        <f>C2-D2</f>
        <v>6484.875</v>
      </c>
      <c r="F2" s="6">
        <f>IFERROR(E2/D2, 0)</f>
        <v>0</v>
      </c>
      <c r="G2" s="5">
        <f>SUM(G4:G79)</f>
        <v>21502.5</v>
      </c>
      <c r="H2" s="7">
        <f>C2-G2</f>
        <v>-15017.625</v>
      </c>
      <c r="I2" s="6">
        <f>IFERROR(H2/G2, 0)</f>
        <v>-0.69841297523543777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5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6484.875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21502.5</v>
      </c>
      <c r="H4" s="14">
        <f>IF(AND(ISNUMBER(C4),ISNUMBER(G4)), C4-G4, "")</f>
        <v>-15017.625</v>
      </c>
      <c r="I4" s="15">
        <f>IFERROR(H4/G4, "")</f>
        <v>-0.69841297523543777</v>
      </c>
      <c r="J4" s="36" t="s">
        <v>26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H16" sqref="H16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27</v>
      </c>
      <c r="E1" s="52"/>
      <c r="F1" s="52"/>
      <c r="G1" s="50" t="s">
        <v>28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30939.776875</v>
      </c>
      <c r="D2" s="5">
        <f>SUM(D4:D79)</f>
        <v>0</v>
      </c>
      <c r="E2" s="5">
        <f>C2-D2</f>
        <v>30939.776875</v>
      </c>
      <c r="F2" s="6">
        <f>IFERROR(E2/D2, 0)</f>
        <v>0</v>
      </c>
      <c r="G2" s="5">
        <f>SUM(G4:G79)</f>
        <v>28747</v>
      </c>
      <c r="H2" s="7">
        <f>C2-G2</f>
        <v>2192.7768749999996</v>
      </c>
      <c r="I2" s="6">
        <f>IFERROR(H2/G2, 0)</f>
        <v>7.6278459491425171E-2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30939.776875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28747</v>
      </c>
      <c r="H4" s="14">
        <f>IF(AND(ISNUMBER(C4),ISNUMBER(G4)), C4-G4, "")</f>
        <v>2192.7768749999996</v>
      </c>
      <c r="I4" s="15">
        <f>IFERROR(H4/G4, "")</f>
        <v>7.6278459491425171E-2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29</v>
      </c>
      <c r="E1" s="52"/>
      <c r="F1" s="52"/>
      <c r="G1" s="50" t="s">
        <v>30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34577.972999999998</v>
      </c>
      <c r="D2" s="5">
        <f>SUM(D4:D79)</f>
        <v>0</v>
      </c>
      <c r="E2" s="5">
        <f>C2-D2</f>
        <v>34577.972999999998</v>
      </c>
      <c r="F2" s="6">
        <f>IFERROR(E2/D2, 0)</f>
        <v>0</v>
      </c>
      <c r="G2" s="5">
        <f>SUM(G4:G79)</f>
        <v>27642.437000000002</v>
      </c>
      <c r="H2" s="7">
        <f>C2-G2</f>
        <v>6935.5359999999964</v>
      </c>
      <c r="I2" s="6">
        <f>IFERROR(H2/G2, 0)</f>
        <v>0.250901756599825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1.75" customHeight="1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34577.972999999998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27642.437000000002</v>
      </c>
      <c r="H4" s="14">
        <f>IF(AND(ISNUMBER(C4),ISNUMBER(G4)), C4-G4, "")</f>
        <v>6935.5359999999964</v>
      </c>
      <c r="I4" s="15">
        <f>IFERROR(H4/G4, "")</f>
        <v>0.250901756599825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E12" sqref="E12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31</v>
      </c>
      <c r="E1" s="52"/>
      <c r="F1" s="52"/>
      <c r="G1" s="50" t="s">
        <v>32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32481.75</v>
      </c>
      <c r="D2" s="5">
        <f>SUM(D4:D79)</f>
        <v>0</v>
      </c>
      <c r="E2" s="5">
        <f>C2-D2</f>
        <v>32481.75</v>
      </c>
      <c r="F2" s="6">
        <f>IFERROR(E2/D2, 0)</f>
        <v>0</v>
      </c>
      <c r="G2" s="5">
        <f>SUM(G4:G79)</f>
        <v>29104.739000000001</v>
      </c>
      <c r="H2" s="7">
        <f>C2-G2</f>
        <v>3377.0109999999986</v>
      </c>
      <c r="I2" s="6">
        <f>IFERROR(H2/G2, 0)</f>
        <v>0.11602959229423079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32481.75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29104.739000000001</v>
      </c>
      <c r="H4" s="14">
        <f>IF(AND(ISNUMBER(C4),ISNUMBER(G4)), C4-G4, "")</f>
        <v>3377.0109999999986</v>
      </c>
      <c r="I4" s="15">
        <f>IFERROR(H4/G4, "")</f>
        <v>0.11602959229423079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33</v>
      </c>
      <c r="E1" s="52"/>
      <c r="F1" s="52"/>
      <c r="G1" s="50" t="s">
        <v>34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38581.75</v>
      </c>
      <c r="D2" s="5">
        <f>SUM(D4:D79)</f>
        <v>0</v>
      </c>
      <c r="E2" s="5">
        <f>C2-D2</f>
        <v>38581.75</v>
      </c>
      <c r="F2" s="6">
        <f>IFERROR(E2/D2, 0)</f>
        <v>0</v>
      </c>
      <c r="G2" s="5">
        <f>SUM(G4:G79)</f>
        <v>27519.851999999999</v>
      </c>
      <c r="H2" s="7">
        <f>C2-G2</f>
        <v>11061.898000000001</v>
      </c>
      <c r="I2" s="6">
        <f>IFERROR(H2/G2, 0)</f>
        <v>0.4019606646140394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38581.75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27519.851999999999</v>
      </c>
      <c r="H4" s="14">
        <f>IF(AND(ISNUMBER(C4),ISNUMBER(G4)), C4-G4, "")</f>
        <v>11061.898000000001</v>
      </c>
      <c r="I4" s="15">
        <f>IFERROR(H4/G4, "")</f>
        <v>0.4019606646140394</v>
      </c>
      <c r="J4" s="36" t="s">
        <v>35</v>
      </c>
      <c r="K4" s="49" t="s">
        <v>36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3352" xr:uid="{FDAC8392-52F9-49A5-BE65-3CCA5917639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37</v>
      </c>
      <c r="E1" s="52"/>
      <c r="F1" s="52"/>
      <c r="G1" s="50" t="s">
        <v>38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39260.25</v>
      </c>
      <c r="D2" s="5">
        <f>SUM(D4:D79)</f>
        <v>0</v>
      </c>
      <c r="E2" s="5">
        <f>C2-D2</f>
        <v>39260.25</v>
      </c>
      <c r="F2" s="6">
        <f>IFERROR(E2/D2, 0)</f>
        <v>0</v>
      </c>
      <c r="G2" s="5">
        <f>SUM(G4:G79)</f>
        <v>29818.016</v>
      </c>
      <c r="H2" s="7">
        <f>C2-G2</f>
        <v>9442.2340000000004</v>
      </c>
      <c r="I2" s="6">
        <f>IFERROR(H2/G2, 0)</f>
        <v>0.31666204753528876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39260.25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29818.016</v>
      </c>
      <c r="H4" s="14">
        <f>IF(AND(ISNUMBER(C4),ISNUMBER(G4)), C4-G4, "")</f>
        <v>9442.2340000000004</v>
      </c>
      <c r="I4" s="15">
        <f>IFERROR(H4/G4, "")</f>
        <v>0.31666204753528876</v>
      </c>
      <c r="J4" s="36" t="s">
        <v>39</v>
      </c>
      <c r="K4" s="49" t="s">
        <v>40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352" xr:uid="{B4093B6E-4C43-4164-852E-7AC96B10CC4F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10" sqref="J10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41</v>
      </c>
      <c r="E1" s="52"/>
      <c r="F1" s="52"/>
      <c r="G1" s="50" t="s">
        <v>42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43750</v>
      </c>
      <c r="D2" s="5">
        <f>SUM(D4:D79)</f>
        <v>0</v>
      </c>
      <c r="E2" s="5">
        <f>C2-D2</f>
        <v>43750</v>
      </c>
      <c r="F2" s="6">
        <f>IFERROR(E2/D2, 0)</f>
        <v>0</v>
      </c>
      <c r="G2" s="5">
        <f>SUM(G4:G79)</f>
        <v>29162.79</v>
      </c>
      <c r="H2" s="7">
        <f>C2-G2</f>
        <v>14587.21</v>
      </c>
      <c r="I2" s="6">
        <f>IFERROR(H2/G2, 0)</f>
        <v>0.500199397931405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43750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29162.79</v>
      </c>
      <c r="H4" s="14">
        <f>IF(AND(ISNUMBER(C4),ISNUMBER(G4)), C4-G4, "")</f>
        <v>14587.21</v>
      </c>
      <c r="I4" s="15">
        <f>IFERROR(H4/G4, "")</f>
        <v>0.500199397931405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H30" sqref="H30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43</v>
      </c>
      <c r="E1" s="52"/>
      <c r="F1" s="52"/>
      <c r="G1" s="50" t="s">
        <v>44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30881.25</v>
      </c>
      <c r="D2" s="5">
        <f>SUM(D4:D79)</f>
        <v>0</v>
      </c>
      <c r="E2" s="5">
        <f>C2-D2</f>
        <v>30881.25</v>
      </c>
      <c r="F2" s="6">
        <f>IFERROR(E2/D2, 0)</f>
        <v>0</v>
      </c>
      <c r="G2" s="5">
        <f>SUM(G4:G79)</f>
        <v>25697.5</v>
      </c>
      <c r="H2" s="7">
        <f>C2-G2</f>
        <v>5183.75</v>
      </c>
      <c r="I2" s="6">
        <f>IFERROR(H2/G2, 0)</f>
        <v>0.20172195738885104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2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30881.25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25697.5</v>
      </c>
      <c r="H4" s="14">
        <f>IF(AND(ISNUMBER(C4),ISNUMBER(G4)), C4-G4, "")</f>
        <v>5183.75</v>
      </c>
      <c r="I4" s="15">
        <f>IFERROR(H4/G4, "")</f>
        <v>0.20172195738885104</v>
      </c>
      <c r="J4" s="36" t="s">
        <v>45</v>
      </c>
      <c r="K4" s="49" t="s">
        <v>46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8211" xr:uid="{A57DC5A3-605E-4594-953A-35CC3A4C1AE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G5" sqref="G5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47</v>
      </c>
      <c r="E1" s="52"/>
      <c r="F1" s="52"/>
      <c r="G1" s="50" t="s">
        <v>48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26221.62</v>
      </c>
      <c r="D2" s="5">
        <f>SUM(D4:D79)</f>
        <v>0</v>
      </c>
      <c r="E2" s="5">
        <f>C2-D2</f>
        <v>26221.62</v>
      </c>
      <c r="F2" s="6">
        <f>IFERROR(E2/D2, 0)</f>
        <v>0</v>
      </c>
      <c r="G2" s="5">
        <f>SUM(G4:G79)</f>
        <v>20877</v>
      </c>
      <c r="H2" s="7">
        <f>C2-G2</f>
        <v>5344.619999999999</v>
      </c>
      <c r="I2" s="6">
        <f>IFERROR(H2/G2, 0)</f>
        <v>0.25600517315706273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26221.62</v>
      </c>
      <c r="D4" s="12">
        <v>0</v>
      </c>
      <c r="E4" s="12">
        <f>IF(AND(ISNUMBER(C4),ISNUMBER(D4)), C4-D4, "")</f>
        <v>26221.62</v>
      </c>
      <c r="F4" s="13" t="str">
        <f>IFERROR(E4/D4, "")</f>
        <v/>
      </c>
      <c r="G4" s="14">
        <v>20877</v>
      </c>
      <c r="H4" s="14">
        <f>IF(AND(ISNUMBER(C4),ISNUMBER(G4)), C4-G4, "")</f>
        <v>5344.619999999999</v>
      </c>
      <c r="I4" s="15">
        <f>IFERROR(H4/G4, "")</f>
        <v>0.25600517315706273</v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J20" sqref="J20"/>
      <selection pane="topRight" activeCell="J20" sqref="J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49</v>
      </c>
      <c r="E1" s="52"/>
      <c r="F1" s="52"/>
      <c r="G1" s="50" t="s">
        <v>50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16223.08</v>
      </c>
      <c r="D2" s="5">
        <f>SUM(D4:D79)</f>
        <v>0</v>
      </c>
      <c r="E2" s="5">
        <f>C2-D2</f>
        <v>16223.08</v>
      </c>
      <c r="F2" s="6">
        <f>IFERROR(E2/D2, 0)</f>
        <v>0</v>
      </c>
      <c r="G2" s="5">
        <f>SUM(G4:G79)</f>
        <v>18164</v>
      </c>
      <c r="H2" s="7">
        <f>C2-G2</f>
        <v>-1940.92</v>
      </c>
      <c r="I2" s="6">
        <f>IFERROR(H2/G2, 0)</f>
        <v>-0.10685531821184761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16223.08</v>
      </c>
      <c r="D4" s="12">
        <v>0</v>
      </c>
      <c r="E4" s="12">
        <f>IF(AND(ISNUMBER(C4),ISNUMBER(D4)), C4-D4, "")</f>
        <v>16223.08</v>
      </c>
      <c r="F4" s="13" t="str">
        <f>IFERROR(E4/D4, "")</f>
        <v/>
      </c>
      <c r="G4" s="14">
        <v>18164</v>
      </c>
      <c r="H4" s="14">
        <f>IF(AND(ISNUMBER(C4),ISNUMBER(G4)), C4-G4, "")</f>
        <v>-1940.92</v>
      </c>
      <c r="I4" s="15">
        <f>IFERROR(H4/G4, "")</f>
        <v>-0.10685531821184761</v>
      </c>
      <c r="J4" s="36" t="s">
        <v>51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bottomRight" activeCell="H11" sqref="H11"/>
      <selection pane="bottomLeft" activeCell="J10" sqref="J10"/>
      <selection pane="topRight" activeCell="J10" sqref="J1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111 Hayes Memorial Drive</v>
      </c>
      <c r="B1" s="51"/>
      <c r="C1" s="51"/>
      <c r="D1" s="52" t="s">
        <v>52</v>
      </c>
      <c r="E1" s="52"/>
      <c r="F1" s="52"/>
      <c r="G1" s="50" t="s">
        <v>53</v>
      </c>
      <c r="H1" s="50"/>
      <c r="I1" s="50"/>
      <c r="J1" s="4"/>
      <c r="K1" s="4"/>
    </row>
    <row r="2" spans="1:11" ht="19.5" customHeight="1">
      <c r="A2" s="53" t="s">
        <v>2</v>
      </c>
      <c r="B2" s="53"/>
      <c r="C2" s="5">
        <f>SUM(C4:C79)</f>
        <v>8888.42</v>
      </c>
      <c r="D2" s="5">
        <f>SUM(D4:D79)</f>
        <v>0</v>
      </c>
      <c r="E2" s="5">
        <f>C2-D2</f>
        <v>8888.42</v>
      </c>
      <c r="F2" s="6">
        <f>IFERROR(E2/D2, 0)</f>
        <v>0</v>
      </c>
      <c r="G2" s="5">
        <f>SUM(G4:G79)</f>
        <v>16604</v>
      </c>
      <c r="H2" s="7">
        <f>C2-G2</f>
        <v>-7715.58</v>
      </c>
      <c r="I2" s="6">
        <f>IFERROR(H2/G2, 0)</f>
        <v>-0.46468200433630452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8888.42</v>
      </c>
      <c r="D4" s="12">
        <v>0</v>
      </c>
      <c r="E4" s="12">
        <f>IF(AND(ISNUMBER(C4),ISNUMBER(D4)), C4-D4, "")</f>
        <v>8888.42</v>
      </c>
      <c r="F4" s="13" t="str">
        <f>IFERROR(E4/D4, "")</f>
        <v/>
      </c>
      <c r="G4" s="14">
        <v>16604</v>
      </c>
      <c r="H4" s="14">
        <f>IF(AND(ISNUMBER(C4),ISNUMBER(G4)), C4-G4, "")</f>
        <v>-7715.58</v>
      </c>
      <c r="I4" s="15">
        <f>IFERROR(H4/G4, "")</f>
        <v>-0.46468200433630452</v>
      </c>
      <c r="J4" s="36" t="s">
        <v>54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55</v>
      </c>
      <c r="B1" t="s">
        <v>56</v>
      </c>
    </row>
    <row r="3" spans="1:12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12" ht="14.25">
      <c r="A4" s="44" t="s">
        <v>56</v>
      </c>
      <c r="B4" t="s">
        <v>60</v>
      </c>
      <c r="C4" s="42" t="s">
        <v>61</v>
      </c>
      <c r="D4" s="41" t="s">
        <v>62</v>
      </c>
      <c r="E4" t="s">
        <v>63</v>
      </c>
      <c r="G4" s="3"/>
    </row>
    <row r="5" spans="1:12" ht="14.25">
      <c r="A5" s="44"/>
      <c r="C5" s="42"/>
      <c r="D5" s="41"/>
      <c r="G5" s="3"/>
    </row>
    <row r="6" spans="1:12" ht="14.2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3871651-575B-4A73-86C4-6425C5FD52D3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2025-10-29T22:56:41Z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19b36d7f-4bc3-43da-8660-d8a7b8fdb82a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