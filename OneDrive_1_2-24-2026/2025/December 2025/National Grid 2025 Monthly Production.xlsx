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A915D1DD-526D-49F1-8850-0160A4E578EA}" xr6:coauthVersionLast="47" xr6:coauthVersionMax="47" xr10:uidLastSave="{64EF2DF8-8BF4-4143-8B1A-2200540E788C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E4" i="20"/>
  <c r="E4" i="21"/>
  <c r="E4" i="19"/>
  <c r="H4" i="3"/>
  <c r="H4" i="72"/>
  <c r="I4" i="72" s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F4" i="20"/>
  <c r="G2" i="20"/>
  <c r="D2" i="20"/>
  <c r="C2" i="20"/>
  <c r="A1" i="20" a="1"/>
  <c r="A1" i="20" s="1"/>
  <c r="H4" i="21"/>
  <c r="I4" i="21" s="1"/>
  <c r="F4" i="2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<sst xmlns="http://schemas.openxmlformats.org/spreadsheetml/2006/main" count="252" uniqueCount="63">
  <si>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</si>
  <si>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</si>
  <si>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</si>
  <si>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</si>
  <si>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</si>
  <si>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</si>
  <si>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</si>
  <si>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</si>
  <si>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</si>
  <si>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</si>
  <si>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</si>
  <si>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</si>
  <si>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</si>
  <si>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</si>
  <si>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</si>
  <si>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</si>
  <si>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</si>
  <si>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</si>
  <si>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</si>
  <si>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</si>
  <si>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</si>
  <si>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</si>
  <si>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1.Due to snow event site production was low.</t>
  </si>
  <si>
    <t>February Actual v. Expected</t>
  </si>
  <si>
    <t>February Actual v. Forecasted</t>
  </si>
  <si>
    <t>1.The phase A current on the meter has been low since 02/06. Upon the technician's arrival on 02/18, it was stated that the modules were covered with 8 inches of snow, preventing access to the pad. Production was low due to the snow.</t>
  </si>
  <si>
    <t>1.SR096944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</si>
  <si>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</si>
  <si>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</si>
  <si>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</si>
  <si>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</si>
  <si>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</si>
  <si>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</si>
  <si>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</si>
  <si>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</si>
  <si>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</si>
  <si>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</si>
  <si>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</si>
  <si>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</si>
  <si>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</si>
  <si>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</si>
  <si>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</si>
  <si>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</si>
  <si>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</si>
  <si>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1.Site was offline on 10/31</t>
  </si>
  <si>
    <t>1.SR110395</t>
  </si>
  <si>
    <t>1.Completed</t>
  </si>
  <si>
    <t>November Actual v. Expected</t>
  </si>
  <si>
    <t>November Actual v. Forecasted</t>
  </si>
  <si>
    <t>1.Site was offline from 10/31 and back online at 13:30 on 11/24</t>
  </si>
  <si>
    <t>December Actual v. Expected</t>
  </si>
  <si>
    <t>December Actual v. Forecasted</t>
  </si>
  <si>
    <t>1. Site was barely producing from 12/02 to 12/10, 12/14 to 12/19, 12/27 to 12/30 due to snow and also inverters have seasonal shading.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</si>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</sst>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10395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1039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197492.875</v>
      </c>
      <c r="D2" s="5">
        <f>SUM(D4:D77)</f>
        <v>237368.041</v>
      </c>
      <c r="E2" s="5">
        <f>C2-D2</f>
        <v>-39875.165999999997</v>
      </c>
      <c r="F2" s="6">
        <f>IFERROR(E2/D2, 0)</f>
        <v>-0.16798877318113772</v>
      </c>
      <c r="G2" s="5">
        <f>SUM(G4:G77)</f>
        <v>178932.96899999998</v>
      </c>
      <c r="H2" s="7">
        <f>C2-G2</f>
        <v>18559.906000000017</v>
      </c>
      <c r="I2" s="6">
        <f>IFERROR(H2/G2, 0)</f>
        <v>0.10372546827857095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197492.875</v>
      </c>
      <c r="D4" s="12">
        <f>SUM('1st Qtr'!D4, '2nd Qtr'!D4, '3rd Qtr'!D4, '4th Qtr'!D4)</f>
        <v>237368.041</v>
      </c>
      <c r="E4" s="12">
        <f>IF(AND(ISNUMBER(C4),ISNUMBER(D4)), C4-D4, "")</f>
        <v>-39875.165999999997</v>
      </c>
      <c r="F4" s="13">
        <f>IFERROR(E4/D4, "")</f>
        <v>-0.16798877318113772</v>
      </c>
      <c r="G4" s="14">
        <f>SUM('1st Qtr'!G4, '2nd Qtr'!G4, '3rd Qtr'!G4, '4th Qtr'!G4)</f>
        <v>178932.96899999998</v>
      </c>
      <c r="H4" s="14">
        <f>SUM('1st Qtr'!H4, '2nd Qtr'!H4, '3rd Qtr'!H4, '4th Qtr'!H4)</f>
        <v>18559.905999999995</v>
      </c>
      <c r="I4" s="15">
        <f>IFERROR(H4/G4, "")</f>
        <v>0.10372546827857082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29140.25</v>
      </c>
      <c r="D2" s="5">
        <f>SUM(D4:D77)</f>
        <v>47290.046000000002</v>
      </c>
      <c r="E2" s="5">
        <f>C2-D2</f>
        <v>-18149.796000000002</v>
      </c>
      <c r="F2" s="6">
        <f>IFERROR(E2/D2, 0)</f>
        <v>-0.38379738518334283</v>
      </c>
      <c r="G2" s="5">
        <f>SUM(G4:G77)</f>
        <v>40673.864999999998</v>
      </c>
      <c r="H2" s="7">
        <f>C2-G2</f>
        <v>-11533.614999999998</v>
      </c>
      <c r="I2" s="6">
        <f>IFERROR(H2/G2, 0)</f>
        <v>-0.28356329057983543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29140.25</v>
      </c>
      <c r="D4" s="12">
        <f>SUM(Jan!D4, Feb!D4, Mar!D4)</f>
        <v>47290.046000000002</v>
      </c>
      <c r="E4" s="12">
        <f>IF(AND(ISNUMBER(C4),ISNUMBER(D4)), C4-D4, "")</f>
        <v>-18149.796000000002</v>
      </c>
      <c r="F4" s="13">
        <f>IFERROR(E4/D4, "")</f>
        <v>-0.38379738518334283</v>
      </c>
      <c r="G4" s="14">
        <f>SUM(Jan!G4, Feb!G4, Mar!G4)</f>
        <v>40673.864999999998</v>
      </c>
      <c r="H4" s="14">
        <f>SUM(Jan!H4, Feb!H4, Mar!H4)</f>
        <v>-11533.615</v>
      </c>
      <c r="I4" s="15">
        <f>IFERROR(H4/G4, "")</f>
        <v>-0.28356329057983548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12" sqref="E12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71334.625</v>
      </c>
      <c r="D2" s="5">
        <f>SUM(D4:D77)</f>
        <v>71443.418999999994</v>
      </c>
      <c r="E2" s="5">
        <f>C2-D2</f>
        <v>-108.79399999999441</v>
      </c>
      <c r="F2" s="6">
        <f>IFERROR(E2/D2, 0)</f>
        <v>-1.5227994617670023E-3</v>
      </c>
      <c r="G2" s="5">
        <f>SUM(G4:G77)</f>
        <v>52230.929000000004</v>
      </c>
      <c r="H2" s="7">
        <f>C2-G2</f>
        <v>19103.695999999996</v>
      </c>
      <c r="I2" s="6">
        <f>IFERROR(H2/G2, 0)</f>
        <v>0.3657544747098026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71334.625</v>
      </c>
      <c r="D4" s="12">
        <f>SUM(Apr!D4, May!D4, Jun!D4)</f>
        <v>71443.418999999994</v>
      </c>
      <c r="E4" s="12">
        <f>IF(AND(ISNUMBER(C4),ISNUMBER(D4)), C4-D4, "")</f>
        <v>-108.79399999999441</v>
      </c>
      <c r="F4" s="13">
        <f>IFERROR(E4/D4, "")</f>
        <v>-1.5227994617670023E-3</v>
      </c>
      <c r="G4" s="14">
        <f>SUM(Apr!G4,May!G4,Jun!G4)</f>
        <v>52230.929000000004</v>
      </c>
      <c r="H4" s="14">
        <f>SUM(Apr!H4, May!H4, Jun!H4)</f>
        <v>19103.696000000004</v>
      </c>
      <c r="I4" s="15">
        <f>IFERROR(H4/G4, "")</f>
        <v>0.36575447470980271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77376.375</v>
      </c>
      <c r="D2" s="5">
        <f>SUM(D4:D77)</f>
        <v>81132.638000000006</v>
      </c>
      <c r="E2" s="5">
        <f>C2-D2</f>
        <v>-3756.2630000000063</v>
      </c>
      <c r="F2" s="6">
        <f>IFERROR(E2/D2, 0)</f>
        <v>-4.6297804343549215E-2</v>
      </c>
      <c r="G2" s="5">
        <f>SUM(G4:G77)</f>
        <v>51750.820000000007</v>
      </c>
      <c r="H2" s="7">
        <f>C2-G2</f>
        <v>25625.554999999993</v>
      </c>
      <c r="I2" s="6">
        <f>IFERROR(H2/G2, 0)</f>
        <v>0.49517196056023827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77376.375</v>
      </c>
      <c r="D4" s="12">
        <f>SUM(Jul!D4, Aug!D4, Sep!D4)</f>
        <v>81132.638000000006</v>
      </c>
      <c r="E4" s="12">
        <f>IF(AND(ISNUMBER(C4),ISNUMBER(D4)), C4-D4, "")</f>
        <v>-3756.2630000000063</v>
      </c>
      <c r="F4" s="13">
        <f>IFERROR(E4/D4, "")</f>
        <v>-4.6297804343549215E-2</v>
      </c>
      <c r="G4" s="14">
        <f>SUM(Jul!G4,Aug!G4,Sep!G4)</f>
        <v>51750.820000000007</v>
      </c>
      <c r="H4" s="14">
        <f>SUM(Jul!H4, Aug!H4, Sep!H4)</f>
        <v>25625.554999999997</v>
      </c>
      <c r="I4" s="15">
        <f>IFERROR(H4/G4, "")</f>
        <v>0.49517196056023832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9" sqref="D9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19641.625</v>
      </c>
      <c r="D2" s="5">
        <f>SUM(D4:D77)</f>
        <v>37501.937999999995</v>
      </c>
      <c r="E2" s="5">
        <f>C2-D2</f>
        <v>-17860.312999999995</v>
      </c>
      <c r="F2" s="6">
        <f>IFERROR(E2/D2, 0)</f>
        <v>-0.47625040071262442</v>
      </c>
      <c r="G2" s="5">
        <f>SUM(G4:G77)</f>
        <v>34277.354999999996</v>
      </c>
      <c r="H2" s="7">
        <f>C2-G2</f>
        <v>-14635.729999999996</v>
      </c>
      <c r="I2" s="6">
        <f>IFERROR(H2/G2, 0)</f>
        <v>-0.42697956128761971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19641.625</v>
      </c>
      <c r="D4" s="12">
        <f>SUM(Oct!D4, Nov!D4, Dec!D4)</f>
        <v>37501.937999999995</v>
      </c>
      <c r="E4" s="12">
        <f>IF(AND(ISNUMBER(C4),ISNUMBER(D4)), C4-D4, "")</f>
        <v>-17860.312999999995</v>
      </c>
      <c r="F4" s="13">
        <f>IFERROR(E4/D4, "")</f>
        <v>-0.47625040071262442</v>
      </c>
      <c r="G4" s="14">
        <f>SUM(Oct!G4,Nov!G4,Dec!G4)</f>
        <v>34277.354999999996</v>
      </c>
      <c r="H4" s="14">
        <f>SUM(Oct!H4, Nov!H4, Dec!H4)</f>
        <v>-14635.730000000001</v>
      </c>
      <c r="I4" s="15">
        <f>IFERROR(H4/G4, "")</f>
        <v>-0.42697956128761988</v>
      </c>
    </row>
    <row r="5" spans="1:9" ht="14.45">
      <c r="A5" s="20"/>
      <c r="B5" s="10"/>
      <c r="C5" s="39"/>
      <c r="D5" s="17"/>
      <c r="E5" s="17"/>
      <c r="F5" s="18"/>
      <c r="G5" s="19"/>
      <c r="H5" s="19"/>
      <c r="I5" s="18"/>
    </row>
    <row r="6" spans="1:9" ht="14.45">
      <c r="A6" s="20"/>
      <c r="B6" s="10"/>
      <c r="C6" s="39"/>
      <c r="D6" s="17"/>
      <c r="E6" s="17"/>
      <c r="F6" s="18"/>
      <c r="G6" s="19"/>
      <c r="H6" s="19"/>
      <c r="I6" s="18"/>
    </row>
    <row r="7" spans="1:9" ht="14.45">
      <c r="A7" s="20"/>
      <c r="B7" s="10"/>
      <c r="C7" s="39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J4" activePane="bottomRight" state="frozen"/>
      <selection pane="bottomRight" activeCell="J27" sqref="J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6491.875</v>
      </c>
      <c r="D2" s="5">
        <f>SUM(D4:D76)</f>
        <v>12474.984</v>
      </c>
      <c r="E2" s="5">
        <f>C2-D2</f>
        <v>-5983.1090000000004</v>
      </c>
      <c r="F2" s="6">
        <f>IFERROR(E2/D2, 0)</f>
        <v>-0.47960855100094718</v>
      </c>
      <c r="G2" s="5">
        <f>SUM(G4:G76)</f>
        <v>11373.686</v>
      </c>
      <c r="H2" s="7">
        <f>C2-G2</f>
        <v>-4881.8109999999997</v>
      </c>
      <c r="I2" s="6">
        <f>IFERROR(H2/G2, 0)</f>
        <v>-0.42921977976181158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6491.875</v>
      </c>
      <c r="D4" s="12">
        <v>12474.984</v>
      </c>
      <c r="E4" s="12">
        <f>IF(AND(ISNUMBER(C4),ISNUMBER(D4)), C4-D4, "")</f>
        <v>-5983.1090000000004</v>
      </c>
      <c r="F4" s="13">
        <f>IFERROR(E4/D4, "")</f>
        <v>-0.47960855100094718</v>
      </c>
      <c r="G4" s="14">
        <v>11373.686</v>
      </c>
      <c r="H4" s="14">
        <f>IF(AND(ISNUMBER(C4),ISNUMBER(G4)), C4-G4, "")</f>
        <v>-4881.8109999999997</v>
      </c>
      <c r="I4" s="15">
        <f>IFERROR(H4/G4, "")</f>
        <v>-0.42921977976181158</v>
      </c>
      <c r="J4" s="37" t="s">
        <v>22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6 I4:I7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K10" sqref="K10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23</v>
      </c>
      <c r="E1" s="50"/>
      <c r="F1" s="50"/>
      <c r="G1" s="48" t="s">
        <v>24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2997.625</v>
      </c>
      <c r="D2" s="5">
        <f>SUM(D4:D77)</f>
        <v>14983.39</v>
      </c>
      <c r="E2" s="5">
        <f>C2-D2</f>
        <v>-11985.764999999999</v>
      </c>
      <c r="F2" s="6">
        <f>IFERROR(E2/D2, 0)</f>
        <v>-0.79993679667952311</v>
      </c>
      <c r="G2" s="5">
        <f>SUM(G4:G77)</f>
        <v>12988.130999999999</v>
      </c>
      <c r="H2" s="7">
        <f>C2-G2</f>
        <v>-9990.5059999999994</v>
      </c>
      <c r="I2" s="6">
        <f>IFERROR(H2/G2, 0)</f>
        <v>-0.7692027436434079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2997.625</v>
      </c>
      <c r="D4" s="12">
        <v>14983.39</v>
      </c>
      <c r="E4" s="12">
        <f>IF(AND(ISNUMBER(C4),ISNUMBER(D4)), C4-D4, "")</f>
        <v>-11985.764999999999</v>
      </c>
      <c r="F4" s="13">
        <f>IFERROR(E4/D4, "")</f>
        <v>-0.79993679667952311</v>
      </c>
      <c r="G4" s="14">
        <v>12988.130999999999</v>
      </c>
      <c r="H4" s="14">
        <f>IF(AND(ISNUMBER(C4),ISNUMBER(G4)), C4-G4, "")</f>
        <v>-9990.5059999999994</v>
      </c>
      <c r="I4" s="15">
        <f>IFERROR(H4/G4, "")</f>
        <v>-0.7692027436434079</v>
      </c>
      <c r="J4" s="37" t="s">
        <v>25</v>
      </c>
      <c r="K4" s="37" t="s">
        <v>26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90" zoomScaleNormal="90" workbookViewId="0">
      <pane xSplit="2" ySplit="3" topLeftCell="C4" activePane="bottomRight" state="frozen"/>
      <selection pane="bottomRight" activeCell="I18" sqref="I18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27</v>
      </c>
      <c r="E1" s="50"/>
      <c r="F1" s="50"/>
      <c r="G1" s="48" t="s">
        <v>28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19650.75</v>
      </c>
      <c r="D2" s="5">
        <f>SUM(D4:D77)</f>
        <v>19831.671999999999</v>
      </c>
      <c r="E2" s="5">
        <f>C2-D2</f>
        <v>-180.92199999999866</v>
      </c>
      <c r="F2" s="6">
        <f>IFERROR(E2/D2, 0)</f>
        <v>-9.1228818225714235E-3</v>
      </c>
      <c r="G2" s="5">
        <f>SUM(G4:G77)</f>
        <v>16312.048000000001</v>
      </c>
      <c r="H2" s="7">
        <f>C2-G2</f>
        <v>3338.7019999999993</v>
      </c>
      <c r="I2" s="6">
        <f>IFERROR(H2/G2, 0)</f>
        <v>0.20467705833136338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19650.75</v>
      </c>
      <c r="D4" s="12">
        <v>19831.671999999999</v>
      </c>
      <c r="E4" s="12">
        <f>IF(AND(ISNUMBER(C4),ISNUMBER(D4)), C4-D4, "")</f>
        <v>-180.92199999999866</v>
      </c>
      <c r="F4" s="13">
        <f>IFERROR(E4/D4, "")</f>
        <v>-9.1228818225714235E-3</v>
      </c>
      <c r="G4" s="14">
        <v>16312.048000000001</v>
      </c>
      <c r="H4" s="14">
        <f>IF(AND(ISNUMBER(C4),ISNUMBER(G4)), C4-G4, "")</f>
        <v>3338.7019999999993</v>
      </c>
      <c r="I4" s="15">
        <f>IFERROR(H4/G4, "")</f>
        <v>0.20467705833136338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A4" sqref="A4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29</v>
      </c>
      <c r="E1" s="50"/>
      <c r="F1" s="50"/>
      <c r="G1" s="48" t="s">
        <v>30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23253.25</v>
      </c>
      <c r="D2" s="5">
        <f>SUM(D4:D77)</f>
        <v>23051.089</v>
      </c>
      <c r="E2" s="5">
        <f>C2-D2</f>
        <v>202.16100000000006</v>
      </c>
      <c r="F2" s="6">
        <f>IFERROR(E2/D2, 0)</f>
        <v>8.7701279536077474E-3</v>
      </c>
      <c r="G2" s="5">
        <f>SUM(G4:G77)</f>
        <v>16489.263999999999</v>
      </c>
      <c r="H2" s="7">
        <f>C2-G2</f>
        <v>6763.9860000000008</v>
      </c>
      <c r="I2" s="6">
        <f>IFERROR(H2/G2, 0)</f>
        <v>0.41020545246895196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23253.25</v>
      </c>
      <c r="D4" s="12">
        <v>23051.089</v>
      </c>
      <c r="E4" s="12">
        <f>IF(AND(ISNUMBER(C4),ISNUMBER(D4)), C4-D4, "")</f>
        <v>202.16100000000006</v>
      </c>
      <c r="F4" s="13">
        <f>IFERROR(E4/D4, "")</f>
        <v>8.7701279536077474E-3</v>
      </c>
      <c r="G4" s="14">
        <v>16489.263999999999</v>
      </c>
      <c r="H4" s="14">
        <f>IF(AND(ISNUMBER(C4),ISNUMBER(G4)), C4-G4, "")</f>
        <v>6763.9860000000008</v>
      </c>
      <c r="I4" s="15">
        <f>IFERROR(H4/G4, "")</f>
        <v>0.41020545246895196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7" sqref="C17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31</v>
      </c>
      <c r="E1" s="50"/>
      <c r="F1" s="50"/>
      <c r="G1" s="48" t="s">
        <v>32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22218.625</v>
      </c>
      <c r="D2" s="5">
        <f>SUM(D4:D77)</f>
        <v>22177.870999999999</v>
      </c>
      <c r="E2" s="5">
        <f>C2-D2</f>
        <v>40.754000000000815</v>
      </c>
      <c r="F2" s="6">
        <f>IFERROR(E2/D2, 0)</f>
        <v>1.8375974862510842E-3</v>
      </c>
      <c r="G2" s="5">
        <f>SUM(G4:G77)</f>
        <v>18018.296999999999</v>
      </c>
      <c r="H2" s="7">
        <f>C2-G2</f>
        <v>4200.3280000000013</v>
      </c>
      <c r="I2" s="6">
        <f>IFERROR(H2/G2, 0)</f>
        <v>0.23311459457017505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22218.625</v>
      </c>
      <c r="D4" s="12">
        <v>22177.870999999999</v>
      </c>
      <c r="E4" s="12">
        <f>IF(AND(ISNUMBER(C4),ISNUMBER(D4)), C4-D4, "")</f>
        <v>40.754000000000815</v>
      </c>
      <c r="F4" s="13">
        <f>IFERROR(E4/D4, "")</f>
        <v>1.8375974862510842E-3</v>
      </c>
      <c r="G4" s="14">
        <v>18018.296999999999</v>
      </c>
      <c r="H4" s="14">
        <f>IF(AND(ISNUMBER(C4),ISNUMBER(G4)), C4-G4, "")</f>
        <v>4200.3280000000013</v>
      </c>
      <c r="I4" s="15">
        <f>IFERROR(H4/G4, "")</f>
        <v>0.23311459457017505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F15" sqref="F15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33</v>
      </c>
      <c r="E1" s="50"/>
      <c r="F1" s="50"/>
      <c r="G1" s="48" t="s">
        <v>34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25862.75</v>
      </c>
      <c r="D2" s="5">
        <f>SUM(D4:D77)</f>
        <v>26214.458999999999</v>
      </c>
      <c r="E2" s="5">
        <f>C2-D2</f>
        <v>-351.70899999999892</v>
      </c>
      <c r="F2" s="6">
        <f>IFERROR(E2/D2, 0)</f>
        <v>-1.3416603409591589E-2</v>
      </c>
      <c r="G2" s="5">
        <f>SUM(G4:G77)</f>
        <v>17723.367999999999</v>
      </c>
      <c r="H2" s="7">
        <f>C2-G2</f>
        <v>8139.3820000000014</v>
      </c>
      <c r="I2" s="6">
        <f>IFERROR(H2/G2, 0)</f>
        <v>0.45924578217864698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25862.75</v>
      </c>
      <c r="D4" s="12">
        <v>26214.458999999999</v>
      </c>
      <c r="E4" s="12">
        <f>IF(AND(ISNUMBER(C4),ISNUMBER(D4)), C4-D4, "")</f>
        <v>-351.70899999999892</v>
      </c>
      <c r="F4" s="13">
        <f>IFERROR(E4/D4, "")</f>
        <v>-1.3416603409591589E-2</v>
      </c>
      <c r="G4" s="14">
        <v>17723.367999999999</v>
      </c>
      <c r="H4" s="14">
        <f>IF(AND(ISNUMBER(C4),ISNUMBER(G4)), C4-G4, "")</f>
        <v>8139.3820000000014</v>
      </c>
      <c r="I4" s="15">
        <f>IFERROR(H4/G4, "")</f>
        <v>0.45924578217864698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G8" sqref="G8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35</v>
      </c>
      <c r="E1" s="50"/>
      <c r="F1" s="50"/>
      <c r="G1" s="48" t="s">
        <v>36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28295.5</v>
      </c>
      <c r="D2" s="5">
        <f>SUM(D4:D77)</f>
        <v>28931.228999999999</v>
      </c>
      <c r="E2" s="5">
        <f>C2-D2</f>
        <v>-635.72899999999936</v>
      </c>
      <c r="F2" s="6">
        <f>IFERROR(E2/D2, 0)</f>
        <v>-2.1973798624316976E-2</v>
      </c>
      <c r="G2" s="5">
        <f>SUM(G4:G77)</f>
        <v>18666.113000000001</v>
      </c>
      <c r="H2" s="7">
        <f>C2-G2</f>
        <v>9629.3869999999988</v>
      </c>
      <c r="I2" s="6">
        <f>IFERROR(H2/G2, 0)</f>
        <v>0.51587531908758932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28295.5</v>
      </c>
      <c r="D4" s="12">
        <v>28931.228999999999</v>
      </c>
      <c r="E4" s="12">
        <f>IF(AND(ISNUMBER(C4),ISNUMBER(D4)), C4-D4, "")</f>
        <v>-635.72899999999936</v>
      </c>
      <c r="F4" s="13">
        <f>IFERROR(E4/D4, "")</f>
        <v>-2.1973798624316976E-2</v>
      </c>
      <c r="G4" s="14">
        <v>18666.113000000001</v>
      </c>
      <c r="H4" s="14">
        <f>IF(AND(ISNUMBER(C4),ISNUMBER(G4)), C4-G4, "")</f>
        <v>9629.3869999999988</v>
      </c>
      <c r="I4" s="15">
        <f>IFERROR(H4/G4, "")</f>
        <v>0.51587531908758932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G9" sqref="G9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37</v>
      </c>
      <c r="E1" s="50"/>
      <c r="F1" s="50"/>
      <c r="G1" s="48" t="s">
        <v>38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27529.625</v>
      </c>
      <c r="D2" s="5">
        <f>SUM(D4:D77)</f>
        <v>28544.260999999999</v>
      </c>
      <c r="E2" s="5">
        <f>C2-D2</f>
        <v>-1014.6359999999986</v>
      </c>
      <c r="F2" s="6">
        <f>IFERROR(E2/D2, 0)</f>
        <v>-3.5546059503870103E-2</v>
      </c>
      <c r="G2" s="5">
        <f>SUM(G4:G77)</f>
        <v>17587.865000000002</v>
      </c>
      <c r="H2" s="7">
        <f>C2-G2</f>
        <v>9941.7599999999984</v>
      </c>
      <c r="I2" s="6">
        <f>IFERROR(H2/G2, 0)</f>
        <v>0.5652624693218874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27529.625</v>
      </c>
      <c r="D4" s="12">
        <v>28544.260999999999</v>
      </c>
      <c r="E4" s="12">
        <f>IF(AND(ISNUMBER(C4),ISNUMBER(D4)), C4-D4, "")</f>
        <v>-1014.6359999999986</v>
      </c>
      <c r="F4" s="13">
        <f>IFERROR(E4/D4, "")</f>
        <v>-3.5546059503870103E-2</v>
      </c>
      <c r="G4" s="14">
        <v>17587.865000000002</v>
      </c>
      <c r="H4" s="14">
        <f>IF(AND(ISNUMBER(C4),ISNUMBER(G4)), C4-G4, "")</f>
        <v>9941.7599999999984</v>
      </c>
      <c r="I4" s="15">
        <f>IFERROR(H4/G4, "")</f>
        <v>0.5652624693218874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10" sqref="G10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39</v>
      </c>
      <c r="E1" s="50"/>
      <c r="F1" s="50"/>
      <c r="G1" s="48" t="s">
        <v>40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21551.25</v>
      </c>
      <c r="D2" s="5">
        <f>SUM(D4:D77)</f>
        <v>23657.148000000001</v>
      </c>
      <c r="E2" s="5">
        <f>C2-D2</f>
        <v>-2105.898000000001</v>
      </c>
      <c r="F2" s="6">
        <f>IFERROR(E2/D2, 0)</f>
        <v>-8.9017408184621449E-2</v>
      </c>
      <c r="G2" s="5">
        <f>SUM(G4:G77)</f>
        <v>15496.842000000001</v>
      </c>
      <c r="H2" s="7">
        <f>C2-G2</f>
        <v>6054.4079999999994</v>
      </c>
      <c r="I2" s="6">
        <f>IFERROR(H2/G2, 0)</f>
        <v>0.39068656697925935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21551.25</v>
      </c>
      <c r="D4" s="12">
        <v>23657.148000000001</v>
      </c>
      <c r="E4" s="12">
        <f>IF(AND(ISNUMBER(C4),ISNUMBER(D4)), C4-D4, "")</f>
        <v>-2105.898000000001</v>
      </c>
      <c r="F4" s="13">
        <f>IFERROR(E4/D4, "")</f>
        <v>-8.9017408184621449E-2</v>
      </c>
      <c r="G4" s="14">
        <v>15496.842000000001</v>
      </c>
      <c r="H4" s="14">
        <f>IF(AND(ISNUMBER(C4),ISNUMBER(G4)), C4-G4, "")</f>
        <v>6054.4079999999994</v>
      </c>
      <c r="I4" s="15">
        <f>IFERROR(H4/G4, "")</f>
        <v>0.39068656697925935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19"/>
  <sheetViews>
    <sheetView workbookViewId="0">
      <pane xSplit="2" ySplit="3" topLeftCell="G4" activePane="bottomRight" state="frozen"/>
      <selection pane="bottomRight" activeCell="A12" sqref="A12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7.28515625" customWidth="1"/>
  </cols>
  <sheetData>
    <row r="1" spans="1:12" ht="19.5" customHeight="1">
      <c r="A1" s="49" t="str" cm="1">
        <f t="array" ref="A1">portfolio</f>
        <v>National Grid</v>
      </c>
      <c r="B1" s="49"/>
      <c r="C1" s="49"/>
      <c r="D1" s="50" t="s">
        <v>41</v>
      </c>
      <c r="E1" s="50"/>
      <c r="F1" s="50"/>
      <c r="G1" s="48" t="s">
        <v>42</v>
      </c>
      <c r="H1" s="48"/>
      <c r="I1" s="48"/>
      <c r="J1" s="4"/>
      <c r="K1" s="4"/>
      <c r="L1" s="4"/>
    </row>
    <row r="2" spans="1:12" ht="19.5" customHeight="1">
      <c r="A2" s="51" t="s">
        <v>2</v>
      </c>
      <c r="B2" s="51"/>
      <c r="C2" s="5">
        <f>SUM(C4:C77)</f>
        <v>15887.5</v>
      </c>
      <c r="D2" s="5">
        <f>SUM(D4:D77)</f>
        <v>18094.995999999999</v>
      </c>
      <c r="E2" s="5">
        <f>C2-D2</f>
        <v>-2207.4959999999992</v>
      </c>
      <c r="F2" s="6">
        <f>IFERROR(E2/D2, 0)</f>
        <v>-0.12199483216243868</v>
      </c>
      <c r="G2" s="5">
        <f>SUM(G4:G77)</f>
        <v>14282.912</v>
      </c>
      <c r="H2" s="7">
        <f>C2-G2</f>
        <v>1604.5879999999997</v>
      </c>
      <c r="I2" s="6">
        <f>IFERROR(H2/G2, 0)</f>
        <v>0.11234319724157088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43</v>
      </c>
    </row>
    <row r="4" spans="1:12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15887.5</v>
      </c>
      <c r="D4" s="12">
        <v>18094.995999999999</v>
      </c>
      <c r="E4" s="12">
        <f>IF(AND(ISNUMBER(C4),ISNUMBER(D4)), C4-D4, "")</f>
        <v>-2207.4959999999992</v>
      </c>
      <c r="F4" s="13">
        <f>IFERROR(E4/D4, "")</f>
        <v>-0.12199483216243868</v>
      </c>
      <c r="G4" s="14">
        <v>14282.912</v>
      </c>
      <c r="H4" s="14">
        <f>IF(AND(ISNUMBER(C4),ISNUMBER(G4)), C4-G4, "")</f>
        <v>1604.5879999999997</v>
      </c>
      <c r="I4" s="15">
        <f>IFERROR(H4/G4, "")</f>
        <v>0.11234319724157088</v>
      </c>
      <c r="J4" s="37" t="s">
        <v>44</v>
      </c>
      <c r="K4" s="47" t="s">
        <v>45</v>
      </c>
      <c r="L4" s="37" t="s">
        <v>46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  <c r="L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  <c r="L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10395" xr:uid="{01A7BA0C-729C-4193-800B-FDCEA574C80A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19"/>
  <sheetViews>
    <sheetView workbookViewId="0">
      <pane xSplit="2" ySplit="3" topLeftCell="C4" activePane="bottomRight" state="frozen"/>
      <selection pane="bottomRight" activeCell="J13" sqref="J13"/>
      <selection pane="bottomLeft" activeCell="G26" sqref="G26"/>
      <selection pane="topRight" activeCell="G26" sqref="G26"/>
    </sheetView>
  </sheetViews>
  <sheetFormatPr defaultRowHeight="13.9"/>
  <cols>
    <col min="1" max="1" width="52.28515625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9" t="str" cm="1">
        <f t="array" ref="A1">portfolio</f>
        <v>National Grid</v>
      </c>
      <c r="B1" s="49"/>
      <c r="C1" s="49"/>
      <c r="D1" s="50" t="s">
        <v>47</v>
      </c>
      <c r="E1" s="50"/>
      <c r="F1" s="50"/>
      <c r="G1" s="48" t="s">
        <v>48</v>
      </c>
      <c r="H1" s="48"/>
      <c r="I1" s="48"/>
      <c r="J1" s="4"/>
      <c r="K1" s="4"/>
      <c r="L1" s="4"/>
    </row>
    <row r="2" spans="1:12" ht="19.5" customHeight="1">
      <c r="A2" s="51" t="s">
        <v>2</v>
      </c>
      <c r="B2" s="51"/>
      <c r="C2" s="5">
        <f>SUM(C4:C77)</f>
        <v>1027.25</v>
      </c>
      <c r="D2" s="5">
        <f>SUM(D4:D77)</f>
        <v>10173.242</v>
      </c>
      <c r="E2" s="5">
        <f>C2-D2</f>
        <v>-9145.9920000000002</v>
      </c>
      <c r="F2" s="6">
        <f>IFERROR(E2/D2, 0)</f>
        <v>-0.89902432282648936</v>
      </c>
      <c r="G2" s="5">
        <f>SUM(G4:G77)</f>
        <v>10242.243</v>
      </c>
      <c r="H2" s="7">
        <f>C2-G2</f>
        <v>-9214.9930000000004</v>
      </c>
      <c r="I2" s="6">
        <f>IFERROR(H2/G2, 0)</f>
        <v>-0.89970458619269233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43</v>
      </c>
    </row>
    <row r="4" spans="1:12" ht="28.9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1027.25</v>
      </c>
      <c r="D4" s="12">
        <v>10173.242</v>
      </c>
      <c r="E4" s="12">
        <f>IF(AND(ISNUMBER(C4),ISNUMBER(D4)), C4-D4, "")</f>
        <v>-9145.9920000000002</v>
      </c>
      <c r="F4" s="13">
        <f>IFERROR(E4/D4, "")</f>
        <v>-0.89902432282648936</v>
      </c>
      <c r="G4" s="14">
        <v>10242.243</v>
      </c>
      <c r="H4" s="14">
        <f>IF(AND(ISNUMBER(C4),ISNUMBER(G4)), C4-G4, "")</f>
        <v>-9214.9930000000004</v>
      </c>
      <c r="I4" s="15">
        <f>IFERROR(H4/G4, "")</f>
        <v>-0.89970458619269233</v>
      </c>
      <c r="J4" s="37" t="s">
        <v>49</v>
      </c>
      <c r="K4" s="47" t="s">
        <v>45</v>
      </c>
      <c r="L4" s="37" t="s">
        <v>46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  <c r="L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  <c r="L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10395" xr:uid="{C09A9319-8D7A-4113-BD7E-BAC0A08F14E6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4" sqref="J4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2726.875</v>
      </c>
      <c r="D2" s="5">
        <f>SUM(D4:D77)</f>
        <v>9233.7000000000007</v>
      </c>
      <c r="E2" s="5">
        <f>C2-D2</f>
        <v>-6506.8250000000007</v>
      </c>
      <c r="F2" s="6">
        <f>IFERROR(E2/D2, 0)</f>
        <v>-0.7046823050348181</v>
      </c>
      <c r="G2" s="5">
        <f>SUM(G4:G77)</f>
        <v>9752.2000000000007</v>
      </c>
      <c r="H2" s="7">
        <f>C2-G2</f>
        <v>-7025.3250000000007</v>
      </c>
      <c r="I2" s="6">
        <f>IFERROR(H2/G2, 0)</f>
        <v>-0.72038360575049731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2726.875</v>
      </c>
      <c r="D4" s="12">
        <v>9233.7000000000007</v>
      </c>
      <c r="E4" s="12">
        <f>C4-D4</f>
        <v>-6506.8250000000007</v>
      </c>
      <c r="F4" s="13">
        <f>IFERROR(E4/D4, "")</f>
        <v>-0.7046823050348181</v>
      </c>
      <c r="G4" s="14">
        <v>9752.2000000000007</v>
      </c>
      <c r="H4" s="14">
        <f>IF(AND(ISNUMBER(C4),ISNUMBER(G4)), C4-G4, "")</f>
        <v>-7025.3250000000007</v>
      </c>
      <c r="I4" s="15">
        <f>IFERROR(H4/G4, "")</f>
        <v>-0.72038360575049731</v>
      </c>
      <c r="J4" s="37" t="s">
        <v>52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45">
      <c r="A4" s="43" t="s">
        <v>58</v>
      </c>
      <c r="B4" t="s">
        <v>59</v>
      </c>
      <c r="C4" s="41" t="s">
        <v>60</v>
      </c>
      <c r="D4" s="45" t="s">
        <v>61</v>
      </c>
      <c r="E4" s="46" t="s">
        <v>62</v>
      </c>
      <c r="G4" s="3"/>
    </row>
    <row r="5" spans="1:12" ht="14.45">
      <c r="A5" s="43"/>
      <c r="C5" s="41"/>
      <c r="D5" s="40"/>
      <c r="G5" s="3"/>
    </row>
    <row r="6" spans="1:12" ht="14.45">
      <c r="A6" s="43"/>
      <c r="C6" s="41"/>
      <c r="D6" s="40"/>
      <c r="G6" s="3"/>
    </row>
    <row r="7" spans="1:12" ht="12.75" customHeight="1">
      <c r="A7" s="43"/>
      <c r="C7" s="41"/>
      <c r="D7" s="40"/>
    </row>
    <row r="8" spans="1:12" ht="12.75" customHeight="1">
      <c r="A8" s="43"/>
      <c r="C8" s="41"/>
      <c r="D8" s="40"/>
    </row>
    <row r="9" spans="1:12" ht="12.75" customHeight="1">
      <c r="A9" s="43"/>
      <c r="C9" s="41"/>
      <c r="D9" s="40"/>
    </row>
    <row r="10" spans="1:12" ht="12.75" customHeight="1">
      <c r="A10" s="43"/>
      <c r="C10" s="41"/>
      <c r="D10" s="40"/>
      <c r="K10" s="38"/>
      <c r="L10" s="38"/>
    </row>
    <row r="11" spans="1:12" ht="12.75" customHeight="1">
      <c r="A11" s="43"/>
      <c r="C11" s="41"/>
      <c r="D11" s="40"/>
      <c r="K11" s="38"/>
      <c r="L11" s="38"/>
    </row>
    <row r="12" spans="1:12" ht="12.75" customHeight="1">
      <c r="A12" s="43"/>
      <c r="C12" s="41"/>
      <c r="D12" s="40"/>
      <c r="K12" s="38"/>
      <c r="L12" s="38"/>
    </row>
    <row r="13" spans="1:12" ht="12.75" customHeight="1">
      <c r="A13" s="43"/>
      <c r="C13" s="41"/>
      <c r="D13" s="40"/>
      <c r="K13" s="38"/>
      <c r="L13" s="38"/>
    </row>
    <row r="14" spans="1:12" ht="12.75" customHeight="1">
      <c r="A14" s="43"/>
      <c r="C14" s="41"/>
      <c r="D14" s="40"/>
      <c r="K14" s="38"/>
      <c r="L14" s="38"/>
    </row>
    <row r="15" spans="1:12" ht="12.75" customHeight="1">
      <c r="A15" s="43"/>
      <c r="C15" s="41"/>
      <c r="D15" s="40"/>
      <c r="K15" s="38"/>
      <c r="L15" s="38"/>
    </row>
    <row r="16" spans="1:12" ht="12.75" customHeight="1">
      <c r="A16" s="43"/>
      <c r="C16" s="41"/>
      <c r="D16" s="40"/>
      <c r="K16" s="38"/>
      <c r="L16" s="38"/>
    </row>
    <row r="17" spans="1:12" ht="12.75" customHeight="1">
      <c r="A17" s="43"/>
      <c r="C17" s="41"/>
      <c r="D17" s="40"/>
      <c r="K17" s="38"/>
      <c r="L17" s="38"/>
    </row>
    <row r="18" spans="1:12" ht="12.75" customHeight="1">
      <c r="A18" s="43"/>
      <c r="C18" s="41"/>
      <c r="D18" s="40"/>
      <c r="K18" s="38"/>
      <c r="L18" s="38"/>
    </row>
    <row r="19" spans="1:12" ht="12.75" customHeight="1">
      <c r="A19" s="43"/>
      <c r="C19" s="41"/>
      <c r="D19" s="40"/>
      <c r="K19" s="38"/>
      <c r="L19" s="38"/>
    </row>
    <row r="20" spans="1:12" ht="12.75" customHeight="1">
      <c r="A20" s="43"/>
      <c r="C20" s="41"/>
      <c r="D20" s="40"/>
      <c r="K20" s="38"/>
      <c r="L20" s="38"/>
    </row>
    <row r="21" spans="1:12" ht="12.75" customHeight="1">
      <c r="A21" s="43"/>
      <c r="C21" s="41"/>
      <c r="D21" s="40"/>
      <c r="K21" s="38"/>
      <c r="L21" s="38"/>
    </row>
    <row r="22" spans="1:12" ht="12.75" customHeight="1">
      <c r="A22" s="43"/>
      <c r="C22" s="41"/>
      <c r="D22" s="40"/>
      <c r="K22" s="38"/>
      <c r="L22" s="38"/>
    </row>
    <row r="23" spans="1:12" ht="12.75" customHeight="1">
      <c r="A23" s="43"/>
      <c r="C23" s="41"/>
      <c r="D23" s="40"/>
      <c r="K23" s="38"/>
      <c r="L23" s="38"/>
    </row>
    <row r="24" spans="1:12" ht="12.75" customHeight="1">
      <c r="A24" s="43"/>
      <c r="C24" s="41"/>
      <c r="D24" s="40"/>
      <c r="K24" s="38"/>
      <c r="L24" s="38"/>
    </row>
    <row r="25" spans="1:12" ht="12.75" customHeight="1">
      <c r="A25" s="43"/>
      <c r="C25" s="41"/>
      <c r="D25" s="40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94059F75-4EA5-49F0-BB58-7FC344E04B89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2026-01-22T20:56:00Z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7430aaea-3c96-494a-8881-94cd40791eb9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