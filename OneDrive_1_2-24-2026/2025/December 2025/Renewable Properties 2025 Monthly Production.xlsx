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2" documentId="13_ncr:1_{602649F7-9B9A-4BDE-BA98-367BA05DB0CE}" xr6:coauthVersionLast="47" xr6:coauthVersionMax="47" xr10:uidLastSave="{4CF458E5-4CD4-427D-827C-6499F9CECB55}"/>
  <bookViews>
    <workbookView xWindow="-108" yWindow="-108" windowWidth="23256" windowHeight="13896" tabRatio="866" firstSheet="16"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8" l="1" a="1"/>
  <c r="A4" i="28"/>
  <c r="A4" i="33" a="1"/>
  <c r="A4" i="33"/>
  <c r="H12" i="33"/>
  <c r="I12" i="33" s="1"/>
  <c r="H13" i="33"/>
  <c r="I13" i="33" s="1"/>
  <c r="H14" i="33"/>
  <c r="I14" i="33" s="1"/>
  <c r="F12" i="33"/>
  <c r="E12" i="33"/>
  <c r="E13" i="33"/>
  <c r="F13" i="33" s="1"/>
  <c r="E14" i="33"/>
  <c r="F14" i="33" s="1"/>
  <c r="I10" i="31"/>
  <c r="I11" i="31"/>
  <c r="I12" i="31"/>
  <c r="I13" i="31"/>
  <c r="I14" i="31"/>
  <c r="H10" i="31"/>
  <c r="H11" i="31"/>
  <c r="H12" i="31"/>
  <c r="H13" i="31"/>
  <c r="H14" i="31"/>
  <c r="F10" i="31"/>
  <c r="F11" i="31"/>
  <c r="F12" i="31"/>
  <c r="F13" i="31"/>
  <c r="F14" i="31"/>
  <c r="E10" i="31"/>
  <c r="E11" i="31"/>
  <c r="E12" i="31"/>
  <c r="E13" i="31"/>
  <c r="E14" i="31"/>
  <c r="E11" i="32"/>
  <c r="F11" i="32" s="1"/>
  <c r="E12" i="32"/>
  <c r="F12" i="32" s="1"/>
  <c r="E13" i="32"/>
  <c r="F13" i="32" s="1"/>
  <c r="E14" i="32"/>
  <c r="F14" i="32" s="1"/>
  <c r="H11" i="32"/>
  <c r="H12" i="32"/>
  <c r="H12" i="30" s="1"/>
  <c r="H13" i="32"/>
  <c r="H13" i="30" s="1"/>
  <c r="H14" i="32"/>
  <c r="H14" i="30" s="1"/>
  <c r="I9" i="28"/>
  <c r="I10" i="28"/>
  <c r="I11" i="28"/>
  <c r="I12" i="28"/>
  <c r="I13" i="28"/>
  <c r="I14" i="28"/>
  <c r="H9" i="28"/>
  <c r="H10" i="28"/>
  <c r="H11" i="28"/>
  <c r="H12" i="28"/>
  <c r="H13" i="28"/>
  <c r="H14" i="28"/>
  <c r="F10" i="28"/>
  <c r="F11" i="28"/>
  <c r="F12" i="28"/>
  <c r="F13" i="28"/>
  <c r="F14" i="28"/>
  <c r="E10" i="28"/>
  <c r="E11" i="28"/>
  <c r="E12" i="28"/>
  <c r="E13" i="28"/>
  <c r="E14" i="28"/>
  <c r="E15" i="28"/>
  <c r="I10" i="27"/>
  <c r="I11" i="27"/>
  <c r="I12" i="27"/>
  <c r="I13" i="27"/>
  <c r="I14" i="27"/>
  <c r="H10" i="27"/>
  <c r="H11" i="27"/>
  <c r="H12" i="27"/>
  <c r="H13" i="27"/>
  <c r="H14" i="27"/>
  <c r="F10" i="27"/>
  <c r="F11" i="27"/>
  <c r="F12" i="27"/>
  <c r="F13" i="27"/>
  <c r="F14" i="27"/>
  <c r="E9" i="27"/>
  <c r="E10" i="27"/>
  <c r="E11" i="27"/>
  <c r="E12" i="27"/>
  <c r="E13" i="27"/>
  <c r="E14" i="27"/>
  <c r="G14" i="30"/>
  <c r="D14" i="30"/>
  <c r="C14" i="30"/>
  <c r="H14" i="29"/>
  <c r="G14" i="29"/>
  <c r="D14" i="29"/>
  <c r="C14" i="29"/>
  <c r="E14" i="29" s="1"/>
  <c r="F14" i="29" s="1"/>
  <c r="H6" i="26"/>
  <c r="I6" i="26" s="1"/>
  <c r="H7" i="26"/>
  <c r="H8" i="26"/>
  <c r="H9" i="26"/>
  <c r="H10" i="26"/>
  <c r="H11" i="26"/>
  <c r="H12" i="26"/>
  <c r="E7" i="26"/>
  <c r="I12" i="26"/>
  <c r="F12" i="26"/>
  <c r="E12" i="26"/>
  <c r="E13" i="26"/>
  <c r="F13" i="26" s="1"/>
  <c r="E14" i="26"/>
  <c r="F14" i="26" s="1"/>
  <c r="H14" i="26"/>
  <c r="I14" i="26" s="1"/>
  <c r="H13" i="26"/>
  <c r="I13" i="26" s="1"/>
  <c r="I11" i="26"/>
  <c r="E9" i="26"/>
  <c r="E10" i="26"/>
  <c r="F10" i="26" s="1"/>
  <c r="E11" i="26"/>
  <c r="F11" i="26" s="1"/>
  <c r="E8" i="26"/>
  <c r="I10" i="19"/>
  <c r="I12" i="19"/>
  <c r="I14" i="19"/>
  <c r="H10" i="19"/>
  <c r="H11" i="19"/>
  <c r="I11" i="19" s="1"/>
  <c r="H12" i="19"/>
  <c r="H13" i="19"/>
  <c r="I13" i="19" s="1"/>
  <c r="H14" i="19"/>
  <c r="F10" i="19"/>
  <c r="F12" i="19"/>
  <c r="F14" i="19"/>
  <c r="E10" i="19"/>
  <c r="E11" i="19"/>
  <c r="F11" i="19" s="1"/>
  <c r="E12" i="19"/>
  <c r="E13" i="19"/>
  <c r="F13" i="19" s="1"/>
  <c r="E14" i="19"/>
  <c r="H14" i="18"/>
  <c r="G14" i="18"/>
  <c r="D14" i="18"/>
  <c r="C14" i="18"/>
  <c r="E14" i="18" s="1"/>
  <c r="F14" i="18" s="1"/>
  <c r="I14" i="1"/>
  <c r="H14" i="1"/>
  <c r="G14" i="1"/>
  <c r="F14" i="1"/>
  <c r="E14" i="1"/>
  <c r="D14" i="1"/>
  <c r="C14" i="1"/>
  <c r="H6" i="20"/>
  <c r="I10" i="20"/>
  <c r="I11" i="20"/>
  <c r="I12" i="20"/>
  <c r="I13" i="20"/>
  <c r="I14" i="20"/>
  <c r="H9" i="20"/>
  <c r="H10" i="20"/>
  <c r="H10" i="18" s="1"/>
  <c r="H11" i="20"/>
  <c r="H11" i="18" s="1"/>
  <c r="H12" i="20"/>
  <c r="H13" i="20"/>
  <c r="H14" i="20"/>
  <c r="F9" i="20"/>
  <c r="F10" i="20"/>
  <c r="F11" i="20"/>
  <c r="F12" i="20"/>
  <c r="F13" i="20"/>
  <c r="F14" i="20"/>
  <c r="E9" i="20"/>
  <c r="E10" i="20"/>
  <c r="E11" i="20"/>
  <c r="E12" i="20"/>
  <c r="E13" i="20"/>
  <c r="E14" i="20"/>
  <c r="I14" i="21"/>
  <c r="I10" i="21"/>
  <c r="I11" i="21"/>
  <c r="I12" i="21"/>
  <c r="I13" i="21"/>
  <c r="H9" i="21"/>
  <c r="H10" i="21"/>
  <c r="H11" i="21"/>
  <c r="H12" i="21"/>
  <c r="H13" i="21"/>
  <c r="H14" i="21"/>
  <c r="F9" i="21"/>
  <c r="F10" i="21"/>
  <c r="F11" i="21"/>
  <c r="F12" i="21"/>
  <c r="F13" i="21"/>
  <c r="F14" i="21"/>
  <c r="E10" i="21"/>
  <c r="E11" i="21"/>
  <c r="E12" i="21"/>
  <c r="E13" i="21"/>
  <c r="E14" i="21"/>
  <c r="I14" i="4"/>
  <c r="H14" i="4"/>
  <c r="F14" i="4"/>
  <c r="E14" i="4"/>
  <c r="I14" i="3"/>
  <c r="H14" i="3"/>
  <c r="F14" i="3"/>
  <c r="E14" i="3"/>
  <c r="I13" i="72"/>
  <c r="I14" i="72"/>
  <c r="H13" i="72"/>
  <c r="H14" i="72"/>
  <c r="F13" i="72"/>
  <c r="E13" i="72"/>
  <c r="E14" i="72"/>
  <c r="F14" i="72" s="1"/>
  <c r="I9" i="4"/>
  <c r="I10" i="4"/>
  <c r="I11" i="4"/>
  <c r="I12" i="4"/>
  <c r="I13" i="4"/>
  <c r="H10" i="4"/>
  <c r="H11" i="4"/>
  <c r="H12" i="4"/>
  <c r="H13" i="4"/>
  <c r="F9" i="4"/>
  <c r="F10" i="4"/>
  <c r="F11" i="4"/>
  <c r="F12" i="4"/>
  <c r="F13" i="4"/>
  <c r="E10" i="4"/>
  <c r="E11" i="4"/>
  <c r="E12" i="4"/>
  <c r="E13" i="4"/>
  <c r="G12" i="30"/>
  <c r="G13" i="30"/>
  <c r="D12" i="30"/>
  <c r="D13" i="30"/>
  <c r="C12" i="30"/>
  <c r="C13" i="30"/>
  <c r="H12" i="29"/>
  <c r="H13" i="29"/>
  <c r="G12" i="29"/>
  <c r="G13" i="29"/>
  <c r="D12" i="29"/>
  <c r="D13" i="29"/>
  <c r="C12" i="29"/>
  <c r="C13" i="29"/>
  <c r="H12" i="18"/>
  <c r="H13" i="18"/>
  <c r="G12" i="18"/>
  <c r="G13" i="18"/>
  <c r="D12" i="18"/>
  <c r="D13" i="18"/>
  <c r="C12" i="18"/>
  <c r="C13" i="18"/>
  <c r="G13" i="1"/>
  <c r="D13" i="1"/>
  <c r="C13" i="1"/>
  <c r="C5" i="1"/>
  <c r="E6" i="3"/>
  <c r="E7" i="3"/>
  <c r="F7" i="3" s="1"/>
  <c r="E8" i="3"/>
  <c r="E9" i="3"/>
  <c r="E10" i="3"/>
  <c r="F10" i="3" s="1"/>
  <c r="E11" i="3"/>
  <c r="F11" i="3" s="1"/>
  <c r="E12" i="3"/>
  <c r="F12" i="3" s="1"/>
  <c r="E13" i="3"/>
  <c r="F13" i="3" s="1"/>
  <c r="E4" i="3"/>
  <c r="F4" i="3" s="1"/>
  <c r="H4" i="3"/>
  <c r="I4" i="3" s="1"/>
  <c r="H5" i="3"/>
  <c r="E5" i="3"/>
  <c r="H6" i="3"/>
  <c r="H7" i="3"/>
  <c r="I7" i="3" s="1"/>
  <c r="H8" i="3"/>
  <c r="H9" i="3"/>
  <c r="H10" i="3"/>
  <c r="I10" i="3" s="1"/>
  <c r="H11" i="3"/>
  <c r="I11" i="3" s="1"/>
  <c r="H12" i="3"/>
  <c r="H12" i="1" s="1"/>
  <c r="H13" i="3"/>
  <c r="H13" i="1" s="1"/>
  <c r="I9" i="3"/>
  <c r="F9" i="3"/>
  <c r="I12" i="72"/>
  <c r="H12" i="72"/>
  <c r="F12" i="72"/>
  <c r="E12" i="72"/>
  <c r="G12" i="1"/>
  <c r="D12" i="1"/>
  <c r="C12" i="1"/>
  <c r="I9" i="72"/>
  <c r="I11" i="72"/>
  <c r="H10" i="72"/>
  <c r="I10" i="72" s="1"/>
  <c r="H11" i="72"/>
  <c r="F9" i="72"/>
  <c r="F11" i="72"/>
  <c r="E10" i="72"/>
  <c r="F10" i="72" s="1"/>
  <c r="E11" i="72"/>
  <c r="H10" i="33"/>
  <c r="I10" i="33" s="1"/>
  <c r="H11" i="33"/>
  <c r="I11" i="33" s="1"/>
  <c r="E10" i="33"/>
  <c r="F10" i="33" s="1"/>
  <c r="E11" i="33"/>
  <c r="F11" i="33" s="1"/>
  <c r="G10" i="18"/>
  <c r="G11" i="18"/>
  <c r="D10" i="18"/>
  <c r="D11" i="18"/>
  <c r="C10" i="18"/>
  <c r="C11" i="18"/>
  <c r="G10" i="1"/>
  <c r="G11" i="1"/>
  <c r="D10" i="1"/>
  <c r="D11" i="1"/>
  <c r="C10" i="1"/>
  <c r="E10" i="1" s="1"/>
  <c r="F10" i="1" s="1"/>
  <c r="C11" i="1"/>
  <c r="D8" i="1"/>
  <c r="G8" i="1"/>
  <c r="D9" i="1"/>
  <c r="G9" i="1"/>
  <c r="C10" i="30"/>
  <c r="C11" i="30"/>
  <c r="D7" i="29"/>
  <c r="D8" i="29"/>
  <c r="D9" i="29"/>
  <c r="D10" i="29"/>
  <c r="D11" i="29"/>
  <c r="C7" i="29"/>
  <c r="C8" i="29"/>
  <c r="E8" i="29" s="1"/>
  <c r="F8" i="29" s="1"/>
  <c r="C9" i="29"/>
  <c r="E9" i="29" s="1"/>
  <c r="F9" i="29" s="1"/>
  <c r="C10" i="29"/>
  <c r="C11" i="29"/>
  <c r="H11" i="29"/>
  <c r="G7" i="29"/>
  <c r="G8" i="29"/>
  <c r="G9" i="29"/>
  <c r="G10" i="29"/>
  <c r="G11" i="29"/>
  <c r="H8" i="32"/>
  <c r="I8" i="32" s="1"/>
  <c r="E8" i="32"/>
  <c r="F8" i="32" s="1"/>
  <c r="H7" i="32"/>
  <c r="I7" i="32" s="1"/>
  <c r="E7" i="32"/>
  <c r="F7" i="32" s="1"/>
  <c r="H6" i="32"/>
  <c r="I6" i="32" s="1"/>
  <c r="E6" i="32"/>
  <c r="F6" i="32" s="1"/>
  <c r="H5" i="32"/>
  <c r="I5" i="32" s="1"/>
  <c r="E5" i="32"/>
  <c r="H4" i="32"/>
  <c r="I4" i="32" s="1"/>
  <c r="E4" i="32"/>
  <c r="F4" i="32" s="1"/>
  <c r="H10" i="32"/>
  <c r="E10" i="32"/>
  <c r="F10" i="32" s="1"/>
  <c r="H9" i="32"/>
  <c r="I9" i="32" s="1"/>
  <c r="E9" i="32"/>
  <c r="F9" i="32" s="1"/>
  <c r="D10" i="30"/>
  <c r="D11" i="30"/>
  <c r="G10" i="30"/>
  <c r="G11" i="30"/>
  <c r="C8" i="1"/>
  <c r="C9" i="1"/>
  <c r="E9" i="1" s="1"/>
  <c r="F9" i="1" s="1"/>
  <c r="C9" i="18"/>
  <c r="D9" i="18"/>
  <c r="G9" i="18"/>
  <c r="C7" i="18"/>
  <c r="D7" i="18"/>
  <c r="G7" i="18"/>
  <c r="C8" i="18"/>
  <c r="D8" i="18"/>
  <c r="G8" i="18"/>
  <c r="E8" i="72"/>
  <c r="F8" i="72"/>
  <c r="H8" i="72"/>
  <c r="I8" i="72" s="1"/>
  <c r="E9" i="72"/>
  <c r="H9" i="72"/>
  <c r="F8" i="3"/>
  <c r="I8" i="3"/>
  <c r="E8" i="4"/>
  <c r="F8" i="4"/>
  <c r="H8" i="4"/>
  <c r="I8" i="4" s="1"/>
  <c r="E9" i="4"/>
  <c r="H9" i="4"/>
  <c r="E8" i="21"/>
  <c r="F8" i="21" s="1"/>
  <c r="H8" i="21"/>
  <c r="I8" i="21" s="1"/>
  <c r="E9" i="21"/>
  <c r="I9" i="21"/>
  <c r="E8" i="20"/>
  <c r="F8" i="20"/>
  <c r="H8" i="20"/>
  <c r="I8" i="20" s="1"/>
  <c r="I9" i="20"/>
  <c r="E8" i="19"/>
  <c r="F8" i="19" s="1"/>
  <c r="H8" i="19"/>
  <c r="I8" i="19" s="1"/>
  <c r="E9" i="19"/>
  <c r="F9" i="19"/>
  <c r="H9" i="19"/>
  <c r="I9" i="19" s="1"/>
  <c r="F8" i="26"/>
  <c r="I8" i="26"/>
  <c r="F9" i="26"/>
  <c r="E8" i="27"/>
  <c r="F8" i="27" s="1"/>
  <c r="H8" i="27"/>
  <c r="I8" i="27" s="1"/>
  <c r="F9" i="27"/>
  <c r="H9" i="27"/>
  <c r="I9" i="27" s="1"/>
  <c r="E8" i="33"/>
  <c r="F8" i="33" s="1"/>
  <c r="H8" i="33"/>
  <c r="I8" i="33" s="1"/>
  <c r="E9" i="33"/>
  <c r="F9" i="33" s="1"/>
  <c r="H9" i="33"/>
  <c r="G5" i="30"/>
  <c r="G6" i="30"/>
  <c r="G7" i="30"/>
  <c r="G8" i="30"/>
  <c r="G9" i="30"/>
  <c r="G4" i="29"/>
  <c r="C8" i="30"/>
  <c r="D8" i="30"/>
  <c r="C9" i="30"/>
  <c r="D9" i="30"/>
  <c r="E8" i="28"/>
  <c r="F8" i="28" s="1"/>
  <c r="H8" i="28"/>
  <c r="I8" i="28"/>
  <c r="E9" i="28"/>
  <c r="F9" i="28"/>
  <c r="H7" i="31"/>
  <c r="I7" i="31" s="1"/>
  <c r="H8" i="31"/>
  <c r="H9" i="31"/>
  <c r="I9" i="31" s="1"/>
  <c r="E7" i="31"/>
  <c r="F7" i="31" s="1"/>
  <c r="E8" i="31"/>
  <c r="F8" i="31" s="1"/>
  <c r="E9" i="31"/>
  <c r="F9" i="31" s="1"/>
  <c r="E7" i="33"/>
  <c r="F7" i="33" s="1"/>
  <c r="H7" i="33"/>
  <c r="I7" i="33" s="1"/>
  <c r="E7" i="28"/>
  <c r="F7" i="28"/>
  <c r="H7" i="28"/>
  <c r="I7" i="28"/>
  <c r="C7" i="30"/>
  <c r="D7" i="30"/>
  <c r="C7" i="1"/>
  <c r="D7" i="1"/>
  <c r="G7" i="1"/>
  <c r="H7" i="27"/>
  <c r="I7" i="27" s="1"/>
  <c r="E7" i="27"/>
  <c r="F7" i="27"/>
  <c r="E7" i="21"/>
  <c r="F7" i="21"/>
  <c r="H7" i="21"/>
  <c r="I7" i="21"/>
  <c r="E7" i="4"/>
  <c r="F7" i="4" s="1"/>
  <c r="H7" i="4"/>
  <c r="I7" i="4"/>
  <c r="E7" i="72"/>
  <c r="F7" i="72"/>
  <c r="H7" i="72"/>
  <c r="I7" i="72" s="1"/>
  <c r="E7" i="20"/>
  <c r="F7" i="20" s="1"/>
  <c r="H7" i="20"/>
  <c r="I7" i="20"/>
  <c r="E7" i="19"/>
  <c r="F7" i="19" s="1"/>
  <c r="H7" i="19"/>
  <c r="I7" i="19" s="1"/>
  <c r="F7" i="26"/>
  <c r="G5" i="29"/>
  <c r="G6" i="29"/>
  <c r="D4" i="29"/>
  <c r="G6" i="18"/>
  <c r="G5" i="18"/>
  <c r="G4" i="18"/>
  <c r="E6" i="72"/>
  <c r="F6" i="72"/>
  <c r="E5" i="72"/>
  <c r="F5" i="72" s="1"/>
  <c r="E4" i="72"/>
  <c r="F4" i="72"/>
  <c r="B4" i="33" a="1"/>
  <c r="B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5" i="3"/>
  <c r="I5" i="3"/>
  <c r="F6" i="3"/>
  <c r="I6" i="3"/>
  <c r="G6" i="1"/>
  <c r="G5" i="1"/>
  <c r="G4" i="1"/>
  <c r="B4" i="34" a="1"/>
  <c r="B4" i="34" s="1"/>
  <c r="A4" i="34" a="1"/>
  <c r="A4" i="34" s="1"/>
  <c r="A1" i="34" a="1"/>
  <c r="A1" i="34"/>
  <c r="D6" i="30"/>
  <c r="C6" i="30"/>
  <c r="D5" i="30"/>
  <c r="C5" i="30"/>
  <c r="D4" i="30"/>
  <c r="C4" i="30"/>
  <c r="E4" i="30" s="1"/>
  <c r="F4" i="30" s="1"/>
  <c r="D6" i="29"/>
  <c r="C6" i="29"/>
  <c r="E6" i="29" s="1"/>
  <c r="F6" i="29" s="1"/>
  <c r="D5" i="29"/>
  <c r="C5" i="29"/>
  <c r="C4" i="29"/>
  <c r="D6" i="18"/>
  <c r="C6" i="18"/>
  <c r="E6" i="18" s="1"/>
  <c r="F6" i="18" s="1"/>
  <c r="D5" i="18"/>
  <c r="C5" i="18"/>
  <c r="D4" i="18"/>
  <c r="C4" i="18"/>
  <c r="B4" i="30" a="1"/>
  <c r="B4" i="30" s="1"/>
  <c r="A1" i="30" a="1"/>
  <c r="A1" i="30"/>
  <c r="B4" i="29" a="1"/>
  <c r="B4" i="29" s="1"/>
  <c r="A4" i="29" a="1"/>
  <c r="A4" i="29" s="1"/>
  <c r="A1" i="29" a="1"/>
  <c r="A1" i="29"/>
  <c r="B4" i="18" a="1"/>
  <c r="B4" i="18" s="1"/>
  <c r="A4" i="18" a="1"/>
  <c r="A4" i="18" s="1"/>
  <c r="A1" i="18" a="1"/>
  <c r="A1" i="18"/>
  <c r="C6" i="1"/>
  <c r="C4" i="1"/>
  <c r="D6" i="1"/>
  <c r="D5" i="1"/>
  <c r="D4" i="1"/>
  <c r="B4" i="1" a="1"/>
  <c r="B4" i="1" s="1"/>
  <c r="A4" i="1" a="1"/>
  <c r="A4" i="1" s="1"/>
  <c r="A1" i="1" a="1"/>
  <c r="A1" i="1"/>
  <c r="H6" i="33"/>
  <c r="I6" i="33" s="1"/>
  <c r="E6" i="33"/>
  <c r="F6" i="33" s="1"/>
  <c r="H5" i="33"/>
  <c r="I5" i="33" s="1"/>
  <c r="E5" i="33"/>
  <c r="F5" i="33" s="1"/>
  <c r="E4" i="33"/>
  <c r="F4" i="33" s="1"/>
  <c r="D2" i="33"/>
  <c r="C2" i="33"/>
  <c r="A1" i="33" a="1"/>
  <c r="A1" i="33" s="1"/>
  <c r="F5" i="32"/>
  <c r="G2" i="32"/>
  <c r="D2" i="32"/>
  <c r="C2" i="32"/>
  <c r="J2" i="32" s="1"/>
  <c r="A1" i="32" a="1"/>
  <c r="A1" i="32"/>
  <c r="H6" i="31"/>
  <c r="I6" i="31"/>
  <c r="E6" i="31"/>
  <c r="F6" i="31"/>
  <c r="H5" i="31"/>
  <c r="E5" i="31"/>
  <c r="F5" i="31" s="1"/>
  <c r="H4" i="31"/>
  <c r="I4" i="31"/>
  <c r="E4" i="31"/>
  <c r="F4" i="31" s="1"/>
  <c r="G2" i="31"/>
  <c r="D2" i="31"/>
  <c r="C2" i="31"/>
  <c r="H2" i="31" s="1"/>
  <c r="I2" i="31" s="1"/>
  <c r="A1" i="31" a="1"/>
  <c r="A1" i="31"/>
  <c r="H6" i="28"/>
  <c r="I6" i="28"/>
  <c r="E6" i="28"/>
  <c r="F6" i="28" s="1"/>
  <c r="H5" i="28"/>
  <c r="I5" i="28" s="1"/>
  <c r="E5" i="28"/>
  <c r="F5" i="28"/>
  <c r="H4" i="28"/>
  <c r="I4" i="28"/>
  <c r="E4" i="28"/>
  <c r="F4" i="28" s="1"/>
  <c r="B4" i="28" a="1"/>
  <c r="B4" i="28" s="1"/>
  <c r="G2" i="28"/>
  <c r="D2" i="28"/>
  <c r="C2" i="28"/>
  <c r="J2" i="28" s="1"/>
  <c r="A1" i="28" a="1"/>
  <c r="A1" i="28"/>
  <c r="H6" i="27"/>
  <c r="I6" i="27" s="1"/>
  <c r="E6" i="27"/>
  <c r="F6" i="27" s="1"/>
  <c r="H5" i="27"/>
  <c r="I5" i="27" s="1"/>
  <c r="E5" i="27"/>
  <c r="F5" i="27" s="1"/>
  <c r="H4" i="27"/>
  <c r="I4" i="27" s="1"/>
  <c r="E4" i="27"/>
  <c r="F4" i="27" s="1"/>
  <c r="G2" i="27"/>
  <c r="D2" i="27"/>
  <c r="C2" i="27"/>
  <c r="A1" i="27" a="1"/>
  <c r="A1" i="27"/>
  <c r="E6" i="26"/>
  <c r="F6" i="26"/>
  <c r="H5" i="26"/>
  <c r="I5" i="26" s="1"/>
  <c r="E5" i="26"/>
  <c r="F5" i="26" s="1"/>
  <c r="H4" i="26"/>
  <c r="I4" i="26"/>
  <c r="E4" i="26"/>
  <c r="F4" i="26"/>
  <c r="G2" i="26"/>
  <c r="D2" i="26"/>
  <c r="C2" i="26"/>
  <c r="A1" i="26" a="1"/>
  <c r="A1" i="26"/>
  <c r="H6" i="19"/>
  <c r="I6" i="19"/>
  <c r="E6" i="19"/>
  <c r="F6" i="19" s="1"/>
  <c r="H5" i="19"/>
  <c r="I5" i="19" s="1"/>
  <c r="E5" i="19"/>
  <c r="F5" i="19" s="1"/>
  <c r="H4" i="19"/>
  <c r="I4" i="19" s="1"/>
  <c r="E4" i="19"/>
  <c r="F4" i="19" s="1"/>
  <c r="G2" i="19"/>
  <c r="D2" i="19"/>
  <c r="C2" i="19"/>
  <c r="A1" i="19" a="1"/>
  <c r="A1" i="19"/>
  <c r="I6" i="20"/>
  <c r="E6" i="20"/>
  <c r="F6" i="20"/>
  <c r="H5" i="20"/>
  <c r="I5" i="20"/>
  <c r="E5" i="20"/>
  <c r="F5" i="20" s="1"/>
  <c r="H4" i="20"/>
  <c r="I4" i="20" s="1"/>
  <c r="E4" i="20"/>
  <c r="F4" i="20" s="1"/>
  <c r="G2" i="20"/>
  <c r="D2" i="20"/>
  <c r="C2" i="20"/>
  <c r="A1" i="20" a="1"/>
  <c r="A1" i="20"/>
  <c r="H6" i="21"/>
  <c r="I6" i="21" s="1"/>
  <c r="E6" i="21"/>
  <c r="F6" i="21"/>
  <c r="H5" i="21"/>
  <c r="I5" i="21" s="1"/>
  <c r="E5" i="21"/>
  <c r="F5" i="21" s="1"/>
  <c r="H4" i="21"/>
  <c r="H4" i="18" s="1"/>
  <c r="I4" i="18" s="1"/>
  <c r="I4" i="21"/>
  <c r="E4" i="21"/>
  <c r="F4" i="21" s="1"/>
  <c r="G2" i="21"/>
  <c r="D2" i="21"/>
  <c r="C2" i="21"/>
  <c r="J2" i="21" s="1"/>
  <c r="A1" i="21" a="1"/>
  <c r="A1" i="21"/>
  <c r="H6" i="4"/>
  <c r="I6" i="4"/>
  <c r="E6" i="4"/>
  <c r="F6" i="4"/>
  <c r="H5" i="4"/>
  <c r="I5" i="4"/>
  <c r="E5" i="4"/>
  <c r="F5" i="4"/>
  <c r="H4" i="4"/>
  <c r="I4" i="4" s="1"/>
  <c r="E4" i="4"/>
  <c r="F4" i="4"/>
  <c r="G2" i="4"/>
  <c r="D2" i="4"/>
  <c r="C2" i="4"/>
  <c r="A1" i="4" a="1"/>
  <c r="A1" i="4"/>
  <c r="G2" i="3"/>
  <c r="D2" i="3"/>
  <c r="C2" i="3"/>
  <c r="J2" i="3" s="1"/>
  <c r="A1" i="3" a="1"/>
  <c r="A1" i="3" s="1"/>
  <c r="H6" i="72"/>
  <c r="H6" i="1" s="1"/>
  <c r="I6" i="72"/>
  <c r="H5" i="72"/>
  <c r="H5" i="1" s="1"/>
  <c r="I5" i="1" s="1"/>
  <c r="H4" i="72"/>
  <c r="H4" i="1" s="1"/>
  <c r="G2" i="72"/>
  <c r="D2" i="72"/>
  <c r="C2" i="72"/>
  <c r="J2" i="72" s="1"/>
  <c r="A1" i="72" a="1"/>
  <c r="A1" i="72"/>
  <c r="I7" i="26"/>
  <c r="E5" i="29"/>
  <c r="F5" i="29" s="1"/>
  <c r="H4" i="33"/>
  <c r="H4" i="30" s="1"/>
  <c r="I4" i="33"/>
  <c r="G2" i="33"/>
  <c r="G4" i="30"/>
  <c r="H8" i="30" l="1"/>
  <c r="E6" i="30"/>
  <c r="F6" i="30" s="1"/>
  <c r="I14" i="30"/>
  <c r="E9" i="30"/>
  <c r="F9" i="30" s="1"/>
  <c r="E2" i="33"/>
  <c r="F2" i="33" s="1"/>
  <c r="E7" i="30"/>
  <c r="F7" i="30" s="1"/>
  <c r="H11" i="30"/>
  <c r="D4" i="34"/>
  <c r="I12" i="30"/>
  <c r="E12" i="30"/>
  <c r="F12" i="30" s="1"/>
  <c r="D6" i="34"/>
  <c r="I11" i="32"/>
  <c r="I12" i="32"/>
  <c r="I14" i="32"/>
  <c r="I13" i="30"/>
  <c r="I13" i="32"/>
  <c r="C2" i="30"/>
  <c r="H5" i="30"/>
  <c r="E5" i="30"/>
  <c r="F5" i="30" s="1"/>
  <c r="I5" i="31"/>
  <c r="E13" i="30"/>
  <c r="F13" i="30" s="1"/>
  <c r="E14" i="30"/>
  <c r="F14" i="30" s="1"/>
  <c r="H14" i="34"/>
  <c r="G14" i="34"/>
  <c r="D14" i="34"/>
  <c r="E12" i="29"/>
  <c r="F12" i="29" s="1"/>
  <c r="H9" i="29"/>
  <c r="I9" i="29" s="1"/>
  <c r="D2" i="29"/>
  <c r="H4" i="29"/>
  <c r="I4" i="29" s="1"/>
  <c r="H2" i="27"/>
  <c r="I2" i="27" s="1"/>
  <c r="E2" i="27"/>
  <c r="F2" i="27" s="1"/>
  <c r="J2" i="27"/>
  <c r="I13" i="29"/>
  <c r="I14" i="29"/>
  <c r="I12" i="29"/>
  <c r="H10" i="29"/>
  <c r="I10" i="26"/>
  <c r="I9" i="26"/>
  <c r="E10" i="29"/>
  <c r="F10" i="29" s="1"/>
  <c r="G2" i="29"/>
  <c r="I10" i="29"/>
  <c r="H5" i="29"/>
  <c r="I5" i="29" s="1"/>
  <c r="E7" i="29"/>
  <c r="F7" i="29" s="1"/>
  <c r="E4" i="29"/>
  <c r="F4" i="29" s="1"/>
  <c r="E13" i="29"/>
  <c r="F13" i="29" s="1"/>
  <c r="H2" i="26"/>
  <c r="I2" i="26" s="1"/>
  <c r="C2" i="29"/>
  <c r="E11" i="29"/>
  <c r="F11" i="29" s="1"/>
  <c r="D11" i="34"/>
  <c r="G4" i="34"/>
  <c r="E4" i="18"/>
  <c r="F4" i="18" s="1"/>
  <c r="I14" i="18"/>
  <c r="I13" i="18"/>
  <c r="H2" i="19"/>
  <c r="I2" i="19" s="1"/>
  <c r="H5" i="18"/>
  <c r="I5" i="18" s="1"/>
  <c r="I12" i="18"/>
  <c r="C14" i="34"/>
  <c r="D13" i="34"/>
  <c r="D9" i="34"/>
  <c r="H7" i="18"/>
  <c r="I7" i="18" s="1"/>
  <c r="E8" i="18"/>
  <c r="F8" i="18" s="1"/>
  <c r="D12" i="34"/>
  <c r="G12" i="34"/>
  <c r="E12" i="18"/>
  <c r="F12" i="18" s="1"/>
  <c r="C13" i="34"/>
  <c r="G13" i="34"/>
  <c r="E13" i="18"/>
  <c r="F13" i="18" s="1"/>
  <c r="E9" i="18"/>
  <c r="F9" i="18" s="1"/>
  <c r="I11" i="18"/>
  <c r="G11" i="34"/>
  <c r="C7" i="34"/>
  <c r="E7" i="18"/>
  <c r="F7" i="18" s="1"/>
  <c r="D7" i="34"/>
  <c r="H6" i="18"/>
  <c r="I6" i="18" s="1"/>
  <c r="I10" i="18"/>
  <c r="H12" i="34"/>
  <c r="E5" i="18"/>
  <c r="F5" i="18" s="1"/>
  <c r="D5" i="34"/>
  <c r="D2" i="18"/>
  <c r="E2" i="21"/>
  <c r="F2" i="21" s="1"/>
  <c r="C5" i="34"/>
  <c r="H2" i="21"/>
  <c r="I2" i="21" s="1"/>
  <c r="E4" i="1"/>
  <c r="F4" i="1" s="1"/>
  <c r="E2" i="4"/>
  <c r="F2" i="4" s="1"/>
  <c r="E13" i="1"/>
  <c r="F13" i="1" s="1"/>
  <c r="E12" i="1"/>
  <c r="F12" i="1" s="1"/>
  <c r="H13" i="34"/>
  <c r="I13" i="1"/>
  <c r="E6" i="1"/>
  <c r="F6" i="1" s="1"/>
  <c r="H11" i="1"/>
  <c r="E8" i="1"/>
  <c r="F8" i="1" s="1"/>
  <c r="H10" i="1"/>
  <c r="I10" i="1" s="1"/>
  <c r="I13" i="3"/>
  <c r="I12" i="3"/>
  <c r="I4" i="1"/>
  <c r="E11" i="1"/>
  <c r="F11" i="1" s="1"/>
  <c r="I6" i="1"/>
  <c r="C11" i="34"/>
  <c r="C12" i="34"/>
  <c r="I12" i="1"/>
  <c r="I11" i="1"/>
  <c r="G5" i="34"/>
  <c r="E5" i="1"/>
  <c r="F5" i="1" s="1"/>
  <c r="G2" i="1"/>
  <c r="I4" i="72"/>
  <c r="H7" i="1"/>
  <c r="I7" i="1" s="1"/>
  <c r="D2" i="1"/>
  <c r="C8" i="34"/>
  <c r="E2" i="28"/>
  <c r="F2" i="28" s="1"/>
  <c r="I11" i="29"/>
  <c r="H2" i="28"/>
  <c r="I2" i="28" s="1"/>
  <c r="E11" i="18"/>
  <c r="F11" i="18" s="1"/>
  <c r="H2" i="3"/>
  <c r="I2" i="3" s="1"/>
  <c r="H2" i="72"/>
  <c r="I2" i="72" s="1"/>
  <c r="G2" i="18"/>
  <c r="E2" i="19"/>
  <c r="F2" i="19" s="1"/>
  <c r="J2" i="26"/>
  <c r="E2" i="72"/>
  <c r="F2" i="72" s="1"/>
  <c r="E2" i="26"/>
  <c r="F2" i="26" s="1"/>
  <c r="E2" i="3"/>
  <c r="F2" i="3" s="1"/>
  <c r="E2" i="20"/>
  <c r="F2" i="20" s="1"/>
  <c r="E10" i="18"/>
  <c r="F10" i="18" s="1"/>
  <c r="C2" i="1"/>
  <c r="H2" i="20"/>
  <c r="I2" i="20" s="1"/>
  <c r="I5" i="72"/>
  <c r="E7" i="1"/>
  <c r="F7" i="1" s="1"/>
  <c r="C9" i="34"/>
  <c r="H8" i="18"/>
  <c r="I8" i="18" s="1"/>
  <c r="H8" i="29"/>
  <c r="I8" i="29" s="1"/>
  <c r="H7" i="29"/>
  <c r="I7" i="29" s="1"/>
  <c r="H7" i="30"/>
  <c r="I7" i="30" s="1"/>
  <c r="H9" i="18"/>
  <c r="I9" i="18" s="1"/>
  <c r="J2" i="20"/>
  <c r="I8" i="31"/>
  <c r="J2" i="19"/>
  <c r="J2" i="4"/>
  <c r="G9" i="34"/>
  <c r="E2" i="31"/>
  <c r="F2" i="31" s="1"/>
  <c r="C2" i="18"/>
  <c r="J2" i="31"/>
  <c r="G8" i="34"/>
  <c r="H6" i="29"/>
  <c r="I6" i="29" s="1"/>
  <c r="C4" i="34"/>
  <c r="E4" i="34" s="1"/>
  <c r="F4" i="34" s="1"/>
  <c r="D8" i="34"/>
  <c r="C10" i="34"/>
  <c r="G10" i="34"/>
  <c r="H8" i="1"/>
  <c r="I8" i="1" s="1"/>
  <c r="H9" i="1"/>
  <c r="I9" i="1" s="1"/>
  <c r="H2" i="4"/>
  <c r="I2" i="4" s="1"/>
  <c r="G6" i="34"/>
  <c r="H9" i="30"/>
  <c r="I9" i="30" s="1"/>
  <c r="I9" i="33"/>
  <c r="E10" i="30"/>
  <c r="F10" i="30" s="1"/>
  <c r="D10" i="34"/>
  <c r="E11" i="30"/>
  <c r="F11" i="30" s="1"/>
  <c r="J2" i="33"/>
  <c r="E8" i="30"/>
  <c r="F8" i="30" s="1"/>
  <c r="D2" i="30"/>
  <c r="H2" i="33"/>
  <c r="I2" i="33" s="1"/>
  <c r="I11" i="30"/>
  <c r="I10" i="32"/>
  <c r="H10" i="30"/>
  <c r="G7" i="34"/>
  <c r="H6" i="30"/>
  <c r="C6" i="34"/>
  <c r="I5" i="30"/>
  <c r="I8" i="30"/>
  <c r="G2" i="30"/>
  <c r="H2" i="32"/>
  <c r="I2" i="32" s="1"/>
  <c r="E2" i="32"/>
  <c r="F2" i="32" s="1"/>
  <c r="H4" i="34"/>
  <c r="I4" i="30"/>
  <c r="H11" i="34" l="1"/>
  <c r="E6" i="34"/>
  <c r="F6" i="34" s="1"/>
  <c r="I14" i="34"/>
  <c r="I4" i="34"/>
  <c r="E14" i="34"/>
  <c r="F14" i="34" s="1"/>
  <c r="E2" i="30"/>
  <c r="F2" i="30" s="1"/>
  <c r="E11" i="34"/>
  <c r="F11" i="34" s="1"/>
  <c r="E12" i="34"/>
  <c r="F12" i="34" s="1"/>
  <c r="E5" i="34"/>
  <c r="F5" i="34" s="1"/>
  <c r="H2" i="29"/>
  <c r="I2" i="29" s="1"/>
  <c r="E9" i="34"/>
  <c r="F9" i="34" s="1"/>
  <c r="E2" i="29"/>
  <c r="F2" i="29" s="1"/>
  <c r="E13" i="34"/>
  <c r="F13" i="34" s="1"/>
  <c r="E7" i="34"/>
  <c r="F7" i="34" s="1"/>
  <c r="H5" i="34"/>
  <c r="I5" i="34" s="1"/>
  <c r="I12" i="34"/>
  <c r="I11" i="34"/>
  <c r="I13" i="34"/>
  <c r="E8" i="34"/>
  <c r="F8" i="34" s="1"/>
  <c r="H9" i="34"/>
  <c r="I9" i="34" s="1"/>
  <c r="D2" i="34"/>
  <c r="E10" i="34"/>
  <c r="F10" i="34" s="1"/>
  <c r="H2" i="18"/>
  <c r="I2" i="18" s="1"/>
  <c r="E2" i="18"/>
  <c r="F2" i="18" s="1"/>
  <c r="E2" i="1"/>
  <c r="F2" i="1" s="1"/>
  <c r="H2" i="1"/>
  <c r="I2" i="1" s="1"/>
  <c r="H7" i="34"/>
  <c r="I7" i="34" s="1"/>
  <c r="H8" i="34"/>
  <c r="I8" i="34" s="1"/>
  <c r="I10" i="30"/>
  <c r="H10" i="34"/>
  <c r="I10" i="34" s="1"/>
  <c r="G2" i="34"/>
  <c r="H6" i="34"/>
  <c r="I6" i="34" s="1"/>
  <c r="I6" i="30"/>
  <c r="C2" i="34"/>
  <c r="H2" i="30"/>
  <c r="I2" i="30"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<sst xmlns="http://schemas.openxmlformats.org/spreadsheetml/2006/main" count="602" uniqueCount="354">
  <si>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</si>
  <si>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</si>
  <si>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</si>
  <si>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</si>
  <si>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</si>
  <si>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</si>
  <si>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</si>
  <si>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</si>
  <si>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</si>
  <si>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</si>
  <si>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</si>
  <si>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</si>
  <si>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</si>
  <si>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</si>
  <si>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</si>
  <si>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</si>
  <si>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</si>
  <si>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</si>
  <si>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</si>
  <si>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</si>
  <si>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</si>
  <si>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</si>
  <si>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tripped offline at 19:46 on 01/25 due to recloser trip and again back online on 10:45am on 01/26</t>
  </si>
  <si>
    <t>1.SR095981</t>
  </si>
  <si>
    <t>1.Low generation due to weather/snow.</t>
  </si>
  <si>
    <t>1.Site tripped offline at 04:45 on 01/05 due to SEL tripped offline later technician was able to re-energize the site on 12:45pm on 01/06
2. Tracker TCU 39 is not configured after being replaced on 12/16 and requires further troubleshooting with Suntrack.</t>
  </si>
  <si>
    <t>1.SR095317
2.SR095762</t>
  </si>
  <si>
    <t>1.Site was taken offline for replacing the transformer fuses by United power on 01/22 from 14:54 to 15:41.
2.Tracker 11 has been stuck and reporting "Motor overcurrent detected" on 01/09 technician was able to blocking &amp; alarm and trackers are back online at 10:30 on 01/28</t>
  </si>
  <si>
    <t>1.SR094826
2.SR095434</t>
  </si>
  <si>
    <t>1.Inverter 10 has tripped at 11:45am on 01/10 while United renewables was onsite later technician has brought inverter back online on 01/14 at 11:15
2.Site was taken offline from 08:15am to 15:00 on 01/23 by Asplundh Electrical for transformer testing.
3.All trackers are no tracking due to Overcurrent and snow alarm on 01/24.</t>
  </si>
  <si>
    <t>1.SR095486
2.SR095884
3.SR095924</t>
  </si>
  <si>
    <t>1. Low production due to snow/rain.</t>
  </si>
  <si>
    <t>February Actual v. Expected</t>
  </si>
  <si>
    <t>February Actual v. Forecasted</t>
  </si>
  <si>
    <t>1. Low generation due to weather/snow.</t>
  </si>
  <si>
    <t>1.Site tripped offline at 15:45 on 02/08/25 due to recloser trip and later auto reclosed back online at 19:00 the same day.</t>
  </si>
  <si>
    <t>1. SR096532</t>
  </si>
  <si>
    <t>1.Site tripped offline at 07:45AM on 02/19/25 due to recloser trip and was back online at 9:30AM on 02/21 after technician re-enerzied.</t>
  </si>
  <si>
    <t>1. SR097445</t>
  </si>
  <si>
    <t>1. Site was taken offline from 09:00 AM on 02/03/25 to 09:45 AM on 02/04/25 by United Renewable Energy to paint the transformer on-site. Site again tripped offline at 14:30 on the same day and came back online at 12:30 on 02/08/25, after the technician swapped the blown transformer fuses for a new type.
2. Tracker TCU 39 was reconfigured and set back to Auto by the technician, and it was operating as expected on 02/27/25. However the tracker was stuck again on 02/28/25.</t>
  </si>
  <si>
    <t>1. SR094897
2. SR095762</t>
  </si>
  <si>
    <t>SR095762</t>
  </si>
  <si>
    <t>1. Tracker 11 has been stuck and reporting "Motor overcurrent detected" on 02/06/25 technician was able to blocking &amp; alarm and trackers are back online at 18:15 on 02/10/25.
2. Tracker 11 has been stuck and reporting "Motor overcurrent detected" on 02/11/25 technician was able to blocking &amp; alarm and trackers are back online at 13:00 on 02/12/25.</t>
  </si>
  <si>
    <t>1. SR096403
2. SR096696</t>
  </si>
  <si>
    <t>SR096696</t>
  </si>
  <si>
    <t>1. Site was taken offline from 08:15 AM to 09:15 AM on 02/05/25 by United Renewable Energy to swap out parts of the transformer, and they left the GOAB open at Site A for further work. On 02/06/25, they re-energized the site and brought it back online at 11:30 AM. Additionally, they reset the AC combiner to restore voltage, bringing Inverters A 13-16 back online at 14:30 the same day.
2. Six trackers were stuck on 02/06/25. On 02/07/25, the technician secured the loose connection and found alarms for motor overcurrent. All trackers were inspected and cleared, and they returned to normal operation the same day.
3. Seven trackers were stuck on 02/10/25. On 02/11/25, the technician cleared the fault, and the trackers were operating normally the same day.
4. Multiple trackers were stuck on 02/19/25. On 02/24/25, the technician tightened the fuse holders and cleared the alarms, but further troubleshooting with Suntrack is required. On 02/26/25, the technician cleared all remaining fault alarms except for tracker 132, which requires additional troubleshooting.</t>
  </si>
  <si>
    <t>1. SR096326
2. SR096398
3. SR096626
4. SR096935</t>
  </si>
  <si>
    <t>SR096398</t>
  </si>
  <si>
    <t>SR096626</t>
  </si>
  <si>
    <t>SR096935</t>
  </si>
  <si>
    <t>1. Inverter 1.21 has been offline throughout the month. To bring it back online, the EPC needs to replace the inverter.
2.Inverter 2.11 tripped offline at 13:45 on 02/22/25 due to a grid phase voltage out of range and remained offline throughout the month.</t>
  </si>
  <si>
    <t>1. SR097527
2. SR097650</t>
  </si>
  <si>
    <t>SR097650</t>
  </si>
  <si>
    <t>March Actual v. Expected</t>
  </si>
  <si>
    <t>March Actual v. Forecasted</t>
  </si>
  <si>
    <t>1. Site was taken offline from 09:05am to 11:10am on 03/14 as to replace the voltage sensing cable.</t>
  </si>
  <si>
    <t>1.SR096338</t>
  </si>
  <si>
    <t>1. The site tripped offline at 23:00 EDT on 03/16. On 03/17. The technician performed a reset and closed the recloser. The site was back online from 08:45 AM on 03/17</t>
  </si>
  <si>
    <t>1.SR098647</t>
  </si>
  <si>
    <t>1. The site tripped offline at 10:15 EDT on 03/03. On 03/05, a technician found the SEL and both pad breakers open, closed them, and restored production. The site has been online and producing normally since 13:15 EDT on 03/05</t>
  </si>
  <si>
    <t>1.SR097988</t>
  </si>
  <si>
    <t>1. Site production was low on 03/05, 03/16, 03/17, 03/24 and 03/30 due to bad weather.</t>
  </si>
  <si>
    <t>1. Site tripped offline at 14:25 EDT on 03/05. On 03/06, a technician closed the recloser at 10:15 EDT. Tracker TSU 8 (address 39) was misaligned, deviating. After renergization,the technician adjusted it to match TSU 7, cleared the blocking, and restored proper tracking.
2. USNE technician took the site offline from 11:55am to 15:05 on 03/18 for transformer testing. 
3. On 03/20, a technician visited the site to troubleshoot inverter 15's frequent trip events (since 03/17) and trackers 39, 28, and 35. Inverter 15 and two fuses are being RMA'd, with further tracker troubleshooting needed. 
4. The Site is experiencing the following tracker issues:
NCU-01: Tracker 39 is stuck at -56°. Tracker 28 deviates during morning hours and  experiences intermittent failure.
NCU-02: Tracker 35 deviates during morning hours and experiences intermittent              failure.</t>
  </si>
  <si>
    <t>1.SR098176
2.SR098356
3.SR098701
4.SR098775</t>
  </si>
  <si>
    <t>SR098356</t>
  </si>
  <si>
    <t>SR098701</t>
  </si>
  <si>
    <t>SR098775</t>
  </si>
  <si>
    <t>1. NCU-01 (120): Tracker Position TCU 11 stuck at -54 degrees from 10:15 EDT on 03/27</t>
  </si>
  <si>
    <t>1.SR098907</t>
  </si>
  <si>
    <t>1. NCU-A.01-tracker 132 was stuck on 02/19/25. On 03/10, a technician power-cycled all NCUs, restoring communication except for tracker 132, which had wind damage. Further troubleshooting was needed. On 03/28, a technician cleared faults and aligned all trackers except tracker 132. Inverter A.22 has one string (11) disconnected until tracker repairs are complete
2. Site was de-energized by the USNE technician at 08:45 AM on 03/13 to work on the transformers.Site was Re-energized at 12:00 EDT on 03/13
3. Inverter A.34 is derating 50% during morning hours  becuase of the trackers stuck</t>
  </si>
  <si>
    <t>1.SR096935,SR098375,SR098777
2.SR097819</t>
  </si>
  <si>
    <t>SR098375</t>
  </si>
  <si>
    <t>SR098777</t>
  </si>
  <si>
    <t>SR097819</t>
  </si>
  <si>
    <t>1.NSU 02 - Tracker 49 motor is stuck at -16.9 degrees on 02/08/25 from 08:45AM from then it started reporting in different values which is impacting Inverter 05 production after mid-day.</t>
  </si>
  <si>
    <t>1.SR098763</t>
  </si>
  <si>
    <t>1. Inverter 1.21 was offline from 03/01. On 03/18, a USNE technician replaced it but noted further troubleshooting was needed. The site remained offline until the punch list was completed on 03/19, when it was re-energized at 18:15 EDT. Inverters 1.04, 2.10, and 2.11 are offline due to removed faulty AC combiner fuses. Inverter 1.22 is producing power but not communicating, likely due to a daisy chain issue with the unprogrammed inverter 1.21.
2. Inverter 2.11 was offline from 03/01. On 03/04, a technician found the fault "Out of phase-Occur" and identified a blown fuse. Technician mentioned a fuse replacement is needed, and the inverter will remain offline.On 03/27, a technician  replaced the blown fuse and re-powdered AC combiner and inverter2.11 .Inverter 2.11 is back online and producing as expected from 10:25 EDT.
3. Inverter 2.09 tripped offline at 14:30 on 03/24. On 03/27, a technician replaced the blown Phase B fuse and re-powered the inverter. It was back online at 12:00 EDT.
4. Inverters 1.04 and 2.10 went offline after USNE technician's checkout on 03/19 due to faulty AC combiner fuses. On 03/27, a technician found Inverter 2.10 had a damaged insulated fuse stud preventing fuse installation, while Inverter 1.04 was unresponsive and mentioned Both the inverters will remain offline until repaired.
5. Inverter 2.05 tripped offline at 14:15 after a USNE technician check out and remained offline for rest of the month.</t>
  </si>
  <si>
    <t>1.SR097527
2.SR097650,SR098979
3.SR098946,	SR098979
4.SR098979,SR099163
5.SR099057</t>
  </si>
  <si>
    <t>SR098979</t>
  </si>
  <si>
    <t>SR098946</t>
  </si>
  <si>
    <t>SR099163</t>
  </si>
  <si>
    <t>SR099057</t>
  </si>
  <si>
    <t>1. Site production was low on 03/05 to 03/07, 03/16 to 03/17, 03/20 to 03/21, 03/24 to 03/25 and 03/30 to 03/31.</t>
  </si>
  <si>
    <t>April Actual v. Expected</t>
  </si>
  <si>
    <t>April Actual v. Forecasted</t>
  </si>
  <si>
    <t>1.Inverter 2 started late for production at 13:30 on 04/23 and found  inverter DC voltages are high. Inverter 2 tripped offline at 12:30pm on 04/26. Inverter 2 has started for production on 04/27 ,voltages are normalized ,issue got self resolved.</t>
  </si>
  <si>
    <t>1.SR100208</t>
  </si>
  <si>
    <t>1.Since 03/18/25, Inverter 8 has been derating by ~25–30 kW during high irradiance due to increase in internal temperatures, possibly from a fan fault. On 04/19, a technician found string 6 on CB 8 reading low voltage (1135V vs. 1165V), suggesting a possible bad panel. CB 8 location differs from plans; further troubleshooting is needed.
2.Site tripped offline at 11:33 AM on 04/19 and was back online at 16:30 after the technician closed the relay.</t>
  </si>
  <si>
    <t>1.SR099753
2.SR100017</t>
  </si>
  <si>
    <t>SR100017</t>
  </si>
  <si>
    <t xml:space="preserve">1. Site tripped offline at 14:18 on 04/03 and was back online at 10:15 after the technician closed the relay on 04/05
2.Inverter 17 was offline on 04/26 and then started for production next day issue self resolved.
</t>
  </si>
  <si>
    <t>1.SR099376
2.SR100451</t>
  </si>
  <si>
    <t>SR100451</t>
  </si>
  <si>
    <t>1.Inverter 15 is being RMAD from 04/10 due to its multiple trip events.On 04/30 ,technician troubleshoot the inverter came back online at 14:45 on 04/30
2.The site was offline from 17:15 on 04/29 to 06:45 EDT on 04/30 due to transformer testing conducted by USNE.
3.The site tripped offline at 12:30 EDT on 04/30 and back online at 13:30 the same day. The issue got self-resolved.
4.Multiple trackers were observed stuck on various days with no consistent pattern.</t>
  </si>
  <si>
    <t>1.SR098701
2.SR100667
3.SR100717
4.SR098775</t>
  </si>
  <si>
    <t>SR100667</t>
  </si>
  <si>
    <t>SR100717</t>
  </si>
  <si>
    <t>1.Inverter 2 tripped offline at 11:15 AM on 04/01 and was back online at 14:48 the same day. The issue self-resolved
2. Inverter 2 tripped offline from 11:30 to 12:30 EDT. Inverter 3 tripped offline from 12:30 to 14:00 and again from 14:45 to 17:30 on 04/23.Issue got resolved after tech visit and they are operating on 04/24.</t>
  </si>
  <si>
    <t>1.SR099279
2.SR100248,SR100392</t>
  </si>
  <si>
    <t>SR100248</t>
  </si>
  <si>
    <t>SR100392</t>
  </si>
  <si>
    <t>1.NCU-01 (120): Tracker Position TCU 11 stuck at -54 degrees from 03/21.Issue existed for rest of the month</t>
  </si>
  <si>
    <t xml:space="preserve">1.NCU-A.01-tracker 132 was stuck on 02/19/25 .On 04/21 ,technician received the materials from FlexRack and further accessed the wind damage to the row and then  also replaced the GHI sensor wiring for site A. From then POA sensor is communicating.Additional troubleshooting is required
2.All Pad A inverters and the meter tripped offline at 13:30 on 04/10 and back online at 17:30 the same day after technician closed relay on Pad A.
3.Site was offline from 12:30 to 13:45 on 04/28 due to RESA technician check into the site for repairing the breaker on a transformer
4.All trackers are stuck from 10:45AM on 04/29 All trackers has resumed tracking on 04/30 except - NCU A.01 - Tracker S132 still struck , NCU A.02 - Trackers S71 &amp; S72 still struck , NCU B.01 - Tracker S2 still struck.
</t>
  </si>
  <si>
    <t>1.SR098375
2.SR099651
3.SR100352
4.SR100666</t>
  </si>
  <si>
    <t>SR099651</t>
  </si>
  <si>
    <t>SR100352</t>
  </si>
  <si>
    <t>SR100666</t>
  </si>
  <si>
    <t xml:space="preserve">1.Tracker 76 motor has been observed stuck at 30.76° across multiple days, with no consistent time pattern,NSU 02 - Tracker 49 motor is stuck at -16.9 degrees on 02/08/25 from 08:45AM,NSU 02 - Tracker 27 motor is struck at -1.01 DEG .Inverter 05 is impacting production after mid-day.
</t>
  </si>
  <si>
    <t>1.Inverter 1.04 &amp;2.10 are offline throughout the month.Inverter 2.10 has damaged insulated fuse stud which is preventing fuse from being installed. Inverter 1.04 is unresponsive and pending RMA for the wire box 
2.The site remained offline from 15:45 on 04/07 to 07:45 on 04/10 due to weather-related outages in the area. Power was restored on 04/08, after a technician closed the recloser.
3.Trackers stuck at 0 degrees and set points are also reporting 0 degrees from 04/23 All trackers started tracking from 04/25 10:00AM. Issue got self resolved</t>
  </si>
  <si>
    <t>1.SR098979
2.SR099483
3.SR100204</t>
  </si>
  <si>
    <t>SR099483</t>
  </si>
  <si>
    <t>SR100204</t>
  </si>
  <si>
    <t>1.The site tripped offline at 12:15 on 04/15 and was back online at 13:30 after the recloser auto-reclosed.</t>
  </si>
  <si>
    <t>1.SR099819</t>
  </si>
  <si>
    <t>May Actual v. Expected</t>
  </si>
  <si>
    <t>May Actual v. Forecasted</t>
  </si>
  <si>
    <t>1. Site was tripped offline from 05/20 at 11:00 and offline for End of the month due to utility was working on substation.</t>
  </si>
  <si>
    <t>1. SR101723</t>
  </si>
  <si>
    <t>1. Inverter 8 was derating by 40kW down for whole month compared to its peers due to the fan being RMA'd.
2. Site was offline from 09:45 to 13:00 on 05/16 due to utility outage. 
3. The site went offline on 05/25 at 14:30. On 05/27, a technician inspected the MV lines and switchgear and found that the recloser and the main breaker had tripped. He reclosed the site, and it was back online at 09:00  on 05/27.
4.The site tripped offline on 05/28 at 16:40. It was later remotely reset, and Pad 2 came back online at 21:00; however, Pad 1 remained offline. A technician later re-energized the site at 08:15 on 05/29. The site tripped offline again on 05/29 at 13:45 and was re-energized by a technician at 15:45 the same day.
5.  The site tripped offline at 17:56 on 05/30 and came back online at 18:20 on the same day. Pad 2 was restored, but Pad 1 remained offline.</t>
  </si>
  <si>
    <t>1. SR099753
2. SR101577
3. SR101927
4. SR102059
5. 	SR102206</t>
  </si>
  <si>
    <t>SR101577</t>
  </si>
  <si>
    <t>SR101927</t>
  </si>
  <si>
    <t>SR102059</t>
  </si>
  <si>
    <t>SR102206</t>
  </si>
  <si>
    <t>1. Inverter 17 had late starting issue.</t>
  </si>
  <si>
    <t>1.SR100451</t>
  </si>
  <si>
    <t>Based on actual weather station data, the site is performing close to expected levels, with no major events or anomalies observed during the reporting period</t>
  </si>
  <si>
    <t>1. Site tripped offline on 05/04 at 18:15 due to storm activity. On 05/05  technician reclosed the recloser site came back online at 13:45
2. NCU 01 tracker 39, NCU 02 trackers 44 &amp; 47 (tracker and setpoint 0 DEG) were stuck technician was on site on 05/15 to troubleshoot the trackers NCU 1 TCU 39 was set to auto and resumed tracking. The NCU 2 TCU 44 &amp; 47 have blown fuses and will remain stuck until replacements can be installed. On 05/18 NCU 01 tracker 39 got stuck again.</t>
  </si>
  <si>
    <t>1. SR100717
2. SR098775</t>
  </si>
  <si>
    <t>N/A</t>
  </si>
  <si>
    <t>While expected energy data is not available, weather station data indicates normal irradiance levels, and no major issues were observed on site. Based on available information, system performance appears consistent with typical operating conditions.</t>
  </si>
  <si>
    <t>1. Site tripped offline on 05/11 at 13:30 due to utility had a line outage for emergency work. On 05/12 at 10:00 technician re-energized the site.
2. Site tripped offline on 05/02 at 16:00 due to fiuse blown on transformer and later technician re-energised the site on 05/06 at 09:00 but inverters 1, 2, 3, 4 and 5 remained offline and back online on 05/12 at 10:00 after technician reclose the breaker.</t>
  </si>
  <si>
    <t>1. SR101280
2. SR101153, SR100944</t>
  </si>
  <si>
    <t>SR101153</t>
  </si>
  <si>
    <t>SR100944</t>
  </si>
  <si>
    <t xml:space="preserve">1. NCU A.01 - Tracker S132 struck, NCU A.02 - Trackers S71 &amp; S72 struck, NCU B.01 - Tracker S2 struck for whole month. </t>
  </si>
  <si>
    <t>1. SR100666</t>
  </si>
  <si>
    <t>1. Site tripped offline at 13:30 on 05/11 due to Utility line outage for emergency work. On 05/12 at 09:00 the technician re-energised the site.</t>
  </si>
  <si>
    <t>1. SR101281</t>
  </si>
  <si>
    <t xml:space="preserve">1. United Renewable Energy checked in to work on punch list items and combiner boxes. They de-energized the site at 08:00 on 05/09 and re-energized it later at 18:30 the same day.
2. The site tripped offline 11:45 on 05/19 due to blown fuse on phase B and lighting arrester was disconnected and later on 05/22 client hired MV Crew to close in the site. the site was back online at 08:00 on 05/22.
3. Inverter 1.04 went offline on 05/22. A technician later replaced the AC fuse, and the inverter was back online on 05/28 at 09:00.
4. Multiple inverters are underperforming intermittentle due to  defective modules. Site has already had 300+ modules swapped before turnover.  </t>
  </si>
  <si>
    <t>1. SR101218
2. SR101676
3. SR101870
4. SR101433</t>
  </si>
  <si>
    <t>SR101676</t>
  </si>
  <si>
    <t>SR101870</t>
  </si>
  <si>
    <t>SR101433</t>
  </si>
  <si>
    <t>1. Site tripped offline at 00:30 on 05/18, later technician re-energised the site at 11:45 and again the site tripped offline at 15:00 on 05/18. On 05/19 technician re-energised the site and came back online at 08:00.
2. The site tripped offline at 18:00 on 05/19 due to an osprey building a nest on the GOAB pole and later MV crew removed nest and site was back online at 09:00am on 05/20
3. Site tripped offline at 02:15  on 05/23, later technician confirmed that the site will remain offline. On 05/27 USNE checked in to remove bird nest after clearing the bird nest and installing a bird deterrent on the pole. However, the USNE technician discovered that two CTs on the meter cluster were damaged due to arcing and showed signs of physical damage. As a result, technician was unable to re-energize the site.</t>
  </si>
  <si>
    <t>1. SR101630
2. SR101682
3. SR101874, SR101953, SR102195</t>
  </si>
  <si>
    <t>SR101682</t>
  </si>
  <si>
    <t>SR101874</t>
  </si>
  <si>
    <t>SR101953</t>
  </si>
  <si>
    <t>SR102195</t>
  </si>
  <si>
    <t>June Actual v. Expected</t>
  </si>
  <si>
    <t>June Actual v. Forecasted</t>
  </si>
  <si>
    <t>1. The site tripped offline on 05/20 at 11:00 and remained offline through the end of the month due to utility work at the substation.</t>
  </si>
  <si>
    <t>1.	SR101723</t>
  </si>
  <si>
    <t>1.Inverter 8 was derating by 40kW down for whole month compared to its peers. The inverter was being RMA'd on 06/26.
2.Pad 2 offline from 05/30 and came back online at 12:15 on 06/02
3. The site tripped offline at 12:00 on 06/13 due to a wire damaged by a mouse inside the grounding transformer. The site came back online at 19:00 on 06/16.
4. Site tripped offline from 14:26 to 19:56 on 06/19 due to SEL relay open and site was came back online by remote reset.</t>
  </si>
  <si>
    <t>1.SR099753
2.SR102206
3.SR102976
4.	SR103173</t>
  </si>
  <si>
    <t>SR102976</t>
  </si>
  <si>
    <t>SR103173</t>
  </si>
  <si>
    <t>1.NCU 01 tracker 39 and NCU 02 trackers 44 and 47 (tracker and setpoint at 0°) were stuck. A technician was on site on 05/15 to troubleshoot the trackers. NCU 1 TCU 39 was set to auto and resumed tracking. However, NCU 2 TCU 44 and 47 had blown fuses and will remain stuck until replacements can be installed. On 05/18, NCU 01 tracker 39 got stuck again.
2.Site was offline from 08:00 to 08:30 on 06/13 due to EPC work.</t>
  </si>
  <si>
    <t>1.	SR098775
2.SR102835</t>
  </si>
  <si>
    <t>SR102835</t>
  </si>
  <si>
    <t>1.Inverter B.14 underproduced by 40kW and later tripped offline from 14:50 to 15:07 on 06/18.
2. Inverters A.01 through A.24 tripped offline at 09:30 from 06/25 and remained offline rest of the month. Dispatch has been scheduled on 07/01.</t>
  </si>
  <si>
    <t>1.	SR103146
2.	SR103521</t>
  </si>
  <si>
    <t>SR103521</t>
  </si>
  <si>
    <t>1.NCU 2 tracker 34 struck at 4.96 DEG and 65 struck at -50.74 DEG and also Inverter 05 was impacting production after mid-day. Will need to be investigate.</t>
  </si>
  <si>
    <t>1.Site was offline due to relay open on 06/02. On 06/05 at 09:45 site came back online.
2.Site tripped offline at 17:00  from 06/07 due to utility outage. On 06/09 site came back online at 12:45.
3.Inverter 2.08 is derating at 78kW from 06/19 and reporting "External Fan Err".  All three fans are being RMA'd.
4.The site tripped offline at 07:30 on 06/20. It came back online at 10:00 on 06/25, but tripped offline again at 17:30 on the same day due to utility voltage fluctuations. The site came back online at 06:30 on 06/27.</t>
  </si>
  <si>
    <t>1.SR102290
2.	SR102653
3.SR103179
4.	SR103189</t>
  </si>
  <si>
    <t>SR102653</t>
  </si>
  <si>
    <t>SR103179</t>
  </si>
  <si>
    <t>SR103189</t>
  </si>
  <si>
    <t xml:space="preserve"> 1.Site tripped offline at 02:15 from 05/23. On 06/16  after completing the CT work and the site cam eback onlline at 16:45 on 06/16.</t>
  </si>
  <si>
    <t>1.SR101874, SR101953, SR102195</t>
  </si>
  <si>
    <t>July Actual v. Expected</t>
  </si>
  <si>
    <t>July Actual v. Forecasted</t>
  </si>
  <si>
    <t>1. Site was offline since 05/20 due to substation work. The site was re-energized on 07/17.</t>
  </si>
  <si>
    <t xml:space="preserve">1. Inverter 8 was being RMA'd since 06/26 and it has been replaced on 07/30. The derating issue has been resolved.
2. Site tripped offline at 11:30 on 07/25, PAD A back online at 12:15 and PAD B back online at 18:00.
</t>
  </si>
  <si>
    <t>1. SR099753
2. SR105028, SR105036</t>
  </si>
  <si>
    <t>1. Inverter 26 started late for the production at 11:45 on 07/14. 
2. Site tripped offlie at 15:15 pn 07/21 and re-energized on 07/29. PAD 2 was still with no communications from 07/29 at 11:45 and remained offline. And later back online at 13:30 07/30</t>
  </si>
  <si>
    <t>1. SR104396
2. SR104727</t>
  </si>
  <si>
    <t>1. Site tripped offline at 8:30 and back online at 11:00 on 07/01.
2. Site tripped offline at 7:30 on 07/28 and back online at 14:30 on 07/28.</t>
  </si>
  <si>
    <t>1. SR103826
2. SR105144</t>
  </si>
  <si>
    <t>1. On 07/02  technician replaced fuses for trackers NCU 1 TCU 39, NCU 2 TCU 44, 46, 47. 
2. Site was offline from 9:15 to 10:15 due to MV work on 07/02.
3. Site was offline from 8:30 to 10:45 on 07/08 and from 8:15 to 9:00 on 07/09 due to MV work.
4. Inverter 12 did not start for production on 07/31 and later back online at 11:00AM on same day.</t>
  </si>
  <si>
    <t>1. SR098775   SR103960
2. SR103825
3. SR104125
4. SR105427</t>
  </si>
  <si>
    <t>1. Inverters A.01 to A.12 are offline since 07/01, additional torubleshooting required.</t>
  </si>
  <si>
    <t>1. SR103521, SR104611</t>
  </si>
  <si>
    <t>1. On 07/29 technician tighten the loose connections and all trackers were started operating.
2. Site tripped offline at 7:15 and back online at 16:30 on 07/18.</t>
  </si>
  <si>
    <t>1. SR098763
2. SR104607</t>
  </si>
  <si>
    <t xml:space="preserve">1. On 07/11 technician replaced fuses for inverter 2.08 and the derating issue got reslolved.
2. Total of 17 trackers were struck since 07/07, waitimg for the response from manufacturer for RMA.
3. Inverter 2.12 stopped communicating at 13:30 on 07/17, production cannot confirmed. Inverter required new external fans and remains offline.
4. Inverter 1.13 is derating and reporting a fan error - issue ivery intermittent from 07/25
</t>
  </si>
  <si>
    <t xml:space="preserve">1. SR103179
2. SR104107
3. SR104588
4. SR105061
</t>
  </si>
  <si>
    <t>August Actual v. Expected</t>
  </si>
  <si>
    <t>August Actual v. Forecasted</t>
  </si>
  <si>
    <t>1. Site was offline from 09:15 to 17:15 on 08/21.
2. Site was offline from 10:00 to 14:30 on 08/01.</t>
  </si>
  <si>
    <t>1. SR106633
2. SR105480</t>
  </si>
  <si>
    <t>SR105480</t>
  </si>
  <si>
    <t>1. Inverter 10 was underproduced 25kW for whole month.
2. inverter 7 was underproduced 45kW from 08/01 to 16:00 on 08/12. On 08/12 the inverter started underperform 13kW compared to peers to end of month
3. Inverter 18 was offline from 11:00 on 08/12 to end of the month.
4. Inverter 28 was offline from 08/01 to 16:00 on 08/11
5. Inverter 1 is underproducing by 11kW, Inverter 2 is underproducing by 12kW, Inverter 6 is underproducing by 20kW, Inverter 11 is underproducing by 20kW, and Inverter 12 is underperforming by 13kW.</t>
  </si>
  <si>
    <t>1. SR105851
2.SR105935
3. SR106139
4. SR105541
5. SR107166</t>
  </si>
  <si>
    <t>SR105935</t>
  </si>
  <si>
    <t>SR106139</t>
  </si>
  <si>
    <t>SR105541</t>
  </si>
  <si>
    <t>SR107166</t>
  </si>
  <si>
    <t>1.Site offline from 09:45 to 11:00 on 08/11 due to technicin was on site</t>
  </si>
  <si>
    <t>1.PM2962</t>
  </si>
  <si>
    <t>1. All trackers associated with NCU-01 and NCU-02 were stuck from 08/01 to 08/11. For 2 trackers fuses need to be replaced.</t>
  </si>
  <si>
    <t>1. SR106818</t>
  </si>
  <si>
    <t>1.Inverter 4 was offline from 06:00 to 09:15 on 08/31</t>
  </si>
  <si>
    <t>1.SR107243</t>
  </si>
  <si>
    <t>1. NCU 01 TCUs 47 &amp; 117 and setpoints stuck for whole month.</t>
  </si>
  <si>
    <t>1. SR098907</t>
  </si>
  <si>
    <t>1. Inverters A.01 through A.12  were offline for whole month. Inverters A13 to A40 were offline from 10:45 to 13:00 on 08/12</t>
  </si>
  <si>
    <t>1. SR104611, SR103521</t>
  </si>
  <si>
    <t>1.  NCU 2 tracker 30 was stuck for whole month, NCU 2 Tracker 13 and setpoint are stuck at 50.76 DEG at 16:30 on 08/18 to end of month.</t>
  </si>
  <si>
    <t>1. SR105504</t>
  </si>
  <si>
    <t>1. Inverter 2.09 was derated by 40kW for whole month.
2.  Inverter 2.08 was derated at 78kW from 08/01 to 08/15
3. Inverter 1.13 was derated by 50kW from 07/25 to 08/15
4. Inverter 2.12 was offline from 07/23 to 16:00 on 08/01
5. GW01A tracker #3, 9, 15, 16, 26, 48, 50, 52, 56, 60, 62, 68 - 12 trackers and GW01B #86, 101, 107, 111, 113, 114, 123, 125, 129, 130, 131, 135, 137, 145, 146, 149, 150 - 17 trackers total were stuck for whole month</t>
  </si>
  <si>
    <t>1. SR106949
2. SR106207
3. SR105061
4. SR104588
5. SR104107</t>
  </si>
  <si>
    <t>SR106207</t>
  </si>
  <si>
    <t>SR105061</t>
  </si>
  <si>
    <t>SR104588</t>
  </si>
  <si>
    <t>SR104107</t>
  </si>
  <si>
    <t>1. Site was offline from 16:00 on 08/17 to 12:00 on 08/20.</t>
  </si>
  <si>
    <t>1. SR106400</t>
  </si>
  <si>
    <t>September Actual v. Expected</t>
  </si>
  <si>
    <t>September Actual v. Forecasted</t>
  </si>
  <si>
    <t>1.Site tripped offline at 14:19 on 09/10 and back online at 10:15 on 09/15.
2.Site tripped offline at 00:45 on 09/26 and back onine at 8:45 on 09/30.</t>
  </si>
  <si>
    <t>1.SR107777
2.SR108597</t>
  </si>
  <si>
    <t>SR108597</t>
  </si>
  <si>
    <t>1. Inverter 18 was offline from 11:00 on 08/12 and back online at 13:00 on 09/03
2. Inverter 1 has been underproducing by 11 kW since 08:00 on 08/02, while Inverter 2 has been underproducing by 12 kW since 13:15 on 08/05. Inverter 6 has been underproducing by 20 kW since 13:45 on 08/06, and Inverter 12 has been underproducing by 13 kW since 14:30 on the same day. Additionally, Inverter 11 has been underproducing by 20 kW since 16:15 on 08/08.
3.Inverter 10 is underperforming approx. 40kW compared to its peers.
4. Site has tripped offline at 9:30 on 09/22 and back online at 09:15 on 09/23
5. Inverter 17 started late at 09:15 for the production on 09/23
6. Inverter 18 started late at 10:00 for the production on 09/23</t>
  </si>
  <si>
    <t>1.SR106139
2.SR107166 
3.SR105851
4.SR108383
5.SR108401
6.SR108402</t>
  </si>
  <si>
    <t>SR105851</t>
  </si>
  <si>
    <t>SR108383</t>
  </si>
  <si>
    <t>SR108401</t>
  </si>
  <si>
    <t>SR108402</t>
  </si>
  <si>
    <t>1.Inverter 12 was offline for whole day on 09/05 and later back online at 13:30 on 09/06.
2. The forecasted values are based on long-term average weather data, typically covering 10–15 years. These values are appear lower; however, the previous month’s figures in PowerTrack seem accurate. The discrepancy observed this month is most likely due to a data glitch.</t>
  </si>
  <si>
    <t>1.SR107544</t>
  </si>
  <si>
    <t>1.All inverters tripped offline at 12:30 on 09/05 and later back online at 18:00 on 09/11
2.NCU 01 TCUs 47 &amp; 117 and setpoints stuck for whole month.</t>
  </si>
  <si>
    <t>1.SR107531
2.SR098907</t>
  </si>
  <si>
    <t>SR098907</t>
  </si>
  <si>
    <t>1. Site was taken offline from 12:45 to 14:00 on 09/11 while UNSE was onsite and inverter A.01 through A.12 are back online at 14:00 on 09/11</t>
  </si>
  <si>
    <t>1.SR104611</t>
  </si>
  <si>
    <t>1.SR105504</t>
  </si>
  <si>
    <t>1.Site tripped offline from 10:00 to 10:30 on 09/25 while technician on site.
2. GW01A tracker #3, 9, 15, 16, 26, 48, 50, 52, 56, 60, 62, 68 - 12 trackers and GW01B #86, 101, 107, 111, 113, 114, 123, 125, 129, 130, 131, 135, 137, 145, 146, 149, 150 - 17 trackers total were stuck for whole month</t>
  </si>
  <si>
    <t>1.SR108534
2.SR104107</t>
  </si>
  <si>
    <t>1.Inverter tripped offline at 17:00 on 09/09 and back online at 09:30 on 09/17</t>
  </si>
  <si>
    <t>1.SR107648</t>
  </si>
  <si>
    <t>October Actual v. Expected</t>
  </si>
  <si>
    <t>October Actual v. Forecasted</t>
  </si>
  <si>
    <t>Status</t>
  </si>
  <si>
    <t>1.Inverter 7 offline on 10/13 and back online on 10/14.</t>
  </si>
  <si>
    <t>1.SR109467</t>
  </si>
  <si>
    <t>1.Closed</t>
  </si>
  <si>
    <t>1.Site tripped offline at 09:00 on 10/23 and it came back online at 17:45 on 10/24</t>
  </si>
  <si>
    <t>1.SR109868</t>
  </si>
  <si>
    <t>1.Site tripped offline at 07:15 on 10/05 and it came back online at 09:00 on 10/06</t>
  </si>
  <si>
    <t>1.SR109058</t>
  </si>
  <si>
    <t>1. Inverter 28 is underproducing by 15kW, inverter 30 is underproducing by 30kW, Inverter 29 is underproducing by 38kW for whole month</t>
  </si>
  <si>
    <t>1. SR110592</t>
  </si>
  <si>
    <t>1. New</t>
  </si>
  <si>
    <t>1. 2 trackers being RMA'd.</t>
  </si>
  <si>
    <t>1. Pending</t>
  </si>
  <si>
    <t>1. Inverter 4 has evening shading.</t>
  </si>
  <si>
    <t>1.The forecasted values are based on long-term average weather data, typically covering 10–15 years. These values are appear lower; however, the previous month’s figures in PowerTrack seem accurate. The discrepancy observed this month is most likely due to a data glitch.</t>
  </si>
  <si>
    <t>1.Multiple trackers are stuck through out the month</t>
  </si>
  <si>
    <t>1.	SR109334</t>
  </si>
  <si>
    <t>1.Pending</t>
  </si>
  <si>
    <t xml:space="preserve">1.NCU 2 tracker 31 and setpoint are tracking out of line with their peers.
NCU 2 tracker 9 and setpoint are also out of line from 10/27 at 15:00. 
</t>
  </si>
  <si>
    <t>1.SR109872</t>
  </si>
  <si>
    <t>1. Tracker were stuck at 0.26 degree from 10/01 to 10/29.</t>
  </si>
  <si>
    <t>1. 	SR109240</t>
  </si>
  <si>
    <t>1.Weather station reporting as expected since 10/23</t>
  </si>
  <si>
    <t>1.	SR104395</t>
  </si>
  <si>
    <t>November Actual v. Expected</t>
  </si>
  <si>
    <t>November Actual v. Forecasted</t>
  </si>
  <si>
    <t>1Inverters 1 and 2 are experiencing a morning shading issue.</t>
  </si>
  <si>
    <t>1. Site tripped and recloser opened at 09:31 on 11/24 and back online at 11:00 on 11/25. Again site was offline from 09:45 to 12:45 on 11/26. Site again tripped offline from 22:30 to 11/30.
2.Site tripped offline at 11:19 and back online at 11:48 on 11/16</t>
  </si>
  <si>
    <t>1.SR111519
2.SR111170</t>
  </si>
  <si>
    <t>1.Pending
2.Closed</t>
  </si>
  <si>
    <t>SR111170</t>
  </si>
  <si>
    <t>1. Inverters 17 &amp; 18 are offline on 11/10 to 11/12 and back online on 11/13. On 11/19 technician has reduced the settings to the inevrters. Inverters 17 &amp; 18 were starting late for the production most of the days throughout the month.</t>
  </si>
  <si>
    <t>1.SR110394</t>
  </si>
  <si>
    <t xml:space="preserve">1.Inverter 28 is underproducing by 15kW, inverter 30 is underproducing by 30kW, Inverter 29 is underproducing by 38kW. On 11/06 technician stated that these 3 inverters are at the front of the field, obscured by a high treeline. </t>
  </si>
  <si>
    <t>1.SR110592</t>
  </si>
  <si>
    <t>1.NCU 01 TCU 18, 28, 39, 46, &amp; 50 NCU 02 TCU 12 &amp; 47 has been stuck later technician has replaced replaced fuses and RMA'd 3 TCUs on 11/23.
2.Site tripped offline from 20:45 on 11/03 and later back online at 11:00 on 11/04
3.2 trackers being RMA'd.</t>
  </si>
  <si>
    <t>1.SR111071
2.SR110573
3.Pending</t>
  </si>
  <si>
    <t>SR110573</t>
  </si>
  <si>
    <t>1.TCUs 81 &amp; 100 are stuck.</t>
  </si>
  <si>
    <t>1.SR111075</t>
  </si>
  <si>
    <t>1. On 11/07 Tech power cycled tracker system, trackers tracking as expected from 11/07
2.NCU-A.01 tracker 132 and NCU-A.02 tracker 70 are stuck from 11/26</t>
  </si>
  <si>
    <t>1.SR109334
2.SR111761</t>
  </si>
  <si>
    <t>1.Closed
2.Pending</t>
  </si>
  <si>
    <t>SR111761</t>
  </si>
  <si>
    <t>1.NCU 2 tracker 37 and setpoint became stuck soon after the site was re-energized on 11/20.
2.Site tripped offline at 01:30 on 11/19 and back online at 09:15 on 11/20
3.Site tripped offline at 08:15 on 11/28 and back online at remained offline rest of the month.</t>
  </si>
  <si>
    <t>1.SR111445
2.SR111293
3.SR111818</t>
  </si>
  <si>
    <t>1.Pending
2.Closed
3.Work in progress</t>
  </si>
  <si>
    <t>SR111293</t>
  </si>
  <si>
    <t>SR111818</t>
  </si>
  <si>
    <t>1. Inverters 1 through 19 derating at 1.5kW on 11/26 and later issue resolved by remotely at 14:00 on 11/26</t>
  </si>
  <si>
    <t>1.SR111773</t>
  </si>
  <si>
    <t>1.Site production was low due snow or rain on 11/09 , 11/10 , 11/16 , 11/30</t>
  </si>
  <si>
    <t>December Actual v. Expected</t>
  </si>
  <si>
    <t>December Actual v. Forecasted</t>
  </si>
  <si>
    <t>1.Inverters 1 and 2 are experiencing a morning shading issue.
2.Site production was low on 12/14, 12/15 &amp; 12/16 due to snow</t>
  </si>
  <si>
    <t>1.Site tripped offline at 12:30 on 11/30 and back online at 09:45 on 12/01 but PAD 2 is offline from 12/01 later back online at 11:45 on 12/04
2.Site tripped offline at 17:45 on 12/06 and back at 14:15 on 12/08
3.Site tripped offline from 13:45 to 15:30 on 12/29</t>
  </si>
  <si>
    <t>1.SR111519
2.SR112323
3.SR113758</t>
  </si>
  <si>
    <t>1.Closed
2.Closed
3.Closed</t>
  </si>
  <si>
    <t>SR113758</t>
  </si>
  <si>
    <t>1.Site production was low from 12/02 to 12/07 due to snow</t>
  </si>
  <si>
    <t>1.Inverter 28 is underproducing by 15kW, inverter 30 is underproducing by 30kW, Inverter 29 is underproducing by 38kW. On 11/06 technician stated that these 3 inverters are at the front of the field, obscured by a high treeline. 
1.Site production was low 12/02, 12/08,12/24,12/26 &amp;12/27 due to snow</t>
  </si>
  <si>
    <t>1.NCU 01 TCU 18, 28, 39, 46, &amp; 50 NCU 02 TCU 12 &amp; 47 has been stuck later technician has replaced fuses and RMA'd 3 TCUs on 11/23.
2.Site was offline from 7:45 to 15:00 on 12/04
3.Site production was low 12/12, 12/13 &amp;12/30 due to snow</t>
  </si>
  <si>
    <t>1.SR106818, SR113646
2.SR112077</t>
  </si>
  <si>
    <t>SR112077</t>
  </si>
  <si>
    <t>1. Inverter 4 has evening shading.
2.Site production was low on 12/02, 12/04, 12/06, 12/14,12/19, 12/24 &amp; 12/30 due to snow</t>
  </si>
  <si>
    <t xml:space="preserve">1.TCUs 81 &amp; 100 and TCUs 4 and setpoint, 65, and 117 are stuck. </t>
  </si>
  <si>
    <t>1.NCU-A.01 tracker 132 and NCU-A.02 tracker 70 are stuck. ON 12/31 tech has disabled tracker 132 due to structural damage
2.Pad B inverters has tripped offline at 13:30 on 12/29 and later back online at 12:30 on 12/31</t>
  </si>
  <si>
    <t>1.SR111761
2.SR113751</t>
  </si>
  <si>
    <t>1.Pending
2.Pending</t>
  </si>
  <si>
    <t>1.All NCU 1 trackers and NCU 2 TCU 56 are stuck from 07:00 to 14:00 on 12/29 due to wind
2.Site tripped offline at 08:15 on 11/28 and back online at 12:40 on 12/01
3. Inverters tripped offline at 10:15 on 12/02 and back online at 09:30 on 12/03
4.Site tripped offline at 12:00 on 12/05 and later back online at 15:00 on 12/08
5.Site tripped offline at 15:30 on 12/11 and back online at 10:00 12/14</t>
  </si>
  <si>
    <t>1.SR113733
2.SR111818
3.SR111939
4.SR112291
5.SR112585</t>
  </si>
  <si>
    <t>1.Pending
2.Closed
3.Closed
4.Closed
5.Closed</t>
  </si>
  <si>
    <t>SR111939</t>
  </si>
  <si>
    <t>SR112291</t>
  </si>
  <si>
    <t>SR112585</t>
  </si>
  <si>
    <t>1.Site tripped offline at 09:45 on 12/22 and back online at 14:00 on 12/31</t>
  </si>
  <si>
    <t>1.SR113453</t>
  </si>
  <si>
    <t>1.Site production was low on 12/02 to 12/10,12/19, 12/24 &amp; 12/30 due to snow</t>
  </si>
  <si>
    <t>Portfolio:</t>
  </si>
  <si>
    <t>Renewable Properties</t>
  </si>
  <si>
    <t>Site DAS Name</t>
  </si>
  <si>
    <t>Update</t>
  </si>
  <si>
    <t>DAS</t>
  </si>
  <si>
    <t>60 Cedar Swamp Rd. (Renewable Properties)</t>
  </si>
  <si>
    <t>Cedar Swamp Rd</t>
  </si>
  <si>
    <t>MA</t>
  </si>
  <si>
    <t>PowerTrack</t>
  </si>
  <si>
    <t>Bullis</t>
  </si>
  <si>
    <t>NY</t>
  </si>
  <si>
    <t>AEF</t>
  </si>
  <si>
    <t>Rock Island NY (Renew Prop)</t>
  </si>
  <si>
    <t>Rock Island</t>
  </si>
  <si>
    <t>Roderick Road</t>
  </si>
  <si>
    <t>Winslow - Roderick</t>
  </si>
  <si>
    <t>ME</t>
  </si>
  <si>
    <t>Clemons Road</t>
  </si>
  <si>
    <t>Minoa - Clemons Rd</t>
  </si>
  <si>
    <t>Western Ave Solar</t>
  </si>
  <si>
    <t>Manchester - Western</t>
  </si>
  <si>
    <t>Batavia - Pike Rd</t>
  </si>
  <si>
    <t xml:space="preserve"> Lockport - Slayton A &amp; B</t>
  </si>
  <si>
    <t>Slayton A &amp; B</t>
  </si>
  <si>
    <t>Alexander Road</t>
  </si>
  <si>
    <t>Batavia - Alexander Rd</t>
  </si>
  <si>
    <t>Henry Gibson</t>
  </si>
  <si>
    <t xml:space="preserve">NC: Gibson – Henry Gibson Solar </t>
  </si>
  <si>
    <t>NC</t>
  </si>
  <si>
    <t>Pushaw</t>
  </si>
  <si>
    <t>Bangor - Pushaw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</si>
</sst>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u/>
      <sz val="10"/>
      <color theme="10"/>
      <name val="Arial"/>
      <family val="2"/>
    </font>
    <font>
      <sz val="11"/>
      <name val="Calibri"/>
      <family val="2"/>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107">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0" fontId="33" fillId="0" borderId="0" xfId="0" applyFont="1" applyAlignment="1">
      <alignment vertical="center"/>
    </xf>
    <xf numFmtId="0" fontId="29" fillId="2" borderId="11" xfId="0" applyFont="1" applyFill="1" applyBorder="1" applyAlignment="1">
      <alignment horizontal="center" vertical="center" wrapText="1"/>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22" fillId="0" borderId="0" xfId="43" applyFont="1" applyAlignment="1">
      <alignment horizontal="center" vertical="center"/>
    </xf>
    <xf numFmtId="0" fontId="0" fillId="0" borderId="0" xfId="0" applyAlignment="1">
      <alignment horizontal="left" wrapText="1"/>
    </xf>
    <xf numFmtId="49" fontId="27" fillId="40" borderId="1" xfId="0" applyNumberFormat="1" applyFont="1" applyFill="1" applyBorder="1" applyAlignment="1">
      <alignment horizontal="center" vertical="center"/>
    </xf>
    <xf numFmtId="49" fontId="28" fillId="40" borderId="1" xfId="0" applyNumberFormat="1" applyFont="1" applyFill="1" applyBorder="1" applyAlignment="1">
      <alignment horizontal="center" vertical="center"/>
    </xf>
    <xf numFmtId="164" fontId="28" fillId="44" borderId="1" xfId="1" applyNumberFormat="1" applyFont="1" applyFill="1" applyBorder="1" applyAlignment="1">
      <alignment horizontal="center" vertical="center"/>
    </xf>
    <xf numFmtId="3" fontId="30" fillId="3" borderId="1" xfId="0" applyNumberFormat="1" applyFont="1" applyFill="1" applyBorder="1" applyAlignment="1">
      <alignment horizontal="right" vertical="center"/>
    </xf>
    <xf numFmtId="9" fontId="30" fillId="3" borderId="1" xfId="2" applyFont="1" applyFill="1" applyBorder="1" applyAlignment="1">
      <alignment horizontal="center" vertical="center"/>
    </xf>
    <xf numFmtId="3" fontId="30" fillId="4" borderId="1" xfId="1" applyNumberFormat="1" applyFont="1" applyFill="1" applyBorder="1" applyAlignment="1">
      <alignment vertical="center"/>
    </xf>
    <xf numFmtId="9" fontId="30" fillId="37" borderId="1" xfId="2" applyFont="1" applyFill="1" applyBorder="1" applyAlignment="1">
      <alignment horizontal="center" vertical="center"/>
    </xf>
    <xf numFmtId="49" fontId="27" fillId="0" borderId="1" xfId="0" applyNumberFormat="1" applyFont="1" applyBorder="1" applyAlignment="1">
      <alignment horizontal="center" vertical="center"/>
    </xf>
    <xf numFmtId="49" fontId="28" fillId="0" borderId="1" xfId="0" applyNumberFormat="1" applyFont="1" applyBorder="1" applyAlignment="1">
      <alignment horizontal="center" vertical="center"/>
    </xf>
    <xf numFmtId="164" fontId="28" fillId="0" borderId="1" xfId="1" applyNumberFormat="1" applyFont="1" applyBorder="1" applyAlignment="1">
      <alignment horizontal="center" vertical="center"/>
    </xf>
    <xf numFmtId="3" fontId="30" fillId="0" borderId="1" xfId="0" applyNumberFormat="1" applyFont="1" applyBorder="1" applyAlignment="1">
      <alignment horizontal="right" vertical="center"/>
    </xf>
    <xf numFmtId="9" fontId="30" fillId="0" borderId="1" xfId="2" applyFont="1" applyFill="1" applyBorder="1" applyAlignment="1">
      <alignment horizontal="center" vertical="center"/>
    </xf>
    <xf numFmtId="3" fontId="30" fillId="0" borderId="1" xfId="1" applyNumberFormat="1" applyFont="1" applyFill="1" applyBorder="1" applyAlignment="1">
      <alignment vertical="center"/>
    </xf>
    <xf numFmtId="49" fontId="27" fillId="40" borderId="1" xfId="0" applyNumberFormat="1" applyFont="1" applyFill="1" applyBorder="1" applyAlignment="1">
      <alignment horizontal="left" vertical="center"/>
    </xf>
    <xf numFmtId="49" fontId="27" fillId="0" borderId="1" xfId="0" applyNumberFormat="1" applyFont="1" applyBorder="1" applyAlignment="1">
      <alignment horizontal="left"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vertic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5" fillId="45" borderId="11" xfId="0" applyFont="1" applyFill="1" applyBorder="1" applyAlignment="1">
      <alignment horizontal="center" vertical="center"/>
    </xf>
    <xf numFmtId="0" fontId="24" fillId="42" borderId="11" xfId="0" applyFont="1" applyFill="1" applyBorder="1" applyAlignment="1">
      <alignment horizontal="center"/>
    </xf>
    <xf numFmtId="0" fontId="34" fillId="40" borderId="1" xfId="0" applyFont="1" applyFill="1" applyBorder="1" applyAlignment="1">
      <alignment horizontal="left"/>
    </xf>
    <xf numFmtId="0" fontId="28" fillId="40" borderId="1" xfId="0" applyFont="1" applyFill="1" applyBorder="1" applyAlignment="1">
      <alignment horizontal="center" vertical="center"/>
    </xf>
    <xf numFmtId="49" fontId="30" fillId="38" borderId="1" xfId="2" applyNumberFormat="1" applyFont="1" applyFill="1" applyBorder="1" applyAlignment="1">
      <alignment vertical="top" wrapText="1"/>
    </xf>
    <xf numFmtId="0" fontId="27" fillId="0" borderId="1" xfId="0" applyFont="1" applyBorder="1" applyAlignment="1">
      <alignment horizontal="left" vertical="center"/>
    </xf>
    <xf numFmtId="0" fontId="28" fillId="0" borderId="1" xfId="0" applyFont="1" applyBorder="1" applyAlignment="1">
      <alignment horizontal="center" vertical="center"/>
    </xf>
    <xf numFmtId="49" fontId="28" fillId="0" borderId="1" xfId="0" applyNumberFormat="1" applyFont="1" applyBorder="1" applyAlignment="1">
      <alignment vertical="center" wrapText="1"/>
    </xf>
    <xf numFmtId="0" fontId="27" fillId="40" borderId="1" xfId="0" applyFont="1" applyFill="1" applyBorder="1" applyAlignment="1">
      <alignment horizontal="left" vertical="center"/>
    </xf>
    <xf numFmtId="0" fontId="34" fillId="40" borderId="1" xfId="0" applyFont="1" applyFill="1" applyBorder="1" applyAlignment="1">
      <alignment horizontal="center"/>
    </xf>
    <xf numFmtId="0" fontId="27" fillId="0" borderId="1" xfId="0" applyFont="1" applyBorder="1" applyAlignment="1">
      <alignment horizontal="center" vertical="center"/>
    </xf>
    <xf numFmtId="0" fontId="27" fillId="40" borderId="1" xfId="0" applyFont="1" applyFill="1" applyBorder="1" applyAlignment="1">
      <alignment horizontal="center" vertical="center"/>
    </xf>
    <xf numFmtId="49" fontId="28" fillId="0" borderId="1" xfId="0" applyNumberFormat="1" applyFont="1" applyBorder="1" applyAlignment="1">
      <alignment horizontal="left" vertical="top" wrapText="1"/>
    </xf>
    <xf numFmtId="49" fontId="28" fillId="0" borderId="1" xfId="0" applyNumberFormat="1" applyFont="1" applyBorder="1" applyAlignment="1">
      <alignment vertical="top" wrapText="1"/>
    </xf>
    <xf numFmtId="0" fontId="22" fillId="0" borderId="0" xfId="43" applyFont="1"/>
    <xf numFmtId="9" fontId="30" fillId="3" borderId="12" xfId="2" applyFont="1" applyFill="1" applyBorder="1" applyAlignment="1">
      <alignment horizontal="center" vertical="center"/>
    </xf>
    <xf numFmtId="0" fontId="32" fillId="0" borderId="1" xfId="0" applyFont="1" applyBorder="1"/>
    <xf numFmtId="0" fontId="22" fillId="0" borderId="0" xfId="43" applyFont="1" applyAlignment="1">
      <alignment horizontal="left" vertical="top" wrapText="1"/>
    </xf>
    <xf numFmtId="0" fontId="35" fillId="0" borderId="1" xfId="0" applyFont="1" applyBorder="1" applyAlignment="1">
      <alignment horizontal="center" vertical="center"/>
    </xf>
    <xf numFmtId="0" fontId="30" fillId="0" borderId="1" xfId="0" applyFont="1" applyBorder="1" applyAlignment="1">
      <alignment horizontal="center"/>
    </xf>
    <xf numFmtId="49" fontId="30" fillId="38" borderId="1" xfId="2" applyNumberFormat="1" applyFont="1" applyFill="1" applyBorder="1" applyAlignment="1">
      <alignment horizontal="left" vertical="top" wrapText="1"/>
    </xf>
    <xf numFmtId="0" fontId="22" fillId="0" borderId="0" xfId="43" applyFont="1" applyAlignment="1">
      <alignment horizontal="left" wrapText="1"/>
    </xf>
    <xf numFmtId="0" fontId="32" fillId="0" borderId="13" xfId="0" applyFont="1" applyBorder="1"/>
    <xf numFmtId="3" fontId="30" fillId="4" borderId="11" xfId="1" applyNumberFormat="1" applyFont="1" applyFill="1" applyBorder="1" applyAlignment="1">
      <alignment vertical="center"/>
    </xf>
    <xf numFmtId="9" fontId="30" fillId="0" borderId="12" xfId="2" applyFont="1" applyFill="1" applyBorder="1" applyAlignment="1">
      <alignment horizontal="center" vertical="center"/>
    </xf>
    <xf numFmtId="3" fontId="30" fillId="0" borderId="14" xfId="1" applyNumberFormat="1" applyFont="1" applyFill="1" applyBorder="1" applyAlignment="1">
      <alignment vertical="center"/>
    </xf>
    <xf numFmtId="0" fontId="2" fillId="0" borderId="0" xfId="0" applyFont="1"/>
    <xf numFmtId="0" fontId="30" fillId="0" borderId="13" xfId="0" applyFont="1" applyBorder="1" applyAlignment="1">
      <alignment horizontal="left" vertical="top" wrapText="1"/>
    </xf>
    <xf numFmtId="0" fontId="30" fillId="0" borderId="13" xfId="0" applyFont="1" applyBorder="1" applyAlignment="1">
      <alignment horizontal="center" vertical="center"/>
    </xf>
    <xf numFmtId="0" fontId="0" fillId="0" borderId="0" xfId="0" applyAlignment="1">
      <alignment wrapText="1"/>
    </xf>
    <xf numFmtId="0" fontId="32" fillId="0" borderId="13" xfId="0" applyFont="1" applyBorder="1" applyAlignment="1">
      <alignment vertical="center"/>
    </xf>
    <xf numFmtId="0" fontId="30" fillId="0" borderId="13" xfId="0" applyFont="1" applyBorder="1" applyAlignment="1">
      <alignment horizontal="right" vertical="center"/>
    </xf>
    <xf numFmtId="9" fontId="30" fillId="0" borderId="1" xfId="2" applyFont="1" applyBorder="1" applyAlignment="1">
      <alignment horizontal="center" vertical="center"/>
    </xf>
    <xf numFmtId="3" fontId="30" fillId="0" borderId="1" xfId="1" applyNumberFormat="1" applyFont="1" applyBorder="1" applyAlignment="1">
      <alignment vertical="center"/>
    </xf>
    <xf numFmtId="49" fontId="36" fillId="0" borderId="1" xfId="45" applyNumberFormat="1" applyBorder="1" applyAlignment="1">
      <alignment horizontal="left" vertical="top" wrapText="1"/>
    </xf>
    <xf numFmtId="49" fontId="36" fillId="38" borderId="1" xfId="45" applyNumberFormat="1" applyFill="1" applyBorder="1" applyAlignment="1">
      <alignment horizontal="left" vertical="top" wrapText="1"/>
    </xf>
    <xf numFmtId="0" fontId="36" fillId="0" borderId="13" xfId="45" applyBorder="1" applyAlignment="1">
      <alignment horizontal="left" vertical="top" wrapText="1"/>
    </xf>
    <xf numFmtId="0" fontId="0" fillId="0" borderId="0" xfId="0" applyAlignment="1">
      <alignment horizontal="left" vertical="top"/>
    </xf>
    <xf numFmtId="0" fontId="36" fillId="0" borderId="0" xfId="45" applyAlignment="1">
      <alignment horizontal="left" vertical="top" wrapText="1"/>
    </xf>
    <xf numFmtId="0" fontId="36" fillId="0" borderId="0" xfId="45" applyAlignment="1">
      <alignment horizontal="left" vertical="top"/>
    </xf>
    <xf numFmtId="49" fontId="36" fillId="38" borderId="1" xfId="45" applyNumberFormat="1" applyFill="1" applyBorder="1" applyAlignment="1">
      <alignment vertical="top" wrapText="1"/>
    </xf>
    <xf numFmtId="49" fontId="28" fillId="0" borderId="1" xfId="0" applyNumberFormat="1" applyFont="1" applyBorder="1" applyAlignment="1">
      <alignment horizontal="left" vertical="center" wrapText="1"/>
    </xf>
    <xf numFmtId="49" fontId="36" fillId="0" borderId="1" xfId="45" applyNumberFormat="1" applyBorder="1" applyAlignment="1">
      <alignment vertical="top" wrapText="1"/>
    </xf>
    <xf numFmtId="0" fontId="37" fillId="0" borderId="0" xfId="0" applyFont="1" applyAlignment="1">
      <alignment wrapText="1"/>
    </xf>
    <xf numFmtId="0" fontId="0" fillId="0" borderId="0" xfId="0" applyAlignment="1">
      <alignment vertical="top"/>
    </xf>
    <xf numFmtId="0" fontId="36" fillId="0" borderId="0" xfId="45" applyAlignment="1">
      <alignment vertical="top"/>
    </xf>
    <xf numFmtId="3" fontId="30" fillId="4" borderId="13" xfId="1" applyNumberFormat="1" applyFont="1" applyFill="1" applyBorder="1" applyAlignment="1">
      <alignment vertical="center"/>
    </xf>
    <xf numFmtId="3" fontId="30" fillId="4" borderId="14" xfId="1" applyNumberFormat="1" applyFont="1" applyFill="1" applyBorder="1" applyAlignment="1">
      <alignment vertical="center"/>
    </xf>
    <xf numFmtId="0" fontId="32" fillId="0" borderId="15" xfId="0" applyFont="1" applyBorder="1"/>
    <xf numFmtId="0" fontId="23" fillId="0" borderId="0" xfId="0" applyFont="1"/>
    <xf numFmtId="0" fontId="5" fillId="0" borderId="0" xfId="0" applyFont="1" applyAlignment="1">
      <alignment horizontal="left" vertical="top"/>
    </xf>
    <xf numFmtId="0" fontId="33" fillId="0" borderId="0" xfId="0" applyFont="1" applyAlignment="1">
      <alignment horizontal="left" vertical="top"/>
    </xf>
    <xf numFmtId="0" fontId="32" fillId="0" borderId="1" xfId="0" applyFont="1" applyBorder="1" applyAlignment="1">
      <alignment horizontal="left" vertical="top"/>
    </xf>
    <xf numFmtId="0" fontId="32" fillId="0" borderId="0" xfId="0" applyFont="1" applyAlignment="1">
      <alignment horizontal="left" vertical="top"/>
    </xf>
    <xf numFmtId="49" fontId="36" fillId="0" borderId="1" xfId="45" applyNumberFormat="1" applyBorder="1" applyAlignment="1">
      <alignment vertical="center" wrapText="1"/>
    </xf>
    <xf numFmtId="0" fontId="5" fillId="45" borderId="11" xfId="0" applyFont="1" applyFill="1" applyBorder="1" applyAlignment="1">
      <alignment horizontal="left" vertical="top"/>
    </xf>
    <xf numFmtId="0" fontId="36" fillId="0" borderId="0" xfId="45"/>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4" totalsRowShown="0">
  <autoFilter ref="A3:E1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398" TargetMode="External"/><Relationship Id="rId3" Type="http://schemas.openxmlformats.org/officeDocument/2006/relationships/hyperlink" Target="https://us3.assetplanner.com/service_request?ID=094897" TargetMode="External"/><Relationship Id="rId7" Type="http://schemas.openxmlformats.org/officeDocument/2006/relationships/hyperlink" Target="https://us3.assetplanner.com/service_request?ID=096326" TargetMode="External"/><Relationship Id="rId12" Type="http://schemas.openxmlformats.org/officeDocument/2006/relationships/hyperlink" Target="https://us3.assetplanner.com/service_request?ID=097650" TargetMode="External"/><Relationship Id="rId2" Type="http://schemas.openxmlformats.org/officeDocument/2006/relationships/hyperlink" Target="https://us3.assetplanner.com/service_request?ID=097445" TargetMode="External"/><Relationship Id="rId1" Type="http://schemas.openxmlformats.org/officeDocument/2006/relationships/hyperlink" Target="https://us3.assetplanner.com/service_request?ID=096532" TargetMode="External"/><Relationship Id="rId6" Type="http://schemas.openxmlformats.org/officeDocument/2006/relationships/hyperlink" Target="https://us3.assetplanner.com/service_request?ID=096696" TargetMode="External"/><Relationship Id="rId11" Type="http://schemas.openxmlformats.org/officeDocument/2006/relationships/hyperlink" Target="https://us3.assetplanner.com/service_request?ID=097527" TargetMode="External"/><Relationship Id="rId5" Type="http://schemas.openxmlformats.org/officeDocument/2006/relationships/hyperlink" Target="https://us3.assetplanner.com/service_request?ID=096403" TargetMode="External"/><Relationship Id="rId10" Type="http://schemas.openxmlformats.org/officeDocument/2006/relationships/hyperlink" Target="https://us3.assetplanner.com/service_request?ID=096935" TargetMode="External"/><Relationship Id="rId4" Type="http://schemas.openxmlformats.org/officeDocument/2006/relationships/hyperlink" Target="https://us3.assetplanner.com/service_request?ID=095762" TargetMode="External"/><Relationship Id="rId9" Type="http://schemas.openxmlformats.org/officeDocument/2006/relationships/hyperlink" Target="https://us3.assetplanner.com/service_request?ID=09662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907" TargetMode="External"/><Relationship Id="rId13" Type="http://schemas.openxmlformats.org/officeDocument/2006/relationships/hyperlink" Target="https://us3.assetplanner.com/service_request?ID=098763" TargetMode="External"/><Relationship Id="rId18" Type="http://schemas.openxmlformats.org/officeDocument/2006/relationships/hyperlink" Target="https://us3.assetplanner.com/service_request?ID=098979" TargetMode="External"/><Relationship Id="rId3" Type="http://schemas.openxmlformats.org/officeDocument/2006/relationships/hyperlink" Target="https://us3.assetplanner.com/service_request?ID=097988" TargetMode="External"/><Relationship Id="rId21" Type="http://schemas.openxmlformats.org/officeDocument/2006/relationships/hyperlink" Target="https://us3.assetplanner.com/service_request?ID=099057" TargetMode="External"/><Relationship Id="rId7" Type="http://schemas.openxmlformats.org/officeDocument/2006/relationships/hyperlink" Target="https://us3.assetplanner.com/service_request?ID=098775" TargetMode="External"/><Relationship Id="rId12" Type="http://schemas.openxmlformats.org/officeDocument/2006/relationships/hyperlink" Target="https://us3.assetplanner.com/service_request?ID=097819" TargetMode="External"/><Relationship Id="rId17" Type="http://schemas.openxmlformats.org/officeDocument/2006/relationships/hyperlink" Target="https://us3.assetplanner.com/service_request?ID=098946" TargetMode="External"/><Relationship Id="rId2" Type="http://schemas.openxmlformats.org/officeDocument/2006/relationships/hyperlink" Target="https://us3.assetplanner.com/service_request?ID=098647" TargetMode="External"/><Relationship Id="rId16" Type="http://schemas.openxmlformats.org/officeDocument/2006/relationships/hyperlink" Target="https://us3.assetplanner.com/service_request?ID=098979" TargetMode="External"/><Relationship Id="rId20" Type="http://schemas.openxmlformats.org/officeDocument/2006/relationships/hyperlink" Target="https://us3.assetplanner.com/service_request?ID=099163" TargetMode="External"/><Relationship Id="rId1" Type="http://schemas.openxmlformats.org/officeDocument/2006/relationships/hyperlink" Target="https://us3.assetplanner.com/service_request?ID=09633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098777" TargetMode="External"/><Relationship Id="rId5" Type="http://schemas.openxmlformats.org/officeDocument/2006/relationships/hyperlink" Target="https://us3.assetplanner.com/service_request?ID=098356" TargetMode="External"/><Relationship Id="rId15" Type="http://schemas.openxmlformats.org/officeDocument/2006/relationships/hyperlink" Target="https://us3.assetplanner.com/service_request?ID=097650" TargetMode="External"/><Relationship Id="rId10" Type="http://schemas.openxmlformats.org/officeDocument/2006/relationships/hyperlink" Target="https://us3.assetplanner.com/service_request?ID=098375"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8176" TargetMode="External"/><Relationship Id="rId9" Type="http://schemas.openxmlformats.org/officeDocument/2006/relationships/hyperlink" Target="https://us3.assetplanner.com/service_request?ID=096935" TargetMode="External"/><Relationship Id="rId14" Type="http://schemas.openxmlformats.org/officeDocument/2006/relationships/hyperlink" Target="https://us3.assetplanner.com/service_request?ID=09752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098907" TargetMode="External"/><Relationship Id="rId18" Type="http://schemas.openxmlformats.org/officeDocument/2006/relationships/hyperlink" Target="https://us3.assetplanner.com/service_request?ID=098763" TargetMode="External"/><Relationship Id="rId3" Type="http://schemas.openxmlformats.org/officeDocument/2006/relationships/hyperlink" Target="https://us3.assetplanner.com/service_request?ID=100017" TargetMode="External"/><Relationship Id="rId21" Type="http://schemas.openxmlformats.org/officeDocument/2006/relationships/hyperlink" Target="https://us3.assetplanner.com/service_request?ID=100204" TargetMode="External"/><Relationship Id="rId7" Type="http://schemas.openxmlformats.org/officeDocument/2006/relationships/hyperlink" Target="https://us3.assetplanner.com/service_request?ID=100667" TargetMode="External"/><Relationship Id="rId12" Type="http://schemas.openxmlformats.org/officeDocument/2006/relationships/hyperlink" Target="https://us3.assetplanner.com/service_request?ID=100392" TargetMode="External"/><Relationship Id="rId17" Type="http://schemas.openxmlformats.org/officeDocument/2006/relationships/hyperlink" Target="https://us3.assetplanner.com/service_request?ID=100666"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0352" TargetMode="External"/><Relationship Id="rId20" Type="http://schemas.openxmlformats.org/officeDocument/2006/relationships/hyperlink" Target="https://us3.assetplanner.com/service_request?ID=099483" TargetMode="External"/><Relationship Id="rId1" Type="http://schemas.openxmlformats.org/officeDocument/2006/relationships/hyperlink" Target="https://us3.assetplanner.com/service_request?ID=10020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100248" TargetMode="External"/><Relationship Id="rId5" Type="http://schemas.openxmlformats.org/officeDocument/2006/relationships/hyperlink" Target="https://us3.assetplanner.com/service_request?ID=100451" TargetMode="External"/><Relationship Id="rId15" Type="http://schemas.openxmlformats.org/officeDocument/2006/relationships/hyperlink" Target="https://us3.assetplanner.com/service_request?ID=099651" TargetMode="External"/><Relationship Id="rId10" Type="http://schemas.openxmlformats.org/officeDocument/2006/relationships/hyperlink" Target="https://us3.assetplanner.com/service_request?ID=099279"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9376"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098375" TargetMode="External"/><Relationship Id="rId22" Type="http://schemas.openxmlformats.org/officeDocument/2006/relationships/hyperlink" Target="https://us3.assetplanner.com/service_request?ID=0998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100666" TargetMode="External"/><Relationship Id="rId18" Type="http://schemas.openxmlformats.org/officeDocument/2006/relationships/hyperlink" Target="https://us3.assetplanner.com/service_request?ID=101433" TargetMode="External"/><Relationship Id="rId3" Type="http://schemas.openxmlformats.org/officeDocument/2006/relationships/hyperlink" Target="https://us3.assetplanner.com/service_request?ID=101577" TargetMode="External"/><Relationship Id="rId21" Type="http://schemas.openxmlformats.org/officeDocument/2006/relationships/hyperlink" Target="https://us3.assetplanner.com/service_request?ID=101874" TargetMode="External"/><Relationship Id="rId7" Type="http://schemas.openxmlformats.org/officeDocument/2006/relationships/hyperlink" Target="https://us3.assetplanner.com/service_request?ID=100451" TargetMode="External"/><Relationship Id="rId12" Type="http://schemas.openxmlformats.org/officeDocument/2006/relationships/hyperlink" Target="https://us3.assetplanner.com/service_request?ID=100944" TargetMode="External"/><Relationship Id="rId17" Type="http://schemas.openxmlformats.org/officeDocument/2006/relationships/hyperlink" Target="https://us3.assetplanner.com/service_request?ID=101870"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676" TargetMode="External"/><Relationship Id="rId20" Type="http://schemas.openxmlformats.org/officeDocument/2006/relationships/hyperlink" Target="https://us3.assetplanner.com/service_request?ID=101682"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102206" TargetMode="External"/><Relationship Id="rId11" Type="http://schemas.openxmlformats.org/officeDocument/2006/relationships/hyperlink" Target="https://us3.assetplanner.com/service_request?ID=101153" TargetMode="External"/><Relationship Id="rId5" Type="http://schemas.openxmlformats.org/officeDocument/2006/relationships/hyperlink" Target="https://us3.assetplanner.com/service_request?ID=102059" TargetMode="External"/><Relationship Id="rId15" Type="http://schemas.openxmlformats.org/officeDocument/2006/relationships/hyperlink" Target="https://us3.assetplanner.com/service_request?ID=101218" TargetMode="External"/><Relationship Id="rId23" Type="http://schemas.openxmlformats.org/officeDocument/2006/relationships/hyperlink" Target="https://us3.assetplanner.com/service_request?ID=102195" TargetMode="External"/><Relationship Id="rId10" Type="http://schemas.openxmlformats.org/officeDocument/2006/relationships/hyperlink" Target="https://us3.assetplanner.com/service_request?ID=101280" TargetMode="External"/><Relationship Id="rId19" Type="http://schemas.openxmlformats.org/officeDocument/2006/relationships/hyperlink" Target="https://us3.assetplanner.com/service_request?ID=101630" TargetMode="External"/><Relationship Id="rId4" Type="http://schemas.openxmlformats.org/officeDocument/2006/relationships/hyperlink" Target="https://us3.assetplanner.com/service_request?ID=101927"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101281" TargetMode="External"/><Relationship Id="rId22" Type="http://schemas.openxmlformats.org/officeDocument/2006/relationships/hyperlink" Target="https://us3.assetplanner.com/service_request?ID=101953"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146" TargetMode="External"/><Relationship Id="rId13" Type="http://schemas.openxmlformats.org/officeDocument/2006/relationships/hyperlink" Target="https://us3.assetplanner.com/service_request?ID=103179" TargetMode="External"/><Relationship Id="rId3" Type="http://schemas.openxmlformats.org/officeDocument/2006/relationships/hyperlink" Target="https://us3.assetplanner.com/service_request?ID=102206" TargetMode="External"/><Relationship Id="rId7" Type="http://schemas.openxmlformats.org/officeDocument/2006/relationships/hyperlink" Target="https://us3.assetplanner.com/service_request?ID=102835" TargetMode="External"/><Relationship Id="rId12" Type="http://schemas.openxmlformats.org/officeDocument/2006/relationships/hyperlink" Target="https://us3.assetplanner.com/service_request?ID=102653" TargetMode="External"/><Relationship Id="rId17" Type="http://schemas.openxmlformats.org/officeDocument/2006/relationships/hyperlink" Target="https://us3.assetplanner.com/service_request?ID=102195"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953"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098775" TargetMode="External"/><Relationship Id="rId11" Type="http://schemas.openxmlformats.org/officeDocument/2006/relationships/hyperlink" Target="https://us3.assetplanner.com/service_request?ID=102290" TargetMode="External"/><Relationship Id="rId5" Type="http://schemas.openxmlformats.org/officeDocument/2006/relationships/hyperlink" Target="https://us3.assetplanner.com/service_request?ID=103173" TargetMode="External"/><Relationship Id="rId15" Type="http://schemas.openxmlformats.org/officeDocument/2006/relationships/hyperlink" Target="https://us3.assetplanner.com/service_request?ID=101874" TargetMode="External"/><Relationship Id="rId10" Type="http://schemas.openxmlformats.org/officeDocument/2006/relationships/hyperlink" Target="https://us3.assetplanner.com/service_request?ID=098763" TargetMode="External"/><Relationship Id="rId4" Type="http://schemas.openxmlformats.org/officeDocument/2006/relationships/hyperlink" Target="https://us3.assetplanner.com/service_request?ID=102976" TargetMode="External"/><Relationship Id="rId9" Type="http://schemas.openxmlformats.org/officeDocument/2006/relationships/hyperlink" Target="https://us3.assetplanner.com/service_request?ID=103521" TargetMode="External"/><Relationship Id="rId14" Type="http://schemas.openxmlformats.org/officeDocument/2006/relationships/hyperlink" Target="https://us3.assetplanner.com/service_request?ID=103189"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6818" TargetMode="External"/><Relationship Id="rId13" Type="http://schemas.openxmlformats.org/officeDocument/2006/relationships/hyperlink" Target="https://us3.assetplanner.com/service_request?ID=105504" TargetMode="External"/><Relationship Id="rId18" Type="http://schemas.openxmlformats.org/officeDocument/2006/relationships/hyperlink" Target="https://us3.assetplanner.com/service_request?ID=104107" TargetMode="External"/><Relationship Id="rId3" Type="http://schemas.openxmlformats.org/officeDocument/2006/relationships/hyperlink" Target="https://us3.assetplanner.com/service_request?ID=105851" TargetMode="External"/><Relationship Id="rId7" Type="http://schemas.openxmlformats.org/officeDocument/2006/relationships/hyperlink" Target="https://us3.assetplanner.com/service_request?ID=107166" TargetMode="External"/><Relationship Id="rId12" Type="http://schemas.openxmlformats.org/officeDocument/2006/relationships/hyperlink" Target="https://us3.assetplanner.com/service_request?ID=103521" TargetMode="External"/><Relationship Id="rId17" Type="http://schemas.openxmlformats.org/officeDocument/2006/relationships/hyperlink" Target="https://us3.assetplanner.com/service_request?ID=104588" TargetMode="External"/><Relationship Id="rId2" Type="http://schemas.openxmlformats.org/officeDocument/2006/relationships/hyperlink" Target="https://us3.assetplanner.com/service_request?ID=105480" TargetMode="External"/><Relationship Id="rId16" Type="http://schemas.openxmlformats.org/officeDocument/2006/relationships/hyperlink" Target="https://us3.assetplanner.com/service_request?ID=105061" TargetMode="External"/><Relationship Id="rId1" Type="http://schemas.openxmlformats.org/officeDocument/2006/relationships/hyperlink" Target="https://us3.assetplanner.com/service_request?ID=106633" TargetMode="External"/><Relationship Id="rId6" Type="http://schemas.openxmlformats.org/officeDocument/2006/relationships/hyperlink" Target="https://us3.assetplanner.com/service_request?ID=105541" TargetMode="External"/><Relationship Id="rId11" Type="http://schemas.openxmlformats.org/officeDocument/2006/relationships/hyperlink" Target="https://us3.assetplanner.com/service_request?ID=104611" TargetMode="External"/><Relationship Id="rId5" Type="http://schemas.openxmlformats.org/officeDocument/2006/relationships/hyperlink" Target="https://us3.assetplanner.com/service_request?ID=106139" TargetMode="External"/><Relationship Id="rId15" Type="http://schemas.openxmlformats.org/officeDocument/2006/relationships/hyperlink" Target="https://us3.assetplanner.com/service_request?ID=106207" TargetMode="External"/><Relationship Id="rId10" Type="http://schemas.openxmlformats.org/officeDocument/2006/relationships/hyperlink" Target="https://us3.assetplanner.com/service_request?ID=098907" TargetMode="External"/><Relationship Id="rId19" Type="http://schemas.openxmlformats.org/officeDocument/2006/relationships/hyperlink" Target="https://us3.assetplanner.com/service_request?ID=106400" TargetMode="External"/><Relationship Id="rId4" Type="http://schemas.openxmlformats.org/officeDocument/2006/relationships/hyperlink" Target="https://us3.assetplanner.com/service_request?ID=105935" TargetMode="External"/><Relationship Id="rId9" Type="http://schemas.openxmlformats.org/officeDocument/2006/relationships/hyperlink" Target="https://us3.assetplanner.com/service_request?ID=107243" TargetMode="External"/><Relationship Id="rId14" Type="http://schemas.openxmlformats.org/officeDocument/2006/relationships/hyperlink" Target="https://us3.assetplanner.com/service_request?ID=106949"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8402" TargetMode="External"/><Relationship Id="rId13" Type="http://schemas.openxmlformats.org/officeDocument/2006/relationships/hyperlink" Target="https://us3.assetplanner.com/service_request?ID=105504" TargetMode="External"/><Relationship Id="rId3" Type="http://schemas.openxmlformats.org/officeDocument/2006/relationships/hyperlink" Target="https://us3.assetplanner.com/service_request?ID=106139" TargetMode="External"/><Relationship Id="rId7" Type="http://schemas.openxmlformats.org/officeDocument/2006/relationships/hyperlink" Target="https://us3.assetplanner.com/service_request?ID=108401" TargetMode="External"/><Relationship Id="rId12" Type="http://schemas.openxmlformats.org/officeDocument/2006/relationships/hyperlink" Target="https://us3.assetplanner.com/service_request?ID=104611" TargetMode="External"/><Relationship Id="rId2" Type="http://schemas.openxmlformats.org/officeDocument/2006/relationships/hyperlink" Target="https://us3.assetplanner.com/service_request?ID=108597" TargetMode="External"/><Relationship Id="rId16" Type="http://schemas.openxmlformats.org/officeDocument/2006/relationships/hyperlink" Target="https://us3.assetplanner.com/service_request?ID=107648" TargetMode="External"/><Relationship Id="rId1" Type="http://schemas.openxmlformats.org/officeDocument/2006/relationships/hyperlink" Target="https://us3.assetplanner.com/service_request?ID=107777" TargetMode="External"/><Relationship Id="rId6" Type="http://schemas.openxmlformats.org/officeDocument/2006/relationships/hyperlink" Target="https://us3.assetplanner.com/service_request?ID=108383" TargetMode="External"/><Relationship Id="rId11" Type="http://schemas.openxmlformats.org/officeDocument/2006/relationships/hyperlink" Target="https://us3.assetplanner.com/service_request?ID=098907" TargetMode="External"/><Relationship Id="rId5" Type="http://schemas.openxmlformats.org/officeDocument/2006/relationships/hyperlink" Target="https://us3.assetplanner.com/service_request?ID=105851" TargetMode="External"/><Relationship Id="rId15" Type="http://schemas.openxmlformats.org/officeDocument/2006/relationships/hyperlink" Target="https://us3.assetplanner.com/service_request?ID=104107" TargetMode="External"/><Relationship Id="rId10" Type="http://schemas.openxmlformats.org/officeDocument/2006/relationships/hyperlink" Target="https://us3.assetplanner.com/service_request?ID=107531" TargetMode="External"/><Relationship Id="rId4" Type="http://schemas.openxmlformats.org/officeDocument/2006/relationships/hyperlink" Target="https://us3.assetplanner.com/service_request?ID=107166" TargetMode="External"/><Relationship Id="rId9" Type="http://schemas.openxmlformats.org/officeDocument/2006/relationships/hyperlink" Target="https://us3.assetplanner.com/service_request?ID=107544" TargetMode="External"/><Relationship Id="rId14" Type="http://schemas.openxmlformats.org/officeDocument/2006/relationships/hyperlink" Target="https://us3.assetplanner.com/service_request?ID=108534"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4395" TargetMode="External"/><Relationship Id="rId3" Type="http://schemas.openxmlformats.org/officeDocument/2006/relationships/hyperlink" Target="https://us3.assetplanner.com/service_request?ID=109058" TargetMode="External"/><Relationship Id="rId7" Type="http://schemas.openxmlformats.org/officeDocument/2006/relationships/hyperlink" Target="https://us3.assetplanner.com/service_request?ID=109240" TargetMode="External"/><Relationship Id="rId2" Type="http://schemas.openxmlformats.org/officeDocument/2006/relationships/hyperlink" Target="https://us3.assetplanner.com/service_request?ID=109868" TargetMode="External"/><Relationship Id="rId1" Type="http://schemas.openxmlformats.org/officeDocument/2006/relationships/hyperlink" Target="https://us3.assetplanner.com/service_request?ID=109467" TargetMode="External"/><Relationship Id="rId6" Type="http://schemas.openxmlformats.org/officeDocument/2006/relationships/hyperlink" Target="https://us3.assetplanner.com/service_request?ID=109872" TargetMode="External"/><Relationship Id="rId5" Type="http://schemas.openxmlformats.org/officeDocument/2006/relationships/hyperlink" Target="https://us3.assetplanner.com/service_request?ID=109334" TargetMode="External"/><Relationship Id="rId4" Type="http://schemas.openxmlformats.org/officeDocument/2006/relationships/hyperlink" Target="https://us3.assetplanner.com/service_request?ID=106818" TargetMode="External"/><Relationship Id="rId9" Type="http://schemas.openxmlformats.org/officeDocument/2006/relationships/hyperlink" Target="https://us3.assetplanner.com/service_request"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09334" TargetMode="External"/><Relationship Id="rId13" Type="http://schemas.openxmlformats.org/officeDocument/2006/relationships/hyperlink" Target="https://us3.assetplanner.com/service_request?ID=111773" TargetMode="External"/><Relationship Id="rId3" Type="http://schemas.openxmlformats.org/officeDocument/2006/relationships/hyperlink" Target="https://us3.assetplanner.com/service_request?ID=110394" TargetMode="External"/><Relationship Id="rId7" Type="http://schemas.openxmlformats.org/officeDocument/2006/relationships/hyperlink" Target="https://us3.assetplanner.com/service_request?ID=111075" TargetMode="External"/><Relationship Id="rId12" Type="http://schemas.openxmlformats.org/officeDocument/2006/relationships/hyperlink" Target="https://us3.assetplanner.com/service_request?ID=111818" TargetMode="External"/><Relationship Id="rId2" Type="http://schemas.openxmlformats.org/officeDocument/2006/relationships/hyperlink" Target="https://us3.assetplanner.com/service_request?ID=111170" TargetMode="External"/><Relationship Id="rId1" Type="http://schemas.openxmlformats.org/officeDocument/2006/relationships/hyperlink" Target="https://us3.assetplanner.com/service_request?ID=111519" TargetMode="External"/><Relationship Id="rId6" Type="http://schemas.openxmlformats.org/officeDocument/2006/relationships/hyperlink" Target="https://us3.assetplanner.com/service_request?ID=110573" TargetMode="External"/><Relationship Id="rId11" Type="http://schemas.openxmlformats.org/officeDocument/2006/relationships/hyperlink" Target="https://us3.assetplanner.com/service_request?ID=111293" TargetMode="External"/><Relationship Id="rId5" Type="http://schemas.openxmlformats.org/officeDocument/2006/relationships/hyperlink" Target="https://us3.assetplanner.com/service_request?ID=111071" TargetMode="External"/><Relationship Id="rId10" Type="http://schemas.openxmlformats.org/officeDocument/2006/relationships/hyperlink" Target="https://us3.assetplanner.com/service_request?ID=111445" TargetMode="External"/><Relationship Id="rId4" Type="http://schemas.openxmlformats.org/officeDocument/2006/relationships/hyperlink" Target="https://us3.assetplanner.com/service_request?ID=110592" TargetMode="External"/><Relationship Id="rId9" Type="http://schemas.openxmlformats.org/officeDocument/2006/relationships/hyperlink" Target="https://us3.assetplanner.com/service_request?ID=111761" TargetMode="External"/><Relationship Id="rId14"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8" Type="http://schemas.openxmlformats.org/officeDocument/2006/relationships/hyperlink" Target="https://us3.assetplanner.com/service_request?ID=113733" TargetMode="External"/><Relationship Id="rId3" Type="http://schemas.openxmlformats.org/officeDocument/2006/relationships/hyperlink" Target="https://us3.assetplanner.com/service_request?ID=110592" TargetMode="External"/><Relationship Id="rId7" Type="http://schemas.openxmlformats.org/officeDocument/2006/relationships/hyperlink" Target="https://us3.assetplanner.com/service_request?ID=111761" TargetMode="External"/><Relationship Id="rId12" Type="http://schemas.openxmlformats.org/officeDocument/2006/relationships/hyperlink" Target="https://us3.assetplanner.com/service_request?ID=113453" TargetMode="External"/><Relationship Id="rId2" Type="http://schemas.openxmlformats.org/officeDocument/2006/relationships/hyperlink" Target="https://us3.assetplanner.com/service_request?ID=113758" TargetMode="External"/><Relationship Id="rId1" Type="http://schemas.openxmlformats.org/officeDocument/2006/relationships/hyperlink" Target="https://us3.assetplanner.com/service_request?ID=111519" TargetMode="External"/><Relationship Id="rId6" Type="http://schemas.openxmlformats.org/officeDocument/2006/relationships/hyperlink" Target="https://us3.assetplanner.com/service_request?ID=111075" TargetMode="External"/><Relationship Id="rId11" Type="http://schemas.openxmlformats.org/officeDocument/2006/relationships/hyperlink" Target="https://us3.assetplanner.com/service_request?ID=112585" TargetMode="External"/><Relationship Id="rId5" Type="http://schemas.openxmlformats.org/officeDocument/2006/relationships/hyperlink" Target="https://us3.assetplanner.com/service_request?ID=112077" TargetMode="External"/><Relationship Id="rId10" Type="http://schemas.openxmlformats.org/officeDocument/2006/relationships/hyperlink" Target="https://us3.assetplanner.com/service_request?ID=112291" TargetMode="External"/><Relationship Id="rId4" Type="http://schemas.openxmlformats.org/officeDocument/2006/relationships/hyperlink" Target="https://us3.assetplanner.com/service_request?ID=106818" TargetMode="External"/><Relationship Id="rId9" Type="http://schemas.openxmlformats.org/officeDocument/2006/relationships/hyperlink" Target="https://us3.assetplanner.com/service_request?ID=111939"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D26" sqref="D26"/>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4" t="str" cm="1">
        <f t="array" ref="A1">portfolio</f>
        <v>Renewable Properties</v>
      </c>
      <c r="B1" s="104"/>
      <c r="C1" s="104"/>
      <c r="D1" s="105" t="s">
        <v>0</v>
      </c>
      <c r="E1" s="105"/>
      <c r="F1" s="105"/>
      <c r="G1" s="103" t="s">
        <v>1</v>
      </c>
      <c r="H1" s="103"/>
      <c r="I1" s="103"/>
    </row>
    <row r="2" spans="1:9" ht="19.5" customHeight="1">
      <c r="A2" s="106" t="s">
        <v>2</v>
      </c>
      <c r="B2" s="106"/>
      <c r="C2" s="5">
        <f>SUM(C4:C80)</f>
        <v>56380558.013302222</v>
      </c>
      <c r="D2" s="5">
        <f>SUM(D4:D80)</f>
        <v>64726962.773000002</v>
      </c>
      <c r="E2" s="5">
        <f>C2-D2</f>
        <v>-8346404.75969778</v>
      </c>
      <c r="F2" s="6">
        <f>IFERROR(E2/D2, 0)</f>
        <v>-0.12894788202821983</v>
      </c>
      <c r="G2" s="5">
        <f>SUM(G4:G80)</f>
        <v>67591873.862999991</v>
      </c>
      <c r="H2" s="7">
        <f>C2-G2</f>
        <v>-11211315.849697769</v>
      </c>
      <c r="I2" s="6">
        <f>IFERROR(H2/G2, 0)</f>
        <v>-0.1658678064233233</v>
      </c>
    </row>
    <row r="3" spans="1:9" ht="14.25" customHeight="1">
      <c r="A3" s="8" t="s">
        <v>3</v>
      </c>
      <c r="B3" s="8" t="s">
        <v>4</v>
      </c>
      <c r="C3" s="11" t="s">
        <v>5</v>
      </c>
      <c r="D3" s="16" t="s">
        <v>6</v>
      </c>
      <c r="E3" s="16" t="s">
        <v>7</v>
      </c>
      <c r="F3" s="17" t="s">
        <v>8</v>
      </c>
      <c r="G3" s="18" t="s">
        <v>9</v>
      </c>
      <c r="H3" s="19" t="s">
        <v>7</v>
      </c>
      <c r="I3" s="20" t="s">
        <v>8</v>
      </c>
    </row>
    <row r="4" spans="1:9" ht="15.6">
      <c r="A4" s="25" t="str" cm="1">
        <f t="array" ref="A4:A14">Sites[Site]</f>
        <v>Cedar Swamp Rd</v>
      </c>
      <c r="B4" s="26" t="str" cm="1">
        <f t="array" ref="B4:B14">Sites[State]</f>
        <v>MA</v>
      </c>
      <c r="C4" s="27">
        <f>SUM('1st Qtr'!C4, '2nd Qtr'!C4, '3rd Qtr'!C4, '4th Qtr'!C4)</f>
        <v>1242699</v>
      </c>
      <c r="D4" s="28">
        <f>SUM('1st Qtr'!D4, '2nd Qtr'!D4, '3rd Qtr'!D4, '4th Qtr'!D4)</f>
        <v>1037011.581</v>
      </c>
      <c r="E4" s="28">
        <f>IF(AND(ISNUMBER(C4),ISNUMBER(D4)), C4-D4, "")</f>
        <v>205687.41899999999</v>
      </c>
      <c r="F4" s="29">
        <f>IFERROR(E4/D4, "")</f>
        <v>0.19834630853558421</v>
      </c>
      <c r="G4" s="30">
        <f>SUM('1st Qtr'!G4, '2nd Qtr'!G4, '3rd Qtr'!G4, '4th Qtr'!G4)</f>
        <v>1111472.8670000001</v>
      </c>
      <c r="H4" s="30">
        <f>SUM('1st Qtr'!H4, '2nd Qtr'!H4, '3rd Qtr'!H4, '4th Qtr'!H4)</f>
        <v>-50778.866999999984</v>
      </c>
      <c r="I4" s="31">
        <f>IFERROR(H4/G4, "")</f>
        <v>-4.5686105803966495E-2</v>
      </c>
    </row>
    <row r="5" spans="1:9" ht="15.6">
      <c r="A5" s="32" t="str">
        <v>Bullis</v>
      </c>
      <c r="B5" s="33" t="str">
        <v>NY</v>
      </c>
      <c r="C5" s="35">
        <f>SUM('1st Qtr'!C5, '2nd Qtr'!C5, '3rd Qtr'!C5, '4th Qtr'!C5)</f>
        <v>6531376.5</v>
      </c>
      <c r="D5" s="35">
        <f>SUM('1st Qtr'!D5, '2nd Qtr'!D5, '3rd Qtr'!D5, '4th Qtr'!D5)</f>
        <v>6639864.7000000002</v>
      </c>
      <c r="E5" s="35">
        <f t="shared" ref="E5:E6" si="0">IF(AND(ISNUMBER(C5),ISNUMBER(D5)), C5-D5, "")</f>
        <v>-108488.20000000019</v>
      </c>
      <c r="F5" s="36">
        <f>IFERROR(E5/D5, "")</f>
        <v>-1.6338917267395552E-2</v>
      </c>
      <c r="G5" s="37">
        <f>SUM('1st Qtr'!G5, '2nd Qtr'!G5, '3rd Qtr'!G5, '4th Qtr'!G5)</f>
        <v>8046414.8000000007</v>
      </c>
      <c r="H5" s="37">
        <f>SUM('1st Qtr'!H5, '2nd Qtr'!H5, '3rd Qtr'!H5, '4th Qtr'!H5)</f>
        <v>-1515038.3</v>
      </c>
      <c r="I5" s="36">
        <f>IFERROR(H5/G5, "")</f>
        <v>-0.18828737240839236</v>
      </c>
    </row>
    <row r="6" spans="1:9" ht="15.6">
      <c r="A6" s="25" t="str">
        <v>Rock Island</v>
      </c>
      <c r="B6" s="26" t="str">
        <v>NY</v>
      </c>
      <c r="C6" s="27">
        <f>SUM('1st Qtr'!C6, '2nd Qtr'!C6, '3rd Qtr'!C6, '4th Qtr'!C6)</f>
        <v>5954273.5</v>
      </c>
      <c r="D6" s="28">
        <f>SUM('1st Qtr'!D6, '2nd Qtr'!D6, '3rd Qtr'!D6, '4th Qtr'!D6)</f>
        <v>6857128.6000000006</v>
      </c>
      <c r="E6" s="28">
        <f t="shared" si="0"/>
        <v>-902855.10000000056</v>
      </c>
      <c r="F6" s="29">
        <f t="shared" ref="F6" si="1">IFERROR(E6/D6, "")</f>
        <v>-0.13166664250689428</v>
      </c>
      <c r="G6" s="30">
        <f>SUM('1st Qtr'!G6, '2nd Qtr'!G6, '3rd Qtr'!G6, '4th Qtr'!G6)</f>
        <v>9471594.7700000014</v>
      </c>
      <c r="H6" s="30">
        <f>SUM('1st Qtr'!H6, '2nd Qtr'!H6, '3rd Qtr'!H6, '4th Qtr'!H6)</f>
        <v>-3517321.27</v>
      </c>
      <c r="I6" s="31">
        <f t="shared" ref="I6" si="2">IFERROR(H6/G6, "")</f>
        <v>-0.37135470376547786</v>
      </c>
    </row>
    <row r="7" spans="1:9" ht="15.6">
      <c r="A7" s="32" t="str">
        <v>Winslow - Roderick</v>
      </c>
      <c r="B7" s="33" t="str">
        <v>ME</v>
      </c>
      <c r="C7" s="35">
        <f>SUM('1st Qtr'!C7, '2nd Qtr'!C7, '3rd Qtr'!C7, '4th Qtr'!C7)</f>
        <v>6059353</v>
      </c>
      <c r="D7" s="35">
        <f>SUM('1st Qtr'!D7, '2nd Qtr'!D7, '3rd Qtr'!D7, '4th Qtr'!D7)</f>
        <v>7104210.6950000003</v>
      </c>
      <c r="E7" s="35">
        <f t="shared" ref="E7" si="3">IF(AND(ISNUMBER(C7),ISNUMBER(D7)), C7-D7, "")</f>
        <v>-1044857.6950000003</v>
      </c>
      <c r="F7" s="36">
        <f t="shared" ref="F7:F13" si="4">IFERROR(E7/D7, "")</f>
        <v>-0.14707583148334541</v>
      </c>
      <c r="G7" s="37">
        <f>SUM('1st Qtr'!G7, '2nd Qtr'!G7, '3rd Qtr'!G7, '4th Qtr'!G7)</f>
        <v>6614310.5800000001</v>
      </c>
      <c r="H7" s="37">
        <f>SUM('1st Qtr'!H7, '2nd Qtr'!H7, '3rd Qtr'!H7, '4th Qtr'!H7)</f>
        <v>-554957.57999999996</v>
      </c>
      <c r="I7" s="36">
        <f t="shared" ref="I7:I13" si="5">IFERROR(H7/G7, "")</f>
        <v>-8.3902558443211164E-2</v>
      </c>
    </row>
    <row r="8" spans="1:9" ht="15.6">
      <c r="A8" s="25" t="str">
        <v>Minoa - Clemons Rd</v>
      </c>
      <c r="B8" s="26" t="str">
        <v>NY</v>
      </c>
      <c r="C8" s="27">
        <f>SUM('1st Qtr'!C8, '2nd Qtr'!C8, '3rd Qtr'!C8, '4th Qtr'!C8)</f>
        <v>4110122.6255000001</v>
      </c>
      <c r="D8" s="28">
        <f>SUM('1st Qtr'!D8, '2nd Qtr'!D8, '3rd Qtr'!D8, '4th Qtr'!D8)</f>
        <v>4974364.4250000007</v>
      </c>
      <c r="E8" s="28">
        <f t="shared" ref="E8:E14" si="6">IF(AND(ISNUMBER(C8),ISNUMBER(D8)), C8-D8, "")</f>
        <v>-864241.79950000066</v>
      </c>
      <c r="F8" s="29">
        <f t="shared" ref="F8:F14" si="7">IFERROR(E8/D8, "")</f>
        <v>-0.17373914045310432</v>
      </c>
      <c r="G8" s="30">
        <f>SUM('1st Qtr'!G8, '2nd Qtr'!G8, '3rd Qtr'!G8, '4th Qtr'!G8)</f>
        <v>4641239.3249999993</v>
      </c>
      <c r="H8" s="30">
        <f>SUM('1st Qtr'!H8, '2nd Qtr'!H8, '3rd Qtr'!H8, '4th Qtr'!H8)</f>
        <v>-531116.69949999999</v>
      </c>
      <c r="I8" s="31">
        <f t="shared" ref="I8:I14" si="8">IFERROR(H8/G8, "")</f>
        <v>-0.11443424100953899</v>
      </c>
    </row>
    <row r="9" spans="1:9" ht="15.6">
      <c r="A9" s="32" t="str">
        <v>Manchester - Western</v>
      </c>
      <c r="B9" s="33" t="str">
        <v>ME</v>
      </c>
      <c r="C9" s="35">
        <f>SUM('1st Qtr'!C9, '2nd Qtr'!C9, '3rd Qtr'!C9, '4th Qtr'!C9)</f>
        <v>998907.81299999997</v>
      </c>
      <c r="D9" s="35">
        <f>SUM('1st Qtr'!D9, '2nd Qtr'!D9, '3rd Qtr'!D9, '4th Qtr'!D9)</f>
        <v>713095.02</v>
      </c>
      <c r="E9" s="35">
        <f t="shared" si="6"/>
        <v>285812.79299999995</v>
      </c>
      <c r="F9" s="36">
        <f t="shared" si="4"/>
        <v>0.40080604265052916</v>
      </c>
      <c r="G9" s="37">
        <f>SUM('1st Qtr'!G9, '2nd Qtr'!G9, '3rd Qtr'!G9, '4th Qtr'!G9)</f>
        <v>828053.98099999991</v>
      </c>
      <c r="H9" s="37">
        <f>SUM('1st Qtr'!H9, '2nd Qtr'!H9, '3rd Qtr'!H9, '4th Qtr'!H9)</f>
        <v>170853.83199999999</v>
      </c>
      <c r="I9" s="36">
        <f t="shared" si="5"/>
        <v>0.20633175604526199</v>
      </c>
    </row>
    <row r="10" spans="1:9" ht="15.6">
      <c r="A10" s="25" t="str">
        <v>Batavia - Pike Rd</v>
      </c>
      <c r="B10" s="26" t="str">
        <v>NY</v>
      </c>
      <c r="C10" s="27">
        <f>SUM('1st Qtr'!C10, '2nd Qtr'!C10, '3rd Qtr'!C10, '4th Qtr'!C10)</f>
        <v>4751219.8750499999</v>
      </c>
      <c r="D10" s="28">
        <f>SUM('1st Qtr'!D10, '2nd Qtr'!D10, '3rd Qtr'!D10, '4th Qtr'!D10)</f>
        <v>5073991.7479999997</v>
      </c>
      <c r="E10" s="28">
        <f t="shared" si="6"/>
        <v>-322771.87294999976</v>
      </c>
      <c r="F10" s="29">
        <f t="shared" si="7"/>
        <v>-6.3613007072237715E-2</v>
      </c>
      <c r="G10" s="30">
        <f>SUM('1st Qtr'!G10, '2nd Qtr'!G10, '3rd Qtr'!G10, '4th Qtr'!G10)</f>
        <v>5409432.25</v>
      </c>
      <c r="H10" s="30">
        <f>SUM('1st Qtr'!H10, '2nd Qtr'!H10, '3rd Qtr'!H10, '4th Qtr'!H10)</f>
        <v>-658212.37495000008</v>
      </c>
      <c r="I10" s="31">
        <f t="shared" si="8"/>
        <v>-0.12167864288345603</v>
      </c>
    </row>
    <row r="11" spans="1:9" ht="15.6">
      <c r="A11" s="32" t="str">
        <v>Slayton A &amp; B</v>
      </c>
      <c r="B11" s="33" t="str">
        <v>NY</v>
      </c>
      <c r="C11" s="35">
        <f>SUM('1st Qtr'!C11, '2nd Qtr'!C11, '3rd Qtr'!C11, '4th Qtr'!C11)</f>
        <v>11314826</v>
      </c>
      <c r="D11" s="35">
        <f>SUM('1st Qtr'!D11, '2nd Qtr'!D11, '3rd Qtr'!D11, '4th Qtr'!D11)</f>
        <v>13353300.92</v>
      </c>
      <c r="E11" s="35">
        <f t="shared" si="6"/>
        <v>-2038474.92</v>
      </c>
      <c r="F11" s="36">
        <f t="shared" si="4"/>
        <v>-0.15265700460227477</v>
      </c>
      <c r="G11" s="37">
        <f>SUM('1st Qtr'!G11, '2nd Qtr'!G11, '3rd Qtr'!G11, '4th Qtr'!G11)</f>
        <v>12053440.239999998</v>
      </c>
      <c r="H11" s="37">
        <f>SUM('1st Qtr'!H11, '2nd Qtr'!H11, '3rd Qtr'!H11, '4th Qtr'!H11)</f>
        <v>-738614.24</v>
      </c>
      <c r="I11" s="36">
        <f t="shared" si="5"/>
        <v>-6.1278292777266062E-2</v>
      </c>
    </row>
    <row r="12" spans="1:9" ht="15.6">
      <c r="A12" s="25" t="str">
        <v>Batavia - Alexander Rd</v>
      </c>
      <c r="B12" s="26" t="str">
        <v>NY</v>
      </c>
      <c r="C12" s="27">
        <f>SUM('1st Qtr'!C12, '2nd Qtr'!C12, '3rd Qtr'!C12, '4th Qtr'!C12)</f>
        <v>2655255.6997522227</v>
      </c>
      <c r="D12" s="28">
        <f>SUM('1st Qtr'!D12, '2nd Qtr'!D12, '3rd Qtr'!D12, '4th Qtr'!D12)</f>
        <v>3249556.5269999998</v>
      </c>
      <c r="E12" s="28">
        <f t="shared" si="6"/>
        <v>-594300.82724777702</v>
      </c>
      <c r="F12" s="29">
        <f t="shared" si="7"/>
        <v>-0.18288674848701195</v>
      </c>
      <c r="G12" s="30">
        <f>SUM('1st Qtr'!G12, '2nd Qtr'!G12, '3rd Qtr'!G12, '4th Qtr'!G12)</f>
        <v>2968964.6799999997</v>
      </c>
      <c r="H12" s="30">
        <f>SUM('1st Qtr'!H12, '2nd Qtr'!H12, '3rd Qtr'!H12, '4th Qtr'!H12)</f>
        <v>-313708.98024777696</v>
      </c>
      <c r="I12" s="31">
        <f t="shared" si="8"/>
        <v>-0.10566275252819006</v>
      </c>
    </row>
    <row r="13" spans="1:9" ht="15.6">
      <c r="A13" s="32" t="str">
        <v xml:space="preserve">NC: Gibson – Henry Gibson Solar </v>
      </c>
      <c r="B13" s="33" t="str">
        <v>NC</v>
      </c>
      <c r="C13" s="35">
        <f>SUM('1st Qtr'!C13, '2nd Qtr'!C13, '3rd Qtr'!C13, '4th Qtr'!C13)</f>
        <v>7986476</v>
      </c>
      <c r="D13" s="35">
        <f>SUM('1st Qtr'!D13, '2nd Qtr'!D13, '3rd Qtr'!D13, '4th Qtr'!D13)</f>
        <v>9731775.3999999985</v>
      </c>
      <c r="E13" s="35">
        <f t="shared" si="6"/>
        <v>-1745299.3999999985</v>
      </c>
      <c r="F13" s="36">
        <f t="shared" si="4"/>
        <v>-0.17934028769303478</v>
      </c>
      <c r="G13" s="37">
        <f>SUM('1st Qtr'!G13, '2nd Qtr'!G13, '3rd Qtr'!G13, '4th Qtr'!G13)</f>
        <v>9961237.1999999993</v>
      </c>
      <c r="H13" s="37">
        <f>SUM('1st Qtr'!H13, '2nd Qtr'!H13, '3rd Qtr'!H13, '4th Qtr'!H13)</f>
        <v>-1974761.2</v>
      </c>
      <c r="I13" s="36">
        <f t="shared" si="5"/>
        <v>-0.198244571467488</v>
      </c>
    </row>
    <row r="14" spans="1:9" ht="15.6">
      <c r="A14" s="25" t="str">
        <v>Bangor - Pushaw</v>
      </c>
      <c r="B14" s="26" t="str">
        <v>ME</v>
      </c>
      <c r="C14" s="27">
        <f>SUM('1st Qtr'!C14, '2nd Qtr'!C14, '3rd Qtr'!C14, '4th Qtr'!C14)</f>
        <v>4776048</v>
      </c>
      <c r="D14" s="28">
        <f>SUM('1st Qtr'!D14, '2nd Qtr'!D14, '3rd Qtr'!D14, '4th Qtr'!D14)</f>
        <v>5992663.1569999997</v>
      </c>
      <c r="E14" s="28">
        <f t="shared" si="6"/>
        <v>-1216615.1569999997</v>
      </c>
      <c r="F14" s="29">
        <f t="shared" si="7"/>
        <v>-0.20301744401883787</v>
      </c>
      <c r="G14" s="30">
        <f>SUM('1st Qtr'!G14, '2nd Qtr'!G14, '3rd Qtr'!G14, '4th Qtr'!G14)</f>
        <v>6485713.1699999999</v>
      </c>
      <c r="H14" s="30">
        <f>SUM('1st Qtr'!H14, '2nd Qtr'!H14, '3rd Qtr'!H14, '4th Qtr'!H14)</f>
        <v>-1709665.17</v>
      </c>
      <c r="I14" s="31">
        <f t="shared" si="8"/>
        <v>-0.2636048072412675</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autoFilter ref="A2:I2" xr:uid="{D5C25034-9971-4A61-864F-C938F31EB1B8}"/>
  <mergeCells count="4">
    <mergeCell ref="G1:I1"/>
    <mergeCell ref="A1:C1"/>
    <mergeCell ref="D1:F1"/>
    <mergeCell ref="A2:B2"/>
  </mergeCells>
  <conditionalFormatting sqref="F2 I2 F4:F80 I4:I80">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D26" sqref="D26"/>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4" t="str" cm="1">
        <f t="array" ref="A1">portfolio</f>
        <v>Renewable Properties</v>
      </c>
      <c r="B1" s="104"/>
      <c r="C1" s="104"/>
      <c r="D1" s="105" t="s">
        <v>10</v>
      </c>
      <c r="E1" s="105"/>
      <c r="F1" s="105"/>
      <c r="G1" s="103" t="s">
        <v>11</v>
      </c>
      <c r="H1" s="103"/>
      <c r="I1" s="103"/>
    </row>
    <row r="2" spans="1:9" ht="19.5" customHeight="1">
      <c r="A2" s="106" t="s">
        <v>2</v>
      </c>
      <c r="B2" s="106"/>
      <c r="C2" s="5">
        <f>SUM(C4:C80)</f>
        <v>10039467.413287412</v>
      </c>
      <c r="D2" s="5">
        <f>SUM(D4:D80)</f>
        <v>12321099.887000002</v>
      </c>
      <c r="E2" s="5">
        <f>C2-D2</f>
        <v>-2281632.4737125896</v>
      </c>
      <c r="F2" s="6">
        <f>IFERROR(E2/D2, 0)</f>
        <v>-0.18518090873688484</v>
      </c>
      <c r="G2" s="5">
        <f>SUM(G4:G80)</f>
        <v>12129549.23</v>
      </c>
      <c r="H2" s="7">
        <f>C2-G2</f>
        <v>-2090081.8167125881</v>
      </c>
      <c r="I2" s="6">
        <f>IFERROR(H2/G2, 0)</f>
        <v>-0.17231323086130779</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SUM(Jan!C4, Feb!C5, Mar!C4)</f>
        <v>437777</v>
      </c>
      <c r="D4" s="28">
        <f>SUM(Jan!D4, Feb!D4, Mar!D4)</f>
        <v>267935.23</v>
      </c>
      <c r="E4" s="28">
        <f>IF(AND(ISNUMBER(C4),ISNUMBER(D4)), C4-D4, "")</f>
        <v>169841.77000000002</v>
      </c>
      <c r="F4" s="29">
        <f>IFERROR(E4/D4, "")</f>
        <v>0.63389114600569707</v>
      </c>
      <c r="G4" s="30">
        <f>SUM(Jan!G4, Feb!G4, Mar!G4)</f>
        <v>205644.36</v>
      </c>
      <c r="H4" s="30">
        <f>SUM(Jan!H4, Feb!H4, Mar!H4)</f>
        <v>50127.640000000007</v>
      </c>
      <c r="I4" s="31">
        <f>IFERROR(H4/G4, "")</f>
        <v>0.24375888548560248</v>
      </c>
    </row>
    <row r="5" spans="1:9" ht="15.6">
      <c r="A5" s="39" t="str">
        <v>Bullis</v>
      </c>
      <c r="B5" s="33" t="str">
        <v>NY</v>
      </c>
      <c r="C5" s="34">
        <f>SUM(Jan!C5, Feb!C5, Mar!C5)</f>
        <v>1022641.5</v>
      </c>
      <c r="D5" s="35">
        <f>SUM(Jan!D5, Feb!D5, Mar!D5)</f>
        <v>1180915.6000000001</v>
      </c>
      <c r="E5" s="35">
        <f t="shared" ref="E5:E6" si="0">IF(AND(ISNUMBER(C5),ISNUMBER(D5)), C5-D5, "")</f>
        <v>-158274.10000000009</v>
      </c>
      <c r="F5" s="36">
        <f>IFERROR(E5/D5, "")</f>
        <v>-0.13402659766709837</v>
      </c>
      <c r="G5" s="37">
        <f>SUM(Jan!G5, Feb!G5, Mar!G5)</f>
        <v>1367428.4</v>
      </c>
      <c r="H5" s="37">
        <f>SUM(Jan!H5, Feb!H5, Mar!H5)</f>
        <v>-344786.9</v>
      </c>
      <c r="I5" s="36">
        <f>IFERROR(H5/G5, "")</f>
        <v>-0.25214256190671486</v>
      </c>
    </row>
    <row r="6" spans="1:9" ht="15.6">
      <c r="A6" s="38" t="str">
        <v>Rock Island</v>
      </c>
      <c r="B6" s="26" t="str">
        <v>NY</v>
      </c>
      <c r="C6" s="27">
        <f>SUM(Jan!C6, Feb!C6, Mar!C6)</f>
        <v>1051915</v>
      </c>
      <c r="D6" s="28">
        <f>SUM(Jan!D6, Feb!D6, Mar!D6)</f>
        <v>1305164.6000000001</v>
      </c>
      <c r="E6" s="28">
        <f t="shared" si="0"/>
        <v>-253249.60000000009</v>
      </c>
      <c r="F6" s="29">
        <f t="shared" ref="F6:F14" si="1">IFERROR(E6/D6, "")</f>
        <v>-0.19403652228998555</v>
      </c>
      <c r="G6" s="30">
        <f>SUM(Jan!G6, Feb!G6, Mar!G6)</f>
        <v>1250649.1000000001</v>
      </c>
      <c r="H6" s="30">
        <f>SUM(Jan!H6, Feb!H6, Mar!H6)</f>
        <v>-198734.10000000003</v>
      </c>
      <c r="I6" s="31">
        <f t="shared" ref="I6:I14" si="2">IFERROR(H6/G6, "")</f>
        <v>-0.15890476393418426</v>
      </c>
    </row>
    <row r="7" spans="1:9" ht="15.6">
      <c r="A7" s="39" t="str">
        <v>Winslow - Roderick</v>
      </c>
      <c r="B7" s="33" t="str">
        <v>ME</v>
      </c>
      <c r="C7" s="34">
        <f>SUM(Jan!C7, Feb!C7, Mar!C7)</f>
        <v>1295575</v>
      </c>
      <c r="D7" s="35">
        <f>SUM(Jan!D7, Feb!D7, Mar!D7)</f>
        <v>1649057.2000000002</v>
      </c>
      <c r="E7" s="35">
        <f t="shared" ref="E7:E10" si="3">IF(AND(ISNUMBER(C7),ISNUMBER(D7)), C7-D7, "")</f>
        <v>-353482.20000000019</v>
      </c>
      <c r="F7" s="36">
        <f t="shared" si="1"/>
        <v>-0.21435411700697837</v>
      </c>
      <c r="G7" s="37">
        <f>SUM(Jan!G7, Feb!G7, Mar!G7)</f>
        <v>1587877</v>
      </c>
      <c r="H7" s="37">
        <f>SUM(Jan!H7, Feb!H7, Mar!H7)</f>
        <v>-292302</v>
      </c>
      <c r="I7" s="36">
        <f t="shared" si="2"/>
        <v>-0.1840835278803081</v>
      </c>
    </row>
    <row r="8" spans="1:9" ht="15.6">
      <c r="A8" s="38" t="str">
        <v>Minoa - Clemons Rd</v>
      </c>
      <c r="B8" s="26" t="str">
        <v>NY</v>
      </c>
      <c r="C8" s="27">
        <f>SUM(Jan!C8, Feb!C8, Mar!C8)</f>
        <v>629215.625</v>
      </c>
      <c r="D8" s="28">
        <f>SUM(Jan!D8, Feb!D8, Mar!D8)</f>
        <v>845731.6</v>
      </c>
      <c r="E8" s="28">
        <f t="shared" si="3"/>
        <v>-216515.97499999998</v>
      </c>
      <c r="F8" s="29">
        <f t="shared" si="1"/>
        <v>-0.25601026968839757</v>
      </c>
      <c r="G8" s="30">
        <f>SUM(Jan!G8, Feb!G8, Mar!G8)</f>
        <v>914112.3</v>
      </c>
      <c r="H8" s="30">
        <f>SUM(Jan!H8, Feb!H8, Mar!H8)</f>
        <v>-284896.67500000005</v>
      </c>
      <c r="I8" s="31">
        <f t="shared" si="2"/>
        <v>-0.3116648523381646</v>
      </c>
    </row>
    <row r="9" spans="1:9" ht="15.6">
      <c r="A9" s="39" t="str">
        <v>Manchester - Western</v>
      </c>
      <c r="B9" s="33" t="str">
        <v>ME</v>
      </c>
      <c r="C9" s="34">
        <f>SUM(Jan!C9, Feb!C9, Mar!C9)</f>
        <v>174947.8125</v>
      </c>
      <c r="D9" s="35">
        <f>SUM(Jan!D9, Feb!D9, Mar!D9)</f>
        <v>0</v>
      </c>
      <c r="E9" s="35">
        <f t="shared" ref="E9" si="4">IF(AND(ISNUMBER(C9),ISNUMBER(D9)), C9-D9, "")</f>
        <v>174947.8125</v>
      </c>
      <c r="F9" s="36" t="str">
        <f t="shared" si="1"/>
        <v/>
      </c>
      <c r="G9" s="37">
        <f>SUM(Jan!G9, Feb!G9, Mar!G9)</f>
        <v>0</v>
      </c>
      <c r="H9" s="37">
        <f>SUM(Jan!H9, Feb!H9, Mar!H9)</f>
        <v>174947.8125</v>
      </c>
      <c r="I9" s="36" t="str">
        <f t="shared" si="2"/>
        <v/>
      </c>
    </row>
    <row r="10" spans="1:9" ht="15.6">
      <c r="A10" s="38" t="str">
        <v>Batavia - Pike Rd</v>
      </c>
      <c r="B10" s="26" t="str">
        <v>NY</v>
      </c>
      <c r="C10" s="27">
        <f>SUM(Jan!C10, Feb!C10, Mar!C10)</f>
        <v>768410.87505000003</v>
      </c>
      <c r="D10" s="28">
        <f>SUM(Jan!D10, Feb!D10, Mar!D10)</f>
        <v>975809.7</v>
      </c>
      <c r="E10" s="28">
        <f t="shared" si="3"/>
        <v>-207398.82494999992</v>
      </c>
      <c r="F10" s="29">
        <f t="shared" si="1"/>
        <v>-0.21254023704621908</v>
      </c>
      <c r="G10" s="30">
        <f>SUM(Jan!G10, Feb!G10, Mar!G10)</f>
        <v>999612</v>
      </c>
      <c r="H10" s="30">
        <f>SUM(Jan!H10, Feb!H10, Mar!H10)</f>
        <v>-231201.12495000003</v>
      </c>
      <c r="I10" s="31">
        <f t="shared" si="2"/>
        <v>-0.23129086580593272</v>
      </c>
    </row>
    <row r="11" spans="1:9" ht="15.6">
      <c r="A11" s="39" t="str">
        <v>Slayton A &amp; B</v>
      </c>
      <c r="B11" s="33" t="str">
        <v>NY</v>
      </c>
      <c r="C11" s="34">
        <f>SUM(Jan!C11, Feb!C11, Mar!C11)</f>
        <v>1787409</v>
      </c>
      <c r="D11" s="35">
        <f>SUM(Jan!D11, Feb!D11, Mar!D11)</f>
        <v>2241667.2000000002</v>
      </c>
      <c r="E11" s="35">
        <f>IF(AND(ISNUMBER(C11),ISNUMBER(D11)), C11-D11, "")</f>
        <v>-454258.20000000019</v>
      </c>
      <c r="F11" s="36">
        <f t="shared" si="1"/>
        <v>-0.20264301498456155</v>
      </c>
      <c r="G11" s="37">
        <f>SUM(Jan!G11, Feb!G11, Mar!G11)</f>
        <v>2066288.6</v>
      </c>
      <c r="H11" s="37">
        <f>SUM(Jan!H11, Feb!H11, Mar!H11)</f>
        <v>-278879.59999999998</v>
      </c>
      <c r="I11" s="36">
        <f t="shared" si="2"/>
        <v>-0.13496643208504366</v>
      </c>
    </row>
    <row r="12" spans="1:9" ht="15.6">
      <c r="A12" s="38" t="str">
        <v>Batavia - Alexander Rd</v>
      </c>
      <c r="B12" s="26" t="str">
        <v>NY</v>
      </c>
      <c r="C12" s="27">
        <f>SUM(Jan!C12, Feb!C12, Mar!C12)</f>
        <v>412623.60073741199</v>
      </c>
      <c r="D12" s="28">
        <f>SUM(Jan!D12, Feb!D12, Mar!D12)</f>
        <v>584711.9</v>
      </c>
      <c r="E12" s="28">
        <f>IF(AND(ISNUMBER(C12),ISNUMBER(D12)), C12-D12, "")</f>
        <v>-172088.29926258803</v>
      </c>
      <c r="F12" s="29">
        <f t="shared" si="1"/>
        <v>-0.29431297577933341</v>
      </c>
      <c r="G12" s="30">
        <f>SUM(Jan!G12, Feb!G12, Mar!G12)</f>
        <v>539206.5</v>
      </c>
      <c r="H12" s="30">
        <f>SUM(Jan!H12, Feb!H12, Mar!H12)</f>
        <v>-126582.89926258801</v>
      </c>
      <c r="I12" s="31">
        <f t="shared" si="2"/>
        <v>-0.2347577398688406</v>
      </c>
    </row>
    <row r="13" spans="1:9" ht="15.6">
      <c r="A13" s="39" t="str">
        <v xml:space="preserve">NC: Gibson – Henry Gibson Solar </v>
      </c>
      <c r="B13" s="33" t="str">
        <v>NC</v>
      </c>
      <c r="C13" s="34">
        <f>SUM(Jan!C13, Feb!C13, Mar!C13)</f>
        <v>1601858</v>
      </c>
      <c r="D13" s="35">
        <f>SUM(Jan!D13, Feb!D13, Mar!D13)</f>
        <v>1870367.4</v>
      </c>
      <c r="E13" s="35">
        <f>IF(AND(ISNUMBER(C13),ISNUMBER(D13)), C13-D13, "")</f>
        <v>-268509.39999999991</v>
      </c>
      <c r="F13" s="36">
        <f t="shared" si="1"/>
        <v>-0.14355970917799354</v>
      </c>
      <c r="G13" s="79">
        <f>SUM(Jan!G13, Feb!G13, Mar!G13)</f>
        <v>1679126</v>
      </c>
      <c r="H13" s="79">
        <f>SUM(Jan!H13, Feb!H13, Mar!H13)</f>
        <v>-77268</v>
      </c>
      <c r="I13" s="78">
        <f>IFERROR(H13/G13, "")</f>
        <v>-4.6016796833590806E-2</v>
      </c>
    </row>
    <row r="14" spans="1:9" ht="15.6">
      <c r="A14" s="39" t="str">
        <v>Bangor - Pushaw</v>
      </c>
      <c r="B14" s="33" t="str">
        <v>ME</v>
      </c>
      <c r="C14" s="27">
        <f>SUM(Jan!C14, Feb!C14, Mar!C14)</f>
        <v>857094</v>
      </c>
      <c r="D14" s="28">
        <f>SUM(Jan!D14, Feb!D14, Mar!D14)</f>
        <v>1399739.4569999999</v>
      </c>
      <c r="E14" s="28">
        <f>IF(AND(ISNUMBER(C14),ISNUMBER(D14)), C14-D14, "")</f>
        <v>-542645.45699999994</v>
      </c>
      <c r="F14" s="29">
        <f t="shared" si="1"/>
        <v>-0.38767604519988891</v>
      </c>
      <c r="G14" s="30">
        <f>SUM(Jan!G14, Feb!G14, Mar!G14)</f>
        <v>1519604.97</v>
      </c>
      <c r="H14" s="30">
        <f>SUM(Jan!H14, Feb!H14, Mar!H14)</f>
        <v>-662510.97</v>
      </c>
      <c r="I14" s="31">
        <f t="shared" si="2"/>
        <v>-0.43597578520686203</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I20" sqref="I20"/>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4" t="str" cm="1">
        <f t="array" ref="A1">portfolio</f>
        <v>Renewable Properties</v>
      </c>
      <c r="B1" s="104"/>
      <c r="C1" s="104"/>
      <c r="D1" s="105" t="s">
        <v>12</v>
      </c>
      <c r="E1" s="105"/>
      <c r="F1" s="105"/>
      <c r="G1" s="103" t="s">
        <v>13</v>
      </c>
      <c r="H1" s="103"/>
      <c r="I1" s="103"/>
    </row>
    <row r="2" spans="1:9" ht="19.5" customHeight="1">
      <c r="A2" s="106" t="s">
        <v>2</v>
      </c>
      <c r="B2" s="106"/>
      <c r="C2" s="5">
        <f>SUM(C4:C80)</f>
        <v>17335160.286509901</v>
      </c>
      <c r="D2" s="5">
        <f>SUM(D4:D80)</f>
        <v>18317293.670000002</v>
      </c>
      <c r="E2" s="5">
        <f>C2-D2</f>
        <v>-982133.3834901005</v>
      </c>
      <c r="F2" s="6">
        <f>IFERROR(E2/D2, 0)</f>
        <v>-5.361782156163359E-2</v>
      </c>
      <c r="G2" s="5">
        <f>SUM(G4:G80)</f>
        <v>21126873.399999999</v>
      </c>
      <c r="H2" s="7">
        <f>C2-G2</f>
        <v>-3791713.1134900972</v>
      </c>
      <c r="I2" s="6">
        <f>IFERROR(H2/G2, 0)</f>
        <v>-0.17947346214940152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SUM(Apr!C4, May!C4, Jun!C4)</f>
        <v>230670</v>
      </c>
      <c r="D4" s="28">
        <f>SUM(Apr!D4, May!D4, Jun!D4)</f>
        <v>218073.51</v>
      </c>
      <c r="E4" s="28">
        <f>IF(AND(ISNUMBER(C4),ISNUMBER(D4)), C4-D4, "")</f>
        <v>12596.489999999991</v>
      </c>
      <c r="F4" s="29">
        <f>IFERROR(E4/D4, "")</f>
        <v>5.7762586570005638E-2</v>
      </c>
      <c r="G4" s="30">
        <f>SUM(Apr!G4, May!G4, Jun!G4)</f>
        <v>292400.5</v>
      </c>
      <c r="H4" s="30">
        <f>SUM(Apr!H4, May!H4, Jun!H4)</f>
        <v>-61730.5</v>
      </c>
      <c r="I4" s="31">
        <f>IFERROR(H4/G4, "")</f>
        <v>-0.21111626006111481</v>
      </c>
    </row>
    <row r="5" spans="1:9" ht="15.6">
      <c r="A5" s="39" t="str">
        <v>Bullis</v>
      </c>
      <c r="B5" s="33" t="str">
        <v>NY</v>
      </c>
      <c r="C5" s="34">
        <f>SUM(Apr!C5, May!C5, Jun!C5)</f>
        <v>2200368</v>
      </c>
      <c r="D5" s="35">
        <f>SUM(Apr!D5, May!D5, Jun!D5)</f>
        <v>2131826.4</v>
      </c>
      <c r="E5" s="35">
        <f t="shared" ref="E5:E6" si="0">IF(AND(ISNUMBER(C5),ISNUMBER(D5)), C5-D5, "")</f>
        <v>68541.600000000093</v>
      </c>
      <c r="F5" s="36">
        <f>IFERROR(E5/D5, "")</f>
        <v>3.2151586076614912E-2</v>
      </c>
      <c r="G5" s="9">
        <f>SUM(Apr!G5, May!G5, Jun!G5)</f>
        <v>2867711.1</v>
      </c>
      <c r="H5" s="37">
        <f>SUM(Apr!H5, May!H5, Jun!H5)</f>
        <v>-667343.1</v>
      </c>
      <c r="I5" s="36">
        <f>IFERROR(H5/G5, "")</f>
        <v>-0.23270931998694008</v>
      </c>
    </row>
    <row r="6" spans="1:9" ht="15.6">
      <c r="A6" s="38" t="str">
        <v>Rock Island</v>
      </c>
      <c r="B6" s="26" t="str">
        <v>NY</v>
      </c>
      <c r="C6" s="27">
        <f>SUM(Apr!C6, May!C6, Jun!C6)</f>
        <v>2082820.5</v>
      </c>
      <c r="D6" s="28">
        <f>SUM(Apr!D6, May!D6, Jun!D6)</f>
        <v>2174807.4</v>
      </c>
      <c r="E6" s="28">
        <f t="shared" si="0"/>
        <v>-91986.899999999907</v>
      </c>
      <c r="F6" s="29">
        <f t="shared" ref="F6:F14" si="1">IFERROR(E6/D6, "")</f>
        <v>-4.229657302067296E-2</v>
      </c>
      <c r="G6" s="30">
        <f>SUM(Apr!G6, May!G6, Jun!G6)</f>
        <v>2382636.1</v>
      </c>
      <c r="H6" s="30">
        <f>SUM(Apr!H6, May!H6, Jun!H6)</f>
        <v>-299815.59999999998</v>
      </c>
      <c r="I6" s="31">
        <f t="shared" ref="I6:I14" si="2">IFERROR(H6/G6, "")</f>
        <v>-0.12583356728289308</v>
      </c>
    </row>
    <row r="7" spans="1:9" ht="15.6">
      <c r="A7" s="39" t="str">
        <v>Winslow - Roderick</v>
      </c>
      <c r="B7" s="33" t="str">
        <v>ME</v>
      </c>
      <c r="C7" s="34">
        <f>SUM(Apr!C7, May!C7, Jun!C7)</f>
        <v>1342729</v>
      </c>
      <c r="D7" s="35">
        <f>SUM(Apr!D7, May!D7, Jun!D7)</f>
        <v>1374298.16</v>
      </c>
      <c r="E7" s="35">
        <f t="shared" ref="E7:E14" si="3">IF(AND(ISNUMBER(C7),ISNUMBER(D7)), C7-D7, "")</f>
        <v>-31569.159999999916</v>
      </c>
      <c r="F7" s="36">
        <f t="shared" si="1"/>
        <v>-2.29711142158554E-2</v>
      </c>
      <c r="G7" s="9">
        <f>SUM(Apr!G7, May!G7, Jun!G7)</f>
        <v>1573938</v>
      </c>
      <c r="H7" s="37">
        <f>SUM(Apr!H7, May!H7, Jun!H7)</f>
        <v>-231209</v>
      </c>
      <c r="I7" s="36">
        <f t="shared" si="2"/>
        <v>-0.14689841658311828</v>
      </c>
    </row>
    <row r="8" spans="1:9" ht="15.6">
      <c r="A8" s="38" t="str">
        <v>Minoa - Clemons Rd</v>
      </c>
      <c r="B8" s="26" t="str">
        <v>NY</v>
      </c>
      <c r="C8" s="27">
        <f>SUM(Apr!C8, May!C8, Jun!C8)</f>
        <v>1308172.75</v>
      </c>
      <c r="D8" s="28">
        <f>SUM(Apr!D8, May!D8, Jun!D8)</f>
        <v>1504589.8</v>
      </c>
      <c r="E8" s="28">
        <f t="shared" si="3"/>
        <v>-196417.05000000005</v>
      </c>
      <c r="F8" s="29">
        <f t="shared" si="1"/>
        <v>-0.13054524894426378</v>
      </c>
      <c r="G8" s="30">
        <f>SUM(Apr!G8, May!G8, Jun!G8)</f>
        <v>1760486.7999999998</v>
      </c>
      <c r="H8" s="30">
        <f>SUM(Apr!H8, May!H8, Jun!H8)</f>
        <v>-452314.05000000005</v>
      </c>
      <c r="I8" s="31">
        <f t="shared" si="2"/>
        <v>-0.25692555604506667</v>
      </c>
    </row>
    <row r="9" spans="1:9" ht="15.6">
      <c r="A9" s="39" t="str">
        <v>Manchester - Western</v>
      </c>
      <c r="B9" s="33" t="str">
        <v>ME</v>
      </c>
      <c r="C9" s="34">
        <f>SUM(Apr!C9, May!C9, Jun!C9)</f>
        <v>306860.1875</v>
      </c>
      <c r="D9" s="35">
        <f>SUM(Apr!D9, May!D9, Jun!D9)</f>
        <v>119325.8</v>
      </c>
      <c r="E9" s="35">
        <f t="shared" si="3"/>
        <v>187534.38750000001</v>
      </c>
      <c r="F9" s="36">
        <f t="shared" si="1"/>
        <v>1.571616427461622</v>
      </c>
      <c r="G9" s="9">
        <f>SUM(Apr!G9, May!G9, Jun!G9)</f>
        <v>332824.69999999995</v>
      </c>
      <c r="H9" s="37">
        <f>SUM(Apr!H9, May!H9, Jun!H9)</f>
        <v>-25964.512499999997</v>
      </c>
      <c r="I9" s="36">
        <f t="shared" si="2"/>
        <v>-7.80125768910781E-2</v>
      </c>
    </row>
    <row r="10" spans="1:9" ht="15.6">
      <c r="A10" s="38" t="str">
        <v>Batavia - Pike Rd</v>
      </c>
      <c r="B10" s="26" t="str">
        <v>NY</v>
      </c>
      <c r="C10" s="27">
        <f>SUM(Apr!C10, May!C10, Jun!C10)</f>
        <v>1601331</v>
      </c>
      <c r="D10" s="28">
        <f>SUM(Apr!D10, May!D10, Jun!D10)</f>
        <v>1637420.8</v>
      </c>
      <c r="E10" s="28">
        <f t="shared" si="3"/>
        <v>-36089.800000000047</v>
      </c>
      <c r="F10" s="29">
        <f t="shared" si="1"/>
        <v>-2.2040638545693353E-2</v>
      </c>
      <c r="G10" s="69">
        <f>SUM(Apr!G10, May!G10, Jun!G10)</f>
        <v>1898336.7</v>
      </c>
      <c r="H10" s="30">
        <f>SUM(Apr!H10, May!H10, Jun!H10)</f>
        <v>-297005.69999999995</v>
      </c>
      <c r="I10" s="31">
        <f t="shared" si="2"/>
        <v>-0.15645575413465901</v>
      </c>
    </row>
    <row r="11" spans="1:9" ht="15.6">
      <c r="A11" s="39" t="str">
        <v>Slayton A &amp; B</v>
      </c>
      <c r="B11" s="33" t="str">
        <v>NY</v>
      </c>
      <c r="C11" s="34">
        <f>SUM(Apr!C11, May!C11, Jun!C11)</f>
        <v>4066592</v>
      </c>
      <c r="D11" s="35">
        <f>SUM(Apr!D11, May!D11, Jun!D11)</f>
        <v>4333834</v>
      </c>
      <c r="E11" s="35">
        <f t="shared" si="3"/>
        <v>-267242</v>
      </c>
      <c r="F11" s="70">
        <f t="shared" si="1"/>
        <v>-6.1664106193269057E-2</v>
      </c>
      <c r="G11" s="68">
        <f>SUM(Apr!G11, May!G11, Jun!G11)</f>
        <v>4407054</v>
      </c>
      <c r="H11" s="71">
        <f>SUM(Apr!H11, May!H11, Jun!H11)</f>
        <v>-340462</v>
      </c>
      <c r="I11" s="36">
        <f t="shared" si="2"/>
        <v>-7.7253875264519115E-2</v>
      </c>
    </row>
    <row r="12" spans="1:9" ht="15.6">
      <c r="A12" s="38" t="str">
        <v>Batavia - Alexander Rd</v>
      </c>
      <c r="B12" s="26" t="str">
        <v>NY</v>
      </c>
      <c r="C12" s="27">
        <f>SUM(Apr!C12, May!C12, Jun!C12)</f>
        <v>905518.84900990094</v>
      </c>
      <c r="D12" s="28">
        <f>SUM(Apr!D12, May!D12, Jun!D12)</f>
        <v>1020100.9</v>
      </c>
      <c r="E12" s="28">
        <f t="shared" si="3"/>
        <v>-114582.05099009909</v>
      </c>
      <c r="F12" s="29">
        <f t="shared" si="1"/>
        <v>-0.11232423281863499</v>
      </c>
      <c r="G12" s="69">
        <f>SUM(Apr!G12, May!G12, Jun!G12)</f>
        <v>1039419.3</v>
      </c>
      <c r="H12" s="30">
        <f>SUM(Apr!H12, May!H12, Jun!H12)</f>
        <v>-133900.45099009905</v>
      </c>
      <c r="I12" s="31">
        <f t="shared" si="2"/>
        <v>-0.12882236359292062</v>
      </c>
    </row>
    <row r="13" spans="1:9" ht="15.6">
      <c r="A13" s="39" t="str">
        <v xml:space="preserve">NC: Gibson – Henry Gibson Solar </v>
      </c>
      <c r="B13" s="33" t="str">
        <v>NC</v>
      </c>
      <c r="C13" s="34">
        <f>SUM(Apr!C13, May!C13, Jun!C13)</f>
        <v>2078191</v>
      </c>
      <c r="D13" s="35">
        <f>SUM(Apr!D13, May!D13, Jun!D13)</f>
        <v>2539787.7999999998</v>
      </c>
      <c r="E13" s="35">
        <f t="shared" si="3"/>
        <v>-461596.79999999981</v>
      </c>
      <c r="F13" s="70">
        <f t="shared" si="1"/>
        <v>-0.18174620730125557</v>
      </c>
      <c r="G13" s="94">
        <f>SUM(Apr!G13, May!G13, Jun!G13)</f>
        <v>2632997.2000000002</v>
      </c>
      <c r="H13" s="71">
        <f>SUM(Apr!H13, May!H13, Jun!H13)</f>
        <v>-554806.19999999995</v>
      </c>
      <c r="I13" s="36">
        <f t="shared" si="2"/>
        <v>-0.21071279528895812</v>
      </c>
    </row>
    <row r="14" spans="1:9" ht="15.6">
      <c r="A14" s="38" t="str">
        <v>Bangor - Pushaw</v>
      </c>
      <c r="B14" s="26" t="str">
        <v>ME</v>
      </c>
      <c r="C14" s="27">
        <f>SUM(Apr!C14, May!C14, Jun!C14)</f>
        <v>1211907</v>
      </c>
      <c r="D14" s="28">
        <f>SUM(Apr!D14, May!D14, Jun!D14)</f>
        <v>1263229.0999999999</v>
      </c>
      <c r="E14" s="28">
        <f t="shared" si="3"/>
        <v>-51322.09999999986</v>
      </c>
      <c r="F14" s="61">
        <f t="shared" si="1"/>
        <v>-4.0627705615711246E-2</v>
      </c>
      <c r="G14" s="92">
        <f>SUM(Apr!G14, May!G14, Jun!G14)</f>
        <v>1939069</v>
      </c>
      <c r="H14" s="93">
        <f>SUM(Apr!H14, May!H14, Jun!H14)</f>
        <v>-727162</v>
      </c>
      <c r="I14" s="31">
        <f t="shared" si="2"/>
        <v>-0.37500573728938991</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H17" sqref="H17"/>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4" t="str" cm="1">
        <f t="array" ref="A1">portfolio</f>
        <v>Renewable Properties</v>
      </c>
      <c r="B1" s="104"/>
      <c r="C1" s="104"/>
      <c r="D1" s="105" t="s">
        <v>14</v>
      </c>
      <c r="E1" s="105"/>
      <c r="F1" s="105"/>
      <c r="G1" s="103" t="s">
        <v>15</v>
      </c>
      <c r="H1" s="103"/>
      <c r="I1" s="103"/>
    </row>
    <row r="2" spans="1:9" ht="19.5" customHeight="1">
      <c r="A2" s="106" t="s">
        <v>2</v>
      </c>
      <c r="B2" s="106"/>
      <c r="C2" s="5">
        <f>SUM(C4:C80)</f>
        <v>20663234.668499999</v>
      </c>
      <c r="D2" s="5">
        <f>SUM(D4:D80)</f>
        <v>23704263.366</v>
      </c>
      <c r="E2" s="5">
        <f>C2-D2</f>
        <v>-3041028.6975000016</v>
      </c>
      <c r="F2" s="6">
        <f>IFERROR(E2/D2, 0)</f>
        <v>-0.12829036914354716</v>
      </c>
      <c r="G2" s="5">
        <f>SUM(G4:G80)</f>
        <v>24809935.783000004</v>
      </c>
      <c r="H2" s="7">
        <f>C2-G2</f>
        <v>-4146701.1145000048</v>
      </c>
      <c r="I2" s="6">
        <f>IFERROR(H2/G2, 0)</f>
        <v>-0.16713872824053672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SUM(Jul!C4, Aug!C4, Sep!C4)</f>
        <v>377110</v>
      </c>
      <c r="D4" s="28">
        <f>SUM(Jul!D4, Aug!D4, Sep!D4)</f>
        <v>348432.38100000005</v>
      </c>
      <c r="E4" s="28">
        <f>IF(AND(ISNUMBER(C4),ISNUMBER(D4)), C4-D4, "")</f>
        <v>28677.618999999948</v>
      </c>
      <c r="F4" s="29">
        <f>IFERROR(E4/D4, "")</f>
        <v>8.2304689701041142E-2</v>
      </c>
      <c r="G4" s="30">
        <f>SUM(Jul!G4, Aug!G4, Sep!G4)</f>
        <v>442643.88699999999</v>
      </c>
      <c r="H4" s="30">
        <f>SUM(Jul!H4, Aug!H4, Sep!H4)</f>
        <v>-65533.886999999988</v>
      </c>
      <c r="I4" s="31">
        <f>IFERROR(H4/G4, "")</f>
        <v>-0.148051038147512</v>
      </c>
    </row>
    <row r="5" spans="1:9" ht="15.6">
      <c r="A5" s="39" t="str">
        <v>Bullis</v>
      </c>
      <c r="B5" s="33" t="str">
        <v>NY</v>
      </c>
      <c r="C5" s="34">
        <f>SUM(Jul!C5, Aug!C5, Sep!C5)</f>
        <v>2507081</v>
      </c>
      <c r="D5" s="35">
        <f>SUM(Jul!D5, Aug!D5, Sep!D5)</f>
        <v>2447788.2000000002</v>
      </c>
      <c r="E5" s="35">
        <f t="shared" ref="E5:E14" si="0">IF(AND(ISNUMBER(C5),ISNUMBER(D5)), C5-D5, "")</f>
        <v>59292.799999999814</v>
      </c>
      <c r="F5" s="36">
        <f>IFERROR(E5/D5, "")</f>
        <v>2.4223010798074689E-2</v>
      </c>
      <c r="G5" s="9">
        <f>SUM(Jul!G5, Aug!G5, Sep!G5)</f>
        <v>2870410.9</v>
      </c>
      <c r="H5" s="37">
        <f>SUM(Jul!H5, Aug!H5, Sep!H5)</f>
        <v>-363329.89999999991</v>
      </c>
      <c r="I5" s="36">
        <f>IFERROR(H5/G5, "")</f>
        <v>-0.12657766175567406</v>
      </c>
    </row>
    <row r="6" spans="1:9" ht="15.6">
      <c r="A6" s="38" t="str">
        <v>Rock Island</v>
      </c>
      <c r="B6" s="26" t="str">
        <v>NY</v>
      </c>
      <c r="C6" s="27">
        <f>SUM(Jul!C6, Aug!C6, Sep!C6)</f>
        <v>2041963</v>
      </c>
      <c r="D6" s="28">
        <f>SUM(Jul!D6, Aug!D6, Sep!D6)</f>
        <v>2449960.4000000004</v>
      </c>
      <c r="E6" s="28">
        <f t="shared" si="0"/>
        <v>-407997.40000000037</v>
      </c>
      <c r="F6" s="29">
        <f t="shared" ref="F6:F14" si="1">IFERROR(E6/D6, "")</f>
        <v>-0.16653224272522948</v>
      </c>
      <c r="G6" s="30">
        <f>SUM(Jul!G6, Aug!G6, Sep!G6)</f>
        <v>4991919.17</v>
      </c>
      <c r="H6" s="30">
        <f>SUM(Jul!H6, Aug!H6, Sep!H6)</f>
        <v>-2949956.17</v>
      </c>
      <c r="I6" s="31">
        <f t="shared" ref="I6:I14" si="2">IFERROR(H6/G6, "")</f>
        <v>-0.59094630132001913</v>
      </c>
    </row>
    <row r="7" spans="1:9" ht="15.6">
      <c r="A7" s="39" t="str">
        <v>Winslow - Roderick</v>
      </c>
      <c r="B7" s="33" t="str">
        <v>ME</v>
      </c>
      <c r="C7" s="34">
        <f>SUM(Jul!C7, Aug!C7, Sep!C7)</f>
        <v>2388720</v>
      </c>
      <c r="D7" s="35">
        <f>SUM(Jul!D7, Aug!D7, Sep!D7)</f>
        <v>2620290.4349999996</v>
      </c>
      <c r="E7" s="35">
        <f t="shared" si="0"/>
        <v>-231570.43499999959</v>
      </c>
      <c r="F7" s="36">
        <f t="shared" si="1"/>
        <v>-8.8375865479201982E-2</v>
      </c>
      <c r="G7" s="9">
        <f>SUM(Jul!G7, Aug!G7, Sep!G7)</f>
        <v>2353795.58</v>
      </c>
      <c r="H7" s="37">
        <f>SUM(Jul!H7, Aug!H7, Sep!H7)</f>
        <v>34924.420000000042</v>
      </c>
      <c r="I7" s="36">
        <f t="shared" si="2"/>
        <v>1.4837490688125109E-2</v>
      </c>
    </row>
    <row r="8" spans="1:9" ht="15.6">
      <c r="A8" s="38" t="str">
        <v>Minoa - Clemons Rd</v>
      </c>
      <c r="B8" s="26" t="str">
        <v>NY</v>
      </c>
      <c r="C8" s="27">
        <f>SUM(Jul!C8, Aug!C8, Sep!C8)</f>
        <v>1658917.7505000001</v>
      </c>
      <c r="D8" s="28">
        <f>SUM(Jul!D8, Aug!D8, Sep!D8)</f>
        <v>1940181.125</v>
      </c>
      <c r="E8" s="28">
        <f t="shared" si="0"/>
        <v>-281263.37449999992</v>
      </c>
      <c r="F8" s="29">
        <f t="shared" si="1"/>
        <v>-0.14496758620925143</v>
      </c>
      <c r="G8" s="30">
        <f>SUM(Jul!G8, Aug!G8, Sep!G8)</f>
        <v>1385535.125</v>
      </c>
      <c r="H8" s="30">
        <f>SUM(Jul!H8, Aug!H8, Sep!H8)</f>
        <v>273382.62550000008</v>
      </c>
      <c r="I8" s="31">
        <f t="shared" si="2"/>
        <v>0.19731194147820691</v>
      </c>
    </row>
    <row r="9" spans="1:9" ht="15.6">
      <c r="A9" s="39" t="str">
        <v>Manchester - Western</v>
      </c>
      <c r="B9" s="33" t="str">
        <v>ME</v>
      </c>
      <c r="C9" s="34">
        <f>SUM(Jul!C9, Aug!C9, Sep!C9)</f>
        <v>358185.81299999997</v>
      </c>
      <c r="D9" s="35">
        <f>SUM(Jul!D9, Aug!D9, Sep!D9)</f>
        <v>380858.27999999997</v>
      </c>
      <c r="E9" s="35">
        <f t="shared" si="0"/>
        <v>-22672.467000000004</v>
      </c>
      <c r="F9" s="36">
        <f t="shared" si="1"/>
        <v>-5.9529930660822197E-2</v>
      </c>
      <c r="G9" s="9">
        <f>SUM(Jul!G9, Aug!G9, Sep!G9)</f>
        <v>338067.22100000002</v>
      </c>
      <c r="H9" s="37">
        <f>SUM(Jul!H9, Aug!H9, Sep!H9)</f>
        <v>20118.59199999999</v>
      </c>
      <c r="I9" s="36">
        <f t="shared" si="2"/>
        <v>5.9510626142603718E-2</v>
      </c>
    </row>
    <row r="10" spans="1:9" ht="15.6">
      <c r="A10" s="38" t="str">
        <v>Batavia - Pike Rd</v>
      </c>
      <c r="B10" s="26" t="str">
        <v>NY</v>
      </c>
      <c r="C10" s="27">
        <f>SUM(Jul!C10, Aug!C10, Sep!C10)</f>
        <v>1720325.355</v>
      </c>
      <c r="D10" s="28">
        <f>SUM(Jul!D10, Aug!D10, Sep!D10)</f>
        <v>1734045.4479999999</v>
      </c>
      <c r="E10" s="28">
        <f t="shared" si="0"/>
        <v>-13720.092999999877</v>
      </c>
      <c r="F10" s="29">
        <f t="shared" si="1"/>
        <v>-7.9121876625691985E-3</v>
      </c>
      <c r="G10" s="69">
        <f>SUM(Jul!G10, Aug!G10, Sep!G10)</f>
        <v>1828409.05</v>
      </c>
      <c r="H10" s="30">
        <f>SUM(Jul!H10, Aug!H10, Sep!H10)</f>
        <v>-108083.69500000012</v>
      </c>
      <c r="I10" s="31">
        <f t="shared" si="2"/>
        <v>-5.9113520029886159E-2</v>
      </c>
    </row>
    <row r="11" spans="1:9" ht="15.6">
      <c r="A11" s="39" t="str">
        <v>Slayton A &amp; B</v>
      </c>
      <c r="B11" s="33" t="str">
        <v>NY</v>
      </c>
      <c r="C11" s="34">
        <f>SUM(Jul!C11, Aug!C11, Sep!C11)</f>
        <v>3890108</v>
      </c>
      <c r="D11" s="35">
        <f>SUM(Jul!D11, Aug!D11, Sep!D11)</f>
        <v>4991361.32</v>
      </c>
      <c r="E11" s="35">
        <f t="shared" si="0"/>
        <v>-1101253.3200000003</v>
      </c>
      <c r="F11" s="36">
        <f t="shared" si="1"/>
        <v>-0.22063185760312784</v>
      </c>
      <c r="G11" s="68">
        <f>SUM(Jul!G11, Aug!G11, Sep!G11)</f>
        <v>4190656.44</v>
      </c>
      <c r="H11" s="37">
        <f>SUM(Jul!H11, Aug!H11, Sep!H11)</f>
        <v>-300548.43999999994</v>
      </c>
      <c r="I11" s="36">
        <f t="shared" si="2"/>
        <v>-7.1718701903418253E-2</v>
      </c>
    </row>
    <row r="12" spans="1:9" ht="15.6">
      <c r="A12" s="38" t="str">
        <v>Batavia - Alexander Rd</v>
      </c>
      <c r="B12" s="26" t="str">
        <v>NY</v>
      </c>
      <c r="C12" s="27">
        <f>SUM(Jul!C12, Aug!C12, Sep!C12)</f>
        <v>1002641.75</v>
      </c>
      <c r="D12" s="28">
        <f>SUM(Jul!D12, Aug!D12, Sep!D12)</f>
        <v>1183189.277</v>
      </c>
      <c r="E12" s="28">
        <f t="shared" si="0"/>
        <v>-180547.527</v>
      </c>
      <c r="F12" s="29">
        <f t="shared" si="1"/>
        <v>-0.15259395137334397</v>
      </c>
      <c r="G12" s="69">
        <f>SUM(Jul!G12, Aug!G12, Sep!G12)</f>
        <v>1035998.21</v>
      </c>
      <c r="H12" s="30">
        <f>SUM(Jul!H12, Aug!H12, Sep!H12)</f>
        <v>-33356.459999999963</v>
      </c>
      <c r="I12" s="31">
        <f t="shared" si="2"/>
        <v>-3.219741084301677E-2</v>
      </c>
    </row>
    <row r="13" spans="1:9" ht="15.6">
      <c r="A13" s="39" t="str">
        <v xml:space="preserve">NC: Gibson – Henry Gibson Solar </v>
      </c>
      <c r="B13" s="33" t="str">
        <v>NC</v>
      </c>
      <c r="C13" s="34">
        <f>SUM(Jul!C13, Aug!C13, Sep!C13)</f>
        <v>2820248</v>
      </c>
      <c r="D13" s="35">
        <f>SUM(Jul!D13, Aug!D13, Sep!D13)</f>
        <v>3352789</v>
      </c>
      <c r="E13" s="35">
        <f t="shared" si="0"/>
        <v>-532541</v>
      </c>
      <c r="F13" s="36">
        <f t="shared" si="1"/>
        <v>-0.15883522643387341</v>
      </c>
      <c r="G13" s="94">
        <f>SUM(Jul!G13, Aug!G13, Sep!G13)</f>
        <v>3426970</v>
      </c>
      <c r="H13" s="37">
        <f>SUM(Jul!H13, Aug!H13, Sep!H13)</f>
        <v>-606722</v>
      </c>
      <c r="I13" s="36">
        <f t="shared" si="2"/>
        <v>-0.17704327729743768</v>
      </c>
    </row>
    <row r="14" spans="1:9" ht="15.6">
      <c r="A14" s="38" t="str">
        <v>Bangor - Pushaw</v>
      </c>
      <c r="B14" s="26" t="str">
        <v>ME</v>
      </c>
      <c r="C14" s="27">
        <f>SUM(Jul!C14, Aug!C14, Sep!C14)</f>
        <v>1897934</v>
      </c>
      <c r="D14" s="28">
        <f>SUM(Jul!D14, Aug!D14, Sep!D14)</f>
        <v>2255367.5</v>
      </c>
      <c r="E14" s="28">
        <f t="shared" si="0"/>
        <v>-357433.5</v>
      </c>
      <c r="F14" s="61">
        <f t="shared" si="1"/>
        <v>-0.15848126746528005</v>
      </c>
      <c r="G14" s="92">
        <f>SUM(Jul!G14, Aug!G14, Sep!G14)</f>
        <v>1945530.2</v>
      </c>
      <c r="H14" s="93">
        <f>SUM(Jul!H14, Aug!H14, Sep!H14)</f>
        <v>-47596.199999999953</v>
      </c>
      <c r="I14" s="31">
        <f t="shared" si="2"/>
        <v>-2.4464385081249294E-2</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J20" sqref="J20"/>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4" t="str" cm="1">
        <f t="array" ref="A1">portfolio</f>
        <v>Renewable Properties</v>
      </c>
      <c r="B1" s="104"/>
      <c r="C1" s="104"/>
      <c r="D1" s="105" t="s">
        <v>16</v>
      </c>
      <c r="E1" s="105"/>
      <c r="F1" s="105"/>
      <c r="G1" s="103" t="s">
        <v>17</v>
      </c>
      <c r="H1" s="103"/>
      <c r="I1" s="103"/>
    </row>
    <row r="2" spans="1:9" ht="19.5" customHeight="1">
      <c r="A2" s="106" t="s">
        <v>2</v>
      </c>
      <c r="B2" s="106"/>
      <c r="C2" s="5">
        <f>SUM(C4:C80)</f>
        <v>8342695.6450049095</v>
      </c>
      <c r="D2" s="5">
        <f>SUM(D4:D80)</f>
        <v>10384305.85</v>
      </c>
      <c r="E2" s="5">
        <f>C2-D2</f>
        <v>-2041610.2049950901</v>
      </c>
      <c r="F2" s="6">
        <f>IFERROR(E2/D2, 0)</f>
        <v>-0.19660536144503971</v>
      </c>
      <c r="G2" s="5">
        <f>SUM(G4:G80)</f>
        <v>9525515.4499999993</v>
      </c>
      <c r="H2" s="7">
        <f>C2-G2</f>
        <v>-1182819.8049950898</v>
      </c>
      <c r="I2" s="6">
        <f>IFERROR(H2/G2, 0)</f>
        <v>-0.12417383722736913</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SUM(Oct!C4, Nov!C4, Dec!C4)</f>
        <v>197142</v>
      </c>
      <c r="D4" s="28">
        <f>SUM(Oct!D4, Nov!D4, Dec!D4)</f>
        <v>202570.46000000002</v>
      </c>
      <c r="E4" s="28">
        <f>IF(AND(ISNUMBER(C4),ISNUMBER(D4)), C4-D4, "")</f>
        <v>-5428.460000000021</v>
      </c>
      <c r="F4" s="29">
        <f>IFERROR(E4/D4, "")</f>
        <v>-2.679788553572925E-2</v>
      </c>
      <c r="G4" s="37">
        <f>SUM(Oct!G4, Nov!G4, Dec!G4)</f>
        <v>170784.12</v>
      </c>
      <c r="H4" s="30">
        <f>SUM(Oct!H4, Nov!H4, Dec!H4)</f>
        <v>26357.87999999999</v>
      </c>
      <c r="I4" s="31">
        <f>IFERROR(H4/G4, "")</f>
        <v>0.15433448964692964</v>
      </c>
    </row>
    <row r="5" spans="1:9" ht="15.6">
      <c r="A5" s="39" t="str">
        <v>Bullis</v>
      </c>
      <c r="B5" s="33" t="str">
        <v>NY</v>
      </c>
      <c r="C5" s="34">
        <f>SUM(Oct!C5, Nov!C5, Dec!C5)</f>
        <v>801286</v>
      </c>
      <c r="D5" s="35">
        <f>SUM(Oct!D5, Nov!D5, Dec!D5)</f>
        <v>879334.5</v>
      </c>
      <c r="E5" s="35">
        <f t="shared" ref="E5:E6" si="0">IF(AND(ISNUMBER(C5),ISNUMBER(D5)), C5-D5, "")</f>
        <v>-78048.5</v>
      </c>
      <c r="F5" s="36">
        <f>IFERROR(E5/D5, "")</f>
        <v>-8.8758600964706835E-2</v>
      </c>
      <c r="G5" s="37">
        <f>SUM(Oct!G5, Nov!G5, Dec!G5)</f>
        <v>940864.4</v>
      </c>
      <c r="H5" s="37">
        <f>SUM(Oct!H5, Nov!H5, Dec!H5)</f>
        <v>-139578.40000000005</v>
      </c>
      <c r="I5" s="36">
        <f>IFERROR(H5/G5, "")</f>
        <v>-0.1483512395622579</v>
      </c>
    </row>
    <row r="6" spans="1:9" ht="15.6">
      <c r="A6" s="38" t="str">
        <v>Rock Island</v>
      </c>
      <c r="B6" s="26" t="str">
        <v>NY</v>
      </c>
      <c r="C6" s="27">
        <f>SUM(Oct!C6, Nov!C6, Dec!C6)</f>
        <v>777575</v>
      </c>
      <c r="D6" s="28">
        <f>SUM(Oct!D6, Nov!D6, Dec!D6)</f>
        <v>927196.2</v>
      </c>
      <c r="E6" s="28">
        <f t="shared" si="0"/>
        <v>-149621.19999999995</v>
      </c>
      <c r="F6" s="29">
        <f t="shared" ref="F6" si="1">IFERROR(E6/D6, "")</f>
        <v>-0.16136951380948278</v>
      </c>
      <c r="G6" s="30">
        <f>SUM(Oct!G6, Nov!G6, Dec!G6)</f>
        <v>846390.39999999991</v>
      </c>
      <c r="H6" s="30">
        <f>SUM(Oct!H6, Nov!H6, Dec!H6)</f>
        <v>-68815.399999999965</v>
      </c>
      <c r="I6" s="31">
        <f t="shared" ref="I6" si="2">IFERROR(H6/G6, "")</f>
        <v>-8.130456111033392E-2</v>
      </c>
    </row>
    <row r="7" spans="1:9" ht="15.6">
      <c r="A7" s="39" t="str">
        <v>Winslow - Roderick</v>
      </c>
      <c r="B7" s="33" t="str">
        <v>ME</v>
      </c>
      <c r="C7" s="34">
        <f>SUM(Oct!C7, Nov!C7, Dec!C7)</f>
        <v>1032329</v>
      </c>
      <c r="D7" s="35">
        <f>SUM(Oct!D7, Nov!D7, Dec!D7)</f>
        <v>1460564.9</v>
      </c>
      <c r="E7" s="35">
        <f t="shared" ref="E7" si="3">IF(AND(ISNUMBER(C7),ISNUMBER(D7)), C7-D7, "")</f>
        <v>-428235.89999999991</v>
      </c>
      <c r="F7" s="36">
        <f t="shared" ref="F7:F13" si="4">IFERROR(E7/D7, "")</f>
        <v>-0.29319881643054679</v>
      </c>
      <c r="G7" s="37">
        <f>SUM(Oct!G7, Nov!G7, Dec!G7)</f>
        <v>1098700</v>
      </c>
      <c r="H7" s="37">
        <f>SUM(Oct!H7, Nov!H7, Dec!H7)</f>
        <v>-66371</v>
      </c>
      <c r="I7" s="36">
        <f t="shared" ref="I7:I13" si="5">IFERROR(H7/G7, "")</f>
        <v>-6.0408664785655777E-2</v>
      </c>
    </row>
    <row r="8" spans="1:9" ht="15.6">
      <c r="A8" s="38" t="str">
        <v>Minoa - Clemons Rd</v>
      </c>
      <c r="B8" s="26" t="str">
        <v>NY</v>
      </c>
      <c r="C8" s="27">
        <f>SUM(Oct!C8, Nov!C8, Dec!C8)</f>
        <v>513816.5</v>
      </c>
      <c r="D8" s="28">
        <f>SUM(Oct!D8, Nov!D8, Dec!D8)</f>
        <v>683861.9</v>
      </c>
      <c r="E8" s="28">
        <f t="shared" ref="E8:E14" si="6">IF(AND(ISNUMBER(C8),ISNUMBER(D8)), C8-D8, "")</f>
        <v>-170045.40000000002</v>
      </c>
      <c r="F8" s="29">
        <f t="shared" ref="F8:F14" si="7">IFERROR(E8/D8, "")</f>
        <v>-0.24865458947193872</v>
      </c>
      <c r="G8" s="30">
        <f>SUM(Oct!G8, Nov!G8, Dec!G8)</f>
        <v>581105.1</v>
      </c>
      <c r="H8" s="30">
        <f>SUM(Oct!H8, Nov!H8, Dec!H8)</f>
        <v>-67288.599999999991</v>
      </c>
      <c r="I8" s="31">
        <f t="shared" ref="I8:I14" si="8">IFERROR(H8/G8, "")</f>
        <v>-0.11579419970673119</v>
      </c>
    </row>
    <row r="9" spans="1:9" ht="15.6">
      <c r="A9" s="39" t="str">
        <v>Manchester - Western</v>
      </c>
      <c r="B9" s="33" t="str">
        <v>ME</v>
      </c>
      <c r="C9" s="34">
        <f>SUM(Oct!C9, Nov!C9, Dec!C9)</f>
        <v>158914</v>
      </c>
      <c r="D9" s="35">
        <f>SUM(Oct!D9, Nov!D9, Dec!D9)</f>
        <v>212910.94</v>
      </c>
      <c r="E9" s="35">
        <f t="shared" si="6"/>
        <v>-53996.94</v>
      </c>
      <c r="F9" s="36">
        <f t="shared" si="4"/>
        <v>-0.25361280167191036</v>
      </c>
      <c r="G9" s="37">
        <f>SUM(Oct!G9, Nov!G9, Dec!G9)</f>
        <v>157162.06</v>
      </c>
      <c r="H9" s="37">
        <f>SUM(Oct!H9, Nov!H9, Dec!H9)</f>
        <v>1751.9399999999951</v>
      </c>
      <c r="I9" s="36">
        <f t="shared" si="5"/>
        <v>1.1147346885119699E-2</v>
      </c>
    </row>
    <row r="10" spans="1:9" ht="15.6">
      <c r="A10" s="38" t="str">
        <v>Batavia - Pike Rd</v>
      </c>
      <c r="B10" s="26" t="str">
        <v>NY</v>
      </c>
      <c r="C10" s="27">
        <f>SUM(Oct!C10, Nov!C10, Dec!C10)</f>
        <v>661152.64500000002</v>
      </c>
      <c r="D10" s="28">
        <f>SUM(Oct!D10, Nov!D10, Dec!D10)</f>
        <v>726715.8</v>
      </c>
      <c r="E10" s="28">
        <f t="shared" si="6"/>
        <v>-65563.155000000028</v>
      </c>
      <c r="F10" s="29">
        <f t="shared" si="7"/>
        <v>-9.0218425139511241E-2</v>
      </c>
      <c r="G10" s="30">
        <f>SUM(Oct!G10, Nov!G10, Dec!G10)</f>
        <v>683074.5</v>
      </c>
      <c r="H10" s="30">
        <f>SUM(Oct!H10, Nov!H10, Dec!H10)</f>
        <v>-21921.854999999981</v>
      </c>
      <c r="I10" s="31">
        <f t="shared" si="8"/>
        <v>-3.2092919586370131E-2</v>
      </c>
    </row>
    <row r="11" spans="1:9" ht="15.6">
      <c r="A11" s="39" t="str">
        <v>Slayton A &amp; B</v>
      </c>
      <c r="B11" s="33" t="str">
        <v>NY</v>
      </c>
      <c r="C11" s="34">
        <f>SUM(Oct!C11, Nov!C11, Dec!C11)</f>
        <v>1570717</v>
      </c>
      <c r="D11" s="35">
        <f>SUM(Oct!D11, Nov!D11, Dec!D11)</f>
        <v>1786438.4</v>
      </c>
      <c r="E11" s="35">
        <f t="shared" si="6"/>
        <v>-215721.39999999991</v>
      </c>
      <c r="F11" s="36">
        <f t="shared" si="4"/>
        <v>-0.12075501735744144</v>
      </c>
      <c r="G11" s="37">
        <f>SUM(Oct!G11, Nov!G11, Dec!G11)</f>
        <v>1389441.2</v>
      </c>
      <c r="H11" s="37">
        <f>SUM(Oct!H11, Nov!H11, Dec!H11)</f>
        <v>181275.8</v>
      </c>
      <c r="I11" s="36">
        <f t="shared" si="5"/>
        <v>0.13046669409256037</v>
      </c>
    </row>
    <row r="12" spans="1:9" ht="15.6">
      <c r="A12" s="38" t="str">
        <v>Batavia - Alexander Rd</v>
      </c>
      <c r="B12" s="26" t="str">
        <v>NY</v>
      </c>
      <c r="C12" s="27">
        <f>SUM(Oct!C12, Nov!C12, Dec!C12)</f>
        <v>334471.50000491011</v>
      </c>
      <c r="D12" s="28">
        <f>SUM(Oct!D12, Nov!D12, Dec!D12)</f>
        <v>461554.44999999995</v>
      </c>
      <c r="E12" s="28">
        <f t="shared" si="6"/>
        <v>-127082.94999508985</v>
      </c>
      <c r="F12" s="29">
        <f t="shared" si="7"/>
        <v>-0.27533685352852705</v>
      </c>
      <c r="G12" s="30">
        <f>SUM(Oct!G12, Nov!G12, Dec!G12)</f>
        <v>354340.67</v>
      </c>
      <c r="H12" s="30">
        <f>SUM(Oct!H12, Nov!H12, Dec!H12)</f>
        <v>-19869.169995089913</v>
      </c>
      <c r="I12" s="31">
        <f t="shared" si="8"/>
        <v>-5.6073636692875004E-2</v>
      </c>
    </row>
    <row r="13" spans="1:9" ht="15.6">
      <c r="A13" s="39" t="str">
        <v xml:space="preserve">NC: Gibson – Henry Gibson Solar </v>
      </c>
      <c r="B13" s="33" t="str">
        <v>NC</v>
      </c>
      <c r="C13" s="34">
        <f>SUM(Oct!C13, Nov!C13, Dec!C13)</f>
        <v>1486179</v>
      </c>
      <c r="D13" s="35">
        <f>SUM(Oct!D13, Nov!D13, Dec!D13)</f>
        <v>1968831.2</v>
      </c>
      <c r="E13" s="35">
        <f t="shared" si="6"/>
        <v>-482652.19999999995</v>
      </c>
      <c r="F13" s="36">
        <f t="shared" si="4"/>
        <v>-0.24514656208211247</v>
      </c>
      <c r="G13" s="37">
        <f>SUM(Oct!G13, Nov!G13, Dec!G13)</f>
        <v>2222144</v>
      </c>
      <c r="H13" s="37">
        <f>SUM(Oct!H13, Nov!H13, Dec!H13)</f>
        <v>-735965</v>
      </c>
      <c r="I13" s="36">
        <f t="shared" si="5"/>
        <v>-0.331195908095965</v>
      </c>
    </row>
    <row r="14" spans="1:9" ht="15.6">
      <c r="A14" s="38" t="str">
        <v>Bangor - Pushaw</v>
      </c>
      <c r="B14" s="26" t="str">
        <v>ME</v>
      </c>
      <c r="C14" s="27">
        <f>SUM(Oct!C14, Nov!C14, Dec!C14)</f>
        <v>809113</v>
      </c>
      <c r="D14" s="28">
        <f>SUM(Oct!D14, Nov!D14, Dec!D14)</f>
        <v>1074327.1000000001</v>
      </c>
      <c r="E14" s="28">
        <f t="shared" si="6"/>
        <v>-265214.10000000009</v>
      </c>
      <c r="F14" s="29">
        <f t="shared" si="7"/>
        <v>-0.24686531690394858</v>
      </c>
      <c r="G14" s="30">
        <f>SUM(Oct!G14, Nov!G14, Dec!G14)</f>
        <v>1081509</v>
      </c>
      <c r="H14" s="30">
        <f>SUM(Oct!H14, Nov!H14, Dec!H14)</f>
        <v>-272396</v>
      </c>
      <c r="I14" s="31">
        <f t="shared" si="8"/>
        <v>-0.25186660490111501</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80" zoomScaleNormal="80" workbookViewId="0">
      <pane xSplit="2" ySplit="3" topLeftCell="C8" activePane="bottomRight" state="frozen"/>
      <selection pane="bottomRight" activeCell="F18" sqref="F18"/>
      <selection pane="bottomLeft" activeCell="I11" sqref="I11"/>
      <selection pane="topRight" activeCell="I11" sqref="I11"/>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6.7109375" customWidth="1"/>
    <col min="11" max="11" width="20.5703125" bestFit="1" customWidth="1"/>
  </cols>
  <sheetData>
    <row r="1" spans="1:11" ht="19.5" customHeight="1">
      <c r="A1" s="104" t="str" cm="1">
        <f t="array" ref="A1">portfolio</f>
        <v>Renewable Properties</v>
      </c>
      <c r="B1" s="104"/>
      <c r="C1" s="104"/>
      <c r="D1" s="105" t="s">
        <v>18</v>
      </c>
      <c r="E1" s="105"/>
      <c r="F1" s="105"/>
      <c r="G1" s="103" t="s">
        <v>19</v>
      </c>
      <c r="H1" s="103"/>
      <c r="I1" s="103"/>
      <c r="J1" s="4"/>
      <c r="K1" s="4"/>
    </row>
    <row r="2" spans="1:11" ht="19.5" customHeight="1">
      <c r="A2" s="106" t="s">
        <v>2</v>
      </c>
      <c r="B2" s="106"/>
      <c r="C2" s="5">
        <f>SUM(C4:C79)</f>
        <v>1767768.4684599999</v>
      </c>
      <c r="D2" s="5">
        <f>SUM(D4:D79)</f>
        <v>2623230.6949999998</v>
      </c>
      <c r="E2" s="5">
        <f>C2-D2</f>
        <v>-855462.22653999995</v>
      </c>
      <c r="F2" s="6">
        <f>IFERROR(E2/D2, 0)</f>
        <v>-0.32611017710739315</v>
      </c>
      <c r="G2" s="5">
        <f>SUM(G4:G79)</f>
        <v>2261375.48</v>
      </c>
      <c r="H2" s="7">
        <f>C2-G2</f>
        <v>-493607.01154000009</v>
      </c>
      <c r="I2" s="6">
        <f>IFERROR(H2/G2, 0)</f>
        <v>-0.21827733426206608</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3" t="s">
        <v>9</v>
      </c>
      <c r="H3" s="44" t="s">
        <v>7</v>
      </c>
      <c r="I3" s="45" t="s">
        <v>8</v>
      </c>
      <c r="J3" s="46" t="s">
        <v>20</v>
      </c>
      <c r="K3" s="46" t="s">
        <v>21</v>
      </c>
    </row>
    <row r="4" spans="1:11" ht="15.6">
      <c r="A4" s="48" t="str" cm="1">
        <f t="array" ref="A4:A14">Sites[Site]</f>
        <v>Cedar Swamp Rd</v>
      </c>
      <c r="B4" s="49" t="str" cm="1">
        <f t="array" ref="B4:B14">Sites[State]</f>
        <v>MA</v>
      </c>
      <c r="C4" s="27">
        <v>61046</v>
      </c>
      <c r="D4" s="28">
        <v>72282.67</v>
      </c>
      <c r="E4" s="28">
        <f>IF(AND(ISNUMBER(C4),ISNUMBER(D4)), C4-D4, "")</f>
        <v>-11236.669999999998</v>
      </c>
      <c r="F4" s="29">
        <f>IFERROR(E4/D4, "")</f>
        <v>-0.15545455086260646</v>
      </c>
      <c r="G4" s="30">
        <v>41663.379999999997</v>
      </c>
      <c r="H4" s="30">
        <f>IF(AND(ISNUMBER(C4),ISNUMBER(G4)), C4-G4, "")</f>
        <v>19382.620000000003</v>
      </c>
      <c r="I4" s="31">
        <f>IFERROR(H4/G4, "")</f>
        <v>0.46521957652019602</v>
      </c>
      <c r="J4" s="50"/>
      <c r="K4" s="50"/>
    </row>
    <row r="5" spans="1:11" ht="28.9">
      <c r="A5" s="51" t="str">
        <v>Bullis</v>
      </c>
      <c r="B5" s="52" t="str">
        <v>NY</v>
      </c>
      <c r="C5" s="35">
        <v>179917</v>
      </c>
      <c r="D5" s="35">
        <v>269796.59999999998</v>
      </c>
      <c r="E5" s="35">
        <f t="shared" ref="E5:E6" si="0">IF(AND(ISNUMBER(C5),ISNUMBER(D5)), C5-D5, "")</f>
        <v>-89879.599999999977</v>
      </c>
      <c r="F5" s="36">
        <f t="shared" ref="F5:F6" si="1">IFERROR(E5/D5, "")</f>
        <v>-0.33313837164738169</v>
      </c>
      <c r="G5" s="37">
        <v>264056.90000000002</v>
      </c>
      <c r="H5" s="37">
        <f t="shared" ref="H5:H6" si="2">IF(AND(ISNUMBER(C5),ISNUMBER(G5)), C5-G5, "")</f>
        <v>-84139.900000000023</v>
      </c>
      <c r="I5" s="36">
        <f t="shared" ref="I5:I6" si="3">IFERROR(H5/G5, "")</f>
        <v>-0.31864306518784402</v>
      </c>
      <c r="J5" s="53" t="s">
        <v>22</v>
      </c>
      <c r="K5" s="53" t="s">
        <v>23</v>
      </c>
    </row>
    <row r="6" spans="1:11" ht="15.6">
      <c r="A6" s="48" t="str">
        <v>Rock Island</v>
      </c>
      <c r="B6" s="49" t="str">
        <v>NY</v>
      </c>
      <c r="C6" s="27">
        <v>230466.5</v>
      </c>
      <c r="D6" s="28">
        <v>342985.3</v>
      </c>
      <c r="E6" s="28">
        <f t="shared" si="0"/>
        <v>-112518.79999999999</v>
      </c>
      <c r="F6" s="29">
        <f t="shared" si="1"/>
        <v>-0.32805720828268731</v>
      </c>
      <c r="G6" s="30">
        <v>246331.8</v>
      </c>
      <c r="H6" s="30">
        <f t="shared" si="2"/>
        <v>-15865.299999999988</v>
      </c>
      <c r="I6" s="31">
        <f t="shared" si="3"/>
        <v>-6.4406219578633322E-2</v>
      </c>
      <c r="J6" s="50" t="s">
        <v>24</v>
      </c>
      <c r="K6" s="50"/>
    </row>
    <row r="7" spans="1:11" ht="15.6">
      <c r="A7" s="51" t="str">
        <v>Winslow - Roderick</v>
      </c>
      <c r="B7" s="52" t="str">
        <v>ME</v>
      </c>
      <c r="C7" s="35">
        <v>361423</v>
      </c>
      <c r="D7" s="35">
        <v>473366.7</v>
      </c>
      <c r="E7" s="35">
        <f t="shared" ref="E7" si="4">IF(AND(ISNUMBER(C7),ISNUMBER(D7)), C7-D7, "")</f>
        <v>-111943.70000000001</v>
      </c>
      <c r="F7" s="36">
        <f t="shared" ref="F7:F13" si="5">IFERROR(E7/D7, "")</f>
        <v>-0.2364841041839234</v>
      </c>
      <c r="G7" s="37">
        <v>385109</v>
      </c>
      <c r="H7" s="37">
        <f t="shared" ref="H7" si="6">IF(AND(ISNUMBER(C7),ISNUMBER(G7)), C7-G7, "")</f>
        <v>-23686</v>
      </c>
      <c r="I7" s="36">
        <f t="shared" ref="I7:I13" si="7">IFERROR(H7/G7, "")</f>
        <v>-6.1504664913050594E-2</v>
      </c>
      <c r="J7" s="53"/>
      <c r="K7" s="53"/>
    </row>
    <row r="8" spans="1:11" ht="57.6">
      <c r="A8" s="48" t="str">
        <v>Minoa - Clemons Rd</v>
      </c>
      <c r="B8" s="49" t="str">
        <v>NY</v>
      </c>
      <c r="C8" s="27">
        <v>128703.75</v>
      </c>
      <c r="D8" s="28">
        <v>206281.4</v>
      </c>
      <c r="E8" s="28">
        <f t="shared" ref="E8:E14" si="8">IF(AND(ISNUMBER(C8),ISNUMBER(D8)), C8-D8, "")</f>
        <v>-77577.649999999994</v>
      </c>
      <c r="F8" s="29">
        <f t="shared" ref="F8:F14" si="9">IFERROR(E8/D8, "")</f>
        <v>-0.37607680576145014</v>
      </c>
      <c r="G8" s="30">
        <v>191393.5</v>
      </c>
      <c r="H8" s="30">
        <f t="shared" ref="H8:H14" si="10">IF(AND(ISNUMBER(C8),ISNUMBER(G8)), C8-G8, "")</f>
        <v>-62689.75</v>
      </c>
      <c r="I8" s="31">
        <f t="shared" ref="I8:I14" si="11">IFERROR(H8/G8, "")</f>
        <v>-0.32754377761000242</v>
      </c>
      <c r="J8" s="50" t="s">
        <v>25</v>
      </c>
      <c r="K8" s="50" t="s">
        <v>26</v>
      </c>
    </row>
    <row r="9" spans="1:11" ht="15.6">
      <c r="A9" s="51" t="str">
        <v>Manchester - Western</v>
      </c>
      <c r="B9" s="52" t="str">
        <v>ME</v>
      </c>
      <c r="C9" s="35">
        <v>47584.8125</v>
      </c>
      <c r="D9" s="35">
        <v>0</v>
      </c>
      <c r="E9" s="35">
        <f t="shared" si="8"/>
        <v>47584.8125</v>
      </c>
      <c r="F9" s="36" t="str">
        <f t="shared" si="5"/>
        <v/>
      </c>
      <c r="G9" s="37">
        <v>0</v>
      </c>
      <c r="H9" s="37">
        <f t="shared" si="10"/>
        <v>47584.8125</v>
      </c>
      <c r="I9" s="36" t="str">
        <f t="shared" si="7"/>
        <v/>
      </c>
      <c r="J9" s="53"/>
      <c r="K9" s="53"/>
    </row>
    <row r="10" spans="1:11" ht="57.6">
      <c r="A10" s="48" t="str">
        <v>Batavia - Pike Rd</v>
      </c>
      <c r="B10" s="49" t="str">
        <v>NY</v>
      </c>
      <c r="C10" s="27">
        <v>159955.82375000001</v>
      </c>
      <c r="D10" s="28">
        <v>246837.6</v>
      </c>
      <c r="E10" s="28">
        <f t="shared" si="8"/>
        <v>-86881.776249999995</v>
      </c>
      <c r="F10" s="29">
        <f t="shared" si="9"/>
        <v>-0.35197950494576186</v>
      </c>
      <c r="G10" s="30">
        <v>219320.6</v>
      </c>
      <c r="H10" s="30">
        <f t="shared" si="10"/>
        <v>-59364.776249999995</v>
      </c>
      <c r="I10" s="31">
        <f t="shared" si="11"/>
        <v>-0.27067578809286491</v>
      </c>
      <c r="J10" s="50" t="s">
        <v>27</v>
      </c>
      <c r="K10" s="50" t="s">
        <v>28</v>
      </c>
    </row>
    <row r="11" spans="1:11" ht="15.6">
      <c r="A11" s="51" t="str">
        <v>Slayton A &amp; B</v>
      </c>
      <c r="B11" s="52" t="str">
        <v>NY</v>
      </c>
      <c r="C11" s="35">
        <v>353338</v>
      </c>
      <c r="D11" s="35">
        <v>494949.8</v>
      </c>
      <c r="E11" s="35">
        <f t="shared" si="8"/>
        <v>-141611.79999999999</v>
      </c>
      <c r="F11" s="36">
        <f t="shared" si="5"/>
        <v>-0.28611346039537744</v>
      </c>
      <c r="G11" s="37">
        <v>398835.4</v>
      </c>
      <c r="H11" s="37">
        <f t="shared" si="10"/>
        <v>-45497.400000000023</v>
      </c>
      <c r="I11" s="36">
        <f t="shared" si="7"/>
        <v>-0.11407563120023954</v>
      </c>
      <c r="J11" s="53" t="s">
        <v>24</v>
      </c>
      <c r="K11" s="53"/>
    </row>
    <row r="12" spans="1:11" ht="72">
      <c r="A12" s="48" t="str">
        <v>Batavia - Alexander Rd</v>
      </c>
      <c r="B12" s="49" t="str">
        <v>NY</v>
      </c>
      <c r="C12" s="27">
        <v>75534.582209999993</v>
      </c>
      <c r="D12" s="28">
        <v>136027.1</v>
      </c>
      <c r="E12" s="28">
        <f t="shared" si="8"/>
        <v>-60492.517790000013</v>
      </c>
      <c r="F12" s="29">
        <f t="shared" si="9"/>
        <v>-0.44470931005659908</v>
      </c>
      <c r="G12" s="30">
        <v>110310.9</v>
      </c>
      <c r="H12" s="30">
        <f t="shared" si="10"/>
        <v>-34776.317790000001</v>
      </c>
      <c r="I12" s="31">
        <f t="shared" si="11"/>
        <v>-0.31525731174344512</v>
      </c>
      <c r="J12" s="50" t="s">
        <v>29</v>
      </c>
      <c r="K12" s="50" t="s">
        <v>30</v>
      </c>
    </row>
    <row r="13" spans="1:11" ht="15.6">
      <c r="A13" s="51" t="str">
        <v xml:space="preserve">NC: Gibson – Henry Gibson Solar </v>
      </c>
      <c r="B13" s="52" t="str">
        <v>NC</v>
      </c>
      <c r="C13" s="35"/>
      <c r="D13" s="35"/>
      <c r="E13" s="35" t="str">
        <f t="shared" si="8"/>
        <v/>
      </c>
      <c r="F13" s="36" t="str">
        <f t="shared" si="5"/>
        <v/>
      </c>
      <c r="G13" s="37"/>
      <c r="H13" s="37" t="str">
        <f t="shared" si="10"/>
        <v/>
      </c>
      <c r="I13" s="36" t="str">
        <f t="shared" si="7"/>
        <v/>
      </c>
      <c r="J13" s="53"/>
      <c r="K13" s="53"/>
    </row>
    <row r="14" spans="1:11" ht="15.6">
      <c r="A14" s="48" t="str">
        <v>Bangor - Pushaw</v>
      </c>
      <c r="B14" s="49" t="str">
        <v>ME</v>
      </c>
      <c r="C14" s="27">
        <v>169799</v>
      </c>
      <c r="D14" s="28">
        <v>380703.52500000002</v>
      </c>
      <c r="E14" s="28">
        <f t="shared" si="8"/>
        <v>-210904.52500000002</v>
      </c>
      <c r="F14" s="29">
        <f t="shared" si="9"/>
        <v>-0.55398626792331385</v>
      </c>
      <c r="G14" s="30">
        <v>404354</v>
      </c>
      <c r="H14" s="30">
        <f t="shared" si="10"/>
        <v>-234555</v>
      </c>
      <c r="I14" s="31">
        <f t="shared" si="11"/>
        <v>-0.58007340102979077</v>
      </c>
      <c r="J14" s="50" t="s">
        <v>31</v>
      </c>
      <c r="K14" s="50"/>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sheetData>
  <mergeCells count="4">
    <mergeCell ref="D1:F1"/>
    <mergeCell ref="A1:C1"/>
    <mergeCell ref="G1:I1"/>
    <mergeCell ref="A2:B2"/>
  </mergeCells>
  <phoneticPr fontId="4" type="noConversion"/>
  <conditionalFormatting sqref="F2 I2">
    <cfRule type="cellIs" dxfId="32" priority="14" stopIfTrue="1" operator="lessThanOrEqual">
      <formula>-0.1</formula>
    </cfRule>
    <cfRule type="expression" dxfId="31" priority="15">
      <formula>AND(ISNUMBER(F2), F2&gt;=0.1)</formula>
    </cfRule>
  </conditionalFormatting>
  <conditionalFormatting sqref="F4:F79 I4:I79">
    <cfRule type="cellIs" dxfId="30" priority="3" stopIfTrue="1" operator="lessThanOrEqual">
      <formula>-0.1</formula>
    </cfRule>
    <cfRule type="expression" dxfId="29" priority="4">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70" zoomScaleNormal="70" workbookViewId="0">
      <pane xSplit="2" ySplit="3" topLeftCell="C4" activePane="bottomRight" state="frozen"/>
      <selection pane="bottomRight" activeCell="P11" sqref="P11"/>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1.7109375" customWidth="1"/>
    <col min="12" max="12" width="13.28515625" customWidth="1"/>
  </cols>
  <sheetData>
    <row r="1" spans="1:14" ht="19.5" customHeight="1">
      <c r="A1" s="104" t="str" cm="1">
        <f t="array" ref="A1">portfolio</f>
        <v>Renewable Properties</v>
      </c>
      <c r="B1" s="104"/>
      <c r="C1" s="104"/>
      <c r="D1" s="105" t="s">
        <v>32</v>
      </c>
      <c r="E1" s="105"/>
      <c r="F1" s="105"/>
      <c r="G1" s="103" t="s">
        <v>33</v>
      </c>
      <c r="H1" s="103"/>
      <c r="I1" s="103"/>
      <c r="J1" s="4"/>
      <c r="K1" s="4"/>
    </row>
    <row r="2" spans="1:14" ht="19.5" customHeight="1">
      <c r="A2" s="106" t="s">
        <v>2</v>
      </c>
      <c r="B2" s="106"/>
      <c r="C2" s="5">
        <f>SUM(C5:C80)</f>
        <v>2742058.0279791038</v>
      </c>
      <c r="D2" s="5">
        <f>SUM(D4:D80)</f>
        <v>4023644.6599999997</v>
      </c>
      <c r="E2" s="5">
        <f>C2-D2</f>
        <v>-1281586.6320208958</v>
      </c>
      <c r="F2" s="6">
        <f>IFERROR(E2/D2, 0)</f>
        <v>-0.31851386996507192</v>
      </c>
      <c r="G2" s="5">
        <f>SUM(G4:G80)</f>
        <v>3948929.3299999996</v>
      </c>
      <c r="H2" s="7">
        <f>C2-G2</f>
        <v>-1206871.3020208958</v>
      </c>
      <c r="I2" s="6">
        <f>IFERROR(H2/G2, 0)</f>
        <v>-0.30561987849524164</v>
      </c>
      <c r="J2" s="12" t="str">
        <f ca="1">IF(AND(TODAY()&gt;DATE(2024, 2,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15.6">
      <c r="A4" s="54" t="str" cm="1">
        <f t="array" ref="A4:A14">Sites[Site]</f>
        <v>Cedar Swamp Rd</v>
      </c>
      <c r="B4" s="49" t="str" cm="1">
        <f t="array" ref="B4:B14">Sites[State]</f>
        <v>MA</v>
      </c>
      <c r="C4" s="27">
        <v>75305</v>
      </c>
      <c r="D4" s="28">
        <v>82808.460000000006</v>
      </c>
      <c r="E4" s="28">
        <f t="shared" ref="E4:E14" si="0">IF(AND(ISNUMBER(C4),ISNUMBER(D4)), C4-D4, "")</f>
        <v>-7503.4600000000064</v>
      </c>
      <c r="F4" s="29">
        <f>IFERROR(E4/D4, "")</f>
        <v>-9.0612239377474299E-2</v>
      </c>
      <c r="G4" s="30">
        <v>55035.28</v>
      </c>
      <c r="H4" s="30">
        <f>IF(AND(ISNUMBER(C4),ISNUMBER(G4)), C4-G4, "")</f>
        <v>20269.72</v>
      </c>
      <c r="I4" s="31">
        <f>IFERROR(H4/G4, "")</f>
        <v>0.36830411328878498</v>
      </c>
      <c r="J4" s="50" t="s">
        <v>34</v>
      </c>
      <c r="K4" s="50"/>
      <c r="L4" s="75"/>
    </row>
    <row r="5" spans="1:14" ht="28.9">
      <c r="A5" s="51" t="str">
        <v>Bullis</v>
      </c>
      <c r="B5" s="52" t="str">
        <v>NY</v>
      </c>
      <c r="C5" s="34">
        <v>257310</v>
      </c>
      <c r="D5" s="35">
        <v>328876.09999999998</v>
      </c>
      <c r="E5" s="35">
        <f t="shared" si="0"/>
        <v>-71566.099999999977</v>
      </c>
      <c r="F5" s="36">
        <f>IFERROR(E5/D5, "")</f>
        <v>-0.21760809009836829</v>
      </c>
      <c r="G5" s="37">
        <v>421521.9</v>
      </c>
      <c r="H5" s="37">
        <f>IF(AND(ISNUMBER(C5),ISNUMBER(G5)), C5-G5, "")</f>
        <v>-164211.90000000002</v>
      </c>
      <c r="I5" s="36">
        <f t="shared" ref="I5:I6" si="1">IFERROR(H5/G5, "")</f>
        <v>-0.38956908288750836</v>
      </c>
      <c r="J5" s="58" t="s">
        <v>35</v>
      </c>
      <c r="K5" s="80" t="s">
        <v>36</v>
      </c>
    </row>
    <row r="6" spans="1:14" ht="28.9">
      <c r="A6" s="54" t="str">
        <v>Rock Island</v>
      </c>
      <c r="B6" s="49" t="str">
        <v>NY</v>
      </c>
      <c r="C6" s="27">
        <v>290891.5</v>
      </c>
      <c r="D6" s="28">
        <v>392222</v>
      </c>
      <c r="E6" s="28">
        <f t="shared" si="0"/>
        <v>-101330.5</v>
      </c>
      <c r="F6" s="29">
        <f t="shared" ref="F6" si="2">IFERROR(E6/D6, "")</f>
        <v>-0.25834986308774111</v>
      </c>
      <c r="G6" s="30">
        <v>387802</v>
      </c>
      <c r="H6" s="30">
        <f t="shared" ref="H6" si="3">IF(AND(ISNUMBER(C6),ISNUMBER(G6)), C6-G6, "")</f>
        <v>-96910.5</v>
      </c>
      <c r="I6" s="31">
        <f t="shared" si="1"/>
        <v>-0.24989685458043023</v>
      </c>
      <c r="J6" s="66" t="s">
        <v>37</v>
      </c>
      <c r="K6" s="81" t="s">
        <v>38</v>
      </c>
    </row>
    <row r="7" spans="1:14" ht="15.6">
      <c r="A7" s="51" t="str">
        <v>Winslow - Roderick</v>
      </c>
      <c r="B7" s="52" t="str">
        <v>ME</v>
      </c>
      <c r="C7" s="34">
        <v>361591</v>
      </c>
      <c r="D7" s="35">
        <v>581795.4</v>
      </c>
      <c r="E7" s="35">
        <f t="shared" si="0"/>
        <v>-220204.40000000002</v>
      </c>
      <c r="F7" s="36">
        <f t="shared" ref="F7:F13" si="4">IFERROR(E7/D7, "")</f>
        <v>-0.37849113279341845</v>
      </c>
      <c r="G7" s="37">
        <v>500603</v>
      </c>
      <c r="H7" s="37">
        <f t="shared" ref="H7" si="5">IF(AND(ISNUMBER(C7),ISNUMBER(G7)), C7-G7, "")</f>
        <v>-139012</v>
      </c>
      <c r="I7" s="36">
        <f t="shared" ref="I7:I13" si="6">IFERROR(H7/G7, "")</f>
        <v>-0.27768910693703391</v>
      </c>
      <c r="J7" s="95" t="s">
        <v>34</v>
      </c>
      <c r="K7" s="58"/>
      <c r="L7" s="83"/>
      <c r="M7" s="83"/>
      <c r="N7" s="83"/>
    </row>
    <row r="8" spans="1:14" ht="78.75" customHeight="1">
      <c r="A8" s="54" t="str">
        <v>Minoa - Clemons Rd</v>
      </c>
      <c r="B8" s="49" t="str">
        <v>NY</v>
      </c>
      <c r="C8" s="27">
        <v>147261.25</v>
      </c>
      <c r="D8" s="28">
        <v>204792.3</v>
      </c>
      <c r="E8" s="28">
        <f t="shared" si="0"/>
        <v>-57531.049999999988</v>
      </c>
      <c r="F8" s="29">
        <f t="shared" ref="F8:F14" si="7">IFERROR(E8/D8, "")</f>
        <v>-0.28092389215805474</v>
      </c>
      <c r="G8" s="30">
        <v>282687.40000000002</v>
      </c>
      <c r="H8" s="30">
        <f t="shared" ref="H8:H14" si="8">IF(AND(ISNUMBER(C8),ISNUMBER(G8)), C8-G8, "")</f>
        <v>-135426.15000000002</v>
      </c>
      <c r="I8" s="31">
        <f t="shared" ref="I8:I14" si="9">IFERROR(H8/G8, "")</f>
        <v>-0.47906680665639861</v>
      </c>
      <c r="J8" s="66" t="s">
        <v>39</v>
      </c>
      <c r="K8" s="81" t="s">
        <v>40</v>
      </c>
      <c r="L8" s="84" t="s">
        <v>41</v>
      </c>
      <c r="M8" s="83"/>
      <c r="N8" s="83"/>
    </row>
    <row r="9" spans="1:14" ht="15.6">
      <c r="A9" s="51" t="str">
        <v>Manchester - Western</v>
      </c>
      <c r="B9" s="52" t="str">
        <v>ME</v>
      </c>
      <c r="C9" s="34">
        <v>43938.8125</v>
      </c>
      <c r="D9" s="35">
        <v>0</v>
      </c>
      <c r="E9" s="35">
        <f t="shared" si="0"/>
        <v>43938.8125</v>
      </c>
      <c r="F9" s="36" t="str">
        <f t="shared" si="4"/>
        <v/>
      </c>
      <c r="G9" s="37">
        <v>0</v>
      </c>
      <c r="H9" s="37">
        <f t="shared" si="8"/>
        <v>43938.8125</v>
      </c>
      <c r="I9" s="36" t="str">
        <f t="shared" si="6"/>
        <v/>
      </c>
      <c r="J9" s="58"/>
      <c r="K9" s="58"/>
      <c r="L9" s="83"/>
      <c r="M9" s="83"/>
      <c r="N9" s="83"/>
    </row>
    <row r="10" spans="1:14" ht="69" customHeight="1">
      <c r="A10" s="54" t="str">
        <v>Batavia - Pike Rd</v>
      </c>
      <c r="B10" s="49" t="str">
        <v>NY</v>
      </c>
      <c r="C10" s="27">
        <v>192004.55129999999</v>
      </c>
      <c r="D10" s="28">
        <v>293733.3</v>
      </c>
      <c r="E10" s="28">
        <f t="shared" si="0"/>
        <v>-101728.7487</v>
      </c>
      <c r="F10" s="29">
        <f t="shared" si="7"/>
        <v>-0.34633032311964629</v>
      </c>
      <c r="G10" s="30">
        <v>307523.40000000002</v>
      </c>
      <c r="H10" s="30">
        <f t="shared" si="8"/>
        <v>-115518.84870000003</v>
      </c>
      <c r="I10" s="31">
        <f t="shared" si="9"/>
        <v>-0.37564246720737354</v>
      </c>
      <c r="J10" s="66" t="s">
        <v>42</v>
      </c>
      <c r="K10" s="81" t="s">
        <v>43</v>
      </c>
      <c r="L10" s="85" t="s">
        <v>44</v>
      </c>
      <c r="M10" s="83"/>
      <c r="N10" s="83"/>
    </row>
    <row r="11" spans="1:14" ht="183.75" customHeight="1">
      <c r="A11" s="51" t="str">
        <v>Slayton A &amp; B</v>
      </c>
      <c r="B11" s="52" t="str">
        <v>NY</v>
      </c>
      <c r="C11" s="34">
        <v>451738</v>
      </c>
      <c r="D11" s="35">
        <v>695245.4</v>
      </c>
      <c r="E11" s="35">
        <f t="shared" si="0"/>
        <v>-243507.40000000002</v>
      </c>
      <c r="F11" s="36">
        <f t="shared" si="4"/>
        <v>-0.35024668987382013</v>
      </c>
      <c r="G11" s="37">
        <v>637509.19999999995</v>
      </c>
      <c r="H11" s="37">
        <f t="shared" si="8"/>
        <v>-185771.19999999995</v>
      </c>
      <c r="I11" s="36">
        <f t="shared" si="6"/>
        <v>-0.29140159859653786</v>
      </c>
      <c r="J11" s="58" t="s">
        <v>45</v>
      </c>
      <c r="K11" s="80" t="s">
        <v>46</v>
      </c>
      <c r="L11" s="85" t="s">
        <v>47</v>
      </c>
      <c r="M11" s="85" t="s">
        <v>48</v>
      </c>
      <c r="N11" s="85" t="s">
        <v>49</v>
      </c>
    </row>
    <row r="12" spans="1:14" ht="15.6">
      <c r="A12" s="48" t="str">
        <v>Batavia - Alexander Rd</v>
      </c>
      <c r="B12" s="49" t="str">
        <v>NY</v>
      </c>
      <c r="C12" s="27">
        <v>106100.914179104</v>
      </c>
      <c r="D12" s="28">
        <v>176053.3</v>
      </c>
      <c r="E12" s="28">
        <f t="shared" si="0"/>
        <v>-69952.385820895986</v>
      </c>
      <c r="F12" s="29">
        <f t="shared" si="7"/>
        <v>-0.39733640789974395</v>
      </c>
      <c r="G12" s="30">
        <v>167939.4</v>
      </c>
      <c r="H12" s="30">
        <f t="shared" si="8"/>
        <v>-61838.485820895992</v>
      </c>
      <c r="I12" s="31">
        <f t="shared" si="9"/>
        <v>-0.3682190469949041</v>
      </c>
      <c r="J12" s="50" t="s">
        <v>34</v>
      </c>
      <c r="K12" s="50"/>
    </row>
    <row r="13" spans="1:14" ht="57.6">
      <c r="A13" s="51" t="str">
        <v xml:space="preserve">NC: Gibson – Henry Gibson Solar </v>
      </c>
      <c r="B13" s="74" t="str">
        <v>NC</v>
      </c>
      <c r="C13" s="77">
        <v>689224</v>
      </c>
      <c r="D13" s="77">
        <v>766019.4</v>
      </c>
      <c r="E13" s="35">
        <f t="shared" si="0"/>
        <v>-76795.400000000023</v>
      </c>
      <c r="F13" s="36">
        <f t="shared" si="4"/>
        <v>-0.10025255235050186</v>
      </c>
      <c r="G13" s="76">
        <v>707894</v>
      </c>
      <c r="H13" s="37">
        <f t="shared" si="8"/>
        <v>-18670</v>
      </c>
      <c r="I13" s="36">
        <f t="shared" si="6"/>
        <v>-2.6374005147663349E-2</v>
      </c>
      <c r="J13" s="73" t="s">
        <v>50</v>
      </c>
      <c r="K13" s="82" t="s">
        <v>51</v>
      </c>
      <c r="L13" s="85" t="s">
        <v>52</v>
      </c>
      <c r="M13" s="83"/>
      <c r="N13" s="83"/>
    </row>
    <row r="14" spans="1:14" ht="15.6">
      <c r="A14" s="54" t="str">
        <v>Bangor - Pushaw</v>
      </c>
      <c r="B14" s="49" t="str">
        <v>ME</v>
      </c>
      <c r="C14" s="27">
        <v>201998</v>
      </c>
      <c r="D14" s="28">
        <v>502099</v>
      </c>
      <c r="E14" s="28">
        <f t="shared" si="0"/>
        <v>-300101</v>
      </c>
      <c r="F14" s="29">
        <f t="shared" si="7"/>
        <v>-0.59769288526764641</v>
      </c>
      <c r="G14" s="30">
        <v>480413.75</v>
      </c>
      <c r="H14" s="30">
        <f t="shared" si="8"/>
        <v>-278415.75</v>
      </c>
      <c r="I14" s="31">
        <f t="shared" si="9"/>
        <v>-0.57953326689754403</v>
      </c>
      <c r="J14" s="66" t="s">
        <v>31</v>
      </c>
      <c r="K14" s="81"/>
    </row>
    <row r="15" spans="1:14" ht="14.45">
      <c r="A15" s="9"/>
      <c r="B15" s="14"/>
      <c r="C15" s="9"/>
      <c r="D15" s="9"/>
      <c r="E15" s="9"/>
      <c r="F15" s="10"/>
      <c r="G15" s="9"/>
      <c r="H15" s="9"/>
      <c r="I15" s="10"/>
      <c r="J15" s="9"/>
      <c r="K15" s="9"/>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80 I4:I80">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096532" xr:uid="{C7040B60-AEA9-499F-A3BE-E42E487F836E}"/>
    <hyperlink ref="K6" r:id="rId2" display="https://us3.assetplanner.com/service_request?ID=097445" xr:uid="{111D3A7E-E077-4FF5-8014-6772D3C1770C}"/>
    <hyperlink ref="K8" r:id="rId3" display="https://us3.assetplanner.com/service_request?ID=094897" xr:uid="{A9A8B7C6-96DD-463C-932D-2D6E24D1A983}"/>
    <hyperlink ref="L8" r:id="rId4" display="https://us3.assetplanner.com/service_request?ID=095762" xr:uid="{9DA03814-EBB6-405A-B957-178620C1F089}"/>
    <hyperlink ref="K10" r:id="rId5" display="https://us3.assetplanner.com/service_request?ID=096403" xr:uid="{1DCE86F9-2151-4963-93BE-F9A26BEA46DC}"/>
    <hyperlink ref="L10" r:id="rId6" display="https://us3.assetplanner.com/service_request?ID=096696" xr:uid="{96EC9B41-A887-4964-98A1-BF4814B40002}"/>
    <hyperlink ref="K11" r:id="rId7" display="https://us3.assetplanner.com/service_request?ID=096326" xr:uid="{D5AF9798-8D52-4B34-9640-E64EACB5F200}"/>
    <hyperlink ref="L11" r:id="rId8" display="https://us3.assetplanner.com/service_request?ID=096398" xr:uid="{A0ED1485-6A36-49D9-A29F-275A8A17270A}"/>
    <hyperlink ref="M11" r:id="rId9" display="https://us3.assetplanner.com/service_request?ID=096626" xr:uid="{45A8DE92-6662-41BB-A50E-8303B9153CD7}"/>
    <hyperlink ref="N11" r:id="rId10" display="https://us3.assetplanner.com/service_request?ID=096935" xr:uid="{165C2D74-7F02-423B-8539-093E55659FE3}"/>
    <hyperlink ref="K13" r:id="rId11" display="https://us3.assetplanner.com/service_request?ID=097527" xr:uid="{A69CC21D-8C33-4C92-B70A-5148737320B5}"/>
    <hyperlink ref="L13" r:id="rId12" display="https://us3.assetplanner.com/service_request?ID=097650" xr:uid="{639762BC-8593-48DD-A5DE-66CADDB0A9F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R322"/>
  <sheetViews>
    <sheetView zoomScale="60" zoomScaleNormal="60" workbookViewId="0">
      <pane xSplit="2" ySplit="3" topLeftCell="C4" activePane="bottomRight" state="frozen"/>
      <selection pane="bottomRight" activeCell="F17" sqref="F17"/>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104" t="str" cm="1">
        <f t="array" ref="A1">portfolio</f>
        <v>Renewable Properties</v>
      </c>
      <c r="B1" s="104"/>
      <c r="C1" s="104"/>
      <c r="D1" s="105" t="s">
        <v>53</v>
      </c>
      <c r="E1" s="105"/>
      <c r="F1" s="105"/>
      <c r="G1" s="103" t="s">
        <v>54</v>
      </c>
      <c r="H1" s="103"/>
      <c r="I1" s="103"/>
      <c r="J1" s="4"/>
      <c r="K1" s="4"/>
    </row>
    <row r="2" spans="1:18" ht="19.5" customHeight="1">
      <c r="A2" s="106" t="s">
        <v>2</v>
      </c>
      <c r="B2" s="106"/>
      <c r="C2" s="5">
        <f>SUM(C4:C80)</f>
        <v>5272330.9168483075</v>
      </c>
      <c r="D2" s="5">
        <f>SUM(D4:D80)</f>
        <v>5674224.5319999997</v>
      </c>
      <c r="E2" s="5">
        <f>C2-D2</f>
        <v>-401893.61515169218</v>
      </c>
      <c r="F2" s="6">
        <f>IFERROR(E2/D2, 0)</f>
        <v>-7.0827936555065502E-2</v>
      </c>
      <c r="G2" s="5">
        <f>SUM(G4:G80)</f>
        <v>5919244.4199999999</v>
      </c>
      <c r="H2" s="7">
        <f>C2-G2</f>
        <v>-646913.50315169245</v>
      </c>
      <c r="I2" s="6">
        <f>IFERROR(H2/G2, 0)</f>
        <v>-0.10928987844561629</v>
      </c>
      <c r="J2" s="12" t="str">
        <f ca="1">IF(AND(TODAY()&gt;DATE(2024, 3, 1), COUNTA(Sites[Site])&lt;&gt;(COUNT(C:C)-1)), "Some sites are missing actual data; if new sites were added, make sure they are aligned correctly (including prior months!)", "")</f>
        <v/>
      </c>
      <c r="K2" s="4"/>
    </row>
    <row r="3" spans="1:18" ht="14.25" customHeight="1">
      <c r="A3" s="13" t="s">
        <v>3</v>
      </c>
      <c r="B3" s="13" t="s">
        <v>4</v>
      </c>
      <c r="C3" s="40" t="s">
        <v>5</v>
      </c>
      <c r="D3" s="41" t="s">
        <v>6</v>
      </c>
      <c r="E3" s="41" t="s">
        <v>7</v>
      </c>
      <c r="F3" s="42" t="s">
        <v>8</v>
      </c>
      <c r="G3" s="47" t="s">
        <v>9</v>
      </c>
      <c r="H3" s="44" t="s">
        <v>7</v>
      </c>
      <c r="I3" s="45" t="s">
        <v>8</v>
      </c>
      <c r="J3" s="46" t="s">
        <v>20</v>
      </c>
      <c r="K3" s="46" t="s">
        <v>21</v>
      </c>
    </row>
    <row r="4" spans="1:18" ht="28.9">
      <c r="A4" s="55" t="str" cm="1">
        <f t="array" ref="A4:A14">Sites[Site]</f>
        <v>Cedar Swamp Rd</v>
      </c>
      <c r="B4" s="49" t="str" cm="1">
        <f t="array" ref="B4:B14">Sites[State]</f>
        <v>MA</v>
      </c>
      <c r="C4" s="27">
        <v>119421</v>
      </c>
      <c r="D4" s="28">
        <v>112844.1</v>
      </c>
      <c r="E4" s="28">
        <f>IF(AND(ISNUMBER(C4),ISNUMBER(D4)), C4-D4, "")</f>
        <v>6576.8999999999942</v>
      </c>
      <c r="F4" s="29">
        <f>IFERROR(E4/D4, "")</f>
        <v>5.8283064865597707E-2</v>
      </c>
      <c r="G4" s="30">
        <v>108945.7</v>
      </c>
      <c r="H4" s="30">
        <f>IF(AND(ISNUMBER(C4),ISNUMBER(G4)), C4-G4, "")</f>
        <v>10475.300000000003</v>
      </c>
      <c r="I4" s="31">
        <f>IFERROR(H4/G4, "")</f>
        <v>9.6151569084415481E-2</v>
      </c>
      <c r="J4" s="50" t="s">
        <v>55</v>
      </c>
      <c r="K4" s="86" t="s">
        <v>56</v>
      </c>
    </row>
    <row r="5" spans="1:18" ht="43.15">
      <c r="A5" s="56" t="str">
        <v>Bullis</v>
      </c>
      <c r="B5" s="52" t="str">
        <v>NY</v>
      </c>
      <c r="C5" s="34">
        <v>585414.5</v>
      </c>
      <c r="D5" s="35">
        <v>582242.9</v>
      </c>
      <c r="E5" s="35">
        <f t="shared" ref="E5:E6" si="0">IF(AND(ISNUMBER(C5),ISNUMBER(D5)), C5-D5, "")</f>
        <v>3171.5999999999767</v>
      </c>
      <c r="F5" s="36">
        <f>IFERROR(E5/D5, "")</f>
        <v>5.4472111209943079E-3</v>
      </c>
      <c r="G5" s="37">
        <v>681849.6</v>
      </c>
      <c r="H5" s="37">
        <f t="shared" ref="H5:H6" si="1">IF(AND(ISNUMBER(C5),ISNUMBER(G5)), C5-G5, "")</f>
        <v>-96435.099999999977</v>
      </c>
      <c r="I5" s="36">
        <f t="shared" ref="I5:I6" si="2">IFERROR(H5/G5, "")</f>
        <v>-0.14143162949717941</v>
      </c>
      <c r="J5" s="58" t="s">
        <v>57</v>
      </c>
      <c r="K5" s="80" t="s">
        <v>58</v>
      </c>
    </row>
    <row r="6" spans="1:18" ht="43.15">
      <c r="A6" s="57" t="str">
        <v>Rock Island</v>
      </c>
      <c r="B6" s="49" t="str">
        <v>NY</v>
      </c>
      <c r="C6" s="27">
        <v>530557</v>
      </c>
      <c r="D6" s="28">
        <v>569957.30000000005</v>
      </c>
      <c r="E6" s="28">
        <f t="shared" si="0"/>
        <v>-39400.300000000047</v>
      </c>
      <c r="F6" s="29">
        <f t="shared" ref="F6" si="3">IFERROR(E6/D6, "")</f>
        <v>-6.9128511907821946E-2</v>
      </c>
      <c r="G6" s="30">
        <v>616515.30000000005</v>
      </c>
      <c r="H6" s="30">
        <f t="shared" si="1"/>
        <v>-85958.300000000047</v>
      </c>
      <c r="I6" s="31">
        <f t="shared" si="2"/>
        <v>-0.13942606128347509</v>
      </c>
      <c r="J6" s="50" t="s">
        <v>59</v>
      </c>
      <c r="K6" s="86" t="s">
        <v>60</v>
      </c>
      <c r="L6" s="83"/>
      <c r="M6" s="83"/>
      <c r="N6" s="83"/>
      <c r="O6" s="83"/>
      <c r="P6" s="83"/>
      <c r="Q6" s="83"/>
      <c r="R6" s="83"/>
    </row>
    <row r="7" spans="1:18" ht="28.9">
      <c r="A7" s="56" t="str">
        <v>Winslow - Roderick</v>
      </c>
      <c r="B7" s="52" t="str">
        <v>ME</v>
      </c>
      <c r="C7" s="34">
        <v>572561</v>
      </c>
      <c r="D7" s="35">
        <v>593895.1</v>
      </c>
      <c r="E7" s="35">
        <f t="shared" ref="E7" si="4">IF(AND(ISNUMBER(C7),ISNUMBER(D7)), C7-D7, "")</f>
        <v>-21334.099999999977</v>
      </c>
      <c r="F7" s="36">
        <f t="shared" ref="F7" si="5">IFERROR(E7/D7, "")</f>
        <v>-3.5922337126539652E-2</v>
      </c>
      <c r="G7" s="37">
        <v>702165</v>
      </c>
      <c r="H7" s="37">
        <f t="shared" ref="H7" si="6">IF(AND(ISNUMBER(C7),ISNUMBER(G7)), C7-G7, "")</f>
        <v>-129604</v>
      </c>
      <c r="I7" s="36">
        <f t="shared" ref="I7" si="7">IFERROR(H7/G7, "")</f>
        <v>-0.1845776989738879</v>
      </c>
      <c r="J7" s="58" t="s">
        <v>61</v>
      </c>
      <c r="K7" s="58"/>
      <c r="L7" s="83"/>
      <c r="M7" s="83"/>
      <c r="N7" s="83"/>
      <c r="O7" s="83"/>
      <c r="P7" s="83"/>
      <c r="Q7" s="83"/>
      <c r="R7" s="83"/>
    </row>
    <row r="8" spans="1:18" ht="201.6">
      <c r="A8" s="57" t="str">
        <v>Minoa - Clemons Rd</v>
      </c>
      <c r="B8" s="49" t="str">
        <v>NY</v>
      </c>
      <c r="C8" s="27">
        <v>353250.625</v>
      </c>
      <c r="D8" s="28">
        <v>434657.9</v>
      </c>
      <c r="E8" s="28">
        <f t="shared" ref="E8:E9" si="8">IF(AND(ISNUMBER(C8),ISNUMBER(D8)), C8-D8, "")</f>
        <v>-81407.275000000023</v>
      </c>
      <c r="F8" s="29">
        <f t="shared" ref="F8" si="9">IFERROR(E8/D8, "")</f>
        <v>-0.18729045302063996</v>
      </c>
      <c r="G8" s="30">
        <v>440031.4</v>
      </c>
      <c r="H8" s="30">
        <f t="shared" ref="H8:H9" si="10">IF(AND(ISNUMBER(C8),ISNUMBER(G8)), C8-G8, "")</f>
        <v>-86780.775000000023</v>
      </c>
      <c r="I8" s="31">
        <f t="shared" ref="I8" si="11">IFERROR(H8/G8, "")</f>
        <v>-0.19721496011421008</v>
      </c>
      <c r="J8" s="50" t="s">
        <v>62</v>
      </c>
      <c r="K8" s="86" t="s">
        <v>63</v>
      </c>
      <c r="L8" s="85" t="s">
        <v>64</v>
      </c>
      <c r="M8" s="85" t="s">
        <v>65</v>
      </c>
      <c r="N8" s="85" t="s">
        <v>66</v>
      </c>
      <c r="O8" s="83"/>
      <c r="P8" s="83"/>
      <c r="Q8" s="83"/>
      <c r="R8" s="83"/>
    </row>
    <row r="9" spans="1:18" ht="15.6">
      <c r="A9" s="56" t="str">
        <v>Manchester - Western</v>
      </c>
      <c r="B9" s="52" t="str">
        <v>ME</v>
      </c>
      <c r="C9" s="34">
        <v>83424.1875</v>
      </c>
      <c r="D9" s="35">
        <v>0</v>
      </c>
      <c r="E9" s="35">
        <f t="shared" si="8"/>
        <v>83424.1875</v>
      </c>
      <c r="F9" s="36" t="str">
        <f t="shared" ref="F9:F14" si="12">IFERROR(E9/D9, "")</f>
        <v/>
      </c>
      <c r="G9" s="37">
        <v>0</v>
      </c>
      <c r="H9" s="37">
        <f t="shared" si="10"/>
        <v>83424.1875</v>
      </c>
      <c r="I9" s="36" t="str">
        <f t="shared" ref="I9:I14" si="13">IFERROR(H9/G9, "")</f>
        <v/>
      </c>
      <c r="J9" s="58"/>
      <c r="K9" s="58"/>
      <c r="L9" s="83"/>
      <c r="M9" s="83"/>
      <c r="N9" s="83"/>
      <c r="O9" s="83"/>
      <c r="P9" s="83"/>
      <c r="Q9" s="83"/>
      <c r="R9" s="83"/>
    </row>
    <row r="10" spans="1:18" ht="28.9">
      <c r="A10" s="57" t="str">
        <v>Batavia - Pike Rd</v>
      </c>
      <c r="B10" s="49" t="str">
        <v>NY</v>
      </c>
      <c r="C10" s="27">
        <v>416450.5</v>
      </c>
      <c r="D10" s="28">
        <v>435238.8</v>
      </c>
      <c r="E10" s="28">
        <f>IF(AND(ISNUMBER(C10),ISNUMBER(D10)), C10-D10, "")</f>
        <v>-18788.299999999988</v>
      </c>
      <c r="F10" s="29">
        <f t="shared" si="12"/>
        <v>-4.3167796621073277E-2</v>
      </c>
      <c r="G10" s="30">
        <v>472768</v>
      </c>
      <c r="H10" s="30">
        <f>IF(AND(ISNUMBER(C10),ISNUMBER(G10)), C10-G10, "")</f>
        <v>-56317.5</v>
      </c>
      <c r="I10" s="31">
        <f t="shared" si="13"/>
        <v>-0.11912291018004603</v>
      </c>
      <c r="J10" s="50" t="s">
        <v>67</v>
      </c>
      <c r="K10" s="86" t="s">
        <v>68</v>
      </c>
      <c r="L10" s="83"/>
      <c r="M10" s="83"/>
      <c r="N10" s="83"/>
      <c r="O10" s="83"/>
      <c r="P10" s="83"/>
      <c r="Q10" s="83"/>
      <c r="R10" s="83"/>
    </row>
    <row r="11" spans="1:18" ht="115.15">
      <c r="A11" s="56" t="str">
        <v>Slayton A &amp; B</v>
      </c>
      <c r="B11" s="52" t="str">
        <v>NY</v>
      </c>
      <c r="C11" s="34">
        <v>982333</v>
      </c>
      <c r="D11" s="35">
        <v>1051472</v>
      </c>
      <c r="E11" s="35">
        <f>IF(AND(ISNUMBER(C11),ISNUMBER(D11)), C11-D11, "")</f>
        <v>-69139</v>
      </c>
      <c r="F11" s="36">
        <f t="shared" si="12"/>
        <v>-6.575448514083114E-2</v>
      </c>
      <c r="G11" s="37">
        <v>1029944</v>
      </c>
      <c r="H11" s="37">
        <f>IF(AND(ISNUMBER(C11),ISNUMBER(G11)), C11-G11, "")</f>
        <v>-47611</v>
      </c>
      <c r="I11" s="36">
        <f t="shared" si="13"/>
        <v>-4.6226785145600149E-2</v>
      </c>
      <c r="J11" s="58" t="s">
        <v>69</v>
      </c>
      <c r="K11" s="80" t="s">
        <v>70</v>
      </c>
      <c r="L11" s="85" t="s">
        <v>71</v>
      </c>
      <c r="M11" s="85" t="s">
        <v>72</v>
      </c>
      <c r="N11" s="85" t="s">
        <v>73</v>
      </c>
      <c r="O11" s="83"/>
      <c r="P11" s="83"/>
      <c r="Q11" s="83"/>
      <c r="R11" s="83"/>
    </row>
    <row r="12" spans="1:18" ht="43.15">
      <c r="A12" s="57" t="str">
        <v>Batavia - Alexander Rd</v>
      </c>
      <c r="B12" s="49" t="str">
        <v>NY</v>
      </c>
      <c r="C12" s="27">
        <v>230988.104348308</v>
      </c>
      <c r="D12" s="28">
        <v>272631.5</v>
      </c>
      <c r="E12" s="28">
        <f>IF(AND(ISNUMBER(C12),ISNUMBER(D12)), C12-D12, "")</f>
        <v>-41643.395651692001</v>
      </c>
      <c r="F12" s="29">
        <f t="shared" si="12"/>
        <v>-0.15274609005816275</v>
      </c>
      <c r="G12" s="30">
        <v>260956.2</v>
      </c>
      <c r="H12" s="30">
        <f>IF(AND(ISNUMBER(C12),ISNUMBER(G12)), C12-G12, "")</f>
        <v>-29968.095651692012</v>
      </c>
      <c r="I12" s="31">
        <f t="shared" si="13"/>
        <v>-0.11483956177968567</v>
      </c>
      <c r="J12" s="50" t="s">
        <v>74</v>
      </c>
      <c r="K12" s="86" t="s">
        <v>75</v>
      </c>
      <c r="L12" s="83"/>
      <c r="M12" s="83"/>
      <c r="N12" s="83"/>
      <c r="O12" s="83"/>
      <c r="P12" s="83"/>
      <c r="Q12" s="83"/>
      <c r="R12" s="83"/>
    </row>
    <row r="13" spans="1:18" ht="303.75" customHeight="1">
      <c r="A13" s="56" t="str">
        <v xml:space="preserve">NC: Gibson – Henry Gibson Solar </v>
      </c>
      <c r="B13" s="52" t="str">
        <v>NC</v>
      </c>
      <c r="C13" s="34">
        <v>912634</v>
      </c>
      <c r="D13" s="35">
        <v>1104348</v>
      </c>
      <c r="E13" s="35">
        <f>IF(AND(ISNUMBER(C13),ISNUMBER(D13)), C13-D13, "")</f>
        <v>-191714</v>
      </c>
      <c r="F13" s="36">
        <f t="shared" si="12"/>
        <v>-0.17359926400011591</v>
      </c>
      <c r="G13" s="37">
        <v>971232</v>
      </c>
      <c r="H13" s="37">
        <f>IF(AND(ISNUMBER(C13),ISNUMBER(G13)), C13-G13, "")</f>
        <v>-58598</v>
      </c>
      <c r="I13" s="36">
        <f t="shared" si="13"/>
        <v>-6.033367928569075E-2</v>
      </c>
      <c r="J13" s="58" t="s">
        <v>76</v>
      </c>
      <c r="K13" s="80" t="s">
        <v>77</v>
      </c>
      <c r="L13" s="85" t="s">
        <v>52</v>
      </c>
      <c r="M13" s="85" t="s">
        <v>78</v>
      </c>
      <c r="N13" s="85" t="s">
        <v>79</v>
      </c>
      <c r="O13" s="85" t="s">
        <v>78</v>
      </c>
      <c r="P13" s="85" t="s">
        <v>78</v>
      </c>
      <c r="Q13" s="85" t="s">
        <v>80</v>
      </c>
      <c r="R13" s="85" t="s">
        <v>81</v>
      </c>
    </row>
    <row r="14" spans="1:18" ht="28.9">
      <c r="A14" s="57" t="str">
        <v>Bangor - Pushaw</v>
      </c>
      <c r="B14" s="49" t="str">
        <v>ME</v>
      </c>
      <c r="C14" s="27">
        <v>485297</v>
      </c>
      <c r="D14" s="28">
        <v>516936.93199999997</v>
      </c>
      <c r="E14" s="28">
        <f>IF(AND(ISNUMBER(C14),ISNUMBER(D14)), C14-D14, "")</f>
        <v>-31639.931999999972</v>
      </c>
      <c r="F14" s="29">
        <f t="shared" si="12"/>
        <v>-6.1206561267709875E-2</v>
      </c>
      <c r="G14" s="30">
        <v>634837.22</v>
      </c>
      <c r="H14" s="30">
        <f>IF(AND(ISNUMBER(C14),ISNUMBER(G14)), C14-G14, "")</f>
        <v>-149540.21999999997</v>
      </c>
      <c r="I14" s="31">
        <f t="shared" si="13"/>
        <v>-0.23555679359820772</v>
      </c>
      <c r="J14" s="50" t="s">
        <v>82</v>
      </c>
      <c r="K14" s="50"/>
      <c r="L14" s="83"/>
      <c r="M14" s="83"/>
      <c r="N14" s="83"/>
      <c r="O14" s="83"/>
      <c r="P14" s="83"/>
      <c r="Q14" s="83"/>
      <c r="R14" s="83"/>
    </row>
    <row r="15" spans="1:18" ht="14.45">
      <c r="A15" s="9"/>
      <c r="B15" s="14"/>
      <c r="C15" s="9"/>
      <c r="D15" s="9"/>
      <c r="E15" s="9"/>
      <c r="F15" s="10"/>
      <c r="G15" s="9"/>
      <c r="H15" s="9"/>
      <c r="I15" s="10"/>
      <c r="J15" s="9"/>
      <c r="K15" s="9"/>
    </row>
    <row r="16" spans="1:18"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6338" xr:uid="{6A2A2A57-AD12-451D-A16E-E284AAED76D8}"/>
    <hyperlink ref="K5" r:id="rId2" display="https://us3.assetplanner.com/service_request?ID=098647" xr:uid="{8EAA5C97-11B1-4B88-93B6-763F16642A2B}"/>
    <hyperlink ref="K6" r:id="rId3" display="https://us3.assetplanner.com/service_request?ID=097988" xr:uid="{0529C572-45C7-4269-99D9-0835582A9A0C}"/>
    <hyperlink ref="K8" r:id="rId4" display="https://us3.assetplanner.com/service_request?ID=098176" xr:uid="{69832B02-D19D-4B5B-8227-08ED49BD2DD1}"/>
    <hyperlink ref="L8" r:id="rId5" display="https://us3.assetplanner.com/service_request?ID=098356" xr:uid="{82A7AB2D-7BC3-4D2B-A0FC-153F28123539}"/>
    <hyperlink ref="M8" r:id="rId6" display="https://us3.assetplanner.com/service_request?ID=098701" xr:uid="{BC58201A-8B7D-4DF6-BD85-FC83CBB7EE98}"/>
    <hyperlink ref="N8" r:id="rId7" display="https://us3.assetplanner.com/service_request?ID=098775" xr:uid="{233B73F9-9258-49B7-B45A-0C883A46B954}"/>
    <hyperlink ref="K10" r:id="rId8" display="https://us3.assetplanner.com/service_request?ID=098907" xr:uid="{295114A3-4BEC-4EBA-BBA5-706FD8985627}"/>
    <hyperlink ref="K11" r:id="rId9" display="https://us3.assetplanner.com/service_request?ID=096935" xr:uid="{DE77050F-EA73-4543-A221-CC241BBDE86F}"/>
    <hyperlink ref="L11" r:id="rId10" display="https://us3.assetplanner.com/service_request?ID=098375" xr:uid="{16B37344-7951-4BE1-8393-DDC97C2AA140}"/>
    <hyperlink ref="M11" r:id="rId11" display="https://us3.assetplanner.com/service_request?ID=098777" xr:uid="{EA578DCC-7DE4-4DBE-82EB-1F124418182F}"/>
    <hyperlink ref="N11" r:id="rId12" display="https://us3.assetplanner.com/service_request?ID=097819" xr:uid="{C1255BF2-0AD8-4243-B84F-1713A897E523}"/>
    <hyperlink ref="K12" r:id="rId13" display="https://us3.assetplanner.com/service_request?ID=098763" xr:uid="{8DCEFA15-D907-4D76-BDA3-832B810779BB}"/>
    <hyperlink ref="K13" r:id="rId14" display="https://us3.assetplanner.com/service_request?ID=097527" xr:uid="{5D2B4219-8D57-4C60-967F-24C16831952E}"/>
    <hyperlink ref="L13" r:id="rId15" display="https://us3.assetplanner.com/service_request?ID=097650" xr:uid="{975DDC0A-C1DB-4CE1-A6D1-C0421999A7A4}"/>
    <hyperlink ref="M13" r:id="rId16" display="https://us3.assetplanner.com/service_request?ID=098979" xr:uid="{0C2C65D6-D79D-4EE3-B5B8-0304E8F77A88}"/>
    <hyperlink ref="N13" r:id="rId17" display="https://us3.assetplanner.com/service_request?ID=098946" xr:uid="{C634632F-7C48-4152-BFF5-5B93490F5C50}"/>
    <hyperlink ref="O13" r:id="rId18" display="https://us3.assetplanner.com/service_request?ID=098979" xr:uid="{18B27E29-5C3E-4F4D-9B82-D7A08E26B37E}"/>
    <hyperlink ref="P13" r:id="rId19" display="https://us3.assetplanner.com/service_request?ID=098979" xr:uid="{7B2C73D1-822E-402B-9064-8B9A25445FF0}"/>
    <hyperlink ref="Q13" r:id="rId20" display="https://us3.assetplanner.com/service_request?ID=099163" xr:uid="{7177F5D9-9F49-4712-864A-A9B5C23B772F}"/>
    <hyperlink ref="R13" r:id="rId21" display="https://us3.assetplanner.com/service_request?ID=099057" xr:uid="{946EBB96-ADAA-4353-A5EF-765963DAE3BD}"/>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70" zoomScaleNormal="70" workbookViewId="0">
      <pane xSplit="2" ySplit="3" topLeftCell="C4" activePane="bottomRight" state="frozen"/>
      <selection pane="bottomRight" activeCell="F18" sqref="F1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104" t="str" cm="1">
        <f t="array" ref="A1">portfolio</f>
        <v>Renewable Properties</v>
      </c>
      <c r="B1" s="104"/>
      <c r="C1" s="104"/>
      <c r="D1" s="105" t="s">
        <v>83</v>
      </c>
      <c r="E1" s="105"/>
      <c r="F1" s="105"/>
      <c r="G1" s="103" t="s">
        <v>84</v>
      </c>
      <c r="H1" s="103"/>
      <c r="I1" s="103"/>
      <c r="J1" s="4"/>
      <c r="K1" s="4"/>
    </row>
    <row r="2" spans="1:15" ht="19.5" customHeight="1">
      <c r="A2" s="106" t="s">
        <v>2</v>
      </c>
      <c r="B2" s="106"/>
      <c r="C2" s="5">
        <f>SUM(C4:C80)</f>
        <v>6111269.1630493104</v>
      </c>
      <c r="D2" s="5">
        <f>SUM(D4:D80)</f>
        <v>6474775.4000000004</v>
      </c>
      <c r="E2" s="5">
        <f>C2-D2</f>
        <v>-363506.23695068993</v>
      </c>
      <c r="F2" s="6">
        <f>IFERROR(E2/D2, 0)</f>
        <v>-5.614190678346772E-2</v>
      </c>
      <c r="G2" s="5">
        <f>SUM(G4:G80)</f>
        <v>6741811.7000000011</v>
      </c>
      <c r="H2" s="7">
        <f>C2-G2</f>
        <v>-630542.53695069067</v>
      </c>
      <c r="I2" s="6">
        <f>IFERROR(H2/G2, 0)</f>
        <v>-9.3527165250060385E-2</v>
      </c>
      <c r="J2" s="12" t="str">
        <f ca="1">IF(AND(TODAY()&gt;DATE(2024, 4, 1), COUNTA(Sites[Site])&lt;&gt;(COUNT(C:C)-1)), "Some sites are missing actual data; if new sites were added, make sure they are aligned correctly (including prior months!)", "")</f>
        <v/>
      </c>
      <c r="K2" s="4"/>
    </row>
    <row r="3" spans="1:15" ht="14.25" customHeight="1">
      <c r="A3" s="13" t="s">
        <v>3</v>
      </c>
      <c r="B3" s="13" t="s">
        <v>4</v>
      </c>
      <c r="C3" s="40" t="s">
        <v>5</v>
      </c>
      <c r="D3" s="41" t="s">
        <v>6</v>
      </c>
      <c r="E3" s="41" t="s">
        <v>7</v>
      </c>
      <c r="F3" s="42" t="s">
        <v>8</v>
      </c>
      <c r="G3" s="47" t="s">
        <v>9</v>
      </c>
      <c r="H3" s="44" t="s">
        <v>7</v>
      </c>
      <c r="I3" s="45" t="s">
        <v>8</v>
      </c>
      <c r="J3" s="46" t="s">
        <v>20</v>
      </c>
      <c r="K3" s="46" t="s">
        <v>21</v>
      </c>
    </row>
    <row r="4" spans="1:15" ht="43.15">
      <c r="A4" s="55" t="str" cm="1">
        <f t="array" ref="A4:A14">Sites[Site]</f>
        <v>Cedar Swamp Rd</v>
      </c>
      <c r="B4" s="49" t="str" cm="1">
        <f t="array" ref="B4:B14">Sites[State]</f>
        <v>MA</v>
      </c>
      <c r="C4" s="27">
        <v>132729</v>
      </c>
      <c r="D4" s="28">
        <v>124295.4</v>
      </c>
      <c r="E4" s="28">
        <f>IF(AND(ISNUMBER(C4),ISNUMBER(D4)), C4-D4, "")</f>
        <v>8433.6000000000058</v>
      </c>
      <c r="F4" s="29">
        <f>IFERROR(E4/D4, "")</f>
        <v>6.785126400494311E-2</v>
      </c>
      <c r="G4" s="30">
        <v>137919.5</v>
      </c>
      <c r="H4" s="30">
        <f>IF(AND(ISNUMBER(C4),ISNUMBER(G4)), C4-G4, "")</f>
        <v>-5190.5</v>
      </c>
      <c r="I4" s="31">
        <f>IFERROR(H4/G4, "")</f>
        <v>-3.7634272166009883E-2</v>
      </c>
      <c r="J4" s="50" t="s">
        <v>85</v>
      </c>
      <c r="K4" s="86" t="s">
        <v>86</v>
      </c>
      <c r="L4" s="83"/>
      <c r="M4" s="83"/>
      <c r="N4" s="83"/>
      <c r="O4" s="83"/>
    </row>
    <row r="5" spans="1:15" ht="100.9">
      <c r="A5" s="56" t="str">
        <v>Bullis</v>
      </c>
      <c r="B5" s="52" t="str">
        <v>NY</v>
      </c>
      <c r="C5" s="35">
        <v>716355</v>
      </c>
      <c r="D5" s="35">
        <v>704002.3</v>
      </c>
      <c r="E5" s="35">
        <f t="shared" ref="E5:E6" si="0">IF(AND(ISNUMBER(C5),ISNUMBER(D5)), C5-D5, "")</f>
        <v>12352.699999999953</v>
      </c>
      <c r="F5" s="36">
        <f>IFERROR(E5/D5, "")</f>
        <v>1.7546391538777576E-2</v>
      </c>
      <c r="G5" s="37">
        <v>820770.1</v>
      </c>
      <c r="H5" s="37">
        <f t="shared" ref="H5:H6" si="1">IF(AND(ISNUMBER(C5),ISNUMBER(G5)), C5-G5, "")</f>
        <v>-104415.09999999998</v>
      </c>
      <c r="I5" s="36">
        <f t="shared" ref="I5:I6" si="2">IFERROR(H5/G5, "")</f>
        <v>-0.12721601335136354</v>
      </c>
      <c r="J5" s="53" t="s">
        <v>87</v>
      </c>
      <c r="K5" s="88" t="s">
        <v>88</v>
      </c>
      <c r="L5" s="85" t="s">
        <v>89</v>
      </c>
      <c r="M5" s="83"/>
      <c r="N5" s="83"/>
      <c r="O5" s="83"/>
    </row>
    <row r="6" spans="1:15" ht="72">
      <c r="A6" s="57" t="str">
        <v>Rock Island</v>
      </c>
      <c r="B6" s="49" t="str">
        <v>NY</v>
      </c>
      <c r="C6" s="27">
        <v>577733</v>
      </c>
      <c r="D6" s="28">
        <v>639667.69999999995</v>
      </c>
      <c r="E6" s="28">
        <f t="shared" si="0"/>
        <v>-61934.699999999953</v>
      </c>
      <c r="F6" s="29">
        <f t="shared" ref="F6" si="3">IFERROR(E6/D6, "")</f>
        <v>-9.6823241192262724E-2</v>
      </c>
      <c r="G6" s="30">
        <v>633812.4</v>
      </c>
      <c r="H6" s="30">
        <f t="shared" si="1"/>
        <v>-56079.400000000023</v>
      </c>
      <c r="I6" s="31">
        <f t="shared" si="2"/>
        <v>-8.8479493301172427E-2</v>
      </c>
      <c r="J6" s="50" t="s">
        <v>90</v>
      </c>
      <c r="K6" s="86" t="s">
        <v>91</v>
      </c>
      <c r="L6" s="85" t="s">
        <v>92</v>
      </c>
      <c r="M6" s="83"/>
      <c r="N6" s="83"/>
      <c r="O6" s="83"/>
    </row>
    <row r="7" spans="1:15" ht="15.6">
      <c r="A7" s="56" t="str">
        <v>Winslow - Roderick</v>
      </c>
      <c r="B7" s="52" t="str">
        <v>ME</v>
      </c>
      <c r="C7" s="35">
        <v>658339</v>
      </c>
      <c r="D7" s="35">
        <v>684937.9</v>
      </c>
      <c r="E7" s="35">
        <f t="shared" ref="E7" si="4">IF(AND(ISNUMBER(C7),ISNUMBER(D7)), C7-D7, "")</f>
        <v>-26598.900000000023</v>
      </c>
      <c r="F7" s="36">
        <f t="shared" ref="F7:F13" si="5">IFERROR(E7/D7, "")</f>
        <v>-3.8834031523149792E-2</v>
      </c>
      <c r="G7" s="37">
        <v>697456</v>
      </c>
      <c r="H7" s="37">
        <f t="shared" ref="H7:H13" si="6">IF(AND(ISNUMBER(C7),ISNUMBER(G7)), C7-G7, "")</f>
        <v>-39117</v>
      </c>
      <c r="I7" s="36">
        <f t="shared" ref="I7" si="7">IFERROR(H7/G7, "")</f>
        <v>-5.6085258424904222E-2</v>
      </c>
      <c r="J7" s="53"/>
      <c r="K7" s="53"/>
      <c r="L7" s="83"/>
      <c r="M7" s="83"/>
      <c r="N7" s="83"/>
      <c r="O7" s="83"/>
    </row>
    <row r="8" spans="1:15" ht="100.9">
      <c r="A8" s="55" t="str">
        <v>Minoa - Clemons Rd</v>
      </c>
      <c r="B8" s="49" t="str">
        <v>NY</v>
      </c>
      <c r="C8" s="27">
        <v>392341</v>
      </c>
      <c r="D8" s="28">
        <v>467637.9</v>
      </c>
      <c r="E8" s="28">
        <f t="shared" ref="E8:E14" si="8">IF(AND(ISNUMBER(C8),ISNUMBER(D8)), C8-D8, "")</f>
        <v>-75296.900000000023</v>
      </c>
      <c r="F8" s="29">
        <f t="shared" ref="F8:F14" si="9">IFERROR(E8/D8, "")</f>
        <v>-0.16101539246498203</v>
      </c>
      <c r="G8" s="30">
        <v>499299.5</v>
      </c>
      <c r="H8" s="30">
        <f t="shared" ref="H8:H14" si="10">IF(AND(ISNUMBER(C8),ISNUMBER(G8)), C8-G8, "")</f>
        <v>-106958.5</v>
      </c>
      <c r="I8" s="31">
        <f t="shared" ref="I8:I14" si="11">IFERROR(H8/G8, "")</f>
        <v>-0.21421711818257377</v>
      </c>
      <c r="J8" s="50" t="s">
        <v>93</v>
      </c>
      <c r="K8" s="86" t="s">
        <v>94</v>
      </c>
      <c r="L8" s="85" t="s">
        <v>95</v>
      </c>
      <c r="M8" s="85" t="s">
        <v>96</v>
      </c>
      <c r="N8" s="85" t="s">
        <v>66</v>
      </c>
      <c r="O8" s="83"/>
    </row>
    <row r="9" spans="1:15" ht="72">
      <c r="A9" s="56" t="str">
        <v>Manchester - Western</v>
      </c>
      <c r="B9" s="52" t="str">
        <v>ME</v>
      </c>
      <c r="C9" s="35">
        <v>96372.375</v>
      </c>
      <c r="D9" s="35">
        <v>0</v>
      </c>
      <c r="E9" s="35">
        <f t="shared" si="8"/>
        <v>96372.375</v>
      </c>
      <c r="F9" s="36" t="str">
        <f t="shared" si="5"/>
        <v/>
      </c>
      <c r="G9" s="37">
        <v>104717.2</v>
      </c>
      <c r="H9" s="37">
        <f t="shared" si="6"/>
        <v>-8344.8249999999971</v>
      </c>
      <c r="I9" s="36">
        <f t="shared" si="11"/>
        <v>-7.9689153262310269E-2</v>
      </c>
      <c r="J9" s="53" t="s">
        <v>97</v>
      </c>
      <c r="K9" s="88" t="s">
        <v>98</v>
      </c>
      <c r="L9" s="85" t="s">
        <v>99</v>
      </c>
      <c r="M9" s="85" t="s">
        <v>100</v>
      </c>
      <c r="N9" s="83"/>
      <c r="O9" s="83"/>
    </row>
    <row r="10" spans="1:15" ht="28.9">
      <c r="A10" s="55" t="str">
        <v>Batavia - Pike Rd</v>
      </c>
      <c r="B10" s="49" t="str">
        <v>NY</v>
      </c>
      <c r="C10" s="27">
        <v>496293.06403940899</v>
      </c>
      <c r="D10" s="28">
        <v>499624.7</v>
      </c>
      <c r="E10" s="28">
        <f t="shared" si="8"/>
        <v>-3331.6359605910257</v>
      </c>
      <c r="F10" s="29">
        <f t="shared" si="9"/>
        <v>-6.668277129995826E-3</v>
      </c>
      <c r="G10" s="30">
        <v>530455.1</v>
      </c>
      <c r="H10" s="30">
        <f t="shared" si="10"/>
        <v>-34162.035960590991</v>
      </c>
      <c r="I10" s="31">
        <f t="shared" si="11"/>
        <v>-6.440137150267948E-2</v>
      </c>
      <c r="J10" s="50" t="s">
        <v>101</v>
      </c>
      <c r="K10" s="86" t="s">
        <v>68</v>
      </c>
      <c r="L10" s="83"/>
      <c r="M10" s="83"/>
      <c r="N10" s="83"/>
      <c r="O10" s="83"/>
    </row>
    <row r="11" spans="1:15" ht="172.9">
      <c r="A11" s="56" t="str">
        <v>Slayton A &amp; B</v>
      </c>
      <c r="B11" s="52" t="str">
        <v>NY</v>
      </c>
      <c r="C11" s="35">
        <v>1190178</v>
      </c>
      <c r="D11" s="35">
        <v>1248265</v>
      </c>
      <c r="E11" s="35">
        <f t="shared" si="8"/>
        <v>-58087</v>
      </c>
      <c r="F11" s="36">
        <f t="shared" si="5"/>
        <v>-4.6534189454963487E-2</v>
      </c>
      <c r="G11" s="37">
        <v>1237720</v>
      </c>
      <c r="H11" s="37">
        <f t="shared" si="6"/>
        <v>-47542</v>
      </c>
      <c r="I11" s="36">
        <f t="shared" si="11"/>
        <v>-3.8410949164592964E-2</v>
      </c>
      <c r="J11" s="87" t="s">
        <v>102</v>
      </c>
      <c r="K11" s="88" t="s">
        <v>103</v>
      </c>
      <c r="L11" s="85" t="s">
        <v>104</v>
      </c>
      <c r="M11" s="85" t="s">
        <v>105</v>
      </c>
      <c r="N11" s="85" t="s">
        <v>106</v>
      </c>
      <c r="O11" s="83"/>
    </row>
    <row r="12" spans="1:15" ht="72">
      <c r="A12" s="55" t="str">
        <v>Batavia - Alexander Rd</v>
      </c>
      <c r="B12" s="49" t="str">
        <v>NY</v>
      </c>
      <c r="C12" s="27">
        <v>272601.72400990099</v>
      </c>
      <c r="D12" s="28">
        <v>301844.3</v>
      </c>
      <c r="E12" s="28">
        <f t="shared" si="8"/>
        <v>-29242.575990098994</v>
      </c>
      <c r="F12" s="29">
        <f t="shared" si="9"/>
        <v>-9.6879669386166961E-2</v>
      </c>
      <c r="G12" s="30">
        <v>292096.90000000002</v>
      </c>
      <c r="H12" s="30">
        <f t="shared" si="10"/>
        <v>-19495.175990099029</v>
      </c>
      <c r="I12" s="31">
        <f t="shared" si="11"/>
        <v>-6.6742152998196927E-2</v>
      </c>
      <c r="J12" s="50" t="s">
        <v>107</v>
      </c>
      <c r="K12" s="86" t="s">
        <v>75</v>
      </c>
      <c r="L12" s="83"/>
      <c r="M12" s="83"/>
      <c r="N12" s="83"/>
      <c r="O12" s="83"/>
    </row>
    <row r="13" spans="1:15" ht="115.15">
      <c r="A13" s="56" t="str">
        <v xml:space="preserve">NC: Gibson – Henry Gibson Solar </v>
      </c>
      <c r="B13" s="52" t="str">
        <v>NC</v>
      </c>
      <c r="C13" s="35">
        <v>1024404</v>
      </c>
      <c r="D13" s="35">
        <v>1232185</v>
      </c>
      <c r="E13" s="35">
        <f t="shared" si="8"/>
        <v>-207781</v>
      </c>
      <c r="F13" s="36">
        <f t="shared" si="5"/>
        <v>-0.1686280875030941</v>
      </c>
      <c r="G13" s="37">
        <v>1177694</v>
      </c>
      <c r="H13" s="37">
        <f t="shared" si="6"/>
        <v>-153290</v>
      </c>
      <c r="I13" s="36">
        <f t="shared" si="11"/>
        <v>-0.13016114542487267</v>
      </c>
      <c r="J13" s="53" t="s">
        <v>108</v>
      </c>
      <c r="K13" s="88" t="s">
        <v>109</v>
      </c>
      <c r="L13" s="85" t="s">
        <v>110</v>
      </c>
      <c r="M13" s="85" t="s">
        <v>111</v>
      </c>
      <c r="N13" s="83"/>
      <c r="O13" s="83"/>
    </row>
    <row r="14" spans="1:15" ht="28.9">
      <c r="A14" s="55" t="str">
        <v>Bangor - Pushaw</v>
      </c>
      <c r="B14" s="49" t="str">
        <v>ME</v>
      </c>
      <c r="C14" s="27">
        <v>553923</v>
      </c>
      <c r="D14" s="28">
        <v>572315.19999999995</v>
      </c>
      <c r="E14" s="28">
        <f t="shared" si="8"/>
        <v>-18392.199999999953</v>
      </c>
      <c r="F14" s="29">
        <f t="shared" si="9"/>
        <v>-3.2136487026729249E-2</v>
      </c>
      <c r="G14" s="30">
        <v>609871</v>
      </c>
      <c r="H14" s="30">
        <f t="shared" si="10"/>
        <v>-55948</v>
      </c>
      <c r="I14" s="31">
        <f t="shared" si="11"/>
        <v>-9.173743299812584E-2</v>
      </c>
      <c r="J14" s="50" t="s">
        <v>112</v>
      </c>
      <c r="K14" s="86" t="s">
        <v>113</v>
      </c>
      <c r="L14" s="83"/>
      <c r="M14" s="83"/>
      <c r="N14" s="83"/>
      <c r="O14" s="83"/>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100208" xr:uid="{EDEA22E1-251B-4689-9296-6996412B95DB}"/>
    <hyperlink ref="K5" r:id="rId2" display="https://us3.assetplanner.com/service_request?ID=099753" xr:uid="{EC97C1DA-C2E6-46AF-8A23-4854BB7496EB}"/>
    <hyperlink ref="L5" r:id="rId3" display="https://us3.assetplanner.com/service_request?ID=100017" xr:uid="{526A294A-6751-460B-A4E3-80ACBEC107EE}"/>
    <hyperlink ref="K6" r:id="rId4" display="https://us3.assetplanner.com/service_request?ID=099376" xr:uid="{62666882-FFFF-4B35-A98C-F7C625BC636E}"/>
    <hyperlink ref="L6" r:id="rId5" display="https://us3.assetplanner.com/service_request?ID=100451" xr:uid="{B076735B-D98D-4F85-9FB7-C2670248A05C}"/>
    <hyperlink ref="K8" r:id="rId6" display="https://us3.assetplanner.com/service_request?ID=098701" xr:uid="{6D5871F9-03FF-46CD-87AB-A3F9C24AF786}"/>
    <hyperlink ref="L8" r:id="rId7" display="https://us3.assetplanner.com/service_request?ID=100667" xr:uid="{6CC1D4AA-1BA5-4F8A-8779-2EF89D340D62}"/>
    <hyperlink ref="M8" r:id="rId8" display="https://us3.assetplanner.com/service_request?ID=100717" xr:uid="{184091E8-0979-477D-8F39-EE89333AA5B1}"/>
    <hyperlink ref="N8" r:id="rId9" display="https://us3.assetplanner.com/service_request?ID=098775" xr:uid="{0BD44410-3825-43FF-A0D4-BCAB4CB7AB91}"/>
    <hyperlink ref="K9" r:id="rId10" display="https://us3.assetplanner.com/service_request?ID=099279" xr:uid="{95C14382-5844-45D2-B757-BAED50C7FB5F}"/>
    <hyperlink ref="L9" r:id="rId11" display="https://us3.assetplanner.com/service_request?ID=100248" xr:uid="{A01CA2B6-1C97-44E4-B456-0D4857AD5016}"/>
    <hyperlink ref="M9" r:id="rId12" display="https://us3.assetplanner.com/service_request?ID=100392" xr:uid="{1A1BB56B-1229-4FED-BDC9-0C725D81878B}"/>
    <hyperlink ref="K10" r:id="rId13" display="https://us3.assetplanner.com/service_request?ID=098907" xr:uid="{D0420AEE-5A72-46AD-B0C3-FDDBF8C94F9A}"/>
    <hyperlink ref="K11" r:id="rId14" display="https://us3.assetplanner.com/service_request?ID=098375" xr:uid="{0CCC02D1-E8B0-48B9-A0B2-DD0BCEEB546F}"/>
    <hyperlink ref="L11" r:id="rId15" display="https://us3.assetplanner.com/service_request?ID=099651" xr:uid="{8B0F204A-D03D-43C1-9B04-BCEA3919CE15}"/>
    <hyperlink ref="M11" r:id="rId16" display="https://us3.assetplanner.com/service_request?ID=100352" xr:uid="{AD09DECA-3025-4EE8-8FA7-4D5039133017}"/>
    <hyperlink ref="N11" r:id="rId17" display="https://us3.assetplanner.com/service_request?ID=100666" xr:uid="{7D51A4B1-8079-4E2C-A237-FF0C4E4250DC}"/>
    <hyperlink ref="K12" r:id="rId18" display="https://us3.assetplanner.com/service_request?ID=098763" xr:uid="{BAD0A966-2A6E-4896-A89B-58CFBECA19E2}"/>
    <hyperlink ref="K13" r:id="rId19" display="https://us3.assetplanner.com/service_request?ID=098979" xr:uid="{D145FF2E-1600-4D2D-BA78-9D6F9DE5B925}"/>
    <hyperlink ref="L13" r:id="rId20" display="https://us3.assetplanner.com/service_request?ID=099483" xr:uid="{6DB06A49-E4D5-4240-8C5C-CCAAA41545EB}"/>
    <hyperlink ref="M13" r:id="rId21" display="https://us3.assetplanner.com/service_request?ID=100204" xr:uid="{C7798C80-B08D-443F-8AA9-39BF88711806}"/>
    <hyperlink ref="K14" r:id="rId22" display="https://us3.assetplanner.com/service_request?ID=099819" xr:uid="{DDB9E3C3-52EE-4FFF-B2EA-72A88F7B9815}"/>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2"/>
  <sheetViews>
    <sheetView zoomScale="70" zoomScaleNormal="70" workbookViewId="0">
      <pane xSplit="2" ySplit="3" topLeftCell="C4" activePane="bottomRight" state="frozen"/>
      <selection pane="bottomRight" activeCell="O5" sqref="O5"/>
      <selection pane="bottomLeft" activeCell="G16" sqref="G16"/>
      <selection pane="topRight" activeCell="G16" sqref="G16"/>
    </sheetView>
  </sheetViews>
  <sheetFormatPr defaultRowHeight="13.9"/>
  <cols>
    <col min="1" max="1" width="35.85546875" bestFit="1" customWidth="1"/>
    <col min="2" max="2" width="8.42578125" style="15" customWidth="1"/>
    <col min="3" max="3" width="17.285156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90"/>
  </cols>
  <sheetData>
    <row r="1" spans="1:15" ht="15.6">
      <c r="A1" s="104" t="str" cm="1">
        <f t="array" ref="A1">portfolio</f>
        <v>Renewable Properties</v>
      </c>
      <c r="B1" s="104"/>
      <c r="C1" s="104"/>
      <c r="D1" s="105" t="s">
        <v>114</v>
      </c>
      <c r="E1" s="105"/>
      <c r="F1" s="105"/>
      <c r="G1" s="103" t="s">
        <v>115</v>
      </c>
      <c r="H1" s="103"/>
      <c r="I1" s="103"/>
      <c r="J1" s="4"/>
      <c r="K1" s="4"/>
    </row>
    <row r="2" spans="1:15" ht="15.6">
      <c r="A2" s="106" t="s">
        <v>2</v>
      </c>
      <c r="B2" s="106"/>
      <c r="C2" s="5">
        <f>SUM(C4:C80)</f>
        <v>5909424.9420598373</v>
      </c>
      <c r="D2" s="5">
        <f>SUM(D4:D80)</f>
        <v>6255273.8100000005</v>
      </c>
      <c r="E2" s="5">
        <f>C2-D2</f>
        <v>-345848.86794016324</v>
      </c>
      <c r="F2" s="6">
        <f>IFERROR(E2/D2, 0)</f>
        <v>-5.52891653419346E-2</v>
      </c>
      <c r="G2" s="5">
        <f>SUM(G4:G80)</f>
        <v>8160249.2000000002</v>
      </c>
      <c r="H2" s="7">
        <f>C2-G2</f>
        <v>-2250824.2579401629</v>
      </c>
      <c r="I2" s="6">
        <f>IFERROR(H2/G2, 0)</f>
        <v>-0.2758278825529204</v>
      </c>
      <c r="J2" s="12" t="str">
        <f ca="1">IF(AND(TODAY()&gt;DATE(2024, 5, 1), COUNTA(Sites[Site])&lt;&gt;(COUNT(C:C)-1)), "Some sites are missing actual data; if new sites were added, make sure they are aligned correctly (including prior months!)", "")</f>
        <v/>
      </c>
      <c r="K2" s="4"/>
    </row>
    <row r="3" spans="1:15" ht="15.6">
      <c r="A3" s="13" t="s">
        <v>3</v>
      </c>
      <c r="B3" s="13" t="s">
        <v>4</v>
      </c>
      <c r="C3" s="40" t="s">
        <v>5</v>
      </c>
      <c r="D3" s="41" t="s">
        <v>6</v>
      </c>
      <c r="E3" s="41" t="s">
        <v>7</v>
      </c>
      <c r="F3" s="42" t="s">
        <v>8</v>
      </c>
      <c r="G3" s="47" t="s">
        <v>9</v>
      </c>
      <c r="H3" s="44" t="s">
        <v>7</v>
      </c>
      <c r="I3" s="45" t="s">
        <v>8</v>
      </c>
      <c r="J3" s="46" t="s">
        <v>20</v>
      </c>
      <c r="K3" s="46" t="s">
        <v>21</v>
      </c>
    </row>
    <row r="4" spans="1:15" ht="28.9">
      <c r="A4" s="55" t="str" cm="1">
        <f t="array" ref="A4:A14">Sites[Site]</f>
        <v>Cedar Swamp Rd</v>
      </c>
      <c r="B4" s="49" t="str" cm="1">
        <f t="array" ref="B4:B14">Sites[State]</f>
        <v>MA</v>
      </c>
      <c r="C4" s="27">
        <v>97941</v>
      </c>
      <c r="D4" s="28">
        <v>93778.11</v>
      </c>
      <c r="E4" s="28">
        <f>IF(AND(ISNUMBER(C4),ISNUMBER(D4)), C4-D4, "")</f>
        <v>4162.8899999999994</v>
      </c>
      <c r="F4" s="29">
        <f>IFERROR(E4/D4, "")</f>
        <v>4.4390849847581695E-2</v>
      </c>
      <c r="G4" s="30">
        <v>154481</v>
      </c>
      <c r="H4" s="30">
        <f>IF(AND(ISNUMBER(C4),ISNUMBER(G4)), C4-G4, "")</f>
        <v>-56540</v>
      </c>
      <c r="I4" s="31">
        <f>IFERROR(H4/G4, "")</f>
        <v>-0.36599970222875305</v>
      </c>
      <c r="J4" s="66" t="s">
        <v>116</v>
      </c>
      <c r="K4" s="81" t="s">
        <v>117</v>
      </c>
    </row>
    <row r="5" spans="1:15" ht="172.9">
      <c r="A5" s="56" t="str">
        <v>Bullis</v>
      </c>
      <c r="B5" s="52" t="str">
        <v>NY</v>
      </c>
      <c r="C5" s="34">
        <v>676501</v>
      </c>
      <c r="D5" s="35">
        <v>657346</v>
      </c>
      <c r="E5" s="35">
        <f t="shared" ref="E5:E6" si="0">IF(AND(ISNUMBER(C5),ISNUMBER(D5)), C5-D5, "")</f>
        <v>19155</v>
      </c>
      <c r="F5" s="36">
        <f>IFERROR(E5/D5, "")</f>
        <v>2.9139905011972386E-2</v>
      </c>
      <c r="G5" s="37">
        <v>1003046</v>
      </c>
      <c r="H5" s="37">
        <f t="shared" ref="H5" si="1">IF(AND(ISNUMBER(C5),ISNUMBER(G5)), C5-G5, "")</f>
        <v>-326545</v>
      </c>
      <c r="I5" s="36">
        <f t="shared" ref="I5:I6" si="2">IFERROR(H5/G5, "")</f>
        <v>-0.3255533644518796</v>
      </c>
      <c r="J5" s="58" t="s">
        <v>118</v>
      </c>
      <c r="K5" s="80" t="s">
        <v>119</v>
      </c>
      <c r="L5" s="91" t="s">
        <v>120</v>
      </c>
      <c r="M5" s="91" t="s">
        <v>121</v>
      </c>
      <c r="N5" s="91" t="s">
        <v>122</v>
      </c>
      <c r="O5" s="91" t="s">
        <v>123</v>
      </c>
    </row>
    <row r="6" spans="1:15" ht="15.6">
      <c r="A6" s="57" t="str">
        <v>Rock Island</v>
      </c>
      <c r="B6" s="49" t="str">
        <v>NY</v>
      </c>
      <c r="C6" s="27">
        <v>636980</v>
      </c>
      <c r="D6" s="28">
        <v>635371.19999999995</v>
      </c>
      <c r="E6" s="28">
        <f t="shared" si="0"/>
        <v>1608.8000000000466</v>
      </c>
      <c r="F6" s="29">
        <f t="shared" ref="F6" si="3">IFERROR(E6/D6, "")</f>
        <v>2.5320631467086433E-3</v>
      </c>
      <c r="G6" s="30">
        <v>879182.1</v>
      </c>
      <c r="H6" s="30">
        <f>IF(AND(ISNUMBER(C6),ISNUMBER(G6)), C6-G6, "")</f>
        <v>-242202.09999999998</v>
      </c>
      <c r="I6" s="31">
        <f t="shared" si="2"/>
        <v>-0.27548570426991176</v>
      </c>
      <c r="J6" s="66" t="s">
        <v>124</v>
      </c>
      <c r="K6" s="81" t="s">
        <v>125</v>
      </c>
    </row>
    <row r="7" spans="1:15" ht="48.75" customHeight="1">
      <c r="A7" s="56" t="str">
        <v>Winslow - Roderick</v>
      </c>
      <c r="B7" s="52" t="str">
        <v>ME</v>
      </c>
      <c r="C7" s="34">
        <v>626213</v>
      </c>
      <c r="D7" s="35">
        <v>636729</v>
      </c>
      <c r="E7" s="35">
        <f t="shared" ref="E7:E13" si="4">IF(AND(ISNUMBER(C7),ISNUMBER(D7)), C7-D7, "")</f>
        <v>-10516</v>
      </c>
      <c r="F7" s="36">
        <f t="shared" ref="F7:F13" si="5">IFERROR(E7/D7, "")</f>
        <v>-1.651566050863083E-2</v>
      </c>
      <c r="G7" s="37">
        <v>797959</v>
      </c>
      <c r="H7" s="37">
        <f t="shared" ref="H7:H13" si="6">IF(AND(ISNUMBER(C7),ISNUMBER(G7)), C7-G7, "")</f>
        <v>-171746</v>
      </c>
      <c r="I7" s="36">
        <f t="shared" ref="I7" si="7">IFERROR(H7/G7, "")</f>
        <v>-0.21523160964410451</v>
      </c>
      <c r="J7" s="58" t="s">
        <v>126</v>
      </c>
      <c r="K7" s="58"/>
    </row>
    <row r="8" spans="1:15" ht="119.25" customHeight="1">
      <c r="A8" s="55" t="str">
        <v>Minoa - Clemons Rd</v>
      </c>
      <c r="B8" s="49" t="str">
        <v>NY</v>
      </c>
      <c r="C8" s="27">
        <v>379990.25</v>
      </c>
      <c r="D8" s="28">
        <v>419545.1</v>
      </c>
      <c r="E8" s="28">
        <f t="shared" ref="E8:E14" si="8">IF(AND(ISNUMBER(C8),ISNUMBER(D8)), C8-D8, "")</f>
        <v>-39554.849999999977</v>
      </c>
      <c r="F8" s="29">
        <f t="shared" ref="F8:F14" si="9">IFERROR(E8/D8, "")</f>
        <v>-9.4280328860949586E-2</v>
      </c>
      <c r="G8" s="30">
        <v>620710.40000000002</v>
      </c>
      <c r="H8" s="30">
        <f t="shared" ref="H8:H14" si="10">IF(AND(ISNUMBER(C8),ISNUMBER(G8)), C8-G8, "")</f>
        <v>-240720.15000000002</v>
      </c>
      <c r="I8" s="31">
        <f t="shared" ref="I8:I14" si="11">IFERROR(H8/G8, "")</f>
        <v>-0.38781394672942487</v>
      </c>
      <c r="J8" s="66" t="s">
        <v>127</v>
      </c>
      <c r="K8" s="81" t="s">
        <v>128</v>
      </c>
      <c r="L8" s="91" t="s">
        <v>66</v>
      </c>
    </row>
    <row r="9" spans="1:15" ht="66" customHeight="1">
      <c r="A9" s="56" t="str">
        <v>Manchester - Western</v>
      </c>
      <c r="B9" s="52" t="str">
        <v>ME</v>
      </c>
      <c r="C9" s="34">
        <v>94785.4375</v>
      </c>
      <c r="D9" s="35" t="s">
        <v>129</v>
      </c>
      <c r="E9" s="35" t="str">
        <f t="shared" si="4"/>
        <v/>
      </c>
      <c r="F9" s="36" t="str">
        <f t="shared" si="5"/>
        <v/>
      </c>
      <c r="G9" s="37">
        <v>114913.1</v>
      </c>
      <c r="H9" s="37">
        <f t="shared" si="6"/>
        <v>-20127.662500000006</v>
      </c>
      <c r="I9" s="36">
        <f t="shared" si="11"/>
        <v>-0.17515550881492192</v>
      </c>
      <c r="J9" s="89" t="s">
        <v>130</v>
      </c>
      <c r="K9" s="58"/>
    </row>
    <row r="10" spans="1:15" ht="100.5" customHeight="1">
      <c r="A10" s="55" t="str">
        <v>Batavia - Pike Rd</v>
      </c>
      <c r="B10" s="49" t="str">
        <v>NY</v>
      </c>
      <c r="C10" s="27">
        <v>456032.90971059102</v>
      </c>
      <c r="D10" s="28">
        <v>509437.7</v>
      </c>
      <c r="E10" s="28">
        <f t="shared" si="8"/>
        <v>-53404.790289408993</v>
      </c>
      <c r="F10" s="29">
        <f t="shared" si="9"/>
        <v>-0.10483085623503913</v>
      </c>
      <c r="G10" s="30">
        <v>673777.4</v>
      </c>
      <c r="H10" s="30">
        <f t="shared" si="10"/>
        <v>-217744.490289409</v>
      </c>
      <c r="I10" s="31">
        <f t="shared" si="11"/>
        <v>-0.3231697743044053</v>
      </c>
      <c r="J10" s="66" t="s">
        <v>131</v>
      </c>
      <c r="K10" s="81" t="s">
        <v>132</v>
      </c>
      <c r="L10" s="91" t="s">
        <v>133</v>
      </c>
      <c r="M10" s="91" t="s">
        <v>134</v>
      </c>
    </row>
    <row r="11" spans="1:15" ht="28.9">
      <c r="A11" s="56" t="str">
        <v>Slayton A &amp; B</v>
      </c>
      <c r="B11" s="52" t="str">
        <v>NY</v>
      </c>
      <c r="C11" s="34">
        <v>1382406</v>
      </c>
      <c r="D11" s="35">
        <v>1432195</v>
      </c>
      <c r="E11" s="35">
        <f t="shared" si="4"/>
        <v>-49789</v>
      </c>
      <c r="F11" s="36">
        <f t="shared" si="5"/>
        <v>-3.4764120807571595E-2</v>
      </c>
      <c r="G11" s="37">
        <v>1549451</v>
      </c>
      <c r="H11" s="37">
        <f t="shared" si="6"/>
        <v>-167045</v>
      </c>
      <c r="I11" s="36">
        <f t="shared" si="11"/>
        <v>-0.1078091530484023</v>
      </c>
      <c r="J11" s="58" t="s">
        <v>135</v>
      </c>
      <c r="K11" s="80" t="s">
        <v>136</v>
      </c>
    </row>
    <row r="12" spans="1:15" ht="28.9">
      <c r="A12" s="55" t="str">
        <v>Batavia - Alexander Rd</v>
      </c>
      <c r="B12" s="49" t="str">
        <v>NY</v>
      </c>
      <c r="C12" s="27">
        <v>280555.34484924597</v>
      </c>
      <c r="D12" s="28">
        <v>318829</v>
      </c>
      <c r="E12" s="28">
        <f t="shared" si="8"/>
        <v>-38273.655150754028</v>
      </c>
      <c r="F12" s="29">
        <f t="shared" si="9"/>
        <v>-0.1200444600420728</v>
      </c>
      <c r="G12" s="30">
        <v>361911.2</v>
      </c>
      <c r="H12" s="30">
        <f t="shared" si="10"/>
        <v>-81355.85515075404</v>
      </c>
      <c r="I12" s="31">
        <f t="shared" si="11"/>
        <v>-0.2247950744568116</v>
      </c>
      <c r="J12" s="66" t="s">
        <v>137</v>
      </c>
      <c r="K12" s="81" t="s">
        <v>138</v>
      </c>
    </row>
    <row r="13" spans="1:15" ht="144">
      <c r="A13" s="56" t="str">
        <v xml:space="preserve">NC: Gibson – Henry Gibson Solar </v>
      </c>
      <c r="B13" s="52" t="str">
        <v>NC</v>
      </c>
      <c r="C13" s="34">
        <v>926206</v>
      </c>
      <c r="D13" s="35">
        <v>1171619</v>
      </c>
      <c r="E13" s="35">
        <f t="shared" si="4"/>
        <v>-245413</v>
      </c>
      <c r="F13" s="36">
        <f t="shared" si="5"/>
        <v>-0.20946485162838774</v>
      </c>
      <c r="G13" s="37">
        <v>1329520</v>
      </c>
      <c r="H13" s="37">
        <f t="shared" si="6"/>
        <v>-403314</v>
      </c>
      <c r="I13" s="36">
        <f t="shared" si="11"/>
        <v>-0.30335308983693365</v>
      </c>
      <c r="J13" s="58" t="s">
        <v>139</v>
      </c>
      <c r="K13" s="80" t="s">
        <v>140</v>
      </c>
      <c r="L13" s="91" t="s">
        <v>141</v>
      </c>
      <c r="M13" s="91" t="s">
        <v>142</v>
      </c>
      <c r="N13" s="91" t="s">
        <v>143</v>
      </c>
    </row>
    <row r="14" spans="1:15" ht="172.5" customHeight="1">
      <c r="A14" s="55" t="str">
        <v>Bangor - Pushaw</v>
      </c>
      <c r="B14" s="49" t="str">
        <v>ME</v>
      </c>
      <c r="C14" s="27">
        <v>351814</v>
      </c>
      <c r="D14" s="28">
        <v>380423.7</v>
      </c>
      <c r="E14" s="28">
        <f t="shared" si="8"/>
        <v>-28609.700000000012</v>
      </c>
      <c r="F14" s="29">
        <f t="shared" si="9"/>
        <v>-7.5204830824157409E-2</v>
      </c>
      <c r="G14" s="30">
        <v>675298</v>
      </c>
      <c r="H14" s="30">
        <f t="shared" si="10"/>
        <v>-323484</v>
      </c>
      <c r="I14" s="31">
        <f t="shared" si="11"/>
        <v>-0.47902407529712809</v>
      </c>
      <c r="J14" s="66" t="s">
        <v>144</v>
      </c>
      <c r="K14" s="81" t="s">
        <v>145</v>
      </c>
      <c r="L14" s="91" t="s">
        <v>146</v>
      </c>
      <c r="M14" s="91" t="s">
        <v>147</v>
      </c>
      <c r="N14" s="91" t="s">
        <v>148</v>
      </c>
      <c r="O14" s="91" t="s">
        <v>149</v>
      </c>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80 I4:I80">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1723" xr:uid="{AEA99C3F-2AB7-4253-B405-5FE8F4002566}"/>
    <hyperlink ref="K5" r:id="rId2" display="https://us3.assetplanner.com/service_request?ID=099753" xr:uid="{7B0CBFCA-EF1D-49CE-91C8-3091AB3099D4}"/>
    <hyperlink ref="L5" r:id="rId3" display="https://us3.assetplanner.com/service_request?ID=101577" xr:uid="{2A43425C-ACF9-405F-A40D-CA14173F9480}"/>
    <hyperlink ref="M5" r:id="rId4" display="https://us3.assetplanner.com/service_request?ID=101927" xr:uid="{50D016D9-91AB-41C5-B51F-1D5B8EC873C6}"/>
    <hyperlink ref="N5" r:id="rId5" display="https://us3.assetplanner.com/service_request?ID=102059" xr:uid="{F29EBEB0-26B9-49DB-8A7F-5075B66DF186}"/>
    <hyperlink ref="O5" r:id="rId6" display="https://us3.assetplanner.com/service_request?ID=102206" xr:uid="{AAF6C595-DB75-4003-8DFE-E3BB0424CB80}"/>
    <hyperlink ref="K6" r:id="rId7" display="https://us3.assetplanner.com/service_request?ID=100451" xr:uid="{2E5E77A6-DDB2-46F2-8186-6F372A02ECE3}"/>
    <hyperlink ref="K8" r:id="rId8" display="https://us3.assetplanner.com/service_request?ID=100717" xr:uid="{44FE27CB-4F7A-41AC-9662-A2F5CE965B17}"/>
    <hyperlink ref="L8" r:id="rId9" display="https://us3.assetplanner.com/service_request?ID=098775" xr:uid="{2B83F2D6-4DB4-47D7-9F3D-2A8BF91B3604}"/>
    <hyperlink ref="K10" r:id="rId10" display="https://us3.assetplanner.com/service_request?ID=101280" xr:uid="{3603B42E-05D5-4B15-AD55-4D9A0ECA6E91}"/>
    <hyperlink ref="L10" r:id="rId11" display="https://us3.assetplanner.com/service_request?ID=101153" xr:uid="{B16EFBEE-4BCD-4AB7-B0B2-5D2FF36A82B4}"/>
    <hyperlink ref="M10" r:id="rId12" display="https://us3.assetplanner.com/service_request?ID=100944" xr:uid="{824D689B-6686-46A0-A23A-5FA456EC118A}"/>
    <hyperlink ref="K11" r:id="rId13" display="https://us3.assetplanner.com/service_request?ID=100666" xr:uid="{0B5A1A49-2767-4932-ABB0-B07C0524E814}"/>
    <hyperlink ref="K12" r:id="rId14" display="https://us3.assetplanner.com/service_request?ID=101281" xr:uid="{E639178F-F7C9-40A2-8580-C995B1C75AE2}"/>
    <hyperlink ref="K13" r:id="rId15" display="https://us3.assetplanner.com/service_request?ID=101218" xr:uid="{FAA04D43-9AE2-45EC-A24E-C69472912B58}"/>
    <hyperlink ref="L13" r:id="rId16" display="https://us3.assetplanner.com/service_request?ID=101676" xr:uid="{662D5EF6-415B-4E85-8896-E52ADB2B7323}"/>
    <hyperlink ref="M13" r:id="rId17" display="https://us3.assetplanner.com/service_request?ID=101870" xr:uid="{2533D025-76C4-477D-872E-367E3082C3D8}"/>
    <hyperlink ref="N13" r:id="rId18" display="https://us3.assetplanner.com/service_request?ID=101433" xr:uid="{365A03A5-DD3E-4964-830F-E96D15F4DC84}"/>
    <hyperlink ref="K14" r:id="rId19" display="https://us3.assetplanner.com/service_request?ID=101630" xr:uid="{72318C97-6276-4927-8F80-904701B74225}"/>
    <hyperlink ref="L14" r:id="rId20" display="https://us3.assetplanner.com/service_request?ID=101682" xr:uid="{691E41B0-9580-45F8-A887-DC0582CB681E}"/>
    <hyperlink ref="M14" r:id="rId21" display="https://us3.assetplanner.com/service_request?ID=101874" xr:uid="{BB89B256-07D0-4398-AEFC-27DF80453CC3}"/>
    <hyperlink ref="N14" r:id="rId22" display="https://us3.assetplanner.com/service_request?ID=101953" xr:uid="{495D54F2-C07B-4997-B856-D2AC8C2619C0}"/>
    <hyperlink ref="O14" r:id="rId23" display="https://us3.assetplanner.com/service_request?ID=102195" xr:uid="{7ED0E6C7-B6B8-4C8D-B73D-FB01391AB134}"/>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C4" activePane="bottomRight" state="frozen"/>
      <selection pane="bottomRight" activeCell="J8" sqref="J8"/>
      <selection pane="bottomLeft" activeCell="G16" sqref="G16"/>
      <selection pane="topRight" activeCell="G16" sqref="G16"/>
    </sheetView>
  </sheetViews>
  <sheetFormatPr defaultRowHeight="13.9"/>
  <cols>
    <col min="1" max="1" width="35.85546875" bestFit="1" customWidth="1"/>
    <col min="2" max="2" width="18"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104" t="str" cm="1">
        <f t="array" ref="A1">portfolio</f>
        <v>Renewable Properties</v>
      </c>
      <c r="B1" s="104"/>
      <c r="C1" s="104"/>
      <c r="D1" s="105" t="s">
        <v>150</v>
      </c>
      <c r="E1" s="105"/>
      <c r="F1" s="105"/>
      <c r="G1" s="103" t="s">
        <v>151</v>
      </c>
      <c r="H1" s="103"/>
      <c r="I1" s="103"/>
      <c r="J1" s="4"/>
      <c r="K1" s="4"/>
    </row>
    <row r="2" spans="1:14" ht="19.5" customHeight="1">
      <c r="A2" s="106" t="s">
        <v>2</v>
      </c>
      <c r="B2" s="106"/>
      <c r="C2" s="5">
        <f>SUM(C4:C80)</f>
        <v>5314466.1814007545</v>
      </c>
      <c r="D2" s="5">
        <f>SUM(D4:D80)</f>
        <v>5587244.459999999</v>
      </c>
      <c r="E2" s="5">
        <f>C2-D2</f>
        <v>-272778.27859924454</v>
      </c>
      <c r="F2" s="6">
        <f>IFERROR(E2/D2, 0)</f>
        <v>-4.8821611538945368E-2</v>
      </c>
      <c r="G2" s="5">
        <f>SUM(G4:G80)</f>
        <v>6224812.5</v>
      </c>
      <c r="H2" s="7">
        <f>C2-G2</f>
        <v>-910346.31859924551</v>
      </c>
      <c r="I2" s="6">
        <f>IFERROR(H2/G2, 0)</f>
        <v>-0.14624477742891781</v>
      </c>
      <c r="J2" s="12" t="str">
        <f ca="1">IF(AND(TODAY()&gt;DATE(2024, 6,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28.9">
      <c r="A4" s="55" t="str" cm="1">
        <f t="array" ref="A4:A14">Sites[Site]</f>
        <v>Cedar Swamp Rd</v>
      </c>
      <c r="B4" s="49" t="str" cm="1">
        <f t="array" ref="B4:B14">Sites[State]</f>
        <v>MA</v>
      </c>
      <c r="C4" s="27">
        <v>0</v>
      </c>
      <c r="D4" s="28">
        <v>0</v>
      </c>
      <c r="E4" s="28">
        <f>IF(AND(ISNUMBER(C4),ISNUMBER(D4)), C4-D4, "")</f>
        <v>0</v>
      </c>
      <c r="F4" s="29" t="str">
        <f>IFERROR(E4/D4, "")</f>
        <v/>
      </c>
      <c r="G4" s="30">
        <v>0</v>
      </c>
      <c r="H4" s="30">
        <f>IF(AND(ISNUMBER(C4),ISNUMBER(G4)), C4-G4, "")</f>
        <v>0</v>
      </c>
      <c r="I4" s="31" t="str">
        <f>IFERROR(H4/G4, "")</f>
        <v/>
      </c>
      <c r="J4" s="50" t="s">
        <v>152</v>
      </c>
      <c r="K4" s="86" t="s">
        <v>153</v>
      </c>
    </row>
    <row r="5" spans="1:14" ht="100.9">
      <c r="A5" s="56" t="str">
        <v>Bullis</v>
      </c>
      <c r="B5" s="52" t="str">
        <v>NY</v>
      </c>
      <c r="C5" s="34">
        <v>807512</v>
      </c>
      <c r="D5" s="35">
        <v>770478.1</v>
      </c>
      <c r="E5" s="35">
        <f t="shared" ref="E5:E6" si="0">IF(AND(ISNUMBER(C5),ISNUMBER(D5)), C5-D5, "")</f>
        <v>37033.900000000023</v>
      </c>
      <c r="F5" s="36">
        <f>IFERROR(E5/D5, "")</f>
        <v>4.8066129329308677E-2</v>
      </c>
      <c r="G5" s="37">
        <v>1043895</v>
      </c>
      <c r="H5" s="37">
        <f t="shared" ref="H5:H6" si="1">IF(AND(ISNUMBER(C5),ISNUMBER(G5)), C5-G5, "")</f>
        <v>-236383</v>
      </c>
      <c r="I5" s="36">
        <f t="shared" ref="I5:I6" si="2">IFERROR(H5/G5, "")</f>
        <v>-0.22644327255135813</v>
      </c>
      <c r="J5" s="53" t="s">
        <v>154</v>
      </c>
      <c r="K5" s="88" t="s">
        <v>155</v>
      </c>
      <c r="L5" s="85" t="s">
        <v>123</v>
      </c>
      <c r="M5" s="85" t="s">
        <v>156</v>
      </c>
      <c r="N5" s="85" t="s">
        <v>157</v>
      </c>
    </row>
    <row r="6" spans="1:14" ht="58.5" customHeight="1">
      <c r="A6" s="57" t="str">
        <v>Rock Island</v>
      </c>
      <c r="B6" s="49" t="str">
        <v>NY</v>
      </c>
      <c r="C6" s="27">
        <v>868107.5</v>
      </c>
      <c r="D6" s="28">
        <v>899768.5</v>
      </c>
      <c r="E6" s="28">
        <f t="shared" si="0"/>
        <v>-31661</v>
      </c>
      <c r="F6" s="29">
        <f t="shared" ref="F6" si="3">IFERROR(E6/D6, "")</f>
        <v>-3.518794000901343E-2</v>
      </c>
      <c r="G6" s="30">
        <v>869641.6</v>
      </c>
      <c r="H6" s="30">
        <f t="shared" si="1"/>
        <v>-1534.0999999999767</v>
      </c>
      <c r="I6" s="31">
        <f t="shared" si="2"/>
        <v>-1.7640600449656235E-3</v>
      </c>
      <c r="J6" s="50"/>
      <c r="K6" s="50"/>
      <c r="L6" s="83"/>
      <c r="M6" s="83"/>
      <c r="N6" s="83"/>
    </row>
    <row r="7" spans="1:14" ht="28.9">
      <c r="A7" s="56" t="str">
        <v>Winslow - Roderick</v>
      </c>
      <c r="B7" s="52" t="str">
        <v>ME</v>
      </c>
      <c r="C7" s="34">
        <v>58177</v>
      </c>
      <c r="D7" s="35">
        <v>52631.26</v>
      </c>
      <c r="E7" s="35">
        <f t="shared" ref="E7" si="4">IF(AND(ISNUMBER(C7),ISNUMBER(D7)), C7-D7, "")</f>
        <v>5545.739999999998</v>
      </c>
      <c r="F7" s="36">
        <f t="shared" ref="F7" si="5">IFERROR(E7/D7, "")</f>
        <v>0.10536969854037311</v>
      </c>
      <c r="G7" s="37">
        <v>78523</v>
      </c>
      <c r="H7" s="37">
        <f t="shared" ref="H7" si="6">IF(AND(ISNUMBER(C7),ISNUMBER(G7)), C7-G7, "")</f>
        <v>-20346</v>
      </c>
      <c r="I7" s="36">
        <f t="shared" ref="I7" si="7">IFERROR(H7/G7, "")</f>
        <v>-0.25910879614889903</v>
      </c>
      <c r="J7" s="53" t="s">
        <v>126</v>
      </c>
      <c r="K7" s="59"/>
      <c r="L7" s="83"/>
      <c r="M7" s="83"/>
      <c r="N7" s="83"/>
    </row>
    <row r="8" spans="1:14" ht="93" customHeight="1">
      <c r="A8" s="55" t="str">
        <v>Minoa - Clemons Rd</v>
      </c>
      <c r="B8" s="49" t="str">
        <v>NY</v>
      </c>
      <c r="C8" s="27">
        <v>535841.5</v>
      </c>
      <c r="D8" s="28">
        <v>617406.80000000005</v>
      </c>
      <c r="E8" s="28">
        <f t="shared" ref="E8:E14" si="8">IF(AND(ISNUMBER(C8),ISNUMBER(D8)), C8-D8, "")</f>
        <v>-81565.300000000047</v>
      </c>
      <c r="F8" s="29">
        <f t="shared" ref="F8:F14" si="9">IFERROR(E8/D8, "")</f>
        <v>-0.13210949409692288</v>
      </c>
      <c r="G8" s="30">
        <v>640476.9</v>
      </c>
      <c r="H8" s="30">
        <f t="shared" ref="H8:H14" si="10">IF(AND(ISNUMBER(C8),ISNUMBER(G8)), C8-G8, "")</f>
        <v>-104635.40000000002</v>
      </c>
      <c r="I8" s="31">
        <f t="shared" ref="I8:I14" si="11">IFERROR(H8/G8, "")</f>
        <v>-0.16337107552200558</v>
      </c>
      <c r="J8" s="50" t="s">
        <v>158</v>
      </c>
      <c r="K8" s="86" t="s">
        <v>159</v>
      </c>
      <c r="L8" s="85" t="s">
        <v>160</v>
      </c>
      <c r="M8" s="83"/>
      <c r="N8" s="83"/>
    </row>
    <row r="9" spans="1:14" ht="15.6">
      <c r="A9" s="56" t="str">
        <v>Manchester - Western</v>
      </c>
      <c r="B9" s="52" t="str">
        <v>ME</v>
      </c>
      <c r="C9" s="34">
        <v>115702.375</v>
      </c>
      <c r="D9" s="35">
        <v>119325.8</v>
      </c>
      <c r="E9" s="35">
        <f t="shared" si="8"/>
        <v>-3623.4250000000029</v>
      </c>
      <c r="F9" s="36">
        <f t="shared" si="9"/>
        <v>-3.0365813596053854E-2</v>
      </c>
      <c r="G9" s="37">
        <v>113194.4</v>
      </c>
      <c r="H9" s="37">
        <f t="shared" si="10"/>
        <v>2507.9750000000058</v>
      </c>
      <c r="I9" s="36">
        <f t="shared" si="11"/>
        <v>2.2156352257708914E-2</v>
      </c>
      <c r="J9" s="53"/>
      <c r="K9" s="59"/>
      <c r="L9" s="83"/>
      <c r="M9" s="83"/>
      <c r="N9" s="83"/>
    </row>
    <row r="10" spans="1:14" ht="15.6">
      <c r="A10" s="55" t="str">
        <v>Batavia - Pike Rd</v>
      </c>
      <c r="B10" s="49" t="str">
        <v>NY</v>
      </c>
      <c r="C10" s="27">
        <v>649005.02625</v>
      </c>
      <c r="D10" s="28">
        <v>628358.40000000002</v>
      </c>
      <c r="E10" s="28">
        <f t="shared" si="8"/>
        <v>20646.626249999972</v>
      </c>
      <c r="F10" s="29">
        <f t="shared" si="9"/>
        <v>3.2858041286628732E-2</v>
      </c>
      <c r="G10" s="30">
        <v>694104.2</v>
      </c>
      <c r="H10" s="30">
        <f t="shared" si="10"/>
        <v>-45099.173749999958</v>
      </c>
      <c r="I10" s="31">
        <f t="shared" si="11"/>
        <v>-6.4974644657098984E-2</v>
      </c>
      <c r="J10" s="50"/>
      <c r="K10" s="50"/>
      <c r="L10" s="83"/>
      <c r="M10" s="83"/>
      <c r="N10" s="83"/>
    </row>
    <row r="11" spans="1:14" ht="57.6">
      <c r="A11" s="56" t="str">
        <v>Slayton A &amp; B</v>
      </c>
      <c r="B11" s="52" t="str">
        <v>NY</v>
      </c>
      <c r="C11" s="34">
        <v>1494008</v>
      </c>
      <c r="D11" s="35">
        <v>1653374</v>
      </c>
      <c r="E11" s="35">
        <f t="shared" si="8"/>
        <v>-159366</v>
      </c>
      <c r="F11" s="36">
        <f t="shared" si="9"/>
        <v>-9.6388354963849676E-2</v>
      </c>
      <c r="G11" s="37">
        <v>1619883</v>
      </c>
      <c r="H11" s="37">
        <f t="shared" si="10"/>
        <v>-125875</v>
      </c>
      <c r="I11" s="36">
        <f t="shared" si="11"/>
        <v>-7.7706229400518426E-2</v>
      </c>
      <c r="J11" s="53" t="s">
        <v>161</v>
      </c>
      <c r="K11" s="88" t="s">
        <v>162</v>
      </c>
      <c r="L11" s="85" t="s">
        <v>163</v>
      </c>
      <c r="M11" s="83"/>
      <c r="N11" s="83"/>
    </row>
    <row r="12" spans="1:14" ht="28.9">
      <c r="A12" s="55" t="str">
        <v>Batavia - Alexander Rd</v>
      </c>
      <c r="B12" s="49" t="str">
        <v>NY</v>
      </c>
      <c r="C12" s="27">
        <v>352361.78015075403</v>
      </c>
      <c r="D12" s="28">
        <v>399427.6</v>
      </c>
      <c r="E12" s="28">
        <f t="shared" si="8"/>
        <v>-47065.819849245949</v>
      </c>
      <c r="F12" s="29">
        <f t="shared" si="9"/>
        <v>-0.11783316888779331</v>
      </c>
      <c r="G12" s="30">
        <v>385411.2</v>
      </c>
      <c r="H12" s="30">
        <f t="shared" si="10"/>
        <v>-33049.419849245984</v>
      </c>
      <c r="I12" s="31">
        <f t="shared" si="11"/>
        <v>-8.5751062369868805E-2</v>
      </c>
      <c r="J12" s="50" t="s">
        <v>164</v>
      </c>
      <c r="K12" s="86" t="s">
        <v>75</v>
      </c>
      <c r="L12" s="83"/>
      <c r="M12" s="83"/>
      <c r="N12" s="83"/>
    </row>
    <row r="13" spans="1:14" ht="144" customHeight="1">
      <c r="A13" s="56" t="str">
        <v xml:space="preserve">NC: Gibson – Henry Gibson Solar </v>
      </c>
      <c r="B13" s="52" t="str">
        <v>NC</v>
      </c>
      <c r="C13" s="34">
        <v>127581</v>
      </c>
      <c r="D13" s="35">
        <v>135983.79999999999</v>
      </c>
      <c r="E13" s="35">
        <f t="shared" si="8"/>
        <v>-8402.7999999999884</v>
      </c>
      <c r="F13" s="36">
        <f t="shared" si="9"/>
        <v>-6.1792654713281943E-2</v>
      </c>
      <c r="G13" s="37">
        <v>125783.2</v>
      </c>
      <c r="H13" s="37">
        <f t="shared" si="10"/>
        <v>1797.8000000000029</v>
      </c>
      <c r="I13" s="36">
        <f t="shared" si="11"/>
        <v>1.4292846739469206E-2</v>
      </c>
      <c r="J13" s="53" t="s">
        <v>165</v>
      </c>
      <c r="K13" s="88" t="s">
        <v>166</v>
      </c>
      <c r="L13" s="85" t="s">
        <v>167</v>
      </c>
      <c r="M13" s="85" t="s">
        <v>168</v>
      </c>
      <c r="N13" s="85" t="s">
        <v>169</v>
      </c>
    </row>
    <row r="14" spans="1:14" ht="28.9">
      <c r="A14" s="55" t="str">
        <v>Bangor - Pushaw</v>
      </c>
      <c r="B14" s="49" t="str">
        <v>ME</v>
      </c>
      <c r="C14" s="27">
        <v>306170</v>
      </c>
      <c r="D14" s="28">
        <v>310490.2</v>
      </c>
      <c r="E14" s="28">
        <f t="shared" si="8"/>
        <v>-4320.2000000000116</v>
      </c>
      <c r="F14" s="29">
        <f t="shared" si="9"/>
        <v>-1.3914126758268091E-2</v>
      </c>
      <c r="G14" s="30">
        <v>653900</v>
      </c>
      <c r="H14" s="30">
        <f t="shared" si="10"/>
        <v>-347730</v>
      </c>
      <c r="I14" s="31">
        <f t="shared" si="11"/>
        <v>-0.5317785594127542</v>
      </c>
      <c r="J14" s="50" t="s">
        <v>170</v>
      </c>
      <c r="K14" s="86" t="s">
        <v>171</v>
      </c>
      <c r="L14" s="85" t="s">
        <v>148</v>
      </c>
      <c r="M14" s="85" t="s">
        <v>149</v>
      </c>
      <c r="N14" s="83"/>
    </row>
    <row r="15" spans="1:14" ht="14.45">
      <c r="A15" s="9"/>
      <c r="B15" s="14"/>
      <c r="C15" s="9"/>
      <c r="D15" s="9"/>
      <c r="E15" s="9"/>
      <c r="F15" s="10"/>
      <c r="G15" s="9"/>
      <c r="H15" s="9"/>
      <c r="I15" s="10"/>
      <c r="J15" s="9"/>
      <c r="K15" s="9"/>
      <c r="L15" s="83"/>
      <c r="M15" s="83"/>
      <c r="N15" s="83"/>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1723" xr:uid="{D5D285C3-2AD8-4363-8D20-8393BC8A1021}"/>
    <hyperlink ref="K5" r:id="rId2" display="https://us3.assetplanner.com/service_request?ID=099753" xr:uid="{38F5E31C-609A-4CE8-BC82-17767131FB30}"/>
    <hyperlink ref="L5" r:id="rId3" display="https://us3.assetplanner.com/service_request?ID=102206" xr:uid="{6F185608-0CCD-4DE2-8422-F97C848B4984}"/>
    <hyperlink ref="M5" r:id="rId4" display="https://us3.assetplanner.com/service_request?ID=102976" xr:uid="{7303EFDD-DD47-4D96-8BCB-E8D5481F894E}"/>
    <hyperlink ref="N5" r:id="rId5" display="https://us3.assetplanner.com/service_request?ID=103173" xr:uid="{8797A4E3-ED67-4068-ABD0-CBBE9405F585}"/>
    <hyperlink ref="K8" r:id="rId6" display="https://us3.assetplanner.com/service_request?ID=098775" xr:uid="{89BAC2C9-9628-472A-A8E5-A3F7F7E0D5FF}"/>
    <hyperlink ref="L8" r:id="rId7" display="https://us3.assetplanner.com/service_request?ID=102835" xr:uid="{DC82EA1A-3A1D-472B-AFD7-0715EDA5BEF6}"/>
    <hyperlink ref="K11" r:id="rId8" display="https://us3.assetplanner.com/service_request?ID=103146" xr:uid="{F4E1C86E-2F68-4F54-A304-EAC3460C8D3B}"/>
    <hyperlink ref="L11" r:id="rId9" display="https://us3.assetplanner.com/service_request?ID=103521" xr:uid="{33B92C2B-58CB-41D0-87B8-BB09FB5776D6}"/>
    <hyperlink ref="K12" r:id="rId10" display="https://us3.assetplanner.com/service_request?ID=098763" xr:uid="{4FEADDED-E92F-40DB-A0D3-F295985ABF97}"/>
    <hyperlink ref="K13" r:id="rId11" display="https://us3.assetplanner.com/service_request?ID=102290" xr:uid="{5C3A83BE-36AD-48A0-BD2F-1D29056BB30D}"/>
    <hyperlink ref="L13" r:id="rId12" display="https://us3.assetplanner.com/service_request?ID=102653" xr:uid="{A369BC71-C057-4E8E-999A-437779C8A611}"/>
    <hyperlink ref="M13" r:id="rId13" display="https://us3.assetplanner.com/service_request?ID=103179" xr:uid="{962A7C99-5F16-4CEA-B253-9CD234261BC6}"/>
    <hyperlink ref="N13" r:id="rId14" display="https://us3.assetplanner.com/service_request?ID=103189" xr:uid="{EF1FFAEA-5214-4533-96A1-71170FDD3C6A}"/>
    <hyperlink ref="K14" r:id="rId15" display="https://us3.assetplanner.com/service_request?ID=101874" xr:uid="{45368421-7548-486A-81A2-45035BDF29E4}"/>
    <hyperlink ref="L14" r:id="rId16" display="https://us3.assetplanner.com/service_request?ID=101953" xr:uid="{677545F0-0E0E-40CF-85B2-CDF0E34753CF}"/>
    <hyperlink ref="M14" r:id="rId17" display="https://us3.assetplanner.com/service_request?ID=102195" xr:uid="{5776F41A-6916-4803-B605-2BCC1ED8D3F8}"/>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P322"/>
  <sheetViews>
    <sheetView zoomScale="70" zoomScaleNormal="70" workbookViewId="0">
      <pane xSplit="2" ySplit="3" topLeftCell="C4" activePane="bottomRight" state="frozen"/>
      <selection pane="bottomRight" activeCell="G8" sqref="G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4" width="15.5703125" customWidth="1"/>
    <col min="5"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04" t="str" cm="1">
        <f t="array" ref="A1">portfolio</f>
        <v>Renewable Properties</v>
      </c>
      <c r="B1" s="104"/>
      <c r="C1" s="104"/>
      <c r="D1" s="105" t="s">
        <v>172</v>
      </c>
      <c r="E1" s="105"/>
      <c r="F1" s="105"/>
      <c r="G1" s="103" t="s">
        <v>173</v>
      </c>
      <c r="H1" s="103"/>
      <c r="I1" s="103"/>
      <c r="J1" s="4"/>
      <c r="K1" s="4"/>
    </row>
    <row r="2" spans="1:16" ht="19.5" customHeight="1">
      <c r="A2" s="106" t="s">
        <v>2</v>
      </c>
      <c r="B2" s="106"/>
      <c r="C2" s="5">
        <f>SUM(C4:C80)</f>
        <v>7562208.0109999999</v>
      </c>
      <c r="D2" s="5">
        <f>SUM(D4:D80)</f>
        <v>8530129.4660000019</v>
      </c>
      <c r="E2" s="5">
        <f>C2-D2</f>
        <v>-967921.45500000194</v>
      </c>
      <c r="F2" s="6">
        <f>IFERROR(E2/D2, 0)</f>
        <v>-0.11347089852012356</v>
      </c>
      <c r="G2" s="5">
        <f>SUM(G4:G80)</f>
        <v>8535880.2579999994</v>
      </c>
      <c r="H2" s="7">
        <f>C2-G2</f>
        <v>-973672.24699999951</v>
      </c>
      <c r="I2" s="6">
        <f>IFERROR(H2/G2, 0)</f>
        <v>-0.1140681707768164</v>
      </c>
      <c r="J2" s="12" t="str">
        <f ca="1">IF(AND(TODAY()&gt;DATE(2024, 7, 1), COUNTA(Sites[Site])&lt;&gt;(COUNT(C:C)-1)), "Some sites are missing actual data; if new sites were added, make sure they are aligned correctly (including prior months!)", "")</f>
        <v/>
      </c>
      <c r="K2" s="4"/>
    </row>
    <row r="3" spans="1:16" ht="14.25" customHeight="1">
      <c r="A3" s="13" t="s">
        <v>3</v>
      </c>
      <c r="B3" s="13" t="s">
        <v>4</v>
      </c>
      <c r="C3" s="40" t="s">
        <v>5</v>
      </c>
      <c r="D3" s="41" t="s">
        <v>6</v>
      </c>
      <c r="E3" s="41" t="s">
        <v>7</v>
      </c>
      <c r="F3" s="42" t="s">
        <v>8</v>
      </c>
      <c r="G3" s="47" t="s">
        <v>9</v>
      </c>
      <c r="H3" s="44" t="s">
        <v>7</v>
      </c>
      <c r="I3" s="45" t="s">
        <v>8</v>
      </c>
      <c r="J3" s="46" t="s">
        <v>20</v>
      </c>
      <c r="K3" s="46" t="s">
        <v>21</v>
      </c>
    </row>
    <row r="4" spans="1:16" ht="38.25" customHeight="1">
      <c r="A4" s="55" t="str" cm="1">
        <f t="array" ref="A4:A14">Sites[Site]</f>
        <v>Cedar Swamp Rd</v>
      </c>
      <c r="B4" s="49" t="str" cm="1">
        <f t="array" ref="B4:B14">Sites[State]</f>
        <v>MA</v>
      </c>
      <c r="C4" s="27">
        <v>82970</v>
      </c>
      <c r="D4" s="28">
        <v>76440.281000000003</v>
      </c>
      <c r="E4" s="28">
        <f>IF(AND(ISNUMBER(C4),ISNUMBER(D4)), C4-D4, "")</f>
        <v>6529.7189999999973</v>
      </c>
      <c r="F4" s="29">
        <f>IFERROR(E4/D4, "")</f>
        <v>8.5422488177404748E-2</v>
      </c>
      <c r="G4" s="30">
        <v>161203.48699999999</v>
      </c>
      <c r="H4" s="30">
        <f>IF(AND(ISNUMBER(C4),ISNUMBER(G4)), C4-G4, "")</f>
        <v>-78233.486999999994</v>
      </c>
      <c r="I4" s="31">
        <f>IFERROR(H4/G4, "")</f>
        <v>-0.48530890029692719</v>
      </c>
      <c r="J4" s="50" t="s">
        <v>174</v>
      </c>
      <c r="K4" s="86" t="s">
        <v>117</v>
      </c>
    </row>
    <row r="5" spans="1:16" ht="72" customHeight="1">
      <c r="A5" s="56" t="str">
        <v>Bullis</v>
      </c>
      <c r="B5" s="52" t="str">
        <v>NY</v>
      </c>
      <c r="C5" s="34">
        <v>1043715</v>
      </c>
      <c r="D5" s="35">
        <v>1019490</v>
      </c>
      <c r="E5" s="35">
        <f t="shared" ref="E5:E7" si="0">IF(AND(ISNUMBER(C5),ISNUMBER(D5)), C5-D5, "")</f>
        <v>24225</v>
      </c>
      <c r="F5" s="36">
        <f>IFERROR(E5/D5, "")</f>
        <v>2.3761880940470236E-2</v>
      </c>
      <c r="G5" s="37">
        <v>1093836.3999999999</v>
      </c>
      <c r="H5" s="37">
        <f t="shared" ref="H5:H12" si="1">IF(AND(ISNUMBER(C5),ISNUMBER(G5)), C5-G5, "")</f>
        <v>-50121.399999999907</v>
      </c>
      <c r="I5" s="36">
        <f t="shared" ref="I5:I6" si="2">IFERROR(H5/G5, "")</f>
        <v>-4.5821660350670278E-2</v>
      </c>
      <c r="J5" s="53" t="s">
        <v>175</v>
      </c>
      <c r="K5" s="88" t="s">
        <v>176</v>
      </c>
      <c r="L5" s="85"/>
      <c r="M5" s="85"/>
      <c r="N5" s="85"/>
      <c r="P5">
        <v>11</v>
      </c>
    </row>
    <row r="6" spans="1:16" ht="38.25" customHeight="1">
      <c r="A6" s="55" t="str">
        <v>Rock Island</v>
      </c>
      <c r="B6" s="49" t="str">
        <v>NY</v>
      </c>
      <c r="C6" s="27">
        <v>646247</v>
      </c>
      <c r="D6" s="28">
        <v>763663.1</v>
      </c>
      <c r="E6" s="28">
        <f t="shared" si="0"/>
        <v>-117416.09999999998</v>
      </c>
      <c r="F6" s="29">
        <f t="shared" ref="F6" si="3">IFERROR(E6/D6, "")</f>
        <v>-0.15375379535818867</v>
      </c>
      <c r="G6" s="30">
        <v>939544.27</v>
      </c>
      <c r="H6" s="30">
        <f t="shared" si="1"/>
        <v>-293297.27</v>
      </c>
      <c r="I6" s="31">
        <f t="shared" si="2"/>
        <v>-0.3121697181975257</v>
      </c>
      <c r="J6" s="50" t="s">
        <v>177</v>
      </c>
      <c r="K6" s="86" t="s">
        <v>178</v>
      </c>
    </row>
    <row r="7" spans="1:16" ht="43.5" customHeight="1">
      <c r="A7" s="56" t="str">
        <v>Winslow - Roderick</v>
      </c>
      <c r="B7" s="52" t="str">
        <v>ME</v>
      </c>
      <c r="C7" s="34">
        <v>753844</v>
      </c>
      <c r="D7" s="35">
        <v>842287.63500000001</v>
      </c>
      <c r="E7" s="35">
        <f t="shared" si="0"/>
        <v>-88443.635000000009</v>
      </c>
      <c r="F7" s="36">
        <f t="shared" ref="F7" si="4">IFERROR(E7/D7, "")</f>
        <v>-0.10500407619067091</v>
      </c>
      <c r="G7" s="37">
        <v>889593.58</v>
      </c>
      <c r="H7" s="37">
        <f t="shared" si="1"/>
        <v>-135749.57999999996</v>
      </c>
      <c r="I7" s="36">
        <f t="shared" ref="I7" si="5">IFERROR(H7/G7, "")</f>
        <v>-0.15259730179257811</v>
      </c>
      <c r="J7" s="53" t="s">
        <v>179</v>
      </c>
      <c r="K7" s="88" t="s">
        <v>180</v>
      </c>
      <c r="L7" s="85"/>
      <c r="M7" s="85"/>
      <c r="N7" s="85"/>
    </row>
    <row r="8" spans="1:16" ht="112.5" customHeight="1">
      <c r="A8" s="55" t="str">
        <v>Minoa - Clemons Rd</v>
      </c>
      <c r="B8" s="49" t="str">
        <v>NY</v>
      </c>
      <c r="C8" s="27">
        <v>621300.32299999997</v>
      </c>
      <c r="D8" s="28">
        <v>694368.125</v>
      </c>
      <c r="E8" s="28">
        <f>IF(AND(ISNUMBER(C8),ISNUMBER(D8)), C8-D8, "")</f>
        <v>-73067.802000000025</v>
      </c>
      <c r="F8" s="29">
        <f t="shared" ref="F8:F14" si="6">IFERROR(E8/D8, "")</f>
        <v>-0.10522919956903268</v>
      </c>
      <c r="G8" s="30">
        <v>654645.19999999995</v>
      </c>
      <c r="H8" s="30">
        <f t="shared" si="1"/>
        <v>-33344.876999999979</v>
      </c>
      <c r="I8" s="31">
        <f t="shared" ref="I8:I14" si="7">IFERROR(H8/G8, "")</f>
        <v>-5.0935800033361553E-2</v>
      </c>
      <c r="J8" s="50" t="s">
        <v>181</v>
      </c>
      <c r="K8" s="86" t="s">
        <v>182</v>
      </c>
      <c r="L8" s="85"/>
      <c r="M8" s="83"/>
      <c r="N8" s="83"/>
    </row>
    <row r="9" spans="1:16" ht="19.5" customHeight="1">
      <c r="A9" s="56" t="str">
        <v>Manchester - Western</v>
      </c>
      <c r="B9" s="52" t="str">
        <v>ME</v>
      </c>
      <c r="C9" s="34">
        <v>117215.43799999999</v>
      </c>
      <c r="D9" s="35">
        <v>123043.68</v>
      </c>
      <c r="E9" s="35">
        <f t="shared" ref="E9:E14" si="8">IF(AND(ISNUMBER(C9),ISNUMBER(D9)), C9-D9, "")</f>
        <v>-5828.2419999999984</v>
      </c>
      <c r="F9" s="36">
        <f t="shared" si="6"/>
        <v>-4.7367260146965684E-2</v>
      </c>
      <c r="G9" s="37">
        <v>121217.421</v>
      </c>
      <c r="H9" s="37">
        <f t="shared" si="1"/>
        <v>-4001.9830000000075</v>
      </c>
      <c r="I9" s="36">
        <f t="shared" si="7"/>
        <v>-3.3014916230563983E-2</v>
      </c>
      <c r="J9" s="53"/>
      <c r="K9" s="88"/>
      <c r="L9" s="85"/>
      <c r="M9" s="85"/>
      <c r="N9" s="85"/>
    </row>
    <row r="10" spans="1:16" ht="20.25" customHeight="1">
      <c r="A10" s="55" t="str">
        <v>Batavia - Pike Rd</v>
      </c>
      <c r="B10" s="49" t="str">
        <v>NY</v>
      </c>
      <c r="C10" s="27">
        <v>712536</v>
      </c>
      <c r="D10" s="28">
        <v>696115.64800000004</v>
      </c>
      <c r="E10" s="28">
        <f t="shared" si="8"/>
        <v>16420.351999999955</v>
      </c>
      <c r="F10" s="29">
        <f t="shared" si="6"/>
        <v>2.3588540276571909E-2</v>
      </c>
      <c r="G10" s="30">
        <v>710823.05</v>
      </c>
      <c r="H10" s="30">
        <f t="shared" si="1"/>
        <v>1712.9499999999534</v>
      </c>
      <c r="I10" s="31">
        <f t="shared" si="7"/>
        <v>2.4098121185011563E-3</v>
      </c>
      <c r="J10" s="50"/>
      <c r="K10" s="86"/>
      <c r="L10" s="85"/>
      <c r="M10" s="83"/>
      <c r="N10" s="83"/>
    </row>
    <row r="11" spans="1:16" ht="43.5" customHeight="1">
      <c r="A11" s="56" t="str">
        <v>Slayton A &amp; B</v>
      </c>
      <c r="B11" s="52" t="str">
        <v>NY</v>
      </c>
      <c r="C11" s="34">
        <v>1436736</v>
      </c>
      <c r="D11" s="35">
        <v>1840750.32</v>
      </c>
      <c r="E11" s="35">
        <f t="shared" si="8"/>
        <v>-404014.32000000007</v>
      </c>
      <c r="F11" s="36">
        <f t="shared" si="6"/>
        <v>-0.21948349844643789</v>
      </c>
      <c r="G11" s="37">
        <v>1621237.44</v>
      </c>
      <c r="H11" s="37">
        <f t="shared" si="1"/>
        <v>-184501.43999999994</v>
      </c>
      <c r="I11" s="36">
        <f t="shared" si="7"/>
        <v>-0.11380284926062401</v>
      </c>
      <c r="J11" s="59" t="s">
        <v>183</v>
      </c>
      <c r="K11" s="88" t="s">
        <v>184</v>
      </c>
      <c r="L11" s="85"/>
      <c r="M11" s="85"/>
      <c r="N11" s="85"/>
    </row>
    <row r="12" spans="1:16" ht="50.25" customHeight="1">
      <c r="A12" s="55" t="str">
        <v>Batavia - Alexander Rd</v>
      </c>
      <c r="B12" s="49" t="str">
        <v>NY</v>
      </c>
      <c r="C12" s="27">
        <v>349084.25</v>
      </c>
      <c r="D12" s="28">
        <v>426182.17700000003</v>
      </c>
      <c r="E12" s="28">
        <f t="shared" si="8"/>
        <v>-77097.927000000025</v>
      </c>
      <c r="F12" s="36">
        <f t="shared" si="6"/>
        <v>-0.1809036866410301</v>
      </c>
      <c r="G12" s="30">
        <v>399752.41</v>
      </c>
      <c r="H12" s="30">
        <f t="shared" si="1"/>
        <v>-50668.159999999974</v>
      </c>
      <c r="I12" s="36">
        <f t="shared" si="7"/>
        <v>-0.12674885437213493</v>
      </c>
      <c r="J12" s="50" t="s">
        <v>185</v>
      </c>
      <c r="K12" s="86" t="s">
        <v>186</v>
      </c>
      <c r="L12" s="83"/>
      <c r="M12" s="83"/>
      <c r="N12" s="83"/>
    </row>
    <row r="13" spans="1:16" ht="162" customHeight="1">
      <c r="A13" s="56" t="str">
        <v xml:space="preserve">NC: Gibson – Henry Gibson Solar </v>
      </c>
      <c r="B13" s="52" t="str">
        <v>NC</v>
      </c>
      <c r="C13" s="34">
        <v>1073135</v>
      </c>
      <c r="D13" s="35">
        <v>1302969</v>
      </c>
      <c r="E13" s="35">
        <f t="shared" si="8"/>
        <v>-229834</v>
      </c>
      <c r="F13" s="36">
        <f t="shared" si="6"/>
        <v>-0.17639253121141024</v>
      </c>
      <c r="G13" s="37">
        <v>1253294</v>
      </c>
      <c r="H13" s="37">
        <f t="shared" ref="H13:H14" si="9">IF(AND(ISNUMBER(C13),ISNUMBER(G13)), C13-G13, "")</f>
        <v>-180159</v>
      </c>
      <c r="I13" s="36">
        <f t="shared" si="7"/>
        <v>-0.14374839423152111</v>
      </c>
      <c r="J13" s="53" t="s">
        <v>187</v>
      </c>
      <c r="K13" s="88" t="s">
        <v>188</v>
      </c>
      <c r="L13" s="85"/>
      <c r="M13" s="85"/>
      <c r="N13" s="85"/>
    </row>
    <row r="14" spans="1:16" ht="15.6" customHeight="1">
      <c r="A14" s="55" t="str">
        <v>Bangor - Pushaw</v>
      </c>
      <c r="B14" s="49" t="str">
        <v>ME</v>
      </c>
      <c r="C14" s="27">
        <v>725425</v>
      </c>
      <c r="D14" s="28">
        <v>744819.5</v>
      </c>
      <c r="E14" s="28">
        <f t="shared" si="8"/>
        <v>-19394.5</v>
      </c>
      <c r="F14" s="36">
        <f t="shared" si="6"/>
        <v>-2.6039194731072426E-2</v>
      </c>
      <c r="G14" s="30">
        <v>690733</v>
      </c>
      <c r="H14" s="30">
        <f t="shared" si="9"/>
        <v>34692</v>
      </c>
      <c r="I14" s="36">
        <f t="shared" si="7"/>
        <v>5.0224906005649071E-2</v>
      </c>
      <c r="J14" s="50"/>
      <c r="K14" s="86"/>
      <c r="L14" s="83"/>
      <c r="M14" s="83"/>
      <c r="N14" s="83"/>
    </row>
    <row r="15" spans="1:16" ht="14.45" customHeight="1">
      <c r="A15" s="9"/>
      <c r="B15" s="14"/>
      <c r="C15" s="9"/>
      <c r="D15" s="9"/>
      <c r="E15" s="9"/>
      <c r="F15" s="10"/>
      <c r="G15" s="9"/>
      <c r="H15" s="9"/>
      <c r="I15" s="10"/>
      <c r="J15" s="9"/>
      <c r="K15" s="9"/>
      <c r="L15" s="83"/>
      <c r="M15" s="83"/>
      <c r="N15" s="83"/>
    </row>
    <row r="16" spans="1:16" ht="14.45" customHeight="1">
      <c r="A16" s="9"/>
      <c r="B16" s="14"/>
      <c r="C16" s="9"/>
      <c r="D16" s="9"/>
      <c r="E16" s="9"/>
      <c r="F16" s="10"/>
      <c r="G16" s="9"/>
      <c r="H16" s="9"/>
      <c r="I16" s="10"/>
      <c r="J16" s="9"/>
      <c r="K16" s="9"/>
    </row>
    <row r="17" spans="1:11" ht="14.45" customHeight="1">
      <c r="A17" s="9"/>
      <c r="B17" s="14"/>
      <c r="C17" s="9"/>
      <c r="D17" s="9"/>
      <c r="E17" s="9"/>
      <c r="F17" s="10"/>
      <c r="G17" s="9"/>
      <c r="H17" s="9"/>
      <c r="I17" s="10"/>
      <c r="J17" s="9"/>
      <c r="K17" s="9"/>
    </row>
    <row r="18" spans="1:11" ht="14.45" customHeight="1">
      <c r="A18" s="9"/>
      <c r="B18" s="14"/>
      <c r="C18" s="9"/>
      <c r="D18" s="9"/>
      <c r="E18" s="9"/>
      <c r="F18" s="10"/>
      <c r="G18" s="9"/>
      <c r="H18" s="9"/>
      <c r="I18" s="10"/>
      <c r="J18" s="9"/>
      <c r="K18" s="9"/>
    </row>
    <row r="19" spans="1:11" ht="14.45" customHeight="1">
      <c r="A19" s="9"/>
      <c r="B19" s="14"/>
      <c r="C19" s="9"/>
      <c r="D19" s="9"/>
      <c r="E19" s="9"/>
      <c r="F19" s="10"/>
      <c r="G19" s="9"/>
      <c r="H19" s="9"/>
      <c r="I19" s="10"/>
      <c r="J19" s="9"/>
      <c r="K19" s="9"/>
    </row>
    <row r="20" spans="1:11" ht="14.45" customHeight="1">
      <c r="A20" s="9"/>
      <c r="B20" s="14"/>
      <c r="C20" s="9"/>
      <c r="D20" s="9"/>
      <c r="E20" s="9"/>
      <c r="F20" s="10"/>
      <c r="G20" s="9"/>
      <c r="H20" s="9"/>
      <c r="I20" s="10"/>
      <c r="J20" s="9"/>
      <c r="K20" s="9"/>
    </row>
    <row r="21" spans="1:11" ht="14.45" customHeight="1">
      <c r="A21" s="9"/>
      <c r="B21" s="14"/>
      <c r="C21" s="9"/>
      <c r="D21" s="9"/>
      <c r="E21" s="9"/>
      <c r="F21" s="10"/>
      <c r="G21" s="9"/>
      <c r="H21" s="9"/>
      <c r="I21" s="10"/>
      <c r="J21" s="9"/>
      <c r="K21" s="9"/>
    </row>
    <row r="22" spans="1:11" ht="14.45" customHeight="1">
      <c r="A22" s="9"/>
      <c r="B22" s="14"/>
      <c r="C22" s="9"/>
      <c r="D22" s="9"/>
      <c r="E22" s="9"/>
      <c r="F22" s="10"/>
      <c r="G22" s="9"/>
      <c r="H22" s="9"/>
      <c r="I22" s="10"/>
      <c r="J22" s="9"/>
      <c r="K22" s="9"/>
    </row>
    <row r="23" spans="1:11" ht="14.45" customHeight="1">
      <c r="A23" s="9"/>
      <c r="B23" s="14"/>
      <c r="C23" s="9"/>
      <c r="D23" s="9"/>
      <c r="E23" s="9"/>
      <c r="F23" s="10"/>
      <c r="G23" s="9"/>
      <c r="H23" s="9"/>
      <c r="I23" s="10"/>
      <c r="J23" s="9"/>
      <c r="K23" s="9"/>
    </row>
    <row r="24" spans="1:11" ht="14.45" customHeight="1">
      <c r="A24" s="9"/>
      <c r="B24" s="14"/>
      <c r="C24" s="9"/>
      <c r="D24" s="9"/>
      <c r="E24" s="9"/>
      <c r="F24" s="10"/>
      <c r="G24" s="9"/>
      <c r="H24" s="9"/>
      <c r="I24" s="10"/>
      <c r="J24" s="9"/>
      <c r="K24" s="9"/>
    </row>
    <row r="25" spans="1:11" ht="14.45" customHeight="1">
      <c r="A25" s="9"/>
      <c r="B25" s="14"/>
      <c r="C25" s="9"/>
      <c r="D25" s="9"/>
      <c r="E25" s="9"/>
      <c r="F25" s="10"/>
      <c r="G25" s="9"/>
      <c r="H25" s="9"/>
      <c r="I25" s="10"/>
      <c r="J25" s="9"/>
      <c r="K25" s="9"/>
    </row>
    <row r="26" spans="1:11" ht="14.45" customHeight="1">
      <c r="A26" s="9"/>
      <c r="B26" s="14"/>
      <c r="C26" s="9"/>
      <c r="D26" s="9"/>
      <c r="E26" s="9"/>
      <c r="F26" s="10"/>
      <c r="G26" s="9"/>
      <c r="H26" s="9"/>
      <c r="I26" s="10"/>
      <c r="J26" s="9"/>
      <c r="K26" s="9"/>
    </row>
    <row r="27" spans="1:11" ht="14.45" customHeight="1">
      <c r="A27" s="9"/>
      <c r="B27" s="14"/>
      <c r="C27" s="9"/>
      <c r="D27" s="9"/>
      <c r="E27" s="9"/>
      <c r="F27" s="10"/>
      <c r="G27" s="9"/>
      <c r="H27" s="9"/>
      <c r="I27" s="10"/>
      <c r="J27" s="9"/>
      <c r="K27" s="9"/>
    </row>
    <row r="28" spans="1:11" ht="14.45" customHeight="1">
      <c r="A28" s="9"/>
      <c r="B28" s="14"/>
      <c r="C28" s="9"/>
      <c r="D28" s="9"/>
      <c r="E28" s="9"/>
      <c r="F28" s="10"/>
      <c r="G28" s="9"/>
      <c r="H28" s="9"/>
      <c r="I28" s="10"/>
      <c r="J28" s="9"/>
      <c r="K28" s="9"/>
    </row>
    <row r="29" spans="1:11" ht="14.45" customHeight="1">
      <c r="A29" s="9"/>
      <c r="B29" s="14"/>
      <c r="C29" s="9"/>
      <c r="D29" s="9"/>
      <c r="E29" s="9"/>
      <c r="F29" s="10"/>
      <c r="G29" s="9"/>
      <c r="H29" s="9"/>
      <c r="I29" s="10"/>
      <c r="J29" s="9"/>
      <c r="K29" s="9"/>
    </row>
    <row r="30" spans="1:11" ht="14.45" customHeight="1">
      <c r="A30" s="9"/>
      <c r="B30" s="14"/>
      <c r="C30" s="9"/>
      <c r="D30" s="9"/>
      <c r="E30" s="9"/>
      <c r="F30" s="10"/>
      <c r="G30" s="9"/>
      <c r="H30" s="9"/>
      <c r="I30" s="10"/>
      <c r="J30" s="9"/>
      <c r="K30" s="9"/>
    </row>
    <row r="31" spans="1:11" ht="14.45" customHeight="1">
      <c r="A31" s="9"/>
      <c r="B31" s="14"/>
      <c r="C31" s="9"/>
      <c r="D31" s="9"/>
      <c r="E31" s="9"/>
      <c r="F31" s="10"/>
      <c r="G31" s="9"/>
      <c r="H31" s="9"/>
      <c r="I31" s="10"/>
      <c r="J31" s="9"/>
      <c r="K31" s="9"/>
    </row>
    <row r="32" spans="1:11" ht="14.45" customHeight="1">
      <c r="A32" s="9"/>
      <c r="B32" s="14"/>
      <c r="C32" s="9"/>
      <c r="D32" s="9"/>
      <c r="E32" s="9"/>
      <c r="F32" s="10"/>
      <c r="G32" s="9"/>
      <c r="H32" s="9"/>
      <c r="I32" s="10"/>
      <c r="J32" s="9"/>
      <c r="K32" s="9"/>
    </row>
    <row r="33" spans="1:11" ht="14.45" customHeight="1">
      <c r="A33" s="9"/>
      <c r="B33" s="14"/>
      <c r="C33" s="9"/>
      <c r="D33" s="9"/>
      <c r="E33" s="9"/>
      <c r="F33" s="10"/>
      <c r="G33" s="9"/>
      <c r="H33" s="9"/>
      <c r="I33" s="10"/>
      <c r="J33" s="9"/>
      <c r="K33" s="9"/>
    </row>
    <row r="34" spans="1:11" ht="14.45" customHeight="1">
      <c r="A34" s="9"/>
      <c r="B34" s="14"/>
      <c r="C34" s="9"/>
      <c r="D34" s="9"/>
      <c r="E34" s="9"/>
      <c r="F34" s="10"/>
      <c r="G34" s="9"/>
      <c r="H34" s="9"/>
      <c r="I34" s="10"/>
      <c r="J34" s="9"/>
      <c r="K34" s="9"/>
    </row>
    <row r="35" spans="1:11" ht="14.45" customHeight="1">
      <c r="A35" s="9"/>
      <c r="B35" s="14"/>
      <c r="C35" s="9"/>
      <c r="D35" s="9"/>
      <c r="E35" s="9"/>
      <c r="F35" s="10"/>
      <c r="G35" s="9"/>
      <c r="H35" s="9"/>
      <c r="I35" s="10"/>
      <c r="J35" s="9"/>
      <c r="K35" s="9"/>
    </row>
    <row r="36" spans="1:11" ht="14.45" customHeight="1">
      <c r="A36" s="9"/>
      <c r="B36" s="14"/>
      <c r="C36" s="9"/>
      <c r="D36" s="9"/>
      <c r="E36" s="9"/>
      <c r="F36" s="10"/>
      <c r="G36" s="9"/>
      <c r="H36" s="9"/>
      <c r="I36" s="10"/>
      <c r="J36" s="9"/>
      <c r="K36" s="9"/>
    </row>
    <row r="37" spans="1:11" ht="14.45" customHeight="1">
      <c r="A37" s="9"/>
      <c r="B37" s="14"/>
      <c r="C37" s="9"/>
      <c r="D37" s="9"/>
      <c r="E37" s="9"/>
      <c r="F37" s="10"/>
      <c r="G37" s="9"/>
      <c r="H37" s="9"/>
      <c r="I37" s="10"/>
      <c r="J37" s="9"/>
      <c r="K37" s="9"/>
    </row>
    <row r="38" spans="1:11" ht="14.45" customHeight="1">
      <c r="A38" s="9"/>
      <c r="B38" s="14"/>
      <c r="C38" s="9"/>
      <c r="D38" s="9"/>
      <c r="E38" s="9"/>
      <c r="F38" s="10"/>
      <c r="G38" s="9"/>
      <c r="H38" s="9"/>
      <c r="I38" s="10"/>
      <c r="J38" s="9"/>
      <c r="K38" s="9"/>
    </row>
    <row r="39" spans="1:11" ht="14.45" customHeight="1">
      <c r="A39" s="9"/>
      <c r="B39" s="14"/>
      <c r="C39" s="9"/>
      <c r="D39" s="9"/>
      <c r="E39" s="9"/>
      <c r="F39" s="10"/>
      <c r="G39" s="9"/>
      <c r="H39" s="9"/>
      <c r="I39" s="10"/>
      <c r="J39" s="9"/>
      <c r="K39" s="9"/>
    </row>
    <row r="40" spans="1:11" ht="14.45" customHeight="1">
      <c r="A40" s="9"/>
      <c r="B40" s="14"/>
      <c r="C40" s="9"/>
      <c r="D40" s="9"/>
      <c r="E40" s="9"/>
      <c r="F40" s="10"/>
      <c r="G40" s="9"/>
      <c r="H40" s="9"/>
      <c r="I40" s="10"/>
      <c r="J40" s="9"/>
      <c r="K40" s="9"/>
    </row>
    <row r="41" spans="1:11" ht="14.45" customHeight="1">
      <c r="A41" s="9"/>
      <c r="B41" s="14"/>
      <c r="C41" s="9"/>
      <c r="D41" s="9"/>
      <c r="E41" s="9"/>
      <c r="F41" s="10"/>
      <c r="G41" s="9"/>
      <c r="H41" s="9"/>
      <c r="I41" s="10"/>
      <c r="J41" s="9"/>
      <c r="K41" s="9"/>
    </row>
    <row r="42" spans="1:11" ht="14.45" customHeight="1">
      <c r="A42" s="9"/>
      <c r="B42" s="14"/>
      <c r="C42" s="9"/>
      <c r="D42" s="9"/>
      <c r="E42" s="9"/>
      <c r="F42" s="10"/>
      <c r="G42" s="9"/>
      <c r="H42" s="9"/>
      <c r="I42" s="10"/>
      <c r="J42" s="9"/>
      <c r="K42" s="9"/>
    </row>
    <row r="43" spans="1:11" ht="14.45" customHeight="1">
      <c r="A43" s="9"/>
      <c r="B43" s="14"/>
      <c r="C43" s="9"/>
      <c r="D43" s="9"/>
      <c r="E43" s="9"/>
      <c r="F43" s="10"/>
      <c r="G43" s="9"/>
      <c r="H43" s="9"/>
      <c r="I43" s="10"/>
      <c r="J43" s="9"/>
      <c r="K43" s="9"/>
    </row>
    <row r="44" spans="1:11" ht="14.45" customHeight="1">
      <c r="A44" s="9"/>
      <c r="B44" s="14"/>
      <c r="C44" s="9"/>
      <c r="D44" s="9"/>
      <c r="E44" s="9"/>
      <c r="F44" s="10"/>
      <c r="G44" s="9"/>
      <c r="H44" s="9"/>
      <c r="I44" s="10"/>
      <c r="J44" s="9"/>
      <c r="K44" s="9"/>
    </row>
    <row r="45" spans="1:11" ht="14.45" customHeight="1">
      <c r="A45" s="9"/>
      <c r="B45" s="14"/>
      <c r="C45" s="9"/>
      <c r="D45" s="9"/>
      <c r="E45" s="9"/>
      <c r="F45" s="10"/>
      <c r="G45" s="9"/>
      <c r="H45" s="9"/>
      <c r="I45" s="10"/>
      <c r="J45" s="9"/>
      <c r="K45" s="9"/>
    </row>
    <row r="46" spans="1:11" ht="14.45" customHeight="1">
      <c r="A46" s="9"/>
      <c r="B46" s="14"/>
      <c r="C46" s="9"/>
      <c r="D46" s="9"/>
      <c r="E46" s="9"/>
      <c r="F46" s="10"/>
      <c r="G46" s="9"/>
      <c r="H46" s="9"/>
      <c r="I46" s="10"/>
      <c r="J46" s="9"/>
      <c r="K46" s="9"/>
    </row>
    <row r="47" spans="1:11" ht="14.45" customHeight="1">
      <c r="A47" s="9"/>
      <c r="B47" s="14"/>
      <c r="C47" s="9"/>
      <c r="D47" s="9"/>
      <c r="E47" s="9"/>
      <c r="F47" s="10"/>
      <c r="G47" s="9"/>
      <c r="H47" s="9"/>
      <c r="I47" s="10"/>
      <c r="J47" s="9"/>
      <c r="K47" s="9"/>
    </row>
    <row r="48" spans="1:11" ht="14.45" customHeight="1">
      <c r="A48" s="9"/>
      <c r="B48" s="14"/>
      <c r="C48" s="9"/>
      <c r="D48" s="9"/>
      <c r="E48" s="9"/>
      <c r="F48" s="10"/>
      <c r="G48" s="9"/>
      <c r="H48" s="9"/>
      <c r="I48" s="10"/>
      <c r="J48" s="9"/>
      <c r="K48" s="9"/>
    </row>
    <row r="49" spans="1:11" ht="14.45" customHeight="1">
      <c r="A49" s="9"/>
      <c r="B49" s="14"/>
      <c r="C49" s="9"/>
      <c r="D49" s="9"/>
      <c r="E49" s="9"/>
      <c r="F49" s="10"/>
      <c r="G49" s="9"/>
      <c r="H49" s="9"/>
      <c r="I49" s="10"/>
      <c r="J49" s="9"/>
      <c r="K49" s="9"/>
    </row>
    <row r="50" spans="1:11" ht="14.45" customHeight="1">
      <c r="A50" s="9"/>
      <c r="B50" s="14"/>
      <c r="C50" s="9"/>
      <c r="D50" s="9"/>
      <c r="E50" s="9"/>
      <c r="F50" s="10"/>
      <c r="G50" s="9"/>
      <c r="H50" s="9"/>
      <c r="I50" s="10"/>
      <c r="J50" s="9"/>
      <c r="K50" s="9"/>
    </row>
    <row r="51" spans="1:11" ht="14.45" customHeight="1">
      <c r="A51" s="9"/>
      <c r="B51" s="14"/>
      <c r="C51" s="9"/>
      <c r="D51" s="9"/>
      <c r="E51" s="9"/>
      <c r="F51" s="10"/>
      <c r="G51" s="9"/>
      <c r="H51" s="9"/>
      <c r="I51" s="10"/>
      <c r="J51" s="9"/>
      <c r="K51" s="9"/>
    </row>
    <row r="52" spans="1:11" ht="14.45" customHeight="1">
      <c r="A52" s="9"/>
      <c r="B52" s="14"/>
      <c r="C52" s="9"/>
      <c r="D52" s="9"/>
      <c r="E52" s="9"/>
      <c r="F52" s="10"/>
      <c r="G52" s="9"/>
      <c r="H52" s="9"/>
      <c r="I52" s="10"/>
      <c r="J52" s="9"/>
      <c r="K52" s="9"/>
    </row>
    <row r="53" spans="1:11" ht="14.45" customHeight="1">
      <c r="A53" s="9"/>
      <c r="B53" s="14"/>
      <c r="C53" s="9"/>
      <c r="D53" s="9"/>
      <c r="E53" s="9"/>
      <c r="F53" s="10"/>
      <c r="G53" s="9"/>
      <c r="H53" s="9"/>
      <c r="I53" s="10"/>
      <c r="J53" s="9"/>
      <c r="K53" s="9"/>
    </row>
    <row r="54" spans="1:11" ht="14.45" customHeight="1">
      <c r="A54" s="9"/>
      <c r="B54" s="14"/>
      <c r="C54" s="9"/>
      <c r="D54" s="9"/>
      <c r="E54" s="9"/>
      <c r="F54" s="10"/>
      <c r="G54" s="9"/>
      <c r="H54" s="9"/>
      <c r="I54" s="10"/>
      <c r="J54" s="9"/>
      <c r="K54" s="9"/>
    </row>
    <row r="55" spans="1:11" ht="14.45" customHeight="1">
      <c r="A55" s="9"/>
      <c r="B55" s="14"/>
      <c r="C55" s="9"/>
      <c r="D55" s="9"/>
      <c r="E55" s="9"/>
      <c r="F55" s="10"/>
      <c r="G55" s="9"/>
      <c r="H55" s="9"/>
      <c r="I55" s="10"/>
      <c r="J55" s="9"/>
      <c r="K55" s="9"/>
    </row>
    <row r="56" spans="1:11" ht="14.45" customHeight="1">
      <c r="A56" s="9"/>
      <c r="B56" s="14"/>
      <c r="C56" s="9"/>
      <c r="D56" s="9"/>
      <c r="E56" s="9"/>
      <c r="F56" s="10"/>
      <c r="G56" s="9"/>
      <c r="H56" s="9"/>
      <c r="I56" s="10"/>
      <c r="J56" s="9"/>
      <c r="K56" s="9"/>
    </row>
    <row r="57" spans="1:11" ht="14.45" customHeight="1">
      <c r="A57" s="9"/>
      <c r="B57" s="14"/>
      <c r="C57" s="9"/>
      <c r="D57" s="9"/>
      <c r="E57" s="9"/>
      <c r="F57" s="10"/>
      <c r="G57" s="9"/>
      <c r="H57" s="9"/>
      <c r="I57" s="10"/>
      <c r="J57" s="9"/>
      <c r="K57" s="9"/>
    </row>
    <row r="58" spans="1:11" ht="14.45" customHeight="1">
      <c r="A58" s="9"/>
      <c r="B58" s="14"/>
      <c r="C58" s="9"/>
      <c r="D58" s="9"/>
      <c r="E58" s="9"/>
      <c r="F58" s="10"/>
      <c r="G58" s="9"/>
      <c r="H58" s="9"/>
      <c r="I58" s="10"/>
      <c r="J58" s="9"/>
      <c r="K58" s="9"/>
    </row>
    <row r="59" spans="1:11" ht="14.45" customHeight="1">
      <c r="A59" s="9"/>
      <c r="B59" s="14"/>
      <c r="C59" s="9"/>
      <c r="D59" s="9"/>
      <c r="E59" s="9"/>
      <c r="F59" s="10"/>
      <c r="G59" s="9"/>
      <c r="H59" s="9"/>
      <c r="I59" s="10"/>
      <c r="J59" s="9"/>
      <c r="K59" s="9"/>
    </row>
    <row r="60" spans="1:11" ht="14.45" customHeight="1">
      <c r="A60" s="9"/>
      <c r="B60" s="14"/>
      <c r="C60" s="9"/>
      <c r="D60" s="9"/>
      <c r="E60" s="9"/>
      <c r="F60" s="10"/>
      <c r="G60" s="9"/>
      <c r="H60" s="9"/>
      <c r="I60" s="10"/>
      <c r="J60" s="9"/>
      <c r="K60" s="9"/>
    </row>
    <row r="61" spans="1:11" ht="14.45" customHeight="1">
      <c r="A61" s="9"/>
      <c r="B61" s="14"/>
      <c r="C61" s="9"/>
      <c r="D61" s="9"/>
      <c r="E61" s="9"/>
      <c r="F61" s="10"/>
      <c r="G61" s="9"/>
      <c r="H61" s="9"/>
      <c r="I61" s="10"/>
      <c r="J61" s="9"/>
      <c r="K61" s="9"/>
    </row>
    <row r="62" spans="1:11" ht="14.45" customHeight="1">
      <c r="A62" s="9"/>
      <c r="B62" s="14"/>
      <c r="C62" s="9"/>
      <c r="D62" s="9"/>
      <c r="E62" s="9"/>
      <c r="F62" s="10"/>
      <c r="G62" s="9"/>
      <c r="H62" s="9"/>
      <c r="I62" s="10"/>
      <c r="J62" s="9"/>
      <c r="K62" s="9"/>
    </row>
    <row r="63" spans="1:11" ht="14.45" customHeight="1">
      <c r="A63" s="9"/>
      <c r="B63" s="14"/>
      <c r="C63" s="9"/>
      <c r="D63" s="9"/>
      <c r="E63" s="9"/>
      <c r="F63" s="10"/>
      <c r="G63" s="9"/>
      <c r="H63" s="9"/>
      <c r="I63" s="10"/>
      <c r="J63" s="9"/>
      <c r="K63" s="9"/>
    </row>
    <row r="64" spans="1:11" ht="14.45" customHeight="1">
      <c r="A64" s="9"/>
      <c r="B64" s="14"/>
      <c r="C64" s="9"/>
      <c r="D64" s="9"/>
      <c r="E64" s="9"/>
      <c r="F64" s="10"/>
      <c r="G64" s="9"/>
      <c r="H64" s="9"/>
      <c r="I64" s="10"/>
      <c r="J64" s="9"/>
      <c r="K64" s="9"/>
    </row>
    <row r="65" spans="1:11" ht="14.45" customHeight="1">
      <c r="A65" s="9"/>
      <c r="B65" s="14"/>
      <c r="C65" s="9"/>
      <c r="D65" s="9"/>
      <c r="E65" s="9"/>
      <c r="F65" s="10"/>
      <c r="G65" s="9"/>
      <c r="H65" s="9"/>
      <c r="I65" s="10"/>
      <c r="J65" s="9"/>
      <c r="K65" s="9"/>
    </row>
    <row r="66" spans="1:11" ht="14.45" customHeight="1">
      <c r="A66" s="9"/>
      <c r="B66" s="14"/>
      <c r="C66" s="9"/>
      <c r="D66" s="9"/>
      <c r="E66" s="9"/>
      <c r="F66" s="10"/>
      <c r="G66" s="9"/>
      <c r="H66" s="9"/>
      <c r="I66" s="10"/>
      <c r="J66" s="9"/>
      <c r="K66" s="9"/>
    </row>
    <row r="67" spans="1:11" ht="14.45" customHeight="1">
      <c r="A67" s="9"/>
      <c r="B67" s="14"/>
      <c r="C67" s="9"/>
      <c r="D67" s="9"/>
      <c r="E67" s="9"/>
      <c r="F67" s="10"/>
      <c r="G67" s="9"/>
      <c r="H67" s="9"/>
      <c r="I67" s="10"/>
      <c r="J67" s="9"/>
      <c r="K67" s="9"/>
    </row>
    <row r="68" spans="1:11" ht="14.45" customHeight="1">
      <c r="A68" s="9"/>
      <c r="B68" s="14"/>
      <c r="C68" s="9"/>
      <c r="D68" s="9"/>
      <c r="E68" s="9"/>
      <c r="F68" s="10"/>
      <c r="G68" s="9"/>
      <c r="H68" s="9"/>
      <c r="I68" s="10"/>
      <c r="J68" s="9"/>
      <c r="K68" s="9"/>
    </row>
    <row r="69" spans="1:11" ht="14.45" customHeight="1">
      <c r="A69" s="9"/>
      <c r="B69" s="14"/>
      <c r="C69" s="9"/>
      <c r="D69" s="9"/>
      <c r="E69" s="9"/>
      <c r="F69" s="10"/>
      <c r="G69" s="9"/>
      <c r="H69" s="9"/>
      <c r="I69" s="10"/>
      <c r="J69" s="9"/>
      <c r="K69" s="9"/>
    </row>
    <row r="70" spans="1:11" ht="14.45" customHeight="1">
      <c r="A70" s="9"/>
      <c r="B70" s="14"/>
      <c r="C70" s="9"/>
      <c r="D70" s="9"/>
      <c r="E70" s="9"/>
      <c r="F70" s="10"/>
      <c r="G70" s="9"/>
      <c r="H70" s="9"/>
      <c r="I70" s="10"/>
      <c r="J70" s="9"/>
      <c r="K70" s="9"/>
    </row>
    <row r="71" spans="1:11" ht="14.45" customHeight="1">
      <c r="A71" s="9"/>
      <c r="B71" s="14"/>
      <c r="C71" s="9"/>
      <c r="D71" s="9"/>
      <c r="E71" s="9"/>
      <c r="F71" s="10"/>
      <c r="G71" s="9"/>
      <c r="H71" s="9"/>
      <c r="I71" s="10"/>
      <c r="J71" s="9"/>
      <c r="K71" s="9"/>
    </row>
    <row r="72" spans="1:11" ht="14.45" customHeight="1">
      <c r="A72" s="9"/>
      <c r="B72" s="14"/>
      <c r="C72" s="9"/>
      <c r="D72" s="9"/>
      <c r="E72" s="9"/>
      <c r="F72" s="10"/>
      <c r="G72" s="9"/>
      <c r="H72" s="9"/>
      <c r="I72" s="10"/>
      <c r="J72" s="9"/>
      <c r="K72" s="9"/>
    </row>
    <row r="73" spans="1:11" ht="14.45" customHeight="1">
      <c r="A73" s="9"/>
      <c r="B73" s="14"/>
      <c r="C73" s="9"/>
      <c r="D73" s="9"/>
      <c r="E73" s="9"/>
      <c r="F73" s="10"/>
      <c r="G73" s="9"/>
      <c r="H73" s="9"/>
      <c r="I73" s="10"/>
      <c r="J73" s="9"/>
      <c r="K73" s="9"/>
    </row>
    <row r="74" spans="1:11" ht="14.45" customHeight="1">
      <c r="A74" s="9"/>
      <c r="B74" s="14"/>
      <c r="C74" s="9"/>
      <c r="D74" s="9"/>
      <c r="E74" s="9"/>
      <c r="F74" s="10"/>
      <c r="G74" s="9"/>
      <c r="H74" s="9"/>
      <c r="I74" s="10"/>
      <c r="J74" s="9"/>
      <c r="K74" s="9"/>
    </row>
    <row r="75" spans="1:11" ht="14.45" customHeight="1">
      <c r="A75" s="9"/>
      <c r="B75" s="14"/>
      <c r="C75" s="9"/>
      <c r="D75" s="9"/>
      <c r="E75" s="9"/>
      <c r="F75" s="10"/>
      <c r="G75" s="9"/>
      <c r="H75" s="9"/>
      <c r="I75" s="10"/>
      <c r="J75" s="9"/>
      <c r="K75" s="9"/>
    </row>
    <row r="76" spans="1:11" ht="14.45" customHeight="1">
      <c r="A76" s="9"/>
      <c r="B76" s="14"/>
      <c r="C76" s="9"/>
      <c r="D76" s="9"/>
      <c r="E76" s="9"/>
      <c r="F76" s="10"/>
      <c r="G76" s="9"/>
      <c r="H76" s="9"/>
      <c r="I76" s="10"/>
      <c r="J76" s="9"/>
      <c r="K76" s="9"/>
    </row>
    <row r="77" spans="1:11" ht="14.45" customHeight="1">
      <c r="A77" s="9"/>
      <c r="B77" s="14"/>
      <c r="C77" s="9"/>
      <c r="D77" s="9"/>
      <c r="E77" s="9"/>
      <c r="F77" s="10"/>
      <c r="G77" s="9"/>
      <c r="H77" s="9"/>
      <c r="I77" s="10"/>
      <c r="J77" s="9"/>
      <c r="K77" s="9"/>
    </row>
    <row r="78" spans="1:11" ht="14.45" customHeight="1">
      <c r="A78" s="9"/>
      <c r="B78" s="14"/>
      <c r="C78" s="9"/>
      <c r="D78" s="9"/>
      <c r="E78" s="9"/>
      <c r="F78" s="10"/>
      <c r="G78" s="9"/>
      <c r="H78" s="9"/>
      <c r="I78" s="10"/>
      <c r="J78" s="9"/>
      <c r="K78" s="9"/>
    </row>
    <row r="79" spans="1:11" ht="14.45" customHeight="1">
      <c r="A79" s="9"/>
      <c r="B79" s="14"/>
      <c r="C79" s="9"/>
      <c r="D79" s="9"/>
      <c r="E79" s="9"/>
      <c r="F79" s="10"/>
      <c r="G79" s="9"/>
      <c r="H79" s="9"/>
      <c r="I79" s="10"/>
      <c r="J79" s="9"/>
      <c r="K79" s="9"/>
    </row>
    <row r="80" spans="1:11" ht="14.45" customHeight="1">
      <c r="A80" s="9"/>
      <c r="B80" s="14"/>
      <c r="C80" s="9"/>
      <c r="D80" s="9"/>
      <c r="E80" s="9"/>
      <c r="F80" s="10"/>
      <c r="G80" s="9"/>
      <c r="H80" s="9"/>
      <c r="I80" s="10"/>
      <c r="J80" s="9"/>
      <c r="K80" s="9"/>
    </row>
    <row r="81" spans="1:11" ht="14.45" customHeight="1">
      <c r="A81" s="9"/>
      <c r="B81" s="14"/>
      <c r="C81" s="9"/>
      <c r="D81" s="9"/>
      <c r="E81" s="9"/>
      <c r="F81" s="10"/>
      <c r="G81" s="9"/>
      <c r="H81" s="9"/>
      <c r="I81" s="10"/>
      <c r="J81" s="9"/>
      <c r="K81" s="9"/>
    </row>
    <row r="82" spans="1:11" ht="14.45" customHeight="1">
      <c r="A82" s="9"/>
      <c r="B82" s="14"/>
      <c r="C82" s="9"/>
      <c r="D82" s="9"/>
      <c r="E82" s="9"/>
      <c r="F82" s="10"/>
      <c r="G82" s="9"/>
      <c r="H82" s="9"/>
      <c r="I82" s="10"/>
      <c r="J82" s="9"/>
      <c r="K82" s="9"/>
    </row>
    <row r="83" spans="1:11" ht="14.45" customHeight="1">
      <c r="A83" s="9"/>
      <c r="B83" s="14"/>
      <c r="C83" s="9"/>
      <c r="D83" s="9"/>
      <c r="E83" s="9"/>
      <c r="F83" s="10"/>
      <c r="G83" s="9"/>
      <c r="H83" s="9"/>
      <c r="I83" s="10"/>
      <c r="J83" s="9"/>
      <c r="K83" s="9"/>
    </row>
    <row r="84" spans="1:11" ht="14.45" customHeight="1">
      <c r="A84" s="9"/>
      <c r="B84" s="14"/>
      <c r="C84" s="9"/>
      <c r="D84" s="9"/>
      <c r="E84" s="9"/>
      <c r="F84" s="10"/>
      <c r="G84" s="9"/>
      <c r="H84" s="9"/>
      <c r="I84" s="10"/>
      <c r="J84" s="9"/>
      <c r="K84" s="9"/>
    </row>
    <row r="85" spans="1:11" ht="14.45" customHeight="1">
      <c r="A85" s="9"/>
      <c r="B85" s="14"/>
      <c r="C85" s="9"/>
      <c r="D85" s="9"/>
      <c r="E85" s="9"/>
      <c r="F85" s="10"/>
      <c r="G85" s="9"/>
      <c r="H85" s="9"/>
      <c r="I85" s="10"/>
      <c r="J85" s="9"/>
      <c r="K85" s="9"/>
    </row>
    <row r="86" spans="1:11" ht="14.45" customHeight="1">
      <c r="A86" s="9"/>
      <c r="B86" s="14"/>
      <c r="C86" s="9"/>
      <c r="D86" s="9"/>
      <c r="E86" s="9"/>
      <c r="F86" s="10"/>
      <c r="G86" s="9"/>
      <c r="H86" s="9"/>
      <c r="I86" s="10"/>
      <c r="J86" s="9"/>
      <c r="K86" s="9"/>
    </row>
    <row r="87" spans="1:11" ht="14.45" customHeight="1">
      <c r="A87" s="9"/>
      <c r="B87" s="14"/>
      <c r="C87" s="9"/>
      <c r="D87" s="9"/>
      <c r="E87" s="9"/>
      <c r="F87" s="10"/>
      <c r="G87" s="9"/>
      <c r="H87" s="9"/>
      <c r="I87" s="10"/>
      <c r="J87" s="9"/>
      <c r="K87" s="9"/>
    </row>
    <row r="88" spans="1:11" ht="14.45" customHeight="1">
      <c r="A88" s="9"/>
      <c r="B88" s="14"/>
      <c r="C88" s="9"/>
      <c r="D88" s="9"/>
      <c r="E88" s="9"/>
      <c r="F88" s="10"/>
      <c r="G88" s="9"/>
      <c r="H88" s="9"/>
      <c r="I88" s="10"/>
      <c r="J88" s="9"/>
      <c r="K88" s="9"/>
    </row>
    <row r="89" spans="1:11" ht="14.45" customHeight="1">
      <c r="A89" s="9"/>
      <c r="B89" s="14"/>
      <c r="C89" s="9"/>
      <c r="D89" s="9"/>
      <c r="E89" s="9"/>
      <c r="F89" s="10"/>
      <c r="G89" s="9"/>
      <c r="H89" s="9"/>
      <c r="I89" s="10"/>
      <c r="J89" s="9"/>
      <c r="K89" s="9"/>
    </row>
    <row r="90" spans="1:11" ht="14.45" customHeight="1">
      <c r="A90" s="9"/>
      <c r="B90" s="14"/>
      <c r="C90" s="9"/>
      <c r="D90" s="9"/>
      <c r="E90" s="9"/>
      <c r="F90" s="10"/>
      <c r="G90" s="9"/>
      <c r="H90" s="9"/>
      <c r="I90" s="10"/>
      <c r="J90" s="9"/>
      <c r="K90" s="9"/>
    </row>
    <row r="91" spans="1:11" ht="14.45" customHeight="1">
      <c r="A91" s="9"/>
      <c r="B91" s="14"/>
      <c r="C91" s="9"/>
      <c r="D91" s="9"/>
      <c r="E91" s="9"/>
      <c r="F91" s="10"/>
      <c r="G91" s="9"/>
      <c r="H91" s="9"/>
      <c r="I91" s="10"/>
      <c r="J91" s="9"/>
      <c r="K91" s="9"/>
    </row>
    <row r="92" spans="1:11" ht="14.45" customHeight="1">
      <c r="A92" s="9"/>
      <c r="B92" s="14"/>
      <c r="C92" s="9"/>
      <c r="D92" s="9"/>
      <c r="E92" s="9"/>
      <c r="F92" s="10"/>
      <c r="G92" s="9"/>
      <c r="H92" s="9"/>
      <c r="I92" s="10"/>
      <c r="J92" s="9"/>
      <c r="K92" s="9"/>
    </row>
    <row r="93" spans="1:11" ht="14.45" customHeight="1">
      <c r="A93" s="9"/>
      <c r="B93" s="14"/>
      <c r="C93" s="9"/>
      <c r="D93" s="9"/>
      <c r="E93" s="9"/>
      <c r="F93" s="10"/>
      <c r="G93" s="9"/>
      <c r="H93" s="9"/>
      <c r="I93" s="10"/>
      <c r="J93" s="9"/>
      <c r="K93" s="9"/>
    </row>
    <row r="94" spans="1:11" ht="14.45" customHeight="1">
      <c r="A94" s="9"/>
      <c r="B94" s="14"/>
      <c r="C94" s="9"/>
      <c r="D94" s="9"/>
      <c r="E94" s="9"/>
      <c r="F94" s="10"/>
      <c r="G94" s="9"/>
      <c r="H94" s="9"/>
      <c r="I94" s="10"/>
      <c r="J94" s="9"/>
      <c r="K94" s="9"/>
    </row>
    <row r="95" spans="1:11" ht="14.45" customHeight="1">
      <c r="A95" s="9"/>
      <c r="B95" s="14"/>
      <c r="C95" s="9"/>
      <c r="D95" s="9"/>
      <c r="E95" s="9"/>
      <c r="F95" s="10"/>
      <c r="G95" s="9"/>
      <c r="H95" s="9"/>
      <c r="I95" s="10"/>
      <c r="J95" s="9"/>
      <c r="K95" s="9"/>
    </row>
    <row r="96" spans="1:11" ht="14.45" customHeight="1">
      <c r="A96" s="9"/>
      <c r="B96" s="14"/>
      <c r="C96" s="9"/>
      <c r="D96" s="9"/>
      <c r="E96" s="9"/>
      <c r="F96" s="10"/>
      <c r="G96" s="9"/>
      <c r="H96" s="9"/>
      <c r="I96" s="10"/>
      <c r="J96" s="9"/>
      <c r="K96" s="9"/>
    </row>
    <row r="97" spans="1:11" ht="14.45" customHeight="1">
      <c r="A97" s="9"/>
      <c r="B97" s="14"/>
      <c r="C97" s="9"/>
      <c r="D97" s="9"/>
      <c r="E97" s="9"/>
      <c r="F97" s="10"/>
      <c r="G97" s="9"/>
      <c r="H97" s="9"/>
      <c r="I97" s="10"/>
      <c r="J97" s="9"/>
      <c r="K97" s="9"/>
    </row>
    <row r="98" spans="1:11" ht="14.45" customHeight="1">
      <c r="A98" s="9"/>
      <c r="B98" s="14"/>
      <c r="C98" s="9"/>
      <c r="D98" s="9"/>
      <c r="E98" s="9"/>
      <c r="F98" s="10"/>
      <c r="G98" s="9"/>
      <c r="H98" s="9"/>
      <c r="I98" s="10"/>
      <c r="J98" s="9"/>
      <c r="K98" s="9"/>
    </row>
    <row r="99" spans="1:11" ht="14.45" customHeight="1">
      <c r="A99" s="9"/>
      <c r="B99" s="14"/>
      <c r="C99" s="9"/>
      <c r="D99" s="9"/>
      <c r="E99" s="9"/>
      <c r="F99" s="10"/>
      <c r="G99" s="9"/>
      <c r="H99" s="9"/>
      <c r="I99" s="10"/>
      <c r="J99" s="9"/>
      <c r="K99" s="9"/>
    </row>
    <row r="100" spans="1:11" ht="14.45" customHeight="1">
      <c r="A100" s="9"/>
      <c r="B100" s="14"/>
      <c r="C100" s="9"/>
      <c r="D100" s="9"/>
      <c r="E100" s="9"/>
      <c r="F100" s="10"/>
      <c r="G100" s="9"/>
      <c r="H100" s="9"/>
      <c r="I100" s="10"/>
      <c r="J100" s="9"/>
      <c r="K100" s="9"/>
    </row>
    <row r="101" spans="1:11" ht="14.45" customHeight="1">
      <c r="A101" s="9"/>
      <c r="B101" s="14"/>
      <c r="C101" s="9"/>
      <c r="D101" s="9"/>
      <c r="E101" s="9"/>
      <c r="F101" s="10"/>
      <c r="G101" s="9"/>
      <c r="H101" s="9"/>
      <c r="I101" s="10"/>
      <c r="J101" s="9"/>
      <c r="K101" s="9"/>
    </row>
    <row r="102" spans="1:11" ht="14.45" customHeight="1">
      <c r="A102" s="9"/>
      <c r="B102" s="14"/>
      <c r="C102" s="9"/>
      <c r="D102" s="9"/>
      <c r="E102" s="9"/>
      <c r="F102" s="10"/>
      <c r="G102" s="9"/>
      <c r="H102" s="9"/>
      <c r="I102" s="10"/>
      <c r="J102" s="9"/>
      <c r="K102" s="9"/>
    </row>
    <row r="103" spans="1:11" ht="14.45" customHeight="1">
      <c r="A103" s="9"/>
      <c r="B103" s="14"/>
      <c r="C103" s="9"/>
      <c r="D103" s="9"/>
      <c r="E103" s="9"/>
      <c r="F103" s="10"/>
      <c r="G103" s="9"/>
      <c r="H103" s="9"/>
      <c r="I103" s="10"/>
      <c r="J103" s="9"/>
      <c r="K103" s="9"/>
    </row>
    <row r="104" spans="1:11" ht="14.45" customHeight="1">
      <c r="A104" s="9"/>
      <c r="B104" s="14"/>
      <c r="C104" s="9"/>
      <c r="D104" s="9"/>
      <c r="E104" s="9"/>
      <c r="F104" s="10"/>
      <c r="G104" s="9"/>
      <c r="H104" s="9"/>
      <c r="I104" s="10"/>
      <c r="J104" s="9"/>
      <c r="K104" s="9"/>
    </row>
    <row r="105" spans="1:11" ht="14.45" customHeight="1">
      <c r="A105" s="9"/>
      <c r="B105" s="14"/>
      <c r="C105" s="9"/>
      <c r="D105" s="9"/>
      <c r="E105" s="9"/>
      <c r="F105" s="10"/>
      <c r="G105" s="9"/>
      <c r="H105" s="9"/>
      <c r="I105" s="10"/>
      <c r="J105" s="9"/>
      <c r="K105" s="9"/>
    </row>
    <row r="106" spans="1:11" ht="14.45" customHeight="1">
      <c r="A106" s="9"/>
      <c r="B106" s="14"/>
      <c r="C106" s="9"/>
      <c r="D106" s="9"/>
      <c r="E106" s="9"/>
      <c r="F106" s="10"/>
      <c r="G106" s="9"/>
      <c r="H106" s="9"/>
      <c r="I106" s="10"/>
      <c r="J106" s="9"/>
      <c r="K106" s="9"/>
    </row>
    <row r="107" spans="1:11" ht="14.45" customHeight="1">
      <c r="A107" s="9"/>
      <c r="B107" s="14"/>
      <c r="C107" s="9"/>
      <c r="D107" s="9"/>
      <c r="E107" s="9"/>
      <c r="F107" s="10"/>
      <c r="G107" s="9"/>
      <c r="H107" s="9"/>
      <c r="I107" s="10"/>
      <c r="J107" s="9"/>
      <c r="K107" s="9"/>
    </row>
    <row r="108" spans="1:11" ht="14.45" customHeight="1">
      <c r="A108" s="9"/>
      <c r="B108" s="14"/>
      <c r="C108" s="9"/>
      <c r="D108" s="9"/>
      <c r="E108" s="9"/>
      <c r="F108" s="10"/>
      <c r="G108" s="9"/>
      <c r="H108" s="9"/>
      <c r="I108" s="10"/>
      <c r="J108" s="9"/>
      <c r="K108" s="9"/>
    </row>
    <row r="109" spans="1:11" ht="14.45" customHeight="1">
      <c r="A109" s="9"/>
      <c r="B109" s="14"/>
      <c r="C109" s="9"/>
      <c r="D109" s="9"/>
      <c r="E109" s="9"/>
      <c r="F109" s="10"/>
      <c r="G109" s="9"/>
      <c r="H109" s="9"/>
      <c r="I109" s="10"/>
      <c r="J109" s="9"/>
      <c r="K109" s="9"/>
    </row>
    <row r="110" spans="1:11" ht="14.45" customHeight="1">
      <c r="A110" s="9"/>
      <c r="B110" s="14"/>
      <c r="C110" s="9"/>
      <c r="D110" s="9"/>
      <c r="E110" s="9"/>
      <c r="F110" s="10"/>
      <c r="G110" s="9"/>
      <c r="H110" s="9"/>
      <c r="I110" s="10"/>
      <c r="J110" s="9"/>
      <c r="K110" s="9"/>
    </row>
    <row r="111" spans="1:11" ht="14.45" customHeight="1">
      <c r="A111" s="9"/>
      <c r="B111" s="14"/>
      <c r="C111" s="9"/>
      <c r="D111" s="9"/>
      <c r="E111" s="9"/>
      <c r="F111" s="10"/>
      <c r="G111" s="9"/>
      <c r="H111" s="9"/>
      <c r="I111" s="10"/>
      <c r="J111" s="9"/>
      <c r="K111" s="9"/>
    </row>
    <row r="112" spans="1:11" ht="14.45" customHeight="1">
      <c r="A112" s="9"/>
      <c r="B112" s="14"/>
      <c r="C112" s="9"/>
      <c r="D112" s="9"/>
      <c r="E112" s="9"/>
      <c r="F112" s="10"/>
      <c r="G112" s="9"/>
      <c r="H112" s="9"/>
      <c r="I112" s="10"/>
      <c r="J112" s="9"/>
      <c r="K112" s="9"/>
    </row>
    <row r="113" spans="1:11" ht="14.45" customHeight="1">
      <c r="A113" s="9"/>
      <c r="B113" s="14"/>
      <c r="C113" s="9"/>
      <c r="D113" s="9"/>
      <c r="E113" s="9"/>
      <c r="F113" s="10"/>
      <c r="G113" s="9"/>
      <c r="H113" s="9"/>
      <c r="I113" s="10"/>
      <c r="J113" s="9"/>
      <c r="K113" s="9"/>
    </row>
    <row r="114" spans="1:11" ht="14.45" customHeight="1">
      <c r="A114" s="9"/>
      <c r="B114" s="14"/>
      <c r="C114" s="9"/>
      <c r="D114" s="9"/>
      <c r="E114" s="9"/>
      <c r="F114" s="10"/>
      <c r="G114" s="9"/>
      <c r="H114" s="9"/>
      <c r="I114" s="10"/>
      <c r="J114" s="9"/>
      <c r="K114" s="9"/>
    </row>
    <row r="115" spans="1:11" ht="14.45" customHeight="1">
      <c r="A115" s="9"/>
      <c r="B115" s="14"/>
      <c r="C115" s="9"/>
      <c r="D115" s="9"/>
      <c r="E115" s="9"/>
      <c r="F115" s="10"/>
      <c r="G115" s="9"/>
      <c r="H115" s="9"/>
      <c r="I115" s="10"/>
      <c r="J115" s="9"/>
      <c r="K115" s="9"/>
    </row>
    <row r="116" spans="1:11" ht="14.45" customHeight="1">
      <c r="A116" s="9"/>
      <c r="B116" s="14"/>
      <c r="C116" s="9"/>
      <c r="D116" s="9"/>
      <c r="E116" s="9"/>
      <c r="F116" s="10"/>
      <c r="G116" s="9"/>
      <c r="H116" s="9"/>
      <c r="I116" s="10"/>
      <c r="J116" s="9"/>
      <c r="K116" s="9"/>
    </row>
    <row r="117" spans="1:11" ht="14.45" customHeight="1">
      <c r="A117" s="9"/>
      <c r="B117" s="14"/>
      <c r="C117" s="9"/>
      <c r="D117" s="9"/>
      <c r="E117" s="9"/>
      <c r="F117" s="10"/>
      <c r="G117" s="9"/>
      <c r="H117" s="9"/>
      <c r="I117" s="10"/>
      <c r="J117" s="9"/>
      <c r="K117" s="9"/>
    </row>
    <row r="118" spans="1:11" ht="14.45" customHeight="1">
      <c r="A118" s="9"/>
      <c r="B118" s="14"/>
      <c r="C118" s="9"/>
      <c r="D118" s="9"/>
      <c r="E118" s="9"/>
      <c r="F118" s="10"/>
      <c r="G118" s="9"/>
      <c r="H118" s="9"/>
      <c r="I118" s="10"/>
      <c r="J118" s="9"/>
      <c r="K118" s="9"/>
    </row>
    <row r="119" spans="1:11" ht="14.45" customHeight="1">
      <c r="A119" s="9"/>
      <c r="B119" s="14"/>
      <c r="C119" s="9"/>
      <c r="D119" s="9"/>
      <c r="E119" s="9"/>
      <c r="F119" s="10"/>
      <c r="G119" s="9"/>
      <c r="H119" s="9"/>
      <c r="I119" s="10"/>
      <c r="J119" s="9"/>
      <c r="K119" s="9"/>
    </row>
    <row r="120" spans="1:11" ht="14.45" customHeight="1">
      <c r="A120" s="9"/>
      <c r="B120" s="14"/>
      <c r="C120" s="9"/>
      <c r="D120" s="9"/>
      <c r="E120" s="9"/>
      <c r="F120" s="10"/>
      <c r="G120" s="9"/>
      <c r="H120" s="9"/>
      <c r="I120" s="10"/>
      <c r="J120" s="9"/>
      <c r="K120" s="9"/>
    </row>
    <row r="121" spans="1:11" ht="14.45" customHeight="1">
      <c r="A121" s="9"/>
      <c r="B121" s="14"/>
      <c r="C121" s="9"/>
      <c r="D121" s="9"/>
      <c r="E121" s="9"/>
      <c r="F121" s="10"/>
      <c r="G121" s="9"/>
      <c r="H121" s="9"/>
      <c r="I121" s="10"/>
      <c r="J121" s="9"/>
      <c r="K121" s="9"/>
    </row>
    <row r="122" spans="1:11" ht="14.45" customHeight="1">
      <c r="A122" s="9"/>
      <c r="B122" s="14"/>
      <c r="C122" s="9"/>
      <c r="D122" s="9"/>
      <c r="E122" s="9"/>
      <c r="F122" s="10"/>
      <c r="G122" s="9"/>
      <c r="H122" s="9"/>
      <c r="I122" s="10"/>
      <c r="J122" s="9"/>
      <c r="K122" s="9"/>
    </row>
    <row r="123" spans="1:11" ht="14.45" customHeight="1">
      <c r="A123" s="9"/>
      <c r="B123" s="14"/>
      <c r="C123" s="9"/>
      <c r="D123" s="9"/>
      <c r="E123" s="9"/>
      <c r="F123" s="10"/>
      <c r="G123" s="9"/>
      <c r="H123" s="9"/>
      <c r="I123" s="10"/>
      <c r="J123" s="9"/>
      <c r="K123" s="9"/>
    </row>
    <row r="124" spans="1:11" ht="14.45" customHeight="1">
      <c r="A124" s="9"/>
      <c r="B124" s="14"/>
      <c r="C124" s="9"/>
      <c r="D124" s="9"/>
      <c r="E124" s="9"/>
      <c r="F124" s="10"/>
      <c r="G124" s="9"/>
      <c r="H124" s="9"/>
      <c r="I124" s="10"/>
      <c r="J124" s="9"/>
      <c r="K124" s="9"/>
    </row>
    <row r="125" spans="1:11" ht="14.45" customHeight="1">
      <c r="A125" s="9"/>
      <c r="B125" s="14"/>
      <c r="C125" s="9"/>
      <c r="D125" s="9"/>
      <c r="E125" s="9"/>
      <c r="F125" s="10"/>
      <c r="G125" s="9"/>
      <c r="H125" s="9"/>
      <c r="I125" s="10"/>
      <c r="J125" s="9"/>
      <c r="K125" s="9"/>
    </row>
    <row r="126" spans="1:11" ht="14.45" customHeight="1">
      <c r="A126" s="9"/>
      <c r="B126" s="14"/>
      <c r="C126" s="9"/>
      <c r="D126" s="9"/>
      <c r="E126" s="9"/>
      <c r="F126" s="10"/>
      <c r="G126" s="9"/>
      <c r="H126" s="9"/>
      <c r="I126" s="10"/>
      <c r="J126" s="9"/>
      <c r="K126" s="9"/>
    </row>
    <row r="127" spans="1:11" ht="14.45" customHeight="1">
      <c r="A127" s="9"/>
      <c r="B127" s="14"/>
      <c r="C127" s="9"/>
      <c r="D127" s="9"/>
      <c r="E127" s="9"/>
      <c r="F127" s="10"/>
      <c r="G127" s="9"/>
      <c r="H127" s="9"/>
      <c r="I127" s="10"/>
      <c r="J127" s="9"/>
      <c r="K127" s="9"/>
    </row>
    <row r="128" spans="1:11" ht="14.45" customHeight="1">
      <c r="A128" s="9"/>
      <c r="B128" s="14"/>
      <c r="C128" s="9"/>
      <c r="D128" s="9"/>
      <c r="E128" s="9"/>
      <c r="F128" s="10"/>
      <c r="G128" s="9"/>
      <c r="H128" s="9"/>
      <c r="I128" s="10"/>
      <c r="J128" s="9"/>
      <c r="K128" s="9"/>
    </row>
    <row r="129" spans="1:11" ht="14.45" customHeight="1">
      <c r="A129" s="9"/>
      <c r="B129" s="14"/>
      <c r="C129" s="9"/>
      <c r="D129" s="9"/>
      <c r="E129" s="9"/>
      <c r="F129" s="10"/>
      <c r="G129" s="9"/>
      <c r="H129" s="9"/>
      <c r="I129" s="10"/>
      <c r="J129" s="9"/>
      <c r="K129" s="9"/>
    </row>
    <row r="130" spans="1:11" ht="14.45" customHeight="1">
      <c r="A130" s="9"/>
      <c r="B130" s="14"/>
      <c r="C130" s="9"/>
      <c r="D130" s="9"/>
      <c r="E130" s="9"/>
      <c r="F130" s="10"/>
      <c r="G130" s="9"/>
      <c r="H130" s="9"/>
      <c r="I130" s="10"/>
      <c r="J130" s="9"/>
      <c r="K130" s="9"/>
    </row>
    <row r="131" spans="1:11" ht="14.45" customHeight="1">
      <c r="A131" s="9"/>
      <c r="B131" s="14"/>
      <c r="C131" s="9"/>
      <c r="D131" s="9"/>
      <c r="E131" s="9"/>
      <c r="F131" s="10"/>
      <c r="G131" s="9"/>
      <c r="H131" s="9"/>
      <c r="I131" s="10"/>
      <c r="J131" s="9"/>
      <c r="K131" s="9"/>
    </row>
    <row r="132" spans="1:11" ht="14.45" customHeight="1">
      <c r="A132" s="9"/>
      <c r="B132" s="14"/>
      <c r="C132" s="9"/>
      <c r="D132" s="9"/>
      <c r="E132" s="9"/>
      <c r="F132" s="10"/>
      <c r="G132" s="9"/>
      <c r="H132" s="9"/>
      <c r="I132" s="10"/>
      <c r="J132" s="9"/>
      <c r="K132" s="9"/>
    </row>
    <row r="133" spans="1:11" ht="14.45" customHeight="1">
      <c r="A133" s="9"/>
      <c r="B133" s="14"/>
      <c r="C133" s="9"/>
      <c r="D133" s="9"/>
      <c r="E133" s="9"/>
      <c r="F133" s="10"/>
      <c r="G133" s="9"/>
      <c r="H133" s="9"/>
      <c r="I133" s="10"/>
      <c r="J133" s="9"/>
      <c r="K133" s="9"/>
    </row>
    <row r="134" spans="1:11" ht="14.45" customHeight="1">
      <c r="A134" s="9"/>
      <c r="B134" s="14"/>
      <c r="C134" s="9"/>
      <c r="D134" s="9"/>
      <c r="E134" s="9"/>
      <c r="F134" s="10"/>
      <c r="G134" s="9"/>
      <c r="H134" s="9"/>
      <c r="I134" s="10"/>
      <c r="J134" s="9"/>
      <c r="K134" s="9"/>
    </row>
    <row r="135" spans="1:11" ht="14.45" customHeight="1">
      <c r="A135" s="9"/>
      <c r="B135" s="14"/>
      <c r="C135" s="9"/>
      <c r="D135" s="9"/>
      <c r="E135" s="9"/>
      <c r="F135" s="10"/>
      <c r="G135" s="9"/>
      <c r="H135" s="9"/>
      <c r="I135" s="10"/>
      <c r="J135" s="9"/>
      <c r="K135" s="9"/>
    </row>
    <row r="136" spans="1:11" ht="14.45" customHeight="1">
      <c r="A136" s="9"/>
      <c r="B136" s="14"/>
      <c r="C136" s="9"/>
      <c r="D136" s="9"/>
      <c r="E136" s="9"/>
      <c r="F136" s="10"/>
      <c r="G136" s="9"/>
      <c r="H136" s="9"/>
      <c r="I136" s="10"/>
      <c r="J136" s="9"/>
      <c r="K136" s="9"/>
    </row>
    <row r="137" spans="1:11" ht="14.45" customHeight="1">
      <c r="A137" s="9"/>
      <c r="B137" s="14"/>
      <c r="C137" s="9"/>
      <c r="D137" s="9"/>
      <c r="E137" s="9"/>
      <c r="F137" s="10"/>
      <c r="G137" s="9"/>
      <c r="H137" s="9"/>
      <c r="I137" s="10"/>
      <c r="J137" s="9"/>
      <c r="K137" s="9"/>
    </row>
    <row r="138" spans="1:11" ht="14.45" customHeight="1">
      <c r="A138" s="9"/>
      <c r="B138" s="14"/>
      <c r="C138" s="9"/>
      <c r="D138" s="9"/>
      <c r="E138" s="9"/>
      <c r="F138" s="10"/>
      <c r="G138" s="9"/>
      <c r="H138" s="9"/>
      <c r="I138" s="10"/>
      <c r="J138" s="9"/>
      <c r="K138" s="9"/>
    </row>
    <row r="139" spans="1:11" ht="14.45" customHeight="1">
      <c r="A139" s="9"/>
      <c r="B139" s="14"/>
      <c r="C139" s="9"/>
      <c r="D139" s="9"/>
      <c r="E139" s="9"/>
      <c r="F139" s="10"/>
      <c r="G139" s="9"/>
      <c r="H139" s="9"/>
      <c r="I139" s="10"/>
      <c r="J139" s="9"/>
      <c r="K139" s="9"/>
    </row>
    <row r="140" spans="1:11" ht="14.45" customHeight="1">
      <c r="A140" s="9"/>
      <c r="B140" s="14"/>
      <c r="C140" s="9"/>
      <c r="D140" s="9"/>
      <c r="E140" s="9"/>
      <c r="F140" s="10"/>
      <c r="G140" s="9"/>
      <c r="H140" s="9"/>
      <c r="I140" s="10"/>
      <c r="J140" s="9"/>
      <c r="K140" s="9"/>
    </row>
    <row r="141" spans="1:11" ht="14.45" customHeight="1">
      <c r="A141" s="9"/>
      <c r="B141" s="14"/>
      <c r="C141" s="9"/>
      <c r="D141" s="9"/>
      <c r="E141" s="9"/>
      <c r="F141" s="10"/>
      <c r="G141" s="9"/>
      <c r="H141" s="9"/>
      <c r="I141" s="10"/>
      <c r="J141" s="9"/>
      <c r="K141" s="9"/>
    </row>
    <row r="142" spans="1:11" ht="14.45" customHeight="1">
      <c r="A142" s="9"/>
      <c r="B142" s="14"/>
      <c r="C142" s="9"/>
      <c r="D142" s="9"/>
      <c r="E142" s="9"/>
      <c r="F142" s="10"/>
      <c r="G142" s="9"/>
      <c r="H142" s="9"/>
      <c r="I142" s="10"/>
      <c r="J142" s="9"/>
      <c r="K142" s="9"/>
    </row>
    <row r="143" spans="1:11" ht="14.45" customHeight="1">
      <c r="A143" s="9"/>
      <c r="B143" s="14"/>
      <c r="C143" s="9"/>
      <c r="D143" s="9"/>
      <c r="E143" s="9"/>
      <c r="F143" s="10"/>
      <c r="G143" s="9"/>
      <c r="H143" s="9"/>
      <c r="I143" s="10"/>
      <c r="J143" s="9"/>
      <c r="K143" s="9"/>
    </row>
    <row r="144" spans="1:11" ht="14.45" customHeight="1">
      <c r="A144" s="9"/>
      <c r="B144" s="14"/>
      <c r="C144" s="9"/>
      <c r="D144" s="9"/>
      <c r="E144" s="9"/>
      <c r="F144" s="10"/>
      <c r="G144" s="9"/>
      <c r="H144" s="9"/>
      <c r="I144" s="10"/>
      <c r="J144" s="9"/>
      <c r="K144" s="9"/>
    </row>
    <row r="145" spans="1:11" ht="14.45" customHeight="1">
      <c r="A145" s="9"/>
      <c r="B145" s="14"/>
      <c r="C145" s="9"/>
      <c r="D145" s="9"/>
      <c r="E145" s="9"/>
      <c r="F145" s="10"/>
      <c r="G145" s="9"/>
      <c r="H145" s="9"/>
      <c r="I145" s="10"/>
      <c r="J145" s="9"/>
      <c r="K145" s="9"/>
    </row>
    <row r="146" spans="1:11" ht="14.45" customHeight="1">
      <c r="A146" s="9"/>
      <c r="B146" s="14"/>
      <c r="C146" s="9"/>
      <c r="D146" s="9"/>
      <c r="E146" s="9"/>
      <c r="F146" s="10"/>
      <c r="G146" s="9"/>
      <c r="H146" s="9"/>
      <c r="I146" s="10"/>
      <c r="J146" s="9"/>
      <c r="K146" s="9"/>
    </row>
    <row r="147" spans="1:11" ht="14.45" customHeight="1">
      <c r="A147" s="9"/>
      <c r="B147" s="14"/>
      <c r="C147" s="9"/>
      <c r="D147" s="9"/>
      <c r="E147" s="9"/>
      <c r="F147" s="10"/>
      <c r="G147" s="9"/>
      <c r="H147" s="9"/>
      <c r="I147" s="10"/>
      <c r="J147" s="9"/>
      <c r="K147" s="9"/>
    </row>
    <row r="148" spans="1:11" ht="14.45" customHeight="1">
      <c r="A148" s="9"/>
      <c r="B148" s="14"/>
      <c r="C148" s="9"/>
      <c r="D148" s="9"/>
      <c r="E148" s="9"/>
      <c r="F148" s="10"/>
      <c r="G148" s="9"/>
      <c r="H148" s="9"/>
      <c r="I148" s="10"/>
      <c r="J148" s="9"/>
      <c r="K148" s="9"/>
    </row>
    <row r="149" spans="1:11" ht="14.45" customHeight="1">
      <c r="A149" s="9"/>
      <c r="B149" s="14"/>
      <c r="C149" s="9"/>
      <c r="D149" s="9"/>
      <c r="E149" s="9"/>
      <c r="F149" s="10"/>
      <c r="G149" s="9"/>
      <c r="H149" s="9"/>
      <c r="I149" s="10"/>
      <c r="J149" s="9"/>
      <c r="K149" s="9"/>
    </row>
    <row r="150" spans="1:11" ht="14.45" customHeight="1">
      <c r="A150" s="9"/>
      <c r="B150" s="14"/>
      <c r="C150" s="9"/>
      <c r="D150" s="9"/>
      <c r="E150" s="9"/>
      <c r="F150" s="10"/>
      <c r="G150" s="9"/>
      <c r="H150" s="9"/>
      <c r="I150" s="10"/>
      <c r="J150" s="9"/>
      <c r="K150" s="9"/>
    </row>
    <row r="151" spans="1:11" ht="14.45" customHeight="1">
      <c r="A151" s="9"/>
      <c r="B151" s="14"/>
      <c r="C151" s="9"/>
      <c r="D151" s="9"/>
      <c r="E151" s="9"/>
      <c r="F151" s="10"/>
      <c r="G151" s="9"/>
      <c r="H151" s="9"/>
      <c r="I151" s="10"/>
      <c r="J151" s="9"/>
      <c r="K151" s="9"/>
    </row>
    <row r="152" spans="1:11" ht="14.45" customHeight="1">
      <c r="A152" s="9"/>
      <c r="B152" s="14"/>
      <c r="C152" s="9"/>
      <c r="D152" s="9"/>
      <c r="E152" s="9"/>
      <c r="F152" s="10"/>
      <c r="G152" s="9"/>
      <c r="H152" s="9"/>
      <c r="I152" s="10"/>
      <c r="J152" s="9"/>
      <c r="K152" s="9"/>
    </row>
    <row r="153" spans="1:11" ht="14.45" customHeight="1">
      <c r="A153" s="9"/>
      <c r="B153" s="14"/>
      <c r="C153" s="9"/>
      <c r="D153" s="9"/>
      <c r="E153" s="9"/>
      <c r="F153" s="10"/>
      <c r="G153" s="9"/>
      <c r="H153" s="9"/>
      <c r="I153" s="10"/>
      <c r="J153" s="9"/>
      <c r="K153" s="9"/>
    </row>
    <row r="154" spans="1:11" ht="14.45" customHeight="1">
      <c r="A154" s="9"/>
      <c r="B154" s="14"/>
      <c r="C154" s="9"/>
      <c r="D154" s="9"/>
      <c r="E154" s="9"/>
      <c r="F154" s="10"/>
      <c r="G154" s="9"/>
      <c r="H154" s="9"/>
      <c r="I154" s="10"/>
      <c r="J154" s="9"/>
      <c r="K154" s="9"/>
    </row>
    <row r="155" spans="1:11" ht="14.45" customHeight="1">
      <c r="A155" s="9"/>
      <c r="B155" s="14"/>
      <c r="C155" s="9"/>
      <c r="D155" s="9"/>
      <c r="E155" s="9"/>
      <c r="F155" s="10"/>
      <c r="G155" s="9"/>
      <c r="H155" s="9"/>
      <c r="I155" s="10"/>
      <c r="J155" s="9"/>
      <c r="K155" s="9"/>
    </row>
    <row r="156" spans="1:11" ht="14.45" customHeight="1">
      <c r="A156" s="9"/>
      <c r="B156" s="14"/>
      <c r="C156" s="9"/>
      <c r="D156" s="9"/>
      <c r="E156" s="9"/>
      <c r="F156" s="10"/>
      <c r="G156" s="9"/>
      <c r="H156" s="9"/>
      <c r="I156" s="10"/>
      <c r="J156" s="9"/>
      <c r="K156" s="9"/>
    </row>
    <row r="157" spans="1:11" ht="14.45" customHeight="1">
      <c r="A157" s="9"/>
      <c r="B157" s="14"/>
      <c r="C157" s="9"/>
      <c r="D157" s="9"/>
      <c r="E157" s="9"/>
      <c r="F157" s="10"/>
      <c r="G157" s="9"/>
      <c r="H157" s="9"/>
      <c r="I157" s="10"/>
      <c r="J157" s="9"/>
      <c r="K157" s="9"/>
    </row>
    <row r="158" spans="1:11" ht="14.45" customHeight="1">
      <c r="A158" s="9"/>
      <c r="B158" s="14"/>
      <c r="C158" s="9"/>
      <c r="D158" s="9"/>
      <c r="E158" s="9"/>
      <c r="F158" s="10"/>
      <c r="G158" s="9"/>
      <c r="H158" s="9"/>
      <c r="I158" s="10"/>
      <c r="J158" s="9"/>
      <c r="K158" s="9"/>
    </row>
    <row r="159" spans="1:11" ht="14.45" customHeight="1">
      <c r="A159" s="9"/>
      <c r="B159" s="14"/>
      <c r="C159" s="9"/>
      <c r="D159" s="9"/>
      <c r="E159" s="9"/>
      <c r="F159" s="10"/>
      <c r="G159" s="9"/>
      <c r="H159" s="9"/>
      <c r="I159" s="10"/>
      <c r="J159" s="9"/>
      <c r="K159" s="9"/>
    </row>
    <row r="160" spans="1:11" ht="14.45" customHeight="1">
      <c r="A160" s="9"/>
      <c r="B160" s="14"/>
      <c r="C160" s="9"/>
      <c r="D160" s="9"/>
      <c r="E160" s="9"/>
      <c r="F160" s="10"/>
      <c r="G160" s="9"/>
      <c r="H160" s="9"/>
      <c r="I160" s="10"/>
      <c r="J160" s="9"/>
      <c r="K160" s="9"/>
    </row>
    <row r="161" spans="1:11" ht="14.45" customHeight="1">
      <c r="A161" s="9"/>
      <c r="B161" s="14"/>
      <c r="C161" s="9"/>
      <c r="D161" s="9"/>
      <c r="E161" s="9"/>
      <c r="F161" s="10"/>
      <c r="G161" s="9"/>
      <c r="H161" s="9"/>
      <c r="I161" s="10"/>
      <c r="J161" s="9"/>
      <c r="K161" s="9"/>
    </row>
    <row r="162" spans="1:11" ht="14.45" customHeight="1">
      <c r="A162" s="9"/>
      <c r="B162" s="14"/>
      <c r="C162" s="9"/>
      <c r="D162" s="9"/>
      <c r="E162" s="9"/>
      <c r="F162" s="10"/>
      <c r="G162" s="9"/>
      <c r="H162" s="9"/>
      <c r="I162" s="10"/>
      <c r="J162" s="9"/>
      <c r="K162" s="9"/>
    </row>
    <row r="163" spans="1:11" ht="14.45" customHeight="1">
      <c r="A163" s="9"/>
      <c r="B163" s="14"/>
      <c r="C163" s="9"/>
      <c r="D163" s="9"/>
      <c r="E163" s="9"/>
      <c r="F163" s="10"/>
      <c r="G163" s="9"/>
      <c r="H163" s="9"/>
      <c r="I163" s="10"/>
      <c r="J163" s="9"/>
      <c r="K163" s="9"/>
    </row>
    <row r="164" spans="1:11" ht="14.45" customHeight="1">
      <c r="A164" s="9"/>
      <c r="B164" s="14"/>
      <c r="C164" s="9"/>
      <c r="D164" s="9"/>
      <c r="E164" s="9"/>
      <c r="F164" s="10"/>
      <c r="G164" s="9"/>
      <c r="H164" s="9"/>
      <c r="I164" s="10"/>
      <c r="J164" s="9"/>
      <c r="K164" s="9"/>
    </row>
    <row r="165" spans="1:11" ht="14.45" customHeight="1">
      <c r="A165" s="9"/>
      <c r="B165" s="14"/>
      <c r="C165" s="9"/>
      <c r="D165" s="9"/>
      <c r="E165" s="9"/>
      <c r="F165" s="10"/>
      <c r="G165" s="9"/>
      <c r="H165" s="9"/>
      <c r="I165" s="10"/>
      <c r="J165" s="9"/>
      <c r="K165" s="9"/>
    </row>
    <row r="166" spans="1:11" ht="14.45" customHeight="1">
      <c r="A166" s="9"/>
      <c r="B166" s="14"/>
      <c r="C166" s="9"/>
      <c r="D166" s="9"/>
      <c r="E166" s="9"/>
      <c r="F166" s="10"/>
      <c r="G166" s="9"/>
      <c r="H166" s="9"/>
      <c r="I166" s="10"/>
      <c r="J166" s="9"/>
      <c r="K166" s="9"/>
    </row>
    <row r="167" spans="1:11" ht="14.45" customHeight="1">
      <c r="A167" s="9"/>
      <c r="B167" s="14"/>
      <c r="C167" s="9"/>
      <c r="D167" s="9"/>
      <c r="E167" s="9"/>
      <c r="F167" s="10"/>
      <c r="G167" s="9"/>
      <c r="H167" s="9"/>
      <c r="I167" s="10"/>
      <c r="J167" s="9"/>
      <c r="K167" s="9"/>
    </row>
    <row r="168" spans="1:11" ht="14.45" customHeight="1">
      <c r="A168" s="9"/>
      <c r="B168" s="14"/>
      <c r="C168" s="9"/>
      <c r="D168" s="9"/>
      <c r="E168" s="9"/>
      <c r="F168" s="10"/>
      <c r="G168" s="9"/>
      <c r="H168" s="9"/>
      <c r="I168" s="10"/>
      <c r="J168" s="9"/>
      <c r="K168" s="9"/>
    </row>
    <row r="169" spans="1:11" ht="14.45" customHeight="1">
      <c r="A169" s="9"/>
      <c r="B169" s="14"/>
      <c r="C169" s="9"/>
      <c r="D169" s="9"/>
      <c r="E169" s="9"/>
      <c r="F169" s="10"/>
      <c r="G169" s="9"/>
      <c r="H169" s="9"/>
      <c r="I169" s="10"/>
      <c r="J169" s="9"/>
      <c r="K169" s="9"/>
    </row>
    <row r="170" spans="1:11" ht="14.45" customHeight="1">
      <c r="A170" s="9"/>
      <c r="B170" s="14"/>
      <c r="C170" s="9"/>
      <c r="D170" s="9"/>
      <c r="E170" s="9"/>
      <c r="F170" s="10"/>
      <c r="G170" s="9"/>
      <c r="H170" s="9"/>
      <c r="I170" s="10"/>
      <c r="J170" s="9"/>
      <c r="K170" s="9"/>
    </row>
    <row r="171" spans="1:11" ht="14.45" customHeight="1">
      <c r="A171" s="9"/>
      <c r="B171" s="14"/>
      <c r="C171" s="9"/>
      <c r="D171" s="9"/>
      <c r="E171" s="9"/>
      <c r="F171" s="10"/>
      <c r="G171" s="9"/>
      <c r="H171" s="9"/>
      <c r="I171" s="10"/>
      <c r="J171" s="9"/>
      <c r="K171" s="9"/>
    </row>
    <row r="172" spans="1:11" ht="14.45" customHeight="1">
      <c r="A172" s="9"/>
      <c r="B172" s="14"/>
      <c r="C172" s="9"/>
      <c r="D172" s="9"/>
      <c r="E172" s="9"/>
      <c r="F172" s="10"/>
      <c r="G172" s="9"/>
      <c r="H172" s="9"/>
      <c r="I172" s="10"/>
      <c r="J172" s="9"/>
      <c r="K172" s="9"/>
    </row>
    <row r="173" spans="1:11" ht="14.45" customHeight="1">
      <c r="A173" s="9"/>
      <c r="B173" s="14"/>
      <c r="C173" s="9"/>
      <c r="D173" s="9"/>
      <c r="E173" s="9"/>
      <c r="F173" s="10"/>
      <c r="G173" s="9"/>
      <c r="H173" s="9"/>
      <c r="I173" s="10"/>
      <c r="J173" s="9"/>
      <c r="K173" s="9"/>
    </row>
    <row r="174" spans="1:11" ht="14.45" customHeight="1">
      <c r="A174" s="9"/>
      <c r="B174" s="14"/>
      <c r="C174" s="9"/>
      <c r="D174" s="9"/>
      <c r="E174" s="9"/>
      <c r="F174" s="10"/>
      <c r="G174" s="9"/>
      <c r="H174" s="9"/>
      <c r="I174" s="10"/>
      <c r="J174" s="9"/>
      <c r="K174" s="9"/>
    </row>
    <row r="175" spans="1:11" ht="14.45" customHeight="1">
      <c r="A175" s="9"/>
      <c r="B175" s="14"/>
      <c r="C175" s="9"/>
      <c r="D175" s="9"/>
      <c r="E175" s="9"/>
      <c r="F175" s="10"/>
      <c r="G175" s="9"/>
      <c r="H175" s="9"/>
      <c r="I175" s="10"/>
      <c r="J175" s="9"/>
      <c r="K175" s="9"/>
    </row>
    <row r="176" spans="1:11" ht="14.45" customHeight="1">
      <c r="A176" s="9"/>
      <c r="B176" s="14"/>
      <c r="C176" s="9"/>
      <c r="D176" s="9"/>
      <c r="E176" s="9"/>
      <c r="F176" s="10"/>
      <c r="G176" s="9"/>
      <c r="H176" s="9"/>
      <c r="I176" s="10"/>
      <c r="J176" s="9"/>
      <c r="K176" s="9"/>
    </row>
    <row r="177" spans="1:11" ht="14.45" customHeight="1">
      <c r="A177" s="9"/>
      <c r="B177" s="14"/>
      <c r="C177" s="9"/>
      <c r="D177" s="9"/>
      <c r="E177" s="9"/>
      <c r="F177" s="10"/>
      <c r="G177" s="9"/>
      <c r="H177" s="9"/>
      <c r="I177" s="10"/>
      <c r="J177" s="9"/>
      <c r="K177" s="9"/>
    </row>
    <row r="178" spans="1:11" ht="14.45" customHeight="1">
      <c r="A178" s="9"/>
      <c r="B178" s="14"/>
      <c r="C178" s="9"/>
      <c r="D178" s="9"/>
      <c r="E178" s="9"/>
      <c r="F178" s="10"/>
      <c r="G178" s="9"/>
      <c r="H178" s="9"/>
      <c r="I178" s="10"/>
      <c r="J178" s="9"/>
      <c r="K178" s="9"/>
    </row>
    <row r="179" spans="1:11" ht="14.45" customHeight="1">
      <c r="A179" s="9"/>
      <c r="B179" s="14"/>
      <c r="C179" s="9"/>
      <c r="D179" s="9"/>
      <c r="E179" s="9"/>
      <c r="F179" s="10"/>
      <c r="G179" s="9"/>
      <c r="H179" s="9"/>
      <c r="I179" s="10"/>
      <c r="J179" s="9"/>
      <c r="K179" s="9"/>
    </row>
    <row r="180" spans="1:11" ht="14.45" customHeight="1">
      <c r="A180" s="9"/>
      <c r="B180" s="14"/>
      <c r="C180" s="9"/>
      <c r="D180" s="9"/>
      <c r="E180" s="9"/>
      <c r="F180" s="10"/>
      <c r="G180" s="9"/>
      <c r="H180" s="9"/>
      <c r="I180" s="10"/>
      <c r="J180" s="9"/>
      <c r="K180" s="9"/>
    </row>
    <row r="181" spans="1:11" ht="14.45" customHeight="1">
      <c r="A181" s="9"/>
      <c r="B181" s="14"/>
      <c r="C181" s="9"/>
      <c r="D181" s="9"/>
      <c r="E181" s="9"/>
      <c r="F181" s="10"/>
      <c r="G181" s="9"/>
      <c r="H181" s="9"/>
      <c r="I181" s="10"/>
      <c r="J181" s="9"/>
      <c r="K181" s="9"/>
    </row>
    <row r="182" spans="1:11" ht="14.45" customHeight="1">
      <c r="A182" s="9"/>
      <c r="B182" s="14"/>
      <c r="C182" s="9"/>
      <c r="D182" s="9"/>
      <c r="E182" s="9"/>
      <c r="F182" s="10"/>
      <c r="G182" s="9"/>
      <c r="H182" s="9"/>
      <c r="I182" s="10"/>
      <c r="J182" s="9"/>
      <c r="K182" s="9"/>
    </row>
    <row r="183" spans="1:11" ht="14.45" customHeight="1">
      <c r="A183" s="9"/>
      <c r="B183" s="14"/>
      <c r="C183" s="9"/>
      <c r="D183" s="9"/>
      <c r="E183" s="9"/>
      <c r="F183" s="10"/>
      <c r="G183" s="9"/>
      <c r="H183" s="9"/>
      <c r="I183" s="10"/>
      <c r="J183" s="9"/>
      <c r="K183" s="9"/>
    </row>
    <row r="184" spans="1:11" ht="14.45" customHeight="1">
      <c r="A184" s="9"/>
      <c r="B184" s="14"/>
      <c r="C184" s="9"/>
      <c r="D184" s="9"/>
      <c r="E184" s="9"/>
      <c r="F184" s="10"/>
      <c r="G184" s="9"/>
      <c r="H184" s="9"/>
      <c r="I184" s="10"/>
      <c r="J184" s="9"/>
      <c r="K184" s="9"/>
    </row>
    <row r="185" spans="1:11" ht="14.45" customHeight="1">
      <c r="A185" s="9"/>
      <c r="B185" s="14"/>
      <c r="C185" s="9"/>
      <c r="D185" s="9"/>
      <c r="E185" s="9"/>
      <c r="F185" s="10"/>
      <c r="G185" s="9"/>
      <c r="H185" s="9"/>
      <c r="I185" s="10"/>
      <c r="J185" s="9"/>
      <c r="K185" s="9"/>
    </row>
    <row r="186" spans="1:11" ht="14.45" customHeight="1">
      <c r="A186" s="9"/>
      <c r="B186" s="14"/>
      <c r="C186" s="9"/>
      <c r="D186" s="9"/>
      <c r="E186" s="9"/>
      <c r="F186" s="10"/>
      <c r="G186" s="9"/>
      <c r="H186" s="9"/>
      <c r="I186" s="10"/>
      <c r="J186" s="9"/>
      <c r="K186" s="9"/>
    </row>
    <row r="187" spans="1:11" ht="14.45" customHeight="1">
      <c r="A187" s="9"/>
      <c r="B187" s="14"/>
      <c r="C187" s="9"/>
      <c r="D187" s="9"/>
      <c r="E187" s="9"/>
      <c r="F187" s="10"/>
      <c r="G187" s="9"/>
      <c r="H187" s="9"/>
      <c r="I187" s="10"/>
      <c r="J187" s="9"/>
      <c r="K187" s="9"/>
    </row>
    <row r="188" spans="1:11" ht="14.45" customHeight="1">
      <c r="A188" s="9"/>
      <c r="B188" s="14"/>
      <c r="C188" s="9"/>
      <c r="D188" s="9"/>
      <c r="E188" s="9"/>
      <c r="F188" s="10"/>
      <c r="G188" s="9"/>
      <c r="H188" s="9"/>
      <c r="I188" s="10"/>
      <c r="J188" s="9"/>
      <c r="K188" s="9"/>
    </row>
    <row r="189" spans="1:11" ht="14.45" customHeight="1">
      <c r="A189" s="9"/>
      <c r="B189" s="14"/>
      <c r="C189" s="9"/>
      <c r="D189" s="9"/>
      <c r="E189" s="9"/>
      <c r="F189" s="10"/>
      <c r="G189" s="9"/>
      <c r="H189" s="9"/>
      <c r="I189" s="10"/>
      <c r="J189" s="9"/>
      <c r="K189" s="9"/>
    </row>
    <row r="190" spans="1:11" ht="14.45" customHeight="1">
      <c r="A190" s="9"/>
      <c r="B190" s="14"/>
      <c r="C190" s="9"/>
      <c r="D190" s="9"/>
      <c r="E190" s="9"/>
      <c r="F190" s="10"/>
      <c r="G190" s="9"/>
      <c r="H190" s="9"/>
      <c r="I190" s="10"/>
      <c r="J190" s="9"/>
      <c r="K190" s="9"/>
    </row>
    <row r="191" spans="1:11" ht="14.45" customHeight="1">
      <c r="A191" s="9"/>
      <c r="B191" s="14"/>
      <c r="C191" s="9"/>
      <c r="D191" s="9"/>
      <c r="E191" s="9"/>
      <c r="F191" s="10"/>
      <c r="G191" s="9"/>
      <c r="H191" s="9"/>
      <c r="I191" s="10"/>
      <c r="J191" s="9"/>
      <c r="K191" s="9"/>
    </row>
    <row r="192" spans="1:11" ht="14.45" customHeight="1">
      <c r="A192" s="9"/>
      <c r="B192" s="14"/>
      <c r="C192" s="9"/>
      <c r="D192" s="9"/>
      <c r="E192" s="9"/>
      <c r="F192" s="10"/>
      <c r="G192" s="9"/>
      <c r="H192" s="9"/>
      <c r="I192" s="10"/>
      <c r="J192" s="9"/>
      <c r="K192" s="9"/>
    </row>
    <row r="193" spans="1:11" ht="14.45" customHeight="1">
      <c r="A193" s="9"/>
      <c r="B193" s="14"/>
      <c r="C193" s="9"/>
      <c r="D193" s="9"/>
      <c r="E193" s="9"/>
      <c r="F193" s="10"/>
      <c r="G193" s="9"/>
      <c r="H193" s="9"/>
      <c r="I193" s="10"/>
      <c r="J193" s="9"/>
      <c r="K193" s="9"/>
    </row>
    <row r="194" spans="1:11" ht="14.45" customHeight="1">
      <c r="A194" s="9"/>
      <c r="B194" s="14"/>
      <c r="C194" s="9"/>
      <c r="D194" s="9"/>
      <c r="E194" s="9"/>
      <c r="F194" s="10"/>
      <c r="G194" s="9"/>
      <c r="H194" s="9"/>
      <c r="I194" s="10"/>
      <c r="J194" s="9"/>
      <c r="K194" s="9"/>
    </row>
    <row r="195" spans="1:11" ht="14.45" customHeight="1">
      <c r="A195" s="9"/>
      <c r="B195" s="14"/>
      <c r="C195" s="9"/>
      <c r="D195" s="9"/>
      <c r="E195" s="9"/>
      <c r="F195" s="10"/>
      <c r="G195" s="9"/>
      <c r="H195" s="9"/>
      <c r="I195" s="10"/>
      <c r="J195" s="9"/>
      <c r="K195" s="9"/>
    </row>
    <row r="196" spans="1:11" ht="14.45" customHeight="1">
      <c r="A196" s="9"/>
      <c r="B196" s="14"/>
      <c r="C196" s="9"/>
      <c r="D196" s="9"/>
      <c r="E196" s="9"/>
      <c r="F196" s="10"/>
      <c r="G196" s="9"/>
      <c r="H196" s="9"/>
      <c r="I196" s="10"/>
      <c r="J196" s="9"/>
      <c r="K196" s="9"/>
    </row>
    <row r="197" spans="1:11" ht="14.45" customHeight="1">
      <c r="A197" s="9"/>
      <c r="B197" s="14"/>
      <c r="C197" s="9"/>
      <c r="D197" s="9"/>
      <c r="E197" s="9"/>
      <c r="F197" s="10"/>
      <c r="G197" s="9"/>
      <c r="H197" s="9"/>
      <c r="I197" s="10"/>
      <c r="J197" s="9"/>
      <c r="K197" s="9"/>
    </row>
    <row r="198" spans="1:11" ht="14.45" customHeight="1">
      <c r="A198" s="9"/>
      <c r="B198" s="14"/>
      <c r="C198" s="9"/>
      <c r="D198" s="9"/>
      <c r="E198" s="9"/>
      <c r="F198" s="10"/>
      <c r="G198" s="9"/>
      <c r="H198" s="9"/>
      <c r="I198" s="10"/>
      <c r="J198" s="9"/>
      <c r="K198" s="9"/>
    </row>
    <row r="199" spans="1:11" ht="14.45" customHeight="1">
      <c r="A199" s="9"/>
      <c r="B199" s="14"/>
      <c r="C199" s="9"/>
      <c r="D199" s="9"/>
      <c r="E199" s="9"/>
      <c r="F199" s="10"/>
      <c r="G199" s="9"/>
      <c r="H199" s="9"/>
      <c r="I199" s="10"/>
      <c r="J199" s="9"/>
      <c r="K199" s="9"/>
    </row>
    <row r="200" spans="1:11" ht="14.45" customHeight="1">
      <c r="A200" s="9"/>
      <c r="B200" s="14"/>
      <c r="C200" s="9"/>
      <c r="D200" s="9"/>
      <c r="E200" s="9"/>
      <c r="F200" s="10"/>
      <c r="G200" s="9"/>
      <c r="H200" s="9"/>
      <c r="I200" s="10"/>
      <c r="J200" s="9"/>
      <c r="K200" s="9"/>
    </row>
    <row r="201" spans="1:11" ht="14.45" customHeight="1">
      <c r="A201" s="9"/>
      <c r="B201" s="14"/>
      <c r="C201" s="9"/>
      <c r="D201" s="9"/>
      <c r="E201" s="9"/>
      <c r="F201" s="10"/>
      <c r="G201" s="9"/>
      <c r="H201" s="9"/>
      <c r="I201" s="10"/>
      <c r="J201" s="9"/>
      <c r="K201" s="9"/>
    </row>
    <row r="202" spans="1:11" ht="14.45" customHeight="1">
      <c r="A202" s="9"/>
      <c r="B202" s="14"/>
      <c r="C202" s="9"/>
      <c r="D202" s="9"/>
      <c r="E202" s="9"/>
      <c r="F202" s="10"/>
      <c r="G202" s="9"/>
      <c r="H202" s="9"/>
      <c r="I202" s="10"/>
      <c r="J202" s="9"/>
      <c r="K202" s="9"/>
    </row>
    <row r="203" spans="1:11" ht="14.45" customHeight="1">
      <c r="A203" s="9"/>
      <c r="B203" s="14"/>
      <c r="C203" s="9"/>
      <c r="D203" s="9"/>
      <c r="E203" s="9"/>
      <c r="F203" s="10"/>
      <c r="G203" s="9"/>
      <c r="H203" s="9"/>
      <c r="I203" s="10"/>
      <c r="J203" s="9"/>
      <c r="K203" s="9"/>
    </row>
    <row r="204" spans="1:11" ht="14.45" customHeight="1">
      <c r="A204" s="9"/>
      <c r="B204" s="14"/>
      <c r="C204" s="9"/>
      <c r="D204" s="9"/>
      <c r="E204" s="9"/>
      <c r="F204" s="10"/>
      <c r="G204" s="9"/>
      <c r="H204" s="9"/>
      <c r="I204" s="10"/>
      <c r="J204" s="9"/>
      <c r="K204" s="9"/>
    </row>
    <row r="205" spans="1:11" ht="14.45" customHeight="1">
      <c r="A205" s="9"/>
      <c r="B205" s="14"/>
      <c r="C205" s="9"/>
      <c r="D205" s="9"/>
      <c r="E205" s="9"/>
      <c r="F205" s="10"/>
      <c r="G205" s="9"/>
      <c r="H205" s="9"/>
      <c r="I205" s="10"/>
      <c r="J205" s="9"/>
      <c r="K205" s="9"/>
    </row>
    <row r="206" spans="1:11" ht="14.45" customHeight="1">
      <c r="A206" s="9"/>
      <c r="B206" s="14"/>
      <c r="C206" s="9"/>
      <c r="D206" s="9"/>
      <c r="E206" s="9"/>
      <c r="F206" s="10"/>
      <c r="G206" s="9"/>
      <c r="H206" s="9"/>
      <c r="I206" s="10"/>
      <c r="J206" s="9"/>
      <c r="K206" s="9"/>
    </row>
    <row r="207" spans="1:11" ht="14.45" customHeight="1">
      <c r="A207" s="9"/>
      <c r="B207" s="14"/>
      <c r="C207" s="9"/>
      <c r="D207" s="9"/>
      <c r="E207" s="9"/>
      <c r="F207" s="10"/>
      <c r="G207" s="9"/>
      <c r="H207" s="9"/>
      <c r="I207" s="10"/>
      <c r="J207" s="9"/>
      <c r="K207" s="9"/>
    </row>
    <row r="208" spans="1:11" ht="14.45" customHeight="1">
      <c r="A208" s="9"/>
      <c r="B208" s="14"/>
      <c r="C208" s="9"/>
      <c r="D208" s="9"/>
      <c r="E208" s="9"/>
      <c r="F208" s="10"/>
      <c r="G208" s="9"/>
      <c r="H208" s="9"/>
      <c r="I208" s="10"/>
      <c r="J208" s="9"/>
      <c r="K208" s="9"/>
    </row>
    <row r="209" spans="1:11" ht="14.45" customHeight="1">
      <c r="A209" s="9"/>
      <c r="B209" s="14"/>
      <c r="C209" s="9"/>
      <c r="D209" s="9"/>
      <c r="E209" s="9"/>
      <c r="F209" s="10"/>
      <c r="G209" s="9"/>
      <c r="H209" s="9"/>
      <c r="I209" s="10"/>
      <c r="J209" s="9"/>
      <c r="K209" s="9"/>
    </row>
    <row r="210" spans="1:11" ht="14.45" customHeight="1">
      <c r="A210" s="9"/>
      <c r="B210" s="14"/>
      <c r="C210" s="9"/>
      <c r="D210" s="9"/>
      <c r="E210" s="9"/>
      <c r="F210" s="10"/>
      <c r="G210" s="9"/>
      <c r="H210" s="9"/>
      <c r="I210" s="10"/>
      <c r="J210" s="9"/>
      <c r="K210" s="9"/>
    </row>
    <row r="211" spans="1:11" ht="14.45" customHeight="1">
      <c r="A211" s="9"/>
      <c r="B211" s="14"/>
      <c r="C211" s="9"/>
      <c r="D211" s="9"/>
      <c r="E211" s="9"/>
      <c r="F211" s="10"/>
      <c r="G211" s="9"/>
      <c r="H211" s="9"/>
      <c r="I211" s="10"/>
      <c r="J211" s="9"/>
      <c r="K211" s="9"/>
    </row>
    <row r="212" spans="1:11" ht="14.45" customHeight="1">
      <c r="A212" s="9"/>
      <c r="B212" s="14"/>
      <c r="C212" s="9"/>
      <c r="D212" s="9"/>
      <c r="E212" s="9"/>
      <c r="F212" s="10"/>
      <c r="G212" s="9"/>
      <c r="H212" s="9"/>
      <c r="I212" s="10"/>
      <c r="J212" s="9"/>
      <c r="K212" s="9"/>
    </row>
    <row r="213" spans="1:11" ht="14.45" customHeight="1">
      <c r="A213" s="9"/>
      <c r="B213" s="14"/>
      <c r="C213" s="9"/>
      <c r="D213" s="9"/>
      <c r="E213" s="9"/>
      <c r="F213" s="10"/>
      <c r="G213" s="9"/>
      <c r="H213" s="9"/>
      <c r="I213" s="10"/>
      <c r="J213" s="9"/>
      <c r="K213" s="9"/>
    </row>
    <row r="214" spans="1:11" ht="14.45" customHeight="1">
      <c r="A214" s="9"/>
      <c r="B214" s="14"/>
      <c r="C214" s="9"/>
      <c r="D214" s="9"/>
      <c r="E214" s="9"/>
      <c r="F214" s="10"/>
      <c r="G214" s="9"/>
      <c r="H214" s="9"/>
      <c r="I214" s="10"/>
      <c r="J214" s="9"/>
      <c r="K214" s="9"/>
    </row>
    <row r="215" spans="1:11" ht="14.45" customHeight="1">
      <c r="A215" s="9"/>
      <c r="B215" s="14"/>
      <c r="C215" s="9"/>
      <c r="D215" s="9"/>
      <c r="E215" s="9"/>
      <c r="F215" s="10"/>
      <c r="G215" s="9"/>
      <c r="H215" s="9"/>
      <c r="I215" s="10"/>
      <c r="J215" s="9"/>
      <c r="K215" s="9"/>
    </row>
    <row r="216" spans="1:11" ht="14.45" customHeight="1">
      <c r="A216" s="9"/>
      <c r="B216" s="14"/>
      <c r="C216" s="9"/>
      <c r="D216" s="9"/>
      <c r="E216" s="9"/>
      <c r="F216" s="10"/>
      <c r="G216" s="9"/>
      <c r="H216" s="9"/>
      <c r="I216" s="10"/>
      <c r="J216" s="9"/>
      <c r="K216" s="9"/>
    </row>
    <row r="217" spans="1:11" ht="14.45" customHeight="1">
      <c r="A217" s="9"/>
      <c r="B217" s="14"/>
      <c r="C217" s="9"/>
      <c r="D217" s="9"/>
      <c r="E217" s="9"/>
      <c r="F217" s="10"/>
      <c r="G217" s="9"/>
      <c r="H217" s="9"/>
      <c r="I217" s="10"/>
      <c r="J217" s="9"/>
      <c r="K217" s="9"/>
    </row>
    <row r="218" spans="1:11" ht="14.45" customHeight="1">
      <c r="A218" s="9"/>
      <c r="B218" s="14"/>
      <c r="C218" s="9"/>
      <c r="D218" s="9"/>
      <c r="E218" s="9"/>
      <c r="F218" s="10"/>
      <c r="G218" s="9"/>
      <c r="H218" s="9"/>
      <c r="I218" s="10"/>
      <c r="J218" s="9"/>
      <c r="K218" s="9"/>
    </row>
    <row r="219" spans="1:11" ht="14.45" customHeight="1">
      <c r="A219" s="9"/>
      <c r="B219" s="14"/>
      <c r="C219" s="9"/>
      <c r="D219" s="9"/>
      <c r="E219" s="9"/>
      <c r="F219" s="10"/>
      <c r="G219" s="9"/>
      <c r="H219" s="9"/>
      <c r="I219" s="10"/>
      <c r="J219" s="9"/>
      <c r="K219" s="9"/>
    </row>
    <row r="220" spans="1:11" ht="14.45" customHeight="1">
      <c r="A220" s="9"/>
      <c r="B220" s="14"/>
      <c r="C220" s="9"/>
      <c r="D220" s="9"/>
      <c r="E220" s="9"/>
      <c r="F220" s="10"/>
      <c r="G220" s="9"/>
      <c r="H220" s="9"/>
      <c r="I220" s="10"/>
      <c r="J220" s="9"/>
      <c r="K220" s="9"/>
    </row>
    <row r="221" spans="1:11" ht="14.45" customHeight="1">
      <c r="A221" s="9"/>
      <c r="B221" s="14"/>
      <c r="C221" s="9"/>
      <c r="D221" s="9"/>
      <c r="E221" s="9"/>
      <c r="F221" s="10"/>
      <c r="G221" s="9"/>
      <c r="H221" s="9"/>
      <c r="I221" s="10"/>
      <c r="J221" s="9"/>
      <c r="K221" s="9"/>
    </row>
    <row r="222" spans="1:11" ht="14.45" customHeight="1">
      <c r="A222" s="9"/>
      <c r="B222" s="14"/>
      <c r="C222" s="9"/>
      <c r="D222" s="9"/>
      <c r="E222" s="9"/>
      <c r="F222" s="10"/>
      <c r="G222" s="9"/>
      <c r="H222" s="9"/>
      <c r="I222" s="10"/>
      <c r="J222" s="9"/>
      <c r="K222" s="9"/>
    </row>
    <row r="223" spans="1:11" ht="14.45" customHeight="1">
      <c r="A223" s="9"/>
      <c r="B223" s="14"/>
      <c r="C223" s="9"/>
      <c r="D223" s="9"/>
      <c r="E223" s="9"/>
      <c r="F223" s="10"/>
      <c r="G223" s="9"/>
      <c r="H223" s="9"/>
      <c r="I223" s="10"/>
      <c r="J223" s="9"/>
      <c r="K223" s="9"/>
    </row>
    <row r="224" spans="1:11" ht="14.45" customHeight="1">
      <c r="A224" s="9"/>
      <c r="B224" s="14"/>
      <c r="C224" s="9"/>
      <c r="D224" s="9"/>
      <c r="E224" s="9"/>
      <c r="F224" s="10"/>
      <c r="G224" s="9"/>
      <c r="H224" s="9"/>
      <c r="I224" s="10"/>
      <c r="J224" s="9"/>
      <c r="K224" s="9"/>
    </row>
    <row r="225" spans="1:11" ht="14.45" customHeight="1">
      <c r="A225" s="9"/>
      <c r="B225" s="14"/>
      <c r="C225" s="9"/>
      <c r="D225" s="9"/>
      <c r="E225" s="9"/>
      <c r="F225" s="10"/>
      <c r="G225" s="9"/>
      <c r="H225" s="9"/>
      <c r="I225" s="10"/>
      <c r="J225" s="9"/>
      <c r="K225" s="9"/>
    </row>
    <row r="226" spans="1:11" ht="14.45" customHeight="1">
      <c r="A226" s="9"/>
      <c r="B226" s="14"/>
      <c r="C226" s="9"/>
      <c r="D226" s="9"/>
      <c r="E226" s="9"/>
      <c r="F226" s="10"/>
      <c r="G226" s="9"/>
      <c r="H226" s="9"/>
      <c r="I226" s="10"/>
      <c r="J226" s="9"/>
      <c r="K226" s="9"/>
    </row>
    <row r="227" spans="1:11" ht="14.45" customHeight="1">
      <c r="A227" s="9"/>
      <c r="B227" s="14"/>
      <c r="C227" s="9"/>
      <c r="D227" s="9"/>
      <c r="E227" s="9"/>
      <c r="F227" s="10"/>
      <c r="G227" s="9"/>
      <c r="H227" s="9"/>
      <c r="I227" s="10"/>
      <c r="J227" s="9"/>
      <c r="K227" s="9"/>
    </row>
    <row r="228" spans="1:11" ht="14.45" customHeight="1">
      <c r="A228" s="9"/>
      <c r="B228" s="14"/>
      <c r="C228" s="9"/>
      <c r="D228" s="9"/>
      <c r="E228" s="9"/>
      <c r="F228" s="10"/>
      <c r="G228" s="9"/>
      <c r="H228" s="9"/>
      <c r="I228" s="10"/>
      <c r="J228" s="9"/>
      <c r="K228" s="9"/>
    </row>
    <row r="229" spans="1:11" ht="14.45" customHeight="1">
      <c r="A229" s="9"/>
      <c r="B229" s="14"/>
      <c r="C229" s="9"/>
      <c r="D229" s="9"/>
      <c r="E229" s="9"/>
      <c r="F229" s="10"/>
      <c r="G229" s="9"/>
      <c r="H229" s="9"/>
      <c r="I229" s="10"/>
      <c r="J229" s="9"/>
      <c r="K229" s="9"/>
    </row>
    <row r="230" spans="1:11" ht="14.45" customHeight="1">
      <c r="A230" s="9"/>
      <c r="B230" s="14"/>
      <c r="C230" s="9"/>
      <c r="D230" s="9"/>
      <c r="E230" s="9"/>
      <c r="F230" s="10"/>
      <c r="G230" s="9"/>
      <c r="H230" s="9"/>
      <c r="I230" s="10"/>
      <c r="J230" s="9"/>
      <c r="K230" s="9"/>
    </row>
    <row r="231" spans="1:11" ht="14.45" customHeight="1">
      <c r="A231" s="9"/>
      <c r="B231" s="14"/>
      <c r="C231" s="9"/>
      <c r="D231" s="9"/>
      <c r="E231" s="9"/>
      <c r="F231" s="10"/>
      <c r="G231" s="9"/>
      <c r="H231" s="9"/>
      <c r="I231" s="10"/>
      <c r="J231" s="9"/>
      <c r="K231" s="9"/>
    </row>
    <row r="232" spans="1:11" ht="14.45" customHeight="1">
      <c r="A232" s="9"/>
      <c r="B232" s="14"/>
      <c r="C232" s="9"/>
      <c r="D232" s="9"/>
      <c r="E232" s="9"/>
      <c r="F232" s="10"/>
      <c r="G232" s="9"/>
      <c r="H232" s="9"/>
      <c r="I232" s="10"/>
      <c r="J232" s="9"/>
      <c r="K232" s="9"/>
    </row>
    <row r="233" spans="1:11" ht="14.45" customHeight="1">
      <c r="A233" s="9"/>
      <c r="B233" s="14"/>
      <c r="C233" s="9"/>
      <c r="D233" s="9"/>
      <c r="E233" s="9"/>
      <c r="F233" s="10"/>
      <c r="G233" s="9"/>
      <c r="H233" s="9"/>
      <c r="I233" s="10"/>
      <c r="J233" s="9"/>
      <c r="K233" s="9"/>
    </row>
    <row r="234" spans="1:11" ht="14.45" customHeight="1">
      <c r="A234" s="9"/>
      <c r="B234" s="14"/>
      <c r="C234" s="9"/>
      <c r="D234" s="9"/>
      <c r="E234" s="9"/>
      <c r="F234" s="10"/>
      <c r="G234" s="9"/>
      <c r="H234" s="9"/>
      <c r="I234" s="10"/>
      <c r="J234" s="9"/>
      <c r="K234" s="9"/>
    </row>
    <row r="235" spans="1:11" ht="14.45" customHeight="1">
      <c r="A235" s="9"/>
      <c r="B235" s="14"/>
      <c r="C235" s="9"/>
      <c r="D235" s="9"/>
      <c r="E235" s="9"/>
      <c r="F235" s="10"/>
      <c r="G235" s="9"/>
      <c r="H235" s="9"/>
      <c r="I235" s="10"/>
      <c r="J235" s="9"/>
      <c r="K235" s="9"/>
    </row>
    <row r="236" spans="1:11" ht="14.45" customHeight="1">
      <c r="A236" s="9"/>
      <c r="B236" s="14"/>
      <c r="C236" s="9"/>
      <c r="D236" s="9"/>
      <c r="E236" s="9"/>
      <c r="F236" s="10"/>
      <c r="G236" s="9"/>
      <c r="H236" s="9"/>
      <c r="I236" s="10"/>
      <c r="J236" s="9"/>
      <c r="K236" s="9"/>
    </row>
    <row r="237" spans="1:11" ht="14.45" customHeight="1">
      <c r="A237" s="9"/>
      <c r="B237" s="14"/>
      <c r="C237" s="9"/>
      <c r="D237" s="9"/>
      <c r="E237" s="9"/>
      <c r="F237" s="10"/>
      <c r="G237" s="9"/>
      <c r="H237" s="9"/>
      <c r="I237" s="10"/>
      <c r="J237" s="9"/>
      <c r="K237" s="9"/>
    </row>
    <row r="238" spans="1:11" ht="14.45" customHeight="1">
      <c r="A238" s="9"/>
      <c r="B238" s="14"/>
      <c r="C238" s="9"/>
      <c r="D238" s="9"/>
      <c r="E238" s="9"/>
      <c r="F238" s="10"/>
      <c r="G238" s="9"/>
      <c r="H238" s="9"/>
      <c r="I238" s="10"/>
      <c r="J238" s="9"/>
      <c r="K238" s="9"/>
    </row>
    <row r="239" spans="1:11" ht="14.45" customHeight="1">
      <c r="A239" s="9"/>
      <c r="B239" s="14"/>
      <c r="C239" s="9"/>
      <c r="D239" s="9"/>
      <c r="E239" s="9"/>
      <c r="F239" s="10"/>
      <c r="G239" s="9"/>
      <c r="H239" s="9"/>
      <c r="I239" s="10"/>
      <c r="J239" s="9"/>
      <c r="K239" s="9"/>
    </row>
    <row r="240" spans="1:11" ht="14.45" customHeight="1">
      <c r="A240" s="9"/>
      <c r="B240" s="14"/>
      <c r="C240" s="9"/>
      <c r="D240" s="9"/>
      <c r="E240" s="9"/>
      <c r="F240" s="10"/>
      <c r="G240" s="9"/>
      <c r="H240" s="9"/>
      <c r="I240" s="10"/>
      <c r="J240" s="9"/>
      <c r="K240" s="9"/>
    </row>
    <row r="241" spans="1:11" ht="14.45" customHeight="1">
      <c r="A241" s="9"/>
      <c r="B241" s="14"/>
      <c r="C241" s="9"/>
      <c r="D241" s="9"/>
      <c r="E241" s="9"/>
      <c r="F241" s="10"/>
      <c r="G241" s="9"/>
      <c r="H241" s="9"/>
      <c r="I241" s="10"/>
      <c r="J241" s="9"/>
      <c r="K241" s="9"/>
    </row>
    <row r="242" spans="1:11" ht="14.45" customHeight="1">
      <c r="A242" s="9"/>
      <c r="B242" s="14"/>
      <c r="C242" s="9"/>
      <c r="D242" s="9"/>
      <c r="E242" s="9"/>
      <c r="F242" s="10"/>
      <c r="G242" s="9"/>
      <c r="H242" s="9"/>
      <c r="I242" s="10"/>
      <c r="J242" s="9"/>
      <c r="K242" s="9"/>
    </row>
    <row r="243" spans="1:11" ht="14.45" customHeight="1">
      <c r="A243" s="9"/>
      <c r="B243" s="14"/>
      <c r="C243" s="9"/>
      <c r="D243" s="9"/>
      <c r="E243" s="9"/>
      <c r="F243" s="10"/>
      <c r="G243" s="9"/>
      <c r="H243" s="9"/>
      <c r="I243" s="10"/>
      <c r="J243" s="9"/>
      <c r="K243" s="9"/>
    </row>
    <row r="244" spans="1:11" ht="14.45" customHeight="1">
      <c r="A244" s="9"/>
      <c r="B244" s="14"/>
      <c r="C244" s="9"/>
      <c r="D244" s="9"/>
      <c r="E244" s="9"/>
      <c r="F244" s="10"/>
      <c r="G244" s="9"/>
      <c r="H244" s="9"/>
      <c r="I244" s="10"/>
      <c r="J244" s="9"/>
      <c r="K244" s="9"/>
    </row>
    <row r="245" spans="1:11" ht="14.45" customHeight="1">
      <c r="A245" s="9"/>
      <c r="B245" s="14"/>
      <c r="C245" s="9"/>
      <c r="D245" s="9"/>
      <c r="E245" s="9"/>
      <c r="F245" s="10"/>
      <c r="G245" s="9"/>
      <c r="H245" s="9"/>
      <c r="I245" s="10"/>
      <c r="J245" s="9"/>
      <c r="K245" s="9"/>
    </row>
    <row r="246" spans="1:11" ht="14.45" customHeight="1">
      <c r="A246" s="9"/>
      <c r="B246" s="14"/>
      <c r="C246" s="9"/>
      <c r="D246" s="9"/>
      <c r="E246" s="9"/>
      <c r="F246" s="10"/>
      <c r="G246" s="9"/>
      <c r="H246" s="9"/>
      <c r="I246" s="10"/>
      <c r="J246" s="9"/>
      <c r="K246" s="9"/>
    </row>
    <row r="247" spans="1:11" ht="14.45" customHeight="1">
      <c r="A247" s="9"/>
      <c r="B247" s="14"/>
      <c r="C247" s="9"/>
      <c r="D247" s="9"/>
      <c r="E247" s="9"/>
      <c r="F247" s="10"/>
      <c r="G247" s="9"/>
      <c r="H247" s="9"/>
      <c r="I247" s="10"/>
      <c r="J247" s="9"/>
      <c r="K247" s="9"/>
    </row>
    <row r="248" spans="1:11" ht="14.45" customHeight="1">
      <c r="A248" s="9"/>
      <c r="B248" s="14"/>
      <c r="C248" s="9"/>
      <c r="D248" s="9"/>
      <c r="E248" s="9"/>
      <c r="F248" s="10"/>
      <c r="G248" s="9"/>
      <c r="H248" s="9"/>
      <c r="I248" s="10"/>
      <c r="J248" s="9"/>
      <c r="K248" s="9"/>
    </row>
    <row r="249" spans="1:11" ht="14.45" customHeight="1">
      <c r="A249" s="9"/>
      <c r="B249" s="14"/>
      <c r="C249" s="9"/>
      <c r="D249" s="9"/>
      <c r="E249" s="9"/>
      <c r="F249" s="10"/>
      <c r="G249" s="9"/>
      <c r="H249" s="9"/>
      <c r="I249" s="10"/>
      <c r="J249" s="9"/>
      <c r="K249" s="9"/>
    </row>
    <row r="250" spans="1:11" ht="14.45" customHeight="1">
      <c r="A250" s="9"/>
      <c r="B250" s="14"/>
      <c r="C250" s="9"/>
      <c r="D250" s="9"/>
      <c r="E250" s="9"/>
      <c r="F250" s="10"/>
      <c r="G250" s="9"/>
      <c r="H250" s="9"/>
      <c r="I250" s="10"/>
      <c r="J250" s="9"/>
      <c r="K250" s="9"/>
    </row>
    <row r="251" spans="1:11" ht="14.45" customHeight="1">
      <c r="A251" s="9"/>
      <c r="B251" s="14"/>
      <c r="C251" s="9"/>
      <c r="D251" s="9"/>
      <c r="E251" s="9"/>
      <c r="F251" s="10"/>
      <c r="G251" s="9"/>
      <c r="H251" s="9"/>
      <c r="I251" s="10"/>
      <c r="J251" s="9"/>
      <c r="K251" s="9"/>
    </row>
    <row r="252" spans="1:11" ht="14.45" customHeight="1">
      <c r="A252" s="9"/>
      <c r="B252" s="14"/>
      <c r="C252" s="9"/>
      <c r="D252" s="9"/>
      <c r="E252" s="9"/>
      <c r="F252" s="10"/>
      <c r="G252" s="9"/>
      <c r="H252" s="9"/>
      <c r="I252" s="10"/>
      <c r="J252" s="9"/>
      <c r="K252" s="9"/>
    </row>
    <row r="253" spans="1:11" ht="14.45" customHeight="1">
      <c r="A253" s="9"/>
      <c r="B253" s="14"/>
      <c r="C253" s="9"/>
      <c r="D253" s="9"/>
      <c r="E253" s="9"/>
      <c r="F253" s="10"/>
      <c r="G253" s="9"/>
      <c r="H253" s="9"/>
      <c r="I253" s="10"/>
      <c r="J253" s="9"/>
      <c r="K253" s="9"/>
    </row>
    <row r="254" spans="1:11" ht="14.45" customHeight="1">
      <c r="A254" s="9"/>
      <c r="B254" s="14"/>
      <c r="C254" s="9"/>
      <c r="D254" s="9"/>
      <c r="E254" s="9"/>
      <c r="F254" s="10"/>
      <c r="G254" s="9"/>
      <c r="H254" s="9"/>
      <c r="I254" s="10"/>
      <c r="J254" s="9"/>
      <c r="K254" s="9"/>
    </row>
    <row r="255" spans="1:11" ht="14.45" customHeight="1">
      <c r="A255" s="9"/>
      <c r="B255" s="14"/>
      <c r="C255" s="9"/>
      <c r="D255" s="9"/>
      <c r="E255" s="9"/>
      <c r="F255" s="10"/>
      <c r="G255" s="9"/>
      <c r="H255" s="9"/>
      <c r="I255" s="10"/>
      <c r="J255" s="9"/>
      <c r="K255" s="9"/>
    </row>
    <row r="256" spans="1:11" ht="14.45" customHeight="1">
      <c r="A256" s="9"/>
      <c r="B256" s="14"/>
      <c r="C256" s="9"/>
      <c r="D256" s="9"/>
      <c r="E256" s="9"/>
      <c r="F256" s="10"/>
      <c r="G256" s="9"/>
      <c r="H256" s="9"/>
      <c r="I256" s="10"/>
      <c r="J256" s="9"/>
      <c r="K256" s="9"/>
    </row>
    <row r="257" spans="1:11" ht="14.45" customHeight="1">
      <c r="A257" s="9"/>
      <c r="B257" s="14"/>
      <c r="C257" s="9"/>
      <c r="D257" s="9"/>
      <c r="E257" s="9"/>
      <c r="F257" s="10"/>
      <c r="G257" s="9"/>
      <c r="H257" s="9"/>
      <c r="I257" s="10"/>
      <c r="J257" s="9"/>
      <c r="K257" s="9"/>
    </row>
    <row r="258" spans="1:11" ht="14.45" customHeight="1">
      <c r="A258" s="9"/>
      <c r="B258" s="14"/>
      <c r="C258" s="9"/>
      <c r="D258" s="9"/>
      <c r="E258" s="9"/>
      <c r="F258" s="10"/>
      <c r="G258" s="9"/>
      <c r="H258" s="9"/>
      <c r="I258" s="10"/>
      <c r="J258" s="9"/>
      <c r="K258" s="9"/>
    </row>
    <row r="259" spans="1:11" ht="14.45" customHeight="1">
      <c r="A259" s="9"/>
      <c r="B259" s="14"/>
      <c r="C259" s="9"/>
      <c r="D259" s="9"/>
      <c r="E259" s="9"/>
      <c r="F259" s="10"/>
      <c r="G259" s="9"/>
      <c r="H259" s="9"/>
      <c r="I259" s="10"/>
      <c r="J259" s="9"/>
      <c r="K259" s="9"/>
    </row>
    <row r="260" spans="1:11" ht="14.45" customHeight="1">
      <c r="A260" s="9"/>
      <c r="B260" s="14"/>
      <c r="C260" s="9"/>
      <c r="D260" s="9"/>
      <c r="E260" s="9"/>
      <c r="F260" s="10"/>
      <c r="G260" s="9"/>
      <c r="H260" s="9"/>
      <c r="I260" s="10"/>
      <c r="J260" s="9"/>
      <c r="K260" s="9"/>
    </row>
    <row r="261" spans="1:11" ht="14.45" customHeight="1">
      <c r="A261" s="9"/>
      <c r="B261" s="14"/>
      <c r="C261" s="9"/>
      <c r="D261" s="9"/>
      <c r="E261" s="9"/>
      <c r="F261" s="10"/>
      <c r="G261" s="9"/>
      <c r="H261" s="9"/>
      <c r="I261" s="10"/>
      <c r="J261" s="9"/>
      <c r="K261" s="9"/>
    </row>
    <row r="262" spans="1:11" ht="14.45" customHeight="1">
      <c r="A262" s="9"/>
      <c r="B262" s="14"/>
      <c r="C262" s="9"/>
      <c r="D262" s="9"/>
      <c r="E262" s="9"/>
      <c r="F262" s="10"/>
      <c r="G262" s="9"/>
      <c r="H262" s="9"/>
      <c r="I262" s="10"/>
      <c r="J262" s="9"/>
      <c r="K262" s="9"/>
    </row>
    <row r="263" spans="1:11" ht="14.45" customHeight="1">
      <c r="A263" s="9"/>
      <c r="B263" s="14"/>
      <c r="C263" s="9"/>
      <c r="D263" s="9"/>
      <c r="E263" s="9"/>
      <c r="F263" s="10"/>
      <c r="G263" s="9"/>
      <c r="H263" s="9"/>
      <c r="I263" s="10"/>
      <c r="J263" s="9"/>
      <c r="K263" s="9"/>
    </row>
    <row r="264" spans="1:11" ht="14.45" customHeight="1">
      <c r="A264" s="9"/>
      <c r="B264" s="14"/>
      <c r="C264" s="9"/>
      <c r="D264" s="9"/>
      <c r="E264" s="9"/>
      <c r="F264" s="10"/>
      <c r="G264" s="9"/>
      <c r="H264" s="9"/>
      <c r="I264" s="10"/>
      <c r="J264" s="9"/>
      <c r="K264" s="9"/>
    </row>
    <row r="265" spans="1:11" ht="14.45" customHeight="1">
      <c r="A265" s="9"/>
      <c r="B265" s="14"/>
      <c r="C265" s="9"/>
      <c r="D265" s="9"/>
      <c r="E265" s="9"/>
      <c r="F265" s="10"/>
      <c r="G265" s="9"/>
      <c r="H265" s="9"/>
      <c r="I265" s="10"/>
      <c r="J265" s="9"/>
      <c r="K265" s="9"/>
    </row>
    <row r="266" spans="1:11" ht="14.45" customHeight="1">
      <c r="A266" s="9"/>
      <c r="B266" s="14"/>
      <c r="C266" s="9"/>
      <c r="D266" s="9"/>
      <c r="E266" s="9"/>
      <c r="F266" s="10"/>
      <c r="G266" s="9"/>
      <c r="H266" s="9"/>
      <c r="I266" s="10"/>
      <c r="J266" s="9"/>
      <c r="K266" s="9"/>
    </row>
    <row r="267" spans="1:11" ht="14.45" customHeight="1">
      <c r="A267" s="9"/>
      <c r="B267" s="14"/>
      <c r="C267" s="9"/>
      <c r="D267" s="9"/>
      <c r="E267" s="9"/>
      <c r="F267" s="10"/>
      <c r="G267" s="9"/>
      <c r="H267" s="9"/>
      <c r="I267" s="10"/>
      <c r="J267" s="9"/>
      <c r="K267" s="9"/>
    </row>
    <row r="268" spans="1:11" ht="14.45" customHeight="1">
      <c r="A268" s="9"/>
      <c r="B268" s="14"/>
      <c r="C268" s="9"/>
      <c r="D268" s="9"/>
      <c r="E268" s="9"/>
      <c r="F268" s="10"/>
      <c r="G268" s="9"/>
      <c r="H268" s="9"/>
      <c r="I268" s="10"/>
      <c r="J268" s="9"/>
      <c r="K268" s="9"/>
    </row>
    <row r="269" spans="1:11" ht="14.45" customHeight="1">
      <c r="A269" s="9"/>
      <c r="B269" s="14"/>
      <c r="C269" s="9"/>
      <c r="D269" s="9"/>
      <c r="E269" s="9"/>
      <c r="F269" s="10"/>
      <c r="G269" s="9"/>
      <c r="H269" s="9"/>
      <c r="I269" s="10"/>
      <c r="J269" s="9"/>
      <c r="K269" s="9"/>
    </row>
    <row r="270" spans="1:11" ht="14.45" customHeight="1">
      <c r="A270" s="9"/>
      <c r="B270" s="14"/>
      <c r="C270" s="9"/>
      <c r="D270" s="9"/>
      <c r="E270" s="9"/>
      <c r="F270" s="10"/>
      <c r="G270" s="9"/>
      <c r="H270" s="9"/>
      <c r="I270" s="10"/>
      <c r="J270" s="9"/>
      <c r="K270" s="9"/>
    </row>
    <row r="271" spans="1:11" ht="14.45" customHeight="1">
      <c r="A271" s="9"/>
      <c r="B271" s="14"/>
      <c r="C271" s="9"/>
      <c r="D271" s="9"/>
      <c r="E271" s="9"/>
      <c r="F271" s="10"/>
      <c r="G271" s="9"/>
      <c r="H271" s="9"/>
      <c r="I271" s="10"/>
      <c r="J271" s="9"/>
      <c r="K271" s="9"/>
    </row>
    <row r="272" spans="1:11" ht="14.45" customHeight="1">
      <c r="A272" s="9"/>
      <c r="B272" s="14"/>
      <c r="C272" s="9"/>
      <c r="D272" s="9"/>
      <c r="E272" s="9"/>
      <c r="F272" s="10"/>
      <c r="G272" s="9"/>
      <c r="H272" s="9"/>
      <c r="I272" s="10"/>
      <c r="J272" s="9"/>
      <c r="K272" s="9"/>
    </row>
    <row r="273" spans="1:11" ht="14.45" customHeight="1">
      <c r="A273" s="9"/>
      <c r="B273" s="14"/>
      <c r="C273" s="9"/>
      <c r="D273" s="9"/>
      <c r="E273" s="9"/>
      <c r="F273" s="10"/>
      <c r="G273" s="9"/>
      <c r="H273" s="9"/>
      <c r="I273" s="10"/>
      <c r="J273" s="9"/>
      <c r="K273" s="9"/>
    </row>
    <row r="274" spans="1:11" ht="14.45" customHeight="1">
      <c r="A274" s="9"/>
      <c r="B274" s="14"/>
      <c r="C274" s="9"/>
      <c r="D274" s="9"/>
      <c r="E274" s="9"/>
      <c r="F274" s="10"/>
      <c r="G274" s="9"/>
      <c r="H274" s="9"/>
      <c r="I274" s="10"/>
      <c r="J274" s="9"/>
      <c r="K274" s="9"/>
    </row>
    <row r="275" spans="1:11" ht="14.45" customHeight="1">
      <c r="A275" s="9"/>
      <c r="B275" s="14"/>
      <c r="C275" s="9"/>
      <c r="D275" s="9"/>
      <c r="E275" s="9"/>
      <c r="F275" s="10"/>
      <c r="G275" s="9"/>
      <c r="H275" s="9"/>
      <c r="I275" s="10"/>
      <c r="J275" s="9"/>
      <c r="K275" s="9"/>
    </row>
    <row r="276" spans="1:11" ht="14.45" customHeight="1">
      <c r="A276" s="9"/>
      <c r="B276" s="14"/>
      <c r="C276" s="9"/>
      <c r="D276" s="9"/>
      <c r="E276" s="9"/>
      <c r="F276" s="10"/>
      <c r="G276" s="9"/>
      <c r="H276" s="9"/>
      <c r="I276" s="10"/>
      <c r="J276" s="9"/>
      <c r="K276" s="9"/>
    </row>
    <row r="277" spans="1:11" ht="14.45" customHeight="1">
      <c r="A277" s="9"/>
      <c r="B277" s="14"/>
      <c r="C277" s="9"/>
      <c r="D277" s="9"/>
      <c r="E277" s="9"/>
      <c r="F277" s="10"/>
      <c r="G277" s="9"/>
      <c r="H277" s="9"/>
      <c r="I277" s="10"/>
      <c r="J277" s="9"/>
      <c r="K277" s="9"/>
    </row>
    <row r="278" spans="1:11" ht="14.45" customHeight="1">
      <c r="A278" s="9"/>
      <c r="B278" s="14"/>
      <c r="C278" s="9"/>
      <c r="D278" s="9"/>
      <c r="E278" s="9"/>
      <c r="F278" s="10"/>
      <c r="G278" s="9"/>
      <c r="H278" s="9"/>
      <c r="I278" s="10"/>
      <c r="J278" s="9"/>
      <c r="K278" s="9"/>
    </row>
    <row r="279" spans="1:11" ht="14.45" customHeight="1">
      <c r="A279" s="9"/>
      <c r="B279" s="14"/>
      <c r="C279" s="9"/>
      <c r="D279" s="9"/>
      <c r="E279" s="9"/>
      <c r="F279" s="10"/>
      <c r="G279" s="9"/>
      <c r="H279" s="9"/>
      <c r="I279" s="10"/>
      <c r="J279" s="9"/>
      <c r="K279" s="9"/>
    </row>
    <row r="280" spans="1:11" ht="14.45" customHeight="1">
      <c r="A280" s="9"/>
      <c r="B280" s="14"/>
      <c r="C280" s="9"/>
      <c r="D280" s="9"/>
      <c r="E280" s="9"/>
      <c r="F280" s="10"/>
      <c r="G280" s="9"/>
      <c r="H280" s="9"/>
      <c r="I280" s="10"/>
      <c r="J280" s="9"/>
      <c r="K280" s="9"/>
    </row>
    <row r="281" spans="1:11" ht="14.45" customHeight="1">
      <c r="A281" s="9"/>
      <c r="B281" s="14"/>
      <c r="C281" s="9"/>
      <c r="D281" s="9"/>
      <c r="E281" s="9"/>
      <c r="F281" s="10"/>
      <c r="G281" s="9"/>
      <c r="H281" s="9"/>
      <c r="I281" s="10"/>
      <c r="J281" s="9"/>
      <c r="K281" s="9"/>
    </row>
    <row r="282" spans="1:11" ht="14.45" customHeight="1">
      <c r="A282" s="9"/>
      <c r="B282" s="14"/>
      <c r="C282" s="9"/>
      <c r="D282" s="9"/>
      <c r="E282" s="9"/>
      <c r="F282" s="10"/>
      <c r="G282" s="9"/>
      <c r="H282" s="9"/>
      <c r="I282" s="10"/>
      <c r="J282" s="9"/>
      <c r="K282" s="9"/>
    </row>
    <row r="283" spans="1:11" ht="14.45" customHeight="1">
      <c r="A283" s="9"/>
      <c r="B283" s="14"/>
      <c r="C283" s="9"/>
      <c r="D283" s="9"/>
      <c r="E283" s="9"/>
      <c r="F283" s="10"/>
      <c r="G283" s="9"/>
      <c r="H283" s="9"/>
      <c r="I283" s="10"/>
      <c r="J283" s="9"/>
      <c r="K283" s="9"/>
    </row>
    <row r="284" spans="1:11" ht="14.45" customHeight="1">
      <c r="A284" s="9"/>
      <c r="B284" s="14"/>
      <c r="C284" s="9"/>
      <c r="D284" s="9"/>
      <c r="E284" s="9"/>
      <c r="F284" s="10"/>
      <c r="G284" s="9"/>
      <c r="H284" s="9"/>
      <c r="I284" s="10"/>
      <c r="J284" s="9"/>
      <c r="K284" s="9"/>
    </row>
    <row r="285" spans="1:11" ht="14.45" customHeight="1">
      <c r="A285" s="9"/>
      <c r="B285" s="14"/>
      <c r="C285" s="9"/>
      <c r="D285" s="9"/>
      <c r="E285" s="9"/>
      <c r="F285" s="10"/>
      <c r="G285" s="9"/>
      <c r="H285" s="9"/>
      <c r="I285" s="10"/>
      <c r="J285" s="9"/>
      <c r="K285" s="9"/>
    </row>
    <row r="286" spans="1:11" ht="14.45" customHeight="1">
      <c r="A286" s="9"/>
      <c r="B286" s="14"/>
      <c r="C286" s="9"/>
      <c r="D286" s="9"/>
      <c r="E286" s="9"/>
      <c r="F286" s="10"/>
      <c r="G286" s="9"/>
      <c r="H286" s="9"/>
      <c r="I286" s="10"/>
      <c r="J286" s="9"/>
      <c r="K286" s="9"/>
    </row>
    <row r="287" spans="1:11" ht="14.45" customHeight="1">
      <c r="A287" s="9"/>
      <c r="B287" s="14"/>
      <c r="C287" s="9"/>
      <c r="D287" s="9"/>
      <c r="E287" s="9"/>
      <c r="F287" s="10"/>
      <c r="G287" s="9"/>
      <c r="H287" s="9"/>
      <c r="I287" s="10"/>
      <c r="J287" s="9"/>
      <c r="K287" s="9"/>
    </row>
    <row r="288" spans="1:11" ht="14.45" customHeight="1">
      <c r="A288" s="9"/>
      <c r="B288" s="14"/>
      <c r="C288" s="9"/>
      <c r="D288" s="9"/>
      <c r="E288" s="9"/>
      <c r="F288" s="10"/>
      <c r="G288" s="9"/>
      <c r="H288" s="9"/>
      <c r="I288" s="10"/>
      <c r="J288" s="9"/>
      <c r="K288" s="9"/>
    </row>
    <row r="289" spans="1:11" ht="14.45" customHeight="1">
      <c r="A289" s="9"/>
      <c r="B289" s="14"/>
      <c r="C289" s="9"/>
      <c r="D289" s="9"/>
      <c r="E289" s="9"/>
      <c r="F289" s="10"/>
      <c r="G289" s="9"/>
      <c r="H289" s="9"/>
      <c r="I289" s="10"/>
      <c r="J289" s="9"/>
      <c r="K289" s="9"/>
    </row>
    <row r="290" spans="1:11" ht="14.45" customHeight="1">
      <c r="A290" s="9"/>
      <c r="B290" s="14"/>
      <c r="C290" s="9"/>
      <c r="D290" s="9"/>
      <c r="E290" s="9"/>
      <c r="F290" s="10"/>
      <c r="G290" s="9"/>
      <c r="H290" s="9"/>
      <c r="I290" s="10"/>
      <c r="J290" s="9"/>
      <c r="K290" s="9"/>
    </row>
    <row r="291" spans="1:11" ht="14.45" customHeight="1">
      <c r="A291" s="9"/>
      <c r="B291" s="14"/>
      <c r="C291" s="9"/>
      <c r="D291" s="9"/>
      <c r="E291" s="9"/>
      <c r="F291" s="10"/>
      <c r="G291" s="9"/>
      <c r="H291" s="9"/>
      <c r="I291" s="10"/>
      <c r="J291" s="9"/>
      <c r="K291" s="9"/>
    </row>
    <row r="292" spans="1:11" ht="14.45" customHeight="1">
      <c r="A292" s="9"/>
      <c r="B292" s="14"/>
      <c r="C292" s="9"/>
      <c r="D292" s="9"/>
      <c r="E292" s="9"/>
      <c r="F292" s="10"/>
      <c r="G292" s="9"/>
      <c r="H292" s="9"/>
      <c r="I292" s="10"/>
      <c r="J292" s="9"/>
      <c r="K292" s="9"/>
    </row>
    <row r="293" spans="1:11" ht="14.45" customHeight="1">
      <c r="A293" s="9"/>
      <c r="B293" s="14"/>
      <c r="C293" s="9"/>
      <c r="D293" s="9"/>
      <c r="E293" s="9"/>
      <c r="F293" s="10"/>
      <c r="G293" s="9"/>
      <c r="H293" s="9"/>
      <c r="I293" s="10"/>
      <c r="J293" s="9"/>
      <c r="K293" s="9"/>
    </row>
    <row r="294" spans="1:11" ht="14.45" customHeight="1">
      <c r="A294" s="9"/>
      <c r="B294" s="14"/>
      <c r="C294" s="9"/>
      <c r="D294" s="9"/>
      <c r="E294" s="9"/>
      <c r="F294" s="10"/>
      <c r="G294" s="9"/>
      <c r="H294" s="9"/>
      <c r="I294" s="10"/>
      <c r="J294" s="9"/>
      <c r="K294" s="9"/>
    </row>
    <row r="295" spans="1:11" ht="14.45" customHeight="1">
      <c r="A295" s="9"/>
      <c r="B295" s="14"/>
      <c r="C295" s="9"/>
      <c r="D295" s="9"/>
      <c r="E295" s="9"/>
      <c r="F295" s="10"/>
      <c r="G295" s="9"/>
      <c r="H295" s="9"/>
      <c r="I295" s="10"/>
      <c r="J295" s="9"/>
      <c r="K295" s="9"/>
    </row>
    <row r="296" spans="1:11" ht="14.45" customHeight="1">
      <c r="A296" s="9"/>
      <c r="B296" s="14"/>
      <c r="C296" s="9"/>
      <c r="D296" s="9"/>
      <c r="E296" s="9"/>
      <c r="F296" s="10"/>
      <c r="G296" s="9"/>
      <c r="H296" s="9"/>
      <c r="I296" s="10"/>
      <c r="J296" s="9"/>
      <c r="K296" s="9"/>
    </row>
    <row r="297" spans="1:11" ht="14.45" customHeight="1">
      <c r="A297" s="9"/>
      <c r="B297" s="14"/>
      <c r="C297" s="9"/>
      <c r="D297" s="9"/>
      <c r="E297" s="9"/>
      <c r="F297" s="10"/>
      <c r="G297" s="9"/>
      <c r="H297" s="9"/>
      <c r="I297" s="10"/>
      <c r="J297" s="9"/>
      <c r="K297" s="9"/>
    </row>
    <row r="298" spans="1:11" ht="14.45" customHeight="1">
      <c r="A298" s="9"/>
      <c r="B298" s="14"/>
      <c r="C298" s="9"/>
      <c r="D298" s="9"/>
      <c r="E298" s="9"/>
      <c r="F298" s="10"/>
      <c r="G298" s="9"/>
      <c r="H298" s="9"/>
      <c r="I298" s="10"/>
      <c r="J298" s="9"/>
      <c r="K298" s="9"/>
    </row>
    <row r="299" spans="1:11" ht="14.45" customHeight="1">
      <c r="A299" s="9"/>
      <c r="B299" s="14"/>
      <c r="C299" s="9"/>
      <c r="D299" s="9"/>
      <c r="E299" s="9"/>
      <c r="F299" s="10"/>
      <c r="G299" s="9"/>
      <c r="H299" s="9"/>
      <c r="I299" s="10"/>
      <c r="J299" s="9"/>
      <c r="K299" s="9"/>
    </row>
    <row r="300" spans="1:11" ht="14.45" customHeight="1">
      <c r="A300" s="9"/>
      <c r="B300" s="14"/>
      <c r="C300" s="9"/>
      <c r="D300" s="9"/>
      <c r="E300" s="9"/>
      <c r="F300" s="10"/>
      <c r="G300" s="9"/>
      <c r="H300" s="9"/>
      <c r="I300" s="10"/>
      <c r="J300" s="9"/>
      <c r="K300" s="9"/>
    </row>
    <row r="301" spans="1:11" ht="14.45" customHeight="1">
      <c r="A301" s="9"/>
      <c r="B301" s="14"/>
      <c r="C301" s="9"/>
      <c r="D301" s="9"/>
      <c r="E301" s="9"/>
      <c r="F301" s="10"/>
      <c r="G301" s="9"/>
      <c r="H301" s="9"/>
      <c r="I301" s="10"/>
      <c r="J301" s="9"/>
      <c r="K301" s="9"/>
    </row>
    <row r="302" spans="1:11" ht="14.45" customHeight="1">
      <c r="A302" s="9"/>
      <c r="B302" s="14"/>
      <c r="C302" s="9"/>
      <c r="D302" s="9"/>
      <c r="E302" s="9"/>
      <c r="F302" s="10"/>
      <c r="G302" s="9"/>
      <c r="H302" s="9"/>
      <c r="I302" s="10"/>
      <c r="J302" s="9"/>
      <c r="K302" s="9"/>
    </row>
    <row r="303" spans="1:11" ht="14.45" customHeight="1">
      <c r="A303" s="9"/>
      <c r="B303" s="14"/>
      <c r="C303" s="9"/>
      <c r="D303" s="9"/>
      <c r="E303" s="9"/>
      <c r="F303" s="10"/>
      <c r="G303" s="9"/>
      <c r="H303" s="9"/>
      <c r="I303" s="10"/>
      <c r="J303" s="9"/>
      <c r="K303" s="9"/>
    </row>
    <row r="304" spans="1:11" ht="14.45" customHeight="1">
      <c r="A304" s="9"/>
      <c r="B304" s="14"/>
      <c r="C304" s="9"/>
      <c r="D304" s="9"/>
      <c r="E304" s="9"/>
      <c r="F304" s="10"/>
      <c r="G304" s="9"/>
      <c r="H304" s="9"/>
      <c r="I304" s="10"/>
      <c r="J304" s="9"/>
      <c r="K304" s="9"/>
    </row>
    <row r="305" spans="1:11" ht="14.45" customHeight="1">
      <c r="A305" s="9"/>
      <c r="B305" s="14"/>
      <c r="C305" s="9"/>
      <c r="D305" s="9"/>
      <c r="E305" s="9"/>
      <c r="F305" s="10"/>
      <c r="G305" s="9"/>
      <c r="H305" s="9"/>
      <c r="I305" s="10"/>
      <c r="J305" s="9"/>
      <c r="K305" s="9"/>
    </row>
    <row r="306" spans="1:11" ht="14.45" customHeight="1">
      <c r="A306" s="9"/>
      <c r="B306" s="14"/>
      <c r="C306" s="9"/>
      <c r="D306" s="9"/>
      <c r="E306" s="9"/>
      <c r="F306" s="10"/>
      <c r="G306" s="9"/>
      <c r="H306" s="9"/>
      <c r="I306" s="10"/>
      <c r="J306" s="9"/>
      <c r="K306" s="9"/>
    </row>
    <row r="307" spans="1:11" ht="14.45" customHeight="1">
      <c r="A307" s="9"/>
      <c r="B307" s="14"/>
      <c r="C307" s="9"/>
      <c r="D307" s="9"/>
      <c r="E307" s="9"/>
      <c r="F307" s="10"/>
      <c r="G307" s="9"/>
      <c r="H307" s="9"/>
      <c r="I307" s="10"/>
      <c r="J307" s="9"/>
      <c r="K307" s="9"/>
    </row>
    <row r="308" spans="1:11" ht="14.45" customHeight="1">
      <c r="A308" s="9"/>
      <c r="B308" s="14"/>
      <c r="C308" s="9"/>
      <c r="D308" s="9"/>
      <c r="E308" s="9"/>
      <c r="F308" s="10"/>
      <c r="G308" s="9"/>
      <c r="H308" s="9"/>
      <c r="I308" s="10"/>
      <c r="J308" s="9"/>
      <c r="K308" s="9"/>
    </row>
    <row r="309" spans="1:11" ht="14.45" customHeight="1">
      <c r="A309" s="9"/>
      <c r="B309" s="14"/>
      <c r="C309" s="9"/>
      <c r="D309" s="9"/>
      <c r="E309" s="9"/>
      <c r="F309" s="10"/>
      <c r="G309" s="9"/>
      <c r="H309" s="9"/>
      <c r="I309" s="10"/>
      <c r="J309" s="9"/>
      <c r="K309" s="9"/>
    </row>
    <row r="310" spans="1:11" ht="14.45" customHeight="1">
      <c r="A310" s="9"/>
      <c r="B310" s="14"/>
      <c r="C310" s="9"/>
      <c r="D310" s="9"/>
      <c r="E310" s="9"/>
      <c r="F310" s="10"/>
      <c r="G310" s="9"/>
      <c r="H310" s="9"/>
      <c r="I310" s="10"/>
      <c r="J310" s="9"/>
      <c r="K310" s="9"/>
    </row>
    <row r="311" spans="1:11" ht="14.45" customHeight="1">
      <c r="A311" s="9"/>
      <c r="B311" s="14"/>
      <c r="C311" s="9"/>
      <c r="D311" s="9"/>
      <c r="E311" s="9"/>
      <c r="F311" s="10"/>
      <c r="G311" s="9"/>
      <c r="H311" s="9"/>
      <c r="I311" s="10"/>
      <c r="J311" s="9"/>
      <c r="K311" s="9"/>
    </row>
    <row r="312" spans="1:11" ht="14.45" customHeight="1">
      <c r="A312" s="9"/>
      <c r="B312" s="14"/>
      <c r="C312" s="9"/>
      <c r="D312" s="9"/>
      <c r="E312" s="9"/>
      <c r="F312" s="10"/>
      <c r="G312" s="9"/>
      <c r="H312" s="9"/>
      <c r="I312" s="10"/>
      <c r="J312" s="9"/>
      <c r="K312" s="9"/>
    </row>
    <row r="313" spans="1:11" ht="14.45" customHeight="1">
      <c r="A313" s="9"/>
      <c r="B313" s="14"/>
      <c r="C313" s="9"/>
      <c r="D313" s="9"/>
      <c r="E313" s="9"/>
      <c r="F313" s="10"/>
      <c r="G313" s="9"/>
      <c r="H313" s="9"/>
      <c r="I313" s="10"/>
      <c r="J313" s="9"/>
      <c r="K313" s="9"/>
    </row>
    <row r="314" spans="1:11" ht="14.45" customHeight="1">
      <c r="A314" s="9"/>
      <c r="B314" s="14"/>
      <c r="C314" s="9"/>
      <c r="D314" s="9"/>
      <c r="E314" s="9"/>
      <c r="F314" s="10"/>
      <c r="G314" s="9"/>
      <c r="H314" s="9"/>
      <c r="I314" s="10"/>
      <c r="J314" s="9"/>
      <c r="K314" s="9"/>
    </row>
    <row r="315" spans="1:11" ht="14.45" customHeight="1">
      <c r="A315" s="9"/>
      <c r="B315" s="14"/>
      <c r="C315" s="9"/>
      <c r="D315" s="9"/>
      <c r="E315" s="9"/>
      <c r="F315" s="10"/>
      <c r="G315" s="9"/>
      <c r="H315" s="9"/>
      <c r="I315" s="10"/>
      <c r="J315" s="9"/>
      <c r="K315" s="9"/>
    </row>
    <row r="316" spans="1:11" ht="14.45" customHeight="1">
      <c r="A316" s="9"/>
      <c r="B316" s="14"/>
      <c r="C316" s="9"/>
      <c r="D316" s="9"/>
      <c r="E316" s="9"/>
      <c r="F316" s="10"/>
      <c r="G316" s="9"/>
      <c r="H316" s="9"/>
      <c r="I316" s="10"/>
      <c r="J316" s="9"/>
      <c r="K316" s="9"/>
    </row>
    <row r="317" spans="1:11" ht="14.45" customHeight="1">
      <c r="A317" s="9"/>
      <c r="B317" s="14"/>
      <c r="C317" s="9"/>
      <c r="D317" s="9"/>
      <c r="E317" s="9"/>
      <c r="F317" s="10"/>
      <c r="G317" s="9"/>
      <c r="H317" s="9"/>
      <c r="I317" s="10"/>
      <c r="J317" s="9"/>
      <c r="K317" s="9"/>
    </row>
    <row r="318" spans="1:11" ht="14.45" customHeight="1">
      <c r="A318" s="9"/>
      <c r="B318" s="14"/>
      <c r="C318" s="9"/>
      <c r="D318" s="9"/>
      <c r="E318" s="9"/>
      <c r="F318" s="10"/>
      <c r="G318" s="9"/>
      <c r="H318" s="9"/>
      <c r="I318" s="10"/>
      <c r="J318" s="9"/>
      <c r="K318" s="9"/>
    </row>
    <row r="319" spans="1:11" ht="14.45" customHeight="1">
      <c r="A319" s="9"/>
      <c r="B319" s="14"/>
      <c r="C319" s="9"/>
      <c r="D319" s="9"/>
      <c r="E319" s="9"/>
      <c r="F319" s="10"/>
      <c r="G319" s="9"/>
      <c r="H319" s="9"/>
      <c r="I319" s="10"/>
      <c r="J319" s="9"/>
      <c r="K319" s="9"/>
    </row>
    <row r="320" spans="1:11" ht="14.45" customHeight="1">
      <c r="A320" s="9"/>
      <c r="B320" s="14"/>
      <c r="C320" s="9"/>
      <c r="D320" s="9"/>
      <c r="E320" s="9"/>
      <c r="F320" s="10"/>
      <c r="G320" s="9"/>
      <c r="H320" s="9"/>
      <c r="I320" s="10"/>
      <c r="J320" s="9"/>
      <c r="K320" s="9"/>
    </row>
    <row r="321" spans="1:11" ht="14.45" customHeight="1">
      <c r="A321" s="9"/>
      <c r="B321" s="14"/>
      <c r="C321" s="9"/>
      <c r="D321" s="9"/>
      <c r="E321" s="9"/>
      <c r="F321" s="10"/>
      <c r="G321" s="9"/>
      <c r="H321" s="9"/>
      <c r="I321" s="10"/>
      <c r="J321" s="9"/>
      <c r="K321" s="9"/>
    </row>
    <row r="322" spans="1:11" ht="14.45" customHeight="1">
      <c r="C322" s="9"/>
      <c r="D322" s="9"/>
      <c r="E322" s="9"/>
      <c r="F322" s="10"/>
      <c r="G322" s="9"/>
      <c r="H322" s="9"/>
      <c r="I322" s="10"/>
      <c r="J322" s="9"/>
      <c r="K322" s="9"/>
    </row>
  </sheetData>
  <sortState xmlns:xlrd2="http://schemas.microsoft.com/office/spreadsheetml/2017/richdata2" ref="A3:K6">
    <sortCondition ref="A3:A6"/>
  </sortState>
  <mergeCells count="4">
    <mergeCell ref="G1:I1"/>
    <mergeCell ref="A1:C1"/>
    <mergeCell ref="D1:F1"/>
    <mergeCell ref="A2:B2"/>
  </mergeCells>
  <phoneticPr fontId="4" type="noConversion"/>
  <conditionalFormatting sqref="F2 I2 F4:F80 I4:I80">
    <cfRule type="cellIs" dxfId="14" priority="1" stopIfTrue="1" operator="lessThanOrEqual">
      <formula>-0.1</formula>
    </cfRule>
    <cfRule type="expression" dxfId="13"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22"/>
  <sheetViews>
    <sheetView zoomScale="70" zoomScaleNormal="70" workbookViewId="0">
      <pane xSplit="2" ySplit="3" topLeftCell="J8" activePane="bottomRight" state="frozen"/>
      <selection pane="bottomRight" activeCell="J8" sqref="J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style="83" customWidth="1"/>
    <col min="11" max="11" width="20.5703125" style="83" bestFit="1" customWidth="1"/>
  </cols>
  <sheetData>
    <row r="1" spans="1:17" ht="19.5" customHeight="1">
      <c r="A1" s="104" t="str" cm="1">
        <f t="array" ref="A1">portfolio</f>
        <v>Renewable Properties</v>
      </c>
      <c r="B1" s="104"/>
      <c r="C1" s="104"/>
      <c r="D1" s="105" t="s">
        <v>189</v>
      </c>
      <c r="E1" s="105"/>
      <c r="F1" s="105"/>
      <c r="G1" s="103" t="s">
        <v>190</v>
      </c>
      <c r="H1" s="103"/>
      <c r="I1" s="103"/>
      <c r="J1" s="96"/>
      <c r="K1" s="96"/>
    </row>
    <row r="2" spans="1:17" ht="19.5" customHeight="1">
      <c r="A2" s="106" t="s">
        <v>2</v>
      </c>
      <c r="B2" s="106"/>
      <c r="C2" s="5">
        <f>SUM(C4:C80)</f>
        <v>7178488.8025000002</v>
      </c>
      <c r="D2" s="5">
        <f>SUM(D4:D80)</f>
        <v>8308463.0999999996</v>
      </c>
      <c r="E2" s="5">
        <f>C2-D2</f>
        <v>-1129974.2974999994</v>
      </c>
      <c r="F2" s="6">
        <f>IFERROR(E2/D2, 0)</f>
        <v>-0.13600280628314995</v>
      </c>
      <c r="G2" s="5">
        <f>SUM(G4:G80)</f>
        <v>10167301.899999999</v>
      </c>
      <c r="H2" s="7">
        <f>C2-G2</f>
        <v>-2988813.0974999983</v>
      </c>
      <c r="I2" s="6">
        <f>IFERROR(H2/G2, 0)</f>
        <v>-0.29396324874547086</v>
      </c>
      <c r="J2" s="97" t="str">
        <f ca="1">IF(AND(TODAY()&gt;DATE(2024, 8, 1), COUNTA(Sites[Site])&lt;&gt;(COUNT(C:C)-1)), "Some sites are missing actual data; if new sites were added, make sure they are aligned correctly (including prior months!)", "")</f>
        <v/>
      </c>
      <c r="K2" s="96"/>
    </row>
    <row r="3" spans="1:17" ht="14.25" customHeight="1">
      <c r="A3" s="13" t="s">
        <v>3</v>
      </c>
      <c r="B3" s="13" t="s">
        <v>4</v>
      </c>
      <c r="C3" s="40" t="s">
        <v>5</v>
      </c>
      <c r="D3" s="41" t="s">
        <v>6</v>
      </c>
      <c r="E3" s="41" t="s">
        <v>7</v>
      </c>
      <c r="F3" s="42" t="s">
        <v>8</v>
      </c>
      <c r="G3" s="47" t="s">
        <v>9</v>
      </c>
      <c r="H3" s="44" t="s">
        <v>7</v>
      </c>
      <c r="I3" s="45" t="s">
        <v>8</v>
      </c>
      <c r="J3" s="46" t="s">
        <v>20</v>
      </c>
      <c r="K3" s="46" t="s">
        <v>21</v>
      </c>
    </row>
    <row r="4" spans="1:17" ht="15.6">
      <c r="A4" s="55" t="str" cm="1">
        <f t="array" ref="A4:A14">Sites[Site]</f>
        <v>Cedar Swamp Rd</v>
      </c>
      <c r="B4" s="49" t="str" cm="1">
        <f t="array" ref="B4:B14">Sites[State]</f>
        <v>MA</v>
      </c>
      <c r="C4" s="27">
        <v>168637</v>
      </c>
      <c r="D4" s="28">
        <v>156706.70000000001</v>
      </c>
      <c r="E4" s="28">
        <f>IF(AND(ISNUMBER(C4),ISNUMBER(D4)), C4-D4, "")</f>
        <v>11930.299999999988</v>
      </c>
      <c r="F4" s="29">
        <f>IFERROR(E4/D4, "")</f>
        <v>7.6131397062154882E-2</v>
      </c>
      <c r="G4" s="30">
        <v>151369</v>
      </c>
      <c r="H4" s="30">
        <f>IF(AND(ISNUMBER(C4),ISNUMBER(G4)), C4-G4, "")</f>
        <v>17268</v>
      </c>
      <c r="I4" s="31">
        <f>IFERROR(H4/G4, "")</f>
        <v>0.11407884044949758</v>
      </c>
      <c r="J4" s="66"/>
      <c r="K4" s="66"/>
      <c r="L4" s="83"/>
      <c r="M4" s="83"/>
      <c r="N4" s="83"/>
      <c r="O4" s="83"/>
      <c r="P4" s="83"/>
      <c r="Q4" s="83"/>
    </row>
    <row r="5" spans="1:17" ht="28.9">
      <c r="A5" s="56" t="str">
        <v>Bullis</v>
      </c>
      <c r="B5" s="52" t="str">
        <v>NY</v>
      </c>
      <c r="C5" s="34">
        <v>891570</v>
      </c>
      <c r="D5" s="35">
        <v>869443.9</v>
      </c>
      <c r="E5" s="35">
        <f t="shared" ref="E5:E13" si="0">IF(AND(ISNUMBER(C5),ISNUMBER(D5)), C5-D5, "")</f>
        <v>22126.099999999977</v>
      </c>
      <c r="F5" s="36">
        <f>IFERROR(E5/D5, "")</f>
        <v>2.5448565456609652E-2</v>
      </c>
      <c r="G5" s="37">
        <v>982613.9</v>
      </c>
      <c r="H5" s="37">
        <f t="shared" ref="H5:H7" si="1">IF(AND(ISNUMBER(C5),ISNUMBER(G5)), C5-G5, "")</f>
        <v>-91043.900000000023</v>
      </c>
      <c r="I5" s="36">
        <f t="shared" ref="I5:I7" si="2">IFERROR(H5/G5, "")</f>
        <v>-9.2654805717688318E-2</v>
      </c>
      <c r="J5" s="58" t="s">
        <v>191</v>
      </c>
      <c r="K5" s="80" t="s">
        <v>192</v>
      </c>
      <c r="L5" s="85" t="s">
        <v>193</v>
      </c>
      <c r="M5" s="83"/>
      <c r="N5" s="83"/>
      <c r="O5" s="83"/>
      <c r="P5" s="83"/>
      <c r="Q5" s="83"/>
    </row>
    <row r="6" spans="1:17" ht="115.15">
      <c r="A6" s="57" t="str">
        <v>Rock Island</v>
      </c>
      <c r="B6" s="49" t="str">
        <v>NY</v>
      </c>
      <c r="C6" s="27">
        <v>718602</v>
      </c>
      <c r="D6" s="28">
        <v>911981</v>
      </c>
      <c r="E6" s="28">
        <f t="shared" si="0"/>
        <v>-193379</v>
      </c>
      <c r="F6" s="61">
        <f t="shared" ref="F6:F7" si="3">IFERROR(E6/D6, "")</f>
        <v>-0.21204279475120644</v>
      </c>
      <c r="G6" s="30">
        <v>3363879</v>
      </c>
      <c r="H6" s="30">
        <f t="shared" si="1"/>
        <v>-2645277</v>
      </c>
      <c r="I6" s="31">
        <f t="shared" si="2"/>
        <v>-0.78637697729317846</v>
      </c>
      <c r="J6" s="66" t="s">
        <v>194</v>
      </c>
      <c r="K6" s="81" t="s">
        <v>195</v>
      </c>
      <c r="L6" s="85" t="s">
        <v>196</v>
      </c>
      <c r="M6" s="85" t="s">
        <v>197</v>
      </c>
      <c r="N6" s="85" t="s">
        <v>198</v>
      </c>
      <c r="O6" s="85" t="s">
        <v>199</v>
      </c>
      <c r="P6" s="83"/>
      <c r="Q6" s="83"/>
    </row>
    <row r="7" spans="1:17" ht="15.6">
      <c r="A7" s="64" t="str">
        <v>Winslow - Roderick</v>
      </c>
      <c r="B7" s="65" t="str">
        <v>ME</v>
      </c>
      <c r="C7" s="62">
        <v>897010</v>
      </c>
      <c r="D7" s="62">
        <v>981976.6</v>
      </c>
      <c r="E7" s="62">
        <f t="shared" si="0"/>
        <v>-84966.599999999977</v>
      </c>
      <c r="F7" s="61">
        <f t="shared" si="3"/>
        <v>-8.6526094409988971E-2</v>
      </c>
      <c r="G7" s="62">
        <v>733602</v>
      </c>
      <c r="H7" s="37">
        <f t="shared" si="1"/>
        <v>163408</v>
      </c>
      <c r="I7" s="31">
        <f t="shared" si="2"/>
        <v>0.22274748433074065</v>
      </c>
      <c r="J7" s="98" t="s">
        <v>200</v>
      </c>
      <c r="K7" s="98" t="s">
        <v>201</v>
      </c>
      <c r="L7" s="83"/>
      <c r="M7" s="83"/>
      <c r="N7" s="83"/>
      <c r="O7" s="83"/>
      <c r="P7" s="83"/>
      <c r="Q7" s="83"/>
    </row>
    <row r="8" spans="1:17" ht="28.9">
      <c r="A8" s="55" t="str">
        <v>Minoa - Clemons Rd</v>
      </c>
      <c r="B8" s="49" t="str">
        <v>NY</v>
      </c>
      <c r="C8" s="27">
        <v>557804.42749999999</v>
      </c>
      <c r="D8" s="28">
        <v>670958.9</v>
      </c>
      <c r="E8" s="28">
        <f t="shared" ref="E8:E14" si="4">IF(AND(ISNUMBER(C8),ISNUMBER(D8)), C8-D8, "")</f>
        <v>-113154.47250000003</v>
      </c>
      <c r="F8" s="29">
        <f t="shared" ref="F8:F14" si="5">IFERROR(E8/D8, "")</f>
        <v>-0.16864590737226978</v>
      </c>
      <c r="G8" s="30">
        <v>593130.69999999995</v>
      </c>
      <c r="H8" s="30">
        <f t="shared" ref="H8:H14" si="6">IF(AND(ISNUMBER(C8),ISNUMBER(G8)), C8-G8, "")</f>
        <v>-35326.272499999963</v>
      </c>
      <c r="I8" s="31">
        <f t="shared" ref="I8:I14" si="7">IFERROR(H8/G8, "")</f>
        <v>-5.9559001919812893E-2</v>
      </c>
      <c r="J8" s="66" t="s">
        <v>202</v>
      </c>
      <c r="K8" s="81" t="s">
        <v>203</v>
      </c>
      <c r="L8" s="83"/>
      <c r="M8" s="83"/>
      <c r="N8" s="83"/>
      <c r="O8" s="83"/>
      <c r="P8" s="83"/>
      <c r="Q8" s="83"/>
    </row>
    <row r="9" spans="1:17" ht="15.6">
      <c r="A9" s="56" t="str">
        <v>Manchester - Western</v>
      </c>
      <c r="B9" s="52" t="str">
        <v>ME</v>
      </c>
      <c r="C9" s="34">
        <v>132513.375</v>
      </c>
      <c r="D9" s="35">
        <v>141350.79999999999</v>
      </c>
      <c r="E9" s="62">
        <f t="shared" si="0"/>
        <v>-8837.4249999999884</v>
      </c>
      <c r="F9" s="36">
        <f t="shared" si="5"/>
        <v>-6.2521223792153913E-2</v>
      </c>
      <c r="G9" s="37">
        <v>115894.1</v>
      </c>
      <c r="H9" s="37">
        <f t="shared" si="6"/>
        <v>16619.274999999994</v>
      </c>
      <c r="I9" s="36">
        <f t="shared" si="7"/>
        <v>0.14340052686029742</v>
      </c>
      <c r="J9" s="58" t="s">
        <v>204</v>
      </c>
      <c r="K9" s="80" t="s">
        <v>205</v>
      </c>
      <c r="L9" s="83"/>
      <c r="M9" s="83"/>
      <c r="N9" s="83"/>
      <c r="O9" s="83"/>
      <c r="P9" s="83"/>
      <c r="Q9" s="83"/>
    </row>
    <row r="10" spans="1:17" ht="15.6">
      <c r="A10" s="55" t="str">
        <v>Batavia - Pike Rd</v>
      </c>
      <c r="B10" s="49" t="str">
        <v>NY</v>
      </c>
      <c r="C10" s="27">
        <v>629972.5</v>
      </c>
      <c r="D10" s="28">
        <v>613038.69999999995</v>
      </c>
      <c r="E10" s="28">
        <f t="shared" si="4"/>
        <v>16933.800000000047</v>
      </c>
      <c r="F10" s="29">
        <f t="shared" si="5"/>
        <v>2.7622725938835586E-2</v>
      </c>
      <c r="G10" s="30">
        <v>609270.80000000005</v>
      </c>
      <c r="H10" s="30">
        <f t="shared" si="6"/>
        <v>20701.699999999953</v>
      </c>
      <c r="I10" s="31">
        <f t="shared" si="7"/>
        <v>3.3977830547598786E-2</v>
      </c>
      <c r="J10" s="66" t="s">
        <v>206</v>
      </c>
      <c r="K10" s="81" t="s">
        <v>207</v>
      </c>
      <c r="L10" s="83"/>
      <c r="M10" s="83"/>
      <c r="N10" s="83"/>
      <c r="O10" s="83"/>
      <c r="P10" s="83"/>
      <c r="Q10" s="83"/>
    </row>
    <row r="11" spans="1:17" ht="28.9">
      <c r="A11" s="56" t="str">
        <v>Slayton A &amp; B</v>
      </c>
      <c r="B11" s="52" t="str">
        <v>NY</v>
      </c>
      <c r="C11" s="34">
        <v>1225315</v>
      </c>
      <c r="D11" s="35">
        <v>1704157</v>
      </c>
      <c r="E11" s="62">
        <f t="shared" si="0"/>
        <v>-478842</v>
      </c>
      <c r="F11" s="36">
        <f t="shared" si="5"/>
        <v>-0.28098467453409515</v>
      </c>
      <c r="G11" s="37">
        <v>1453321</v>
      </c>
      <c r="H11" s="37">
        <f t="shared" si="6"/>
        <v>-228006</v>
      </c>
      <c r="I11" s="36">
        <f t="shared" si="7"/>
        <v>-0.15688619375898374</v>
      </c>
      <c r="J11" s="58" t="s">
        <v>208</v>
      </c>
      <c r="K11" s="80" t="s">
        <v>209</v>
      </c>
      <c r="L11" s="85" t="s">
        <v>163</v>
      </c>
      <c r="M11" s="83"/>
      <c r="N11" s="83"/>
      <c r="O11" s="83"/>
      <c r="P11" s="83"/>
      <c r="Q11" s="83"/>
    </row>
    <row r="12" spans="1:17" ht="28.9">
      <c r="A12" s="55" t="str">
        <v>Batavia - Alexander Rd</v>
      </c>
      <c r="B12" s="49" t="str">
        <v>NY</v>
      </c>
      <c r="C12" s="27">
        <v>346455.5</v>
      </c>
      <c r="D12" s="28">
        <v>398681.1</v>
      </c>
      <c r="E12" s="28">
        <f t="shared" si="4"/>
        <v>-52225.599999999977</v>
      </c>
      <c r="F12" s="29">
        <f t="shared" si="5"/>
        <v>-0.13099592631805215</v>
      </c>
      <c r="G12" s="30">
        <v>350374.2</v>
      </c>
      <c r="H12" s="30">
        <f t="shared" si="6"/>
        <v>-3918.7000000000116</v>
      </c>
      <c r="I12" s="31">
        <f t="shared" si="7"/>
        <v>-1.1184328069817959E-2</v>
      </c>
      <c r="J12" s="66" t="s">
        <v>210</v>
      </c>
      <c r="K12" s="81" t="s">
        <v>211</v>
      </c>
      <c r="L12" s="83"/>
      <c r="M12" s="83"/>
      <c r="N12" s="83"/>
      <c r="O12" s="83"/>
      <c r="P12" s="83"/>
      <c r="Q12" s="83"/>
    </row>
    <row r="13" spans="1:17" ht="100.9">
      <c r="A13" s="56" t="str">
        <v xml:space="preserve">NC: Gibson – Henry Gibson Solar </v>
      </c>
      <c r="B13" s="52" t="str">
        <v>NC</v>
      </c>
      <c r="C13" s="34">
        <v>872551</v>
      </c>
      <c r="D13" s="35">
        <v>1022619</v>
      </c>
      <c r="E13" s="62">
        <f t="shared" si="0"/>
        <v>-150068</v>
      </c>
      <c r="F13" s="36">
        <f t="shared" si="5"/>
        <v>-0.14674869135034652</v>
      </c>
      <c r="G13" s="37">
        <v>1147040</v>
      </c>
      <c r="H13" s="37">
        <f t="shared" si="6"/>
        <v>-274489</v>
      </c>
      <c r="I13" s="36">
        <f t="shared" si="7"/>
        <v>-0.23930202957176733</v>
      </c>
      <c r="J13" s="58" t="s">
        <v>212</v>
      </c>
      <c r="K13" s="80" t="s">
        <v>213</v>
      </c>
      <c r="L13" s="85" t="s">
        <v>214</v>
      </c>
      <c r="M13" s="85" t="s">
        <v>215</v>
      </c>
      <c r="N13" s="85" t="s">
        <v>216</v>
      </c>
      <c r="O13" s="85" t="s">
        <v>217</v>
      </c>
      <c r="P13" s="83"/>
      <c r="Q13" s="83"/>
    </row>
    <row r="14" spans="1:17" ht="15.6">
      <c r="A14" s="55" t="str">
        <v>Bangor - Pushaw</v>
      </c>
      <c r="B14" s="49" t="str">
        <v>ME</v>
      </c>
      <c r="C14" s="27">
        <v>738058</v>
      </c>
      <c r="D14" s="28">
        <v>837549.4</v>
      </c>
      <c r="E14" s="28">
        <f t="shared" si="4"/>
        <v>-99491.400000000023</v>
      </c>
      <c r="F14" s="29">
        <f t="shared" si="5"/>
        <v>-0.11878869473251372</v>
      </c>
      <c r="G14" s="30">
        <v>666807.19999999995</v>
      </c>
      <c r="H14" s="30">
        <f t="shared" si="6"/>
        <v>71250.800000000047</v>
      </c>
      <c r="I14" s="31">
        <f t="shared" si="7"/>
        <v>0.10685367524525838</v>
      </c>
      <c r="J14" s="66" t="s">
        <v>218</v>
      </c>
      <c r="K14" s="81" t="s">
        <v>219</v>
      </c>
      <c r="L14" s="83"/>
      <c r="M14" s="83"/>
      <c r="N14" s="83"/>
      <c r="O14" s="83"/>
      <c r="P14" s="83"/>
      <c r="Q14" s="83"/>
    </row>
    <row r="15" spans="1:17" ht="14.45">
      <c r="A15" s="9"/>
      <c r="B15" s="14"/>
      <c r="C15" s="9"/>
      <c r="D15" s="9"/>
      <c r="E15" s="9"/>
      <c r="F15" s="10"/>
      <c r="G15" s="9"/>
      <c r="H15" s="9"/>
      <c r="I15" s="10"/>
      <c r="J15" s="99"/>
      <c r="K15" s="99"/>
    </row>
    <row r="16" spans="1:17" ht="14.45">
      <c r="A16" s="9"/>
      <c r="B16" s="14"/>
      <c r="C16" s="9"/>
      <c r="D16" s="9"/>
      <c r="E16" s="9"/>
      <c r="F16" s="10"/>
      <c r="G16" s="9"/>
      <c r="H16" s="9"/>
      <c r="I16" s="10"/>
      <c r="J16" s="99"/>
      <c r="K16" s="99"/>
    </row>
    <row r="17" spans="1:11" ht="14.45">
      <c r="A17" s="9"/>
      <c r="B17" s="14"/>
      <c r="C17" s="9"/>
      <c r="D17" s="9"/>
      <c r="E17" s="9"/>
      <c r="F17" s="10"/>
      <c r="G17" s="9"/>
      <c r="H17" s="9"/>
      <c r="I17" s="10"/>
      <c r="J17" s="99"/>
      <c r="K17" s="99"/>
    </row>
    <row r="18" spans="1:11" ht="14.45">
      <c r="A18" s="9"/>
      <c r="B18" s="14"/>
      <c r="C18" s="9"/>
      <c r="D18" s="9"/>
      <c r="E18" s="9"/>
      <c r="F18" s="10"/>
      <c r="G18" s="9"/>
      <c r="H18" s="9"/>
      <c r="I18" s="10"/>
      <c r="J18" s="99"/>
      <c r="K18" s="99"/>
    </row>
    <row r="19" spans="1:11" ht="14.45">
      <c r="A19" s="9"/>
      <c r="B19" s="14"/>
      <c r="C19" s="9"/>
      <c r="D19" s="9"/>
      <c r="E19" s="9"/>
      <c r="F19" s="10"/>
      <c r="G19" s="9"/>
      <c r="H19" s="9"/>
      <c r="I19" s="10"/>
      <c r="J19" s="99"/>
      <c r="K19" s="99"/>
    </row>
    <row r="20" spans="1:11" ht="14.45">
      <c r="A20" s="9"/>
      <c r="B20" s="14"/>
      <c r="C20" s="9"/>
      <c r="D20" s="9"/>
      <c r="E20" s="9"/>
      <c r="F20" s="10"/>
      <c r="G20" s="9"/>
      <c r="H20" s="9"/>
      <c r="I20" s="10"/>
      <c r="J20" s="99"/>
      <c r="K20" s="99"/>
    </row>
    <row r="21" spans="1:11" ht="14.45">
      <c r="A21" s="9"/>
      <c r="B21" s="14"/>
      <c r="C21" s="9"/>
      <c r="D21" s="9"/>
      <c r="E21" s="9"/>
      <c r="F21" s="10"/>
      <c r="G21" s="9"/>
      <c r="H21" s="9"/>
      <c r="I21" s="10"/>
      <c r="J21" s="99"/>
      <c r="K21" s="99"/>
    </row>
    <row r="22" spans="1:11" ht="14.45">
      <c r="A22" s="9"/>
      <c r="B22" s="14"/>
      <c r="C22" s="9"/>
      <c r="D22" s="9"/>
      <c r="E22" s="9"/>
      <c r="F22" s="10"/>
      <c r="G22" s="9"/>
      <c r="H22" s="9"/>
      <c r="I22" s="10"/>
      <c r="J22" s="99"/>
      <c r="K22" s="99"/>
    </row>
    <row r="23" spans="1:11" ht="14.45">
      <c r="A23" s="9"/>
      <c r="B23" s="14"/>
      <c r="C23" s="9"/>
      <c r="D23" s="9"/>
      <c r="E23" s="9"/>
      <c r="F23" s="10"/>
      <c r="G23" s="9"/>
      <c r="H23" s="9"/>
      <c r="I23" s="10"/>
      <c r="J23" s="99"/>
      <c r="K23" s="99"/>
    </row>
    <row r="24" spans="1:11" ht="14.45">
      <c r="A24" s="9"/>
      <c r="B24" s="14"/>
      <c r="C24" s="9"/>
      <c r="D24" s="9"/>
      <c r="E24" s="9"/>
      <c r="F24" s="10"/>
      <c r="G24" s="9"/>
      <c r="H24" s="9"/>
      <c r="I24" s="10"/>
      <c r="J24" s="99"/>
      <c r="K24" s="99"/>
    </row>
    <row r="25" spans="1:11" ht="14.45">
      <c r="A25" s="9"/>
      <c r="B25" s="14"/>
      <c r="C25" s="9"/>
      <c r="D25" s="9"/>
      <c r="E25" s="9"/>
      <c r="F25" s="10"/>
      <c r="G25" s="9"/>
      <c r="H25" s="9"/>
      <c r="I25" s="10"/>
      <c r="J25" s="99"/>
      <c r="K25" s="99"/>
    </row>
    <row r="26" spans="1:11" ht="14.45">
      <c r="A26" s="9"/>
      <c r="B26" s="14"/>
      <c r="C26" s="9"/>
      <c r="D26" s="9"/>
      <c r="E26" s="9"/>
      <c r="F26" s="10"/>
      <c r="G26" s="9"/>
      <c r="H26" s="9"/>
      <c r="I26" s="10"/>
      <c r="J26" s="99"/>
      <c r="K26" s="99"/>
    </row>
    <row r="27" spans="1:11" ht="14.45">
      <c r="A27" s="9"/>
      <c r="B27" s="14"/>
      <c r="C27" s="9"/>
      <c r="D27" s="9"/>
      <c r="E27" s="9"/>
      <c r="F27" s="10"/>
      <c r="G27" s="9"/>
      <c r="H27" s="9"/>
      <c r="I27" s="10"/>
      <c r="J27" s="99"/>
      <c r="K27" s="99"/>
    </row>
    <row r="28" spans="1:11" ht="14.45">
      <c r="A28" s="9"/>
      <c r="B28" s="14"/>
      <c r="C28" s="9"/>
      <c r="D28" s="9"/>
      <c r="E28" s="9"/>
      <c r="F28" s="10"/>
      <c r="G28" s="9"/>
      <c r="H28" s="9"/>
      <c r="I28" s="10"/>
      <c r="J28" s="99"/>
      <c r="K28" s="99"/>
    </row>
    <row r="29" spans="1:11" ht="14.45">
      <c r="A29" s="9"/>
      <c r="B29" s="14"/>
      <c r="C29" s="9"/>
      <c r="D29" s="9"/>
      <c r="E29" s="9"/>
      <c r="F29" s="10"/>
      <c r="G29" s="9"/>
      <c r="H29" s="9"/>
      <c r="I29" s="10"/>
      <c r="J29" s="99"/>
      <c r="K29" s="99"/>
    </row>
    <row r="30" spans="1:11" ht="14.45">
      <c r="A30" s="9"/>
      <c r="B30" s="14"/>
      <c r="C30" s="9"/>
      <c r="D30" s="9"/>
      <c r="E30" s="9"/>
      <c r="F30" s="10"/>
      <c r="G30" s="9"/>
      <c r="H30" s="9"/>
      <c r="I30" s="10"/>
      <c r="J30" s="99"/>
      <c r="K30" s="99"/>
    </row>
    <row r="31" spans="1:11" ht="14.45">
      <c r="A31" s="9"/>
      <c r="B31" s="14"/>
      <c r="C31" s="9"/>
      <c r="D31" s="9"/>
      <c r="E31" s="9"/>
      <c r="F31" s="10"/>
      <c r="G31" s="9"/>
      <c r="H31" s="9"/>
      <c r="I31" s="10"/>
      <c r="J31" s="99"/>
      <c r="K31" s="99"/>
    </row>
    <row r="32" spans="1:11" ht="14.45">
      <c r="A32" s="9"/>
      <c r="B32" s="14"/>
      <c r="C32" s="9"/>
      <c r="D32" s="9"/>
      <c r="E32" s="9"/>
      <c r="F32" s="10"/>
      <c r="G32" s="9"/>
      <c r="H32" s="9"/>
      <c r="I32" s="10"/>
      <c r="J32" s="99"/>
      <c r="K32" s="99"/>
    </row>
    <row r="33" spans="1:11" ht="14.45">
      <c r="A33" s="9"/>
      <c r="B33" s="14"/>
      <c r="C33" s="9"/>
      <c r="D33" s="9"/>
      <c r="E33" s="9"/>
      <c r="F33" s="10"/>
      <c r="G33" s="9"/>
      <c r="H33" s="9"/>
      <c r="I33" s="10"/>
      <c r="J33" s="99"/>
      <c r="K33" s="99"/>
    </row>
    <row r="34" spans="1:11" ht="14.45">
      <c r="A34" s="9"/>
      <c r="B34" s="14"/>
      <c r="C34" s="9"/>
      <c r="D34" s="9"/>
      <c r="E34" s="9"/>
      <c r="F34" s="10"/>
      <c r="G34" s="9"/>
      <c r="H34" s="9"/>
      <c r="I34" s="10"/>
      <c r="J34" s="99"/>
      <c r="K34" s="99"/>
    </row>
    <row r="35" spans="1:11" ht="14.45">
      <c r="A35" s="9"/>
      <c r="B35" s="14"/>
      <c r="C35" s="9"/>
      <c r="D35" s="9"/>
      <c r="E35" s="9"/>
      <c r="F35" s="10"/>
      <c r="G35" s="9"/>
      <c r="H35" s="9"/>
      <c r="I35" s="10"/>
      <c r="J35" s="99"/>
      <c r="K35" s="99"/>
    </row>
    <row r="36" spans="1:11" ht="14.45">
      <c r="A36" s="9"/>
      <c r="B36" s="14"/>
      <c r="C36" s="9"/>
      <c r="D36" s="9"/>
      <c r="E36" s="9"/>
      <c r="F36" s="10"/>
      <c r="G36" s="9"/>
      <c r="H36" s="9"/>
      <c r="I36" s="10"/>
      <c r="J36" s="99"/>
      <c r="K36" s="99"/>
    </row>
    <row r="37" spans="1:11" ht="14.45">
      <c r="A37" s="9"/>
      <c r="B37" s="14"/>
      <c r="C37" s="9"/>
      <c r="D37" s="9"/>
      <c r="E37" s="9"/>
      <c r="F37" s="10"/>
      <c r="G37" s="9"/>
      <c r="H37" s="9"/>
      <c r="I37" s="10"/>
      <c r="J37" s="99"/>
      <c r="K37" s="99"/>
    </row>
    <row r="38" spans="1:11" ht="14.45">
      <c r="A38" s="9"/>
      <c r="B38" s="14"/>
      <c r="C38" s="9"/>
      <c r="D38" s="9"/>
      <c r="E38" s="9"/>
      <c r="F38" s="10"/>
      <c r="G38" s="9"/>
      <c r="H38" s="9"/>
      <c r="I38" s="10"/>
      <c r="J38" s="99"/>
      <c r="K38" s="99"/>
    </row>
    <row r="39" spans="1:11" ht="14.45">
      <c r="A39" s="9"/>
      <c r="B39" s="14"/>
      <c r="C39" s="9"/>
      <c r="D39" s="9"/>
      <c r="E39" s="9"/>
      <c r="F39" s="10"/>
      <c r="G39" s="9"/>
      <c r="H39" s="9"/>
      <c r="I39" s="10"/>
      <c r="J39" s="99"/>
      <c r="K39" s="99"/>
    </row>
    <row r="40" spans="1:11" ht="14.45">
      <c r="A40" s="9"/>
      <c r="B40" s="14"/>
      <c r="C40" s="9"/>
      <c r="D40" s="9"/>
      <c r="E40" s="9"/>
      <c r="F40" s="10"/>
      <c r="G40" s="9"/>
      <c r="H40" s="9"/>
      <c r="I40" s="10"/>
      <c r="J40" s="99"/>
      <c r="K40" s="99"/>
    </row>
    <row r="41" spans="1:11" ht="14.45">
      <c r="A41" s="9"/>
      <c r="B41" s="14"/>
      <c r="C41" s="9"/>
      <c r="D41" s="9"/>
      <c r="E41" s="9"/>
      <c r="F41" s="10"/>
      <c r="G41" s="9"/>
      <c r="H41" s="9"/>
      <c r="I41" s="10"/>
      <c r="J41" s="99"/>
      <c r="K41" s="99"/>
    </row>
    <row r="42" spans="1:11" ht="14.45">
      <c r="A42" s="9"/>
      <c r="B42" s="14"/>
      <c r="C42" s="9"/>
      <c r="D42" s="9"/>
      <c r="E42" s="9"/>
      <c r="F42" s="10"/>
      <c r="G42" s="9"/>
      <c r="H42" s="9"/>
      <c r="I42" s="10"/>
      <c r="J42" s="99"/>
      <c r="K42" s="99"/>
    </row>
    <row r="43" spans="1:11" ht="14.45">
      <c r="A43" s="9"/>
      <c r="B43" s="14"/>
      <c r="C43" s="9"/>
      <c r="D43" s="9"/>
      <c r="E43" s="9"/>
      <c r="F43" s="10"/>
      <c r="G43" s="9"/>
      <c r="H43" s="9"/>
      <c r="I43" s="10"/>
      <c r="J43" s="99"/>
      <c r="K43" s="99"/>
    </row>
    <row r="44" spans="1:11" ht="14.45">
      <c r="A44" s="9"/>
      <c r="B44" s="14"/>
      <c r="C44" s="9"/>
      <c r="D44" s="9"/>
      <c r="E44" s="9"/>
      <c r="F44" s="10"/>
      <c r="G44" s="9"/>
      <c r="H44" s="9"/>
      <c r="I44" s="10"/>
      <c r="J44" s="99"/>
      <c r="K44" s="99"/>
    </row>
    <row r="45" spans="1:11" ht="14.45">
      <c r="A45" s="9"/>
      <c r="B45" s="14"/>
      <c r="C45" s="9"/>
      <c r="D45" s="9"/>
      <c r="E45" s="9"/>
      <c r="F45" s="10"/>
      <c r="G45" s="9"/>
      <c r="H45" s="9"/>
      <c r="I45" s="10"/>
      <c r="J45" s="99"/>
      <c r="K45" s="99"/>
    </row>
    <row r="46" spans="1:11" ht="14.45">
      <c r="A46" s="9"/>
      <c r="B46" s="14"/>
      <c r="C46" s="9"/>
      <c r="D46" s="9"/>
      <c r="E46" s="9"/>
      <c r="F46" s="10"/>
      <c r="G46" s="9"/>
      <c r="H46" s="9"/>
      <c r="I46" s="10"/>
      <c r="J46" s="99"/>
      <c r="K46" s="99"/>
    </row>
    <row r="47" spans="1:11" ht="14.45">
      <c r="A47" s="9"/>
      <c r="B47" s="14"/>
      <c r="C47" s="9"/>
      <c r="D47" s="9"/>
      <c r="E47" s="9"/>
      <c r="F47" s="10"/>
      <c r="G47" s="9"/>
      <c r="H47" s="9"/>
      <c r="I47" s="10"/>
      <c r="J47" s="99"/>
      <c r="K47" s="99"/>
    </row>
    <row r="48" spans="1:11" ht="14.45">
      <c r="A48" s="9"/>
      <c r="B48" s="14"/>
      <c r="C48" s="9"/>
      <c r="D48" s="9"/>
      <c r="E48" s="9"/>
      <c r="F48" s="10"/>
      <c r="G48" s="9"/>
      <c r="H48" s="9"/>
      <c r="I48" s="10"/>
      <c r="J48" s="99"/>
      <c r="K48" s="99"/>
    </row>
    <row r="49" spans="1:11" ht="14.45">
      <c r="A49" s="9"/>
      <c r="B49" s="14"/>
      <c r="C49" s="9"/>
      <c r="D49" s="9"/>
      <c r="E49" s="9"/>
      <c r="F49" s="10"/>
      <c r="G49" s="9"/>
      <c r="H49" s="9"/>
      <c r="I49" s="10"/>
      <c r="J49" s="99"/>
      <c r="K49" s="99"/>
    </row>
    <row r="50" spans="1:11" ht="14.45">
      <c r="A50" s="9"/>
      <c r="B50" s="14"/>
      <c r="C50" s="9"/>
      <c r="D50" s="9"/>
      <c r="E50" s="9"/>
      <c r="F50" s="10"/>
      <c r="G50" s="9"/>
      <c r="H50" s="9"/>
      <c r="I50" s="10"/>
      <c r="J50" s="99"/>
      <c r="K50" s="99"/>
    </row>
    <row r="51" spans="1:11" ht="14.45">
      <c r="A51" s="9"/>
      <c r="B51" s="14"/>
      <c r="C51" s="9"/>
      <c r="D51" s="9"/>
      <c r="E51" s="9"/>
      <c r="F51" s="10"/>
      <c r="G51" s="9"/>
      <c r="H51" s="9"/>
      <c r="I51" s="10"/>
      <c r="J51" s="99"/>
      <c r="K51" s="99"/>
    </row>
    <row r="52" spans="1:11" ht="14.45">
      <c r="A52" s="9"/>
      <c r="B52" s="14"/>
      <c r="C52" s="9"/>
      <c r="D52" s="9"/>
      <c r="E52" s="9"/>
      <c r="F52" s="10"/>
      <c r="G52" s="9"/>
      <c r="H52" s="9"/>
      <c r="I52" s="10"/>
      <c r="J52" s="99"/>
      <c r="K52" s="99"/>
    </row>
    <row r="53" spans="1:11" ht="14.45">
      <c r="A53" s="9"/>
      <c r="B53" s="14"/>
      <c r="C53" s="9"/>
      <c r="D53" s="9"/>
      <c r="E53" s="9"/>
      <c r="F53" s="10"/>
      <c r="G53" s="9"/>
      <c r="H53" s="9"/>
      <c r="I53" s="10"/>
      <c r="J53" s="99"/>
      <c r="K53" s="99"/>
    </row>
    <row r="54" spans="1:11" ht="14.45">
      <c r="A54" s="9"/>
      <c r="B54" s="14"/>
      <c r="C54" s="9"/>
      <c r="D54" s="9"/>
      <c r="E54" s="9"/>
      <c r="F54" s="10"/>
      <c r="G54" s="9"/>
      <c r="H54" s="9"/>
      <c r="I54" s="10"/>
      <c r="J54" s="99"/>
      <c r="K54" s="99"/>
    </row>
    <row r="55" spans="1:11" ht="14.45">
      <c r="A55" s="9"/>
      <c r="B55" s="14"/>
      <c r="C55" s="9"/>
      <c r="D55" s="9"/>
      <c r="E55" s="9"/>
      <c r="F55" s="10"/>
      <c r="G55" s="9"/>
      <c r="H55" s="9"/>
      <c r="I55" s="10"/>
      <c r="J55" s="99"/>
      <c r="K55" s="99"/>
    </row>
    <row r="56" spans="1:11" ht="14.45">
      <c r="A56" s="9"/>
      <c r="B56" s="14"/>
      <c r="C56" s="9"/>
      <c r="D56" s="9"/>
      <c r="E56" s="9"/>
      <c r="F56" s="10"/>
      <c r="G56" s="9"/>
      <c r="H56" s="9"/>
      <c r="I56" s="10"/>
      <c r="J56" s="99"/>
      <c r="K56" s="99"/>
    </row>
    <row r="57" spans="1:11" ht="14.45">
      <c r="A57" s="9"/>
      <c r="B57" s="14"/>
      <c r="C57" s="9"/>
      <c r="D57" s="9"/>
      <c r="E57" s="9"/>
      <c r="F57" s="10"/>
      <c r="G57" s="9"/>
      <c r="H57" s="9"/>
      <c r="I57" s="10"/>
      <c r="J57" s="99"/>
      <c r="K57" s="99"/>
    </row>
    <row r="58" spans="1:11" ht="14.45">
      <c r="A58" s="9"/>
      <c r="B58" s="14"/>
      <c r="C58" s="9"/>
      <c r="D58" s="9"/>
      <c r="E58" s="9"/>
      <c r="F58" s="10"/>
      <c r="G58" s="9"/>
      <c r="H58" s="9"/>
      <c r="I58" s="10"/>
      <c r="J58" s="99"/>
      <c r="K58" s="99"/>
    </row>
    <row r="59" spans="1:11" ht="14.45">
      <c r="A59" s="9"/>
      <c r="B59" s="14"/>
      <c r="C59" s="9"/>
      <c r="D59" s="9"/>
      <c r="E59" s="9"/>
      <c r="F59" s="10"/>
      <c r="G59" s="9"/>
      <c r="H59" s="9"/>
      <c r="I59" s="10"/>
      <c r="J59" s="99"/>
      <c r="K59" s="99"/>
    </row>
    <row r="60" spans="1:11" ht="14.45">
      <c r="A60" s="9"/>
      <c r="B60" s="14"/>
      <c r="C60" s="9"/>
      <c r="D60" s="9"/>
      <c r="E60" s="9"/>
      <c r="F60" s="10"/>
      <c r="G60" s="9"/>
      <c r="H60" s="9"/>
      <c r="I60" s="10"/>
      <c r="J60" s="99"/>
      <c r="K60" s="99"/>
    </row>
    <row r="61" spans="1:11" ht="14.45">
      <c r="A61" s="9"/>
      <c r="B61" s="14"/>
      <c r="C61" s="9"/>
      <c r="D61" s="9"/>
      <c r="E61" s="9"/>
      <c r="F61" s="10"/>
      <c r="G61" s="9"/>
      <c r="H61" s="9"/>
      <c r="I61" s="10"/>
      <c r="J61" s="99"/>
      <c r="K61" s="99"/>
    </row>
    <row r="62" spans="1:11" ht="14.45">
      <c r="A62" s="9"/>
      <c r="B62" s="14"/>
      <c r="C62" s="9"/>
      <c r="D62" s="9"/>
      <c r="E62" s="9"/>
      <c r="F62" s="10"/>
      <c r="G62" s="9"/>
      <c r="H62" s="9"/>
      <c r="I62" s="10"/>
      <c r="J62" s="99"/>
      <c r="K62" s="99"/>
    </row>
    <row r="63" spans="1:11" ht="14.45">
      <c r="A63" s="9"/>
      <c r="B63" s="14"/>
      <c r="C63" s="9"/>
      <c r="D63" s="9"/>
      <c r="E63" s="9"/>
      <c r="F63" s="10"/>
      <c r="G63" s="9"/>
      <c r="H63" s="9"/>
      <c r="I63" s="10"/>
      <c r="J63" s="99"/>
      <c r="K63" s="99"/>
    </row>
    <row r="64" spans="1:11" ht="14.45">
      <c r="A64" s="9"/>
      <c r="B64" s="14"/>
      <c r="C64" s="9"/>
      <c r="D64" s="9"/>
      <c r="E64" s="9"/>
      <c r="F64" s="10"/>
      <c r="G64" s="9"/>
      <c r="H64" s="9"/>
      <c r="I64" s="10"/>
      <c r="J64" s="99"/>
      <c r="K64" s="99"/>
    </row>
    <row r="65" spans="1:11" ht="14.45">
      <c r="A65" s="9"/>
      <c r="B65" s="14"/>
      <c r="C65" s="9"/>
      <c r="D65" s="9"/>
      <c r="E65" s="9"/>
      <c r="F65" s="10"/>
      <c r="G65" s="9"/>
      <c r="H65" s="9"/>
      <c r="I65" s="10"/>
      <c r="J65" s="99"/>
      <c r="K65" s="99"/>
    </row>
    <row r="66" spans="1:11" ht="14.45">
      <c r="A66" s="9"/>
      <c r="B66" s="14"/>
      <c r="C66" s="9"/>
      <c r="D66" s="9"/>
      <c r="E66" s="9"/>
      <c r="F66" s="10"/>
      <c r="G66" s="9"/>
      <c r="H66" s="9"/>
      <c r="I66" s="10"/>
      <c r="J66" s="99"/>
      <c r="K66" s="99"/>
    </row>
    <row r="67" spans="1:11" ht="14.45">
      <c r="A67" s="9"/>
      <c r="B67" s="14"/>
      <c r="C67" s="9"/>
      <c r="D67" s="9"/>
      <c r="E67" s="9"/>
      <c r="F67" s="10"/>
      <c r="G67" s="9"/>
      <c r="H67" s="9"/>
      <c r="I67" s="10"/>
      <c r="J67" s="99"/>
      <c r="K67" s="99"/>
    </row>
    <row r="68" spans="1:11" ht="14.45">
      <c r="A68" s="9"/>
      <c r="B68" s="14"/>
      <c r="C68" s="9"/>
      <c r="D68" s="9"/>
      <c r="E68" s="9"/>
      <c r="F68" s="10"/>
      <c r="G68" s="9"/>
      <c r="H68" s="9"/>
      <c r="I68" s="10"/>
      <c r="J68" s="99"/>
      <c r="K68" s="99"/>
    </row>
    <row r="69" spans="1:11" ht="14.45">
      <c r="A69" s="9"/>
      <c r="B69" s="14"/>
      <c r="C69" s="9"/>
      <c r="D69" s="9"/>
      <c r="E69" s="9"/>
      <c r="F69" s="10"/>
      <c r="G69" s="9"/>
      <c r="H69" s="9"/>
      <c r="I69" s="10"/>
      <c r="J69" s="99"/>
      <c r="K69" s="99"/>
    </row>
    <row r="70" spans="1:11" ht="14.45">
      <c r="A70" s="9"/>
      <c r="B70" s="14"/>
      <c r="C70" s="9"/>
      <c r="D70" s="9"/>
      <c r="E70" s="9"/>
      <c r="F70" s="10"/>
      <c r="G70" s="9"/>
      <c r="H70" s="9"/>
      <c r="I70" s="10"/>
      <c r="J70" s="99"/>
      <c r="K70" s="99"/>
    </row>
    <row r="71" spans="1:11" ht="14.45">
      <c r="A71" s="9"/>
      <c r="B71" s="14"/>
      <c r="C71" s="9"/>
      <c r="D71" s="9"/>
      <c r="E71" s="9"/>
      <c r="F71" s="10"/>
      <c r="G71" s="9"/>
      <c r="H71" s="9"/>
      <c r="I71" s="10"/>
      <c r="J71" s="99"/>
      <c r="K71" s="99"/>
    </row>
    <row r="72" spans="1:11" ht="14.45">
      <c r="A72" s="9"/>
      <c r="B72" s="14"/>
      <c r="C72" s="9"/>
      <c r="D72" s="9"/>
      <c r="E72" s="9"/>
      <c r="F72" s="10"/>
      <c r="G72" s="9"/>
      <c r="H72" s="9"/>
      <c r="I72" s="10"/>
      <c r="J72" s="99"/>
      <c r="K72" s="99"/>
    </row>
    <row r="73" spans="1:11" ht="14.45">
      <c r="A73" s="9"/>
      <c r="B73" s="14"/>
      <c r="C73" s="9"/>
      <c r="D73" s="9"/>
      <c r="E73" s="9"/>
      <c r="F73" s="10"/>
      <c r="G73" s="9"/>
      <c r="H73" s="9"/>
      <c r="I73" s="10"/>
      <c r="J73" s="99"/>
      <c r="K73" s="99"/>
    </row>
    <row r="74" spans="1:11" ht="14.45">
      <c r="A74" s="9"/>
      <c r="B74" s="14"/>
      <c r="C74" s="9"/>
      <c r="D74" s="9"/>
      <c r="E74" s="9"/>
      <c r="F74" s="10"/>
      <c r="G74" s="9"/>
      <c r="H74" s="9"/>
      <c r="I74" s="10"/>
      <c r="J74" s="99"/>
      <c r="K74" s="99"/>
    </row>
    <row r="75" spans="1:11" ht="14.45">
      <c r="A75" s="9"/>
      <c r="B75" s="14"/>
      <c r="C75" s="9"/>
      <c r="D75" s="9"/>
      <c r="E75" s="9"/>
      <c r="F75" s="10"/>
      <c r="G75" s="9"/>
      <c r="H75" s="9"/>
      <c r="I75" s="10"/>
      <c r="J75" s="99"/>
      <c r="K75" s="99"/>
    </row>
    <row r="76" spans="1:11" ht="14.45">
      <c r="A76" s="9"/>
      <c r="B76" s="14"/>
      <c r="C76" s="9"/>
      <c r="D76" s="9"/>
      <c r="E76" s="9"/>
      <c r="F76" s="10"/>
      <c r="G76" s="9"/>
      <c r="H76" s="9"/>
      <c r="I76" s="10"/>
      <c r="J76" s="99"/>
      <c r="K76" s="99"/>
    </row>
    <row r="77" spans="1:11" ht="14.45">
      <c r="A77" s="9"/>
      <c r="B77" s="14"/>
      <c r="C77" s="9"/>
      <c r="D77" s="9"/>
      <c r="E77" s="9"/>
      <c r="F77" s="10"/>
      <c r="G77" s="9"/>
      <c r="H77" s="9"/>
      <c r="I77" s="10"/>
      <c r="J77" s="99"/>
      <c r="K77" s="99"/>
    </row>
    <row r="78" spans="1:11" ht="14.45">
      <c r="A78" s="9"/>
      <c r="B78" s="14"/>
      <c r="C78" s="9"/>
      <c r="D78" s="9"/>
      <c r="E78" s="9"/>
      <c r="F78" s="10"/>
      <c r="G78" s="9"/>
      <c r="H78" s="9"/>
      <c r="I78" s="10"/>
      <c r="J78" s="99"/>
      <c r="K78" s="99"/>
    </row>
    <row r="79" spans="1:11" ht="14.45">
      <c r="A79" s="9"/>
      <c r="B79" s="14"/>
      <c r="C79" s="9"/>
      <c r="D79" s="9"/>
      <c r="E79" s="9"/>
      <c r="F79" s="10"/>
      <c r="G79" s="9"/>
      <c r="H79" s="9"/>
      <c r="I79" s="10"/>
      <c r="J79" s="99"/>
      <c r="K79" s="99"/>
    </row>
    <row r="80" spans="1:11" ht="14.45">
      <c r="A80" s="9"/>
      <c r="B80" s="14"/>
      <c r="C80" s="9"/>
      <c r="D80" s="9"/>
      <c r="E80" s="9"/>
      <c r="F80" s="10"/>
      <c r="G80" s="9"/>
      <c r="H80" s="9"/>
      <c r="I80" s="10"/>
      <c r="J80" s="99"/>
      <c r="K80" s="99"/>
    </row>
    <row r="81" spans="1:11" ht="14.45">
      <c r="A81" s="9"/>
      <c r="B81" s="14"/>
      <c r="C81" s="9"/>
      <c r="D81" s="9"/>
      <c r="E81" s="9"/>
      <c r="F81" s="10"/>
      <c r="G81" s="9"/>
      <c r="H81" s="9"/>
      <c r="I81" s="10"/>
      <c r="J81" s="99"/>
      <c r="K81" s="99"/>
    </row>
    <row r="82" spans="1:11" ht="14.45">
      <c r="A82" s="9"/>
      <c r="B82" s="14"/>
      <c r="C82" s="9"/>
      <c r="D82" s="9"/>
      <c r="E82" s="9"/>
      <c r="F82" s="10"/>
      <c r="G82" s="9"/>
      <c r="H82" s="9"/>
      <c r="I82" s="10"/>
      <c r="J82" s="99"/>
      <c r="K82" s="99"/>
    </row>
    <row r="83" spans="1:11" ht="14.45">
      <c r="A83" s="9"/>
      <c r="B83" s="14"/>
      <c r="C83" s="9"/>
      <c r="D83" s="9"/>
      <c r="E83" s="9"/>
      <c r="F83" s="10"/>
      <c r="G83" s="9"/>
      <c r="H83" s="9"/>
      <c r="I83" s="10"/>
      <c r="J83" s="99"/>
      <c r="K83" s="99"/>
    </row>
    <row r="84" spans="1:11" ht="14.45">
      <c r="A84" s="9"/>
      <c r="B84" s="14"/>
      <c r="C84" s="9"/>
      <c r="D84" s="9"/>
      <c r="E84" s="9"/>
      <c r="F84" s="10"/>
      <c r="G84" s="9"/>
      <c r="H84" s="9"/>
      <c r="I84" s="10"/>
      <c r="J84" s="99"/>
      <c r="K84" s="99"/>
    </row>
    <row r="85" spans="1:11" ht="14.45">
      <c r="A85" s="9"/>
      <c r="B85" s="14"/>
      <c r="C85" s="9"/>
      <c r="D85" s="9"/>
      <c r="E85" s="9"/>
      <c r="F85" s="10"/>
      <c r="G85" s="9"/>
      <c r="H85" s="9"/>
      <c r="I85" s="10"/>
      <c r="J85" s="99"/>
      <c r="K85" s="99"/>
    </row>
    <row r="86" spans="1:11" ht="14.45">
      <c r="A86" s="9"/>
      <c r="B86" s="14"/>
      <c r="C86" s="9"/>
      <c r="D86" s="9"/>
      <c r="E86" s="9"/>
      <c r="F86" s="10"/>
      <c r="G86" s="9"/>
      <c r="H86" s="9"/>
      <c r="I86" s="10"/>
      <c r="J86" s="99"/>
      <c r="K86" s="99"/>
    </row>
    <row r="87" spans="1:11" ht="14.45">
      <c r="A87" s="9"/>
      <c r="B87" s="14"/>
      <c r="C87" s="9"/>
      <c r="D87" s="9"/>
      <c r="E87" s="9"/>
      <c r="F87" s="10"/>
      <c r="G87" s="9"/>
      <c r="H87" s="9"/>
      <c r="I87" s="10"/>
      <c r="J87" s="99"/>
      <c r="K87" s="99"/>
    </row>
    <row r="88" spans="1:11" ht="14.45">
      <c r="A88" s="9"/>
      <c r="B88" s="14"/>
      <c r="C88" s="9"/>
      <c r="D88" s="9"/>
      <c r="E88" s="9"/>
      <c r="F88" s="10"/>
      <c r="G88" s="9"/>
      <c r="H88" s="9"/>
      <c r="I88" s="10"/>
      <c r="J88" s="99"/>
      <c r="K88" s="99"/>
    </row>
    <row r="89" spans="1:11" ht="14.45">
      <c r="A89" s="9"/>
      <c r="B89" s="14"/>
      <c r="C89" s="9"/>
      <c r="D89" s="9"/>
      <c r="E89" s="9"/>
      <c r="F89" s="10"/>
      <c r="G89" s="9"/>
      <c r="H89" s="9"/>
      <c r="I89" s="10"/>
      <c r="J89" s="99"/>
      <c r="K89" s="99"/>
    </row>
    <row r="90" spans="1:11" ht="14.45">
      <c r="A90" s="9"/>
      <c r="B90" s="14"/>
      <c r="C90" s="9"/>
      <c r="D90" s="9"/>
      <c r="E90" s="9"/>
      <c r="F90" s="10"/>
      <c r="G90" s="9"/>
      <c r="H90" s="9"/>
      <c r="I90" s="10"/>
      <c r="J90" s="99"/>
      <c r="K90" s="99"/>
    </row>
    <row r="91" spans="1:11" ht="14.45">
      <c r="A91" s="9"/>
      <c r="B91" s="14"/>
      <c r="C91" s="9"/>
      <c r="D91" s="9"/>
      <c r="E91" s="9"/>
      <c r="F91" s="10"/>
      <c r="G91" s="9"/>
      <c r="H91" s="9"/>
      <c r="I91" s="10"/>
      <c r="J91" s="99"/>
      <c r="K91" s="99"/>
    </row>
    <row r="92" spans="1:11" ht="14.45">
      <c r="A92" s="9"/>
      <c r="B92" s="14"/>
      <c r="C92" s="9"/>
      <c r="D92" s="9"/>
      <c r="E92" s="9"/>
      <c r="F92" s="10"/>
      <c r="G92" s="9"/>
      <c r="H92" s="9"/>
      <c r="I92" s="10"/>
      <c r="J92" s="99"/>
      <c r="K92" s="99"/>
    </row>
    <row r="93" spans="1:11" ht="14.45">
      <c r="A93" s="9"/>
      <c r="B93" s="14"/>
      <c r="C93" s="9"/>
      <c r="D93" s="9"/>
      <c r="E93" s="9"/>
      <c r="F93" s="10"/>
      <c r="G93" s="9"/>
      <c r="H93" s="9"/>
      <c r="I93" s="10"/>
      <c r="J93" s="99"/>
      <c r="K93" s="99"/>
    </row>
    <row r="94" spans="1:11" ht="14.45">
      <c r="A94" s="9"/>
      <c r="B94" s="14"/>
      <c r="C94" s="9"/>
      <c r="D94" s="9"/>
      <c r="E94" s="9"/>
      <c r="F94" s="10"/>
      <c r="G94" s="9"/>
      <c r="H94" s="9"/>
      <c r="I94" s="10"/>
      <c r="J94" s="99"/>
      <c r="K94" s="99"/>
    </row>
    <row r="95" spans="1:11" ht="14.45">
      <c r="A95" s="9"/>
      <c r="B95" s="14"/>
      <c r="C95" s="9"/>
      <c r="D95" s="9"/>
      <c r="E95" s="9"/>
      <c r="F95" s="10"/>
      <c r="G95" s="9"/>
      <c r="H95" s="9"/>
      <c r="I95" s="10"/>
      <c r="J95" s="99"/>
      <c r="K95" s="99"/>
    </row>
    <row r="96" spans="1:11" ht="14.45">
      <c r="A96" s="9"/>
      <c r="B96" s="14"/>
      <c r="C96" s="9"/>
      <c r="D96" s="9"/>
      <c r="E96" s="9"/>
      <c r="F96" s="10"/>
      <c r="G96" s="9"/>
      <c r="H96" s="9"/>
      <c r="I96" s="10"/>
      <c r="J96" s="99"/>
      <c r="K96" s="99"/>
    </row>
    <row r="97" spans="1:11" ht="14.45">
      <c r="A97" s="9"/>
      <c r="B97" s="14"/>
      <c r="C97" s="9"/>
      <c r="D97" s="9"/>
      <c r="E97" s="9"/>
      <c r="F97" s="10"/>
      <c r="G97" s="9"/>
      <c r="H97" s="9"/>
      <c r="I97" s="10"/>
      <c r="J97" s="99"/>
      <c r="K97" s="99"/>
    </row>
    <row r="98" spans="1:11" ht="14.45">
      <c r="A98" s="9"/>
      <c r="B98" s="14"/>
      <c r="C98" s="9"/>
      <c r="D98" s="9"/>
      <c r="E98" s="9"/>
      <c r="F98" s="10"/>
      <c r="G98" s="9"/>
      <c r="H98" s="9"/>
      <c r="I98" s="10"/>
      <c r="J98" s="99"/>
      <c r="K98" s="99"/>
    </row>
    <row r="99" spans="1:11" ht="14.45">
      <c r="A99" s="9"/>
      <c r="B99" s="14"/>
      <c r="C99" s="9"/>
      <c r="D99" s="9"/>
      <c r="E99" s="9"/>
      <c r="F99" s="10"/>
      <c r="G99" s="9"/>
      <c r="H99" s="9"/>
      <c r="I99" s="10"/>
      <c r="J99" s="99"/>
      <c r="K99" s="99"/>
    </row>
    <row r="100" spans="1:11" ht="14.45">
      <c r="A100" s="9"/>
      <c r="B100" s="14"/>
      <c r="C100" s="9"/>
      <c r="D100" s="9"/>
      <c r="E100" s="9"/>
      <c r="F100" s="10"/>
      <c r="G100" s="9"/>
      <c r="H100" s="9"/>
      <c r="I100" s="10"/>
      <c r="J100" s="99"/>
      <c r="K100" s="99"/>
    </row>
    <row r="101" spans="1:11" ht="14.45">
      <c r="A101" s="9"/>
      <c r="B101" s="14"/>
      <c r="C101" s="9"/>
      <c r="D101" s="9"/>
      <c r="E101" s="9"/>
      <c r="F101" s="10"/>
      <c r="G101" s="9"/>
      <c r="H101" s="9"/>
      <c r="I101" s="10"/>
      <c r="J101" s="99"/>
      <c r="K101" s="99"/>
    </row>
    <row r="102" spans="1:11" ht="14.45">
      <c r="A102" s="9"/>
      <c r="B102" s="14"/>
      <c r="C102" s="9"/>
      <c r="D102" s="9"/>
      <c r="E102" s="9"/>
      <c r="F102" s="10"/>
      <c r="G102" s="9"/>
      <c r="H102" s="9"/>
      <c r="I102" s="10"/>
      <c r="J102" s="99"/>
      <c r="K102" s="99"/>
    </row>
    <row r="103" spans="1:11" ht="14.45">
      <c r="A103" s="9"/>
      <c r="B103" s="14"/>
      <c r="C103" s="9"/>
      <c r="D103" s="9"/>
      <c r="E103" s="9"/>
      <c r="F103" s="10"/>
      <c r="G103" s="9"/>
      <c r="H103" s="9"/>
      <c r="I103" s="10"/>
      <c r="J103" s="99"/>
      <c r="K103" s="99"/>
    </row>
    <row r="104" spans="1:11" ht="14.45">
      <c r="A104" s="9"/>
      <c r="B104" s="14"/>
      <c r="C104" s="9"/>
      <c r="D104" s="9"/>
      <c r="E104" s="9"/>
      <c r="F104" s="10"/>
      <c r="G104" s="9"/>
      <c r="H104" s="9"/>
      <c r="I104" s="10"/>
      <c r="J104" s="99"/>
      <c r="K104" s="99"/>
    </row>
    <row r="105" spans="1:11" ht="14.45">
      <c r="A105" s="9"/>
      <c r="B105" s="14"/>
      <c r="C105" s="9"/>
      <c r="D105" s="9"/>
      <c r="E105" s="9"/>
      <c r="F105" s="10"/>
      <c r="G105" s="9"/>
      <c r="H105" s="9"/>
      <c r="I105" s="10"/>
      <c r="J105" s="99"/>
      <c r="K105" s="99"/>
    </row>
    <row r="106" spans="1:11" ht="14.45">
      <c r="A106" s="9"/>
      <c r="B106" s="14"/>
      <c r="C106" s="9"/>
      <c r="D106" s="9"/>
      <c r="E106" s="9"/>
      <c r="F106" s="10"/>
      <c r="G106" s="9"/>
      <c r="H106" s="9"/>
      <c r="I106" s="10"/>
      <c r="J106" s="99"/>
      <c r="K106" s="99"/>
    </row>
    <row r="107" spans="1:11" ht="14.45">
      <c r="A107" s="9"/>
      <c r="B107" s="14"/>
      <c r="C107" s="9"/>
      <c r="D107" s="9"/>
      <c r="E107" s="9"/>
      <c r="F107" s="10"/>
      <c r="G107" s="9"/>
      <c r="H107" s="9"/>
      <c r="I107" s="10"/>
      <c r="J107" s="99"/>
      <c r="K107" s="99"/>
    </row>
    <row r="108" spans="1:11" ht="14.45">
      <c r="A108" s="9"/>
      <c r="B108" s="14"/>
      <c r="C108" s="9"/>
      <c r="D108" s="9"/>
      <c r="E108" s="9"/>
      <c r="F108" s="10"/>
      <c r="G108" s="9"/>
      <c r="H108" s="9"/>
      <c r="I108" s="10"/>
      <c r="J108" s="99"/>
      <c r="K108" s="99"/>
    </row>
    <row r="109" spans="1:11" ht="14.45">
      <c r="A109" s="9"/>
      <c r="B109" s="14"/>
      <c r="C109" s="9"/>
      <c r="D109" s="9"/>
      <c r="E109" s="9"/>
      <c r="F109" s="10"/>
      <c r="G109" s="9"/>
      <c r="H109" s="9"/>
      <c r="I109" s="10"/>
      <c r="J109" s="99"/>
      <c r="K109" s="99"/>
    </row>
    <row r="110" spans="1:11" ht="14.45">
      <c r="A110" s="9"/>
      <c r="B110" s="14"/>
      <c r="C110" s="9"/>
      <c r="D110" s="9"/>
      <c r="E110" s="9"/>
      <c r="F110" s="10"/>
      <c r="G110" s="9"/>
      <c r="H110" s="9"/>
      <c r="I110" s="10"/>
      <c r="J110" s="99"/>
      <c r="K110" s="99"/>
    </row>
    <row r="111" spans="1:11" ht="14.45">
      <c r="A111" s="9"/>
      <c r="B111" s="14"/>
      <c r="C111" s="9"/>
      <c r="D111" s="9"/>
      <c r="E111" s="9"/>
      <c r="F111" s="10"/>
      <c r="G111" s="9"/>
      <c r="H111" s="9"/>
      <c r="I111" s="10"/>
      <c r="J111" s="99"/>
      <c r="K111" s="99"/>
    </row>
    <row r="112" spans="1:11" ht="14.45">
      <c r="A112" s="9"/>
      <c r="B112" s="14"/>
      <c r="C112" s="9"/>
      <c r="D112" s="9"/>
      <c r="E112" s="9"/>
      <c r="F112" s="10"/>
      <c r="G112" s="9"/>
      <c r="H112" s="9"/>
      <c r="I112" s="10"/>
      <c r="J112" s="99"/>
      <c r="K112" s="99"/>
    </row>
    <row r="113" spans="1:11" ht="14.45">
      <c r="A113" s="9"/>
      <c r="B113" s="14"/>
      <c r="C113" s="9"/>
      <c r="D113" s="9"/>
      <c r="E113" s="9"/>
      <c r="F113" s="10"/>
      <c r="G113" s="9"/>
      <c r="H113" s="9"/>
      <c r="I113" s="10"/>
      <c r="J113" s="99"/>
      <c r="K113" s="99"/>
    </row>
    <row r="114" spans="1:11" ht="14.45">
      <c r="A114" s="9"/>
      <c r="B114" s="14"/>
      <c r="C114" s="9"/>
      <c r="D114" s="9"/>
      <c r="E114" s="9"/>
      <c r="F114" s="10"/>
      <c r="G114" s="9"/>
      <c r="H114" s="9"/>
      <c r="I114" s="10"/>
      <c r="J114" s="99"/>
      <c r="K114" s="99"/>
    </row>
    <row r="115" spans="1:11" ht="14.45">
      <c r="A115" s="9"/>
      <c r="B115" s="14"/>
      <c r="C115" s="9"/>
      <c r="D115" s="9"/>
      <c r="E115" s="9"/>
      <c r="F115" s="10"/>
      <c r="G115" s="9"/>
      <c r="H115" s="9"/>
      <c r="I115" s="10"/>
      <c r="J115" s="99"/>
      <c r="K115" s="99"/>
    </row>
    <row r="116" spans="1:11" ht="14.45">
      <c r="A116" s="9"/>
      <c r="B116" s="14"/>
      <c r="C116" s="9"/>
      <c r="D116" s="9"/>
      <c r="E116" s="9"/>
      <c r="F116" s="10"/>
      <c r="G116" s="9"/>
      <c r="H116" s="9"/>
      <c r="I116" s="10"/>
      <c r="J116" s="99"/>
      <c r="K116" s="99"/>
    </row>
    <row r="117" spans="1:11" ht="14.45">
      <c r="A117" s="9"/>
      <c r="B117" s="14"/>
      <c r="C117" s="9"/>
      <c r="D117" s="9"/>
      <c r="E117" s="9"/>
      <c r="F117" s="10"/>
      <c r="G117" s="9"/>
      <c r="H117" s="9"/>
      <c r="I117" s="10"/>
      <c r="J117" s="99"/>
      <c r="K117" s="99"/>
    </row>
    <row r="118" spans="1:11" ht="14.45">
      <c r="A118" s="9"/>
      <c r="B118" s="14"/>
      <c r="C118" s="9"/>
      <c r="D118" s="9"/>
      <c r="E118" s="9"/>
      <c r="F118" s="10"/>
      <c r="G118" s="9"/>
      <c r="H118" s="9"/>
      <c r="I118" s="10"/>
      <c r="J118" s="99"/>
      <c r="K118" s="99"/>
    </row>
    <row r="119" spans="1:11" ht="14.45">
      <c r="A119" s="9"/>
      <c r="B119" s="14"/>
      <c r="C119" s="9"/>
      <c r="D119" s="9"/>
      <c r="E119" s="9"/>
      <c r="F119" s="10"/>
      <c r="G119" s="9"/>
      <c r="H119" s="9"/>
      <c r="I119" s="10"/>
      <c r="J119" s="99"/>
      <c r="K119" s="99"/>
    </row>
    <row r="120" spans="1:11" ht="14.45">
      <c r="A120" s="9"/>
      <c r="B120" s="14"/>
      <c r="C120" s="9"/>
      <c r="D120" s="9"/>
      <c r="E120" s="9"/>
      <c r="F120" s="10"/>
      <c r="G120" s="9"/>
      <c r="H120" s="9"/>
      <c r="I120" s="10"/>
      <c r="J120" s="99"/>
      <c r="K120" s="99"/>
    </row>
    <row r="121" spans="1:11" ht="14.45">
      <c r="A121" s="9"/>
      <c r="B121" s="14"/>
      <c r="C121" s="9"/>
      <c r="D121" s="9"/>
      <c r="E121" s="9"/>
      <c r="F121" s="10"/>
      <c r="G121" s="9"/>
      <c r="H121" s="9"/>
      <c r="I121" s="10"/>
      <c r="J121" s="99"/>
      <c r="K121" s="99"/>
    </row>
    <row r="122" spans="1:11" ht="14.45">
      <c r="A122" s="9"/>
      <c r="B122" s="14"/>
      <c r="C122" s="9"/>
      <c r="D122" s="9"/>
      <c r="E122" s="9"/>
      <c r="F122" s="10"/>
      <c r="G122" s="9"/>
      <c r="H122" s="9"/>
      <c r="I122" s="10"/>
      <c r="J122" s="99"/>
      <c r="K122" s="99"/>
    </row>
    <row r="123" spans="1:11" ht="14.45">
      <c r="A123" s="9"/>
      <c r="B123" s="14"/>
      <c r="C123" s="9"/>
      <c r="D123" s="9"/>
      <c r="E123" s="9"/>
      <c r="F123" s="10"/>
      <c r="G123" s="9"/>
      <c r="H123" s="9"/>
      <c r="I123" s="10"/>
      <c r="J123" s="99"/>
      <c r="K123" s="99"/>
    </row>
    <row r="124" spans="1:11" ht="14.45">
      <c r="A124" s="9"/>
      <c r="B124" s="14"/>
      <c r="C124" s="9"/>
      <c r="D124" s="9"/>
      <c r="E124" s="9"/>
      <c r="F124" s="10"/>
      <c r="G124" s="9"/>
      <c r="H124" s="9"/>
      <c r="I124" s="10"/>
      <c r="J124" s="99"/>
      <c r="K124" s="99"/>
    </row>
    <row r="125" spans="1:11" ht="14.45">
      <c r="A125" s="9"/>
      <c r="B125" s="14"/>
      <c r="C125" s="9"/>
      <c r="D125" s="9"/>
      <c r="E125" s="9"/>
      <c r="F125" s="10"/>
      <c r="G125" s="9"/>
      <c r="H125" s="9"/>
      <c r="I125" s="10"/>
      <c r="J125" s="99"/>
      <c r="K125" s="99"/>
    </row>
    <row r="126" spans="1:11" ht="14.45">
      <c r="A126" s="9"/>
      <c r="B126" s="14"/>
      <c r="C126" s="9"/>
      <c r="D126" s="9"/>
      <c r="E126" s="9"/>
      <c r="F126" s="10"/>
      <c r="G126" s="9"/>
      <c r="H126" s="9"/>
      <c r="I126" s="10"/>
      <c r="J126" s="99"/>
      <c r="K126" s="99"/>
    </row>
    <row r="127" spans="1:11" ht="14.45">
      <c r="A127" s="9"/>
      <c r="B127" s="14"/>
      <c r="C127" s="9"/>
      <c r="D127" s="9"/>
      <c r="E127" s="9"/>
      <c r="F127" s="10"/>
      <c r="G127" s="9"/>
      <c r="H127" s="9"/>
      <c r="I127" s="10"/>
      <c r="J127" s="99"/>
      <c r="K127" s="99"/>
    </row>
    <row r="128" spans="1:11" ht="14.45">
      <c r="A128" s="9"/>
      <c r="B128" s="14"/>
      <c r="C128" s="9"/>
      <c r="D128" s="9"/>
      <c r="E128" s="9"/>
      <c r="F128" s="10"/>
      <c r="G128" s="9"/>
      <c r="H128" s="9"/>
      <c r="I128" s="10"/>
      <c r="J128" s="99"/>
      <c r="K128" s="99"/>
    </row>
    <row r="129" spans="1:11" ht="14.45">
      <c r="A129" s="9"/>
      <c r="B129" s="14"/>
      <c r="C129" s="9"/>
      <c r="D129" s="9"/>
      <c r="E129" s="9"/>
      <c r="F129" s="10"/>
      <c r="G129" s="9"/>
      <c r="H129" s="9"/>
      <c r="I129" s="10"/>
      <c r="J129" s="99"/>
      <c r="K129" s="99"/>
    </row>
    <row r="130" spans="1:11" ht="14.45">
      <c r="A130" s="9"/>
      <c r="B130" s="14"/>
      <c r="C130" s="9"/>
      <c r="D130" s="9"/>
      <c r="E130" s="9"/>
      <c r="F130" s="10"/>
      <c r="G130" s="9"/>
      <c r="H130" s="9"/>
      <c r="I130" s="10"/>
      <c r="J130" s="99"/>
      <c r="K130" s="99"/>
    </row>
    <row r="131" spans="1:11" ht="14.45">
      <c r="A131" s="9"/>
      <c r="B131" s="14"/>
      <c r="C131" s="9"/>
      <c r="D131" s="9"/>
      <c r="E131" s="9"/>
      <c r="F131" s="10"/>
      <c r="G131" s="9"/>
      <c r="H131" s="9"/>
      <c r="I131" s="10"/>
      <c r="J131" s="99"/>
      <c r="K131" s="99"/>
    </row>
    <row r="132" spans="1:11" ht="14.45">
      <c r="A132" s="9"/>
      <c r="B132" s="14"/>
      <c r="C132" s="9"/>
      <c r="D132" s="9"/>
      <c r="E132" s="9"/>
      <c r="F132" s="10"/>
      <c r="G132" s="9"/>
      <c r="H132" s="9"/>
      <c r="I132" s="10"/>
      <c r="J132" s="99"/>
      <c r="K132" s="99"/>
    </row>
    <row r="133" spans="1:11" ht="14.45">
      <c r="A133" s="9"/>
      <c r="B133" s="14"/>
      <c r="C133" s="9"/>
      <c r="D133" s="9"/>
      <c r="E133" s="9"/>
      <c r="F133" s="10"/>
      <c r="G133" s="9"/>
      <c r="H133" s="9"/>
      <c r="I133" s="10"/>
      <c r="J133" s="99"/>
      <c r="K133" s="99"/>
    </row>
    <row r="134" spans="1:11" ht="14.45">
      <c r="A134" s="9"/>
      <c r="B134" s="14"/>
      <c r="C134" s="9"/>
      <c r="D134" s="9"/>
      <c r="E134" s="9"/>
      <c r="F134" s="10"/>
      <c r="G134" s="9"/>
      <c r="H134" s="9"/>
      <c r="I134" s="10"/>
      <c r="J134" s="99"/>
      <c r="K134" s="99"/>
    </row>
    <row r="135" spans="1:11" ht="14.45">
      <c r="A135" s="9"/>
      <c r="B135" s="14"/>
      <c r="C135" s="9"/>
      <c r="D135" s="9"/>
      <c r="E135" s="9"/>
      <c r="F135" s="10"/>
      <c r="G135" s="9"/>
      <c r="H135" s="9"/>
      <c r="I135" s="10"/>
      <c r="J135" s="99"/>
      <c r="K135" s="99"/>
    </row>
    <row r="136" spans="1:11" ht="14.45">
      <c r="A136" s="9"/>
      <c r="B136" s="14"/>
      <c r="C136" s="9"/>
      <c r="D136" s="9"/>
      <c r="E136" s="9"/>
      <c r="F136" s="10"/>
      <c r="G136" s="9"/>
      <c r="H136" s="9"/>
      <c r="I136" s="10"/>
      <c r="J136" s="99"/>
      <c r="K136" s="99"/>
    </row>
    <row r="137" spans="1:11" ht="14.45">
      <c r="A137" s="9"/>
      <c r="B137" s="14"/>
      <c r="C137" s="9"/>
      <c r="D137" s="9"/>
      <c r="E137" s="9"/>
      <c r="F137" s="10"/>
      <c r="G137" s="9"/>
      <c r="H137" s="9"/>
      <c r="I137" s="10"/>
      <c r="J137" s="99"/>
      <c r="K137" s="99"/>
    </row>
    <row r="138" spans="1:11" ht="14.45">
      <c r="A138" s="9"/>
      <c r="B138" s="14"/>
      <c r="C138" s="9"/>
      <c r="D138" s="9"/>
      <c r="E138" s="9"/>
      <c r="F138" s="10"/>
      <c r="G138" s="9"/>
      <c r="H138" s="9"/>
      <c r="I138" s="10"/>
      <c r="J138" s="99"/>
      <c r="K138" s="99"/>
    </row>
    <row r="139" spans="1:11" ht="14.45">
      <c r="A139" s="9"/>
      <c r="B139" s="14"/>
      <c r="C139" s="9"/>
      <c r="D139" s="9"/>
      <c r="E139" s="9"/>
      <c r="F139" s="10"/>
      <c r="G139" s="9"/>
      <c r="H139" s="9"/>
      <c r="I139" s="10"/>
      <c r="J139" s="99"/>
      <c r="K139" s="99"/>
    </row>
    <row r="140" spans="1:11" ht="14.45">
      <c r="A140" s="9"/>
      <c r="B140" s="14"/>
      <c r="C140" s="9"/>
      <c r="D140" s="9"/>
      <c r="E140" s="9"/>
      <c r="F140" s="10"/>
      <c r="G140" s="9"/>
      <c r="H140" s="9"/>
      <c r="I140" s="10"/>
      <c r="J140" s="99"/>
      <c r="K140" s="99"/>
    </row>
    <row r="141" spans="1:11" ht="14.45">
      <c r="A141" s="9"/>
      <c r="B141" s="14"/>
      <c r="C141" s="9"/>
      <c r="D141" s="9"/>
      <c r="E141" s="9"/>
      <c r="F141" s="10"/>
      <c r="G141" s="9"/>
      <c r="H141" s="9"/>
      <c r="I141" s="10"/>
      <c r="J141" s="99"/>
      <c r="K141" s="99"/>
    </row>
    <row r="142" spans="1:11" ht="14.45">
      <c r="A142" s="9"/>
      <c r="B142" s="14"/>
      <c r="C142" s="9"/>
      <c r="D142" s="9"/>
      <c r="E142" s="9"/>
      <c r="F142" s="10"/>
      <c r="G142" s="9"/>
      <c r="H142" s="9"/>
      <c r="I142" s="10"/>
      <c r="J142" s="99"/>
      <c r="K142" s="99"/>
    </row>
    <row r="143" spans="1:11" ht="14.45">
      <c r="A143" s="9"/>
      <c r="B143" s="14"/>
      <c r="C143" s="9"/>
      <c r="D143" s="9"/>
      <c r="E143" s="9"/>
      <c r="F143" s="10"/>
      <c r="G143" s="9"/>
      <c r="H143" s="9"/>
      <c r="I143" s="10"/>
      <c r="J143" s="99"/>
      <c r="K143" s="99"/>
    </row>
    <row r="144" spans="1:11" ht="14.45">
      <c r="A144" s="9"/>
      <c r="B144" s="14"/>
      <c r="C144" s="9"/>
      <c r="D144" s="9"/>
      <c r="E144" s="9"/>
      <c r="F144" s="10"/>
      <c r="G144" s="9"/>
      <c r="H144" s="9"/>
      <c r="I144" s="10"/>
      <c r="J144" s="99"/>
      <c r="K144" s="99"/>
    </row>
    <row r="145" spans="1:11" ht="14.45">
      <c r="A145" s="9"/>
      <c r="B145" s="14"/>
      <c r="C145" s="9"/>
      <c r="D145" s="9"/>
      <c r="E145" s="9"/>
      <c r="F145" s="10"/>
      <c r="G145" s="9"/>
      <c r="H145" s="9"/>
      <c r="I145" s="10"/>
      <c r="J145" s="99"/>
      <c r="K145" s="99"/>
    </row>
    <row r="146" spans="1:11" ht="14.45">
      <c r="A146" s="9"/>
      <c r="B146" s="14"/>
      <c r="C146" s="9"/>
      <c r="D146" s="9"/>
      <c r="E146" s="9"/>
      <c r="F146" s="10"/>
      <c r="G146" s="9"/>
      <c r="H146" s="9"/>
      <c r="I146" s="10"/>
      <c r="J146" s="99"/>
      <c r="K146" s="99"/>
    </row>
    <row r="147" spans="1:11" ht="14.45">
      <c r="A147" s="9"/>
      <c r="B147" s="14"/>
      <c r="C147" s="9"/>
      <c r="D147" s="9"/>
      <c r="E147" s="9"/>
      <c r="F147" s="10"/>
      <c r="G147" s="9"/>
      <c r="H147" s="9"/>
      <c r="I147" s="10"/>
      <c r="J147" s="99"/>
      <c r="K147" s="99"/>
    </row>
    <row r="148" spans="1:11" ht="14.45">
      <c r="A148" s="9"/>
      <c r="B148" s="14"/>
      <c r="C148" s="9"/>
      <c r="D148" s="9"/>
      <c r="E148" s="9"/>
      <c r="F148" s="10"/>
      <c r="G148" s="9"/>
      <c r="H148" s="9"/>
      <c r="I148" s="10"/>
      <c r="J148" s="99"/>
      <c r="K148" s="99"/>
    </row>
    <row r="149" spans="1:11" ht="14.45">
      <c r="A149" s="9"/>
      <c r="B149" s="14"/>
      <c r="C149" s="9"/>
      <c r="D149" s="9"/>
      <c r="E149" s="9"/>
      <c r="F149" s="10"/>
      <c r="G149" s="9"/>
      <c r="H149" s="9"/>
      <c r="I149" s="10"/>
      <c r="J149" s="99"/>
      <c r="K149" s="99"/>
    </row>
    <row r="150" spans="1:11" ht="14.45">
      <c r="A150" s="9"/>
      <c r="B150" s="14"/>
      <c r="C150" s="9"/>
      <c r="D150" s="9"/>
      <c r="E150" s="9"/>
      <c r="F150" s="10"/>
      <c r="G150" s="9"/>
      <c r="H150" s="9"/>
      <c r="I150" s="10"/>
      <c r="J150" s="99"/>
      <c r="K150" s="99"/>
    </row>
    <row r="151" spans="1:11" ht="14.45">
      <c r="A151" s="9"/>
      <c r="B151" s="14"/>
      <c r="C151" s="9"/>
      <c r="D151" s="9"/>
      <c r="E151" s="9"/>
      <c r="F151" s="10"/>
      <c r="G151" s="9"/>
      <c r="H151" s="9"/>
      <c r="I151" s="10"/>
      <c r="J151" s="99"/>
      <c r="K151" s="99"/>
    </row>
    <row r="152" spans="1:11" ht="14.45">
      <c r="A152" s="9"/>
      <c r="B152" s="14"/>
      <c r="C152" s="9"/>
      <c r="D152" s="9"/>
      <c r="E152" s="9"/>
      <c r="F152" s="10"/>
      <c r="G152" s="9"/>
      <c r="H152" s="9"/>
      <c r="I152" s="10"/>
      <c r="J152" s="99"/>
      <c r="K152" s="99"/>
    </row>
    <row r="153" spans="1:11" ht="14.45">
      <c r="A153" s="9"/>
      <c r="B153" s="14"/>
      <c r="C153" s="9"/>
      <c r="D153" s="9"/>
      <c r="E153" s="9"/>
      <c r="F153" s="10"/>
      <c r="G153" s="9"/>
      <c r="H153" s="9"/>
      <c r="I153" s="10"/>
      <c r="J153" s="99"/>
      <c r="K153" s="99"/>
    </row>
    <row r="154" spans="1:11" ht="14.45">
      <c r="A154" s="9"/>
      <c r="B154" s="14"/>
      <c r="C154" s="9"/>
      <c r="D154" s="9"/>
      <c r="E154" s="9"/>
      <c r="F154" s="10"/>
      <c r="G154" s="9"/>
      <c r="H154" s="9"/>
      <c r="I154" s="10"/>
      <c r="J154" s="99"/>
      <c r="K154" s="99"/>
    </row>
    <row r="155" spans="1:11" ht="14.45">
      <c r="A155" s="9"/>
      <c r="B155" s="14"/>
      <c r="C155" s="9"/>
      <c r="D155" s="9"/>
      <c r="E155" s="9"/>
      <c r="F155" s="10"/>
      <c r="G155" s="9"/>
      <c r="H155" s="9"/>
      <c r="I155" s="10"/>
      <c r="J155" s="99"/>
      <c r="K155" s="99"/>
    </row>
    <row r="156" spans="1:11" ht="14.45">
      <c r="A156" s="9"/>
      <c r="B156" s="14"/>
      <c r="C156" s="9"/>
      <c r="D156" s="9"/>
      <c r="E156" s="9"/>
      <c r="F156" s="10"/>
      <c r="G156" s="9"/>
      <c r="H156" s="9"/>
      <c r="I156" s="10"/>
      <c r="J156" s="99"/>
      <c r="K156" s="99"/>
    </row>
    <row r="157" spans="1:11" ht="14.45">
      <c r="A157" s="9"/>
      <c r="B157" s="14"/>
      <c r="C157" s="9"/>
      <c r="D157" s="9"/>
      <c r="E157" s="9"/>
      <c r="F157" s="10"/>
      <c r="G157" s="9"/>
      <c r="H157" s="9"/>
      <c r="I157" s="10"/>
      <c r="J157" s="99"/>
      <c r="K157" s="99"/>
    </row>
    <row r="158" spans="1:11" ht="14.45">
      <c r="A158" s="9"/>
      <c r="B158" s="14"/>
      <c r="C158" s="9"/>
      <c r="D158" s="9"/>
      <c r="E158" s="9"/>
      <c r="F158" s="10"/>
      <c r="G158" s="9"/>
      <c r="H158" s="9"/>
      <c r="I158" s="10"/>
      <c r="J158" s="99"/>
      <c r="K158" s="99"/>
    </row>
    <row r="159" spans="1:11" ht="14.45">
      <c r="A159" s="9"/>
      <c r="B159" s="14"/>
      <c r="C159" s="9"/>
      <c r="D159" s="9"/>
      <c r="E159" s="9"/>
      <c r="F159" s="10"/>
      <c r="G159" s="9"/>
      <c r="H159" s="9"/>
      <c r="I159" s="10"/>
      <c r="J159" s="99"/>
      <c r="K159" s="99"/>
    </row>
    <row r="160" spans="1:11" ht="14.45">
      <c r="A160" s="9"/>
      <c r="B160" s="14"/>
      <c r="C160" s="9"/>
      <c r="D160" s="9"/>
      <c r="E160" s="9"/>
      <c r="F160" s="10"/>
      <c r="G160" s="9"/>
      <c r="H160" s="9"/>
      <c r="I160" s="10"/>
      <c r="J160" s="99"/>
      <c r="K160" s="99"/>
    </row>
    <row r="161" spans="1:11" ht="14.45">
      <c r="A161" s="9"/>
      <c r="B161" s="14"/>
      <c r="C161" s="9"/>
      <c r="D161" s="9"/>
      <c r="E161" s="9"/>
      <c r="F161" s="10"/>
      <c r="G161" s="9"/>
      <c r="H161" s="9"/>
      <c r="I161" s="10"/>
      <c r="J161" s="99"/>
      <c r="K161" s="99"/>
    </row>
    <row r="162" spans="1:11" ht="14.45">
      <c r="A162" s="9"/>
      <c r="B162" s="14"/>
      <c r="C162" s="9"/>
      <c r="D162" s="9"/>
      <c r="E162" s="9"/>
      <c r="F162" s="10"/>
      <c r="G162" s="9"/>
      <c r="H162" s="9"/>
      <c r="I162" s="10"/>
      <c r="J162" s="99"/>
      <c r="K162" s="99"/>
    </row>
    <row r="163" spans="1:11" ht="14.45">
      <c r="A163" s="9"/>
      <c r="B163" s="14"/>
      <c r="C163" s="9"/>
      <c r="D163" s="9"/>
      <c r="E163" s="9"/>
      <c r="F163" s="10"/>
      <c r="G163" s="9"/>
      <c r="H163" s="9"/>
      <c r="I163" s="10"/>
      <c r="J163" s="99"/>
      <c r="K163" s="99"/>
    </row>
    <row r="164" spans="1:11" ht="14.45">
      <c r="A164" s="9"/>
      <c r="B164" s="14"/>
      <c r="C164" s="9"/>
      <c r="D164" s="9"/>
      <c r="E164" s="9"/>
      <c r="F164" s="10"/>
      <c r="G164" s="9"/>
      <c r="H164" s="9"/>
      <c r="I164" s="10"/>
      <c r="J164" s="99"/>
      <c r="K164" s="99"/>
    </row>
    <row r="165" spans="1:11" ht="14.45">
      <c r="A165" s="9"/>
      <c r="B165" s="14"/>
      <c r="C165" s="9"/>
      <c r="D165" s="9"/>
      <c r="E165" s="9"/>
      <c r="F165" s="10"/>
      <c r="G165" s="9"/>
      <c r="H165" s="9"/>
      <c r="I165" s="10"/>
      <c r="J165" s="99"/>
      <c r="K165" s="99"/>
    </row>
    <row r="166" spans="1:11" ht="14.45">
      <c r="A166" s="9"/>
      <c r="B166" s="14"/>
      <c r="C166" s="9"/>
      <c r="D166" s="9"/>
      <c r="E166" s="9"/>
      <c r="F166" s="10"/>
      <c r="G166" s="9"/>
      <c r="H166" s="9"/>
      <c r="I166" s="10"/>
      <c r="J166" s="99"/>
      <c r="K166" s="99"/>
    </row>
    <row r="167" spans="1:11" ht="14.45">
      <c r="A167" s="9"/>
      <c r="B167" s="14"/>
      <c r="C167" s="9"/>
      <c r="D167" s="9"/>
      <c r="E167" s="9"/>
      <c r="F167" s="10"/>
      <c r="G167" s="9"/>
      <c r="H167" s="9"/>
      <c r="I167" s="10"/>
      <c r="J167" s="99"/>
      <c r="K167" s="99"/>
    </row>
    <row r="168" spans="1:11" ht="14.45">
      <c r="A168" s="9"/>
      <c r="B168" s="14"/>
      <c r="C168" s="9"/>
      <c r="D168" s="9"/>
      <c r="E168" s="9"/>
      <c r="F168" s="10"/>
      <c r="G168" s="9"/>
      <c r="H168" s="9"/>
      <c r="I168" s="10"/>
      <c r="J168" s="99"/>
      <c r="K168" s="99"/>
    </row>
    <row r="169" spans="1:11" ht="14.45">
      <c r="A169" s="9"/>
      <c r="B169" s="14"/>
      <c r="C169" s="9"/>
      <c r="D169" s="9"/>
      <c r="E169" s="9"/>
      <c r="F169" s="10"/>
      <c r="G169" s="9"/>
      <c r="H169" s="9"/>
      <c r="I169" s="10"/>
      <c r="J169" s="99"/>
      <c r="K169" s="99"/>
    </row>
    <row r="170" spans="1:11" ht="14.45">
      <c r="A170" s="9"/>
      <c r="B170" s="14"/>
      <c r="C170" s="9"/>
      <c r="D170" s="9"/>
      <c r="E170" s="9"/>
      <c r="F170" s="10"/>
      <c r="G170" s="9"/>
      <c r="H170" s="9"/>
      <c r="I170" s="10"/>
      <c r="J170" s="99"/>
      <c r="K170" s="99"/>
    </row>
    <row r="171" spans="1:11" ht="14.45">
      <c r="A171" s="9"/>
      <c r="B171" s="14"/>
      <c r="C171" s="9"/>
      <c r="D171" s="9"/>
      <c r="E171" s="9"/>
      <c r="F171" s="10"/>
      <c r="G171" s="9"/>
      <c r="H171" s="9"/>
      <c r="I171" s="10"/>
      <c r="J171" s="99"/>
      <c r="K171" s="99"/>
    </row>
    <row r="172" spans="1:11" ht="14.45">
      <c r="A172" s="9"/>
      <c r="B172" s="14"/>
      <c r="C172" s="9"/>
      <c r="D172" s="9"/>
      <c r="E172" s="9"/>
      <c r="F172" s="10"/>
      <c r="G172" s="9"/>
      <c r="H172" s="9"/>
      <c r="I172" s="10"/>
      <c r="J172" s="99"/>
      <c r="K172" s="99"/>
    </row>
    <row r="173" spans="1:11" ht="14.45">
      <c r="A173" s="9"/>
      <c r="B173" s="14"/>
      <c r="C173" s="9"/>
      <c r="D173" s="9"/>
      <c r="E173" s="9"/>
      <c r="F173" s="10"/>
      <c r="G173" s="9"/>
      <c r="H173" s="9"/>
      <c r="I173" s="10"/>
      <c r="J173" s="99"/>
      <c r="K173" s="99"/>
    </row>
    <row r="174" spans="1:11" ht="14.45">
      <c r="A174" s="9"/>
      <c r="B174" s="14"/>
      <c r="C174" s="9"/>
      <c r="D174" s="9"/>
      <c r="E174" s="9"/>
      <c r="F174" s="10"/>
      <c r="G174" s="9"/>
      <c r="H174" s="9"/>
      <c r="I174" s="10"/>
      <c r="J174" s="99"/>
      <c r="K174" s="99"/>
    </row>
    <row r="175" spans="1:11" ht="14.45">
      <c r="A175" s="9"/>
      <c r="B175" s="14"/>
      <c r="C175" s="9"/>
      <c r="D175" s="9"/>
      <c r="E175" s="9"/>
      <c r="F175" s="10"/>
      <c r="G175" s="9"/>
      <c r="H175" s="9"/>
      <c r="I175" s="10"/>
      <c r="J175" s="99"/>
      <c r="K175" s="99"/>
    </row>
    <row r="176" spans="1:11" ht="14.45">
      <c r="A176" s="9"/>
      <c r="B176" s="14"/>
      <c r="C176" s="9"/>
      <c r="D176" s="9"/>
      <c r="E176" s="9"/>
      <c r="F176" s="10"/>
      <c r="G176" s="9"/>
      <c r="H176" s="9"/>
      <c r="I176" s="10"/>
      <c r="J176" s="99"/>
      <c r="K176" s="99"/>
    </row>
    <row r="177" spans="1:11" ht="14.45">
      <c r="A177" s="9"/>
      <c r="B177" s="14"/>
      <c r="C177" s="9"/>
      <c r="D177" s="9"/>
      <c r="E177" s="9"/>
      <c r="F177" s="10"/>
      <c r="G177" s="9"/>
      <c r="H177" s="9"/>
      <c r="I177" s="10"/>
      <c r="J177" s="99"/>
      <c r="K177" s="99"/>
    </row>
    <row r="178" spans="1:11" ht="14.45">
      <c r="A178" s="9"/>
      <c r="B178" s="14"/>
      <c r="C178" s="9"/>
      <c r="D178" s="9"/>
      <c r="E178" s="9"/>
      <c r="F178" s="10"/>
      <c r="G178" s="9"/>
      <c r="H178" s="9"/>
      <c r="I178" s="10"/>
      <c r="J178" s="99"/>
      <c r="K178" s="99"/>
    </row>
    <row r="179" spans="1:11" ht="14.45">
      <c r="A179" s="9"/>
      <c r="B179" s="14"/>
      <c r="C179" s="9"/>
      <c r="D179" s="9"/>
      <c r="E179" s="9"/>
      <c r="F179" s="10"/>
      <c r="G179" s="9"/>
      <c r="H179" s="9"/>
      <c r="I179" s="10"/>
      <c r="J179" s="99"/>
      <c r="K179" s="99"/>
    </row>
    <row r="180" spans="1:11" ht="14.45">
      <c r="A180" s="9"/>
      <c r="B180" s="14"/>
      <c r="C180" s="9"/>
      <c r="D180" s="9"/>
      <c r="E180" s="9"/>
      <c r="F180" s="10"/>
      <c r="G180" s="9"/>
      <c r="H180" s="9"/>
      <c r="I180" s="10"/>
      <c r="J180" s="99"/>
      <c r="K180" s="99"/>
    </row>
    <row r="181" spans="1:11" ht="14.45">
      <c r="A181" s="9"/>
      <c r="B181" s="14"/>
      <c r="C181" s="9"/>
      <c r="D181" s="9"/>
      <c r="E181" s="9"/>
      <c r="F181" s="10"/>
      <c r="G181" s="9"/>
      <c r="H181" s="9"/>
      <c r="I181" s="10"/>
      <c r="J181" s="99"/>
      <c r="K181" s="99"/>
    </row>
    <row r="182" spans="1:11" ht="14.45">
      <c r="A182" s="9"/>
      <c r="B182" s="14"/>
      <c r="C182" s="9"/>
      <c r="D182" s="9"/>
      <c r="E182" s="9"/>
      <c r="F182" s="10"/>
      <c r="G182" s="9"/>
      <c r="H182" s="9"/>
      <c r="I182" s="10"/>
      <c r="J182" s="99"/>
      <c r="K182" s="99"/>
    </row>
    <row r="183" spans="1:11" ht="14.45">
      <c r="A183" s="9"/>
      <c r="B183" s="14"/>
      <c r="C183" s="9"/>
      <c r="D183" s="9"/>
      <c r="E183" s="9"/>
      <c r="F183" s="10"/>
      <c r="G183" s="9"/>
      <c r="H183" s="9"/>
      <c r="I183" s="10"/>
      <c r="J183" s="99"/>
      <c r="K183" s="99"/>
    </row>
    <row r="184" spans="1:11" ht="14.45">
      <c r="A184" s="9"/>
      <c r="B184" s="14"/>
      <c r="C184" s="9"/>
      <c r="D184" s="9"/>
      <c r="E184" s="9"/>
      <c r="F184" s="10"/>
      <c r="G184" s="9"/>
      <c r="H184" s="9"/>
      <c r="I184" s="10"/>
      <c r="J184" s="99"/>
      <c r="K184" s="99"/>
    </row>
    <row r="185" spans="1:11" ht="14.45">
      <c r="A185" s="9"/>
      <c r="B185" s="14"/>
      <c r="C185" s="9"/>
      <c r="D185" s="9"/>
      <c r="E185" s="9"/>
      <c r="F185" s="10"/>
      <c r="G185" s="9"/>
      <c r="H185" s="9"/>
      <c r="I185" s="10"/>
      <c r="J185" s="99"/>
      <c r="K185" s="99"/>
    </row>
    <row r="186" spans="1:11" ht="14.45">
      <c r="A186" s="9"/>
      <c r="B186" s="14"/>
      <c r="C186" s="9"/>
      <c r="D186" s="9"/>
      <c r="E186" s="9"/>
      <c r="F186" s="10"/>
      <c r="G186" s="9"/>
      <c r="H186" s="9"/>
      <c r="I186" s="10"/>
      <c r="J186" s="99"/>
      <c r="K186" s="99"/>
    </row>
    <row r="187" spans="1:11" ht="14.45">
      <c r="A187" s="9"/>
      <c r="B187" s="14"/>
      <c r="C187" s="9"/>
      <c r="D187" s="9"/>
      <c r="E187" s="9"/>
      <c r="F187" s="10"/>
      <c r="G187" s="9"/>
      <c r="H187" s="9"/>
      <c r="I187" s="10"/>
      <c r="J187" s="99"/>
      <c r="K187" s="99"/>
    </row>
    <row r="188" spans="1:11" ht="14.45">
      <c r="A188" s="9"/>
      <c r="B188" s="14"/>
      <c r="C188" s="9"/>
      <c r="D188" s="9"/>
      <c r="E188" s="9"/>
      <c r="F188" s="10"/>
      <c r="G188" s="9"/>
      <c r="H188" s="9"/>
      <c r="I188" s="10"/>
      <c r="J188" s="99"/>
      <c r="K188" s="99"/>
    </row>
    <row r="189" spans="1:11" ht="14.45">
      <c r="A189" s="9"/>
      <c r="B189" s="14"/>
      <c r="C189" s="9"/>
      <c r="D189" s="9"/>
      <c r="E189" s="9"/>
      <c r="F189" s="10"/>
      <c r="G189" s="9"/>
      <c r="H189" s="9"/>
      <c r="I189" s="10"/>
      <c r="J189" s="99"/>
      <c r="K189" s="99"/>
    </row>
    <row r="190" spans="1:11" ht="14.45">
      <c r="A190" s="9"/>
      <c r="B190" s="14"/>
      <c r="C190" s="9"/>
      <c r="D190" s="9"/>
      <c r="E190" s="9"/>
      <c r="F190" s="10"/>
      <c r="G190" s="9"/>
      <c r="H190" s="9"/>
      <c r="I190" s="10"/>
      <c r="J190" s="99"/>
      <c r="K190" s="99"/>
    </row>
    <row r="191" spans="1:11" ht="14.45">
      <c r="A191" s="9"/>
      <c r="B191" s="14"/>
      <c r="C191" s="9"/>
      <c r="D191" s="9"/>
      <c r="E191" s="9"/>
      <c r="F191" s="10"/>
      <c r="G191" s="9"/>
      <c r="H191" s="9"/>
      <c r="I191" s="10"/>
      <c r="J191" s="99"/>
      <c r="K191" s="99"/>
    </row>
    <row r="192" spans="1:11" ht="14.45">
      <c r="A192" s="9"/>
      <c r="B192" s="14"/>
      <c r="C192" s="9"/>
      <c r="D192" s="9"/>
      <c r="E192" s="9"/>
      <c r="F192" s="10"/>
      <c r="G192" s="9"/>
      <c r="H192" s="9"/>
      <c r="I192" s="10"/>
      <c r="J192" s="99"/>
      <c r="K192" s="99"/>
    </row>
    <row r="193" spans="1:11" ht="14.45">
      <c r="A193" s="9"/>
      <c r="B193" s="14"/>
      <c r="C193" s="9"/>
      <c r="D193" s="9"/>
      <c r="E193" s="9"/>
      <c r="F193" s="10"/>
      <c r="G193" s="9"/>
      <c r="H193" s="9"/>
      <c r="I193" s="10"/>
      <c r="J193" s="99"/>
      <c r="K193" s="99"/>
    </row>
    <row r="194" spans="1:11" ht="14.45">
      <c r="A194" s="9"/>
      <c r="B194" s="14"/>
      <c r="C194" s="9"/>
      <c r="D194" s="9"/>
      <c r="E194" s="9"/>
      <c r="F194" s="10"/>
      <c r="G194" s="9"/>
      <c r="H194" s="9"/>
      <c r="I194" s="10"/>
      <c r="J194" s="99"/>
      <c r="K194" s="99"/>
    </row>
    <row r="195" spans="1:11" ht="14.45">
      <c r="A195" s="9"/>
      <c r="B195" s="14"/>
      <c r="C195" s="9"/>
      <c r="D195" s="9"/>
      <c r="E195" s="9"/>
      <c r="F195" s="10"/>
      <c r="G195" s="9"/>
      <c r="H195" s="9"/>
      <c r="I195" s="10"/>
      <c r="J195" s="99"/>
      <c r="K195" s="99"/>
    </row>
    <row r="196" spans="1:11" ht="14.45">
      <c r="A196" s="9"/>
      <c r="B196" s="14"/>
      <c r="C196" s="9"/>
      <c r="D196" s="9"/>
      <c r="E196" s="9"/>
      <c r="F196" s="10"/>
      <c r="G196" s="9"/>
      <c r="H196" s="9"/>
      <c r="I196" s="10"/>
      <c r="J196" s="99"/>
      <c r="K196" s="99"/>
    </row>
    <row r="197" spans="1:11" ht="14.45">
      <c r="A197" s="9"/>
      <c r="B197" s="14"/>
      <c r="C197" s="9"/>
      <c r="D197" s="9"/>
      <c r="E197" s="9"/>
      <c r="F197" s="10"/>
      <c r="G197" s="9"/>
      <c r="H197" s="9"/>
      <c r="I197" s="10"/>
      <c r="J197" s="99"/>
      <c r="K197" s="99"/>
    </row>
    <row r="198" spans="1:11" ht="14.45">
      <c r="A198" s="9"/>
      <c r="B198" s="14"/>
      <c r="C198" s="9"/>
      <c r="D198" s="9"/>
      <c r="E198" s="9"/>
      <c r="F198" s="10"/>
      <c r="G198" s="9"/>
      <c r="H198" s="9"/>
      <c r="I198" s="10"/>
      <c r="J198" s="99"/>
      <c r="K198" s="99"/>
    </row>
    <row r="199" spans="1:11" ht="14.45">
      <c r="A199" s="9"/>
      <c r="B199" s="14"/>
      <c r="C199" s="9"/>
      <c r="D199" s="9"/>
      <c r="E199" s="9"/>
      <c r="F199" s="10"/>
      <c r="G199" s="9"/>
      <c r="H199" s="9"/>
      <c r="I199" s="10"/>
      <c r="J199" s="99"/>
      <c r="K199" s="99"/>
    </row>
    <row r="200" spans="1:11" ht="14.45">
      <c r="A200" s="9"/>
      <c r="B200" s="14"/>
      <c r="C200" s="9"/>
      <c r="D200" s="9"/>
      <c r="E200" s="9"/>
      <c r="F200" s="10"/>
      <c r="G200" s="9"/>
      <c r="H200" s="9"/>
      <c r="I200" s="10"/>
      <c r="J200" s="99"/>
      <c r="K200" s="99"/>
    </row>
    <row r="201" spans="1:11" ht="14.45">
      <c r="A201" s="9"/>
      <c r="B201" s="14"/>
      <c r="C201" s="9"/>
      <c r="D201" s="9"/>
      <c r="E201" s="9"/>
      <c r="F201" s="10"/>
      <c r="G201" s="9"/>
      <c r="H201" s="9"/>
      <c r="I201" s="10"/>
      <c r="J201" s="99"/>
      <c r="K201" s="99"/>
    </row>
    <row r="202" spans="1:11" ht="14.45">
      <c r="A202" s="9"/>
      <c r="B202" s="14"/>
      <c r="C202" s="9"/>
      <c r="D202" s="9"/>
      <c r="E202" s="9"/>
      <c r="F202" s="10"/>
      <c r="G202" s="9"/>
      <c r="H202" s="9"/>
      <c r="I202" s="10"/>
      <c r="J202" s="99"/>
      <c r="K202" s="99"/>
    </row>
    <row r="203" spans="1:11" ht="14.45">
      <c r="A203" s="9"/>
      <c r="B203" s="14"/>
      <c r="C203" s="9"/>
      <c r="D203" s="9"/>
      <c r="E203" s="9"/>
      <c r="F203" s="10"/>
      <c r="G203" s="9"/>
      <c r="H203" s="9"/>
      <c r="I203" s="10"/>
      <c r="J203" s="99"/>
      <c r="K203" s="99"/>
    </row>
    <row r="204" spans="1:11" ht="14.45">
      <c r="A204" s="9"/>
      <c r="B204" s="14"/>
      <c r="C204" s="9"/>
      <c r="D204" s="9"/>
      <c r="E204" s="9"/>
      <c r="F204" s="10"/>
      <c r="G204" s="9"/>
      <c r="H204" s="9"/>
      <c r="I204" s="10"/>
      <c r="J204" s="99"/>
      <c r="K204" s="99"/>
    </row>
    <row r="205" spans="1:11" ht="14.45">
      <c r="A205" s="9"/>
      <c r="B205" s="14"/>
      <c r="C205" s="9"/>
      <c r="D205" s="9"/>
      <c r="E205" s="9"/>
      <c r="F205" s="10"/>
      <c r="G205" s="9"/>
      <c r="H205" s="9"/>
      <c r="I205" s="10"/>
      <c r="J205" s="99"/>
      <c r="K205" s="99"/>
    </row>
    <row r="206" spans="1:11" ht="14.45">
      <c r="A206" s="9"/>
      <c r="B206" s="14"/>
      <c r="C206" s="9"/>
      <c r="D206" s="9"/>
      <c r="E206" s="9"/>
      <c r="F206" s="10"/>
      <c r="G206" s="9"/>
      <c r="H206" s="9"/>
      <c r="I206" s="10"/>
      <c r="J206" s="99"/>
      <c r="K206" s="99"/>
    </row>
    <row r="207" spans="1:11" ht="14.45">
      <c r="A207" s="9"/>
      <c r="B207" s="14"/>
      <c r="C207" s="9"/>
      <c r="D207" s="9"/>
      <c r="E207" s="9"/>
      <c r="F207" s="10"/>
      <c r="G207" s="9"/>
      <c r="H207" s="9"/>
      <c r="I207" s="10"/>
      <c r="J207" s="99"/>
      <c r="K207" s="99"/>
    </row>
    <row r="208" spans="1:11" ht="14.45">
      <c r="A208" s="9"/>
      <c r="B208" s="14"/>
      <c r="C208" s="9"/>
      <c r="D208" s="9"/>
      <c r="E208" s="9"/>
      <c r="F208" s="10"/>
      <c r="G208" s="9"/>
      <c r="H208" s="9"/>
      <c r="I208" s="10"/>
      <c r="J208" s="99"/>
      <c r="K208" s="99"/>
    </row>
    <row r="209" spans="1:11" ht="14.45">
      <c r="A209" s="9"/>
      <c r="B209" s="14"/>
      <c r="C209" s="9"/>
      <c r="D209" s="9"/>
      <c r="E209" s="9"/>
      <c r="F209" s="10"/>
      <c r="G209" s="9"/>
      <c r="H209" s="9"/>
      <c r="I209" s="10"/>
      <c r="J209" s="99"/>
      <c r="K209" s="99"/>
    </row>
    <row r="210" spans="1:11" ht="14.45">
      <c r="A210" s="9"/>
      <c r="B210" s="14"/>
      <c r="C210" s="9"/>
      <c r="D210" s="9"/>
      <c r="E210" s="9"/>
      <c r="F210" s="10"/>
      <c r="G210" s="9"/>
      <c r="H210" s="9"/>
      <c r="I210" s="10"/>
      <c r="J210" s="99"/>
      <c r="K210" s="99"/>
    </row>
    <row r="211" spans="1:11" ht="14.45">
      <c r="A211" s="9"/>
      <c r="B211" s="14"/>
      <c r="C211" s="9"/>
      <c r="D211" s="9"/>
      <c r="E211" s="9"/>
      <c r="F211" s="10"/>
      <c r="G211" s="9"/>
      <c r="H211" s="9"/>
      <c r="I211" s="10"/>
      <c r="J211" s="99"/>
      <c r="K211" s="99"/>
    </row>
    <row r="212" spans="1:11" ht="14.45">
      <c r="A212" s="9"/>
      <c r="B212" s="14"/>
      <c r="C212" s="9"/>
      <c r="D212" s="9"/>
      <c r="E212" s="9"/>
      <c r="F212" s="10"/>
      <c r="G212" s="9"/>
      <c r="H212" s="9"/>
      <c r="I212" s="10"/>
      <c r="J212" s="99"/>
      <c r="K212" s="99"/>
    </row>
    <row r="213" spans="1:11" ht="14.45">
      <c r="A213" s="9"/>
      <c r="B213" s="14"/>
      <c r="C213" s="9"/>
      <c r="D213" s="9"/>
      <c r="E213" s="9"/>
      <c r="F213" s="10"/>
      <c r="G213" s="9"/>
      <c r="H213" s="9"/>
      <c r="I213" s="10"/>
      <c r="J213" s="99"/>
      <c r="K213" s="99"/>
    </row>
    <row r="214" spans="1:11" ht="14.45">
      <c r="A214" s="9"/>
      <c r="B214" s="14"/>
      <c r="C214" s="9"/>
      <c r="D214" s="9"/>
      <c r="E214" s="9"/>
      <c r="F214" s="10"/>
      <c r="G214" s="9"/>
      <c r="H214" s="9"/>
      <c r="I214" s="10"/>
      <c r="J214" s="99"/>
      <c r="K214" s="99"/>
    </row>
    <row r="215" spans="1:11" ht="14.45">
      <c r="A215" s="9"/>
      <c r="B215" s="14"/>
      <c r="C215" s="9"/>
      <c r="D215" s="9"/>
      <c r="E215" s="9"/>
      <c r="F215" s="10"/>
      <c r="G215" s="9"/>
      <c r="H215" s="9"/>
      <c r="I215" s="10"/>
      <c r="J215" s="99"/>
      <c r="K215" s="99"/>
    </row>
    <row r="216" spans="1:11" ht="14.45">
      <c r="A216" s="9"/>
      <c r="B216" s="14"/>
      <c r="C216" s="9"/>
      <c r="D216" s="9"/>
      <c r="E216" s="9"/>
      <c r="F216" s="10"/>
      <c r="G216" s="9"/>
      <c r="H216" s="9"/>
      <c r="I216" s="10"/>
      <c r="J216" s="99"/>
      <c r="K216" s="99"/>
    </row>
    <row r="217" spans="1:11" ht="14.45">
      <c r="A217" s="9"/>
      <c r="B217" s="14"/>
      <c r="C217" s="9"/>
      <c r="D217" s="9"/>
      <c r="E217" s="9"/>
      <c r="F217" s="10"/>
      <c r="G217" s="9"/>
      <c r="H217" s="9"/>
      <c r="I217" s="10"/>
      <c r="J217" s="99"/>
      <c r="K217" s="99"/>
    </row>
    <row r="218" spans="1:11" ht="14.45">
      <c r="A218" s="9"/>
      <c r="B218" s="14"/>
      <c r="C218" s="9"/>
      <c r="D218" s="9"/>
      <c r="E218" s="9"/>
      <c r="F218" s="10"/>
      <c r="G218" s="9"/>
      <c r="H218" s="9"/>
      <c r="I218" s="10"/>
      <c r="J218" s="99"/>
      <c r="K218" s="99"/>
    </row>
    <row r="219" spans="1:11" ht="14.45">
      <c r="A219" s="9"/>
      <c r="B219" s="14"/>
      <c r="C219" s="9"/>
      <c r="D219" s="9"/>
      <c r="E219" s="9"/>
      <c r="F219" s="10"/>
      <c r="G219" s="9"/>
      <c r="H219" s="9"/>
      <c r="I219" s="10"/>
      <c r="J219" s="99"/>
      <c r="K219" s="99"/>
    </row>
    <row r="220" spans="1:11" ht="14.45">
      <c r="A220" s="9"/>
      <c r="B220" s="14"/>
      <c r="C220" s="9"/>
      <c r="D220" s="9"/>
      <c r="E220" s="9"/>
      <c r="F220" s="10"/>
      <c r="G220" s="9"/>
      <c r="H220" s="9"/>
      <c r="I220" s="10"/>
      <c r="J220" s="99"/>
      <c r="K220" s="99"/>
    </row>
    <row r="221" spans="1:11" ht="14.45">
      <c r="A221" s="9"/>
      <c r="B221" s="14"/>
      <c r="C221" s="9"/>
      <c r="D221" s="9"/>
      <c r="E221" s="9"/>
      <c r="F221" s="10"/>
      <c r="G221" s="9"/>
      <c r="H221" s="9"/>
      <c r="I221" s="10"/>
      <c r="J221" s="99"/>
      <c r="K221" s="99"/>
    </row>
    <row r="222" spans="1:11" ht="14.45">
      <c r="A222" s="9"/>
      <c r="B222" s="14"/>
      <c r="C222" s="9"/>
      <c r="D222" s="9"/>
      <c r="E222" s="9"/>
      <c r="F222" s="10"/>
      <c r="G222" s="9"/>
      <c r="H222" s="9"/>
      <c r="I222" s="10"/>
      <c r="J222" s="99"/>
      <c r="K222" s="99"/>
    </row>
    <row r="223" spans="1:11" ht="14.45">
      <c r="A223" s="9"/>
      <c r="B223" s="14"/>
      <c r="C223" s="9"/>
      <c r="D223" s="9"/>
      <c r="E223" s="9"/>
      <c r="F223" s="10"/>
      <c r="G223" s="9"/>
      <c r="H223" s="9"/>
      <c r="I223" s="10"/>
      <c r="J223" s="99"/>
      <c r="K223" s="99"/>
    </row>
    <row r="224" spans="1:11" ht="14.45">
      <c r="A224" s="9"/>
      <c r="B224" s="14"/>
      <c r="C224" s="9"/>
      <c r="D224" s="9"/>
      <c r="E224" s="9"/>
      <c r="F224" s="10"/>
      <c r="G224" s="9"/>
      <c r="H224" s="9"/>
      <c r="I224" s="10"/>
      <c r="J224" s="99"/>
      <c r="K224" s="99"/>
    </row>
    <row r="225" spans="1:11" ht="14.45">
      <c r="A225" s="9"/>
      <c r="B225" s="14"/>
      <c r="C225" s="9"/>
      <c r="D225" s="9"/>
      <c r="E225" s="9"/>
      <c r="F225" s="10"/>
      <c r="G225" s="9"/>
      <c r="H225" s="9"/>
      <c r="I225" s="10"/>
      <c r="J225" s="99"/>
      <c r="K225" s="99"/>
    </row>
    <row r="226" spans="1:11" ht="14.45">
      <c r="A226" s="9"/>
      <c r="B226" s="14"/>
      <c r="C226" s="9"/>
      <c r="D226" s="9"/>
      <c r="E226" s="9"/>
      <c r="F226" s="10"/>
      <c r="G226" s="9"/>
      <c r="H226" s="9"/>
      <c r="I226" s="10"/>
      <c r="J226" s="99"/>
      <c r="K226" s="99"/>
    </row>
    <row r="227" spans="1:11" ht="14.45">
      <c r="A227" s="9"/>
      <c r="B227" s="14"/>
      <c r="C227" s="9"/>
      <c r="D227" s="9"/>
      <c r="E227" s="9"/>
      <c r="F227" s="10"/>
      <c r="G227" s="9"/>
      <c r="H227" s="9"/>
      <c r="I227" s="10"/>
      <c r="J227" s="99"/>
      <c r="K227" s="99"/>
    </row>
    <row r="228" spans="1:11" ht="14.45">
      <c r="A228" s="9"/>
      <c r="B228" s="14"/>
      <c r="C228" s="9"/>
      <c r="D228" s="9"/>
      <c r="E228" s="9"/>
      <c r="F228" s="10"/>
      <c r="G228" s="9"/>
      <c r="H228" s="9"/>
      <c r="I228" s="10"/>
      <c r="J228" s="99"/>
      <c r="K228" s="99"/>
    </row>
    <row r="229" spans="1:11" ht="14.45">
      <c r="A229" s="9"/>
      <c r="B229" s="14"/>
      <c r="C229" s="9"/>
      <c r="D229" s="9"/>
      <c r="E229" s="9"/>
      <c r="F229" s="10"/>
      <c r="G229" s="9"/>
      <c r="H229" s="9"/>
      <c r="I229" s="10"/>
      <c r="J229" s="99"/>
      <c r="K229" s="99"/>
    </row>
    <row r="230" spans="1:11" ht="14.45">
      <c r="A230" s="9"/>
      <c r="B230" s="14"/>
      <c r="C230" s="9"/>
      <c r="D230" s="9"/>
      <c r="E230" s="9"/>
      <c r="F230" s="10"/>
      <c r="G230" s="9"/>
      <c r="H230" s="9"/>
      <c r="I230" s="10"/>
      <c r="J230" s="99"/>
      <c r="K230" s="99"/>
    </row>
    <row r="231" spans="1:11" ht="14.45">
      <c r="A231" s="9"/>
      <c r="B231" s="14"/>
      <c r="C231" s="9"/>
      <c r="D231" s="9"/>
      <c r="E231" s="9"/>
      <c r="F231" s="10"/>
      <c r="G231" s="9"/>
      <c r="H231" s="9"/>
      <c r="I231" s="10"/>
      <c r="J231" s="99"/>
      <c r="K231" s="99"/>
    </row>
    <row r="232" spans="1:11" ht="14.45">
      <c r="A232" s="9"/>
      <c r="B232" s="14"/>
      <c r="C232" s="9"/>
      <c r="D232" s="9"/>
      <c r="E232" s="9"/>
      <c r="F232" s="10"/>
      <c r="G232" s="9"/>
      <c r="H232" s="9"/>
      <c r="I232" s="10"/>
      <c r="J232" s="99"/>
      <c r="K232" s="99"/>
    </row>
    <row r="233" spans="1:11" ht="14.45">
      <c r="A233" s="9"/>
      <c r="B233" s="14"/>
      <c r="C233" s="9"/>
      <c r="D233" s="9"/>
      <c r="E233" s="9"/>
      <c r="F233" s="10"/>
      <c r="G233" s="9"/>
      <c r="H233" s="9"/>
      <c r="I233" s="10"/>
      <c r="J233" s="99"/>
      <c r="K233" s="99"/>
    </row>
    <row r="234" spans="1:11" ht="14.45">
      <c r="A234" s="9"/>
      <c r="B234" s="14"/>
      <c r="C234" s="9"/>
      <c r="D234" s="9"/>
      <c r="E234" s="9"/>
      <c r="F234" s="10"/>
      <c r="G234" s="9"/>
      <c r="H234" s="9"/>
      <c r="I234" s="10"/>
      <c r="J234" s="99"/>
      <c r="K234" s="99"/>
    </row>
    <row r="235" spans="1:11" ht="14.45">
      <c r="A235" s="9"/>
      <c r="B235" s="14"/>
      <c r="C235" s="9"/>
      <c r="D235" s="9"/>
      <c r="E235" s="9"/>
      <c r="F235" s="10"/>
      <c r="G235" s="9"/>
      <c r="H235" s="9"/>
      <c r="I235" s="10"/>
      <c r="J235" s="99"/>
      <c r="K235" s="99"/>
    </row>
    <row r="236" spans="1:11" ht="14.45">
      <c r="A236" s="9"/>
      <c r="B236" s="14"/>
      <c r="C236" s="9"/>
      <c r="D236" s="9"/>
      <c r="E236" s="9"/>
      <c r="F236" s="10"/>
      <c r="G236" s="9"/>
      <c r="H236" s="9"/>
      <c r="I236" s="10"/>
      <c r="J236" s="99"/>
      <c r="K236" s="99"/>
    </row>
    <row r="237" spans="1:11" ht="14.45">
      <c r="A237" s="9"/>
      <c r="B237" s="14"/>
      <c r="C237" s="9"/>
      <c r="D237" s="9"/>
      <c r="E237" s="9"/>
      <c r="F237" s="10"/>
      <c r="G237" s="9"/>
      <c r="H237" s="9"/>
      <c r="I237" s="10"/>
      <c r="J237" s="99"/>
      <c r="K237" s="99"/>
    </row>
    <row r="238" spans="1:11" ht="14.45">
      <c r="A238" s="9"/>
      <c r="B238" s="14"/>
      <c r="C238" s="9"/>
      <c r="D238" s="9"/>
      <c r="E238" s="9"/>
      <c r="F238" s="10"/>
      <c r="G238" s="9"/>
      <c r="H238" s="9"/>
      <c r="I238" s="10"/>
      <c r="J238" s="99"/>
      <c r="K238" s="99"/>
    </row>
    <row r="239" spans="1:11" ht="14.45">
      <c r="A239" s="9"/>
      <c r="B239" s="14"/>
      <c r="C239" s="9"/>
      <c r="D239" s="9"/>
      <c r="E239" s="9"/>
      <c r="F239" s="10"/>
      <c r="G239" s="9"/>
      <c r="H239" s="9"/>
      <c r="I239" s="10"/>
      <c r="J239" s="99"/>
      <c r="K239" s="99"/>
    </row>
    <row r="240" spans="1:11" ht="14.45">
      <c r="A240" s="9"/>
      <c r="B240" s="14"/>
      <c r="C240" s="9"/>
      <c r="D240" s="9"/>
      <c r="E240" s="9"/>
      <c r="F240" s="10"/>
      <c r="G240" s="9"/>
      <c r="H240" s="9"/>
      <c r="I240" s="10"/>
      <c r="J240" s="99"/>
      <c r="K240" s="99"/>
    </row>
    <row r="241" spans="1:11" ht="14.45">
      <c r="A241" s="9"/>
      <c r="B241" s="14"/>
      <c r="C241" s="9"/>
      <c r="D241" s="9"/>
      <c r="E241" s="9"/>
      <c r="F241" s="10"/>
      <c r="G241" s="9"/>
      <c r="H241" s="9"/>
      <c r="I241" s="10"/>
      <c r="J241" s="99"/>
      <c r="K241" s="99"/>
    </row>
    <row r="242" spans="1:11" ht="14.45">
      <c r="A242" s="9"/>
      <c r="B242" s="14"/>
      <c r="C242" s="9"/>
      <c r="D242" s="9"/>
      <c r="E242" s="9"/>
      <c r="F242" s="10"/>
      <c r="G242" s="9"/>
      <c r="H242" s="9"/>
      <c r="I242" s="10"/>
      <c r="J242" s="99"/>
      <c r="K242" s="99"/>
    </row>
    <row r="243" spans="1:11" ht="14.45">
      <c r="A243" s="9"/>
      <c r="B243" s="14"/>
      <c r="C243" s="9"/>
      <c r="D243" s="9"/>
      <c r="E243" s="9"/>
      <c r="F243" s="10"/>
      <c r="G243" s="9"/>
      <c r="H243" s="9"/>
      <c r="I243" s="10"/>
      <c r="J243" s="99"/>
      <c r="K243" s="99"/>
    </row>
    <row r="244" spans="1:11" ht="14.45">
      <c r="A244" s="9"/>
      <c r="B244" s="14"/>
      <c r="C244" s="9"/>
      <c r="D244" s="9"/>
      <c r="E244" s="9"/>
      <c r="F244" s="10"/>
      <c r="G244" s="9"/>
      <c r="H244" s="9"/>
      <c r="I244" s="10"/>
      <c r="J244" s="99"/>
      <c r="K244" s="99"/>
    </row>
    <row r="245" spans="1:11" ht="14.45">
      <c r="A245" s="9"/>
      <c r="B245" s="14"/>
      <c r="C245" s="9"/>
      <c r="D245" s="9"/>
      <c r="E245" s="9"/>
      <c r="F245" s="10"/>
      <c r="G245" s="9"/>
      <c r="H245" s="9"/>
      <c r="I245" s="10"/>
      <c r="J245" s="99"/>
      <c r="K245" s="99"/>
    </row>
    <row r="246" spans="1:11" ht="14.45">
      <c r="A246" s="9"/>
      <c r="B246" s="14"/>
      <c r="C246" s="9"/>
      <c r="D246" s="9"/>
      <c r="E246" s="9"/>
      <c r="F246" s="10"/>
      <c r="G246" s="9"/>
      <c r="H246" s="9"/>
      <c r="I246" s="10"/>
      <c r="J246" s="99"/>
      <c r="K246" s="99"/>
    </row>
    <row r="247" spans="1:11" ht="14.45">
      <c r="A247" s="9"/>
      <c r="B247" s="14"/>
      <c r="C247" s="9"/>
      <c r="D247" s="9"/>
      <c r="E247" s="9"/>
      <c r="F247" s="10"/>
      <c r="G247" s="9"/>
      <c r="H247" s="9"/>
      <c r="I247" s="10"/>
      <c r="J247" s="99"/>
      <c r="K247" s="99"/>
    </row>
    <row r="248" spans="1:11" ht="14.45">
      <c r="A248" s="9"/>
      <c r="B248" s="14"/>
      <c r="C248" s="9"/>
      <c r="D248" s="9"/>
      <c r="E248" s="9"/>
      <c r="F248" s="10"/>
      <c r="G248" s="9"/>
      <c r="H248" s="9"/>
      <c r="I248" s="10"/>
      <c r="J248" s="99"/>
      <c r="K248" s="99"/>
    </row>
    <row r="249" spans="1:11" ht="14.45">
      <c r="A249" s="9"/>
      <c r="B249" s="14"/>
      <c r="C249" s="9"/>
      <c r="D249" s="9"/>
      <c r="E249" s="9"/>
      <c r="F249" s="10"/>
      <c r="G249" s="9"/>
      <c r="H249" s="9"/>
      <c r="I249" s="10"/>
      <c r="J249" s="99"/>
      <c r="K249" s="99"/>
    </row>
    <row r="250" spans="1:11" ht="14.45">
      <c r="A250" s="9"/>
      <c r="B250" s="14"/>
      <c r="C250" s="9"/>
      <c r="D250" s="9"/>
      <c r="E250" s="9"/>
      <c r="F250" s="10"/>
      <c r="G250" s="9"/>
      <c r="H250" s="9"/>
      <c r="I250" s="10"/>
      <c r="J250" s="99"/>
      <c r="K250" s="99"/>
    </row>
    <row r="251" spans="1:11" ht="14.45">
      <c r="A251" s="9"/>
      <c r="B251" s="14"/>
      <c r="C251" s="9"/>
      <c r="D251" s="9"/>
      <c r="E251" s="9"/>
      <c r="F251" s="10"/>
      <c r="G251" s="9"/>
      <c r="H251" s="9"/>
      <c r="I251" s="10"/>
      <c r="J251" s="99"/>
      <c r="K251" s="99"/>
    </row>
    <row r="252" spans="1:11" ht="14.45">
      <c r="A252" s="9"/>
      <c r="B252" s="14"/>
      <c r="C252" s="9"/>
      <c r="D252" s="9"/>
      <c r="E252" s="9"/>
      <c r="F252" s="10"/>
      <c r="G252" s="9"/>
      <c r="H252" s="9"/>
      <c r="I252" s="10"/>
      <c r="J252" s="99"/>
      <c r="K252" s="99"/>
    </row>
    <row r="253" spans="1:11" ht="14.45">
      <c r="A253" s="9"/>
      <c r="B253" s="14"/>
      <c r="C253" s="9"/>
      <c r="D253" s="9"/>
      <c r="E253" s="9"/>
      <c r="F253" s="10"/>
      <c r="G253" s="9"/>
      <c r="H253" s="9"/>
      <c r="I253" s="10"/>
      <c r="J253" s="99"/>
      <c r="K253" s="99"/>
    </row>
    <row r="254" spans="1:11" ht="14.45">
      <c r="A254" s="9"/>
      <c r="B254" s="14"/>
      <c r="C254" s="9"/>
      <c r="D254" s="9"/>
      <c r="E254" s="9"/>
      <c r="F254" s="10"/>
      <c r="G254" s="9"/>
      <c r="H254" s="9"/>
      <c r="I254" s="10"/>
      <c r="J254" s="99"/>
      <c r="K254" s="99"/>
    </row>
    <row r="255" spans="1:11" ht="14.45">
      <c r="A255" s="9"/>
      <c r="B255" s="14"/>
      <c r="C255" s="9"/>
      <c r="D255" s="9"/>
      <c r="E255" s="9"/>
      <c r="F255" s="10"/>
      <c r="G255" s="9"/>
      <c r="H255" s="9"/>
      <c r="I255" s="10"/>
      <c r="J255" s="99"/>
      <c r="K255" s="99"/>
    </row>
    <row r="256" spans="1:11" ht="14.45">
      <c r="A256" s="9"/>
      <c r="B256" s="14"/>
      <c r="C256" s="9"/>
      <c r="D256" s="9"/>
      <c r="E256" s="9"/>
      <c r="F256" s="10"/>
      <c r="G256" s="9"/>
      <c r="H256" s="9"/>
      <c r="I256" s="10"/>
      <c r="J256" s="99"/>
      <c r="K256" s="99"/>
    </row>
    <row r="257" spans="1:11" ht="14.45">
      <c r="A257" s="9"/>
      <c r="B257" s="14"/>
      <c r="C257" s="9"/>
      <c r="D257" s="9"/>
      <c r="E257" s="9"/>
      <c r="F257" s="10"/>
      <c r="G257" s="9"/>
      <c r="H257" s="9"/>
      <c r="I257" s="10"/>
      <c r="J257" s="99"/>
      <c r="K257" s="99"/>
    </row>
    <row r="258" spans="1:11" ht="14.45">
      <c r="A258" s="9"/>
      <c r="B258" s="14"/>
      <c r="C258" s="9"/>
      <c r="D258" s="9"/>
      <c r="E258" s="9"/>
      <c r="F258" s="10"/>
      <c r="G258" s="9"/>
      <c r="H258" s="9"/>
      <c r="I258" s="10"/>
      <c r="J258" s="99"/>
      <c r="K258" s="99"/>
    </row>
    <row r="259" spans="1:11" ht="14.45">
      <c r="A259" s="9"/>
      <c r="B259" s="14"/>
      <c r="C259" s="9"/>
      <c r="D259" s="9"/>
      <c r="E259" s="9"/>
      <c r="F259" s="10"/>
      <c r="G259" s="9"/>
      <c r="H259" s="9"/>
      <c r="I259" s="10"/>
      <c r="J259" s="99"/>
      <c r="K259" s="99"/>
    </row>
    <row r="260" spans="1:11" ht="14.45">
      <c r="A260" s="9"/>
      <c r="B260" s="14"/>
      <c r="C260" s="9"/>
      <c r="D260" s="9"/>
      <c r="E260" s="9"/>
      <c r="F260" s="10"/>
      <c r="G260" s="9"/>
      <c r="H260" s="9"/>
      <c r="I260" s="10"/>
      <c r="J260" s="99"/>
      <c r="K260" s="99"/>
    </row>
    <row r="261" spans="1:11" ht="14.45">
      <c r="A261" s="9"/>
      <c r="B261" s="14"/>
      <c r="C261" s="9"/>
      <c r="D261" s="9"/>
      <c r="E261" s="9"/>
      <c r="F261" s="10"/>
      <c r="G261" s="9"/>
      <c r="H261" s="9"/>
      <c r="I261" s="10"/>
      <c r="J261" s="99"/>
      <c r="K261" s="99"/>
    </row>
    <row r="262" spans="1:11" ht="14.45">
      <c r="A262" s="9"/>
      <c r="B262" s="14"/>
      <c r="C262" s="9"/>
      <c r="D262" s="9"/>
      <c r="E262" s="9"/>
      <c r="F262" s="10"/>
      <c r="G262" s="9"/>
      <c r="H262" s="9"/>
      <c r="I262" s="10"/>
      <c r="J262" s="99"/>
      <c r="K262" s="99"/>
    </row>
    <row r="263" spans="1:11" ht="14.45">
      <c r="A263" s="9"/>
      <c r="B263" s="14"/>
      <c r="C263" s="9"/>
      <c r="D263" s="9"/>
      <c r="E263" s="9"/>
      <c r="F263" s="10"/>
      <c r="G263" s="9"/>
      <c r="H263" s="9"/>
      <c r="I263" s="10"/>
      <c r="J263" s="99"/>
      <c r="K263" s="99"/>
    </row>
    <row r="264" spans="1:11" ht="14.45">
      <c r="A264" s="9"/>
      <c r="B264" s="14"/>
      <c r="C264" s="9"/>
      <c r="D264" s="9"/>
      <c r="E264" s="9"/>
      <c r="F264" s="10"/>
      <c r="G264" s="9"/>
      <c r="H264" s="9"/>
      <c r="I264" s="10"/>
      <c r="J264" s="99"/>
      <c r="K264" s="99"/>
    </row>
    <row r="265" spans="1:11" ht="14.45">
      <c r="A265" s="9"/>
      <c r="B265" s="14"/>
      <c r="C265" s="9"/>
      <c r="D265" s="9"/>
      <c r="E265" s="9"/>
      <c r="F265" s="10"/>
      <c r="G265" s="9"/>
      <c r="H265" s="9"/>
      <c r="I265" s="10"/>
      <c r="J265" s="99"/>
      <c r="K265" s="99"/>
    </row>
    <row r="266" spans="1:11" ht="14.45">
      <c r="A266" s="9"/>
      <c r="B266" s="14"/>
      <c r="C266" s="9"/>
      <c r="D266" s="9"/>
      <c r="E266" s="9"/>
      <c r="F266" s="10"/>
      <c r="G266" s="9"/>
      <c r="H266" s="9"/>
      <c r="I266" s="10"/>
      <c r="J266" s="99"/>
      <c r="K266" s="99"/>
    </row>
    <row r="267" spans="1:11" ht="14.45">
      <c r="A267" s="9"/>
      <c r="B267" s="14"/>
      <c r="C267" s="9"/>
      <c r="D267" s="9"/>
      <c r="E267" s="9"/>
      <c r="F267" s="10"/>
      <c r="G267" s="9"/>
      <c r="H267" s="9"/>
      <c r="I267" s="10"/>
      <c r="J267" s="99"/>
      <c r="K267" s="99"/>
    </row>
    <row r="268" spans="1:11" ht="14.45">
      <c r="A268" s="9"/>
      <c r="B268" s="14"/>
      <c r="C268" s="9"/>
      <c r="D268" s="9"/>
      <c r="E268" s="9"/>
      <c r="F268" s="10"/>
      <c r="G268" s="9"/>
      <c r="H268" s="9"/>
      <c r="I268" s="10"/>
      <c r="J268" s="99"/>
      <c r="K268" s="99"/>
    </row>
    <row r="269" spans="1:11" ht="14.45">
      <c r="A269" s="9"/>
      <c r="B269" s="14"/>
      <c r="C269" s="9"/>
      <c r="D269" s="9"/>
      <c r="E269" s="9"/>
      <c r="F269" s="10"/>
      <c r="G269" s="9"/>
      <c r="H269" s="9"/>
      <c r="I269" s="10"/>
      <c r="J269" s="99"/>
      <c r="K269" s="99"/>
    </row>
    <row r="270" spans="1:11" ht="14.45">
      <c r="A270" s="9"/>
      <c r="B270" s="14"/>
      <c r="C270" s="9"/>
      <c r="D270" s="9"/>
      <c r="E270" s="9"/>
      <c r="F270" s="10"/>
      <c r="G270" s="9"/>
      <c r="H270" s="9"/>
      <c r="I270" s="10"/>
      <c r="J270" s="99"/>
      <c r="K270" s="99"/>
    </row>
    <row r="271" spans="1:11" ht="14.45">
      <c r="A271" s="9"/>
      <c r="B271" s="14"/>
      <c r="C271" s="9"/>
      <c r="D271" s="9"/>
      <c r="E271" s="9"/>
      <c r="F271" s="10"/>
      <c r="G271" s="9"/>
      <c r="H271" s="9"/>
      <c r="I271" s="10"/>
      <c r="J271" s="99"/>
      <c r="K271" s="99"/>
    </row>
    <row r="272" spans="1:11" ht="14.45">
      <c r="A272" s="9"/>
      <c r="B272" s="14"/>
      <c r="C272" s="9"/>
      <c r="D272" s="9"/>
      <c r="E272" s="9"/>
      <c r="F272" s="10"/>
      <c r="G272" s="9"/>
      <c r="H272" s="9"/>
      <c r="I272" s="10"/>
      <c r="J272" s="99"/>
      <c r="K272" s="99"/>
    </row>
    <row r="273" spans="1:11" ht="14.45">
      <c r="A273" s="9"/>
      <c r="B273" s="14"/>
      <c r="C273" s="9"/>
      <c r="D273" s="9"/>
      <c r="E273" s="9"/>
      <c r="F273" s="10"/>
      <c r="G273" s="9"/>
      <c r="H273" s="9"/>
      <c r="I273" s="10"/>
      <c r="J273" s="99"/>
      <c r="K273" s="99"/>
    </row>
    <row r="274" spans="1:11" ht="14.45">
      <c r="A274" s="9"/>
      <c r="B274" s="14"/>
      <c r="C274" s="9"/>
      <c r="D274" s="9"/>
      <c r="E274" s="9"/>
      <c r="F274" s="10"/>
      <c r="G274" s="9"/>
      <c r="H274" s="9"/>
      <c r="I274" s="10"/>
      <c r="J274" s="99"/>
      <c r="K274" s="99"/>
    </row>
    <row r="275" spans="1:11" ht="14.45">
      <c r="A275" s="9"/>
      <c r="B275" s="14"/>
      <c r="C275" s="9"/>
      <c r="D275" s="9"/>
      <c r="E275" s="9"/>
      <c r="F275" s="10"/>
      <c r="G275" s="9"/>
      <c r="H275" s="9"/>
      <c r="I275" s="10"/>
      <c r="J275" s="99"/>
      <c r="K275" s="99"/>
    </row>
    <row r="276" spans="1:11" ht="14.45">
      <c r="A276" s="9"/>
      <c r="B276" s="14"/>
      <c r="C276" s="9"/>
      <c r="D276" s="9"/>
      <c r="E276" s="9"/>
      <c r="F276" s="10"/>
      <c r="G276" s="9"/>
      <c r="H276" s="9"/>
      <c r="I276" s="10"/>
      <c r="J276" s="99"/>
      <c r="K276" s="99"/>
    </row>
    <row r="277" spans="1:11" ht="14.45">
      <c r="A277" s="9"/>
      <c r="B277" s="14"/>
      <c r="C277" s="9"/>
      <c r="D277" s="9"/>
      <c r="E277" s="9"/>
      <c r="F277" s="10"/>
      <c r="G277" s="9"/>
      <c r="H277" s="9"/>
      <c r="I277" s="10"/>
      <c r="J277" s="99"/>
      <c r="K277" s="99"/>
    </row>
    <row r="278" spans="1:11" ht="14.45">
      <c r="A278" s="9"/>
      <c r="B278" s="14"/>
      <c r="C278" s="9"/>
      <c r="D278" s="9"/>
      <c r="E278" s="9"/>
      <c r="F278" s="10"/>
      <c r="G278" s="9"/>
      <c r="H278" s="9"/>
      <c r="I278" s="10"/>
      <c r="J278" s="99"/>
      <c r="K278" s="99"/>
    </row>
    <row r="279" spans="1:11" ht="14.45">
      <c r="A279" s="9"/>
      <c r="B279" s="14"/>
      <c r="C279" s="9"/>
      <c r="D279" s="9"/>
      <c r="E279" s="9"/>
      <c r="F279" s="10"/>
      <c r="G279" s="9"/>
      <c r="H279" s="9"/>
      <c r="I279" s="10"/>
      <c r="J279" s="99"/>
      <c r="K279" s="99"/>
    </row>
    <row r="280" spans="1:11" ht="14.45">
      <c r="A280" s="9"/>
      <c r="B280" s="14"/>
      <c r="C280" s="9"/>
      <c r="D280" s="9"/>
      <c r="E280" s="9"/>
      <c r="F280" s="10"/>
      <c r="G280" s="9"/>
      <c r="H280" s="9"/>
      <c r="I280" s="10"/>
      <c r="J280" s="99"/>
      <c r="K280" s="99"/>
    </row>
    <row r="281" spans="1:11" ht="14.45">
      <c r="A281" s="9"/>
      <c r="B281" s="14"/>
      <c r="C281" s="9"/>
      <c r="D281" s="9"/>
      <c r="E281" s="9"/>
      <c r="F281" s="10"/>
      <c r="G281" s="9"/>
      <c r="H281" s="9"/>
      <c r="I281" s="10"/>
      <c r="J281" s="99"/>
      <c r="K281" s="99"/>
    </row>
    <row r="282" spans="1:11" ht="14.45">
      <c r="A282" s="9"/>
      <c r="B282" s="14"/>
      <c r="C282" s="9"/>
      <c r="D282" s="9"/>
      <c r="E282" s="9"/>
      <c r="F282" s="10"/>
      <c r="G282" s="9"/>
      <c r="H282" s="9"/>
      <c r="I282" s="10"/>
      <c r="J282" s="99"/>
      <c r="K282" s="99"/>
    </row>
    <row r="283" spans="1:11" ht="14.45">
      <c r="A283" s="9"/>
      <c r="B283" s="14"/>
      <c r="C283" s="9"/>
      <c r="D283" s="9"/>
      <c r="E283" s="9"/>
      <c r="F283" s="10"/>
      <c r="G283" s="9"/>
      <c r="H283" s="9"/>
      <c r="I283" s="10"/>
      <c r="J283" s="99"/>
      <c r="K283" s="99"/>
    </row>
    <row r="284" spans="1:11" ht="14.45">
      <c r="A284" s="9"/>
      <c r="B284" s="14"/>
      <c r="C284" s="9"/>
      <c r="D284" s="9"/>
      <c r="E284" s="9"/>
      <c r="F284" s="10"/>
      <c r="G284" s="9"/>
      <c r="H284" s="9"/>
      <c r="I284" s="10"/>
      <c r="J284" s="99"/>
      <c r="K284" s="99"/>
    </row>
    <row r="285" spans="1:11" ht="14.45">
      <c r="A285" s="9"/>
      <c r="B285" s="14"/>
      <c r="C285" s="9"/>
      <c r="D285" s="9"/>
      <c r="E285" s="9"/>
      <c r="F285" s="10"/>
      <c r="G285" s="9"/>
      <c r="H285" s="9"/>
      <c r="I285" s="10"/>
      <c r="J285" s="99"/>
      <c r="K285" s="99"/>
    </row>
    <row r="286" spans="1:11" ht="14.45">
      <c r="A286" s="9"/>
      <c r="B286" s="14"/>
      <c r="C286" s="9"/>
      <c r="D286" s="9"/>
      <c r="E286" s="9"/>
      <c r="F286" s="10"/>
      <c r="G286" s="9"/>
      <c r="H286" s="9"/>
      <c r="I286" s="10"/>
      <c r="J286" s="99"/>
      <c r="K286" s="99"/>
    </row>
    <row r="287" spans="1:11" ht="14.45">
      <c r="A287" s="9"/>
      <c r="B287" s="14"/>
      <c r="C287" s="9"/>
      <c r="D287" s="9"/>
      <c r="E287" s="9"/>
      <c r="F287" s="10"/>
      <c r="G287" s="9"/>
      <c r="H287" s="9"/>
      <c r="I287" s="10"/>
      <c r="J287" s="99"/>
      <c r="K287" s="99"/>
    </row>
    <row r="288" spans="1:11" ht="14.45">
      <c r="A288" s="9"/>
      <c r="B288" s="14"/>
      <c r="C288" s="9"/>
      <c r="D288" s="9"/>
      <c r="E288" s="9"/>
      <c r="F288" s="10"/>
      <c r="G288" s="9"/>
      <c r="H288" s="9"/>
      <c r="I288" s="10"/>
      <c r="J288" s="99"/>
      <c r="K288" s="99"/>
    </row>
    <row r="289" spans="1:11" ht="14.45">
      <c r="A289" s="9"/>
      <c r="B289" s="14"/>
      <c r="C289" s="9"/>
      <c r="D289" s="9"/>
      <c r="E289" s="9"/>
      <c r="F289" s="10"/>
      <c r="G289" s="9"/>
      <c r="H289" s="9"/>
      <c r="I289" s="10"/>
      <c r="J289" s="99"/>
      <c r="K289" s="99"/>
    </row>
    <row r="290" spans="1:11" ht="14.45">
      <c r="A290" s="9"/>
      <c r="B290" s="14"/>
      <c r="C290" s="9"/>
      <c r="D290" s="9"/>
      <c r="E290" s="9"/>
      <c r="F290" s="10"/>
      <c r="G290" s="9"/>
      <c r="H290" s="9"/>
      <c r="I290" s="10"/>
      <c r="J290" s="99"/>
      <c r="K290" s="99"/>
    </row>
    <row r="291" spans="1:11" ht="14.45">
      <c r="A291" s="9"/>
      <c r="B291" s="14"/>
      <c r="C291" s="9"/>
      <c r="D291" s="9"/>
      <c r="E291" s="9"/>
      <c r="F291" s="10"/>
      <c r="G291" s="9"/>
      <c r="H291" s="9"/>
      <c r="I291" s="10"/>
      <c r="J291" s="99"/>
      <c r="K291" s="99"/>
    </row>
    <row r="292" spans="1:11" ht="14.45">
      <c r="A292" s="9"/>
      <c r="B292" s="14"/>
      <c r="C292" s="9"/>
      <c r="D292" s="9"/>
      <c r="E292" s="9"/>
      <c r="F292" s="10"/>
      <c r="G292" s="9"/>
      <c r="H292" s="9"/>
      <c r="I292" s="10"/>
      <c r="J292" s="99"/>
      <c r="K292" s="99"/>
    </row>
    <row r="293" spans="1:11" ht="14.45">
      <c r="A293" s="9"/>
      <c r="B293" s="14"/>
      <c r="C293" s="9"/>
      <c r="D293" s="9"/>
      <c r="E293" s="9"/>
      <c r="F293" s="10"/>
      <c r="G293" s="9"/>
      <c r="H293" s="9"/>
      <c r="I293" s="10"/>
      <c r="J293" s="99"/>
      <c r="K293" s="99"/>
    </row>
    <row r="294" spans="1:11" ht="14.45">
      <c r="A294" s="9"/>
      <c r="B294" s="14"/>
      <c r="C294" s="9"/>
      <c r="D294" s="9"/>
      <c r="E294" s="9"/>
      <c r="F294" s="10"/>
      <c r="G294" s="9"/>
      <c r="H294" s="9"/>
      <c r="I294" s="10"/>
      <c r="J294" s="99"/>
      <c r="K294" s="99"/>
    </row>
    <row r="295" spans="1:11" ht="14.45">
      <c r="A295" s="9"/>
      <c r="B295" s="14"/>
      <c r="C295" s="9"/>
      <c r="D295" s="9"/>
      <c r="E295" s="9"/>
      <c r="F295" s="10"/>
      <c r="G295" s="9"/>
      <c r="H295" s="9"/>
      <c r="I295" s="10"/>
      <c r="J295" s="99"/>
      <c r="K295" s="99"/>
    </row>
    <row r="296" spans="1:11" ht="14.45">
      <c r="A296" s="9"/>
      <c r="B296" s="14"/>
      <c r="C296" s="9"/>
      <c r="D296" s="9"/>
      <c r="E296" s="9"/>
      <c r="F296" s="10"/>
      <c r="G296" s="9"/>
      <c r="H296" s="9"/>
      <c r="I296" s="10"/>
      <c r="J296" s="99"/>
      <c r="K296" s="99"/>
    </row>
    <row r="297" spans="1:11" ht="14.45">
      <c r="A297" s="9"/>
      <c r="B297" s="14"/>
      <c r="C297" s="9"/>
      <c r="D297" s="9"/>
      <c r="E297" s="9"/>
      <c r="F297" s="10"/>
      <c r="G297" s="9"/>
      <c r="H297" s="9"/>
      <c r="I297" s="10"/>
      <c r="J297" s="99"/>
      <c r="K297" s="99"/>
    </row>
    <row r="298" spans="1:11" ht="14.45">
      <c r="A298" s="9"/>
      <c r="B298" s="14"/>
      <c r="C298" s="9"/>
      <c r="D298" s="9"/>
      <c r="E298" s="9"/>
      <c r="F298" s="10"/>
      <c r="G298" s="9"/>
      <c r="H298" s="9"/>
      <c r="I298" s="10"/>
      <c r="J298" s="99"/>
      <c r="K298" s="99"/>
    </row>
    <row r="299" spans="1:11" ht="14.45">
      <c r="A299" s="9"/>
      <c r="B299" s="14"/>
      <c r="C299" s="9"/>
      <c r="D299" s="9"/>
      <c r="E299" s="9"/>
      <c r="F299" s="10"/>
      <c r="G299" s="9"/>
      <c r="H299" s="9"/>
      <c r="I299" s="10"/>
      <c r="J299" s="99"/>
      <c r="K299" s="99"/>
    </row>
    <row r="300" spans="1:11" ht="14.45">
      <c r="A300" s="9"/>
      <c r="B300" s="14"/>
      <c r="C300" s="9"/>
      <c r="D300" s="9"/>
      <c r="E300" s="9"/>
      <c r="F300" s="10"/>
      <c r="G300" s="9"/>
      <c r="H300" s="9"/>
      <c r="I300" s="10"/>
      <c r="J300" s="99"/>
      <c r="K300" s="99"/>
    </row>
    <row r="301" spans="1:11" ht="14.45">
      <c r="A301" s="9"/>
      <c r="B301" s="14"/>
      <c r="C301" s="9"/>
      <c r="D301" s="9"/>
      <c r="E301" s="9"/>
      <c r="F301" s="10"/>
      <c r="G301" s="9"/>
      <c r="H301" s="9"/>
      <c r="I301" s="10"/>
      <c r="J301" s="99"/>
      <c r="K301" s="99"/>
    </row>
    <row r="302" spans="1:11" ht="14.45">
      <c r="A302" s="9"/>
      <c r="B302" s="14"/>
      <c r="C302" s="9"/>
      <c r="D302" s="9"/>
      <c r="E302" s="9"/>
      <c r="F302" s="10"/>
      <c r="G302" s="9"/>
      <c r="H302" s="9"/>
      <c r="I302" s="10"/>
      <c r="J302" s="99"/>
      <c r="K302" s="99"/>
    </row>
    <row r="303" spans="1:11" ht="14.45">
      <c r="A303" s="9"/>
      <c r="B303" s="14"/>
      <c r="C303" s="9"/>
      <c r="D303" s="9"/>
      <c r="E303" s="9"/>
      <c r="F303" s="10"/>
      <c r="G303" s="9"/>
      <c r="H303" s="9"/>
      <c r="I303" s="10"/>
      <c r="J303" s="99"/>
      <c r="K303" s="99"/>
    </row>
    <row r="304" spans="1:11" ht="14.45">
      <c r="A304" s="9"/>
      <c r="B304" s="14"/>
      <c r="C304" s="9"/>
      <c r="D304" s="9"/>
      <c r="E304" s="9"/>
      <c r="F304" s="10"/>
      <c r="G304" s="9"/>
      <c r="H304" s="9"/>
      <c r="I304" s="10"/>
      <c r="J304" s="99"/>
      <c r="K304" s="99"/>
    </row>
    <row r="305" spans="1:11" ht="14.45">
      <c r="A305" s="9"/>
      <c r="B305" s="14"/>
      <c r="C305" s="9"/>
      <c r="D305" s="9"/>
      <c r="E305" s="9"/>
      <c r="F305" s="10"/>
      <c r="G305" s="9"/>
      <c r="H305" s="9"/>
      <c r="I305" s="10"/>
      <c r="J305" s="99"/>
      <c r="K305" s="99"/>
    </row>
    <row r="306" spans="1:11" ht="14.45">
      <c r="A306" s="9"/>
      <c r="B306" s="14"/>
      <c r="C306" s="9"/>
      <c r="D306" s="9"/>
      <c r="E306" s="9"/>
      <c r="F306" s="10"/>
      <c r="G306" s="9"/>
      <c r="H306" s="9"/>
      <c r="I306" s="10"/>
      <c r="J306" s="99"/>
      <c r="K306" s="99"/>
    </row>
    <row r="307" spans="1:11" ht="14.45">
      <c r="A307" s="9"/>
      <c r="B307" s="14"/>
      <c r="C307" s="9"/>
      <c r="D307" s="9"/>
      <c r="E307" s="9"/>
      <c r="F307" s="10"/>
      <c r="G307" s="9"/>
      <c r="H307" s="9"/>
      <c r="I307" s="10"/>
      <c r="J307" s="99"/>
      <c r="K307" s="99"/>
    </row>
    <row r="308" spans="1:11" ht="14.45">
      <c r="A308" s="9"/>
      <c r="B308" s="14"/>
      <c r="C308" s="9"/>
      <c r="D308" s="9"/>
      <c r="E308" s="9"/>
      <c r="F308" s="10"/>
      <c r="G308" s="9"/>
      <c r="H308" s="9"/>
      <c r="I308" s="10"/>
      <c r="J308" s="99"/>
      <c r="K308" s="99"/>
    </row>
    <row r="309" spans="1:11" ht="14.45">
      <c r="A309" s="9"/>
      <c r="B309" s="14"/>
      <c r="C309" s="9"/>
      <c r="D309" s="9"/>
      <c r="E309" s="9"/>
      <c r="F309" s="10"/>
      <c r="G309" s="9"/>
      <c r="H309" s="9"/>
      <c r="I309" s="10"/>
      <c r="J309" s="99"/>
      <c r="K309" s="99"/>
    </row>
    <row r="310" spans="1:11" ht="14.45">
      <c r="A310" s="9"/>
      <c r="B310" s="14"/>
      <c r="C310" s="9"/>
      <c r="D310" s="9"/>
      <c r="E310" s="9"/>
      <c r="F310" s="10"/>
      <c r="G310" s="9"/>
      <c r="H310" s="9"/>
      <c r="I310" s="10"/>
      <c r="J310" s="99"/>
      <c r="K310" s="99"/>
    </row>
    <row r="311" spans="1:11" ht="14.45">
      <c r="A311" s="9"/>
      <c r="B311" s="14"/>
      <c r="C311" s="9"/>
      <c r="D311" s="9"/>
      <c r="E311" s="9"/>
      <c r="F311" s="10"/>
      <c r="G311" s="9"/>
      <c r="H311" s="9"/>
      <c r="I311" s="10"/>
      <c r="J311" s="99"/>
      <c r="K311" s="99"/>
    </row>
    <row r="312" spans="1:11" ht="14.45">
      <c r="A312" s="9"/>
      <c r="B312" s="14"/>
      <c r="C312" s="9"/>
      <c r="D312" s="9"/>
      <c r="E312" s="9"/>
      <c r="F312" s="10"/>
      <c r="G312" s="9"/>
      <c r="H312" s="9"/>
      <c r="I312" s="10"/>
      <c r="J312" s="99"/>
      <c r="K312" s="99"/>
    </row>
    <row r="313" spans="1:11" ht="14.45">
      <c r="A313" s="9"/>
      <c r="B313" s="14"/>
      <c r="C313" s="9"/>
      <c r="D313" s="9"/>
      <c r="E313" s="9"/>
      <c r="F313" s="10"/>
      <c r="G313" s="9"/>
      <c r="H313" s="9"/>
      <c r="I313" s="10"/>
      <c r="J313" s="99"/>
      <c r="K313" s="99"/>
    </row>
    <row r="314" spans="1:11" ht="14.45">
      <c r="A314" s="9"/>
      <c r="B314" s="14"/>
      <c r="C314" s="9"/>
      <c r="D314" s="9"/>
      <c r="E314" s="9"/>
      <c r="F314" s="10"/>
      <c r="G314" s="9"/>
      <c r="H314" s="9"/>
      <c r="I314" s="10"/>
      <c r="J314" s="99"/>
      <c r="K314" s="99"/>
    </row>
    <row r="315" spans="1:11" ht="14.45">
      <c r="A315" s="9"/>
      <c r="B315" s="14"/>
      <c r="C315" s="9"/>
      <c r="D315" s="9"/>
      <c r="E315" s="9"/>
      <c r="F315" s="10"/>
      <c r="G315" s="9"/>
      <c r="H315" s="9"/>
      <c r="I315" s="10"/>
      <c r="J315" s="99"/>
      <c r="K315" s="99"/>
    </row>
    <row r="316" spans="1:11" ht="14.45">
      <c r="A316" s="9"/>
      <c r="B316" s="14"/>
      <c r="C316" s="9"/>
      <c r="D316" s="9"/>
      <c r="E316" s="9"/>
      <c r="F316" s="10"/>
      <c r="G316" s="9"/>
      <c r="H316" s="9"/>
      <c r="I316" s="10"/>
      <c r="J316" s="99"/>
      <c r="K316" s="99"/>
    </row>
    <row r="317" spans="1:11" ht="14.45">
      <c r="A317" s="9"/>
      <c r="B317" s="14"/>
      <c r="C317" s="9"/>
      <c r="D317" s="9"/>
      <c r="E317" s="9"/>
      <c r="F317" s="10"/>
      <c r="G317" s="9"/>
      <c r="H317" s="9"/>
      <c r="I317" s="10"/>
      <c r="J317" s="99"/>
      <c r="K317" s="99"/>
    </row>
    <row r="318" spans="1:11" ht="14.45">
      <c r="A318" s="9"/>
      <c r="B318" s="14"/>
      <c r="C318" s="9"/>
      <c r="D318" s="9"/>
      <c r="E318" s="9"/>
      <c r="F318" s="10"/>
      <c r="G318" s="9"/>
      <c r="H318" s="9"/>
      <c r="I318" s="10"/>
      <c r="J318" s="99"/>
      <c r="K318" s="99"/>
    </row>
    <row r="319" spans="1:11" ht="14.45">
      <c r="A319" s="9"/>
      <c r="B319" s="14"/>
      <c r="C319" s="9"/>
      <c r="D319" s="9"/>
      <c r="E319" s="9"/>
      <c r="F319" s="10"/>
      <c r="G319" s="9"/>
      <c r="H319" s="9"/>
      <c r="I319" s="10"/>
      <c r="J319" s="99"/>
      <c r="K319" s="99"/>
    </row>
    <row r="320" spans="1:11" ht="14.45">
      <c r="A320" s="9"/>
      <c r="B320" s="14"/>
      <c r="C320" s="9"/>
      <c r="D320" s="9"/>
      <c r="E320" s="9"/>
      <c r="F320" s="10"/>
      <c r="G320" s="9"/>
      <c r="H320" s="9"/>
      <c r="I320" s="10"/>
      <c r="J320" s="99"/>
      <c r="K320" s="99"/>
    </row>
    <row r="321" spans="1:11" ht="14.45">
      <c r="A321" s="9"/>
      <c r="B321" s="14"/>
      <c r="C321" s="9"/>
      <c r="D321" s="9"/>
      <c r="E321" s="9"/>
      <c r="F321" s="10"/>
      <c r="G321" s="9"/>
      <c r="H321" s="9"/>
      <c r="I321" s="10"/>
      <c r="J321" s="99"/>
      <c r="K321" s="99"/>
    </row>
    <row r="322" spans="1:11" ht="14.45">
      <c r="C322" s="9"/>
      <c r="D322" s="9"/>
      <c r="E322" s="9"/>
      <c r="F322" s="10"/>
      <c r="G322" s="9"/>
      <c r="H322" s="9"/>
      <c r="I322" s="10"/>
      <c r="J322" s="99"/>
      <c r="K322" s="9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hyperlinks>
    <hyperlink ref="K5" r:id="rId1" display="https://us3.assetplanner.com/service_request?ID=106633" xr:uid="{F314F7F6-4398-4FE4-A277-168DC919139E}"/>
    <hyperlink ref="L5" r:id="rId2" display="https://us3.assetplanner.com/service_request?ID=105480" xr:uid="{E37453F9-95C6-4C49-AA01-0F6F65CF6856}"/>
    <hyperlink ref="K6" r:id="rId3" display="https://us3.assetplanner.com/service_request?ID=105851" xr:uid="{4428B3B4-C2E0-445F-B830-E0562AFE8DD3}"/>
    <hyperlink ref="L6" r:id="rId4" display="https://us3.assetplanner.com/service_request?ID=105935" xr:uid="{C871AC3E-21BC-4BCC-A365-71332C653154}"/>
    <hyperlink ref="M6" r:id="rId5" display="https://us3.assetplanner.com/service_request?ID=106139" xr:uid="{163E95C4-851E-413B-978C-3DC7777F35D3}"/>
    <hyperlink ref="N6" r:id="rId6" display="https://us3.assetplanner.com/service_request?ID=105541" xr:uid="{04F30652-972B-4BFD-AFDE-0A3991E922A5}"/>
    <hyperlink ref="O6" r:id="rId7" display="https://us3.assetplanner.com/service_request?ID=107166" xr:uid="{69096975-8BAD-4E3F-B7F2-E7E8356415D8}"/>
    <hyperlink ref="K8" r:id="rId8" display="https://us3.assetplanner.com/service_request?ID=106818" xr:uid="{9E2D52A3-7896-4E61-8693-13F33CF779EF}"/>
    <hyperlink ref="K9" r:id="rId9" display="https://us3.assetplanner.com/service_request?ID=107243" xr:uid="{2ED43EED-D3FE-4544-8DE3-E10B8D5D33C1}"/>
    <hyperlink ref="K10" r:id="rId10" display="https://us3.assetplanner.com/service_request?ID=098907" xr:uid="{631FA075-9D89-455F-9484-AA3FBBFA078D}"/>
    <hyperlink ref="K11" r:id="rId11" display="https://us3.assetplanner.com/service_request?ID=104611" xr:uid="{44616916-2B18-42C6-BA1B-2E7DADD609B5}"/>
    <hyperlink ref="L11" r:id="rId12" display="https://us3.assetplanner.com/service_request?ID=103521" xr:uid="{56FF4D12-D1A0-4C5A-9C53-91882CA5DFC5}"/>
    <hyperlink ref="K12" r:id="rId13" display="https://us3.assetplanner.com/service_request?ID=105504" xr:uid="{4E1C62BB-64A1-4EC2-B415-7850BFB866BD}"/>
    <hyperlink ref="K13" r:id="rId14" display="https://us3.assetplanner.com/service_request?ID=106949" xr:uid="{D9D87687-BF4A-49CB-8864-EB21FD071DDA}"/>
    <hyperlink ref="L13" r:id="rId15" display="https://us3.assetplanner.com/service_request?ID=106207" xr:uid="{9209E2AC-50BB-4E26-914B-45E4834C9425}"/>
    <hyperlink ref="M13" r:id="rId16" display="https://us3.assetplanner.com/service_request?ID=105061" xr:uid="{2D332D89-C4C5-4E55-94FE-B89C00AD8AB3}"/>
    <hyperlink ref="N13" r:id="rId17" display="https://us3.assetplanner.com/service_request?ID=104588" xr:uid="{2BE9B986-1153-45EF-99A5-CF306B6B32B7}"/>
    <hyperlink ref="O13" r:id="rId18" display="https://us3.assetplanner.com/service_request?ID=104107" xr:uid="{2452BD59-8FA4-4EA7-A9DD-C08AB47C288C}"/>
    <hyperlink ref="K14" r:id="rId19" display="https://us3.assetplanner.com/service_request?ID=106400" xr:uid="{EA964CF0-2260-4C39-8E3C-98660950C547}"/>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AJ322"/>
  <sheetViews>
    <sheetView tabSelected="1" zoomScale="70" zoomScaleNormal="70" workbookViewId="0">
      <pane xSplit="2" ySplit="3" topLeftCell="J4" activePane="bottomRight" state="frozen"/>
      <selection pane="bottomRight" activeCell="A4" sqref="A4:A14"/>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36" width="8.85546875" style="83"/>
  </cols>
  <sheetData>
    <row r="1" spans="1:16" ht="19.5" customHeight="1">
      <c r="A1" s="104" t="str" cm="1">
        <f t="array" ref="A1">portfolio</f>
        <v>Renewable Properties</v>
      </c>
      <c r="B1" s="104"/>
      <c r="C1" s="104"/>
      <c r="D1" s="105" t="s">
        <v>220</v>
      </c>
      <c r="E1" s="105"/>
      <c r="F1" s="105"/>
      <c r="G1" s="103" t="s">
        <v>221</v>
      </c>
      <c r="H1" s="103"/>
      <c r="I1" s="103"/>
      <c r="J1" s="4"/>
      <c r="K1" s="4"/>
    </row>
    <row r="2" spans="1:16" ht="19.5" customHeight="1">
      <c r="A2" s="106" t="s">
        <v>2</v>
      </c>
      <c r="B2" s="106"/>
      <c r="C2" s="5">
        <f>SUM(C4:C80)</f>
        <v>5922537.8550000004</v>
      </c>
      <c r="D2" s="5">
        <f>SUM(D4:D80)</f>
        <v>6865670.7999999998</v>
      </c>
      <c r="E2" s="5">
        <f>C2-D2</f>
        <v>-943132.94499999937</v>
      </c>
      <c r="F2" s="6">
        <f>IFERROR(E2/D2, 0)</f>
        <v>-0.13736938057094136</v>
      </c>
      <c r="G2" s="5">
        <f>SUM(G4:G80)</f>
        <v>6106753.625</v>
      </c>
      <c r="H2" s="7">
        <f>C2-G2</f>
        <v>-184215.76999999955</v>
      </c>
      <c r="I2" s="6">
        <f>IFERROR(H2/G2, 0)</f>
        <v>-3.0165908322525383E-2</v>
      </c>
      <c r="J2" s="12" t="str">
        <f ca="1">IF(AND(TODAY()&gt;DATE(2024, 9, 1), COUNTA(Sites[Site])&lt;&gt;(COUNT(C:C)-1)), "Some sites are missing actual data; if new sites were added, make sure they are aligned correctly (including prior months!)", "")</f>
        <v/>
      </c>
      <c r="K2" s="4"/>
    </row>
    <row r="3" spans="1:16" ht="14.25" customHeight="1">
      <c r="A3" s="13" t="s">
        <v>3</v>
      </c>
      <c r="B3" s="13" t="s">
        <v>4</v>
      </c>
      <c r="C3" s="40" t="s">
        <v>5</v>
      </c>
      <c r="D3" s="41" t="s">
        <v>6</v>
      </c>
      <c r="E3" s="41" t="s">
        <v>7</v>
      </c>
      <c r="F3" s="42" t="s">
        <v>8</v>
      </c>
      <c r="G3" s="47" t="s">
        <v>9</v>
      </c>
      <c r="H3" s="44" t="s">
        <v>7</v>
      </c>
      <c r="I3" s="45" t="s">
        <v>8</v>
      </c>
      <c r="J3" s="46" t="s">
        <v>20</v>
      </c>
      <c r="K3" s="46" t="s">
        <v>21</v>
      </c>
    </row>
    <row r="4" spans="1:16" ht="15.6">
      <c r="A4" s="55" t="str" cm="1">
        <f t="array" ref="A4:A14">Sites[Site]</f>
        <v>Cedar Swamp Rd</v>
      </c>
      <c r="B4" s="49" t="str" cm="1">
        <f t="array" ref="B4:B14">Sites[State]</f>
        <v>MA</v>
      </c>
      <c r="C4" s="27">
        <v>125503</v>
      </c>
      <c r="D4" s="28">
        <v>115285.4</v>
      </c>
      <c r="E4" s="28">
        <f>IF(AND(ISNUMBER(C4),ISNUMBER(D4)), C4-D4, "")</f>
        <v>10217.600000000006</v>
      </c>
      <c r="F4" s="29">
        <f>IFERROR(E4/D4, "")</f>
        <v>8.8628742234489424E-2</v>
      </c>
      <c r="G4" s="30">
        <v>130071.4</v>
      </c>
      <c r="H4" s="30">
        <f>IF(AND(ISNUMBER(C4),ISNUMBER(G4)), C4-G4, "")</f>
        <v>-4568.3999999999942</v>
      </c>
      <c r="I4" s="31">
        <f>IFERROR(H4/G4, "")</f>
        <v>-3.5122248242119285E-2</v>
      </c>
      <c r="J4" s="50"/>
      <c r="K4" s="50"/>
    </row>
    <row r="5" spans="1:16" ht="28.9">
      <c r="A5" s="56" t="str">
        <v>Bullis</v>
      </c>
      <c r="B5" s="52" t="str">
        <v>NY</v>
      </c>
      <c r="C5" s="34">
        <v>571796</v>
      </c>
      <c r="D5" s="35">
        <v>558854.30000000005</v>
      </c>
      <c r="E5" s="35">
        <f t="shared" ref="E5:E6" si="0">IF(AND(ISNUMBER(C5),ISNUMBER(D5)), C5-D5, "")</f>
        <v>12941.699999999953</v>
      </c>
      <c r="F5" s="36">
        <f>IFERROR(E5/D5, "")</f>
        <v>2.3157556450759977E-2</v>
      </c>
      <c r="G5" s="37">
        <v>793960.6</v>
      </c>
      <c r="H5" s="37">
        <f t="shared" ref="H5:H6" si="1">IF(AND(ISNUMBER(C5),ISNUMBER(G5)), C5-G5, "")</f>
        <v>-222164.59999999998</v>
      </c>
      <c r="I5" s="36">
        <f t="shared" ref="I5:I6" si="2">IFERROR(H5/G5, "")</f>
        <v>-0.27981816729948561</v>
      </c>
      <c r="J5" s="53" t="s">
        <v>222</v>
      </c>
      <c r="K5" s="100" t="s">
        <v>223</v>
      </c>
      <c r="L5" s="85" t="s">
        <v>224</v>
      </c>
    </row>
    <row r="6" spans="1:16" ht="144">
      <c r="A6" s="57" t="str">
        <v>Rock Island</v>
      </c>
      <c r="B6" s="49" t="str">
        <v>NY</v>
      </c>
      <c r="C6" s="27">
        <v>677114</v>
      </c>
      <c r="D6" s="28">
        <v>774316.3</v>
      </c>
      <c r="E6" s="28">
        <f t="shared" si="0"/>
        <v>-97202.300000000047</v>
      </c>
      <c r="F6" s="29">
        <f t="shared" ref="F6" si="3">IFERROR(E6/D6, "")</f>
        <v>-0.12553306704249936</v>
      </c>
      <c r="G6" s="30">
        <v>688495.9</v>
      </c>
      <c r="H6" s="30">
        <f t="shared" si="1"/>
        <v>-11381.900000000023</v>
      </c>
      <c r="I6" s="31">
        <f t="shared" si="2"/>
        <v>-1.6531543615582928E-2</v>
      </c>
      <c r="J6" s="66" t="s">
        <v>225</v>
      </c>
      <c r="K6" s="86" t="s">
        <v>226</v>
      </c>
      <c r="L6" s="85" t="s">
        <v>199</v>
      </c>
      <c r="M6" s="85" t="s">
        <v>227</v>
      </c>
      <c r="N6" s="85" t="s">
        <v>228</v>
      </c>
      <c r="O6" s="85" t="s">
        <v>229</v>
      </c>
      <c r="P6" s="85" t="s">
        <v>230</v>
      </c>
    </row>
    <row r="7" spans="1:16" ht="15.6">
      <c r="A7" s="56" t="str">
        <v>Winslow - Roderick</v>
      </c>
      <c r="B7" s="52" t="str">
        <v>ME</v>
      </c>
      <c r="C7" s="34">
        <v>737866</v>
      </c>
      <c r="D7" s="35">
        <v>796026.2</v>
      </c>
      <c r="E7" s="35">
        <f t="shared" ref="E7" si="4">IF(AND(ISNUMBER(C7),ISNUMBER(D7)), C7-D7, "")</f>
        <v>-58160.199999999953</v>
      </c>
      <c r="F7" s="36">
        <f t="shared" ref="F7" si="5">IFERROR(E7/D7, "")</f>
        <v>-7.3063173046314253E-2</v>
      </c>
      <c r="G7" s="37">
        <v>730600</v>
      </c>
      <c r="H7" s="37">
        <f t="shared" ref="H7:H13" si="6">IF(AND(ISNUMBER(C7),ISNUMBER(G7)), C7-G7, "")</f>
        <v>7266</v>
      </c>
      <c r="I7" s="36">
        <f t="shared" ref="I7:I13" si="7">IFERROR(H7/G7, "")</f>
        <v>9.9452504790583079E-3</v>
      </c>
      <c r="J7" s="53"/>
      <c r="K7" s="53"/>
    </row>
    <row r="8" spans="1:16" ht="86.45">
      <c r="A8" s="57" t="str">
        <v>Minoa - Clemons Rd</v>
      </c>
      <c r="B8" s="49" t="str">
        <v>NY</v>
      </c>
      <c r="C8" s="27">
        <v>479813</v>
      </c>
      <c r="D8" s="28">
        <v>574854.1</v>
      </c>
      <c r="E8" s="28">
        <f t="shared" ref="E8:E15" si="8">IF(AND(ISNUMBER(C8),ISNUMBER(D8)), C8-D8, "")</f>
        <v>-95041.099999999977</v>
      </c>
      <c r="F8" s="29">
        <f t="shared" ref="F8:F14" si="9">IFERROR(E8/D8, "")</f>
        <v>-0.16533082046383593</v>
      </c>
      <c r="G8" s="30">
        <v>137759.22500000001</v>
      </c>
      <c r="H8" s="30">
        <f t="shared" ref="H8:H14" si="10">IF(AND(ISNUMBER(C8),ISNUMBER(G8)), C8-G8, "")</f>
        <v>342053.77500000002</v>
      </c>
      <c r="I8" s="31">
        <f t="shared" ref="I8:I14" si="11">IFERROR(H8/G8, "")</f>
        <v>2.4829827185801894</v>
      </c>
      <c r="J8" s="66" t="s">
        <v>231</v>
      </c>
      <c r="K8" s="86" t="s">
        <v>232</v>
      </c>
    </row>
    <row r="9" spans="1:16" ht="15.6">
      <c r="A9" s="56" t="str">
        <v>Manchester - Western</v>
      </c>
      <c r="B9" s="52" t="str">
        <v>ME</v>
      </c>
      <c r="C9" s="34">
        <v>108457</v>
      </c>
      <c r="D9" s="35">
        <v>116463.8</v>
      </c>
      <c r="E9" s="35">
        <f t="shared" si="8"/>
        <v>-8006.8000000000029</v>
      </c>
      <c r="F9" s="36">
        <f t="shared" si="9"/>
        <v>-6.8749259426534273E-2</v>
      </c>
      <c r="G9" s="37">
        <v>100955.7</v>
      </c>
      <c r="H9" s="37">
        <f t="shared" si="6"/>
        <v>7501.3000000000029</v>
      </c>
      <c r="I9" s="36">
        <f t="shared" si="7"/>
        <v>7.4302887306016432E-2</v>
      </c>
      <c r="J9" s="53"/>
      <c r="K9" s="53"/>
    </row>
    <row r="10" spans="1:16" ht="43.15">
      <c r="A10" s="57" t="str">
        <v>Batavia - Pike Rd</v>
      </c>
      <c r="B10" s="49" t="str">
        <v>NY</v>
      </c>
      <c r="C10" s="27">
        <v>377816.85499999998</v>
      </c>
      <c r="D10" s="28">
        <v>424891.1</v>
      </c>
      <c r="E10" s="28">
        <f t="shared" si="8"/>
        <v>-47074.244999999995</v>
      </c>
      <c r="F10" s="29">
        <f t="shared" si="9"/>
        <v>-0.1107913180577329</v>
      </c>
      <c r="G10" s="30">
        <v>508315.2</v>
      </c>
      <c r="H10" s="30">
        <f t="shared" si="10"/>
        <v>-130498.34500000003</v>
      </c>
      <c r="I10" s="31">
        <f t="shared" si="11"/>
        <v>-0.25672721374454283</v>
      </c>
      <c r="J10" s="66" t="s">
        <v>233</v>
      </c>
      <c r="K10" s="86" t="s">
        <v>234</v>
      </c>
      <c r="L10" s="85" t="s">
        <v>235</v>
      </c>
    </row>
    <row r="11" spans="1:16" ht="28.9">
      <c r="A11" s="56" t="str">
        <v>Slayton A &amp; B</v>
      </c>
      <c r="B11" s="52" t="str">
        <v>NY</v>
      </c>
      <c r="C11" s="34">
        <v>1228057</v>
      </c>
      <c r="D11" s="35">
        <v>1446454</v>
      </c>
      <c r="E11" s="35">
        <f t="shared" si="8"/>
        <v>-218397</v>
      </c>
      <c r="F11" s="36">
        <f t="shared" si="9"/>
        <v>-0.15098786411458642</v>
      </c>
      <c r="G11" s="37">
        <v>1116098</v>
      </c>
      <c r="H11" s="37">
        <f t="shared" si="6"/>
        <v>111959</v>
      </c>
      <c r="I11" s="36">
        <f t="shared" si="7"/>
        <v>0.10031287575105412</v>
      </c>
      <c r="J11" s="53" t="s">
        <v>236</v>
      </c>
      <c r="K11" s="88" t="s">
        <v>237</v>
      </c>
    </row>
    <row r="12" spans="1:16" ht="28.9">
      <c r="A12" s="57" t="str">
        <v>Batavia - Alexander Rd</v>
      </c>
      <c r="B12" s="49" t="str">
        <v>NY</v>
      </c>
      <c r="C12" s="27">
        <v>307102</v>
      </c>
      <c r="D12" s="28">
        <v>358326</v>
      </c>
      <c r="E12" s="28">
        <f t="shared" si="8"/>
        <v>-51224</v>
      </c>
      <c r="F12" s="29">
        <f t="shared" si="9"/>
        <v>-0.14295362323694066</v>
      </c>
      <c r="G12" s="30">
        <v>285871.59999999998</v>
      </c>
      <c r="H12" s="30">
        <f t="shared" si="10"/>
        <v>21230.400000000023</v>
      </c>
      <c r="I12" s="31">
        <f t="shared" si="11"/>
        <v>7.4265509410518654E-2</v>
      </c>
      <c r="J12" s="66" t="s">
        <v>210</v>
      </c>
      <c r="K12" s="86" t="s">
        <v>238</v>
      </c>
    </row>
    <row r="13" spans="1:16" ht="57.6">
      <c r="A13" s="56" t="str">
        <v xml:space="preserve">NC: Gibson – Henry Gibson Solar </v>
      </c>
      <c r="B13" s="52" t="str">
        <v>NC</v>
      </c>
      <c r="C13" s="34">
        <v>874562</v>
      </c>
      <c r="D13" s="35">
        <v>1027201</v>
      </c>
      <c r="E13" s="35">
        <f t="shared" si="8"/>
        <v>-152639</v>
      </c>
      <c r="F13" s="36">
        <f t="shared" si="9"/>
        <v>-0.14859701265867148</v>
      </c>
      <c r="G13" s="37">
        <v>1026636</v>
      </c>
      <c r="H13" s="37">
        <f t="shared" si="6"/>
        <v>-152074</v>
      </c>
      <c r="I13" s="36">
        <f t="shared" si="7"/>
        <v>-0.14812845059008256</v>
      </c>
      <c r="J13" s="53" t="s">
        <v>239</v>
      </c>
      <c r="K13" s="80" t="s">
        <v>240</v>
      </c>
      <c r="L13" s="85" t="s">
        <v>217</v>
      </c>
    </row>
    <row r="14" spans="1:16" ht="15.6">
      <c r="A14" s="57" t="str">
        <v>Bangor - Pushaw</v>
      </c>
      <c r="B14" s="49" t="str">
        <v>ME</v>
      </c>
      <c r="C14" s="27">
        <v>434451</v>
      </c>
      <c r="D14" s="28">
        <v>672998.6</v>
      </c>
      <c r="E14" s="28">
        <f t="shared" si="8"/>
        <v>-238547.59999999998</v>
      </c>
      <c r="F14" s="29">
        <f t="shared" si="9"/>
        <v>-0.35445482353157937</v>
      </c>
      <c r="G14" s="30">
        <v>587990</v>
      </c>
      <c r="H14" s="30">
        <f t="shared" si="10"/>
        <v>-153539</v>
      </c>
      <c r="I14" s="31">
        <f t="shared" si="11"/>
        <v>-0.26112518920389804</v>
      </c>
      <c r="J14" s="66" t="s">
        <v>241</v>
      </c>
      <c r="K14" s="86" t="s">
        <v>242</v>
      </c>
    </row>
    <row r="15" spans="1:16" ht="14.45">
      <c r="A15" s="9"/>
      <c r="B15" s="14"/>
      <c r="C15" s="9"/>
      <c r="D15" s="9"/>
      <c r="E15" s="35" t="str">
        <f t="shared" si="8"/>
        <v/>
      </c>
      <c r="F15" s="10"/>
      <c r="G15" s="9"/>
      <c r="H15" s="9"/>
      <c r="I15" s="10"/>
      <c r="J15" s="9"/>
      <c r="K15" s="9"/>
    </row>
    <row r="16" spans="1:16"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0" priority="3" stopIfTrue="1" operator="lessThanOrEqual">
      <formula>-0.1</formula>
    </cfRule>
    <cfRule type="expression" dxfId="9" priority="4">
      <formula>AND(ISNUMBER(F2), F2&gt;=0.1)</formula>
    </cfRule>
  </conditionalFormatting>
  <hyperlinks>
    <hyperlink ref="K5" r:id="rId1" display="https://us3.assetplanner.com/service_request?ID=107777" xr:uid="{C4F3489C-D0D0-4575-B8E9-4BBDFA270D79}"/>
    <hyperlink ref="L5" r:id="rId2" display="https://us3.assetplanner.com/service_request?ID=108597" xr:uid="{F2464261-3BBC-4560-ADEF-D5F21454E041}"/>
    <hyperlink ref="K6" r:id="rId3" display="https://us3.assetplanner.com/service_request?ID=106139" xr:uid="{13869624-650A-4E51-A4B3-36E1DF10CF84}"/>
    <hyperlink ref="L6" r:id="rId4" display="https://us3.assetplanner.com/service_request?ID=107166" xr:uid="{E24BF405-A77F-4BD7-937C-5CC5BB9D6D4E}"/>
    <hyperlink ref="M6" r:id="rId5" display="https://us3.assetplanner.com/service_request?ID=105851" xr:uid="{16AF346B-F373-472A-8FDD-025A3CC79FE1}"/>
    <hyperlink ref="N6" r:id="rId6" display="https://us3.assetplanner.com/service_request?ID=108383" xr:uid="{34318D43-76BC-4414-AC98-085C75CE2C8B}"/>
    <hyperlink ref="O6" r:id="rId7" display="https://us3.assetplanner.com/service_request?ID=108401" xr:uid="{7EB137C8-74B6-427F-82ED-46DCB7870FB3}"/>
    <hyperlink ref="P6" r:id="rId8" display="https://us3.assetplanner.com/service_request?ID=108402" xr:uid="{00744FA9-6D28-40DB-BD90-ED39EB37E701}"/>
    <hyperlink ref="K8" r:id="rId9" display="https://us3.assetplanner.com/service_request?ID=107544" xr:uid="{D30D9BB6-9CEA-421E-88C2-896BD2731AE5}"/>
    <hyperlink ref="K10" r:id="rId10" display="https://us3.assetplanner.com/service_request?ID=107531" xr:uid="{111C4FAB-9913-4873-B2C5-ABAD3AAC2053}"/>
    <hyperlink ref="L10" r:id="rId11" display="https://us3.assetplanner.com/service_request?ID=098907" xr:uid="{70A45601-37EB-4053-BFA4-4F7B7723166B}"/>
    <hyperlink ref="K11" r:id="rId12" display="https://us3.assetplanner.com/service_request?ID=104611" xr:uid="{308E2E3E-35D0-4DB7-BEDA-5976BED6A5DA}"/>
    <hyperlink ref="K12" r:id="rId13" display="https://us3.assetplanner.com/service_request?ID=105504" xr:uid="{C97E6DD4-6E03-4420-B53F-01883C893F41}"/>
    <hyperlink ref="K13" r:id="rId14" display="https://us3.assetplanner.com/service_request?ID=108534" xr:uid="{7586ED74-07D3-4F40-B75D-C88A9185A2AA}"/>
    <hyperlink ref="L13" r:id="rId15" display="https://us3.assetplanner.com/service_request?ID=104107" xr:uid="{F18A6599-D804-4D90-8386-E6951D34A837}"/>
    <hyperlink ref="K14" r:id="rId16" display="https://us3.assetplanner.com/service_request?ID=107648" xr:uid="{65F77438-FC80-4DA3-9F89-6CBBF4E821E5}"/>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22"/>
  <sheetViews>
    <sheetView zoomScale="70" zoomScaleNormal="70" workbookViewId="0">
      <pane xSplit="2" ySplit="3" topLeftCell="C4" activePane="bottomRight" state="frozen"/>
      <selection pane="bottomRight" activeCell="J10" sqref="J10"/>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28515625" customWidth="1"/>
  </cols>
  <sheetData>
    <row r="1" spans="1:12" ht="19.5" customHeight="1">
      <c r="A1" s="104" t="str" cm="1">
        <f t="array" ref="A1">portfolio</f>
        <v>Renewable Properties</v>
      </c>
      <c r="B1" s="104"/>
      <c r="C1" s="104"/>
      <c r="D1" s="105" t="s">
        <v>243</v>
      </c>
      <c r="E1" s="105"/>
      <c r="F1" s="105"/>
      <c r="G1" s="103" t="s">
        <v>244</v>
      </c>
      <c r="H1" s="103"/>
      <c r="I1" s="103"/>
      <c r="J1" s="4"/>
      <c r="K1" s="4"/>
    </row>
    <row r="2" spans="1:12" ht="19.5" customHeight="1">
      <c r="A2" s="106" t="s">
        <v>2</v>
      </c>
      <c r="B2" s="106"/>
      <c r="C2" s="5">
        <f>SUM(C4:C80)</f>
        <v>4685983.1449999996</v>
      </c>
      <c r="D2" s="5">
        <f>SUM(D4:D80)</f>
        <v>5148255.8400000008</v>
      </c>
      <c r="E2" s="5">
        <f>C2-D2</f>
        <v>-462272.69500000123</v>
      </c>
      <c r="F2" s="6">
        <f>IFERROR(E2/D2, 0)</f>
        <v>-8.9792098405117565E-2</v>
      </c>
      <c r="G2" s="5">
        <f>SUM(G4:G80)</f>
        <v>4372914.08</v>
      </c>
      <c r="H2" s="7">
        <f>C2-G2</f>
        <v>313069.06499999948</v>
      </c>
      <c r="I2" s="6">
        <f>IFERROR(H2/G2, 0)</f>
        <v>7.1592777555784831E-2</v>
      </c>
      <c r="J2" s="12" t="str">
        <f ca="1">IF(AND(TODAY()&gt;DATE(2024, 10, 1), COUNTA(Sites[Site])&lt;&gt;(COUNT(C:C)-1)), "Some sites are missing actual data; if new sites were added, make sure they are aligned correctly (including prior months!)", "")</f>
        <v/>
      </c>
      <c r="K2" s="4"/>
    </row>
    <row r="3" spans="1:12" ht="14.25" customHeight="1">
      <c r="A3" s="13" t="s">
        <v>3</v>
      </c>
      <c r="B3" s="13" t="s">
        <v>4</v>
      </c>
      <c r="C3" s="40" t="s">
        <v>5</v>
      </c>
      <c r="D3" s="41" t="s">
        <v>6</v>
      </c>
      <c r="E3" s="41" t="s">
        <v>7</v>
      </c>
      <c r="F3" s="42" t="s">
        <v>8</v>
      </c>
      <c r="G3" s="47" t="s">
        <v>9</v>
      </c>
      <c r="H3" s="44" t="s">
        <v>7</v>
      </c>
      <c r="I3" s="45" t="s">
        <v>8</v>
      </c>
      <c r="J3" s="46" t="s">
        <v>20</v>
      </c>
      <c r="K3" s="46" t="s">
        <v>21</v>
      </c>
      <c r="L3" s="46" t="s">
        <v>245</v>
      </c>
    </row>
    <row r="4" spans="1:12" ht="15.6">
      <c r="A4" s="55" t="str" cm="1">
        <f t="array" ref="A4:A14">Sites[Site]</f>
        <v>Cedar Swamp Rd</v>
      </c>
      <c r="B4" s="49" t="str" cm="1">
        <f t="array" ref="B4:B14">Sites[State]</f>
        <v>MA</v>
      </c>
      <c r="C4" s="27">
        <v>92006</v>
      </c>
      <c r="D4" s="28">
        <v>88723.21</v>
      </c>
      <c r="E4" s="28">
        <f>IF(AND(ISNUMBER(C4),ISNUMBER(D4)), C4-D4, "")</f>
        <v>3282.7899999999936</v>
      </c>
      <c r="F4" s="29">
        <f>IFERROR(E4/D4, "")</f>
        <v>3.7000351993576354E-2</v>
      </c>
      <c r="G4" s="30">
        <v>79875.100000000006</v>
      </c>
      <c r="H4" s="30">
        <f>IF(AND(ISNUMBER(C4),ISNUMBER(G4)), C4-G4, "")</f>
        <v>12130.899999999994</v>
      </c>
      <c r="I4" s="31">
        <f>IFERROR(H4/G4, "")</f>
        <v>0.15187336228687029</v>
      </c>
      <c r="J4" s="66" t="s">
        <v>246</v>
      </c>
      <c r="K4" s="86" t="s">
        <v>247</v>
      </c>
      <c r="L4" s="50" t="s">
        <v>248</v>
      </c>
    </row>
    <row r="5" spans="1:12" ht="15.6">
      <c r="A5" s="56" t="str">
        <v>Bullis</v>
      </c>
      <c r="B5" s="52" t="str">
        <v>NY</v>
      </c>
      <c r="C5" s="34">
        <v>506507</v>
      </c>
      <c r="D5" s="35">
        <v>503382.5</v>
      </c>
      <c r="E5" s="35">
        <f t="shared" ref="E5:E14" si="0">IF(AND(ISNUMBER(C5),ISNUMBER(D5)), C5-D5, "")</f>
        <v>3124.5</v>
      </c>
      <c r="F5" s="36">
        <f>IFERROR(E5/D5, "")</f>
        <v>6.2070095801900144E-3</v>
      </c>
      <c r="G5" s="37">
        <v>462215.4</v>
      </c>
      <c r="H5" s="37">
        <f t="shared" ref="H5:H14" si="1">IF(AND(ISNUMBER(C5),ISNUMBER(G5)), C5-G5, "")</f>
        <v>44291.599999999977</v>
      </c>
      <c r="I5" s="36">
        <f t="shared" ref="I5:I14" si="2">IFERROR(H5/G5, "")</f>
        <v>9.5824587410977602E-2</v>
      </c>
      <c r="J5" s="58" t="s">
        <v>249</v>
      </c>
      <c r="K5" s="80" t="s">
        <v>250</v>
      </c>
      <c r="L5" s="58" t="s">
        <v>248</v>
      </c>
    </row>
    <row r="6" spans="1:12" ht="26.65" customHeight="1">
      <c r="A6" s="57" t="str">
        <v>Rock Island</v>
      </c>
      <c r="B6" s="49" t="str">
        <v>NY</v>
      </c>
      <c r="C6" s="27">
        <v>501417</v>
      </c>
      <c r="D6" s="28">
        <v>559946.1</v>
      </c>
      <c r="E6" s="28">
        <f t="shared" si="0"/>
        <v>-58529.099999999977</v>
      </c>
      <c r="F6" s="29">
        <f t="shared" ref="F6:F14" si="3">IFERROR(E6/D6, "")</f>
        <v>-0.10452631065740074</v>
      </c>
      <c r="G6" s="30">
        <v>428730.6</v>
      </c>
      <c r="H6" s="30">
        <f t="shared" si="1"/>
        <v>72686.400000000023</v>
      </c>
      <c r="I6" s="31">
        <f t="shared" si="2"/>
        <v>0.16953863335157329</v>
      </c>
      <c r="J6" s="50" t="s">
        <v>251</v>
      </c>
      <c r="K6" s="86" t="s">
        <v>252</v>
      </c>
      <c r="L6" s="50" t="s">
        <v>248</v>
      </c>
    </row>
    <row r="7" spans="1:12" ht="28.9">
      <c r="A7" s="56" t="str">
        <v>Winslow - Roderick</v>
      </c>
      <c r="B7" s="52" t="str">
        <v>ME</v>
      </c>
      <c r="C7" s="34">
        <v>561151</v>
      </c>
      <c r="D7" s="35">
        <v>634441.80000000005</v>
      </c>
      <c r="E7" s="35">
        <f t="shared" si="0"/>
        <v>-73290.800000000047</v>
      </c>
      <c r="F7" s="36">
        <f t="shared" si="3"/>
        <v>-0.11552013123977652</v>
      </c>
      <c r="G7" s="37">
        <v>524300</v>
      </c>
      <c r="H7" s="37">
        <f t="shared" si="1"/>
        <v>36851</v>
      </c>
      <c r="I7" s="36">
        <f t="shared" si="2"/>
        <v>7.0286095746709895E-2</v>
      </c>
      <c r="J7" s="53" t="s">
        <v>253</v>
      </c>
      <c r="K7" s="100" t="s">
        <v>254</v>
      </c>
      <c r="L7" s="53" t="s">
        <v>255</v>
      </c>
    </row>
    <row r="8" spans="1:12" ht="36.75" customHeight="1">
      <c r="A8" s="57" t="str">
        <v>Minoa - Clemons Rd</v>
      </c>
      <c r="B8" s="49" t="str">
        <v>NY</v>
      </c>
      <c r="C8" s="27">
        <v>323089</v>
      </c>
      <c r="D8" s="28">
        <v>403882.4</v>
      </c>
      <c r="E8" s="28">
        <f t="shared" si="0"/>
        <v>-80793.400000000023</v>
      </c>
      <c r="F8" s="29">
        <f t="shared" si="3"/>
        <v>-0.20004189338282632</v>
      </c>
      <c r="G8" s="30">
        <v>284002</v>
      </c>
      <c r="H8" s="30">
        <f t="shared" si="1"/>
        <v>39087</v>
      </c>
      <c r="I8" s="31">
        <f t="shared" si="2"/>
        <v>0.1376293124696305</v>
      </c>
      <c r="J8" s="50" t="s">
        <v>256</v>
      </c>
      <c r="K8" s="86" t="s">
        <v>203</v>
      </c>
      <c r="L8" s="50" t="s">
        <v>257</v>
      </c>
    </row>
    <row r="9" spans="1:12" ht="15.6">
      <c r="A9" s="56" t="str">
        <v>Manchester - Western</v>
      </c>
      <c r="B9" s="52" t="str">
        <v>ME</v>
      </c>
      <c r="C9" s="34">
        <v>83727</v>
      </c>
      <c r="D9" s="35">
        <v>93869.53</v>
      </c>
      <c r="E9" s="35">
        <f t="shared" si="0"/>
        <v>-10142.529999999999</v>
      </c>
      <c r="F9" s="36">
        <f t="shared" si="3"/>
        <v>-0.1080492253450081</v>
      </c>
      <c r="G9" s="37">
        <v>72087.08</v>
      </c>
      <c r="H9" s="37">
        <f t="shared" si="1"/>
        <v>11639.919999999998</v>
      </c>
      <c r="I9" s="36">
        <f t="shared" si="2"/>
        <v>0.16147026623910968</v>
      </c>
      <c r="J9" s="53" t="s">
        <v>258</v>
      </c>
      <c r="K9" s="53"/>
      <c r="L9" s="53"/>
    </row>
    <row r="10" spans="1:12" ht="57.6">
      <c r="A10" s="57" t="str">
        <v>Batavia - Pike Rd</v>
      </c>
      <c r="B10" s="49" t="str">
        <v>NY</v>
      </c>
      <c r="C10" s="27">
        <v>379610.14500000002</v>
      </c>
      <c r="D10" s="28">
        <v>371062.9</v>
      </c>
      <c r="E10" s="28">
        <f t="shared" si="0"/>
        <v>8547.2449999999953</v>
      </c>
      <c r="F10" s="29">
        <f t="shared" si="3"/>
        <v>2.3034490917847067E-2</v>
      </c>
      <c r="G10" s="30">
        <v>317743.3</v>
      </c>
      <c r="H10" s="30">
        <f t="shared" si="1"/>
        <v>61866.84500000003</v>
      </c>
      <c r="I10" s="31">
        <f t="shared" si="2"/>
        <v>0.19470700090293022</v>
      </c>
      <c r="J10" s="50" t="s">
        <v>259</v>
      </c>
      <c r="K10" s="50"/>
      <c r="L10" s="50"/>
    </row>
    <row r="11" spans="1:12" ht="15.6">
      <c r="A11" s="56" t="str">
        <v>Slayton A &amp; B</v>
      </c>
      <c r="B11" s="52" t="str">
        <v>NY</v>
      </c>
      <c r="C11" s="34">
        <v>903523</v>
      </c>
      <c r="D11" s="35">
        <v>984868.3</v>
      </c>
      <c r="E11" s="35">
        <f t="shared" si="0"/>
        <v>-81345.300000000047</v>
      </c>
      <c r="F11" s="36">
        <f t="shared" si="3"/>
        <v>-8.2595104340346864E-2</v>
      </c>
      <c r="G11" s="37">
        <v>677584.4</v>
      </c>
      <c r="H11" s="37">
        <f t="shared" si="1"/>
        <v>225938.59999999998</v>
      </c>
      <c r="I11" s="36">
        <f t="shared" si="2"/>
        <v>0.33344716909066968</v>
      </c>
      <c r="J11" s="53" t="s">
        <v>260</v>
      </c>
      <c r="K11" s="100" t="s">
        <v>261</v>
      </c>
      <c r="L11" s="53" t="s">
        <v>262</v>
      </c>
    </row>
    <row r="12" spans="1:12" ht="43.15">
      <c r="A12" s="57" t="str">
        <v>Batavia - Alexander Rd</v>
      </c>
      <c r="B12" s="49" t="str">
        <v>NY</v>
      </c>
      <c r="C12" s="27">
        <v>213412</v>
      </c>
      <c r="D12" s="28">
        <v>265099.09999999998</v>
      </c>
      <c r="E12" s="28">
        <f t="shared" si="0"/>
        <v>-51687.099999999977</v>
      </c>
      <c r="F12" s="29">
        <f t="shared" si="3"/>
        <v>-0.19497274792709587</v>
      </c>
      <c r="G12" s="30">
        <v>174711.2</v>
      </c>
      <c r="H12" s="30">
        <f t="shared" si="1"/>
        <v>38700.799999999988</v>
      </c>
      <c r="I12" s="31">
        <f t="shared" si="2"/>
        <v>0.22151298829153473</v>
      </c>
      <c r="J12" s="50" t="s">
        <v>263</v>
      </c>
      <c r="K12" s="86" t="s">
        <v>264</v>
      </c>
      <c r="L12" s="50" t="s">
        <v>262</v>
      </c>
    </row>
    <row r="13" spans="1:12" ht="15.6">
      <c r="A13" s="56" t="str">
        <v xml:space="preserve">NC: Gibson – Henry Gibson Solar </v>
      </c>
      <c r="B13" s="52" t="str">
        <v>NC</v>
      </c>
      <c r="C13" s="34">
        <v>669315</v>
      </c>
      <c r="D13" s="35">
        <v>755136.1</v>
      </c>
      <c r="E13" s="35">
        <f t="shared" si="0"/>
        <v>-85821.099999999977</v>
      </c>
      <c r="F13" s="36">
        <f t="shared" si="3"/>
        <v>-0.1136498440479802</v>
      </c>
      <c r="G13" s="37">
        <v>919844</v>
      </c>
      <c r="H13" s="37">
        <f t="shared" si="1"/>
        <v>-250529</v>
      </c>
      <c r="I13" s="36">
        <f t="shared" si="2"/>
        <v>-0.27236031327051108</v>
      </c>
      <c r="J13" s="53" t="s">
        <v>265</v>
      </c>
      <c r="K13" s="100" t="s">
        <v>266</v>
      </c>
      <c r="L13" s="53" t="s">
        <v>257</v>
      </c>
    </row>
    <row r="14" spans="1:12" ht="15.6">
      <c r="A14" s="57" t="str">
        <v>Bangor - Pushaw</v>
      </c>
      <c r="B14" s="49" t="str">
        <v>ME</v>
      </c>
      <c r="C14" s="27">
        <v>452226</v>
      </c>
      <c r="D14" s="28">
        <v>487843.9</v>
      </c>
      <c r="E14" s="28">
        <f t="shared" si="0"/>
        <v>-35617.900000000023</v>
      </c>
      <c r="F14" s="29">
        <f t="shared" si="3"/>
        <v>-7.3010854496694574E-2</v>
      </c>
      <c r="G14" s="30">
        <v>431821</v>
      </c>
      <c r="H14" s="30">
        <f t="shared" si="1"/>
        <v>20405</v>
      </c>
      <c r="I14" s="31">
        <f t="shared" si="2"/>
        <v>4.7253375820073593E-2</v>
      </c>
      <c r="J14" s="50" t="s">
        <v>267</v>
      </c>
      <c r="K14" s="86" t="s">
        <v>268</v>
      </c>
      <c r="L14" s="50" t="s">
        <v>248</v>
      </c>
    </row>
    <row r="15" spans="1:12" ht="14.45">
      <c r="A15" s="9"/>
      <c r="B15" s="14"/>
      <c r="C15" s="9"/>
      <c r="D15" s="9"/>
      <c r="E15" s="9"/>
      <c r="F15" s="10"/>
      <c r="G15" s="9"/>
      <c r="H15" s="9"/>
      <c r="I15" s="10"/>
      <c r="J15" s="9"/>
      <c r="K15" s="9"/>
    </row>
    <row r="16" spans="1:12"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09467" xr:uid="{7DB92539-59BC-420A-BAC0-4D2B7622BD44}"/>
    <hyperlink ref="K5" r:id="rId2" display="https://us3.assetplanner.com/service_request?ID=109868" xr:uid="{05D6675A-9704-411C-B4FE-1C4685E961E3}"/>
    <hyperlink ref="K6" r:id="rId3" display="https://us3.assetplanner.com/service_request?ID=109058" xr:uid="{33E760BD-3994-426E-8C00-3C4C248AF3EF}"/>
    <hyperlink ref="K8" r:id="rId4" display="https://us3.assetplanner.com/service_request?ID=106818" xr:uid="{37B373BE-9B89-41D9-B97D-44C68FF55E82}"/>
    <hyperlink ref="K11" r:id="rId5" display="https://us3.assetplanner.com/service_request?ID=109334" xr:uid="{C42320EE-087D-4E50-8113-F0658141EF85}"/>
    <hyperlink ref="K12" r:id="rId6" display="https://us3.assetplanner.com/service_request?ID=109872" xr:uid="{8EED6D0A-BEFB-484A-BCAB-6D1106FFB82A}"/>
    <hyperlink ref="K13" r:id="rId7" display="https://us3.assetplanner.com/service_request?ID=109240" xr:uid="{12FBC17C-1D6C-4F75-986C-680A4FD7F782}"/>
    <hyperlink ref="K14" r:id="rId8" display="https://us3.assetplanner.com/service_request?ID=104395" xr:uid="{2638F4A5-A533-4B09-8FD6-B35D7D022BD2}"/>
    <hyperlink ref="K7" r:id="rId9" xr:uid="{78665EA9-758D-4F55-8855-A6328E0BA35A}"/>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N322"/>
  <sheetViews>
    <sheetView zoomScale="70" zoomScaleNormal="70" workbookViewId="0">
      <pane xSplit="2" ySplit="3" topLeftCell="C5" activePane="bottomRight" state="frozen"/>
      <selection pane="bottomRight" activeCell="J13" sqref="J13"/>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1.7109375" customWidth="1"/>
    <col min="13" max="14" width="9.140625" style="90"/>
  </cols>
  <sheetData>
    <row r="1" spans="1:14" ht="19.5" customHeight="1">
      <c r="A1" s="104" t="str" cm="1">
        <f t="array" ref="A1">portfolio</f>
        <v>Renewable Properties</v>
      </c>
      <c r="B1" s="104"/>
      <c r="C1" s="104"/>
      <c r="D1" s="105" t="s">
        <v>269</v>
      </c>
      <c r="E1" s="105"/>
      <c r="F1" s="105"/>
      <c r="G1" s="103" t="s">
        <v>270</v>
      </c>
      <c r="H1" s="103"/>
      <c r="I1" s="103"/>
      <c r="J1" s="4"/>
      <c r="K1" s="4"/>
      <c r="L1" s="4"/>
    </row>
    <row r="2" spans="1:14" ht="19.5" customHeight="1">
      <c r="A2" s="106" t="s">
        <v>2</v>
      </c>
      <c r="B2" s="106"/>
      <c r="C2" s="5">
        <f>SUM(C4:C80)</f>
        <v>2475626.7484499998</v>
      </c>
      <c r="D2" s="5">
        <f>SUM(D4:D80)</f>
        <v>2973064.5300000003</v>
      </c>
      <c r="E2" s="5">
        <f>C2-D2</f>
        <v>-497437.78155000042</v>
      </c>
      <c r="F2" s="6">
        <f>IFERROR(E2/D2, 0)</f>
        <v>-0.16731482836331185</v>
      </c>
      <c r="G2" s="5">
        <f>SUM(G4:G80)</f>
        <v>2889410.62</v>
      </c>
      <c r="H2" s="7">
        <f>C2-G2</f>
        <v>-413783.87155000027</v>
      </c>
      <c r="I2" s="6">
        <f>IFERROR(H2/G2, 0)</f>
        <v>-0.14320701553661497</v>
      </c>
      <c r="J2" s="12" t="str">
        <f ca="1">IF(AND(TODAY()&gt;DATE(2024, 11, 1), COUNTA(Sites[Site])&lt;&gt;(COUNT(C:C)-1)), "Some sites are missing actual data; if new sites were added, make sure they are aligned correctly (including prior months!)", "")</f>
        <v/>
      </c>
      <c r="K2" s="4"/>
      <c r="L2" s="4"/>
    </row>
    <row r="3" spans="1:14" ht="14.25" customHeight="1">
      <c r="A3" s="13" t="s">
        <v>3</v>
      </c>
      <c r="B3" s="13" t="s">
        <v>4</v>
      </c>
      <c r="C3" s="40" t="s">
        <v>5</v>
      </c>
      <c r="D3" s="41" t="s">
        <v>6</v>
      </c>
      <c r="E3" s="41" t="s">
        <v>7</v>
      </c>
      <c r="F3" s="42" t="s">
        <v>8</v>
      </c>
      <c r="G3" s="47" t="s">
        <v>9</v>
      </c>
      <c r="H3" s="44" t="s">
        <v>7</v>
      </c>
      <c r="I3" s="45" t="s">
        <v>8</v>
      </c>
      <c r="J3" s="46" t="s">
        <v>20</v>
      </c>
      <c r="K3" s="46" t="s">
        <v>21</v>
      </c>
      <c r="L3" s="46" t="s">
        <v>245</v>
      </c>
    </row>
    <row r="4" spans="1:14" ht="15.6">
      <c r="A4" s="55" t="str" cm="1">
        <f t="array" ref="A4:A14">Sites[Site]</f>
        <v>Cedar Swamp Rd</v>
      </c>
      <c r="B4" s="49" t="str" cm="1">
        <f t="array" ref="B4:B14">Sites[State]</f>
        <v>MA</v>
      </c>
      <c r="C4" s="27">
        <v>59869</v>
      </c>
      <c r="D4" s="28">
        <v>60721.75</v>
      </c>
      <c r="E4" s="28">
        <f>IF(AND(ISNUMBER(C4),ISNUMBER(D4)), C4-D4, "")</f>
        <v>-852.75</v>
      </c>
      <c r="F4" s="29">
        <f>IFERROR(E4/D4, "")</f>
        <v>-1.4043567584926324E-2</v>
      </c>
      <c r="G4" s="30">
        <v>52769.69</v>
      </c>
      <c r="H4" s="30">
        <f>IF(AND(ISNUMBER(C4),ISNUMBER(G4)), C4-G4, "")</f>
        <v>7099.3099999999977</v>
      </c>
      <c r="I4" s="31">
        <f>IFERROR(H4/G4, "")</f>
        <v>0.13453385835694689</v>
      </c>
      <c r="J4" s="66" t="s">
        <v>271</v>
      </c>
      <c r="K4" s="66"/>
      <c r="L4" s="66"/>
    </row>
    <row r="5" spans="1:14" ht="69" customHeight="1">
      <c r="A5" s="56" t="str">
        <v>Bullis</v>
      </c>
      <c r="B5" s="52" t="str">
        <v>NY</v>
      </c>
      <c r="C5" s="34">
        <v>182414</v>
      </c>
      <c r="D5" s="35">
        <v>198463</v>
      </c>
      <c r="E5" s="35">
        <f t="shared" ref="E5:E6" si="0">IF(AND(ISNUMBER(C5),ISNUMBER(D5)), C5-D5, "")</f>
        <v>-16049</v>
      </c>
      <c r="F5" s="36">
        <f>IFERROR(E5/D5, "")</f>
        <v>-8.0866458735381411E-2</v>
      </c>
      <c r="G5" s="37">
        <v>281634.90000000002</v>
      </c>
      <c r="H5" s="37">
        <f t="shared" ref="H5:H6" si="1">IF(AND(ISNUMBER(C5),ISNUMBER(G5)), C5-G5, "")</f>
        <v>-99220.900000000023</v>
      </c>
      <c r="I5" s="36">
        <f t="shared" ref="I5:I6" si="2">IFERROR(H5/G5, "")</f>
        <v>-0.35230328343539813</v>
      </c>
      <c r="J5" s="58" t="s">
        <v>272</v>
      </c>
      <c r="K5" s="80" t="s">
        <v>273</v>
      </c>
      <c r="L5" s="58" t="s">
        <v>274</v>
      </c>
      <c r="M5" s="91" t="s">
        <v>275</v>
      </c>
    </row>
    <row r="6" spans="1:14" ht="76.5" customHeight="1">
      <c r="A6" s="57" t="str">
        <v>Rock Island</v>
      </c>
      <c r="B6" s="49" t="str">
        <v>NY</v>
      </c>
      <c r="C6" s="27">
        <v>171173</v>
      </c>
      <c r="D6" s="28">
        <v>190221.5</v>
      </c>
      <c r="E6" s="28">
        <f t="shared" si="0"/>
        <v>-19048.5</v>
      </c>
      <c r="F6" s="29">
        <f t="shared" ref="F6" si="3">IFERROR(E6/D6, "")</f>
        <v>-0.10013852272219491</v>
      </c>
      <c r="G6" s="30">
        <v>250027.5</v>
      </c>
      <c r="H6" s="30">
        <f t="shared" si="1"/>
        <v>-78854.5</v>
      </c>
      <c r="I6" s="31">
        <f t="shared" si="2"/>
        <v>-0.31538330783613805</v>
      </c>
      <c r="J6" s="66" t="s">
        <v>276</v>
      </c>
      <c r="K6" s="81" t="s">
        <v>277</v>
      </c>
      <c r="L6" s="66" t="s">
        <v>262</v>
      </c>
    </row>
    <row r="7" spans="1:14" ht="29.65" customHeight="1">
      <c r="A7" s="56" t="str">
        <v>Winslow - Roderick</v>
      </c>
      <c r="B7" s="52" t="str">
        <v>ME</v>
      </c>
      <c r="C7" s="34">
        <v>303933</v>
      </c>
      <c r="D7" s="35">
        <v>390376.5</v>
      </c>
      <c r="E7" s="35">
        <f t="shared" ref="E7" si="4">IF(AND(ISNUMBER(C7),ISNUMBER(D7)), C7-D7, "")</f>
        <v>-86443.5</v>
      </c>
      <c r="F7" s="36">
        <f>IFERROR(E7/D7, "")</f>
        <v>-0.2214362288713588</v>
      </c>
      <c r="G7" s="37">
        <v>336400</v>
      </c>
      <c r="H7" s="37">
        <f t="shared" ref="H7" si="5">IF(AND(ISNUMBER(C7),ISNUMBER(G7)), C7-G7, "")</f>
        <v>-32467</v>
      </c>
      <c r="I7" s="36">
        <f t="shared" ref="I7" si="6">IFERROR(H7/G7, "")</f>
        <v>-9.6513079667063018E-2</v>
      </c>
      <c r="J7" s="58" t="s">
        <v>278</v>
      </c>
      <c r="K7" s="80" t="s">
        <v>279</v>
      </c>
      <c r="L7" s="58" t="s">
        <v>248</v>
      </c>
    </row>
    <row r="8" spans="1:14" ht="75.400000000000006" customHeight="1">
      <c r="A8" s="57" t="str">
        <v>Minoa - Clemons Rd</v>
      </c>
      <c r="B8" s="49" t="str">
        <v>NY</v>
      </c>
      <c r="C8" s="27">
        <v>116325</v>
      </c>
      <c r="D8" s="28">
        <v>145577.1</v>
      </c>
      <c r="E8" s="28">
        <f t="shared" ref="E8" si="7">IF(AND(ISNUMBER(C8),ISNUMBER(D8)), C8-D8, "")</f>
        <v>-29252.100000000006</v>
      </c>
      <c r="F8" s="29">
        <f t="shared" ref="F8:F14" si="8">IFERROR(E8/D8, "")</f>
        <v>-0.20093888393160741</v>
      </c>
      <c r="G8" s="30">
        <v>167506.9</v>
      </c>
      <c r="H8" s="30">
        <f t="shared" ref="H8:H14" si="9">IF(AND(ISNUMBER(C8),ISNUMBER(G8)), C8-G8, "")</f>
        <v>-51181.899999999994</v>
      </c>
      <c r="I8" s="31">
        <f t="shared" ref="I8:I14" si="10">IFERROR(H8/G8, "")</f>
        <v>-0.30555099521273449</v>
      </c>
      <c r="J8" s="66" t="s">
        <v>280</v>
      </c>
      <c r="K8" s="81" t="s">
        <v>281</v>
      </c>
      <c r="L8" s="66" t="s">
        <v>274</v>
      </c>
      <c r="M8" s="91" t="s">
        <v>282</v>
      </c>
    </row>
    <row r="9" spans="1:14" ht="15.6">
      <c r="A9" s="56" t="str">
        <v>Manchester - Western</v>
      </c>
      <c r="B9" s="52" t="str">
        <v>ME</v>
      </c>
      <c r="C9" s="34">
        <v>45665</v>
      </c>
      <c r="D9" s="35">
        <v>56472.480000000003</v>
      </c>
      <c r="E9" s="35">
        <f>IF(AND(ISNUMBER(C9),ISNUMBER(D9)), C9-D9, "")</f>
        <v>-10807.480000000003</v>
      </c>
      <c r="F9" s="36">
        <f t="shared" si="8"/>
        <v>-0.19137604723575097</v>
      </c>
      <c r="G9" s="37">
        <v>50478.73</v>
      </c>
      <c r="H9" s="37">
        <f t="shared" si="9"/>
        <v>-4813.7300000000032</v>
      </c>
      <c r="I9" s="36">
        <f t="shared" si="10"/>
        <v>-9.5361551291009164E-2</v>
      </c>
      <c r="J9" s="58" t="s">
        <v>258</v>
      </c>
      <c r="K9" s="58"/>
      <c r="L9" s="58"/>
    </row>
    <row r="10" spans="1:14" ht="29.65" customHeight="1">
      <c r="A10" s="57" t="str">
        <v>Batavia - Pike Rd</v>
      </c>
      <c r="B10" s="49" t="str">
        <v>NY</v>
      </c>
      <c r="C10" s="27">
        <v>173465</v>
      </c>
      <c r="D10" s="28">
        <v>185111.2</v>
      </c>
      <c r="E10" s="28">
        <f>IF(AND(ISNUMBER(C10),ISNUMBER(D10)), C10-D10, "")</f>
        <v>-11646.200000000012</v>
      </c>
      <c r="F10" s="29">
        <f>IFERROR(E10/D10, "")</f>
        <v>-6.2914615647243446E-2</v>
      </c>
      <c r="G10" s="30">
        <v>203955</v>
      </c>
      <c r="H10" s="30">
        <f>IF(AND(ISNUMBER(C10),ISNUMBER(G10)), C10-G10, "")</f>
        <v>-30490</v>
      </c>
      <c r="I10" s="31">
        <f>IFERROR(H10/G10, "")</f>
        <v>-0.14949376087862518</v>
      </c>
      <c r="J10" s="66" t="s">
        <v>283</v>
      </c>
      <c r="K10" s="81" t="s">
        <v>284</v>
      </c>
      <c r="L10" s="66" t="s">
        <v>262</v>
      </c>
    </row>
    <row r="11" spans="1:14" ht="43.15">
      <c r="A11" s="56" t="str">
        <v>Slayton A &amp; B</v>
      </c>
      <c r="B11" s="52" t="str">
        <v>NY</v>
      </c>
      <c r="C11" s="34">
        <v>393069</v>
      </c>
      <c r="D11" s="35">
        <v>445603.7</v>
      </c>
      <c r="E11" s="35">
        <f t="shared" ref="E11:E14" si="11">IF(AND(ISNUMBER(C11),ISNUMBER(D11)), C11-D11, "")</f>
        <v>-52534.700000000012</v>
      </c>
      <c r="F11" s="36">
        <f t="shared" si="8"/>
        <v>-0.11789556505029022</v>
      </c>
      <c r="G11" s="37">
        <v>415698.6</v>
      </c>
      <c r="H11" s="37">
        <f t="shared" si="9"/>
        <v>-22629.599999999977</v>
      </c>
      <c r="I11" s="36">
        <f t="shared" si="10"/>
        <v>-5.4437517951708231E-2</v>
      </c>
      <c r="J11" s="58" t="s">
        <v>285</v>
      </c>
      <c r="K11" s="80" t="s">
        <v>286</v>
      </c>
      <c r="L11" s="58" t="s">
        <v>287</v>
      </c>
      <c r="M11" s="91" t="s">
        <v>288</v>
      </c>
    </row>
    <row r="12" spans="1:14" ht="72">
      <c r="A12" s="57" t="str">
        <v>Batavia - Alexander Rd</v>
      </c>
      <c r="B12" s="49" t="str">
        <v>NY</v>
      </c>
      <c r="C12" s="27">
        <v>77810.748449999999</v>
      </c>
      <c r="D12" s="28">
        <v>115105.8</v>
      </c>
      <c r="E12" s="28">
        <f t="shared" si="11"/>
        <v>-37295.051550000004</v>
      </c>
      <c r="F12" s="29">
        <f t="shared" si="8"/>
        <v>-0.32400670991383584</v>
      </c>
      <c r="G12" s="30">
        <v>102590.3</v>
      </c>
      <c r="H12" s="30">
        <f t="shared" si="9"/>
        <v>-24779.551550000004</v>
      </c>
      <c r="I12" s="31">
        <f t="shared" si="10"/>
        <v>-0.24153893253065839</v>
      </c>
      <c r="J12" s="66" t="s">
        <v>289</v>
      </c>
      <c r="K12" s="81" t="s">
        <v>290</v>
      </c>
      <c r="L12" s="66" t="s">
        <v>291</v>
      </c>
      <c r="M12" s="91" t="s">
        <v>292</v>
      </c>
      <c r="N12" s="91" t="s">
        <v>293</v>
      </c>
    </row>
    <row r="13" spans="1:14" ht="28.9">
      <c r="A13" s="56" t="str">
        <v xml:space="preserve">NC: Gibson – Henry Gibson Solar </v>
      </c>
      <c r="B13" s="52" t="str">
        <v>NC</v>
      </c>
      <c r="C13" s="34">
        <v>715922</v>
      </c>
      <c r="D13" s="35">
        <v>880047.9</v>
      </c>
      <c r="E13" s="35">
        <f t="shared" si="11"/>
        <v>-164125.90000000002</v>
      </c>
      <c r="F13" s="36">
        <f t="shared" si="8"/>
        <v>-0.18649655319897931</v>
      </c>
      <c r="G13" s="37">
        <v>704832</v>
      </c>
      <c r="H13" s="37">
        <f t="shared" si="9"/>
        <v>11090</v>
      </c>
      <c r="I13" s="36">
        <f t="shared" si="10"/>
        <v>1.5734245891219467E-2</v>
      </c>
      <c r="J13" s="58" t="s">
        <v>294</v>
      </c>
      <c r="K13" s="80" t="s">
        <v>295</v>
      </c>
      <c r="L13" s="58" t="s">
        <v>248</v>
      </c>
    </row>
    <row r="14" spans="1:14" ht="15.6">
      <c r="A14" s="57" t="str">
        <v>Bangor - Pushaw</v>
      </c>
      <c r="B14" s="49" t="str">
        <v>ME</v>
      </c>
      <c r="C14" s="27">
        <v>235981</v>
      </c>
      <c r="D14" s="28">
        <v>305363.59999999998</v>
      </c>
      <c r="E14" s="28">
        <f t="shared" si="11"/>
        <v>-69382.599999999977</v>
      </c>
      <c r="F14" s="29">
        <f t="shared" si="8"/>
        <v>-0.22721306665234489</v>
      </c>
      <c r="G14" s="30">
        <v>323517</v>
      </c>
      <c r="H14" s="30">
        <f t="shared" si="9"/>
        <v>-87536</v>
      </c>
      <c r="I14" s="31">
        <f t="shared" si="10"/>
        <v>-0.2705761984687049</v>
      </c>
      <c r="J14" s="66" t="s">
        <v>296</v>
      </c>
      <c r="K14" s="66"/>
      <c r="L14" s="66"/>
    </row>
    <row r="15" spans="1:14" ht="14.45">
      <c r="A15" s="9"/>
      <c r="B15" s="14"/>
      <c r="C15" s="9"/>
      <c r="D15" s="9"/>
      <c r="E15" s="9"/>
      <c r="F15" s="10"/>
      <c r="G15" s="9"/>
      <c r="H15" s="9"/>
      <c r="I15" s="10"/>
      <c r="J15" s="9"/>
      <c r="K15" s="9"/>
      <c r="L15" s="9"/>
    </row>
    <row r="16" spans="1:14" ht="14.45">
      <c r="A16" s="9"/>
      <c r="B16" s="14"/>
      <c r="C16" s="9"/>
      <c r="D16" s="9"/>
      <c r="E16" s="9"/>
      <c r="F16" s="10"/>
      <c r="G16" s="9"/>
      <c r="H16" s="9"/>
      <c r="I16" s="10"/>
      <c r="J16" s="9"/>
      <c r="K16" s="9"/>
      <c r="L16" s="9"/>
    </row>
    <row r="17" spans="1:12" ht="14.45">
      <c r="A17" s="9"/>
      <c r="B17" s="14"/>
      <c r="C17" s="9"/>
      <c r="D17" s="9"/>
      <c r="E17" s="9"/>
      <c r="F17" s="10"/>
      <c r="G17" s="9"/>
      <c r="H17" s="9"/>
      <c r="I17" s="10"/>
      <c r="J17" s="9"/>
      <c r="K17" s="9"/>
      <c r="L17" s="9"/>
    </row>
    <row r="18" spans="1:12" ht="14.45">
      <c r="A18" s="9"/>
      <c r="B18" s="14"/>
      <c r="C18" s="9"/>
      <c r="D18" s="9"/>
      <c r="E18" s="9"/>
      <c r="F18" s="10"/>
      <c r="G18" s="9"/>
      <c r="H18" s="9"/>
      <c r="I18" s="10"/>
      <c r="J18" s="9"/>
      <c r="K18" s="9"/>
      <c r="L18" s="9"/>
    </row>
    <row r="19" spans="1:12" ht="14.45">
      <c r="A19" s="9"/>
      <c r="B19" s="14"/>
      <c r="C19" s="9"/>
      <c r="D19" s="9"/>
      <c r="E19" s="9"/>
      <c r="F19" s="10"/>
      <c r="G19" s="9"/>
      <c r="H19" s="9"/>
      <c r="I19" s="10"/>
      <c r="J19" s="9"/>
      <c r="K19" s="9"/>
      <c r="L19" s="9"/>
    </row>
    <row r="20" spans="1:12" ht="14.45">
      <c r="A20" s="9"/>
      <c r="B20" s="14"/>
      <c r="C20" s="9"/>
      <c r="D20" s="9"/>
      <c r="E20" s="9"/>
      <c r="F20" s="10"/>
      <c r="G20" s="9"/>
      <c r="H20" s="9"/>
      <c r="I20" s="10"/>
      <c r="J20" s="9"/>
      <c r="K20" s="9"/>
      <c r="L20" s="9"/>
    </row>
    <row r="21" spans="1:12" ht="14.45">
      <c r="A21" s="9"/>
      <c r="B21" s="14"/>
      <c r="C21" s="9"/>
      <c r="D21" s="9"/>
      <c r="E21" s="9"/>
      <c r="F21" s="10"/>
      <c r="G21" s="9"/>
      <c r="H21" s="9"/>
      <c r="I21" s="10"/>
      <c r="J21" s="9"/>
      <c r="K21" s="9"/>
      <c r="L21" s="9"/>
    </row>
    <row r="22" spans="1:12" ht="14.45">
      <c r="A22" s="9"/>
      <c r="B22" s="14"/>
      <c r="C22" s="9"/>
      <c r="D22" s="9"/>
      <c r="E22" s="9"/>
      <c r="F22" s="10"/>
      <c r="G22" s="9"/>
      <c r="H22" s="9"/>
      <c r="I22" s="10"/>
      <c r="J22" s="9"/>
      <c r="K22" s="9"/>
      <c r="L22" s="9"/>
    </row>
    <row r="23" spans="1:12" ht="14.45">
      <c r="A23" s="9"/>
      <c r="B23" s="14"/>
      <c r="C23" s="9"/>
      <c r="D23" s="9"/>
      <c r="E23" s="9"/>
      <c r="F23" s="10"/>
      <c r="G23" s="9"/>
      <c r="H23" s="9"/>
      <c r="I23" s="10"/>
      <c r="J23" s="9"/>
      <c r="K23" s="9"/>
      <c r="L23" s="9"/>
    </row>
    <row r="24" spans="1:12" ht="14.45">
      <c r="A24" s="9"/>
      <c r="B24" s="14"/>
      <c r="C24" s="9"/>
      <c r="D24" s="9"/>
      <c r="E24" s="9"/>
      <c r="F24" s="10"/>
      <c r="G24" s="9"/>
      <c r="H24" s="9"/>
      <c r="I24" s="10"/>
      <c r="J24" s="9"/>
      <c r="K24" s="9"/>
      <c r="L24" s="9"/>
    </row>
    <row r="25" spans="1:12" ht="14.45">
      <c r="A25" s="9"/>
      <c r="B25" s="14"/>
      <c r="C25" s="9"/>
      <c r="D25" s="9"/>
      <c r="E25" s="9"/>
      <c r="F25" s="10"/>
      <c r="G25" s="9"/>
      <c r="H25" s="9"/>
      <c r="I25" s="10"/>
      <c r="J25" s="9"/>
      <c r="K25" s="9"/>
      <c r="L25" s="9"/>
    </row>
    <row r="26" spans="1:12" ht="14.45">
      <c r="A26" s="9"/>
      <c r="B26" s="14"/>
      <c r="C26" s="9"/>
      <c r="D26" s="9"/>
      <c r="E26" s="9"/>
      <c r="F26" s="10"/>
      <c r="G26" s="9"/>
      <c r="H26" s="9"/>
      <c r="I26" s="10"/>
      <c r="J26" s="9"/>
      <c r="K26" s="9"/>
      <c r="L26" s="9"/>
    </row>
    <row r="27" spans="1:12" ht="14.45">
      <c r="A27" s="9"/>
      <c r="B27" s="14"/>
      <c r="C27" s="9"/>
      <c r="D27" s="9"/>
      <c r="E27" s="9"/>
      <c r="F27" s="10"/>
      <c r="G27" s="9"/>
      <c r="H27" s="9"/>
      <c r="I27" s="10"/>
      <c r="J27" s="9"/>
      <c r="K27" s="9"/>
      <c r="L27" s="9"/>
    </row>
    <row r="28" spans="1:12" ht="14.45">
      <c r="A28" s="9"/>
      <c r="B28" s="14"/>
      <c r="C28" s="9"/>
      <c r="D28" s="9"/>
      <c r="E28" s="9"/>
      <c r="F28" s="10"/>
      <c r="G28" s="9"/>
      <c r="H28" s="9"/>
      <c r="I28" s="10"/>
      <c r="J28" s="9"/>
      <c r="K28" s="9"/>
      <c r="L28" s="9"/>
    </row>
    <row r="29" spans="1:12" ht="14.45">
      <c r="A29" s="9"/>
      <c r="B29" s="14"/>
      <c r="C29" s="9"/>
      <c r="D29" s="9"/>
      <c r="E29" s="9"/>
      <c r="F29" s="10"/>
      <c r="G29" s="9"/>
      <c r="H29" s="9"/>
      <c r="I29" s="10"/>
      <c r="J29" s="9"/>
      <c r="K29" s="9"/>
      <c r="L29" s="9"/>
    </row>
    <row r="30" spans="1:12" ht="14.45">
      <c r="A30" s="9"/>
      <c r="B30" s="14"/>
      <c r="C30" s="9"/>
      <c r="D30" s="9"/>
      <c r="E30" s="9"/>
      <c r="F30" s="10"/>
      <c r="G30" s="9"/>
      <c r="H30" s="9"/>
      <c r="I30" s="10"/>
      <c r="J30" s="9"/>
      <c r="K30" s="9"/>
      <c r="L30" s="9"/>
    </row>
    <row r="31" spans="1:12" ht="14.45">
      <c r="A31" s="9"/>
      <c r="B31" s="14"/>
      <c r="C31" s="9"/>
      <c r="D31" s="9"/>
      <c r="E31" s="9"/>
      <c r="F31" s="10"/>
      <c r="G31" s="9"/>
      <c r="H31" s="9"/>
      <c r="I31" s="10"/>
      <c r="J31" s="9"/>
      <c r="K31" s="9"/>
      <c r="L31" s="9"/>
    </row>
    <row r="32" spans="1:12" ht="14.45">
      <c r="A32" s="9"/>
      <c r="B32" s="14"/>
      <c r="C32" s="9"/>
      <c r="D32" s="9"/>
      <c r="E32" s="9"/>
      <c r="F32" s="10"/>
      <c r="G32" s="9"/>
      <c r="H32" s="9"/>
      <c r="I32" s="10"/>
      <c r="J32" s="9"/>
      <c r="K32" s="9"/>
      <c r="L32" s="9"/>
    </row>
    <row r="33" spans="1:12" ht="14.45">
      <c r="A33" s="9"/>
      <c r="B33" s="14"/>
      <c r="C33" s="9"/>
      <c r="D33" s="9"/>
      <c r="E33" s="9"/>
      <c r="F33" s="10"/>
      <c r="G33" s="9"/>
      <c r="H33" s="9"/>
      <c r="I33" s="10"/>
      <c r="J33" s="9"/>
      <c r="K33" s="9"/>
      <c r="L33" s="9"/>
    </row>
    <row r="34" spans="1:12" ht="14.45">
      <c r="A34" s="9"/>
      <c r="B34" s="14"/>
      <c r="C34" s="9"/>
      <c r="D34" s="9"/>
      <c r="E34" s="9"/>
      <c r="F34" s="10"/>
      <c r="G34" s="9"/>
      <c r="H34" s="9"/>
      <c r="I34" s="10"/>
      <c r="J34" s="9"/>
      <c r="K34" s="9"/>
      <c r="L34" s="9"/>
    </row>
    <row r="35" spans="1:12" ht="14.45">
      <c r="A35" s="9"/>
      <c r="B35" s="14"/>
      <c r="C35" s="9"/>
      <c r="D35" s="9"/>
      <c r="E35" s="9"/>
      <c r="F35" s="10"/>
      <c r="G35" s="9"/>
      <c r="H35" s="9"/>
      <c r="I35" s="10"/>
      <c r="J35" s="9"/>
      <c r="K35" s="9"/>
      <c r="L35" s="9"/>
    </row>
    <row r="36" spans="1:12" ht="14.45">
      <c r="A36" s="9"/>
      <c r="B36" s="14"/>
      <c r="C36" s="9"/>
      <c r="D36" s="9"/>
      <c r="E36" s="9"/>
      <c r="F36" s="10"/>
      <c r="G36" s="9"/>
      <c r="H36" s="9"/>
      <c r="I36" s="10"/>
      <c r="J36" s="9"/>
      <c r="K36" s="9"/>
      <c r="L36" s="9"/>
    </row>
    <row r="37" spans="1:12" ht="14.45">
      <c r="A37" s="9"/>
      <c r="B37" s="14"/>
      <c r="C37" s="9"/>
      <c r="D37" s="9"/>
      <c r="E37" s="9"/>
      <c r="F37" s="10"/>
      <c r="G37" s="9"/>
      <c r="H37" s="9"/>
      <c r="I37" s="10"/>
      <c r="J37" s="9"/>
      <c r="K37" s="9"/>
      <c r="L37" s="9"/>
    </row>
    <row r="38" spans="1:12" ht="14.45">
      <c r="A38" s="9"/>
      <c r="B38" s="14"/>
      <c r="C38" s="9"/>
      <c r="D38" s="9"/>
      <c r="E38" s="9"/>
      <c r="F38" s="10"/>
      <c r="G38" s="9"/>
      <c r="H38" s="9"/>
      <c r="I38" s="10"/>
      <c r="J38" s="9"/>
      <c r="K38" s="9"/>
      <c r="L38" s="9"/>
    </row>
    <row r="39" spans="1:12" ht="14.45">
      <c r="A39" s="9"/>
      <c r="B39" s="14"/>
      <c r="C39" s="9"/>
      <c r="D39" s="9"/>
      <c r="E39" s="9"/>
      <c r="F39" s="10"/>
      <c r="G39" s="9"/>
      <c r="H39" s="9"/>
      <c r="I39" s="10"/>
      <c r="J39" s="9"/>
      <c r="K39" s="9"/>
      <c r="L39" s="9"/>
    </row>
    <row r="40" spans="1:12" ht="14.45">
      <c r="A40" s="9"/>
      <c r="B40" s="14"/>
      <c r="C40" s="9"/>
      <c r="D40" s="9"/>
      <c r="E40" s="9"/>
      <c r="F40" s="10"/>
      <c r="G40" s="9"/>
      <c r="H40" s="9"/>
      <c r="I40" s="10"/>
      <c r="J40" s="9"/>
      <c r="K40" s="9"/>
      <c r="L40" s="9"/>
    </row>
    <row r="41" spans="1:12" ht="14.45">
      <c r="A41" s="9"/>
      <c r="B41" s="14"/>
      <c r="C41" s="9"/>
      <c r="D41" s="9"/>
      <c r="E41" s="9"/>
      <c r="F41" s="10"/>
      <c r="G41" s="9"/>
      <c r="H41" s="9"/>
      <c r="I41" s="10"/>
      <c r="J41" s="9"/>
      <c r="K41" s="9"/>
      <c r="L41" s="9"/>
    </row>
    <row r="42" spans="1:12" ht="14.45">
      <c r="A42" s="9"/>
      <c r="B42" s="14"/>
      <c r="C42" s="9"/>
      <c r="D42" s="9"/>
      <c r="E42" s="9"/>
      <c r="F42" s="10"/>
      <c r="G42" s="9"/>
      <c r="H42" s="9"/>
      <c r="I42" s="10"/>
      <c r="J42" s="9"/>
      <c r="K42" s="9"/>
      <c r="L42" s="9"/>
    </row>
    <row r="43" spans="1:12" ht="14.45">
      <c r="A43" s="9"/>
      <c r="B43" s="14"/>
      <c r="C43" s="9"/>
      <c r="D43" s="9"/>
      <c r="E43" s="9"/>
      <c r="F43" s="10"/>
      <c r="G43" s="9"/>
      <c r="H43" s="9"/>
      <c r="I43" s="10"/>
      <c r="J43" s="9"/>
      <c r="K43" s="9"/>
      <c r="L43" s="9"/>
    </row>
    <row r="44" spans="1:12" ht="14.45">
      <c r="A44" s="9"/>
      <c r="B44" s="14"/>
      <c r="C44" s="9"/>
      <c r="D44" s="9"/>
      <c r="E44" s="9"/>
      <c r="F44" s="10"/>
      <c r="G44" s="9"/>
      <c r="H44" s="9"/>
      <c r="I44" s="10"/>
      <c r="J44" s="9"/>
      <c r="K44" s="9"/>
      <c r="L44" s="9"/>
    </row>
    <row r="45" spans="1:12" ht="14.45">
      <c r="A45" s="9"/>
      <c r="B45" s="14"/>
      <c r="C45" s="9"/>
      <c r="D45" s="9"/>
      <c r="E45" s="9"/>
      <c r="F45" s="10"/>
      <c r="G45" s="9"/>
      <c r="H45" s="9"/>
      <c r="I45" s="10"/>
      <c r="J45" s="9"/>
      <c r="K45" s="9"/>
      <c r="L45" s="9"/>
    </row>
    <row r="46" spans="1:12" ht="14.45">
      <c r="A46" s="9"/>
      <c r="B46" s="14"/>
      <c r="C46" s="9"/>
      <c r="D46" s="9"/>
      <c r="E46" s="9"/>
      <c r="F46" s="10"/>
      <c r="G46" s="9"/>
      <c r="H46" s="9"/>
      <c r="I46" s="10"/>
      <c r="J46" s="9"/>
      <c r="K46" s="9"/>
      <c r="L46" s="9"/>
    </row>
    <row r="47" spans="1:12" ht="14.45">
      <c r="A47" s="9"/>
      <c r="B47" s="14"/>
      <c r="C47" s="9"/>
      <c r="D47" s="9"/>
      <c r="E47" s="9"/>
      <c r="F47" s="10"/>
      <c r="G47" s="9"/>
      <c r="H47" s="9"/>
      <c r="I47" s="10"/>
      <c r="J47" s="9"/>
      <c r="K47" s="9"/>
      <c r="L47" s="9"/>
    </row>
    <row r="48" spans="1:12" ht="14.45">
      <c r="A48" s="9"/>
      <c r="B48" s="14"/>
      <c r="C48" s="9"/>
      <c r="D48" s="9"/>
      <c r="E48" s="9"/>
      <c r="F48" s="10"/>
      <c r="G48" s="9"/>
      <c r="H48" s="9"/>
      <c r="I48" s="10"/>
      <c r="J48" s="9"/>
      <c r="K48" s="9"/>
      <c r="L48" s="9"/>
    </row>
    <row r="49" spans="1:12" ht="14.45">
      <c r="A49" s="9"/>
      <c r="B49" s="14"/>
      <c r="C49" s="9"/>
      <c r="D49" s="9"/>
      <c r="E49" s="9"/>
      <c r="F49" s="10"/>
      <c r="G49" s="9"/>
      <c r="H49" s="9"/>
      <c r="I49" s="10"/>
      <c r="J49" s="9"/>
      <c r="K49" s="9"/>
      <c r="L49" s="9"/>
    </row>
    <row r="50" spans="1:12" ht="14.45">
      <c r="A50" s="9"/>
      <c r="B50" s="14"/>
      <c r="C50" s="9"/>
      <c r="D50" s="9"/>
      <c r="E50" s="9"/>
      <c r="F50" s="10"/>
      <c r="G50" s="9"/>
      <c r="H50" s="9"/>
      <c r="I50" s="10"/>
      <c r="J50" s="9"/>
      <c r="K50" s="9"/>
      <c r="L50" s="9"/>
    </row>
    <row r="51" spans="1:12" ht="14.45">
      <c r="A51" s="9"/>
      <c r="B51" s="14"/>
      <c r="C51" s="9"/>
      <c r="D51" s="9"/>
      <c r="E51" s="9"/>
      <c r="F51" s="10"/>
      <c r="G51" s="9"/>
      <c r="H51" s="9"/>
      <c r="I51" s="10"/>
      <c r="J51" s="9"/>
      <c r="K51" s="9"/>
      <c r="L51" s="9"/>
    </row>
    <row r="52" spans="1:12" ht="14.45">
      <c r="A52" s="9"/>
      <c r="B52" s="14"/>
      <c r="C52" s="9"/>
      <c r="D52" s="9"/>
      <c r="E52" s="9"/>
      <c r="F52" s="10"/>
      <c r="G52" s="9"/>
      <c r="H52" s="9"/>
      <c r="I52" s="10"/>
      <c r="J52" s="9"/>
      <c r="K52" s="9"/>
      <c r="L52" s="9"/>
    </row>
    <row r="53" spans="1:12" ht="14.45">
      <c r="A53" s="9"/>
      <c r="B53" s="14"/>
      <c r="C53" s="9"/>
      <c r="D53" s="9"/>
      <c r="E53" s="9"/>
      <c r="F53" s="10"/>
      <c r="G53" s="9"/>
      <c r="H53" s="9"/>
      <c r="I53" s="10"/>
      <c r="J53" s="9"/>
      <c r="K53" s="9"/>
      <c r="L53" s="9"/>
    </row>
    <row r="54" spans="1:12" ht="14.45">
      <c r="A54" s="9"/>
      <c r="B54" s="14"/>
      <c r="C54" s="9"/>
      <c r="D54" s="9"/>
      <c r="E54" s="9"/>
      <c r="F54" s="10"/>
      <c r="G54" s="9"/>
      <c r="H54" s="9"/>
      <c r="I54" s="10"/>
      <c r="J54" s="9"/>
      <c r="K54" s="9"/>
      <c r="L54" s="9"/>
    </row>
    <row r="55" spans="1:12" ht="14.45">
      <c r="A55" s="9"/>
      <c r="B55" s="14"/>
      <c r="C55" s="9"/>
      <c r="D55" s="9"/>
      <c r="E55" s="9"/>
      <c r="F55" s="10"/>
      <c r="G55" s="9"/>
      <c r="H55" s="9"/>
      <c r="I55" s="10"/>
      <c r="J55" s="9"/>
      <c r="K55" s="9"/>
      <c r="L55" s="9"/>
    </row>
    <row r="56" spans="1:12" ht="14.45">
      <c r="A56" s="9"/>
      <c r="B56" s="14"/>
      <c r="C56" s="9"/>
      <c r="D56" s="9"/>
      <c r="E56" s="9"/>
      <c r="F56" s="10"/>
      <c r="G56" s="9"/>
      <c r="H56" s="9"/>
      <c r="I56" s="10"/>
      <c r="J56" s="9"/>
      <c r="K56" s="9"/>
      <c r="L56" s="9"/>
    </row>
    <row r="57" spans="1:12" ht="14.45">
      <c r="A57" s="9"/>
      <c r="B57" s="14"/>
      <c r="C57" s="9"/>
      <c r="D57" s="9"/>
      <c r="E57" s="9"/>
      <c r="F57" s="10"/>
      <c r="G57" s="9"/>
      <c r="H57" s="9"/>
      <c r="I57" s="10"/>
      <c r="J57" s="9"/>
      <c r="K57" s="9"/>
      <c r="L57" s="9"/>
    </row>
    <row r="58" spans="1:12" ht="14.45">
      <c r="A58" s="9"/>
      <c r="B58" s="14"/>
      <c r="C58" s="9"/>
      <c r="D58" s="9"/>
      <c r="E58" s="9"/>
      <c r="F58" s="10"/>
      <c r="G58" s="9"/>
      <c r="H58" s="9"/>
      <c r="I58" s="10"/>
      <c r="J58" s="9"/>
      <c r="K58" s="9"/>
      <c r="L58" s="9"/>
    </row>
    <row r="59" spans="1:12" ht="14.45">
      <c r="A59" s="9"/>
      <c r="B59" s="14"/>
      <c r="C59" s="9"/>
      <c r="D59" s="9"/>
      <c r="E59" s="9"/>
      <c r="F59" s="10"/>
      <c r="G59" s="9"/>
      <c r="H59" s="9"/>
      <c r="I59" s="10"/>
      <c r="J59" s="9"/>
      <c r="K59" s="9"/>
      <c r="L59" s="9"/>
    </row>
    <row r="60" spans="1:12" ht="14.45">
      <c r="A60" s="9"/>
      <c r="B60" s="14"/>
      <c r="C60" s="9"/>
      <c r="D60" s="9"/>
      <c r="E60" s="9"/>
      <c r="F60" s="10"/>
      <c r="G60" s="9"/>
      <c r="H60" s="9"/>
      <c r="I60" s="10"/>
      <c r="J60" s="9"/>
      <c r="K60" s="9"/>
      <c r="L60" s="9"/>
    </row>
    <row r="61" spans="1:12" ht="14.45">
      <c r="A61" s="9"/>
      <c r="B61" s="14"/>
      <c r="C61" s="9"/>
      <c r="D61" s="9"/>
      <c r="E61" s="9"/>
      <c r="F61" s="10"/>
      <c r="G61" s="9"/>
      <c r="H61" s="9"/>
      <c r="I61" s="10"/>
      <c r="J61" s="9"/>
      <c r="K61" s="9"/>
      <c r="L61" s="9"/>
    </row>
    <row r="62" spans="1:12" ht="14.45">
      <c r="A62" s="9"/>
      <c r="B62" s="14"/>
      <c r="C62" s="9"/>
      <c r="D62" s="9"/>
      <c r="E62" s="9"/>
      <c r="F62" s="10"/>
      <c r="G62" s="9"/>
      <c r="H62" s="9"/>
      <c r="I62" s="10"/>
      <c r="J62" s="9"/>
      <c r="K62" s="9"/>
      <c r="L62" s="9"/>
    </row>
    <row r="63" spans="1:12" ht="14.45">
      <c r="A63" s="9"/>
      <c r="B63" s="14"/>
      <c r="C63" s="9"/>
      <c r="D63" s="9"/>
      <c r="E63" s="9"/>
      <c r="F63" s="10"/>
      <c r="G63" s="9"/>
      <c r="H63" s="9"/>
      <c r="I63" s="10"/>
      <c r="J63" s="9"/>
      <c r="K63" s="9"/>
      <c r="L63" s="9"/>
    </row>
    <row r="64" spans="1:12" ht="14.45">
      <c r="A64" s="9"/>
      <c r="B64" s="14"/>
      <c r="C64" s="9"/>
      <c r="D64" s="9"/>
      <c r="E64" s="9"/>
      <c r="F64" s="10"/>
      <c r="G64" s="9"/>
      <c r="H64" s="9"/>
      <c r="I64" s="10"/>
      <c r="J64" s="9"/>
      <c r="K64" s="9"/>
      <c r="L64" s="9"/>
    </row>
    <row r="65" spans="1:12" ht="14.45">
      <c r="A65" s="9"/>
      <c r="B65" s="14"/>
      <c r="C65" s="9"/>
      <c r="D65" s="9"/>
      <c r="E65" s="9"/>
      <c r="F65" s="10"/>
      <c r="G65" s="9"/>
      <c r="H65" s="9"/>
      <c r="I65" s="10"/>
      <c r="J65" s="9"/>
      <c r="K65" s="9"/>
      <c r="L65" s="9"/>
    </row>
    <row r="66" spans="1:12" ht="14.45">
      <c r="A66" s="9"/>
      <c r="B66" s="14"/>
      <c r="C66" s="9"/>
      <c r="D66" s="9"/>
      <c r="E66" s="9"/>
      <c r="F66" s="10"/>
      <c r="G66" s="9"/>
      <c r="H66" s="9"/>
      <c r="I66" s="10"/>
      <c r="J66" s="9"/>
      <c r="K66" s="9"/>
      <c r="L66" s="9"/>
    </row>
    <row r="67" spans="1:12" ht="14.45">
      <c r="A67" s="9"/>
      <c r="B67" s="14"/>
      <c r="C67" s="9"/>
      <c r="D67" s="9"/>
      <c r="E67" s="9"/>
      <c r="F67" s="10"/>
      <c r="G67" s="9"/>
      <c r="H67" s="9"/>
      <c r="I67" s="10"/>
      <c r="J67" s="9"/>
      <c r="K67" s="9"/>
      <c r="L67" s="9"/>
    </row>
    <row r="68" spans="1:12" ht="14.45">
      <c r="A68" s="9"/>
      <c r="B68" s="14"/>
      <c r="C68" s="9"/>
      <c r="D68" s="9"/>
      <c r="E68" s="9"/>
      <c r="F68" s="10"/>
      <c r="G68" s="9"/>
      <c r="H68" s="9"/>
      <c r="I68" s="10"/>
      <c r="J68" s="9"/>
      <c r="K68" s="9"/>
      <c r="L68" s="9"/>
    </row>
    <row r="69" spans="1:12" ht="14.45">
      <c r="A69" s="9"/>
      <c r="B69" s="14"/>
      <c r="C69" s="9"/>
      <c r="D69" s="9"/>
      <c r="E69" s="9"/>
      <c r="F69" s="10"/>
      <c r="G69" s="9"/>
      <c r="H69" s="9"/>
      <c r="I69" s="10"/>
      <c r="J69" s="9"/>
      <c r="K69" s="9"/>
      <c r="L69" s="9"/>
    </row>
    <row r="70" spans="1:12" ht="14.45">
      <c r="A70" s="9"/>
      <c r="B70" s="14"/>
      <c r="C70" s="9"/>
      <c r="D70" s="9"/>
      <c r="E70" s="9"/>
      <c r="F70" s="10"/>
      <c r="G70" s="9"/>
      <c r="H70" s="9"/>
      <c r="I70" s="10"/>
      <c r="J70" s="9"/>
      <c r="K70" s="9"/>
      <c r="L70" s="9"/>
    </row>
    <row r="71" spans="1:12" ht="14.45">
      <c r="A71" s="9"/>
      <c r="B71" s="14"/>
      <c r="C71" s="9"/>
      <c r="D71" s="9"/>
      <c r="E71" s="9"/>
      <c r="F71" s="10"/>
      <c r="G71" s="9"/>
      <c r="H71" s="9"/>
      <c r="I71" s="10"/>
      <c r="J71" s="9"/>
      <c r="K71" s="9"/>
      <c r="L71" s="9"/>
    </row>
    <row r="72" spans="1:12" ht="14.45">
      <c r="A72" s="9"/>
      <c r="B72" s="14"/>
      <c r="C72" s="9"/>
      <c r="D72" s="9"/>
      <c r="E72" s="9"/>
      <c r="F72" s="10"/>
      <c r="G72" s="9"/>
      <c r="H72" s="9"/>
      <c r="I72" s="10"/>
      <c r="J72" s="9"/>
      <c r="K72" s="9"/>
      <c r="L72" s="9"/>
    </row>
    <row r="73" spans="1:12" ht="14.45">
      <c r="A73" s="9"/>
      <c r="B73" s="14"/>
      <c r="C73" s="9"/>
      <c r="D73" s="9"/>
      <c r="E73" s="9"/>
      <c r="F73" s="10"/>
      <c r="G73" s="9"/>
      <c r="H73" s="9"/>
      <c r="I73" s="10"/>
      <c r="J73" s="9"/>
      <c r="K73" s="9"/>
      <c r="L73" s="9"/>
    </row>
    <row r="74" spans="1:12" ht="14.45">
      <c r="A74" s="9"/>
      <c r="B74" s="14"/>
      <c r="C74" s="9"/>
      <c r="D74" s="9"/>
      <c r="E74" s="9"/>
      <c r="F74" s="10"/>
      <c r="G74" s="9"/>
      <c r="H74" s="9"/>
      <c r="I74" s="10"/>
      <c r="J74" s="9"/>
      <c r="K74" s="9"/>
      <c r="L74" s="9"/>
    </row>
    <row r="75" spans="1:12" ht="14.45">
      <c r="A75" s="9"/>
      <c r="B75" s="14"/>
      <c r="C75" s="9"/>
      <c r="D75" s="9"/>
      <c r="E75" s="9"/>
      <c r="F75" s="10"/>
      <c r="G75" s="9"/>
      <c r="H75" s="9"/>
      <c r="I75" s="10"/>
      <c r="J75" s="9"/>
      <c r="K75" s="9"/>
      <c r="L75" s="9"/>
    </row>
    <row r="76" spans="1:12" ht="14.45">
      <c r="A76" s="9"/>
      <c r="B76" s="14"/>
      <c r="C76" s="9"/>
      <c r="D76" s="9"/>
      <c r="E76" s="9"/>
      <c r="F76" s="10"/>
      <c r="G76" s="9"/>
      <c r="H76" s="9"/>
      <c r="I76" s="10"/>
      <c r="J76" s="9"/>
      <c r="K76" s="9"/>
      <c r="L76" s="9"/>
    </row>
    <row r="77" spans="1:12" ht="14.45">
      <c r="A77" s="9"/>
      <c r="B77" s="14"/>
      <c r="C77" s="9"/>
      <c r="D77" s="9"/>
      <c r="E77" s="9"/>
      <c r="F77" s="10"/>
      <c r="G77" s="9"/>
      <c r="H77" s="9"/>
      <c r="I77" s="10"/>
      <c r="J77" s="9"/>
      <c r="K77" s="9"/>
      <c r="L77" s="9"/>
    </row>
    <row r="78" spans="1:12" ht="14.45">
      <c r="A78" s="9"/>
      <c r="B78" s="14"/>
      <c r="C78" s="9"/>
      <c r="D78" s="9"/>
      <c r="E78" s="9"/>
      <c r="F78" s="10"/>
      <c r="G78" s="9"/>
      <c r="H78" s="9"/>
      <c r="I78" s="10"/>
      <c r="J78" s="9"/>
      <c r="K78" s="9"/>
      <c r="L78" s="9"/>
    </row>
    <row r="79" spans="1:12" ht="14.45">
      <c r="A79" s="9"/>
      <c r="B79" s="14"/>
      <c r="C79" s="9"/>
      <c r="D79" s="9"/>
      <c r="E79" s="9"/>
      <c r="F79" s="10"/>
      <c r="G79" s="9"/>
      <c r="H79" s="9"/>
      <c r="I79" s="10"/>
      <c r="J79" s="9"/>
      <c r="K79" s="9"/>
      <c r="L79" s="9"/>
    </row>
    <row r="80" spans="1:12" ht="14.45">
      <c r="A80" s="9"/>
      <c r="B80" s="14"/>
      <c r="C80" s="9"/>
      <c r="D80" s="9"/>
      <c r="E80" s="9"/>
      <c r="F80" s="10"/>
      <c r="G80" s="9"/>
      <c r="H80" s="9"/>
      <c r="I80" s="10"/>
      <c r="J80" s="9"/>
      <c r="K80" s="9"/>
      <c r="L80" s="9"/>
    </row>
    <row r="81" spans="1:12" ht="14.45">
      <c r="A81" s="9"/>
      <c r="B81" s="14"/>
      <c r="C81" s="9"/>
      <c r="D81" s="9"/>
      <c r="E81" s="9"/>
      <c r="F81" s="10"/>
      <c r="G81" s="9"/>
      <c r="H81" s="9"/>
      <c r="I81" s="10"/>
      <c r="J81" s="9"/>
      <c r="K81" s="9"/>
      <c r="L81" s="9"/>
    </row>
    <row r="82" spans="1:12" ht="14.45">
      <c r="A82" s="9"/>
      <c r="B82" s="14"/>
      <c r="C82" s="9"/>
      <c r="D82" s="9"/>
      <c r="E82" s="9"/>
      <c r="F82" s="10"/>
      <c r="G82" s="9"/>
      <c r="H82" s="9"/>
      <c r="I82" s="10"/>
      <c r="J82" s="9"/>
      <c r="K82" s="9"/>
      <c r="L82" s="9"/>
    </row>
    <row r="83" spans="1:12" ht="14.45">
      <c r="A83" s="9"/>
      <c r="B83" s="14"/>
      <c r="C83" s="9"/>
      <c r="D83" s="9"/>
      <c r="E83" s="9"/>
      <c r="F83" s="10"/>
      <c r="G83" s="9"/>
      <c r="H83" s="9"/>
      <c r="I83" s="10"/>
      <c r="J83" s="9"/>
      <c r="K83" s="9"/>
      <c r="L83" s="9"/>
    </row>
    <row r="84" spans="1:12" ht="14.45">
      <c r="A84" s="9"/>
      <c r="B84" s="14"/>
      <c r="C84" s="9"/>
      <c r="D84" s="9"/>
      <c r="E84" s="9"/>
      <c r="F84" s="10"/>
      <c r="G84" s="9"/>
      <c r="H84" s="9"/>
      <c r="I84" s="10"/>
      <c r="J84" s="9"/>
      <c r="K84" s="9"/>
      <c r="L84" s="9"/>
    </row>
    <row r="85" spans="1:12" ht="14.45">
      <c r="A85" s="9"/>
      <c r="B85" s="14"/>
      <c r="C85" s="9"/>
      <c r="D85" s="9"/>
      <c r="E85" s="9"/>
      <c r="F85" s="10"/>
      <c r="G85" s="9"/>
      <c r="H85" s="9"/>
      <c r="I85" s="10"/>
      <c r="J85" s="9"/>
      <c r="K85" s="9"/>
      <c r="L85" s="9"/>
    </row>
    <row r="86" spans="1:12" ht="14.45">
      <c r="A86" s="9"/>
      <c r="B86" s="14"/>
      <c r="C86" s="9"/>
      <c r="D86" s="9"/>
      <c r="E86" s="9"/>
      <c r="F86" s="10"/>
      <c r="G86" s="9"/>
      <c r="H86" s="9"/>
      <c r="I86" s="10"/>
      <c r="J86" s="9"/>
      <c r="K86" s="9"/>
      <c r="L86" s="9"/>
    </row>
    <row r="87" spans="1:12" ht="14.45">
      <c r="A87" s="9"/>
      <c r="B87" s="14"/>
      <c r="C87" s="9"/>
      <c r="D87" s="9"/>
      <c r="E87" s="9"/>
      <c r="F87" s="10"/>
      <c r="G87" s="9"/>
      <c r="H87" s="9"/>
      <c r="I87" s="10"/>
      <c r="J87" s="9"/>
      <c r="K87" s="9"/>
      <c r="L87" s="9"/>
    </row>
    <row r="88" spans="1:12" ht="14.45">
      <c r="A88" s="9"/>
      <c r="B88" s="14"/>
      <c r="C88" s="9"/>
      <c r="D88" s="9"/>
      <c r="E88" s="9"/>
      <c r="F88" s="10"/>
      <c r="G88" s="9"/>
      <c r="H88" s="9"/>
      <c r="I88" s="10"/>
      <c r="J88" s="9"/>
      <c r="K88" s="9"/>
      <c r="L88" s="9"/>
    </row>
    <row r="89" spans="1:12" ht="14.45">
      <c r="A89" s="9"/>
      <c r="B89" s="14"/>
      <c r="C89" s="9"/>
      <c r="D89" s="9"/>
      <c r="E89" s="9"/>
      <c r="F89" s="10"/>
      <c r="G89" s="9"/>
      <c r="H89" s="9"/>
      <c r="I89" s="10"/>
      <c r="J89" s="9"/>
      <c r="K89" s="9"/>
      <c r="L89" s="9"/>
    </row>
    <row r="90" spans="1:12" ht="14.45">
      <c r="A90" s="9"/>
      <c r="B90" s="14"/>
      <c r="C90" s="9"/>
      <c r="D90" s="9"/>
      <c r="E90" s="9"/>
      <c r="F90" s="10"/>
      <c r="G90" s="9"/>
      <c r="H90" s="9"/>
      <c r="I90" s="10"/>
      <c r="J90" s="9"/>
      <c r="K90" s="9"/>
      <c r="L90" s="9"/>
    </row>
    <row r="91" spans="1:12" ht="14.45">
      <c r="A91" s="9"/>
      <c r="B91" s="14"/>
      <c r="C91" s="9"/>
      <c r="D91" s="9"/>
      <c r="E91" s="9"/>
      <c r="F91" s="10"/>
      <c r="G91" s="9"/>
      <c r="H91" s="9"/>
      <c r="I91" s="10"/>
      <c r="J91" s="9"/>
      <c r="K91" s="9"/>
      <c r="L91" s="9"/>
    </row>
    <row r="92" spans="1:12" ht="14.45">
      <c r="A92" s="9"/>
      <c r="B92" s="14"/>
      <c r="C92" s="9"/>
      <c r="D92" s="9"/>
      <c r="E92" s="9"/>
      <c r="F92" s="10"/>
      <c r="G92" s="9"/>
      <c r="H92" s="9"/>
      <c r="I92" s="10"/>
      <c r="J92" s="9"/>
      <c r="K92" s="9"/>
      <c r="L92" s="9"/>
    </row>
    <row r="93" spans="1:12" ht="14.45">
      <c r="A93" s="9"/>
      <c r="B93" s="14"/>
      <c r="C93" s="9"/>
      <c r="D93" s="9"/>
      <c r="E93" s="9"/>
      <c r="F93" s="10"/>
      <c r="G93" s="9"/>
      <c r="H93" s="9"/>
      <c r="I93" s="10"/>
      <c r="J93" s="9"/>
      <c r="K93" s="9"/>
      <c r="L93" s="9"/>
    </row>
    <row r="94" spans="1:12" ht="14.45">
      <c r="A94" s="9"/>
      <c r="B94" s="14"/>
      <c r="C94" s="9"/>
      <c r="D94" s="9"/>
      <c r="E94" s="9"/>
      <c r="F94" s="10"/>
      <c r="G94" s="9"/>
      <c r="H94" s="9"/>
      <c r="I94" s="10"/>
      <c r="J94" s="9"/>
      <c r="K94" s="9"/>
      <c r="L94" s="9"/>
    </row>
    <row r="95" spans="1:12" ht="14.45">
      <c r="A95" s="9"/>
      <c r="B95" s="14"/>
      <c r="C95" s="9"/>
      <c r="D95" s="9"/>
      <c r="E95" s="9"/>
      <c r="F95" s="10"/>
      <c r="G95" s="9"/>
      <c r="H95" s="9"/>
      <c r="I95" s="10"/>
      <c r="J95" s="9"/>
      <c r="K95" s="9"/>
      <c r="L95" s="9"/>
    </row>
    <row r="96" spans="1:12" ht="14.45">
      <c r="A96" s="9"/>
      <c r="B96" s="14"/>
      <c r="C96" s="9"/>
      <c r="D96" s="9"/>
      <c r="E96" s="9"/>
      <c r="F96" s="10"/>
      <c r="G96" s="9"/>
      <c r="H96" s="9"/>
      <c r="I96" s="10"/>
      <c r="J96" s="9"/>
      <c r="K96" s="9"/>
      <c r="L96" s="9"/>
    </row>
    <row r="97" spans="1:12" ht="14.45">
      <c r="A97" s="9"/>
      <c r="B97" s="14"/>
      <c r="C97" s="9"/>
      <c r="D97" s="9"/>
      <c r="E97" s="9"/>
      <c r="F97" s="10"/>
      <c r="G97" s="9"/>
      <c r="H97" s="9"/>
      <c r="I97" s="10"/>
      <c r="J97" s="9"/>
      <c r="K97" s="9"/>
      <c r="L97" s="9"/>
    </row>
    <row r="98" spans="1:12" ht="14.45">
      <c r="A98" s="9"/>
      <c r="B98" s="14"/>
      <c r="C98" s="9"/>
      <c r="D98" s="9"/>
      <c r="E98" s="9"/>
      <c r="F98" s="10"/>
      <c r="G98" s="9"/>
      <c r="H98" s="9"/>
      <c r="I98" s="10"/>
      <c r="J98" s="9"/>
      <c r="K98" s="9"/>
      <c r="L98" s="9"/>
    </row>
    <row r="99" spans="1:12" ht="14.45">
      <c r="A99" s="9"/>
      <c r="B99" s="14"/>
      <c r="C99" s="9"/>
      <c r="D99" s="9"/>
      <c r="E99" s="9"/>
      <c r="F99" s="10"/>
      <c r="G99" s="9"/>
      <c r="H99" s="9"/>
      <c r="I99" s="10"/>
      <c r="J99" s="9"/>
      <c r="K99" s="9"/>
      <c r="L99" s="9"/>
    </row>
    <row r="100" spans="1:12" ht="14.45">
      <c r="A100" s="9"/>
      <c r="B100" s="14"/>
      <c r="C100" s="9"/>
      <c r="D100" s="9"/>
      <c r="E100" s="9"/>
      <c r="F100" s="10"/>
      <c r="G100" s="9"/>
      <c r="H100" s="9"/>
      <c r="I100" s="10"/>
      <c r="J100" s="9"/>
      <c r="K100" s="9"/>
      <c r="L100" s="9"/>
    </row>
    <row r="101" spans="1:12" ht="14.45">
      <c r="A101" s="9"/>
      <c r="B101" s="14"/>
      <c r="C101" s="9"/>
      <c r="D101" s="9"/>
      <c r="E101" s="9"/>
      <c r="F101" s="10"/>
      <c r="G101" s="9"/>
      <c r="H101" s="9"/>
      <c r="I101" s="10"/>
      <c r="J101" s="9"/>
      <c r="K101" s="9"/>
      <c r="L101" s="9"/>
    </row>
    <row r="102" spans="1:12" ht="14.45">
      <c r="A102" s="9"/>
      <c r="B102" s="14"/>
      <c r="C102" s="9"/>
      <c r="D102" s="9"/>
      <c r="E102" s="9"/>
      <c r="F102" s="10"/>
      <c r="G102" s="9"/>
      <c r="H102" s="9"/>
      <c r="I102" s="10"/>
      <c r="J102" s="9"/>
      <c r="K102" s="9"/>
      <c r="L102" s="9"/>
    </row>
    <row r="103" spans="1:12" ht="14.45">
      <c r="A103" s="9"/>
      <c r="B103" s="14"/>
      <c r="C103" s="9"/>
      <c r="D103" s="9"/>
      <c r="E103" s="9"/>
      <c r="F103" s="10"/>
      <c r="G103" s="9"/>
      <c r="H103" s="9"/>
      <c r="I103" s="10"/>
      <c r="J103" s="9"/>
      <c r="K103" s="9"/>
      <c r="L103" s="9"/>
    </row>
    <row r="104" spans="1:12" ht="14.45">
      <c r="A104" s="9"/>
      <c r="B104" s="14"/>
      <c r="C104" s="9"/>
      <c r="D104" s="9"/>
      <c r="E104" s="9"/>
      <c r="F104" s="10"/>
      <c r="G104" s="9"/>
      <c r="H104" s="9"/>
      <c r="I104" s="10"/>
      <c r="J104" s="9"/>
      <c r="K104" s="9"/>
      <c r="L104" s="9"/>
    </row>
    <row r="105" spans="1:12" ht="14.45">
      <c r="A105" s="9"/>
      <c r="B105" s="14"/>
      <c r="C105" s="9"/>
      <c r="D105" s="9"/>
      <c r="E105" s="9"/>
      <c r="F105" s="10"/>
      <c r="G105" s="9"/>
      <c r="H105" s="9"/>
      <c r="I105" s="10"/>
      <c r="J105" s="9"/>
      <c r="K105" s="9"/>
      <c r="L105" s="9"/>
    </row>
    <row r="106" spans="1:12" ht="14.45">
      <c r="A106" s="9"/>
      <c r="B106" s="14"/>
      <c r="C106" s="9"/>
      <c r="D106" s="9"/>
      <c r="E106" s="9"/>
      <c r="F106" s="10"/>
      <c r="G106" s="9"/>
      <c r="H106" s="9"/>
      <c r="I106" s="10"/>
      <c r="J106" s="9"/>
      <c r="K106" s="9"/>
      <c r="L106" s="9"/>
    </row>
    <row r="107" spans="1:12" ht="14.45">
      <c r="A107" s="9"/>
      <c r="B107" s="14"/>
      <c r="C107" s="9"/>
      <c r="D107" s="9"/>
      <c r="E107" s="9"/>
      <c r="F107" s="10"/>
      <c r="G107" s="9"/>
      <c r="H107" s="9"/>
      <c r="I107" s="10"/>
      <c r="J107" s="9"/>
      <c r="K107" s="9"/>
      <c r="L107" s="9"/>
    </row>
    <row r="108" spans="1:12" ht="14.45">
      <c r="A108" s="9"/>
      <c r="B108" s="14"/>
      <c r="C108" s="9"/>
      <c r="D108" s="9"/>
      <c r="E108" s="9"/>
      <c r="F108" s="10"/>
      <c r="G108" s="9"/>
      <c r="H108" s="9"/>
      <c r="I108" s="10"/>
      <c r="J108" s="9"/>
      <c r="K108" s="9"/>
      <c r="L108" s="9"/>
    </row>
    <row r="109" spans="1:12" ht="14.45">
      <c r="A109" s="9"/>
      <c r="B109" s="14"/>
      <c r="C109" s="9"/>
      <c r="D109" s="9"/>
      <c r="E109" s="9"/>
      <c r="F109" s="10"/>
      <c r="G109" s="9"/>
      <c r="H109" s="9"/>
      <c r="I109" s="10"/>
      <c r="J109" s="9"/>
      <c r="K109" s="9"/>
      <c r="L109" s="9"/>
    </row>
    <row r="110" spans="1:12" ht="14.45">
      <c r="A110" s="9"/>
      <c r="B110" s="14"/>
      <c r="C110" s="9"/>
      <c r="D110" s="9"/>
      <c r="E110" s="9"/>
      <c r="F110" s="10"/>
      <c r="G110" s="9"/>
      <c r="H110" s="9"/>
      <c r="I110" s="10"/>
      <c r="J110" s="9"/>
      <c r="K110" s="9"/>
      <c r="L110" s="9"/>
    </row>
    <row r="111" spans="1:12" ht="14.45">
      <c r="A111" s="9"/>
      <c r="B111" s="14"/>
      <c r="C111" s="9"/>
      <c r="D111" s="9"/>
      <c r="E111" s="9"/>
      <c r="F111" s="10"/>
      <c r="G111" s="9"/>
      <c r="H111" s="9"/>
      <c r="I111" s="10"/>
      <c r="J111" s="9"/>
      <c r="K111" s="9"/>
      <c r="L111" s="9"/>
    </row>
    <row r="112" spans="1:12" ht="14.45">
      <c r="A112" s="9"/>
      <c r="B112" s="14"/>
      <c r="C112" s="9"/>
      <c r="D112" s="9"/>
      <c r="E112" s="9"/>
      <c r="F112" s="10"/>
      <c r="G112" s="9"/>
      <c r="H112" s="9"/>
      <c r="I112" s="10"/>
      <c r="J112" s="9"/>
      <c r="K112" s="9"/>
      <c r="L112" s="9"/>
    </row>
    <row r="113" spans="1:12" ht="14.45">
      <c r="A113" s="9"/>
      <c r="B113" s="14"/>
      <c r="C113" s="9"/>
      <c r="D113" s="9"/>
      <c r="E113" s="9"/>
      <c r="F113" s="10"/>
      <c r="G113" s="9"/>
      <c r="H113" s="9"/>
      <c r="I113" s="10"/>
      <c r="J113" s="9"/>
      <c r="K113" s="9"/>
      <c r="L113" s="9"/>
    </row>
    <row r="114" spans="1:12" ht="14.45">
      <c r="A114" s="9"/>
      <c r="B114" s="14"/>
      <c r="C114" s="9"/>
      <c r="D114" s="9"/>
      <c r="E114" s="9"/>
      <c r="F114" s="10"/>
      <c r="G114" s="9"/>
      <c r="H114" s="9"/>
      <c r="I114" s="10"/>
      <c r="J114" s="9"/>
      <c r="K114" s="9"/>
      <c r="L114" s="9"/>
    </row>
    <row r="115" spans="1:12" ht="14.45">
      <c r="A115" s="9"/>
      <c r="B115" s="14"/>
      <c r="C115" s="9"/>
      <c r="D115" s="9"/>
      <c r="E115" s="9"/>
      <c r="F115" s="10"/>
      <c r="G115" s="9"/>
      <c r="H115" s="9"/>
      <c r="I115" s="10"/>
      <c r="J115" s="9"/>
      <c r="K115" s="9"/>
      <c r="L115" s="9"/>
    </row>
    <row r="116" spans="1:12" ht="14.45">
      <c r="A116" s="9"/>
      <c r="B116" s="14"/>
      <c r="C116" s="9"/>
      <c r="D116" s="9"/>
      <c r="E116" s="9"/>
      <c r="F116" s="10"/>
      <c r="G116" s="9"/>
      <c r="H116" s="9"/>
      <c r="I116" s="10"/>
      <c r="J116" s="9"/>
      <c r="K116" s="9"/>
      <c r="L116" s="9"/>
    </row>
    <row r="117" spans="1:12" ht="14.45">
      <c r="A117" s="9"/>
      <c r="B117" s="14"/>
      <c r="C117" s="9"/>
      <c r="D117" s="9"/>
      <c r="E117" s="9"/>
      <c r="F117" s="10"/>
      <c r="G117" s="9"/>
      <c r="H117" s="9"/>
      <c r="I117" s="10"/>
      <c r="J117" s="9"/>
      <c r="K117" s="9"/>
      <c r="L117" s="9"/>
    </row>
    <row r="118" spans="1:12" ht="14.45">
      <c r="A118" s="9"/>
      <c r="B118" s="14"/>
      <c r="C118" s="9"/>
      <c r="D118" s="9"/>
      <c r="E118" s="9"/>
      <c r="F118" s="10"/>
      <c r="G118" s="9"/>
      <c r="H118" s="9"/>
      <c r="I118" s="10"/>
      <c r="J118" s="9"/>
      <c r="K118" s="9"/>
      <c r="L118" s="9"/>
    </row>
    <row r="119" spans="1:12" ht="14.45">
      <c r="A119" s="9"/>
      <c r="B119" s="14"/>
      <c r="C119" s="9"/>
      <c r="D119" s="9"/>
      <c r="E119" s="9"/>
      <c r="F119" s="10"/>
      <c r="G119" s="9"/>
      <c r="H119" s="9"/>
      <c r="I119" s="10"/>
      <c r="J119" s="9"/>
      <c r="K119" s="9"/>
      <c r="L119" s="9"/>
    </row>
    <row r="120" spans="1:12" ht="14.45">
      <c r="A120" s="9"/>
      <c r="B120" s="14"/>
      <c r="C120" s="9"/>
      <c r="D120" s="9"/>
      <c r="E120" s="9"/>
      <c r="F120" s="10"/>
      <c r="G120" s="9"/>
      <c r="H120" s="9"/>
      <c r="I120" s="10"/>
      <c r="J120" s="9"/>
      <c r="K120" s="9"/>
      <c r="L120" s="9"/>
    </row>
    <row r="121" spans="1:12" ht="14.45">
      <c r="A121" s="9"/>
      <c r="B121" s="14"/>
      <c r="C121" s="9"/>
      <c r="D121" s="9"/>
      <c r="E121" s="9"/>
      <c r="F121" s="10"/>
      <c r="G121" s="9"/>
      <c r="H121" s="9"/>
      <c r="I121" s="10"/>
      <c r="J121" s="9"/>
      <c r="K121" s="9"/>
      <c r="L121" s="9"/>
    </row>
    <row r="122" spans="1:12" ht="14.45">
      <c r="A122" s="9"/>
      <c r="B122" s="14"/>
      <c r="C122" s="9"/>
      <c r="D122" s="9"/>
      <c r="E122" s="9"/>
      <c r="F122" s="10"/>
      <c r="G122" s="9"/>
      <c r="H122" s="9"/>
      <c r="I122" s="10"/>
      <c r="J122" s="9"/>
      <c r="K122" s="9"/>
      <c r="L122" s="9"/>
    </row>
    <row r="123" spans="1:12" ht="14.45">
      <c r="A123" s="9"/>
      <c r="B123" s="14"/>
      <c r="C123" s="9"/>
      <c r="D123" s="9"/>
      <c r="E123" s="9"/>
      <c r="F123" s="10"/>
      <c r="G123" s="9"/>
      <c r="H123" s="9"/>
      <c r="I123" s="10"/>
      <c r="J123" s="9"/>
      <c r="K123" s="9"/>
      <c r="L123" s="9"/>
    </row>
    <row r="124" spans="1:12" ht="14.45">
      <c r="A124" s="9"/>
      <c r="B124" s="14"/>
      <c r="C124" s="9"/>
      <c r="D124" s="9"/>
      <c r="E124" s="9"/>
      <c r="F124" s="10"/>
      <c r="G124" s="9"/>
      <c r="H124" s="9"/>
      <c r="I124" s="10"/>
      <c r="J124" s="9"/>
      <c r="K124" s="9"/>
      <c r="L124" s="9"/>
    </row>
    <row r="125" spans="1:12" ht="14.45">
      <c r="A125" s="9"/>
      <c r="B125" s="14"/>
      <c r="C125" s="9"/>
      <c r="D125" s="9"/>
      <c r="E125" s="9"/>
      <c r="F125" s="10"/>
      <c r="G125" s="9"/>
      <c r="H125" s="9"/>
      <c r="I125" s="10"/>
      <c r="J125" s="9"/>
      <c r="K125" s="9"/>
      <c r="L125" s="9"/>
    </row>
    <row r="126" spans="1:12" ht="14.45">
      <c r="A126" s="9"/>
      <c r="B126" s="14"/>
      <c r="C126" s="9"/>
      <c r="D126" s="9"/>
      <c r="E126" s="9"/>
      <c r="F126" s="10"/>
      <c r="G126" s="9"/>
      <c r="H126" s="9"/>
      <c r="I126" s="10"/>
      <c r="J126" s="9"/>
      <c r="K126" s="9"/>
      <c r="L126" s="9"/>
    </row>
    <row r="127" spans="1:12" ht="14.45">
      <c r="A127" s="9"/>
      <c r="B127" s="14"/>
      <c r="C127" s="9"/>
      <c r="D127" s="9"/>
      <c r="E127" s="9"/>
      <c r="F127" s="10"/>
      <c r="G127" s="9"/>
      <c r="H127" s="9"/>
      <c r="I127" s="10"/>
      <c r="J127" s="9"/>
      <c r="K127" s="9"/>
      <c r="L127" s="9"/>
    </row>
    <row r="128" spans="1:12" ht="14.45">
      <c r="A128" s="9"/>
      <c r="B128" s="14"/>
      <c r="C128" s="9"/>
      <c r="D128" s="9"/>
      <c r="E128" s="9"/>
      <c r="F128" s="10"/>
      <c r="G128" s="9"/>
      <c r="H128" s="9"/>
      <c r="I128" s="10"/>
      <c r="J128" s="9"/>
      <c r="K128" s="9"/>
      <c r="L128" s="9"/>
    </row>
    <row r="129" spans="1:12" ht="14.45">
      <c r="A129" s="9"/>
      <c r="B129" s="14"/>
      <c r="C129" s="9"/>
      <c r="D129" s="9"/>
      <c r="E129" s="9"/>
      <c r="F129" s="10"/>
      <c r="G129" s="9"/>
      <c r="H129" s="9"/>
      <c r="I129" s="10"/>
      <c r="J129" s="9"/>
      <c r="K129" s="9"/>
      <c r="L129" s="9"/>
    </row>
    <row r="130" spans="1:12" ht="14.45">
      <c r="A130" s="9"/>
      <c r="B130" s="14"/>
      <c r="C130" s="9"/>
      <c r="D130" s="9"/>
      <c r="E130" s="9"/>
      <c r="F130" s="10"/>
      <c r="G130" s="9"/>
      <c r="H130" s="9"/>
      <c r="I130" s="10"/>
      <c r="J130" s="9"/>
      <c r="K130" s="9"/>
      <c r="L130" s="9"/>
    </row>
    <row r="131" spans="1:12" ht="14.45">
      <c r="A131" s="9"/>
      <c r="B131" s="14"/>
      <c r="C131" s="9"/>
      <c r="D131" s="9"/>
      <c r="E131" s="9"/>
      <c r="F131" s="10"/>
      <c r="G131" s="9"/>
      <c r="H131" s="9"/>
      <c r="I131" s="10"/>
      <c r="J131" s="9"/>
      <c r="K131" s="9"/>
      <c r="L131" s="9"/>
    </row>
    <row r="132" spans="1:12" ht="14.45">
      <c r="A132" s="9"/>
      <c r="B132" s="14"/>
      <c r="C132" s="9"/>
      <c r="D132" s="9"/>
      <c r="E132" s="9"/>
      <c r="F132" s="10"/>
      <c r="G132" s="9"/>
      <c r="H132" s="9"/>
      <c r="I132" s="10"/>
      <c r="J132" s="9"/>
      <c r="K132" s="9"/>
      <c r="L132" s="9"/>
    </row>
    <row r="133" spans="1:12" ht="14.45">
      <c r="A133" s="9"/>
      <c r="B133" s="14"/>
      <c r="C133" s="9"/>
      <c r="D133" s="9"/>
      <c r="E133" s="9"/>
      <c r="F133" s="10"/>
      <c r="G133" s="9"/>
      <c r="H133" s="9"/>
      <c r="I133" s="10"/>
      <c r="J133" s="9"/>
      <c r="K133" s="9"/>
      <c r="L133" s="9"/>
    </row>
    <row r="134" spans="1:12" ht="14.45">
      <c r="A134" s="9"/>
      <c r="B134" s="14"/>
      <c r="C134" s="9"/>
      <c r="D134" s="9"/>
      <c r="E134" s="9"/>
      <c r="F134" s="10"/>
      <c r="G134" s="9"/>
      <c r="H134" s="9"/>
      <c r="I134" s="10"/>
      <c r="J134" s="9"/>
      <c r="K134" s="9"/>
      <c r="L134" s="9"/>
    </row>
    <row r="135" spans="1:12" ht="14.45">
      <c r="A135" s="9"/>
      <c r="B135" s="14"/>
      <c r="C135" s="9"/>
      <c r="D135" s="9"/>
      <c r="E135" s="9"/>
      <c r="F135" s="10"/>
      <c r="G135" s="9"/>
      <c r="H135" s="9"/>
      <c r="I135" s="10"/>
      <c r="J135" s="9"/>
      <c r="K135" s="9"/>
      <c r="L135" s="9"/>
    </row>
    <row r="136" spans="1:12" ht="14.45">
      <c r="A136" s="9"/>
      <c r="B136" s="14"/>
      <c r="C136" s="9"/>
      <c r="D136" s="9"/>
      <c r="E136" s="9"/>
      <c r="F136" s="10"/>
      <c r="G136" s="9"/>
      <c r="H136" s="9"/>
      <c r="I136" s="10"/>
      <c r="J136" s="9"/>
      <c r="K136" s="9"/>
      <c r="L136" s="9"/>
    </row>
    <row r="137" spans="1:12" ht="14.45">
      <c r="A137" s="9"/>
      <c r="B137" s="14"/>
      <c r="C137" s="9"/>
      <c r="D137" s="9"/>
      <c r="E137" s="9"/>
      <c r="F137" s="10"/>
      <c r="G137" s="9"/>
      <c r="H137" s="9"/>
      <c r="I137" s="10"/>
      <c r="J137" s="9"/>
      <c r="K137" s="9"/>
      <c r="L137" s="9"/>
    </row>
    <row r="138" spans="1:12" ht="14.45">
      <c r="A138" s="9"/>
      <c r="B138" s="14"/>
      <c r="C138" s="9"/>
      <c r="D138" s="9"/>
      <c r="E138" s="9"/>
      <c r="F138" s="10"/>
      <c r="G138" s="9"/>
      <c r="H138" s="9"/>
      <c r="I138" s="10"/>
      <c r="J138" s="9"/>
      <c r="K138" s="9"/>
      <c r="L138" s="9"/>
    </row>
    <row r="139" spans="1:12" ht="14.45">
      <c r="A139" s="9"/>
      <c r="B139" s="14"/>
      <c r="C139" s="9"/>
      <c r="D139" s="9"/>
      <c r="E139" s="9"/>
      <c r="F139" s="10"/>
      <c r="G139" s="9"/>
      <c r="H139" s="9"/>
      <c r="I139" s="10"/>
      <c r="J139" s="9"/>
      <c r="K139" s="9"/>
      <c r="L139" s="9"/>
    </row>
    <row r="140" spans="1:12" ht="14.45">
      <c r="A140" s="9"/>
      <c r="B140" s="14"/>
      <c r="C140" s="9"/>
      <c r="D140" s="9"/>
      <c r="E140" s="9"/>
      <c r="F140" s="10"/>
      <c r="G140" s="9"/>
      <c r="H140" s="9"/>
      <c r="I140" s="10"/>
      <c r="J140" s="9"/>
      <c r="K140" s="9"/>
      <c r="L140" s="9"/>
    </row>
    <row r="141" spans="1:12" ht="14.45">
      <c r="A141" s="9"/>
      <c r="B141" s="14"/>
      <c r="C141" s="9"/>
      <c r="D141" s="9"/>
      <c r="E141" s="9"/>
      <c r="F141" s="10"/>
      <c r="G141" s="9"/>
      <c r="H141" s="9"/>
      <c r="I141" s="10"/>
      <c r="J141" s="9"/>
      <c r="K141" s="9"/>
      <c r="L141" s="9"/>
    </row>
    <row r="142" spans="1:12" ht="14.45">
      <c r="A142" s="9"/>
      <c r="B142" s="14"/>
      <c r="C142" s="9"/>
      <c r="D142" s="9"/>
      <c r="E142" s="9"/>
      <c r="F142" s="10"/>
      <c r="G142" s="9"/>
      <c r="H142" s="9"/>
      <c r="I142" s="10"/>
      <c r="J142" s="9"/>
      <c r="K142" s="9"/>
      <c r="L142" s="9"/>
    </row>
    <row r="143" spans="1:12" ht="14.45">
      <c r="A143" s="9"/>
      <c r="B143" s="14"/>
      <c r="C143" s="9"/>
      <c r="D143" s="9"/>
      <c r="E143" s="9"/>
      <c r="F143" s="10"/>
      <c r="G143" s="9"/>
      <c r="H143" s="9"/>
      <c r="I143" s="10"/>
      <c r="J143" s="9"/>
      <c r="K143" s="9"/>
      <c r="L143" s="9"/>
    </row>
    <row r="144" spans="1:12" ht="14.45">
      <c r="A144" s="9"/>
      <c r="B144" s="14"/>
      <c r="C144" s="9"/>
      <c r="D144" s="9"/>
      <c r="E144" s="9"/>
      <c r="F144" s="10"/>
      <c r="G144" s="9"/>
      <c r="H144" s="9"/>
      <c r="I144" s="10"/>
      <c r="J144" s="9"/>
      <c r="K144" s="9"/>
      <c r="L144" s="9"/>
    </row>
    <row r="145" spans="1:12" ht="14.45">
      <c r="A145" s="9"/>
      <c r="B145" s="14"/>
      <c r="C145" s="9"/>
      <c r="D145" s="9"/>
      <c r="E145" s="9"/>
      <c r="F145" s="10"/>
      <c r="G145" s="9"/>
      <c r="H145" s="9"/>
      <c r="I145" s="10"/>
      <c r="J145" s="9"/>
      <c r="K145" s="9"/>
      <c r="L145" s="9"/>
    </row>
    <row r="146" spans="1:12" ht="14.45">
      <c r="A146" s="9"/>
      <c r="B146" s="14"/>
      <c r="C146" s="9"/>
      <c r="D146" s="9"/>
      <c r="E146" s="9"/>
      <c r="F146" s="10"/>
      <c r="G146" s="9"/>
      <c r="H146" s="9"/>
      <c r="I146" s="10"/>
      <c r="J146" s="9"/>
      <c r="K146" s="9"/>
      <c r="L146" s="9"/>
    </row>
    <row r="147" spans="1:12" ht="14.45">
      <c r="A147" s="9"/>
      <c r="B147" s="14"/>
      <c r="C147" s="9"/>
      <c r="D147" s="9"/>
      <c r="E147" s="9"/>
      <c r="F147" s="10"/>
      <c r="G147" s="9"/>
      <c r="H147" s="9"/>
      <c r="I147" s="10"/>
      <c r="J147" s="9"/>
      <c r="K147" s="9"/>
      <c r="L147" s="9"/>
    </row>
    <row r="148" spans="1:12" ht="14.45">
      <c r="A148" s="9"/>
      <c r="B148" s="14"/>
      <c r="C148" s="9"/>
      <c r="D148" s="9"/>
      <c r="E148" s="9"/>
      <c r="F148" s="10"/>
      <c r="G148" s="9"/>
      <c r="H148" s="9"/>
      <c r="I148" s="10"/>
      <c r="J148" s="9"/>
      <c r="K148" s="9"/>
      <c r="L148" s="9"/>
    </row>
    <row r="149" spans="1:12" ht="14.45">
      <c r="A149" s="9"/>
      <c r="B149" s="14"/>
      <c r="C149" s="9"/>
      <c r="D149" s="9"/>
      <c r="E149" s="9"/>
      <c r="F149" s="10"/>
      <c r="G149" s="9"/>
      <c r="H149" s="9"/>
      <c r="I149" s="10"/>
      <c r="J149" s="9"/>
      <c r="K149" s="9"/>
      <c r="L149" s="9"/>
    </row>
    <row r="150" spans="1:12" ht="14.45">
      <c r="A150" s="9"/>
      <c r="B150" s="14"/>
      <c r="C150" s="9"/>
      <c r="D150" s="9"/>
      <c r="E150" s="9"/>
      <c r="F150" s="10"/>
      <c r="G150" s="9"/>
      <c r="H150" s="9"/>
      <c r="I150" s="10"/>
      <c r="J150" s="9"/>
      <c r="K150" s="9"/>
      <c r="L150" s="9"/>
    </row>
    <row r="151" spans="1:12" ht="14.45">
      <c r="A151" s="9"/>
      <c r="B151" s="14"/>
      <c r="C151" s="9"/>
      <c r="D151" s="9"/>
      <c r="E151" s="9"/>
      <c r="F151" s="10"/>
      <c r="G151" s="9"/>
      <c r="H151" s="9"/>
      <c r="I151" s="10"/>
      <c r="J151" s="9"/>
      <c r="K151" s="9"/>
      <c r="L151" s="9"/>
    </row>
    <row r="152" spans="1:12" ht="14.45">
      <c r="A152" s="9"/>
      <c r="B152" s="14"/>
      <c r="C152" s="9"/>
      <c r="D152" s="9"/>
      <c r="E152" s="9"/>
      <c r="F152" s="10"/>
      <c r="G152" s="9"/>
      <c r="H152" s="9"/>
      <c r="I152" s="10"/>
      <c r="J152" s="9"/>
      <c r="K152" s="9"/>
      <c r="L152" s="9"/>
    </row>
    <row r="153" spans="1:12" ht="14.45">
      <c r="A153" s="9"/>
      <c r="B153" s="14"/>
      <c r="C153" s="9"/>
      <c r="D153" s="9"/>
      <c r="E153" s="9"/>
      <c r="F153" s="10"/>
      <c r="G153" s="9"/>
      <c r="H153" s="9"/>
      <c r="I153" s="10"/>
      <c r="J153" s="9"/>
      <c r="K153" s="9"/>
      <c r="L153" s="9"/>
    </row>
    <row r="154" spans="1:12" ht="14.45">
      <c r="A154" s="9"/>
      <c r="B154" s="14"/>
      <c r="C154" s="9"/>
      <c r="D154" s="9"/>
      <c r="E154" s="9"/>
      <c r="F154" s="10"/>
      <c r="G154" s="9"/>
      <c r="H154" s="9"/>
      <c r="I154" s="10"/>
      <c r="J154" s="9"/>
      <c r="K154" s="9"/>
      <c r="L154" s="9"/>
    </row>
    <row r="155" spans="1:12" ht="14.45">
      <c r="A155" s="9"/>
      <c r="B155" s="14"/>
      <c r="C155" s="9"/>
      <c r="D155" s="9"/>
      <c r="E155" s="9"/>
      <c r="F155" s="10"/>
      <c r="G155" s="9"/>
      <c r="H155" s="9"/>
      <c r="I155" s="10"/>
      <c r="J155" s="9"/>
      <c r="K155" s="9"/>
      <c r="L155" s="9"/>
    </row>
    <row r="156" spans="1:12" ht="14.45">
      <c r="A156" s="9"/>
      <c r="B156" s="14"/>
      <c r="C156" s="9"/>
      <c r="D156" s="9"/>
      <c r="E156" s="9"/>
      <c r="F156" s="10"/>
      <c r="G156" s="9"/>
      <c r="H156" s="9"/>
      <c r="I156" s="10"/>
      <c r="J156" s="9"/>
      <c r="K156" s="9"/>
      <c r="L156" s="9"/>
    </row>
    <row r="157" spans="1:12" ht="14.45">
      <c r="A157" s="9"/>
      <c r="B157" s="14"/>
      <c r="C157" s="9"/>
      <c r="D157" s="9"/>
      <c r="E157" s="9"/>
      <c r="F157" s="10"/>
      <c r="G157" s="9"/>
      <c r="H157" s="9"/>
      <c r="I157" s="10"/>
      <c r="J157" s="9"/>
      <c r="K157" s="9"/>
      <c r="L157" s="9"/>
    </row>
    <row r="158" spans="1:12" ht="14.45">
      <c r="A158" s="9"/>
      <c r="B158" s="14"/>
      <c r="C158" s="9"/>
      <c r="D158" s="9"/>
      <c r="E158" s="9"/>
      <c r="F158" s="10"/>
      <c r="G158" s="9"/>
      <c r="H158" s="9"/>
      <c r="I158" s="10"/>
      <c r="J158" s="9"/>
      <c r="K158" s="9"/>
      <c r="L158" s="9"/>
    </row>
    <row r="159" spans="1:12" ht="14.45">
      <c r="A159" s="9"/>
      <c r="B159" s="14"/>
      <c r="C159" s="9"/>
      <c r="D159" s="9"/>
      <c r="E159" s="9"/>
      <c r="F159" s="10"/>
      <c r="G159" s="9"/>
      <c r="H159" s="9"/>
      <c r="I159" s="10"/>
      <c r="J159" s="9"/>
      <c r="K159" s="9"/>
      <c r="L159" s="9"/>
    </row>
    <row r="160" spans="1:12" ht="14.45">
      <c r="A160" s="9"/>
      <c r="B160" s="14"/>
      <c r="C160" s="9"/>
      <c r="D160" s="9"/>
      <c r="E160" s="9"/>
      <c r="F160" s="10"/>
      <c r="G160" s="9"/>
      <c r="H160" s="9"/>
      <c r="I160" s="10"/>
      <c r="J160" s="9"/>
      <c r="K160" s="9"/>
      <c r="L160" s="9"/>
    </row>
    <row r="161" spans="1:12" ht="14.45">
      <c r="A161" s="9"/>
      <c r="B161" s="14"/>
      <c r="C161" s="9"/>
      <c r="D161" s="9"/>
      <c r="E161" s="9"/>
      <c r="F161" s="10"/>
      <c r="G161" s="9"/>
      <c r="H161" s="9"/>
      <c r="I161" s="10"/>
      <c r="J161" s="9"/>
      <c r="K161" s="9"/>
      <c r="L161" s="9"/>
    </row>
    <row r="162" spans="1:12" ht="14.45">
      <c r="A162" s="9"/>
      <c r="B162" s="14"/>
      <c r="C162" s="9"/>
      <c r="D162" s="9"/>
      <c r="E162" s="9"/>
      <c r="F162" s="10"/>
      <c r="G162" s="9"/>
      <c r="H162" s="9"/>
      <c r="I162" s="10"/>
      <c r="J162" s="9"/>
      <c r="K162" s="9"/>
      <c r="L162" s="9"/>
    </row>
    <row r="163" spans="1:12" ht="14.45">
      <c r="A163" s="9"/>
      <c r="B163" s="14"/>
      <c r="C163" s="9"/>
      <c r="D163" s="9"/>
      <c r="E163" s="9"/>
      <c r="F163" s="10"/>
      <c r="G163" s="9"/>
      <c r="H163" s="9"/>
      <c r="I163" s="10"/>
      <c r="J163" s="9"/>
      <c r="K163" s="9"/>
      <c r="L163" s="9"/>
    </row>
    <row r="164" spans="1:12" ht="14.45">
      <c r="A164" s="9"/>
      <c r="B164" s="14"/>
      <c r="C164" s="9"/>
      <c r="D164" s="9"/>
      <c r="E164" s="9"/>
      <c r="F164" s="10"/>
      <c r="G164" s="9"/>
      <c r="H164" s="9"/>
      <c r="I164" s="10"/>
      <c r="J164" s="9"/>
      <c r="K164" s="9"/>
      <c r="L164" s="9"/>
    </row>
    <row r="165" spans="1:12" ht="14.45">
      <c r="A165" s="9"/>
      <c r="B165" s="14"/>
      <c r="C165" s="9"/>
      <c r="D165" s="9"/>
      <c r="E165" s="9"/>
      <c r="F165" s="10"/>
      <c r="G165" s="9"/>
      <c r="H165" s="9"/>
      <c r="I165" s="10"/>
      <c r="J165" s="9"/>
      <c r="K165" s="9"/>
      <c r="L165" s="9"/>
    </row>
    <row r="166" spans="1:12" ht="14.45">
      <c r="A166" s="9"/>
      <c r="B166" s="14"/>
      <c r="C166" s="9"/>
      <c r="D166" s="9"/>
      <c r="E166" s="9"/>
      <c r="F166" s="10"/>
      <c r="G166" s="9"/>
      <c r="H166" s="9"/>
      <c r="I166" s="10"/>
      <c r="J166" s="9"/>
      <c r="K166" s="9"/>
      <c r="L166" s="9"/>
    </row>
    <row r="167" spans="1:12" ht="14.45">
      <c r="A167" s="9"/>
      <c r="B167" s="14"/>
      <c r="C167" s="9"/>
      <c r="D167" s="9"/>
      <c r="E167" s="9"/>
      <c r="F167" s="10"/>
      <c r="G167" s="9"/>
      <c r="H167" s="9"/>
      <c r="I167" s="10"/>
      <c r="J167" s="9"/>
      <c r="K167" s="9"/>
      <c r="L167" s="9"/>
    </row>
    <row r="168" spans="1:12" ht="14.45">
      <c r="A168" s="9"/>
      <c r="B168" s="14"/>
      <c r="C168" s="9"/>
      <c r="D168" s="9"/>
      <c r="E168" s="9"/>
      <c r="F168" s="10"/>
      <c r="G168" s="9"/>
      <c r="H168" s="9"/>
      <c r="I168" s="10"/>
      <c r="J168" s="9"/>
      <c r="K168" s="9"/>
      <c r="L168" s="9"/>
    </row>
    <row r="169" spans="1:12" ht="14.45">
      <c r="A169" s="9"/>
      <c r="B169" s="14"/>
      <c r="C169" s="9"/>
      <c r="D169" s="9"/>
      <c r="E169" s="9"/>
      <c r="F169" s="10"/>
      <c r="G169" s="9"/>
      <c r="H169" s="9"/>
      <c r="I169" s="10"/>
      <c r="J169" s="9"/>
      <c r="K169" s="9"/>
      <c r="L169" s="9"/>
    </row>
    <row r="170" spans="1:12" ht="14.45">
      <c r="A170" s="9"/>
      <c r="B170" s="14"/>
      <c r="C170" s="9"/>
      <c r="D170" s="9"/>
      <c r="E170" s="9"/>
      <c r="F170" s="10"/>
      <c r="G170" s="9"/>
      <c r="H170" s="9"/>
      <c r="I170" s="10"/>
      <c r="J170" s="9"/>
      <c r="K170" s="9"/>
      <c r="L170" s="9"/>
    </row>
    <row r="171" spans="1:12" ht="14.45">
      <c r="A171" s="9"/>
      <c r="B171" s="14"/>
      <c r="C171" s="9"/>
      <c r="D171" s="9"/>
      <c r="E171" s="9"/>
      <c r="F171" s="10"/>
      <c r="G171" s="9"/>
      <c r="H171" s="9"/>
      <c r="I171" s="10"/>
      <c r="J171" s="9"/>
      <c r="K171" s="9"/>
      <c r="L171" s="9"/>
    </row>
    <row r="172" spans="1:12" ht="14.45">
      <c r="A172" s="9"/>
      <c r="B172" s="14"/>
      <c r="C172" s="9"/>
      <c r="D172" s="9"/>
      <c r="E172" s="9"/>
      <c r="F172" s="10"/>
      <c r="G172" s="9"/>
      <c r="H172" s="9"/>
      <c r="I172" s="10"/>
      <c r="J172" s="9"/>
      <c r="K172" s="9"/>
      <c r="L172" s="9"/>
    </row>
    <row r="173" spans="1:12" ht="14.45">
      <c r="A173" s="9"/>
      <c r="B173" s="14"/>
      <c r="C173" s="9"/>
      <c r="D173" s="9"/>
      <c r="E173" s="9"/>
      <c r="F173" s="10"/>
      <c r="G173" s="9"/>
      <c r="H173" s="9"/>
      <c r="I173" s="10"/>
      <c r="J173" s="9"/>
      <c r="K173" s="9"/>
      <c r="L173" s="9"/>
    </row>
    <row r="174" spans="1:12" ht="14.45">
      <c r="A174" s="9"/>
      <c r="B174" s="14"/>
      <c r="C174" s="9"/>
      <c r="D174" s="9"/>
      <c r="E174" s="9"/>
      <c r="F174" s="10"/>
      <c r="G174" s="9"/>
      <c r="H174" s="9"/>
      <c r="I174" s="10"/>
      <c r="J174" s="9"/>
      <c r="K174" s="9"/>
      <c r="L174" s="9"/>
    </row>
    <row r="175" spans="1:12" ht="14.45">
      <c r="A175" s="9"/>
      <c r="B175" s="14"/>
      <c r="C175" s="9"/>
      <c r="D175" s="9"/>
      <c r="E175" s="9"/>
      <c r="F175" s="10"/>
      <c r="G175" s="9"/>
      <c r="H175" s="9"/>
      <c r="I175" s="10"/>
      <c r="J175" s="9"/>
      <c r="K175" s="9"/>
      <c r="L175" s="9"/>
    </row>
    <row r="176" spans="1:12" ht="14.45">
      <c r="A176" s="9"/>
      <c r="B176" s="14"/>
      <c r="C176" s="9"/>
      <c r="D176" s="9"/>
      <c r="E176" s="9"/>
      <c r="F176" s="10"/>
      <c r="G176" s="9"/>
      <c r="H176" s="9"/>
      <c r="I176" s="10"/>
      <c r="J176" s="9"/>
      <c r="K176" s="9"/>
      <c r="L176" s="9"/>
    </row>
    <row r="177" spans="1:12" ht="14.45">
      <c r="A177" s="9"/>
      <c r="B177" s="14"/>
      <c r="C177" s="9"/>
      <c r="D177" s="9"/>
      <c r="E177" s="9"/>
      <c r="F177" s="10"/>
      <c r="G177" s="9"/>
      <c r="H177" s="9"/>
      <c r="I177" s="10"/>
      <c r="J177" s="9"/>
      <c r="K177" s="9"/>
      <c r="L177" s="9"/>
    </row>
    <row r="178" spans="1:12" ht="14.45">
      <c r="A178" s="9"/>
      <c r="B178" s="14"/>
      <c r="C178" s="9"/>
      <c r="D178" s="9"/>
      <c r="E178" s="9"/>
      <c r="F178" s="10"/>
      <c r="G178" s="9"/>
      <c r="H178" s="9"/>
      <c r="I178" s="10"/>
      <c r="J178" s="9"/>
      <c r="K178" s="9"/>
      <c r="L178" s="9"/>
    </row>
    <row r="179" spans="1:12" ht="14.45">
      <c r="A179" s="9"/>
      <c r="B179" s="14"/>
      <c r="C179" s="9"/>
      <c r="D179" s="9"/>
      <c r="E179" s="9"/>
      <c r="F179" s="10"/>
      <c r="G179" s="9"/>
      <c r="H179" s="9"/>
      <c r="I179" s="10"/>
      <c r="J179" s="9"/>
      <c r="K179" s="9"/>
      <c r="L179" s="9"/>
    </row>
    <row r="180" spans="1:12" ht="14.45">
      <c r="A180" s="9"/>
      <c r="B180" s="14"/>
      <c r="C180" s="9"/>
      <c r="D180" s="9"/>
      <c r="E180" s="9"/>
      <c r="F180" s="10"/>
      <c r="G180" s="9"/>
      <c r="H180" s="9"/>
      <c r="I180" s="10"/>
      <c r="J180" s="9"/>
      <c r="K180" s="9"/>
      <c r="L180" s="9"/>
    </row>
    <row r="181" spans="1:12" ht="14.45">
      <c r="A181" s="9"/>
      <c r="B181" s="14"/>
      <c r="C181" s="9"/>
      <c r="D181" s="9"/>
      <c r="E181" s="9"/>
      <c r="F181" s="10"/>
      <c r="G181" s="9"/>
      <c r="H181" s="9"/>
      <c r="I181" s="10"/>
      <c r="J181" s="9"/>
      <c r="K181" s="9"/>
      <c r="L181" s="9"/>
    </row>
    <row r="182" spans="1:12" ht="14.45">
      <c r="A182" s="9"/>
      <c r="B182" s="14"/>
      <c r="C182" s="9"/>
      <c r="D182" s="9"/>
      <c r="E182" s="9"/>
      <c r="F182" s="10"/>
      <c r="G182" s="9"/>
      <c r="H182" s="9"/>
      <c r="I182" s="10"/>
      <c r="J182" s="9"/>
      <c r="K182" s="9"/>
      <c r="L182" s="9"/>
    </row>
    <row r="183" spans="1:12" ht="14.45">
      <c r="A183" s="9"/>
      <c r="B183" s="14"/>
      <c r="C183" s="9"/>
      <c r="D183" s="9"/>
      <c r="E183" s="9"/>
      <c r="F183" s="10"/>
      <c r="G183" s="9"/>
      <c r="H183" s="9"/>
      <c r="I183" s="10"/>
      <c r="J183" s="9"/>
      <c r="K183" s="9"/>
      <c r="L183" s="9"/>
    </row>
    <row r="184" spans="1:12" ht="14.45">
      <c r="A184" s="9"/>
      <c r="B184" s="14"/>
      <c r="C184" s="9"/>
      <c r="D184" s="9"/>
      <c r="E184" s="9"/>
      <c r="F184" s="10"/>
      <c r="G184" s="9"/>
      <c r="H184" s="9"/>
      <c r="I184" s="10"/>
      <c r="J184" s="9"/>
      <c r="K184" s="9"/>
      <c r="L184" s="9"/>
    </row>
    <row r="185" spans="1:12" ht="14.45">
      <c r="A185" s="9"/>
      <c r="B185" s="14"/>
      <c r="C185" s="9"/>
      <c r="D185" s="9"/>
      <c r="E185" s="9"/>
      <c r="F185" s="10"/>
      <c r="G185" s="9"/>
      <c r="H185" s="9"/>
      <c r="I185" s="10"/>
      <c r="J185" s="9"/>
      <c r="K185" s="9"/>
      <c r="L185" s="9"/>
    </row>
    <row r="186" spans="1:12" ht="14.45">
      <c r="A186" s="9"/>
      <c r="B186" s="14"/>
      <c r="C186" s="9"/>
      <c r="D186" s="9"/>
      <c r="E186" s="9"/>
      <c r="F186" s="10"/>
      <c r="G186" s="9"/>
      <c r="H186" s="9"/>
      <c r="I186" s="10"/>
      <c r="J186" s="9"/>
      <c r="K186" s="9"/>
      <c r="L186" s="9"/>
    </row>
    <row r="187" spans="1:12" ht="14.45">
      <c r="A187" s="9"/>
      <c r="B187" s="14"/>
      <c r="C187" s="9"/>
      <c r="D187" s="9"/>
      <c r="E187" s="9"/>
      <c r="F187" s="10"/>
      <c r="G187" s="9"/>
      <c r="H187" s="9"/>
      <c r="I187" s="10"/>
      <c r="J187" s="9"/>
      <c r="K187" s="9"/>
      <c r="L187" s="9"/>
    </row>
    <row r="188" spans="1:12" ht="14.45">
      <c r="A188" s="9"/>
      <c r="B188" s="14"/>
      <c r="C188" s="9"/>
      <c r="D188" s="9"/>
      <c r="E188" s="9"/>
      <c r="F188" s="10"/>
      <c r="G188" s="9"/>
      <c r="H188" s="9"/>
      <c r="I188" s="10"/>
      <c r="J188" s="9"/>
      <c r="K188" s="9"/>
      <c r="L188" s="9"/>
    </row>
    <row r="189" spans="1:12" ht="14.45">
      <c r="A189" s="9"/>
      <c r="B189" s="14"/>
      <c r="C189" s="9"/>
      <c r="D189" s="9"/>
      <c r="E189" s="9"/>
      <c r="F189" s="10"/>
      <c r="G189" s="9"/>
      <c r="H189" s="9"/>
      <c r="I189" s="10"/>
      <c r="J189" s="9"/>
      <c r="K189" s="9"/>
      <c r="L189" s="9"/>
    </row>
    <row r="190" spans="1:12" ht="14.45">
      <c r="A190" s="9"/>
      <c r="B190" s="14"/>
      <c r="C190" s="9"/>
      <c r="D190" s="9"/>
      <c r="E190" s="9"/>
      <c r="F190" s="10"/>
      <c r="G190" s="9"/>
      <c r="H190" s="9"/>
      <c r="I190" s="10"/>
      <c r="J190" s="9"/>
      <c r="K190" s="9"/>
      <c r="L190" s="9"/>
    </row>
    <row r="191" spans="1:12" ht="14.45">
      <c r="A191" s="9"/>
      <c r="B191" s="14"/>
      <c r="C191" s="9"/>
      <c r="D191" s="9"/>
      <c r="E191" s="9"/>
      <c r="F191" s="10"/>
      <c r="G191" s="9"/>
      <c r="H191" s="9"/>
      <c r="I191" s="10"/>
      <c r="J191" s="9"/>
      <c r="K191" s="9"/>
      <c r="L191" s="9"/>
    </row>
    <row r="192" spans="1:12" ht="14.45">
      <c r="A192" s="9"/>
      <c r="B192" s="14"/>
      <c r="C192" s="9"/>
      <c r="D192" s="9"/>
      <c r="E192" s="9"/>
      <c r="F192" s="10"/>
      <c r="G192" s="9"/>
      <c r="H192" s="9"/>
      <c r="I192" s="10"/>
      <c r="J192" s="9"/>
      <c r="K192" s="9"/>
      <c r="L192" s="9"/>
    </row>
    <row r="193" spans="1:12" ht="14.45">
      <c r="A193" s="9"/>
      <c r="B193" s="14"/>
      <c r="C193" s="9"/>
      <c r="D193" s="9"/>
      <c r="E193" s="9"/>
      <c r="F193" s="10"/>
      <c r="G193" s="9"/>
      <c r="H193" s="9"/>
      <c r="I193" s="10"/>
      <c r="J193" s="9"/>
      <c r="K193" s="9"/>
      <c r="L193" s="9"/>
    </row>
    <row r="194" spans="1:12" ht="14.45">
      <c r="A194" s="9"/>
      <c r="B194" s="14"/>
      <c r="C194" s="9"/>
      <c r="D194" s="9"/>
      <c r="E194" s="9"/>
      <c r="F194" s="10"/>
      <c r="G194" s="9"/>
      <c r="H194" s="9"/>
      <c r="I194" s="10"/>
      <c r="J194" s="9"/>
      <c r="K194" s="9"/>
      <c r="L194" s="9"/>
    </row>
    <row r="195" spans="1:12" ht="14.45">
      <c r="A195" s="9"/>
      <c r="B195" s="14"/>
      <c r="C195" s="9"/>
      <c r="D195" s="9"/>
      <c r="E195" s="9"/>
      <c r="F195" s="10"/>
      <c r="G195" s="9"/>
      <c r="H195" s="9"/>
      <c r="I195" s="10"/>
      <c r="J195" s="9"/>
      <c r="K195" s="9"/>
      <c r="L195" s="9"/>
    </row>
    <row r="196" spans="1:12" ht="14.45">
      <c r="A196" s="9"/>
      <c r="B196" s="14"/>
      <c r="C196" s="9"/>
      <c r="D196" s="9"/>
      <c r="E196" s="9"/>
      <c r="F196" s="10"/>
      <c r="G196" s="9"/>
      <c r="H196" s="9"/>
      <c r="I196" s="10"/>
      <c r="J196" s="9"/>
      <c r="K196" s="9"/>
      <c r="L196" s="9"/>
    </row>
    <row r="197" spans="1:12" ht="14.45">
      <c r="A197" s="9"/>
      <c r="B197" s="14"/>
      <c r="C197" s="9"/>
      <c r="D197" s="9"/>
      <c r="E197" s="9"/>
      <c r="F197" s="10"/>
      <c r="G197" s="9"/>
      <c r="H197" s="9"/>
      <c r="I197" s="10"/>
      <c r="J197" s="9"/>
      <c r="K197" s="9"/>
      <c r="L197" s="9"/>
    </row>
    <row r="198" spans="1:12" ht="14.45">
      <c r="A198" s="9"/>
      <c r="B198" s="14"/>
      <c r="C198" s="9"/>
      <c r="D198" s="9"/>
      <c r="E198" s="9"/>
      <c r="F198" s="10"/>
      <c r="G198" s="9"/>
      <c r="H198" s="9"/>
      <c r="I198" s="10"/>
      <c r="J198" s="9"/>
      <c r="K198" s="9"/>
      <c r="L198" s="9"/>
    </row>
    <row r="199" spans="1:12" ht="14.45">
      <c r="A199" s="9"/>
      <c r="B199" s="14"/>
      <c r="C199" s="9"/>
      <c r="D199" s="9"/>
      <c r="E199" s="9"/>
      <c r="F199" s="10"/>
      <c r="G199" s="9"/>
      <c r="H199" s="9"/>
      <c r="I199" s="10"/>
      <c r="J199" s="9"/>
      <c r="K199" s="9"/>
      <c r="L199" s="9"/>
    </row>
    <row r="200" spans="1:12" ht="14.45">
      <c r="A200" s="9"/>
      <c r="B200" s="14"/>
      <c r="C200" s="9"/>
      <c r="D200" s="9"/>
      <c r="E200" s="9"/>
      <c r="F200" s="10"/>
      <c r="G200" s="9"/>
      <c r="H200" s="9"/>
      <c r="I200" s="10"/>
      <c r="J200" s="9"/>
      <c r="K200" s="9"/>
      <c r="L200" s="9"/>
    </row>
    <row r="201" spans="1:12" ht="14.45">
      <c r="A201" s="9"/>
      <c r="B201" s="14"/>
      <c r="C201" s="9"/>
      <c r="D201" s="9"/>
      <c r="E201" s="9"/>
      <c r="F201" s="10"/>
      <c r="G201" s="9"/>
      <c r="H201" s="9"/>
      <c r="I201" s="10"/>
      <c r="J201" s="9"/>
      <c r="K201" s="9"/>
      <c r="L201" s="9"/>
    </row>
    <row r="202" spans="1:12" ht="14.45">
      <c r="A202" s="9"/>
      <c r="B202" s="14"/>
      <c r="C202" s="9"/>
      <c r="D202" s="9"/>
      <c r="E202" s="9"/>
      <c r="F202" s="10"/>
      <c r="G202" s="9"/>
      <c r="H202" s="9"/>
      <c r="I202" s="10"/>
      <c r="J202" s="9"/>
      <c r="K202" s="9"/>
      <c r="L202" s="9"/>
    </row>
    <row r="203" spans="1:12" ht="14.45">
      <c r="A203" s="9"/>
      <c r="B203" s="14"/>
      <c r="C203" s="9"/>
      <c r="D203" s="9"/>
      <c r="E203" s="9"/>
      <c r="F203" s="10"/>
      <c r="G203" s="9"/>
      <c r="H203" s="9"/>
      <c r="I203" s="10"/>
      <c r="J203" s="9"/>
      <c r="K203" s="9"/>
      <c r="L203" s="9"/>
    </row>
    <row r="204" spans="1:12" ht="14.45">
      <c r="A204" s="9"/>
      <c r="B204" s="14"/>
      <c r="C204" s="9"/>
      <c r="D204" s="9"/>
      <c r="E204" s="9"/>
      <c r="F204" s="10"/>
      <c r="G204" s="9"/>
      <c r="H204" s="9"/>
      <c r="I204" s="10"/>
      <c r="J204" s="9"/>
      <c r="K204" s="9"/>
      <c r="L204" s="9"/>
    </row>
    <row r="205" spans="1:12" ht="14.45">
      <c r="A205" s="9"/>
      <c r="B205" s="14"/>
      <c r="C205" s="9"/>
      <c r="D205" s="9"/>
      <c r="E205" s="9"/>
      <c r="F205" s="10"/>
      <c r="G205" s="9"/>
      <c r="H205" s="9"/>
      <c r="I205" s="10"/>
      <c r="J205" s="9"/>
      <c r="K205" s="9"/>
      <c r="L205" s="9"/>
    </row>
    <row r="206" spans="1:12" ht="14.45">
      <c r="A206" s="9"/>
      <c r="B206" s="14"/>
      <c r="C206" s="9"/>
      <c r="D206" s="9"/>
      <c r="E206" s="9"/>
      <c r="F206" s="10"/>
      <c r="G206" s="9"/>
      <c r="H206" s="9"/>
      <c r="I206" s="10"/>
      <c r="J206" s="9"/>
      <c r="K206" s="9"/>
      <c r="L206" s="9"/>
    </row>
    <row r="207" spans="1:12" ht="14.45">
      <c r="A207" s="9"/>
      <c r="B207" s="14"/>
      <c r="C207" s="9"/>
      <c r="D207" s="9"/>
      <c r="E207" s="9"/>
      <c r="F207" s="10"/>
      <c r="G207" s="9"/>
      <c r="H207" s="9"/>
      <c r="I207" s="10"/>
      <c r="J207" s="9"/>
      <c r="K207" s="9"/>
      <c r="L207" s="9"/>
    </row>
    <row r="208" spans="1:12" ht="14.45">
      <c r="A208" s="9"/>
      <c r="B208" s="14"/>
      <c r="C208" s="9"/>
      <c r="D208" s="9"/>
      <c r="E208" s="9"/>
      <c r="F208" s="10"/>
      <c r="G208" s="9"/>
      <c r="H208" s="9"/>
      <c r="I208" s="10"/>
      <c r="J208" s="9"/>
      <c r="K208" s="9"/>
      <c r="L208" s="9"/>
    </row>
    <row r="209" spans="1:12" ht="14.45">
      <c r="A209" s="9"/>
      <c r="B209" s="14"/>
      <c r="C209" s="9"/>
      <c r="D209" s="9"/>
      <c r="E209" s="9"/>
      <c r="F209" s="10"/>
      <c r="G209" s="9"/>
      <c r="H209" s="9"/>
      <c r="I209" s="10"/>
      <c r="J209" s="9"/>
      <c r="K209" s="9"/>
      <c r="L209" s="9"/>
    </row>
    <row r="210" spans="1:12" ht="14.45">
      <c r="A210" s="9"/>
      <c r="B210" s="14"/>
      <c r="C210" s="9"/>
      <c r="D210" s="9"/>
      <c r="E210" s="9"/>
      <c r="F210" s="10"/>
      <c r="G210" s="9"/>
      <c r="H210" s="9"/>
      <c r="I210" s="10"/>
      <c r="J210" s="9"/>
      <c r="K210" s="9"/>
      <c r="L210" s="9"/>
    </row>
    <row r="211" spans="1:12" ht="14.45">
      <c r="A211" s="9"/>
      <c r="B211" s="14"/>
      <c r="C211" s="9"/>
      <c r="D211" s="9"/>
      <c r="E211" s="9"/>
      <c r="F211" s="10"/>
      <c r="G211" s="9"/>
      <c r="H211" s="9"/>
      <c r="I211" s="10"/>
      <c r="J211" s="9"/>
      <c r="K211" s="9"/>
      <c r="L211" s="9"/>
    </row>
    <row r="212" spans="1:12" ht="14.45">
      <c r="A212" s="9"/>
      <c r="B212" s="14"/>
      <c r="C212" s="9"/>
      <c r="D212" s="9"/>
      <c r="E212" s="9"/>
      <c r="F212" s="10"/>
      <c r="G212" s="9"/>
      <c r="H212" s="9"/>
      <c r="I212" s="10"/>
      <c r="J212" s="9"/>
      <c r="K212" s="9"/>
      <c r="L212" s="9"/>
    </row>
    <row r="213" spans="1:12" ht="14.45">
      <c r="A213" s="9"/>
      <c r="B213" s="14"/>
      <c r="C213" s="9"/>
      <c r="D213" s="9"/>
      <c r="E213" s="9"/>
      <c r="F213" s="10"/>
      <c r="G213" s="9"/>
      <c r="H213" s="9"/>
      <c r="I213" s="10"/>
      <c r="J213" s="9"/>
      <c r="K213" s="9"/>
      <c r="L213" s="9"/>
    </row>
    <row r="214" spans="1:12" ht="14.45">
      <c r="A214" s="9"/>
      <c r="B214" s="14"/>
      <c r="C214" s="9"/>
      <c r="D214" s="9"/>
      <c r="E214" s="9"/>
      <c r="F214" s="10"/>
      <c r="G214" s="9"/>
      <c r="H214" s="9"/>
      <c r="I214" s="10"/>
      <c r="J214" s="9"/>
      <c r="K214" s="9"/>
      <c r="L214" s="9"/>
    </row>
    <row r="215" spans="1:12" ht="14.45">
      <c r="A215" s="9"/>
      <c r="B215" s="14"/>
      <c r="C215" s="9"/>
      <c r="D215" s="9"/>
      <c r="E215" s="9"/>
      <c r="F215" s="10"/>
      <c r="G215" s="9"/>
      <c r="H215" s="9"/>
      <c r="I215" s="10"/>
      <c r="J215" s="9"/>
      <c r="K215" s="9"/>
      <c r="L215" s="9"/>
    </row>
    <row r="216" spans="1:12" ht="14.45">
      <c r="A216" s="9"/>
      <c r="B216" s="14"/>
      <c r="C216" s="9"/>
      <c r="D216" s="9"/>
      <c r="E216" s="9"/>
      <c r="F216" s="10"/>
      <c r="G216" s="9"/>
      <c r="H216" s="9"/>
      <c r="I216" s="10"/>
      <c r="J216" s="9"/>
      <c r="K216" s="9"/>
      <c r="L216" s="9"/>
    </row>
    <row r="217" spans="1:12" ht="14.45">
      <c r="A217" s="9"/>
      <c r="B217" s="14"/>
      <c r="C217" s="9"/>
      <c r="D217" s="9"/>
      <c r="E217" s="9"/>
      <c r="F217" s="10"/>
      <c r="G217" s="9"/>
      <c r="H217" s="9"/>
      <c r="I217" s="10"/>
      <c r="J217" s="9"/>
      <c r="K217" s="9"/>
      <c r="L217" s="9"/>
    </row>
    <row r="218" spans="1:12" ht="14.45">
      <c r="A218" s="9"/>
      <c r="B218" s="14"/>
      <c r="C218" s="9"/>
      <c r="D218" s="9"/>
      <c r="E218" s="9"/>
      <c r="F218" s="10"/>
      <c r="G218" s="9"/>
      <c r="H218" s="9"/>
      <c r="I218" s="10"/>
      <c r="J218" s="9"/>
      <c r="K218" s="9"/>
      <c r="L218" s="9"/>
    </row>
    <row r="219" spans="1:12" ht="14.45">
      <c r="A219" s="9"/>
      <c r="B219" s="14"/>
      <c r="C219" s="9"/>
      <c r="D219" s="9"/>
      <c r="E219" s="9"/>
      <c r="F219" s="10"/>
      <c r="G219" s="9"/>
      <c r="H219" s="9"/>
      <c r="I219" s="10"/>
      <c r="J219" s="9"/>
      <c r="K219" s="9"/>
      <c r="L219" s="9"/>
    </row>
    <row r="220" spans="1:12" ht="14.45">
      <c r="A220" s="9"/>
      <c r="B220" s="14"/>
      <c r="C220" s="9"/>
      <c r="D220" s="9"/>
      <c r="E220" s="9"/>
      <c r="F220" s="10"/>
      <c r="G220" s="9"/>
      <c r="H220" s="9"/>
      <c r="I220" s="10"/>
      <c r="J220" s="9"/>
      <c r="K220" s="9"/>
      <c r="L220" s="9"/>
    </row>
    <row r="221" spans="1:12" ht="14.45">
      <c r="A221" s="9"/>
      <c r="B221" s="14"/>
      <c r="C221" s="9"/>
      <c r="D221" s="9"/>
      <c r="E221" s="9"/>
      <c r="F221" s="10"/>
      <c r="G221" s="9"/>
      <c r="H221" s="9"/>
      <c r="I221" s="10"/>
      <c r="J221" s="9"/>
      <c r="K221" s="9"/>
      <c r="L221" s="9"/>
    </row>
    <row r="222" spans="1:12" ht="14.45">
      <c r="A222" s="9"/>
      <c r="B222" s="14"/>
      <c r="C222" s="9"/>
      <c r="D222" s="9"/>
      <c r="E222" s="9"/>
      <c r="F222" s="10"/>
      <c r="G222" s="9"/>
      <c r="H222" s="9"/>
      <c r="I222" s="10"/>
      <c r="J222" s="9"/>
      <c r="K222" s="9"/>
      <c r="L222" s="9"/>
    </row>
    <row r="223" spans="1:12" ht="14.45">
      <c r="A223" s="9"/>
      <c r="B223" s="14"/>
      <c r="C223" s="9"/>
      <c r="D223" s="9"/>
      <c r="E223" s="9"/>
      <c r="F223" s="10"/>
      <c r="G223" s="9"/>
      <c r="H223" s="9"/>
      <c r="I223" s="10"/>
      <c r="J223" s="9"/>
      <c r="K223" s="9"/>
      <c r="L223" s="9"/>
    </row>
    <row r="224" spans="1:12" ht="14.45">
      <c r="A224" s="9"/>
      <c r="B224" s="14"/>
      <c r="C224" s="9"/>
      <c r="D224" s="9"/>
      <c r="E224" s="9"/>
      <c r="F224" s="10"/>
      <c r="G224" s="9"/>
      <c r="H224" s="9"/>
      <c r="I224" s="10"/>
      <c r="J224" s="9"/>
      <c r="K224" s="9"/>
      <c r="L224" s="9"/>
    </row>
    <row r="225" spans="1:12" ht="14.45">
      <c r="A225" s="9"/>
      <c r="B225" s="14"/>
      <c r="C225" s="9"/>
      <c r="D225" s="9"/>
      <c r="E225" s="9"/>
      <c r="F225" s="10"/>
      <c r="G225" s="9"/>
      <c r="H225" s="9"/>
      <c r="I225" s="10"/>
      <c r="J225" s="9"/>
      <c r="K225" s="9"/>
      <c r="L225" s="9"/>
    </row>
    <row r="226" spans="1:12" ht="14.45">
      <c r="A226" s="9"/>
      <c r="B226" s="14"/>
      <c r="C226" s="9"/>
      <c r="D226" s="9"/>
      <c r="E226" s="9"/>
      <c r="F226" s="10"/>
      <c r="G226" s="9"/>
      <c r="H226" s="9"/>
      <c r="I226" s="10"/>
      <c r="J226" s="9"/>
      <c r="K226" s="9"/>
      <c r="L226" s="9"/>
    </row>
    <row r="227" spans="1:12" ht="14.45">
      <c r="A227" s="9"/>
      <c r="B227" s="14"/>
      <c r="C227" s="9"/>
      <c r="D227" s="9"/>
      <c r="E227" s="9"/>
      <c r="F227" s="10"/>
      <c r="G227" s="9"/>
      <c r="H227" s="9"/>
      <c r="I227" s="10"/>
      <c r="J227" s="9"/>
      <c r="K227" s="9"/>
      <c r="L227" s="9"/>
    </row>
    <row r="228" spans="1:12" ht="14.45">
      <c r="A228" s="9"/>
      <c r="B228" s="14"/>
      <c r="C228" s="9"/>
      <c r="D228" s="9"/>
      <c r="E228" s="9"/>
      <c r="F228" s="10"/>
      <c r="G228" s="9"/>
      <c r="H228" s="9"/>
      <c r="I228" s="10"/>
      <c r="J228" s="9"/>
      <c r="K228" s="9"/>
      <c r="L228" s="9"/>
    </row>
    <row r="229" spans="1:12" ht="14.45">
      <c r="A229" s="9"/>
      <c r="B229" s="14"/>
      <c r="C229" s="9"/>
      <c r="D229" s="9"/>
      <c r="E229" s="9"/>
      <c r="F229" s="10"/>
      <c r="G229" s="9"/>
      <c r="H229" s="9"/>
      <c r="I229" s="10"/>
      <c r="J229" s="9"/>
      <c r="K229" s="9"/>
      <c r="L229" s="9"/>
    </row>
    <row r="230" spans="1:12" ht="14.45">
      <c r="A230" s="9"/>
      <c r="B230" s="14"/>
      <c r="C230" s="9"/>
      <c r="D230" s="9"/>
      <c r="E230" s="9"/>
      <c r="F230" s="10"/>
      <c r="G230" s="9"/>
      <c r="H230" s="9"/>
      <c r="I230" s="10"/>
      <c r="J230" s="9"/>
      <c r="K230" s="9"/>
      <c r="L230" s="9"/>
    </row>
    <row r="231" spans="1:12" ht="14.45">
      <c r="A231" s="9"/>
      <c r="B231" s="14"/>
      <c r="C231" s="9"/>
      <c r="D231" s="9"/>
      <c r="E231" s="9"/>
      <c r="F231" s="10"/>
      <c r="G231" s="9"/>
      <c r="H231" s="9"/>
      <c r="I231" s="10"/>
      <c r="J231" s="9"/>
      <c r="K231" s="9"/>
      <c r="L231" s="9"/>
    </row>
    <row r="232" spans="1:12" ht="14.45">
      <c r="A232" s="9"/>
      <c r="B232" s="14"/>
      <c r="C232" s="9"/>
      <c r="D232" s="9"/>
      <c r="E232" s="9"/>
      <c r="F232" s="10"/>
      <c r="G232" s="9"/>
      <c r="H232" s="9"/>
      <c r="I232" s="10"/>
      <c r="J232" s="9"/>
      <c r="K232" s="9"/>
      <c r="L232" s="9"/>
    </row>
    <row r="233" spans="1:12" ht="14.45">
      <c r="A233" s="9"/>
      <c r="B233" s="14"/>
      <c r="C233" s="9"/>
      <c r="D233" s="9"/>
      <c r="E233" s="9"/>
      <c r="F233" s="10"/>
      <c r="G233" s="9"/>
      <c r="H233" s="9"/>
      <c r="I233" s="10"/>
      <c r="J233" s="9"/>
      <c r="K233" s="9"/>
      <c r="L233" s="9"/>
    </row>
    <row r="234" spans="1:12" ht="14.45">
      <c r="A234" s="9"/>
      <c r="B234" s="14"/>
      <c r="C234" s="9"/>
      <c r="D234" s="9"/>
      <c r="E234" s="9"/>
      <c r="F234" s="10"/>
      <c r="G234" s="9"/>
      <c r="H234" s="9"/>
      <c r="I234" s="10"/>
      <c r="J234" s="9"/>
      <c r="K234" s="9"/>
      <c r="L234" s="9"/>
    </row>
    <row r="235" spans="1:12" ht="14.45">
      <c r="A235" s="9"/>
      <c r="B235" s="14"/>
      <c r="C235" s="9"/>
      <c r="D235" s="9"/>
      <c r="E235" s="9"/>
      <c r="F235" s="10"/>
      <c r="G235" s="9"/>
      <c r="H235" s="9"/>
      <c r="I235" s="10"/>
      <c r="J235" s="9"/>
      <c r="K235" s="9"/>
      <c r="L235" s="9"/>
    </row>
    <row r="236" spans="1:12" ht="14.45">
      <c r="A236" s="9"/>
      <c r="B236" s="14"/>
      <c r="C236" s="9"/>
      <c r="D236" s="9"/>
      <c r="E236" s="9"/>
      <c r="F236" s="10"/>
      <c r="G236" s="9"/>
      <c r="H236" s="9"/>
      <c r="I236" s="10"/>
      <c r="J236" s="9"/>
      <c r="K236" s="9"/>
      <c r="L236" s="9"/>
    </row>
    <row r="237" spans="1:12" ht="14.45">
      <c r="A237" s="9"/>
      <c r="B237" s="14"/>
      <c r="C237" s="9"/>
      <c r="D237" s="9"/>
      <c r="E237" s="9"/>
      <c r="F237" s="10"/>
      <c r="G237" s="9"/>
      <c r="H237" s="9"/>
      <c r="I237" s="10"/>
      <c r="J237" s="9"/>
      <c r="K237" s="9"/>
      <c r="L237" s="9"/>
    </row>
    <row r="238" spans="1:12" ht="14.45">
      <c r="A238" s="9"/>
      <c r="B238" s="14"/>
      <c r="C238" s="9"/>
      <c r="D238" s="9"/>
      <c r="E238" s="9"/>
      <c r="F238" s="10"/>
      <c r="G238" s="9"/>
      <c r="H238" s="9"/>
      <c r="I238" s="10"/>
      <c r="J238" s="9"/>
      <c r="K238" s="9"/>
      <c r="L238" s="9"/>
    </row>
    <row r="239" spans="1:12" ht="14.45">
      <c r="A239" s="9"/>
      <c r="B239" s="14"/>
      <c r="C239" s="9"/>
      <c r="D239" s="9"/>
      <c r="E239" s="9"/>
      <c r="F239" s="10"/>
      <c r="G239" s="9"/>
      <c r="H239" s="9"/>
      <c r="I239" s="10"/>
      <c r="J239" s="9"/>
      <c r="K239" s="9"/>
      <c r="L239" s="9"/>
    </row>
    <row r="240" spans="1:12" ht="14.45">
      <c r="A240" s="9"/>
      <c r="B240" s="14"/>
      <c r="C240" s="9"/>
      <c r="D240" s="9"/>
      <c r="E240" s="9"/>
      <c r="F240" s="10"/>
      <c r="G240" s="9"/>
      <c r="H240" s="9"/>
      <c r="I240" s="10"/>
      <c r="J240" s="9"/>
      <c r="K240" s="9"/>
      <c r="L240" s="9"/>
    </row>
    <row r="241" spans="1:12" ht="14.45">
      <c r="A241" s="9"/>
      <c r="B241" s="14"/>
      <c r="C241" s="9"/>
      <c r="D241" s="9"/>
      <c r="E241" s="9"/>
      <c r="F241" s="10"/>
      <c r="G241" s="9"/>
      <c r="H241" s="9"/>
      <c r="I241" s="10"/>
      <c r="J241" s="9"/>
      <c r="K241" s="9"/>
      <c r="L241" s="9"/>
    </row>
    <row r="242" spans="1:12" ht="14.45">
      <c r="A242" s="9"/>
      <c r="B242" s="14"/>
      <c r="C242" s="9"/>
      <c r="D242" s="9"/>
      <c r="E242" s="9"/>
      <c r="F242" s="10"/>
      <c r="G242" s="9"/>
      <c r="H242" s="9"/>
      <c r="I242" s="10"/>
      <c r="J242" s="9"/>
      <c r="K242" s="9"/>
      <c r="L242" s="9"/>
    </row>
    <row r="243" spans="1:12" ht="14.45">
      <c r="A243" s="9"/>
      <c r="B243" s="14"/>
      <c r="C243" s="9"/>
      <c r="D243" s="9"/>
      <c r="E243" s="9"/>
      <c r="F243" s="10"/>
      <c r="G243" s="9"/>
      <c r="H243" s="9"/>
      <c r="I243" s="10"/>
      <c r="J243" s="9"/>
      <c r="K243" s="9"/>
      <c r="L243" s="9"/>
    </row>
    <row r="244" spans="1:12" ht="14.45">
      <c r="A244" s="9"/>
      <c r="B244" s="14"/>
      <c r="C244" s="9"/>
      <c r="D244" s="9"/>
      <c r="E244" s="9"/>
      <c r="F244" s="10"/>
      <c r="G244" s="9"/>
      <c r="H244" s="9"/>
      <c r="I244" s="10"/>
      <c r="J244" s="9"/>
      <c r="K244" s="9"/>
      <c r="L244" s="9"/>
    </row>
    <row r="245" spans="1:12" ht="14.45">
      <c r="A245" s="9"/>
      <c r="B245" s="14"/>
      <c r="C245" s="9"/>
      <c r="D245" s="9"/>
      <c r="E245" s="9"/>
      <c r="F245" s="10"/>
      <c r="G245" s="9"/>
      <c r="H245" s="9"/>
      <c r="I245" s="10"/>
      <c r="J245" s="9"/>
      <c r="K245" s="9"/>
      <c r="L245" s="9"/>
    </row>
    <row r="246" spans="1:12" ht="14.45">
      <c r="A246" s="9"/>
      <c r="B246" s="14"/>
      <c r="C246" s="9"/>
      <c r="D246" s="9"/>
      <c r="E246" s="9"/>
      <c r="F246" s="10"/>
      <c r="G246" s="9"/>
      <c r="H246" s="9"/>
      <c r="I246" s="10"/>
      <c r="J246" s="9"/>
      <c r="K246" s="9"/>
      <c r="L246" s="9"/>
    </row>
    <row r="247" spans="1:12" ht="14.45">
      <c r="A247" s="9"/>
      <c r="B247" s="14"/>
      <c r="C247" s="9"/>
      <c r="D247" s="9"/>
      <c r="E247" s="9"/>
      <c r="F247" s="10"/>
      <c r="G247" s="9"/>
      <c r="H247" s="9"/>
      <c r="I247" s="10"/>
      <c r="J247" s="9"/>
      <c r="K247" s="9"/>
      <c r="L247" s="9"/>
    </row>
    <row r="248" spans="1:12" ht="14.45">
      <c r="A248" s="9"/>
      <c r="B248" s="14"/>
      <c r="C248" s="9"/>
      <c r="D248" s="9"/>
      <c r="E248" s="9"/>
      <c r="F248" s="10"/>
      <c r="G248" s="9"/>
      <c r="H248" s="9"/>
      <c r="I248" s="10"/>
      <c r="J248" s="9"/>
      <c r="K248" s="9"/>
      <c r="L248" s="9"/>
    </row>
    <row r="249" spans="1:12" ht="14.45">
      <c r="A249" s="9"/>
      <c r="B249" s="14"/>
      <c r="C249" s="9"/>
      <c r="D249" s="9"/>
      <c r="E249" s="9"/>
      <c r="F249" s="10"/>
      <c r="G249" s="9"/>
      <c r="H249" s="9"/>
      <c r="I249" s="10"/>
      <c r="J249" s="9"/>
      <c r="K249" s="9"/>
      <c r="L249" s="9"/>
    </row>
    <row r="250" spans="1:12" ht="14.45">
      <c r="A250" s="9"/>
      <c r="B250" s="14"/>
      <c r="C250" s="9"/>
      <c r="D250" s="9"/>
      <c r="E250" s="9"/>
      <c r="F250" s="10"/>
      <c r="G250" s="9"/>
      <c r="H250" s="9"/>
      <c r="I250" s="10"/>
      <c r="J250" s="9"/>
      <c r="K250" s="9"/>
      <c r="L250" s="9"/>
    </row>
    <row r="251" spans="1:12" ht="14.45">
      <c r="A251" s="9"/>
      <c r="B251" s="14"/>
      <c r="C251" s="9"/>
      <c r="D251" s="9"/>
      <c r="E251" s="9"/>
      <c r="F251" s="10"/>
      <c r="G251" s="9"/>
      <c r="H251" s="9"/>
      <c r="I251" s="10"/>
      <c r="J251" s="9"/>
      <c r="K251" s="9"/>
      <c r="L251" s="9"/>
    </row>
    <row r="252" spans="1:12" ht="14.45">
      <c r="A252" s="9"/>
      <c r="B252" s="14"/>
      <c r="C252" s="9"/>
      <c r="D252" s="9"/>
      <c r="E252" s="9"/>
      <c r="F252" s="10"/>
      <c r="G252" s="9"/>
      <c r="H252" s="9"/>
      <c r="I252" s="10"/>
      <c r="J252" s="9"/>
      <c r="K252" s="9"/>
      <c r="L252" s="9"/>
    </row>
    <row r="253" spans="1:12" ht="14.45">
      <c r="A253" s="9"/>
      <c r="B253" s="14"/>
      <c r="C253" s="9"/>
      <c r="D253" s="9"/>
      <c r="E253" s="9"/>
      <c r="F253" s="10"/>
      <c r="G253" s="9"/>
      <c r="H253" s="9"/>
      <c r="I253" s="10"/>
      <c r="J253" s="9"/>
      <c r="K253" s="9"/>
      <c r="L253" s="9"/>
    </row>
    <row r="254" spans="1:12" ht="14.45">
      <c r="A254" s="9"/>
      <c r="B254" s="14"/>
      <c r="C254" s="9"/>
      <c r="D254" s="9"/>
      <c r="E254" s="9"/>
      <c r="F254" s="10"/>
      <c r="G254" s="9"/>
      <c r="H254" s="9"/>
      <c r="I254" s="10"/>
      <c r="J254" s="9"/>
      <c r="K254" s="9"/>
      <c r="L254" s="9"/>
    </row>
    <row r="255" spans="1:12" ht="14.45">
      <c r="A255" s="9"/>
      <c r="B255" s="14"/>
      <c r="C255" s="9"/>
      <c r="D255" s="9"/>
      <c r="E255" s="9"/>
      <c r="F255" s="10"/>
      <c r="G255" s="9"/>
      <c r="H255" s="9"/>
      <c r="I255" s="10"/>
      <c r="J255" s="9"/>
      <c r="K255" s="9"/>
      <c r="L255" s="9"/>
    </row>
    <row r="256" spans="1:12" ht="14.45">
      <c r="A256" s="9"/>
      <c r="B256" s="14"/>
      <c r="C256" s="9"/>
      <c r="D256" s="9"/>
      <c r="E256" s="9"/>
      <c r="F256" s="10"/>
      <c r="G256" s="9"/>
      <c r="H256" s="9"/>
      <c r="I256" s="10"/>
      <c r="J256" s="9"/>
      <c r="K256" s="9"/>
      <c r="L256" s="9"/>
    </row>
    <row r="257" spans="1:12" ht="14.45">
      <c r="A257" s="9"/>
      <c r="B257" s="14"/>
      <c r="C257" s="9"/>
      <c r="D257" s="9"/>
      <c r="E257" s="9"/>
      <c r="F257" s="10"/>
      <c r="G257" s="9"/>
      <c r="H257" s="9"/>
      <c r="I257" s="10"/>
      <c r="J257" s="9"/>
      <c r="K257" s="9"/>
      <c r="L257" s="9"/>
    </row>
    <row r="258" spans="1:12" ht="14.45">
      <c r="A258" s="9"/>
      <c r="B258" s="14"/>
      <c r="C258" s="9"/>
      <c r="D258" s="9"/>
      <c r="E258" s="9"/>
      <c r="F258" s="10"/>
      <c r="G258" s="9"/>
      <c r="H258" s="9"/>
      <c r="I258" s="10"/>
      <c r="J258" s="9"/>
      <c r="K258" s="9"/>
      <c r="L258" s="9"/>
    </row>
    <row r="259" spans="1:12" ht="14.45">
      <c r="A259" s="9"/>
      <c r="B259" s="14"/>
      <c r="C259" s="9"/>
      <c r="D259" s="9"/>
      <c r="E259" s="9"/>
      <c r="F259" s="10"/>
      <c r="G259" s="9"/>
      <c r="H259" s="9"/>
      <c r="I259" s="10"/>
      <c r="J259" s="9"/>
      <c r="K259" s="9"/>
      <c r="L259" s="9"/>
    </row>
    <row r="260" spans="1:12" ht="14.45">
      <c r="A260" s="9"/>
      <c r="B260" s="14"/>
      <c r="C260" s="9"/>
      <c r="D260" s="9"/>
      <c r="E260" s="9"/>
      <c r="F260" s="10"/>
      <c r="G260" s="9"/>
      <c r="H260" s="9"/>
      <c r="I260" s="10"/>
      <c r="J260" s="9"/>
      <c r="K260" s="9"/>
      <c r="L260" s="9"/>
    </row>
    <row r="261" spans="1:12" ht="14.45">
      <c r="A261" s="9"/>
      <c r="B261" s="14"/>
      <c r="C261" s="9"/>
      <c r="D261" s="9"/>
      <c r="E261" s="9"/>
      <c r="F261" s="10"/>
      <c r="G261" s="9"/>
      <c r="H261" s="9"/>
      <c r="I261" s="10"/>
      <c r="J261" s="9"/>
      <c r="K261" s="9"/>
      <c r="L261" s="9"/>
    </row>
    <row r="262" spans="1:12" ht="14.45">
      <c r="A262" s="9"/>
      <c r="B262" s="14"/>
      <c r="C262" s="9"/>
      <c r="D262" s="9"/>
      <c r="E262" s="9"/>
      <c r="F262" s="10"/>
      <c r="G262" s="9"/>
      <c r="H262" s="9"/>
      <c r="I262" s="10"/>
      <c r="J262" s="9"/>
      <c r="K262" s="9"/>
      <c r="L262" s="9"/>
    </row>
    <row r="263" spans="1:12" ht="14.45">
      <c r="A263" s="9"/>
      <c r="B263" s="14"/>
      <c r="C263" s="9"/>
      <c r="D263" s="9"/>
      <c r="E263" s="9"/>
      <c r="F263" s="10"/>
      <c r="G263" s="9"/>
      <c r="H263" s="9"/>
      <c r="I263" s="10"/>
      <c r="J263" s="9"/>
      <c r="K263" s="9"/>
      <c r="L263" s="9"/>
    </row>
    <row r="264" spans="1:12" ht="14.45">
      <c r="A264" s="9"/>
      <c r="B264" s="14"/>
      <c r="C264" s="9"/>
      <c r="D264" s="9"/>
      <c r="E264" s="9"/>
      <c r="F264" s="10"/>
      <c r="G264" s="9"/>
      <c r="H264" s="9"/>
      <c r="I264" s="10"/>
      <c r="J264" s="9"/>
      <c r="K264" s="9"/>
      <c r="L264" s="9"/>
    </row>
    <row r="265" spans="1:12" ht="14.45">
      <c r="A265" s="9"/>
      <c r="B265" s="14"/>
      <c r="C265" s="9"/>
      <c r="D265" s="9"/>
      <c r="E265" s="9"/>
      <c r="F265" s="10"/>
      <c r="G265" s="9"/>
      <c r="H265" s="9"/>
      <c r="I265" s="10"/>
      <c r="J265" s="9"/>
      <c r="K265" s="9"/>
      <c r="L265" s="9"/>
    </row>
    <row r="266" spans="1:12" ht="14.45">
      <c r="A266" s="9"/>
      <c r="B266" s="14"/>
      <c r="C266" s="9"/>
      <c r="D266" s="9"/>
      <c r="E266" s="9"/>
      <c r="F266" s="10"/>
      <c r="G266" s="9"/>
      <c r="H266" s="9"/>
      <c r="I266" s="10"/>
      <c r="J266" s="9"/>
      <c r="K266" s="9"/>
      <c r="L266" s="9"/>
    </row>
    <row r="267" spans="1:12" ht="14.45">
      <c r="A267" s="9"/>
      <c r="B267" s="14"/>
      <c r="C267" s="9"/>
      <c r="D267" s="9"/>
      <c r="E267" s="9"/>
      <c r="F267" s="10"/>
      <c r="G267" s="9"/>
      <c r="H267" s="9"/>
      <c r="I267" s="10"/>
      <c r="J267" s="9"/>
      <c r="K267" s="9"/>
      <c r="L267" s="9"/>
    </row>
    <row r="268" spans="1:12" ht="14.45">
      <c r="A268" s="9"/>
      <c r="B268" s="14"/>
      <c r="C268" s="9"/>
      <c r="D268" s="9"/>
      <c r="E268" s="9"/>
      <c r="F268" s="10"/>
      <c r="G268" s="9"/>
      <c r="H268" s="9"/>
      <c r="I268" s="10"/>
      <c r="J268" s="9"/>
      <c r="K268" s="9"/>
      <c r="L268" s="9"/>
    </row>
    <row r="269" spans="1:12" ht="14.45">
      <c r="A269" s="9"/>
      <c r="B269" s="14"/>
      <c r="C269" s="9"/>
      <c r="D269" s="9"/>
      <c r="E269" s="9"/>
      <c r="F269" s="10"/>
      <c r="G269" s="9"/>
      <c r="H269" s="9"/>
      <c r="I269" s="10"/>
      <c r="J269" s="9"/>
      <c r="K269" s="9"/>
      <c r="L269" s="9"/>
    </row>
    <row r="270" spans="1:12" ht="14.45">
      <c r="A270" s="9"/>
      <c r="B270" s="14"/>
      <c r="C270" s="9"/>
      <c r="D270" s="9"/>
      <c r="E270" s="9"/>
      <c r="F270" s="10"/>
      <c r="G270" s="9"/>
      <c r="H270" s="9"/>
      <c r="I270" s="10"/>
      <c r="J270" s="9"/>
      <c r="K270" s="9"/>
      <c r="L270" s="9"/>
    </row>
    <row r="271" spans="1:12" ht="14.45">
      <c r="A271" s="9"/>
      <c r="B271" s="14"/>
      <c r="C271" s="9"/>
      <c r="D271" s="9"/>
      <c r="E271" s="9"/>
      <c r="F271" s="10"/>
      <c r="G271" s="9"/>
      <c r="H271" s="9"/>
      <c r="I271" s="10"/>
      <c r="J271" s="9"/>
      <c r="K271" s="9"/>
      <c r="L271" s="9"/>
    </row>
    <row r="272" spans="1:12" ht="14.45">
      <c r="A272" s="9"/>
      <c r="B272" s="14"/>
      <c r="C272" s="9"/>
      <c r="D272" s="9"/>
      <c r="E272" s="9"/>
      <c r="F272" s="10"/>
      <c r="G272" s="9"/>
      <c r="H272" s="9"/>
      <c r="I272" s="10"/>
      <c r="J272" s="9"/>
      <c r="K272" s="9"/>
      <c r="L272" s="9"/>
    </row>
    <row r="273" spans="1:12" ht="14.45">
      <c r="A273" s="9"/>
      <c r="B273" s="14"/>
      <c r="C273" s="9"/>
      <c r="D273" s="9"/>
      <c r="E273" s="9"/>
      <c r="F273" s="10"/>
      <c r="G273" s="9"/>
      <c r="H273" s="9"/>
      <c r="I273" s="10"/>
      <c r="J273" s="9"/>
      <c r="K273" s="9"/>
      <c r="L273" s="9"/>
    </row>
    <row r="274" spans="1:12" ht="14.45">
      <c r="A274" s="9"/>
      <c r="B274" s="14"/>
      <c r="C274" s="9"/>
      <c r="D274" s="9"/>
      <c r="E274" s="9"/>
      <c r="F274" s="10"/>
      <c r="G274" s="9"/>
      <c r="H274" s="9"/>
      <c r="I274" s="10"/>
      <c r="J274" s="9"/>
      <c r="K274" s="9"/>
      <c r="L274" s="9"/>
    </row>
    <row r="275" spans="1:12" ht="14.45">
      <c r="A275" s="9"/>
      <c r="B275" s="14"/>
      <c r="C275" s="9"/>
      <c r="D275" s="9"/>
      <c r="E275" s="9"/>
      <c r="F275" s="10"/>
      <c r="G275" s="9"/>
      <c r="H275" s="9"/>
      <c r="I275" s="10"/>
      <c r="J275" s="9"/>
      <c r="K275" s="9"/>
      <c r="L275" s="9"/>
    </row>
    <row r="276" spans="1:12" ht="14.45">
      <c r="A276" s="9"/>
      <c r="B276" s="14"/>
      <c r="C276" s="9"/>
      <c r="D276" s="9"/>
      <c r="E276" s="9"/>
      <c r="F276" s="10"/>
      <c r="G276" s="9"/>
      <c r="H276" s="9"/>
      <c r="I276" s="10"/>
      <c r="J276" s="9"/>
      <c r="K276" s="9"/>
      <c r="L276" s="9"/>
    </row>
    <row r="277" spans="1:12" ht="14.45">
      <c r="A277" s="9"/>
      <c r="B277" s="14"/>
      <c r="C277" s="9"/>
      <c r="D277" s="9"/>
      <c r="E277" s="9"/>
      <c r="F277" s="10"/>
      <c r="G277" s="9"/>
      <c r="H277" s="9"/>
      <c r="I277" s="10"/>
      <c r="J277" s="9"/>
      <c r="K277" s="9"/>
      <c r="L277" s="9"/>
    </row>
    <row r="278" spans="1:12" ht="14.45">
      <c r="A278" s="9"/>
      <c r="B278" s="14"/>
      <c r="C278" s="9"/>
      <c r="D278" s="9"/>
      <c r="E278" s="9"/>
      <c r="F278" s="10"/>
      <c r="G278" s="9"/>
      <c r="H278" s="9"/>
      <c r="I278" s="10"/>
      <c r="J278" s="9"/>
      <c r="K278" s="9"/>
      <c r="L278" s="9"/>
    </row>
    <row r="279" spans="1:12" ht="14.45">
      <c r="A279" s="9"/>
      <c r="B279" s="14"/>
      <c r="C279" s="9"/>
      <c r="D279" s="9"/>
      <c r="E279" s="9"/>
      <c r="F279" s="10"/>
      <c r="G279" s="9"/>
      <c r="H279" s="9"/>
      <c r="I279" s="10"/>
      <c r="J279" s="9"/>
      <c r="K279" s="9"/>
      <c r="L279" s="9"/>
    </row>
    <row r="280" spans="1:12" ht="14.45">
      <c r="A280" s="9"/>
      <c r="B280" s="14"/>
      <c r="C280" s="9"/>
      <c r="D280" s="9"/>
      <c r="E280" s="9"/>
      <c r="F280" s="10"/>
      <c r="G280" s="9"/>
      <c r="H280" s="9"/>
      <c r="I280" s="10"/>
      <c r="J280" s="9"/>
      <c r="K280" s="9"/>
      <c r="L280" s="9"/>
    </row>
    <row r="281" spans="1:12" ht="14.45">
      <c r="A281" s="9"/>
      <c r="B281" s="14"/>
      <c r="C281" s="9"/>
      <c r="D281" s="9"/>
      <c r="E281" s="9"/>
      <c r="F281" s="10"/>
      <c r="G281" s="9"/>
      <c r="H281" s="9"/>
      <c r="I281" s="10"/>
      <c r="J281" s="9"/>
      <c r="K281" s="9"/>
      <c r="L281" s="9"/>
    </row>
    <row r="282" spans="1:12" ht="14.45">
      <c r="A282" s="9"/>
      <c r="B282" s="14"/>
      <c r="C282" s="9"/>
      <c r="D282" s="9"/>
      <c r="E282" s="9"/>
      <c r="F282" s="10"/>
      <c r="G282" s="9"/>
      <c r="H282" s="9"/>
      <c r="I282" s="10"/>
      <c r="J282" s="9"/>
      <c r="K282" s="9"/>
      <c r="L282" s="9"/>
    </row>
    <row r="283" spans="1:12" ht="14.45">
      <c r="A283" s="9"/>
      <c r="B283" s="14"/>
      <c r="C283" s="9"/>
      <c r="D283" s="9"/>
      <c r="E283" s="9"/>
      <c r="F283" s="10"/>
      <c r="G283" s="9"/>
      <c r="H283" s="9"/>
      <c r="I283" s="10"/>
      <c r="J283" s="9"/>
      <c r="K283" s="9"/>
      <c r="L283" s="9"/>
    </row>
    <row r="284" spans="1:12" ht="14.45">
      <c r="A284" s="9"/>
      <c r="B284" s="14"/>
      <c r="C284" s="9"/>
      <c r="D284" s="9"/>
      <c r="E284" s="9"/>
      <c r="F284" s="10"/>
      <c r="G284" s="9"/>
      <c r="H284" s="9"/>
      <c r="I284" s="10"/>
      <c r="J284" s="9"/>
      <c r="K284" s="9"/>
      <c r="L284" s="9"/>
    </row>
    <row r="285" spans="1:12" ht="14.45">
      <c r="A285" s="9"/>
      <c r="B285" s="14"/>
      <c r="C285" s="9"/>
      <c r="D285" s="9"/>
      <c r="E285" s="9"/>
      <c r="F285" s="10"/>
      <c r="G285" s="9"/>
      <c r="H285" s="9"/>
      <c r="I285" s="10"/>
      <c r="J285" s="9"/>
      <c r="K285" s="9"/>
      <c r="L285" s="9"/>
    </row>
    <row r="286" spans="1:12" ht="14.45">
      <c r="A286" s="9"/>
      <c r="B286" s="14"/>
      <c r="C286" s="9"/>
      <c r="D286" s="9"/>
      <c r="E286" s="9"/>
      <c r="F286" s="10"/>
      <c r="G286" s="9"/>
      <c r="H286" s="9"/>
      <c r="I286" s="10"/>
      <c r="J286" s="9"/>
      <c r="K286" s="9"/>
      <c r="L286" s="9"/>
    </row>
    <row r="287" spans="1:12" ht="14.45">
      <c r="A287" s="9"/>
      <c r="B287" s="14"/>
      <c r="C287" s="9"/>
      <c r="D287" s="9"/>
      <c r="E287" s="9"/>
      <c r="F287" s="10"/>
      <c r="G287" s="9"/>
      <c r="H287" s="9"/>
      <c r="I287" s="10"/>
      <c r="J287" s="9"/>
      <c r="K287" s="9"/>
      <c r="L287" s="9"/>
    </row>
    <row r="288" spans="1:12" ht="14.45">
      <c r="A288" s="9"/>
      <c r="B288" s="14"/>
      <c r="C288" s="9"/>
      <c r="D288" s="9"/>
      <c r="E288" s="9"/>
      <c r="F288" s="10"/>
      <c r="G288" s="9"/>
      <c r="H288" s="9"/>
      <c r="I288" s="10"/>
      <c r="J288" s="9"/>
      <c r="K288" s="9"/>
      <c r="L288" s="9"/>
    </row>
    <row r="289" spans="1:12" ht="14.45">
      <c r="A289" s="9"/>
      <c r="B289" s="14"/>
      <c r="C289" s="9"/>
      <c r="D289" s="9"/>
      <c r="E289" s="9"/>
      <c r="F289" s="10"/>
      <c r="G289" s="9"/>
      <c r="H289" s="9"/>
      <c r="I289" s="10"/>
      <c r="J289" s="9"/>
      <c r="K289" s="9"/>
      <c r="L289" s="9"/>
    </row>
    <row r="290" spans="1:12" ht="14.45">
      <c r="A290" s="9"/>
      <c r="B290" s="14"/>
      <c r="C290" s="9"/>
      <c r="D290" s="9"/>
      <c r="E290" s="9"/>
      <c r="F290" s="10"/>
      <c r="G290" s="9"/>
      <c r="H290" s="9"/>
      <c r="I290" s="10"/>
      <c r="J290" s="9"/>
      <c r="K290" s="9"/>
      <c r="L290" s="9"/>
    </row>
    <row r="291" spans="1:12" ht="14.45">
      <c r="A291" s="9"/>
      <c r="B291" s="14"/>
      <c r="C291" s="9"/>
      <c r="D291" s="9"/>
      <c r="E291" s="9"/>
      <c r="F291" s="10"/>
      <c r="G291" s="9"/>
      <c r="H291" s="9"/>
      <c r="I291" s="10"/>
      <c r="J291" s="9"/>
      <c r="K291" s="9"/>
      <c r="L291" s="9"/>
    </row>
    <row r="292" spans="1:12" ht="14.45">
      <c r="A292" s="9"/>
      <c r="B292" s="14"/>
      <c r="C292" s="9"/>
      <c r="D292" s="9"/>
      <c r="E292" s="9"/>
      <c r="F292" s="10"/>
      <c r="G292" s="9"/>
      <c r="H292" s="9"/>
      <c r="I292" s="10"/>
      <c r="J292" s="9"/>
      <c r="K292" s="9"/>
      <c r="L292" s="9"/>
    </row>
    <row r="293" spans="1:12" ht="14.45">
      <c r="A293" s="9"/>
      <c r="B293" s="14"/>
      <c r="C293" s="9"/>
      <c r="D293" s="9"/>
      <c r="E293" s="9"/>
      <c r="F293" s="10"/>
      <c r="G293" s="9"/>
      <c r="H293" s="9"/>
      <c r="I293" s="10"/>
      <c r="J293" s="9"/>
      <c r="K293" s="9"/>
      <c r="L293" s="9"/>
    </row>
    <row r="294" spans="1:12" ht="14.45">
      <c r="A294" s="9"/>
      <c r="B294" s="14"/>
      <c r="C294" s="9"/>
      <c r="D294" s="9"/>
      <c r="E294" s="9"/>
      <c r="F294" s="10"/>
      <c r="G294" s="9"/>
      <c r="H294" s="9"/>
      <c r="I294" s="10"/>
      <c r="J294" s="9"/>
      <c r="K294" s="9"/>
      <c r="L294" s="9"/>
    </row>
    <row r="295" spans="1:12" ht="14.45">
      <c r="A295" s="9"/>
      <c r="B295" s="14"/>
      <c r="C295" s="9"/>
      <c r="D295" s="9"/>
      <c r="E295" s="9"/>
      <c r="F295" s="10"/>
      <c r="G295" s="9"/>
      <c r="H295" s="9"/>
      <c r="I295" s="10"/>
      <c r="J295" s="9"/>
      <c r="K295" s="9"/>
      <c r="L295" s="9"/>
    </row>
    <row r="296" spans="1:12" ht="14.45">
      <c r="A296" s="9"/>
      <c r="B296" s="14"/>
      <c r="C296" s="9"/>
      <c r="D296" s="9"/>
      <c r="E296" s="9"/>
      <c r="F296" s="10"/>
      <c r="G296" s="9"/>
      <c r="H296" s="9"/>
      <c r="I296" s="10"/>
      <c r="J296" s="9"/>
      <c r="K296" s="9"/>
      <c r="L296" s="9"/>
    </row>
    <row r="297" spans="1:12" ht="14.45">
      <c r="A297" s="9"/>
      <c r="B297" s="14"/>
      <c r="C297" s="9"/>
      <c r="D297" s="9"/>
      <c r="E297" s="9"/>
      <c r="F297" s="10"/>
      <c r="G297" s="9"/>
      <c r="H297" s="9"/>
      <c r="I297" s="10"/>
      <c r="J297" s="9"/>
      <c r="K297" s="9"/>
      <c r="L297" s="9"/>
    </row>
    <row r="298" spans="1:12" ht="14.45">
      <c r="A298" s="9"/>
      <c r="B298" s="14"/>
      <c r="C298" s="9"/>
      <c r="D298" s="9"/>
      <c r="E298" s="9"/>
      <c r="F298" s="10"/>
      <c r="G298" s="9"/>
      <c r="H298" s="9"/>
      <c r="I298" s="10"/>
      <c r="J298" s="9"/>
      <c r="K298" s="9"/>
      <c r="L298" s="9"/>
    </row>
    <row r="299" spans="1:12" ht="14.45">
      <c r="A299" s="9"/>
      <c r="B299" s="14"/>
      <c r="C299" s="9"/>
      <c r="D299" s="9"/>
      <c r="E299" s="9"/>
      <c r="F299" s="10"/>
      <c r="G299" s="9"/>
      <c r="H299" s="9"/>
      <c r="I299" s="10"/>
      <c r="J299" s="9"/>
      <c r="K299" s="9"/>
      <c r="L299" s="9"/>
    </row>
    <row r="300" spans="1:12" ht="14.45">
      <c r="A300" s="9"/>
      <c r="B300" s="14"/>
      <c r="C300" s="9"/>
      <c r="D300" s="9"/>
      <c r="E300" s="9"/>
      <c r="F300" s="10"/>
      <c r="G300" s="9"/>
      <c r="H300" s="9"/>
      <c r="I300" s="10"/>
      <c r="J300" s="9"/>
      <c r="K300" s="9"/>
      <c r="L300" s="9"/>
    </row>
    <row r="301" spans="1:12" ht="14.45">
      <c r="A301" s="9"/>
      <c r="B301" s="14"/>
      <c r="C301" s="9"/>
      <c r="D301" s="9"/>
      <c r="E301" s="9"/>
      <c r="F301" s="10"/>
      <c r="G301" s="9"/>
      <c r="H301" s="9"/>
      <c r="I301" s="10"/>
      <c r="J301" s="9"/>
      <c r="K301" s="9"/>
      <c r="L301" s="9"/>
    </row>
    <row r="302" spans="1:12" ht="14.45">
      <c r="A302" s="9"/>
      <c r="B302" s="14"/>
      <c r="C302" s="9"/>
      <c r="D302" s="9"/>
      <c r="E302" s="9"/>
      <c r="F302" s="10"/>
      <c r="G302" s="9"/>
      <c r="H302" s="9"/>
      <c r="I302" s="10"/>
      <c r="J302" s="9"/>
      <c r="K302" s="9"/>
      <c r="L302" s="9"/>
    </row>
    <row r="303" spans="1:12" ht="14.45">
      <c r="A303" s="9"/>
      <c r="B303" s="14"/>
      <c r="C303" s="9"/>
      <c r="D303" s="9"/>
      <c r="E303" s="9"/>
      <c r="F303" s="10"/>
      <c r="G303" s="9"/>
      <c r="H303" s="9"/>
      <c r="I303" s="10"/>
      <c r="J303" s="9"/>
      <c r="K303" s="9"/>
      <c r="L303" s="9"/>
    </row>
    <row r="304" spans="1:12" ht="14.45">
      <c r="A304" s="9"/>
      <c r="B304" s="14"/>
      <c r="C304" s="9"/>
      <c r="D304" s="9"/>
      <c r="E304" s="9"/>
      <c r="F304" s="10"/>
      <c r="G304" s="9"/>
      <c r="H304" s="9"/>
      <c r="I304" s="10"/>
      <c r="J304" s="9"/>
      <c r="K304" s="9"/>
      <c r="L304" s="9"/>
    </row>
    <row r="305" spans="1:12" ht="14.45">
      <c r="A305" s="9"/>
      <c r="B305" s="14"/>
      <c r="C305" s="9"/>
      <c r="D305" s="9"/>
      <c r="E305" s="9"/>
      <c r="F305" s="10"/>
      <c r="G305" s="9"/>
      <c r="H305" s="9"/>
      <c r="I305" s="10"/>
      <c r="J305" s="9"/>
      <c r="K305" s="9"/>
      <c r="L305" s="9"/>
    </row>
    <row r="306" spans="1:12" ht="14.45">
      <c r="A306" s="9"/>
      <c r="B306" s="14"/>
      <c r="C306" s="9"/>
      <c r="D306" s="9"/>
      <c r="E306" s="9"/>
      <c r="F306" s="10"/>
      <c r="G306" s="9"/>
      <c r="H306" s="9"/>
      <c r="I306" s="10"/>
      <c r="J306" s="9"/>
      <c r="K306" s="9"/>
      <c r="L306" s="9"/>
    </row>
    <row r="307" spans="1:12" ht="14.45">
      <c r="A307" s="9"/>
      <c r="B307" s="14"/>
      <c r="C307" s="9"/>
      <c r="D307" s="9"/>
      <c r="E307" s="9"/>
      <c r="F307" s="10"/>
      <c r="G307" s="9"/>
      <c r="H307" s="9"/>
      <c r="I307" s="10"/>
      <c r="J307" s="9"/>
      <c r="K307" s="9"/>
      <c r="L307" s="9"/>
    </row>
    <row r="308" spans="1:12" ht="14.45">
      <c r="A308" s="9"/>
      <c r="B308" s="14"/>
      <c r="C308" s="9"/>
      <c r="D308" s="9"/>
      <c r="E308" s="9"/>
      <c r="F308" s="10"/>
      <c r="G308" s="9"/>
      <c r="H308" s="9"/>
      <c r="I308" s="10"/>
      <c r="J308" s="9"/>
      <c r="K308" s="9"/>
      <c r="L308" s="9"/>
    </row>
    <row r="309" spans="1:12" ht="14.45">
      <c r="A309" s="9"/>
      <c r="B309" s="14"/>
      <c r="C309" s="9"/>
      <c r="D309" s="9"/>
      <c r="E309" s="9"/>
      <c r="F309" s="10"/>
      <c r="G309" s="9"/>
      <c r="H309" s="9"/>
      <c r="I309" s="10"/>
      <c r="J309" s="9"/>
      <c r="K309" s="9"/>
      <c r="L309" s="9"/>
    </row>
    <row r="310" spans="1:12" ht="14.45">
      <c r="A310" s="9"/>
      <c r="B310" s="14"/>
      <c r="C310" s="9"/>
      <c r="D310" s="9"/>
      <c r="E310" s="9"/>
      <c r="F310" s="10"/>
      <c r="G310" s="9"/>
      <c r="H310" s="9"/>
      <c r="I310" s="10"/>
      <c r="J310" s="9"/>
      <c r="K310" s="9"/>
      <c r="L310" s="9"/>
    </row>
    <row r="311" spans="1:12" ht="14.45">
      <c r="A311" s="9"/>
      <c r="B311" s="14"/>
      <c r="C311" s="9"/>
      <c r="D311" s="9"/>
      <c r="E311" s="9"/>
      <c r="F311" s="10"/>
      <c r="G311" s="9"/>
      <c r="H311" s="9"/>
      <c r="I311" s="10"/>
      <c r="J311" s="9"/>
      <c r="K311" s="9"/>
      <c r="L311" s="9"/>
    </row>
    <row r="312" spans="1:12" ht="14.45">
      <c r="A312" s="9"/>
      <c r="B312" s="14"/>
      <c r="C312" s="9"/>
      <c r="D312" s="9"/>
      <c r="E312" s="9"/>
      <c r="F312" s="10"/>
      <c r="G312" s="9"/>
      <c r="H312" s="9"/>
      <c r="I312" s="10"/>
      <c r="J312" s="9"/>
      <c r="K312" s="9"/>
      <c r="L312" s="9"/>
    </row>
    <row r="313" spans="1:12" ht="14.45">
      <c r="A313" s="9"/>
      <c r="B313" s="14"/>
      <c r="C313" s="9"/>
      <c r="D313" s="9"/>
      <c r="E313" s="9"/>
      <c r="F313" s="10"/>
      <c r="G313" s="9"/>
      <c r="H313" s="9"/>
      <c r="I313" s="10"/>
      <c r="J313" s="9"/>
      <c r="K313" s="9"/>
      <c r="L313" s="9"/>
    </row>
    <row r="314" spans="1:12" ht="14.45">
      <c r="A314" s="9"/>
      <c r="B314" s="14"/>
      <c r="C314" s="9"/>
      <c r="D314" s="9"/>
      <c r="E314" s="9"/>
      <c r="F314" s="10"/>
      <c r="G314" s="9"/>
      <c r="H314" s="9"/>
      <c r="I314" s="10"/>
      <c r="J314" s="9"/>
      <c r="K314" s="9"/>
      <c r="L314" s="9"/>
    </row>
    <row r="315" spans="1:12" ht="14.45">
      <c r="A315" s="9"/>
      <c r="B315" s="14"/>
      <c r="C315" s="9"/>
      <c r="D315" s="9"/>
      <c r="E315" s="9"/>
      <c r="F315" s="10"/>
      <c r="G315" s="9"/>
      <c r="H315" s="9"/>
      <c r="I315" s="10"/>
      <c r="J315" s="9"/>
      <c r="K315" s="9"/>
      <c r="L315" s="9"/>
    </row>
    <row r="316" spans="1:12" ht="14.45">
      <c r="A316" s="9"/>
      <c r="B316" s="14"/>
      <c r="C316" s="9"/>
      <c r="D316" s="9"/>
      <c r="E316" s="9"/>
      <c r="F316" s="10"/>
      <c r="G316" s="9"/>
      <c r="H316" s="9"/>
      <c r="I316" s="10"/>
      <c r="J316" s="9"/>
      <c r="K316" s="9"/>
      <c r="L316" s="9"/>
    </row>
    <row r="317" spans="1:12" ht="14.45">
      <c r="A317" s="9"/>
      <c r="B317" s="14"/>
      <c r="C317" s="9"/>
      <c r="D317" s="9"/>
      <c r="E317" s="9"/>
      <c r="F317" s="10"/>
      <c r="G317" s="9"/>
      <c r="H317" s="9"/>
      <c r="I317" s="10"/>
      <c r="J317" s="9"/>
      <c r="K317" s="9"/>
      <c r="L317" s="9"/>
    </row>
    <row r="318" spans="1:12" ht="14.45">
      <c r="A318" s="9"/>
      <c r="B318" s="14"/>
      <c r="C318" s="9"/>
      <c r="D318" s="9"/>
      <c r="E318" s="9"/>
      <c r="F318" s="10"/>
      <c r="G318" s="9"/>
      <c r="H318" s="9"/>
      <c r="I318" s="10"/>
      <c r="J318" s="9"/>
      <c r="K318" s="9"/>
      <c r="L318" s="9"/>
    </row>
    <row r="319" spans="1:12" ht="14.45">
      <c r="A319" s="9"/>
      <c r="B319" s="14"/>
      <c r="C319" s="9"/>
      <c r="D319" s="9"/>
      <c r="E319" s="9"/>
      <c r="F319" s="10"/>
      <c r="G319" s="9"/>
      <c r="H319" s="9"/>
      <c r="I319" s="10"/>
      <c r="J319" s="9"/>
      <c r="K319" s="9"/>
      <c r="L319" s="9"/>
    </row>
    <row r="320" spans="1:12" ht="14.45">
      <c r="A320" s="9"/>
      <c r="B320" s="14"/>
      <c r="C320" s="9"/>
      <c r="D320" s="9"/>
      <c r="E320" s="9"/>
      <c r="F320" s="10"/>
      <c r="G320" s="9"/>
      <c r="H320" s="9"/>
      <c r="I320" s="10"/>
      <c r="J320" s="9"/>
      <c r="K320" s="9"/>
      <c r="L320" s="9"/>
    </row>
    <row r="321" spans="1:12" ht="14.45">
      <c r="A321" s="9"/>
      <c r="B321" s="14"/>
      <c r="C321" s="9"/>
      <c r="D321" s="9"/>
      <c r="E321" s="9"/>
      <c r="F321" s="10"/>
      <c r="G321" s="9"/>
      <c r="H321" s="9"/>
      <c r="I321" s="10"/>
      <c r="J321" s="9"/>
      <c r="K321" s="9"/>
      <c r="L321" s="9"/>
    </row>
    <row r="322" spans="1:12" ht="14.45">
      <c r="C322" s="9"/>
      <c r="D322" s="9"/>
      <c r="E322" s="9"/>
      <c r="F322" s="10"/>
      <c r="G322" s="9"/>
      <c r="H322" s="9"/>
      <c r="I322" s="10"/>
      <c r="J322" s="9"/>
      <c r="K322" s="9"/>
      <c r="L322" s="9"/>
    </row>
  </sheetData>
  <mergeCells count="4">
    <mergeCell ref="G1:I1"/>
    <mergeCell ref="A1:C1"/>
    <mergeCell ref="D1:F1"/>
    <mergeCell ref="A2:B2"/>
  </mergeCells>
  <phoneticPr fontId="4" type="noConversion"/>
  <conditionalFormatting sqref="F2 I2 F4:F80 I4:I80">
    <cfRule type="cellIs" dxfId="6" priority="3" stopIfTrue="1" operator="lessThanOrEqual">
      <formula>-0.1</formula>
    </cfRule>
    <cfRule type="expression" dxfId="5" priority="4">
      <formula>AND(ISNUMBER(F2), F2&gt;=0.1)</formula>
    </cfRule>
  </conditionalFormatting>
  <hyperlinks>
    <hyperlink ref="K5" r:id="rId1" display="https://us3.assetplanner.com/service_request?ID=111519" xr:uid="{922ACB12-8E9E-4EA5-8A55-A5A1B88BD272}"/>
    <hyperlink ref="M5" r:id="rId2" display="https://us3.assetplanner.com/service_request?ID=111170" xr:uid="{7014773E-62C9-4873-A7D6-8FA7AA0F0074}"/>
    <hyperlink ref="K6" r:id="rId3" display="https://us3.assetplanner.com/service_request?ID=110394" xr:uid="{34BFFC16-83C6-4F3E-B45A-BDE419538ADD}"/>
    <hyperlink ref="K7" r:id="rId4" display="https://us3.assetplanner.com/service_request?ID=110592" xr:uid="{44515ADE-F7B4-4745-B355-C31031F56439}"/>
    <hyperlink ref="K8" r:id="rId5" display="https://us3.assetplanner.com/service_request?ID=111071" xr:uid="{58CCBF9E-CC3F-4205-9223-5EEEC7AA53B4}"/>
    <hyperlink ref="M8" r:id="rId6" display="https://us3.assetplanner.com/service_request?ID=110573" xr:uid="{E66EBC17-F620-49D5-9822-233DD8F54DFF}"/>
    <hyperlink ref="K10" r:id="rId7" display="https://us3.assetplanner.com/service_request?ID=111075" xr:uid="{35C24B52-9AB6-4E90-86C5-1A38D44D7D88}"/>
    <hyperlink ref="K11" r:id="rId8" display="https://us3.assetplanner.com/service_request?ID=109334" xr:uid="{C8829386-8741-489A-897B-52A2DBE61E23}"/>
    <hyperlink ref="M11" r:id="rId9" display="https://us3.assetplanner.com/service_request?ID=111761" xr:uid="{6CD1283A-7953-4119-AC7D-5CDAF92ABC58}"/>
    <hyperlink ref="K12" r:id="rId10" display="https://us3.assetplanner.com/service_request?ID=111445" xr:uid="{A24C5D54-D4D7-4351-8353-2A0FA9CC38A2}"/>
    <hyperlink ref="M12" r:id="rId11" display="https://us3.assetplanner.com/service_request?ID=111293" xr:uid="{5F5C0C61-F10C-4D5D-B3B9-368156D0D42C}"/>
    <hyperlink ref="N12" r:id="rId12" display="https://us3.assetplanner.com/service_request?ID=111818" xr:uid="{C79E815D-C023-44A0-9C4F-2F3C676E921C}"/>
    <hyperlink ref="K13" r:id="rId13" display="https://us3.assetplanner.com/service_request?ID=111773" xr:uid="{8EFA6CAD-9FB8-47AD-B59E-F2A68FA8ECF6}"/>
  </hyperlinks>
  <pageMargins left="0.4" right="0.7" top="0.25" bottom="0.25" header="0.3" footer="0.3"/>
  <pageSetup fitToHeight="99" orientation="landscape" r:id="rId1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O322"/>
  <sheetViews>
    <sheetView zoomScale="60" zoomScaleNormal="60" workbookViewId="0">
      <pane xSplit="2" ySplit="3" topLeftCell="C9" activePane="bottomRight" state="frozen"/>
      <selection pane="bottomRight" activeCell="A4" sqref="A4:A14"/>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83" bestFit="1" customWidth="1"/>
    <col min="12" max="12" width="14.28515625" customWidth="1"/>
  </cols>
  <sheetData>
    <row r="1" spans="1:15" ht="19.5" customHeight="1">
      <c r="A1" s="104" t="str" cm="1">
        <f t="array" ref="A1">portfolio</f>
        <v>Renewable Properties</v>
      </c>
      <c r="B1" s="104"/>
      <c r="C1" s="104"/>
      <c r="D1" s="105" t="s">
        <v>297</v>
      </c>
      <c r="E1" s="105"/>
      <c r="F1" s="105"/>
      <c r="G1" s="103" t="s">
        <v>298</v>
      </c>
      <c r="H1" s="103"/>
      <c r="I1" s="103"/>
      <c r="J1" s="4"/>
      <c r="K1" s="96"/>
      <c r="L1" s="4"/>
    </row>
    <row r="2" spans="1:15" ht="19.5" customHeight="1">
      <c r="A2" s="106" t="s">
        <v>2</v>
      </c>
      <c r="B2" s="106"/>
      <c r="C2" s="5">
        <f>SUM(C4:C80)</f>
        <v>1181085.7515549101</v>
      </c>
      <c r="D2" s="5">
        <f>SUM(D4:D80)</f>
        <v>2262985.48</v>
      </c>
      <c r="E2" s="5">
        <f>C2-D2</f>
        <v>-1081899.7284450899</v>
      </c>
      <c r="F2" s="6">
        <f>IFERROR(E2/D2, 0)</f>
        <v>-0.47808513930239177</v>
      </c>
      <c r="G2" s="5">
        <f>SUM(G4:G80)</f>
        <v>2263190.75</v>
      </c>
      <c r="H2" s="7">
        <f>C2-G2</f>
        <v>-1082104.9984450899</v>
      </c>
      <c r="I2" s="6">
        <f>IFERROR(H2/G2, 0)</f>
        <v>-0.47813247665716641</v>
      </c>
      <c r="J2" s="12" t="str">
        <f ca="1">IF(AND(TODAY()&gt;DATE(2024, 12, 1), COUNTA(Sites[Site])&lt;&gt;(COUNT(C:C)-1)), "Some sites are missing actual data; if new sites were added, make sure they are aligned correctly (including prior months!)", "")</f>
        <v/>
      </c>
      <c r="K2" s="96"/>
      <c r="L2" s="12"/>
    </row>
    <row r="3" spans="1:15" ht="14.25" customHeight="1">
      <c r="A3" s="13" t="s">
        <v>3</v>
      </c>
      <c r="B3" s="13" t="s">
        <v>4</v>
      </c>
      <c r="C3" s="40" t="s">
        <v>5</v>
      </c>
      <c r="D3" s="41" t="s">
        <v>6</v>
      </c>
      <c r="E3" s="41" t="s">
        <v>7</v>
      </c>
      <c r="F3" s="42" t="s">
        <v>8</v>
      </c>
      <c r="G3" s="47" t="s">
        <v>9</v>
      </c>
      <c r="H3" s="44" t="s">
        <v>7</v>
      </c>
      <c r="I3" s="45" t="s">
        <v>8</v>
      </c>
      <c r="J3" s="46" t="s">
        <v>20</v>
      </c>
      <c r="K3" s="101" t="s">
        <v>21</v>
      </c>
      <c r="L3" s="46" t="s">
        <v>245</v>
      </c>
    </row>
    <row r="4" spans="1:15" ht="30.75">
      <c r="A4" s="55" t="str" cm="1">
        <f t="array" ref="A4:A14">Sites[Site]</f>
        <v>Cedar Swamp Rd</v>
      </c>
      <c r="B4" s="49" t="str" cm="1">
        <f t="array" ref="B4:B14">Sites[State]</f>
        <v>MA</v>
      </c>
      <c r="C4" s="27">
        <v>45267</v>
      </c>
      <c r="D4" s="28">
        <v>53125.5</v>
      </c>
      <c r="E4" s="28">
        <f>IF(AND(ISNUMBER(C4),ISNUMBER(D4)), C4-D4, "")</f>
        <v>-7858.5</v>
      </c>
      <c r="F4" s="29">
        <f>IFERROR(E4/D4, "")</f>
        <v>-0.14792331366293024</v>
      </c>
      <c r="G4" s="30">
        <v>38139.33</v>
      </c>
      <c r="H4" s="30">
        <f>IF(AND(ISNUMBER(C4),ISNUMBER(G4)), C4-G4, "")</f>
        <v>7127.6699999999983</v>
      </c>
      <c r="I4" s="31">
        <f>IFERROR(H4/G4, "")</f>
        <v>0.18688503442509341</v>
      </c>
      <c r="J4" s="50" t="s">
        <v>299</v>
      </c>
      <c r="K4" s="66"/>
      <c r="L4" s="50"/>
    </row>
    <row r="5" spans="1:15" ht="57.6">
      <c r="A5" s="56" t="str">
        <v>Bullis</v>
      </c>
      <c r="B5" s="52" t="str">
        <v>NY</v>
      </c>
      <c r="C5" s="34">
        <v>112365</v>
      </c>
      <c r="D5" s="35">
        <v>177489</v>
      </c>
      <c r="E5" s="35">
        <f t="shared" ref="E5:E6" si="0">IF(AND(ISNUMBER(C5),ISNUMBER(D5)), C5-D5, "")</f>
        <v>-65124</v>
      </c>
      <c r="F5" s="36">
        <f>IFERROR(E5/D5, "")</f>
        <v>-0.36691851325997665</v>
      </c>
      <c r="G5" s="37">
        <v>197014.1</v>
      </c>
      <c r="H5" s="37">
        <f t="shared" ref="H5:H6" si="1">IF(AND(ISNUMBER(C5),ISNUMBER(G5)), C5-G5, "")</f>
        <v>-84649.1</v>
      </c>
      <c r="I5" s="36">
        <f t="shared" ref="I5:I6" si="2">IFERROR(H5/G5, "")</f>
        <v>-0.42966011062152404</v>
      </c>
      <c r="J5" s="58" t="s">
        <v>300</v>
      </c>
      <c r="K5" s="80" t="s">
        <v>301</v>
      </c>
      <c r="L5" s="58" t="s">
        <v>302</v>
      </c>
      <c r="M5" s="102" t="s">
        <v>303</v>
      </c>
    </row>
    <row r="6" spans="1:15" ht="15.6">
      <c r="A6" s="57" t="str">
        <v>Rock Island</v>
      </c>
      <c r="B6" s="49" t="str">
        <v>NY</v>
      </c>
      <c r="C6" s="27">
        <v>104985</v>
      </c>
      <c r="D6" s="28">
        <v>177028.6</v>
      </c>
      <c r="E6" s="28">
        <f t="shared" si="0"/>
        <v>-72043.600000000006</v>
      </c>
      <c r="F6" s="29">
        <f t="shared" ref="F6" si="3">IFERROR(E6/D6, "")</f>
        <v>-0.40696023128466252</v>
      </c>
      <c r="G6" s="30">
        <v>167632.29999999999</v>
      </c>
      <c r="H6" s="30">
        <f t="shared" si="1"/>
        <v>-62647.299999999988</v>
      </c>
      <c r="I6" s="31">
        <f t="shared" si="2"/>
        <v>-0.37371854946809174</v>
      </c>
      <c r="J6" s="66" t="s">
        <v>304</v>
      </c>
      <c r="K6" s="66"/>
      <c r="L6" s="66"/>
    </row>
    <row r="7" spans="1:15" ht="57.6">
      <c r="A7" s="56" t="str">
        <v>Winslow - Roderick</v>
      </c>
      <c r="B7" s="52" t="str">
        <v>ME</v>
      </c>
      <c r="C7" s="34">
        <v>167245</v>
      </c>
      <c r="D7" s="35">
        <v>435746.6</v>
      </c>
      <c r="E7" s="35">
        <f t="shared" ref="E7" si="4">IF(AND(ISNUMBER(C7),ISNUMBER(D7)), C7-D7, "")</f>
        <v>-268501.59999999998</v>
      </c>
      <c r="F7" s="36">
        <f t="shared" ref="F7" si="5">IFERROR(E7/D7, "")</f>
        <v>-0.6161874814399011</v>
      </c>
      <c r="G7" s="37">
        <v>238000</v>
      </c>
      <c r="H7" s="37">
        <f t="shared" ref="H7" si="6">IF(AND(ISNUMBER(C7),ISNUMBER(G7)), C7-G7, "")</f>
        <v>-70755</v>
      </c>
      <c r="I7" s="36">
        <f t="shared" ref="I7" si="7">IFERROR(H7/G7, "")</f>
        <v>-0.29728991596638654</v>
      </c>
      <c r="J7" s="53" t="s">
        <v>305</v>
      </c>
      <c r="K7" s="80" t="s">
        <v>279</v>
      </c>
      <c r="L7" s="59" t="s">
        <v>248</v>
      </c>
    </row>
    <row r="8" spans="1:15" ht="60.75">
      <c r="A8" s="57" t="str">
        <v>Minoa - Clemons Rd</v>
      </c>
      <c r="B8" s="49" t="str">
        <v>NY</v>
      </c>
      <c r="C8" s="27">
        <v>74402.5</v>
      </c>
      <c r="D8" s="28">
        <v>134402.4</v>
      </c>
      <c r="E8" s="28">
        <f t="shared" ref="E8:E9" si="8">IF(AND(ISNUMBER(C8),ISNUMBER(D8)), C8-D8, "")</f>
        <v>-59999.899999999994</v>
      </c>
      <c r="F8" s="29">
        <f t="shared" ref="F8" si="9">IFERROR(E8/D8, "")</f>
        <v>-0.44641985559781666</v>
      </c>
      <c r="G8" s="30">
        <v>129596.2</v>
      </c>
      <c r="H8" s="30">
        <f t="shared" ref="H8:H9" si="10">IF(AND(ISNUMBER(C8),ISNUMBER(G8)), C8-G8, "")</f>
        <v>-55193.7</v>
      </c>
      <c r="I8" s="31">
        <f t="shared" ref="I8" si="11">IFERROR(H8/G8, "")</f>
        <v>-0.42588980232445084</v>
      </c>
      <c r="J8" s="66" t="s">
        <v>306</v>
      </c>
      <c r="K8" s="81" t="s">
        <v>307</v>
      </c>
      <c r="L8" s="66" t="s">
        <v>274</v>
      </c>
      <c r="M8" s="102" t="s">
        <v>308</v>
      </c>
    </row>
    <row r="9" spans="1:15" ht="43.15">
      <c r="A9" s="56" t="str">
        <v>Manchester - Western</v>
      </c>
      <c r="B9" s="52" t="str">
        <v>ME</v>
      </c>
      <c r="C9" s="34">
        <v>29522</v>
      </c>
      <c r="D9" s="35">
        <v>62568.93</v>
      </c>
      <c r="E9" s="35">
        <f t="shared" si="8"/>
        <v>-33046.93</v>
      </c>
      <c r="F9" s="36">
        <f>IFERROR(E9/D9, "")</f>
        <v>-0.52816837366405334</v>
      </c>
      <c r="G9" s="37">
        <v>34596.25</v>
      </c>
      <c r="H9" s="37">
        <f t="shared" si="10"/>
        <v>-5074.25</v>
      </c>
      <c r="I9" s="36">
        <f>IFERROR(H9/G9, "")</f>
        <v>-0.14667052064891425</v>
      </c>
      <c r="J9" s="53" t="s">
        <v>309</v>
      </c>
      <c r="K9" s="58"/>
      <c r="L9" s="53"/>
    </row>
    <row r="10" spans="1:15" ht="15.6">
      <c r="A10" s="57" t="str">
        <v>Batavia - Pike Rd</v>
      </c>
      <c r="B10" s="49" t="str">
        <v>NY</v>
      </c>
      <c r="C10" s="27">
        <v>108077.5</v>
      </c>
      <c r="D10" s="28">
        <v>170541.7</v>
      </c>
      <c r="E10" s="28">
        <f>IF(AND(ISNUMBER(C10),ISNUMBER(D10)), C10-D10, "")</f>
        <v>-62464.200000000012</v>
      </c>
      <c r="F10" s="29">
        <f>IFERROR(E10/D10, "")</f>
        <v>-0.36626936403237453</v>
      </c>
      <c r="G10" s="30">
        <v>161376.20000000001</v>
      </c>
      <c r="H10" s="30">
        <f>IF(AND(ISNUMBER(C10),ISNUMBER(G10)), C10-G10, "")</f>
        <v>-53298.700000000012</v>
      </c>
      <c r="I10" s="31">
        <f>IFERROR(H10/G10, "")</f>
        <v>-0.33027608779981193</v>
      </c>
      <c r="J10" s="66" t="s">
        <v>310</v>
      </c>
      <c r="K10" s="81" t="s">
        <v>284</v>
      </c>
      <c r="L10" s="66" t="s">
        <v>262</v>
      </c>
    </row>
    <row r="11" spans="1:15" ht="57.6">
      <c r="A11" s="56" t="str">
        <v>Slayton A &amp; B</v>
      </c>
      <c r="B11" s="52" t="str">
        <v>NY</v>
      </c>
      <c r="C11" s="34">
        <v>274125</v>
      </c>
      <c r="D11" s="35">
        <v>355966.4</v>
      </c>
      <c r="E11" s="35">
        <f>IF(AND(ISNUMBER(C11),ISNUMBER(D11)), C11-D11, "")</f>
        <v>-81841.400000000023</v>
      </c>
      <c r="F11" s="36">
        <f>IFERROR(E11/D11, "")</f>
        <v>-0.22991327271337975</v>
      </c>
      <c r="G11" s="37">
        <v>296158.2</v>
      </c>
      <c r="H11" s="37">
        <f>IF(AND(ISNUMBER(C11),ISNUMBER(G11)), C11-G11, "")</f>
        <v>-22033.200000000012</v>
      </c>
      <c r="I11" s="36">
        <f>IFERROR(H11/G11, "")</f>
        <v>-7.4396724453349633E-2</v>
      </c>
      <c r="J11" s="53" t="s">
        <v>311</v>
      </c>
      <c r="K11" s="80" t="s">
        <v>312</v>
      </c>
      <c r="L11" s="58" t="s">
        <v>313</v>
      </c>
    </row>
    <row r="12" spans="1:15" ht="86.45">
      <c r="A12" s="57" t="str">
        <v>Batavia - Alexander Rd</v>
      </c>
      <c r="B12" s="49" t="str">
        <v>NY</v>
      </c>
      <c r="C12" s="27">
        <v>43248.751554910101</v>
      </c>
      <c r="D12" s="28">
        <v>81349.55</v>
      </c>
      <c r="E12" s="28">
        <f t="shared" ref="E12:E14" si="12">IF(AND(ISNUMBER(C12),ISNUMBER(D12)), C12-D12, "")</f>
        <v>-38100.798445089902</v>
      </c>
      <c r="F12" s="29">
        <f t="shared" ref="F12:F14" si="13">IFERROR(E12/D12, "")</f>
        <v>-0.46835905601309291</v>
      </c>
      <c r="G12" s="30">
        <v>77039.17</v>
      </c>
      <c r="H12" s="30">
        <f t="shared" ref="H12:H14" si="14">IF(AND(ISNUMBER(C12),ISNUMBER(G12)), C12-G12, "")</f>
        <v>-33790.418445089897</v>
      </c>
      <c r="I12" s="31">
        <f t="shared" ref="I12:I14" si="15">IFERROR(H12/G12, "")</f>
        <v>-0.43861347993611427</v>
      </c>
      <c r="J12" s="66" t="s">
        <v>314</v>
      </c>
      <c r="K12" s="81" t="s">
        <v>315</v>
      </c>
      <c r="L12" s="66" t="s">
        <v>316</v>
      </c>
      <c r="M12" s="102" t="s">
        <v>317</v>
      </c>
      <c r="N12" s="102" t="s">
        <v>318</v>
      </c>
      <c r="O12" s="102" t="s">
        <v>319</v>
      </c>
    </row>
    <row r="13" spans="1:15" ht="15.6">
      <c r="A13" s="56" t="str">
        <v xml:space="preserve">NC: Gibson – Henry Gibson Solar </v>
      </c>
      <c r="B13" s="52" t="str">
        <v>NC</v>
      </c>
      <c r="C13" s="34">
        <v>100942</v>
      </c>
      <c r="D13" s="35">
        <v>333647.2</v>
      </c>
      <c r="E13" s="35">
        <f t="shared" si="12"/>
        <v>-232705.2</v>
      </c>
      <c r="F13" s="36">
        <f t="shared" si="13"/>
        <v>-0.69745887272544171</v>
      </c>
      <c r="G13" s="37">
        <v>597468</v>
      </c>
      <c r="H13" s="37">
        <f t="shared" si="14"/>
        <v>-496526</v>
      </c>
      <c r="I13" s="36">
        <f t="shared" si="15"/>
        <v>-0.83105036587733572</v>
      </c>
      <c r="J13" s="53" t="s">
        <v>320</v>
      </c>
      <c r="K13" s="80" t="s">
        <v>321</v>
      </c>
      <c r="L13" s="53" t="s">
        <v>262</v>
      </c>
    </row>
    <row r="14" spans="1:15" ht="15.6">
      <c r="A14" s="57" t="str">
        <v>Bangor - Pushaw</v>
      </c>
      <c r="B14" s="49" t="str">
        <v>ME</v>
      </c>
      <c r="C14" s="27">
        <v>120906</v>
      </c>
      <c r="D14" s="28">
        <v>281119.59999999998</v>
      </c>
      <c r="E14" s="28">
        <f t="shared" si="12"/>
        <v>-160213.59999999998</v>
      </c>
      <c r="F14" s="29">
        <f t="shared" si="13"/>
        <v>-0.56991259236282343</v>
      </c>
      <c r="G14" s="30">
        <v>326171</v>
      </c>
      <c r="H14" s="30">
        <f t="shared" si="14"/>
        <v>-205265</v>
      </c>
      <c r="I14" s="31">
        <f t="shared" si="15"/>
        <v>-0.62931713732980554</v>
      </c>
      <c r="J14" s="66" t="s">
        <v>322</v>
      </c>
      <c r="K14" s="66"/>
      <c r="L14" s="66"/>
    </row>
    <row r="15" spans="1:15" ht="14.45">
      <c r="A15" s="9"/>
      <c r="B15" s="14"/>
      <c r="C15" s="9"/>
      <c r="D15" s="9"/>
      <c r="E15" s="9"/>
      <c r="F15" s="10"/>
      <c r="G15" s="9"/>
      <c r="H15" s="9"/>
      <c r="I15" s="10"/>
      <c r="J15" s="9"/>
      <c r="K15" s="99"/>
      <c r="L15" s="9"/>
    </row>
    <row r="16" spans="1:15" ht="14.45">
      <c r="A16" s="9"/>
      <c r="B16" s="14"/>
      <c r="C16" s="9"/>
      <c r="D16" s="9"/>
      <c r="E16" s="9"/>
      <c r="F16" s="10"/>
      <c r="G16" s="9"/>
      <c r="H16" s="9"/>
      <c r="I16" s="10"/>
      <c r="J16" s="9"/>
      <c r="K16" s="99"/>
      <c r="L16" s="9"/>
    </row>
    <row r="17" spans="1:12" ht="14.45">
      <c r="A17" s="9"/>
      <c r="B17" s="14"/>
      <c r="C17" s="9"/>
      <c r="D17" s="9"/>
      <c r="E17" s="9"/>
      <c r="F17" s="10"/>
      <c r="G17" s="9"/>
      <c r="H17" s="9"/>
      <c r="I17" s="10"/>
      <c r="J17" s="9"/>
      <c r="K17" s="99"/>
      <c r="L17" s="9"/>
    </row>
    <row r="18" spans="1:12" ht="14.45">
      <c r="A18" s="9"/>
      <c r="B18" s="14"/>
      <c r="C18" s="9"/>
      <c r="D18" s="9"/>
      <c r="E18" s="9"/>
      <c r="F18" s="10"/>
      <c r="G18" s="9"/>
      <c r="H18" s="9"/>
      <c r="I18" s="10"/>
      <c r="J18" s="9"/>
      <c r="K18" s="99"/>
      <c r="L18" s="9"/>
    </row>
    <row r="19" spans="1:12" ht="14.45">
      <c r="A19" s="9"/>
      <c r="B19" s="14"/>
      <c r="C19" s="9"/>
      <c r="D19" s="9"/>
      <c r="E19" s="9"/>
      <c r="F19" s="10"/>
      <c r="G19" s="9"/>
      <c r="H19" s="9"/>
      <c r="I19" s="10"/>
      <c r="J19" s="9"/>
      <c r="K19" s="99"/>
      <c r="L19" s="9"/>
    </row>
    <row r="20" spans="1:12" ht="14.45">
      <c r="A20" s="9"/>
      <c r="B20" s="14"/>
      <c r="C20" s="9"/>
      <c r="D20" s="9"/>
      <c r="E20" s="9"/>
      <c r="F20" s="10"/>
      <c r="G20" s="9"/>
      <c r="H20" s="9"/>
      <c r="I20" s="10"/>
      <c r="J20" s="9"/>
      <c r="K20" s="99"/>
      <c r="L20" s="9"/>
    </row>
    <row r="21" spans="1:12" ht="14.45">
      <c r="A21" s="9"/>
      <c r="B21" s="14"/>
      <c r="C21" s="9"/>
      <c r="D21" s="9"/>
      <c r="E21" s="9"/>
      <c r="F21" s="10"/>
      <c r="G21" s="9"/>
      <c r="H21" s="9"/>
      <c r="I21" s="10"/>
      <c r="J21" s="9"/>
      <c r="K21" s="99"/>
      <c r="L21" s="9"/>
    </row>
    <row r="22" spans="1:12" ht="14.45">
      <c r="A22" s="9"/>
      <c r="B22" s="14"/>
      <c r="C22" s="9"/>
      <c r="D22" s="9"/>
      <c r="E22" s="9"/>
      <c r="F22" s="10"/>
      <c r="G22" s="9"/>
      <c r="H22" s="9"/>
      <c r="I22" s="10"/>
      <c r="J22" s="9"/>
      <c r="K22" s="99"/>
      <c r="L22" s="9"/>
    </row>
    <row r="23" spans="1:12" ht="14.45">
      <c r="A23" s="9"/>
      <c r="B23" s="14"/>
      <c r="C23" s="9"/>
      <c r="D23" s="9"/>
      <c r="E23" s="9"/>
      <c r="F23" s="10"/>
      <c r="G23" s="9"/>
      <c r="H23" s="9"/>
      <c r="I23" s="10"/>
      <c r="J23" s="9"/>
      <c r="K23" s="99"/>
      <c r="L23" s="9"/>
    </row>
    <row r="24" spans="1:12" ht="14.45">
      <c r="A24" s="9"/>
      <c r="B24" s="14"/>
      <c r="C24" s="9"/>
      <c r="D24" s="9"/>
      <c r="E24" s="9"/>
      <c r="F24" s="10"/>
      <c r="G24" s="9"/>
      <c r="H24" s="9"/>
      <c r="I24" s="10"/>
      <c r="J24" s="9"/>
      <c r="K24" s="99"/>
      <c r="L24" s="9"/>
    </row>
    <row r="25" spans="1:12" ht="14.45">
      <c r="A25" s="9"/>
      <c r="B25" s="14"/>
      <c r="C25" s="9"/>
      <c r="D25" s="9"/>
      <c r="E25" s="9"/>
      <c r="F25" s="10"/>
      <c r="G25" s="9"/>
      <c r="H25" s="9"/>
      <c r="I25" s="10"/>
      <c r="J25" s="9"/>
      <c r="K25" s="99"/>
      <c r="L25" s="9"/>
    </row>
    <row r="26" spans="1:12" ht="14.45">
      <c r="A26" s="9"/>
      <c r="B26" s="14"/>
      <c r="C26" s="9"/>
      <c r="D26" s="9"/>
      <c r="E26" s="9"/>
      <c r="F26" s="10"/>
      <c r="G26" s="9"/>
      <c r="H26" s="9"/>
      <c r="I26" s="10"/>
      <c r="J26" s="9"/>
      <c r="K26" s="99"/>
      <c r="L26" s="9"/>
    </row>
    <row r="27" spans="1:12" ht="14.45">
      <c r="A27" s="9"/>
      <c r="B27" s="14"/>
      <c r="C27" s="9"/>
      <c r="D27" s="9"/>
      <c r="E27" s="9"/>
      <c r="F27" s="10"/>
      <c r="G27" s="9"/>
      <c r="H27" s="9"/>
      <c r="I27" s="10"/>
      <c r="J27" s="9"/>
      <c r="K27" s="99"/>
      <c r="L27" s="9"/>
    </row>
    <row r="28" spans="1:12" ht="14.45">
      <c r="A28" s="9"/>
      <c r="B28" s="14"/>
      <c r="C28" s="9"/>
      <c r="D28" s="9"/>
      <c r="E28" s="9"/>
      <c r="F28" s="10"/>
      <c r="G28" s="9"/>
      <c r="H28" s="9"/>
      <c r="I28" s="10"/>
      <c r="J28" s="9"/>
      <c r="K28" s="99"/>
      <c r="L28" s="9"/>
    </row>
    <row r="29" spans="1:12" ht="14.45">
      <c r="A29" s="9"/>
      <c r="B29" s="14"/>
      <c r="C29" s="9"/>
      <c r="D29" s="9"/>
      <c r="E29" s="9"/>
      <c r="F29" s="10"/>
      <c r="G29" s="9"/>
      <c r="H29" s="9"/>
      <c r="I29" s="10"/>
      <c r="J29" s="9"/>
      <c r="K29" s="99"/>
      <c r="L29" s="9"/>
    </row>
    <row r="30" spans="1:12" ht="14.45">
      <c r="A30" s="9"/>
      <c r="B30" s="14"/>
      <c r="C30" s="9"/>
      <c r="D30" s="9"/>
      <c r="E30" s="9"/>
      <c r="F30" s="10"/>
      <c r="G30" s="9"/>
      <c r="H30" s="9"/>
      <c r="I30" s="10"/>
      <c r="J30" s="9"/>
      <c r="K30" s="99"/>
      <c r="L30" s="9"/>
    </row>
    <row r="31" spans="1:12" ht="14.45">
      <c r="A31" s="9"/>
      <c r="B31" s="14"/>
      <c r="C31" s="9"/>
      <c r="D31" s="9"/>
      <c r="E31" s="9"/>
      <c r="F31" s="10"/>
      <c r="G31" s="9"/>
      <c r="H31" s="9"/>
      <c r="I31" s="10"/>
      <c r="J31" s="9"/>
      <c r="K31" s="99"/>
      <c r="L31" s="9"/>
    </row>
    <row r="32" spans="1:12" ht="14.45">
      <c r="A32" s="9"/>
      <c r="B32" s="14"/>
      <c r="C32" s="9"/>
      <c r="D32" s="9"/>
      <c r="E32" s="9"/>
      <c r="F32" s="10"/>
      <c r="G32" s="9"/>
      <c r="H32" s="9"/>
      <c r="I32" s="10"/>
      <c r="J32" s="9"/>
      <c r="K32" s="99"/>
      <c r="L32" s="9"/>
    </row>
    <row r="33" spans="1:12" ht="14.45">
      <c r="A33" s="9"/>
      <c r="B33" s="14"/>
      <c r="C33" s="9"/>
      <c r="D33" s="9"/>
      <c r="E33" s="9"/>
      <c r="F33" s="10"/>
      <c r="G33" s="9"/>
      <c r="H33" s="9"/>
      <c r="I33" s="10"/>
      <c r="J33" s="9"/>
      <c r="K33" s="99"/>
      <c r="L33" s="9"/>
    </row>
    <row r="34" spans="1:12" ht="14.45">
      <c r="A34" s="9"/>
      <c r="B34" s="14"/>
      <c r="C34" s="9"/>
      <c r="D34" s="9"/>
      <c r="E34" s="9"/>
      <c r="F34" s="10"/>
      <c r="G34" s="9"/>
      <c r="H34" s="9"/>
      <c r="I34" s="10"/>
      <c r="J34" s="9"/>
      <c r="K34" s="99"/>
      <c r="L34" s="9"/>
    </row>
    <row r="35" spans="1:12" ht="14.45">
      <c r="A35" s="9"/>
      <c r="B35" s="14"/>
      <c r="C35" s="9"/>
      <c r="D35" s="9"/>
      <c r="E35" s="9"/>
      <c r="F35" s="10"/>
      <c r="G35" s="9"/>
      <c r="H35" s="9"/>
      <c r="I35" s="10"/>
      <c r="J35" s="9"/>
      <c r="K35" s="99"/>
      <c r="L35" s="9"/>
    </row>
    <row r="36" spans="1:12" ht="14.45">
      <c r="A36" s="9"/>
      <c r="B36" s="14"/>
      <c r="C36" s="9"/>
      <c r="D36" s="9"/>
      <c r="E36" s="9"/>
      <c r="F36" s="10"/>
      <c r="G36" s="9"/>
      <c r="H36" s="9"/>
      <c r="I36" s="10"/>
      <c r="J36" s="9"/>
      <c r="K36" s="99"/>
      <c r="L36" s="9"/>
    </row>
    <row r="37" spans="1:12" ht="14.45">
      <c r="A37" s="9"/>
      <c r="B37" s="14"/>
      <c r="C37" s="9"/>
      <c r="D37" s="9"/>
      <c r="E37" s="9"/>
      <c r="F37" s="10"/>
      <c r="G37" s="9"/>
      <c r="H37" s="9"/>
      <c r="I37" s="10"/>
      <c r="J37" s="9"/>
      <c r="K37" s="99"/>
      <c r="L37" s="9"/>
    </row>
    <row r="38" spans="1:12" ht="14.45">
      <c r="A38" s="9"/>
      <c r="B38" s="14"/>
      <c r="C38" s="9"/>
      <c r="D38" s="9"/>
      <c r="E38" s="9"/>
      <c r="F38" s="10"/>
      <c r="G38" s="9"/>
      <c r="H38" s="9"/>
      <c r="I38" s="10"/>
      <c r="J38" s="9"/>
      <c r="K38" s="99"/>
      <c r="L38" s="9"/>
    </row>
    <row r="39" spans="1:12" ht="14.45">
      <c r="A39" s="9"/>
      <c r="B39" s="14"/>
      <c r="C39" s="9"/>
      <c r="D39" s="9"/>
      <c r="E39" s="9"/>
      <c r="F39" s="10"/>
      <c r="G39" s="9"/>
      <c r="H39" s="9"/>
      <c r="I39" s="10"/>
      <c r="J39" s="9"/>
      <c r="K39" s="99"/>
      <c r="L39" s="9"/>
    </row>
    <row r="40" spans="1:12" ht="14.45">
      <c r="A40" s="9"/>
      <c r="B40" s="14"/>
      <c r="C40" s="9"/>
      <c r="D40" s="9"/>
      <c r="E40" s="9"/>
      <c r="F40" s="10"/>
      <c r="G40" s="9"/>
      <c r="H40" s="9"/>
      <c r="I40" s="10"/>
      <c r="J40" s="9"/>
      <c r="K40" s="99"/>
      <c r="L40" s="9"/>
    </row>
    <row r="41" spans="1:12" ht="14.45">
      <c r="A41" s="9"/>
      <c r="B41" s="14"/>
      <c r="C41" s="9"/>
      <c r="D41" s="9"/>
      <c r="E41" s="9"/>
      <c r="F41" s="10"/>
      <c r="G41" s="9"/>
      <c r="H41" s="9"/>
      <c r="I41" s="10"/>
      <c r="J41" s="9"/>
      <c r="K41" s="99"/>
      <c r="L41" s="9"/>
    </row>
    <row r="42" spans="1:12" ht="14.45">
      <c r="A42" s="9"/>
      <c r="B42" s="14"/>
      <c r="C42" s="9"/>
      <c r="D42" s="9"/>
      <c r="E42" s="9"/>
      <c r="F42" s="10"/>
      <c r="G42" s="9"/>
      <c r="H42" s="9"/>
      <c r="I42" s="10"/>
      <c r="J42" s="9"/>
      <c r="K42" s="99"/>
      <c r="L42" s="9"/>
    </row>
    <row r="43" spans="1:12" ht="14.45">
      <c r="A43" s="9"/>
      <c r="B43" s="14"/>
      <c r="C43" s="9"/>
      <c r="D43" s="9"/>
      <c r="E43" s="9"/>
      <c r="F43" s="10"/>
      <c r="G43" s="9"/>
      <c r="H43" s="9"/>
      <c r="I43" s="10"/>
      <c r="J43" s="9"/>
      <c r="K43" s="99"/>
      <c r="L43" s="9"/>
    </row>
    <row r="44" spans="1:12" ht="14.45">
      <c r="A44" s="9"/>
      <c r="B44" s="14"/>
      <c r="C44" s="9"/>
      <c r="D44" s="9"/>
      <c r="E44" s="9"/>
      <c r="F44" s="10"/>
      <c r="G44" s="9"/>
      <c r="H44" s="9"/>
      <c r="I44" s="10"/>
      <c r="J44" s="9"/>
      <c r="K44" s="99"/>
      <c r="L44" s="9"/>
    </row>
    <row r="45" spans="1:12" ht="14.45">
      <c r="A45" s="9"/>
      <c r="B45" s="14"/>
      <c r="C45" s="9"/>
      <c r="D45" s="9"/>
      <c r="E45" s="9"/>
      <c r="F45" s="10"/>
      <c r="G45" s="9"/>
      <c r="H45" s="9"/>
      <c r="I45" s="10"/>
      <c r="J45" s="9"/>
      <c r="K45" s="99"/>
      <c r="L45" s="9"/>
    </row>
    <row r="46" spans="1:12" ht="14.45">
      <c r="A46" s="9"/>
      <c r="B46" s="14"/>
      <c r="C46" s="9"/>
      <c r="D46" s="9"/>
      <c r="E46" s="9"/>
      <c r="F46" s="10"/>
      <c r="G46" s="9"/>
      <c r="H46" s="9"/>
      <c r="I46" s="10"/>
      <c r="J46" s="9"/>
      <c r="K46" s="99"/>
      <c r="L46" s="9"/>
    </row>
    <row r="47" spans="1:12" ht="14.45">
      <c r="A47" s="9"/>
      <c r="B47" s="14"/>
      <c r="C47" s="9"/>
      <c r="D47" s="9"/>
      <c r="E47" s="9"/>
      <c r="F47" s="10"/>
      <c r="G47" s="9"/>
      <c r="H47" s="9"/>
      <c r="I47" s="10"/>
      <c r="J47" s="9"/>
      <c r="K47" s="99"/>
      <c r="L47" s="9"/>
    </row>
    <row r="48" spans="1:12" ht="14.45">
      <c r="A48" s="9"/>
      <c r="B48" s="14"/>
      <c r="C48" s="9"/>
      <c r="D48" s="9"/>
      <c r="E48" s="9"/>
      <c r="F48" s="10"/>
      <c r="G48" s="9"/>
      <c r="H48" s="9"/>
      <c r="I48" s="10"/>
      <c r="J48" s="9"/>
      <c r="K48" s="99"/>
      <c r="L48" s="9"/>
    </row>
    <row r="49" spans="1:12" ht="14.45">
      <c r="A49" s="9"/>
      <c r="B49" s="14"/>
      <c r="C49" s="9"/>
      <c r="D49" s="9"/>
      <c r="E49" s="9"/>
      <c r="F49" s="10"/>
      <c r="G49" s="9"/>
      <c r="H49" s="9"/>
      <c r="I49" s="10"/>
      <c r="J49" s="9"/>
      <c r="K49" s="99"/>
      <c r="L49" s="9"/>
    </row>
    <row r="50" spans="1:12" ht="14.45">
      <c r="A50" s="9"/>
      <c r="B50" s="14"/>
      <c r="C50" s="9"/>
      <c r="D50" s="9"/>
      <c r="E50" s="9"/>
      <c r="F50" s="10"/>
      <c r="G50" s="9"/>
      <c r="H50" s="9"/>
      <c r="I50" s="10"/>
      <c r="J50" s="9"/>
      <c r="K50" s="99"/>
      <c r="L50" s="9"/>
    </row>
    <row r="51" spans="1:12" ht="14.45">
      <c r="A51" s="9"/>
      <c r="B51" s="14"/>
      <c r="C51" s="9"/>
      <c r="D51" s="9"/>
      <c r="E51" s="9"/>
      <c r="F51" s="10"/>
      <c r="G51" s="9"/>
      <c r="H51" s="9"/>
      <c r="I51" s="10"/>
      <c r="J51" s="9"/>
      <c r="K51" s="99"/>
      <c r="L51" s="9"/>
    </row>
    <row r="52" spans="1:12" ht="14.45">
      <c r="A52" s="9"/>
      <c r="B52" s="14"/>
      <c r="C52" s="9"/>
      <c r="D52" s="9"/>
      <c r="E52" s="9"/>
      <c r="F52" s="10"/>
      <c r="G52" s="9"/>
      <c r="H52" s="9"/>
      <c r="I52" s="10"/>
      <c r="J52" s="9"/>
      <c r="K52" s="99"/>
      <c r="L52" s="9"/>
    </row>
    <row r="53" spans="1:12" ht="14.45">
      <c r="A53" s="9"/>
      <c r="B53" s="14"/>
      <c r="C53" s="9"/>
      <c r="D53" s="9"/>
      <c r="E53" s="9"/>
      <c r="F53" s="10"/>
      <c r="G53" s="9"/>
      <c r="H53" s="9"/>
      <c r="I53" s="10"/>
      <c r="J53" s="9"/>
      <c r="K53" s="99"/>
      <c r="L53" s="9"/>
    </row>
    <row r="54" spans="1:12" ht="14.45">
      <c r="A54" s="9"/>
      <c r="B54" s="14"/>
      <c r="C54" s="9"/>
      <c r="D54" s="9"/>
      <c r="E54" s="9"/>
      <c r="F54" s="10"/>
      <c r="G54" s="9"/>
      <c r="H54" s="9"/>
      <c r="I54" s="10"/>
      <c r="J54" s="9"/>
      <c r="K54" s="99"/>
      <c r="L54" s="9"/>
    </row>
    <row r="55" spans="1:12" ht="14.45">
      <c r="A55" s="9"/>
      <c r="B55" s="14"/>
      <c r="C55" s="9"/>
      <c r="D55" s="9"/>
      <c r="E55" s="9"/>
      <c r="F55" s="10"/>
      <c r="G55" s="9"/>
      <c r="H55" s="9"/>
      <c r="I55" s="10"/>
      <c r="J55" s="9"/>
      <c r="K55" s="99"/>
      <c r="L55" s="9"/>
    </row>
    <row r="56" spans="1:12" ht="14.45">
      <c r="A56" s="9"/>
      <c r="B56" s="14"/>
      <c r="C56" s="9"/>
      <c r="D56" s="9"/>
      <c r="E56" s="9"/>
      <c r="F56" s="10"/>
      <c r="G56" s="9"/>
      <c r="H56" s="9"/>
      <c r="I56" s="10"/>
      <c r="J56" s="9"/>
      <c r="K56" s="99"/>
      <c r="L56" s="9"/>
    </row>
    <row r="57" spans="1:12" ht="14.45">
      <c r="A57" s="9"/>
      <c r="B57" s="14"/>
      <c r="C57" s="9"/>
      <c r="D57" s="9"/>
      <c r="E57" s="9"/>
      <c r="F57" s="10"/>
      <c r="G57" s="9"/>
      <c r="H57" s="9"/>
      <c r="I57" s="10"/>
      <c r="J57" s="9"/>
      <c r="K57" s="99"/>
      <c r="L57" s="9"/>
    </row>
    <row r="58" spans="1:12" ht="14.45">
      <c r="A58" s="9"/>
      <c r="B58" s="14"/>
      <c r="C58" s="9"/>
      <c r="D58" s="9"/>
      <c r="E58" s="9"/>
      <c r="F58" s="10"/>
      <c r="G58" s="9"/>
      <c r="H58" s="9"/>
      <c r="I58" s="10"/>
      <c r="J58" s="9"/>
      <c r="K58" s="99"/>
      <c r="L58" s="9"/>
    </row>
    <row r="59" spans="1:12" ht="14.45">
      <c r="A59" s="9"/>
      <c r="B59" s="14"/>
      <c r="C59" s="9"/>
      <c r="D59" s="9"/>
      <c r="E59" s="9"/>
      <c r="F59" s="10"/>
      <c r="G59" s="9"/>
      <c r="H59" s="9"/>
      <c r="I59" s="10"/>
      <c r="J59" s="9"/>
      <c r="K59" s="99"/>
      <c r="L59" s="9"/>
    </row>
    <row r="60" spans="1:12" ht="14.45">
      <c r="A60" s="9"/>
      <c r="B60" s="14"/>
      <c r="C60" s="9"/>
      <c r="D60" s="9"/>
      <c r="E60" s="9"/>
      <c r="F60" s="10"/>
      <c r="G60" s="9"/>
      <c r="H60" s="9"/>
      <c r="I60" s="10"/>
      <c r="J60" s="9"/>
      <c r="K60" s="99"/>
      <c r="L60" s="9"/>
    </row>
    <row r="61" spans="1:12" ht="14.45">
      <c r="A61" s="9"/>
      <c r="B61" s="14"/>
      <c r="C61" s="9"/>
      <c r="D61" s="9"/>
      <c r="E61" s="9"/>
      <c r="F61" s="10"/>
      <c r="G61" s="9"/>
      <c r="H61" s="9"/>
      <c r="I61" s="10"/>
      <c r="J61" s="9"/>
      <c r="K61" s="99"/>
      <c r="L61" s="9"/>
    </row>
    <row r="62" spans="1:12" ht="14.45">
      <c r="A62" s="9"/>
      <c r="B62" s="14"/>
      <c r="C62" s="9"/>
      <c r="D62" s="9"/>
      <c r="E62" s="9"/>
      <c r="F62" s="10"/>
      <c r="G62" s="9"/>
      <c r="H62" s="9"/>
      <c r="I62" s="10"/>
      <c r="J62" s="9"/>
      <c r="K62" s="99"/>
      <c r="L62" s="9"/>
    </row>
    <row r="63" spans="1:12" ht="14.45">
      <c r="A63" s="9"/>
      <c r="B63" s="14"/>
      <c r="C63" s="9"/>
      <c r="D63" s="9"/>
      <c r="E63" s="9"/>
      <c r="F63" s="10"/>
      <c r="G63" s="9"/>
      <c r="H63" s="9"/>
      <c r="I63" s="10"/>
      <c r="J63" s="9"/>
      <c r="K63" s="99"/>
      <c r="L63" s="9"/>
    </row>
    <row r="64" spans="1:12" ht="14.45">
      <c r="A64" s="9"/>
      <c r="B64" s="14"/>
      <c r="C64" s="9"/>
      <c r="D64" s="9"/>
      <c r="E64" s="9"/>
      <c r="F64" s="10"/>
      <c r="G64" s="9"/>
      <c r="H64" s="9"/>
      <c r="I64" s="10"/>
      <c r="J64" s="9"/>
      <c r="K64" s="99"/>
      <c r="L64" s="9"/>
    </row>
    <row r="65" spans="1:12" ht="14.45">
      <c r="A65" s="9"/>
      <c r="B65" s="14"/>
      <c r="C65" s="9"/>
      <c r="D65" s="9"/>
      <c r="E65" s="9"/>
      <c r="F65" s="10"/>
      <c r="G65" s="9"/>
      <c r="H65" s="9"/>
      <c r="I65" s="10"/>
      <c r="J65" s="9"/>
      <c r="K65" s="99"/>
      <c r="L65" s="9"/>
    </row>
    <row r="66" spans="1:12" ht="14.45">
      <c r="A66" s="9"/>
      <c r="B66" s="14"/>
      <c r="C66" s="9"/>
      <c r="D66" s="9"/>
      <c r="E66" s="9"/>
      <c r="F66" s="10"/>
      <c r="G66" s="9"/>
      <c r="H66" s="9"/>
      <c r="I66" s="10"/>
      <c r="J66" s="9"/>
      <c r="K66" s="99"/>
      <c r="L66" s="9"/>
    </row>
    <row r="67" spans="1:12" ht="14.45">
      <c r="A67" s="9"/>
      <c r="B67" s="14"/>
      <c r="C67" s="9"/>
      <c r="D67" s="9"/>
      <c r="E67" s="9"/>
      <c r="F67" s="10"/>
      <c r="G67" s="9"/>
      <c r="H67" s="9"/>
      <c r="I67" s="10"/>
      <c r="J67" s="9"/>
      <c r="K67" s="99"/>
      <c r="L67" s="9"/>
    </row>
    <row r="68" spans="1:12" ht="14.45">
      <c r="A68" s="9"/>
      <c r="B68" s="14"/>
      <c r="C68" s="9"/>
      <c r="D68" s="9"/>
      <c r="E68" s="9"/>
      <c r="F68" s="10"/>
      <c r="G68" s="9"/>
      <c r="H68" s="9"/>
      <c r="I68" s="10"/>
      <c r="J68" s="9"/>
      <c r="K68" s="99"/>
      <c r="L68" s="9"/>
    </row>
    <row r="69" spans="1:12" ht="14.45">
      <c r="A69" s="9"/>
      <c r="B69" s="14"/>
      <c r="C69" s="9"/>
      <c r="D69" s="9"/>
      <c r="E69" s="9"/>
      <c r="F69" s="10"/>
      <c r="G69" s="9"/>
      <c r="H69" s="9"/>
      <c r="I69" s="10"/>
      <c r="J69" s="9"/>
      <c r="K69" s="99"/>
      <c r="L69" s="9"/>
    </row>
    <row r="70" spans="1:12" ht="14.45">
      <c r="A70" s="9"/>
      <c r="B70" s="14"/>
      <c r="C70" s="9"/>
      <c r="D70" s="9"/>
      <c r="E70" s="9"/>
      <c r="F70" s="10"/>
      <c r="G70" s="9"/>
      <c r="H70" s="9"/>
      <c r="I70" s="10"/>
      <c r="J70" s="9"/>
      <c r="K70" s="99"/>
      <c r="L70" s="9"/>
    </row>
    <row r="71" spans="1:12" ht="14.45">
      <c r="A71" s="9"/>
      <c r="B71" s="14"/>
      <c r="C71" s="9"/>
      <c r="D71" s="9"/>
      <c r="E71" s="9"/>
      <c r="F71" s="10"/>
      <c r="G71" s="9"/>
      <c r="H71" s="9"/>
      <c r="I71" s="10"/>
      <c r="J71" s="9"/>
      <c r="K71" s="99"/>
      <c r="L71" s="9"/>
    </row>
    <row r="72" spans="1:12" ht="14.45">
      <c r="A72" s="9"/>
      <c r="B72" s="14"/>
      <c r="C72" s="9"/>
      <c r="D72" s="9"/>
      <c r="E72" s="9"/>
      <c r="F72" s="10"/>
      <c r="G72" s="9"/>
      <c r="H72" s="9"/>
      <c r="I72" s="10"/>
      <c r="J72" s="9"/>
      <c r="K72" s="99"/>
      <c r="L72" s="9"/>
    </row>
    <row r="73" spans="1:12" ht="14.45">
      <c r="A73" s="9"/>
      <c r="B73" s="14"/>
      <c r="C73" s="9"/>
      <c r="D73" s="9"/>
      <c r="E73" s="9"/>
      <c r="F73" s="10"/>
      <c r="G73" s="9"/>
      <c r="H73" s="9"/>
      <c r="I73" s="10"/>
      <c r="J73" s="9"/>
      <c r="K73" s="99"/>
      <c r="L73" s="9"/>
    </row>
    <row r="74" spans="1:12" ht="14.45">
      <c r="A74" s="9"/>
      <c r="B74" s="14"/>
      <c r="C74" s="9"/>
      <c r="D74" s="9"/>
      <c r="E74" s="9"/>
      <c r="F74" s="10"/>
      <c r="G74" s="9"/>
      <c r="H74" s="9"/>
      <c r="I74" s="10"/>
      <c r="J74" s="9"/>
      <c r="K74" s="99"/>
      <c r="L74" s="9"/>
    </row>
    <row r="75" spans="1:12" ht="14.45">
      <c r="A75" s="9"/>
      <c r="B75" s="14"/>
      <c r="C75" s="9"/>
      <c r="D75" s="9"/>
      <c r="E75" s="9"/>
      <c r="F75" s="10"/>
      <c r="G75" s="9"/>
      <c r="H75" s="9"/>
      <c r="I75" s="10"/>
      <c r="J75" s="9"/>
      <c r="K75" s="99"/>
      <c r="L75" s="9"/>
    </row>
    <row r="76" spans="1:12" ht="14.45">
      <c r="A76" s="9"/>
      <c r="B76" s="14"/>
      <c r="C76" s="9"/>
      <c r="D76" s="9"/>
      <c r="E76" s="9"/>
      <c r="F76" s="10"/>
      <c r="G76" s="9"/>
      <c r="H76" s="9"/>
      <c r="I76" s="10"/>
      <c r="J76" s="9"/>
      <c r="K76" s="99"/>
      <c r="L76" s="9"/>
    </row>
    <row r="77" spans="1:12" ht="14.45">
      <c r="A77" s="9"/>
      <c r="B77" s="14"/>
      <c r="C77" s="9"/>
      <c r="D77" s="9"/>
      <c r="E77" s="9"/>
      <c r="F77" s="10"/>
      <c r="G77" s="9"/>
      <c r="H77" s="9"/>
      <c r="I77" s="10"/>
      <c r="J77" s="9"/>
      <c r="K77" s="99"/>
      <c r="L77" s="9"/>
    </row>
    <row r="78" spans="1:12" ht="14.45">
      <c r="A78" s="9"/>
      <c r="B78" s="14"/>
      <c r="C78" s="9"/>
      <c r="D78" s="9"/>
      <c r="E78" s="9"/>
      <c r="F78" s="10"/>
      <c r="G78" s="9"/>
      <c r="H78" s="9"/>
      <c r="I78" s="10"/>
      <c r="J78" s="9"/>
      <c r="K78" s="99"/>
      <c r="L78" s="9"/>
    </row>
    <row r="79" spans="1:12" ht="14.45">
      <c r="A79" s="9"/>
      <c r="B79" s="14"/>
      <c r="C79" s="9"/>
      <c r="D79" s="9"/>
      <c r="E79" s="9"/>
      <c r="F79" s="10"/>
      <c r="G79" s="9"/>
      <c r="H79" s="9"/>
      <c r="I79" s="10"/>
      <c r="J79" s="9"/>
      <c r="K79" s="99"/>
      <c r="L79" s="9"/>
    </row>
    <row r="80" spans="1:12" ht="14.45">
      <c r="A80" s="9"/>
      <c r="B80" s="14"/>
      <c r="C80" s="9"/>
      <c r="D80" s="9"/>
      <c r="E80" s="9"/>
      <c r="F80" s="10"/>
      <c r="G80" s="9"/>
      <c r="H80" s="9"/>
      <c r="I80" s="10"/>
      <c r="J80" s="9"/>
      <c r="K80" s="99"/>
      <c r="L80" s="9"/>
    </row>
    <row r="81" spans="1:12" ht="14.45">
      <c r="A81" s="9"/>
      <c r="B81" s="14"/>
      <c r="C81" s="9"/>
      <c r="D81" s="9"/>
      <c r="E81" s="9"/>
      <c r="F81" s="10"/>
      <c r="G81" s="9"/>
      <c r="H81" s="9"/>
      <c r="I81" s="10"/>
      <c r="J81" s="9"/>
      <c r="K81" s="99"/>
      <c r="L81" s="9"/>
    </row>
    <row r="82" spans="1:12" ht="14.45">
      <c r="A82" s="9"/>
      <c r="B82" s="14"/>
      <c r="C82" s="9"/>
      <c r="D82" s="9"/>
      <c r="E82" s="9"/>
      <c r="F82" s="10"/>
      <c r="G82" s="9"/>
      <c r="H82" s="9"/>
      <c r="I82" s="10"/>
      <c r="J82" s="9"/>
      <c r="K82" s="99"/>
      <c r="L82" s="9"/>
    </row>
    <row r="83" spans="1:12" ht="14.45">
      <c r="A83" s="9"/>
      <c r="B83" s="14"/>
      <c r="C83" s="9"/>
      <c r="D83" s="9"/>
      <c r="E83" s="9"/>
      <c r="F83" s="10"/>
      <c r="G83" s="9"/>
      <c r="H83" s="9"/>
      <c r="I83" s="10"/>
      <c r="J83" s="9"/>
      <c r="K83" s="99"/>
      <c r="L83" s="9"/>
    </row>
    <row r="84" spans="1:12" ht="14.45">
      <c r="A84" s="9"/>
      <c r="B84" s="14"/>
      <c r="C84" s="9"/>
      <c r="D84" s="9"/>
      <c r="E84" s="9"/>
      <c r="F84" s="10"/>
      <c r="G84" s="9"/>
      <c r="H84" s="9"/>
      <c r="I84" s="10"/>
      <c r="J84" s="9"/>
      <c r="K84" s="99"/>
      <c r="L84" s="9"/>
    </row>
    <row r="85" spans="1:12" ht="14.45">
      <c r="A85" s="9"/>
      <c r="B85" s="14"/>
      <c r="C85" s="9"/>
      <c r="D85" s="9"/>
      <c r="E85" s="9"/>
      <c r="F85" s="10"/>
      <c r="G85" s="9"/>
      <c r="H85" s="9"/>
      <c r="I85" s="10"/>
      <c r="J85" s="9"/>
      <c r="K85" s="99"/>
      <c r="L85" s="9"/>
    </row>
    <row r="86" spans="1:12" ht="14.45">
      <c r="A86" s="9"/>
      <c r="B86" s="14"/>
      <c r="C86" s="9"/>
      <c r="D86" s="9"/>
      <c r="E86" s="9"/>
      <c r="F86" s="10"/>
      <c r="G86" s="9"/>
      <c r="H86" s="9"/>
      <c r="I86" s="10"/>
      <c r="J86" s="9"/>
      <c r="K86" s="99"/>
      <c r="L86" s="9"/>
    </row>
    <row r="87" spans="1:12" ht="14.45">
      <c r="A87" s="9"/>
      <c r="B87" s="14"/>
      <c r="C87" s="9"/>
      <c r="D87" s="9"/>
      <c r="E87" s="9"/>
      <c r="F87" s="10"/>
      <c r="G87" s="9"/>
      <c r="H87" s="9"/>
      <c r="I87" s="10"/>
      <c r="J87" s="9"/>
      <c r="K87" s="99"/>
      <c r="L87" s="9"/>
    </row>
    <row r="88" spans="1:12" ht="14.45">
      <c r="A88" s="9"/>
      <c r="B88" s="14"/>
      <c r="C88" s="9"/>
      <c r="D88" s="9"/>
      <c r="E88" s="9"/>
      <c r="F88" s="10"/>
      <c r="G88" s="9"/>
      <c r="H88" s="9"/>
      <c r="I88" s="10"/>
      <c r="J88" s="9"/>
      <c r="K88" s="99"/>
      <c r="L88" s="9"/>
    </row>
    <row r="89" spans="1:12" ht="14.45">
      <c r="A89" s="9"/>
      <c r="B89" s="14"/>
      <c r="C89" s="9"/>
      <c r="D89" s="9"/>
      <c r="E89" s="9"/>
      <c r="F89" s="10"/>
      <c r="G89" s="9"/>
      <c r="H89" s="9"/>
      <c r="I89" s="10"/>
      <c r="J89" s="9"/>
      <c r="K89" s="99"/>
      <c r="L89" s="9"/>
    </row>
    <row r="90" spans="1:12" ht="14.45">
      <c r="A90" s="9"/>
      <c r="B90" s="14"/>
      <c r="C90" s="9"/>
      <c r="D90" s="9"/>
      <c r="E90" s="9"/>
      <c r="F90" s="10"/>
      <c r="G90" s="9"/>
      <c r="H90" s="9"/>
      <c r="I90" s="10"/>
      <c r="J90" s="9"/>
      <c r="K90" s="99"/>
      <c r="L90" s="9"/>
    </row>
    <row r="91" spans="1:12" ht="14.45">
      <c r="A91" s="9"/>
      <c r="B91" s="14"/>
      <c r="C91" s="9"/>
      <c r="D91" s="9"/>
      <c r="E91" s="9"/>
      <c r="F91" s="10"/>
      <c r="G91" s="9"/>
      <c r="H91" s="9"/>
      <c r="I91" s="10"/>
      <c r="J91" s="9"/>
      <c r="K91" s="99"/>
      <c r="L91" s="9"/>
    </row>
    <row r="92" spans="1:12" ht="14.45">
      <c r="A92" s="9"/>
      <c r="B92" s="14"/>
      <c r="C92" s="9"/>
      <c r="D92" s="9"/>
      <c r="E92" s="9"/>
      <c r="F92" s="10"/>
      <c r="G92" s="9"/>
      <c r="H92" s="9"/>
      <c r="I92" s="10"/>
      <c r="J92" s="9"/>
      <c r="K92" s="99"/>
      <c r="L92" s="9"/>
    </row>
    <row r="93" spans="1:12" ht="14.45">
      <c r="A93" s="9"/>
      <c r="B93" s="14"/>
      <c r="C93" s="9"/>
      <c r="D93" s="9"/>
      <c r="E93" s="9"/>
      <c r="F93" s="10"/>
      <c r="G93" s="9"/>
      <c r="H93" s="9"/>
      <c r="I93" s="10"/>
      <c r="J93" s="9"/>
      <c r="K93" s="99"/>
      <c r="L93" s="9"/>
    </row>
    <row r="94" spans="1:12" ht="14.45">
      <c r="A94" s="9"/>
      <c r="B94" s="14"/>
      <c r="C94" s="9"/>
      <c r="D94" s="9"/>
      <c r="E94" s="9"/>
      <c r="F94" s="10"/>
      <c r="G94" s="9"/>
      <c r="H94" s="9"/>
      <c r="I94" s="10"/>
      <c r="J94" s="9"/>
      <c r="K94" s="99"/>
      <c r="L94" s="9"/>
    </row>
    <row r="95" spans="1:12" ht="14.45">
      <c r="A95" s="9"/>
      <c r="B95" s="14"/>
      <c r="C95" s="9"/>
      <c r="D95" s="9"/>
      <c r="E95" s="9"/>
      <c r="F95" s="10"/>
      <c r="G95" s="9"/>
      <c r="H95" s="9"/>
      <c r="I95" s="10"/>
      <c r="J95" s="9"/>
      <c r="K95" s="99"/>
      <c r="L95" s="9"/>
    </row>
    <row r="96" spans="1:12" ht="14.45">
      <c r="A96" s="9"/>
      <c r="B96" s="14"/>
      <c r="C96" s="9"/>
      <c r="D96" s="9"/>
      <c r="E96" s="9"/>
      <c r="F96" s="10"/>
      <c r="G96" s="9"/>
      <c r="H96" s="9"/>
      <c r="I96" s="10"/>
      <c r="J96" s="9"/>
      <c r="K96" s="99"/>
      <c r="L96" s="9"/>
    </row>
    <row r="97" spans="1:12" ht="14.45">
      <c r="A97" s="9"/>
      <c r="B97" s="14"/>
      <c r="C97" s="9"/>
      <c r="D97" s="9"/>
      <c r="E97" s="9"/>
      <c r="F97" s="10"/>
      <c r="G97" s="9"/>
      <c r="H97" s="9"/>
      <c r="I97" s="10"/>
      <c r="J97" s="9"/>
      <c r="K97" s="99"/>
      <c r="L97" s="9"/>
    </row>
    <row r="98" spans="1:12" ht="14.45">
      <c r="A98" s="9"/>
      <c r="B98" s="14"/>
      <c r="C98" s="9"/>
      <c r="D98" s="9"/>
      <c r="E98" s="9"/>
      <c r="F98" s="10"/>
      <c r="G98" s="9"/>
      <c r="H98" s="9"/>
      <c r="I98" s="10"/>
      <c r="J98" s="9"/>
      <c r="K98" s="99"/>
      <c r="L98" s="9"/>
    </row>
    <row r="99" spans="1:12" ht="14.45">
      <c r="A99" s="9"/>
      <c r="B99" s="14"/>
      <c r="C99" s="9"/>
      <c r="D99" s="9"/>
      <c r="E99" s="9"/>
      <c r="F99" s="10"/>
      <c r="G99" s="9"/>
      <c r="H99" s="9"/>
      <c r="I99" s="10"/>
      <c r="J99" s="9"/>
      <c r="K99" s="99"/>
      <c r="L99" s="9"/>
    </row>
    <row r="100" spans="1:12" ht="14.45">
      <c r="A100" s="9"/>
      <c r="B100" s="14"/>
      <c r="C100" s="9"/>
      <c r="D100" s="9"/>
      <c r="E100" s="9"/>
      <c r="F100" s="10"/>
      <c r="G100" s="9"/>
      <c r="H100" s="9"/>
      <c r="I100" s="10"/>
      <c r="J100" s="9"/>
      <c r="K100" s="99"/>
      <c r="L100" s="9"/>
    </row>
    <row r="101" spans="1:12" ht="14.45">
      <c r="A101" s="9"/>
      <c r="B101" s="14"/>
      <c r="C101" s="9"/>
      <c r="D101" s="9"/>
      <c r="E101" s="9"/>
      <c r="F101" s="10"/>
      <c r="G101" s="9"/>
      <c r="H101" s="9"/>
      <c r="I101" s="10"/>
      <c r="J101" s="9"/>
      <c r="K101" s="99"/>
      <c r="L101" s="9"/>
    </row>
    <row r="102" spans="1:12" ht="14.45">
      <c r="A102" s="9"/>
      <c r="B102" s="14"/>
      <c r="C102" s="9"/>
      <c r="D102" s="9"/>
      <c r="E102" s="9"/>
      <c r="F102" s="10"/>
      <c r="G102" s="9"/>
      <c r="H102" s="9"/>
      <c r="I102" s="10"/>
      <c r="J102" s="9"/>
      <c r="K102" s="99"/>
      <c r="L102" s="9"/>
    </row>
    <row r="103" spans="1:12" ht="14.45">
      <c r="A103" s="9"/>
      <c r="B103" s="14"/>
      <c r="C103" s="9"/>
      <c r="D103" s="9"/>
      <c r="E103" s="9"/>
      <c r="F103" s="10"/>
      <c r="G103" s="9"/>
      <c r="H103" s="9"/>
      <c r="I103" s="10"/>
      <c r="J103" s="9"/>
      <c r="K103" s="99"/>
      <c r="L103" s="9"/>
    </row>
    <row r="104" spans="1:12" ht="14.45">
      <c r="A104" s="9"/>
      <c r="B104" s="14"/>
      <c r="C104" s="9"/>
      <c r="D104" s="9"/>
      <c r="E104" s="9"/>
      <c r="F104" s="10"/>
      <c r="G104" s="9"/>
      <c r="H104" s="9"/>
      <c r="I104" s="10"/>
      <c r="J104" s="9"/>
      <c r="K104" s="99"/>
      <c r="L104" s="9"/>
    </row>
    <row r="105" spans="1:12" ht="14.45">
      <c r="A105" s="9"/>
      <c r="B105" s="14"/>
      <c r="C105" s="9"/>
      <c r="D105" s="9"/>
      <c r="E105" s="9"/>
      <c r="F105" s="10"/>
      <c r="G105" s="9"/>
      <c r="H105" s="9"/>
      <c r="I105" s="10"/>
      <c r="J105" s="9"/>
      <c r="K105" s="99"/>
      <c r="L105" s="9"/>
    </row>
    <row r="106" spans="1:12" ht="14.45">
      <c r="A106" s="9"/>
      <c r="B106" s="14"/>
      <c r="C106" s="9"/>
      <c r="D106" s="9"/>
      <c r="E106" s="9"/>
      <c r="F106" s="10"/>
      <c r="G106" s="9"/>
      <c r="H106" s="9"/>
      <c r="I106" s="10"/>
      <c r="J106" s="9"/>
      <c r="K106" s="99"/>
      <c r="L106" s="9"/>
    </row>
    <row r="107" spans="1:12" ht="14.45">
      <c r="A107" s="9"/>
      <c r="B107" s="14"/>
      <c r="C107" s="9"/>
      <c r="D107" s="9"/>
      <c r="E107" s="9"/>
      <c r="F107" s="10"/>
      <c r="G107" s="9"/>
      <c r="H107" s="9"/>
      <c r="I107" s="10"/>
      <c r="J107" s="9"/>
      <c r="K107" s="99"/>
      <c r="L107" s="9"/>
    </row>
    <row r="108" spans="1:12" ht="14.45">
      <c r="A108" s="9"/>
      <c r="B108" s="14"/>
      <c r="C108" s="9"/>
      <c r="D108" s="9"/>
      <c r="E108" s="9"/>
      <c r="F108" s="10"/>
      <c r="G108" s="9"/>
      <c r="H108" s="9"/>
      <c r="I108" s="10"/>
      <c r="J108" s="9"/>
      <c r="K108" s="99"/>
      <c r="L108" s="9"/>
    </row>
    <row r="109" spans="1:12" ht="14.45">
      <c r="A109" s="9"/>
      <c r="B109" s="14"/>
      <c r="C109" s="9"/>
      <c r="D109" s="9"/>
      <c r="E109" s="9"/>
      <c r="F109" s="10"/>
      <c r="G109" s="9"/>
      <c r="H109" s="9"/>
      <c r="I109" s="10"/>
      <c r="J109" s="9"/>
      <c r="K109" s="99"/>
      <c r="L109" s="9"/>
    </row>
    <row r="110" spans="1:12" ht="14.45">
      <c r="A110" s="9"/>
      <c r="B110" s="14"/>
      <c r="C110" s="9"/>
      <c r="D110" s="9"/>
      <c r="E110" s="9"/>
      <c r="F110" s="10"/>
      <c r="G110" s="9"/>
      <c r="H110" s="9"/>
      <c r="I110" s="10"/>
      <c r="J110" s="9"/>
      <c r="K110" s="99"/>
      <c r="L110" s="9"/>
    </row>
    <row r="111" spans="1:12" ht="14.45">
      <c r="A111" s="9"/>
      <c r="B111" s="14"/>
      <c r="C111" s="9"/>
      <c r="D111" s="9"/>
      <c r="E111" s="9"/>
      <c r="F111" s="10"/>
      <c r="G111" s="9"/>
      <c r="H111" s="9"/>
      <c r="I111" s="10"/>
      <c r="J111" s="9"/>
      <c r="K111" s="99"/>
      <c r="L111" s="9"/>
    </row>
    <row r="112" spans="1:12" ht="14.45">
      <c r="A112" s="9"/>
      <c r="B112" s="14"/>
      <c r="C112" s="9"/>
      <c r="D112" s="9"/>
      <c r="E112" s="9"/>
      <c r="F112" s="10"/>
      <c r="G112" s="9"/>
      <c r="H112" s="9"/>
      <c r="I112" s="10"/>
      <c r="J112" s="9"/>
      <c r="K112" s="99"/>
      <c r="L112" s="9"/>
    </row>
    <row r="113" spans="1:12" ht="14.45">
      <c r="A113" s="9"/>
      <c r="B113" s="14"/>
      <c r="C113" s="9"/>
      <c r="D113" s="9"/>
      <c r="E113" s="9"/>
      <c r="F113" s="10"/>
      <c r="G113" s="9"/>
      <c r="H113" s="9"/>
      <c r="I113" s="10"/>
      <c r="J113" s="9"/>
      <c r="K113" s="99"/>
      <c r="L113" s="9"/>
    </row>
    <row r="114" spans="1:12" ht="14.45">
      <c r="A114" s="9"/>
      <c r="B114" s="14"/>
      <c r="C114" s="9"/>
      <c r="D114" s="9"/>
      <c r="E114" s="9"/>
      <c r="F114" s="10"/>
      <c r="G114" s="9"/>
      <c r="H114" s="9"/>
      <c r="I114" s="10"/>
      <c r="J114" s="9"/>
      <c r="K114" s="99"/>
      <c r="L114" s="9"/>
    </row>
    <row r="115" spans="1:12" ht="14.45">
      <c r="A115" s="9"/>
      <c r="B115" s="14"/>
      <c r="C115" s="9"/>
      <c r="D115" s="9"/>
      <c r="E115" s="9"/>
      <c r="F115" s="10"/>
      <c r="G115" s="9"/>
      <c r="H115" s="9"/>
      <c r="I115" s="10"/>
      <c r="J115" s="9"/>
      <c r="K115" s="99"/>
      <c r="L115" s="9"/>
    </row>
    <row r="116" spans="1:12" ht="14.45">
      <c r="A116" s="9"/>
      <c r="B116" s="14"/>
      <c r="C116" s="9"/>
      <c r="D116" s="9"/>
      <c r="E116" s="9"/>
      <c r="F116" s="10"/>
      <c r="G116" s="9"/>
      <c r="H116" s="9"/>
      <c r="I116" s="10"/>
      <c r="J116" s="9"/>
      <c r="K116" s="99"/>
      <c r="L116" s="9"/>
    </row>
    <row r="117" spans="1:12" ht="14.45">
      <c r="A117" s="9"/>
      <c r="B117" s="14"/>
      <c r="C117" s="9"/>
      <c r="D117" s="9"/>
      <c r="E117" s="9"/>
      <c r="F117" s="10"/>
      <c r="G117" s="9"/>
      <c r="H117" s="9"/>
      <c r="I117" s="10"/>
      <c r="J117" s="9"/>
      <c r="K117" s="99"/>
      <c r="L117" s="9"/>
    </row>
    <row r="118" spans="1:12" ht="14.45">
      <c r="A118" s="9"/>
      <c r="B118" s="14"/>
      <c r="C118" s="9"/>
      <c r="D118" s="9"/>
      <c r="E118" s="9"/>
      <c r="F118" s="10"/>
      <c r="G118" s="9"/>
      <c r="H118" s="9"/>
      <c r="I118" s="10"/>
      <c r="J118" s="9"/>
      <c r="K118" s="99"/>
      <c r="L118" s="9"/>
    </row>
    <row r="119" spans="1:12" ht="14.45">
      <c r="A119" s="9"/>
      <c r="B119" s="14"/>
      <c r="C119" s="9"/>
      <c r="D119" s="9"/>
      <c r="E119" s="9"/>
      <c r="F119" s="10"/>
      <c r="G119" s="9"/>
      <c r="H119" s="9"/>
      <c r="I119" s="10"/>
      <c r="J119" s="9"/>
      <c r="K119" s="99"/>
      <c r="L119" s="9"/>
    </row>
    <row r="120" spans="1:12" ht="14.45">
      <c r="A120" s="9"/>
      <c r="B120" s="14"/>
      <c r="C120" s="9"/>
      <c r="D120" s="9"/>
      <c r="E120" s="9"/>
      <c r="F120" s="10"/>
      <c r="G120" s="9"/>
      <c r="H120" s="9"/>
      <c r="I120" s="10"/>
      <c r="J120" s="9"/>
      <c r="K120" s="99"/>
      <c r="L120" s="9"/>
    </row>
    <row r="121" spans="1:12" ht="14.45">
      <c r="A121" s="9"/>
      <c r="B121" s="14"/>
      <c r="C121" s="9"/>
      <c r="D121" s="9"/>
      <c r="E121" s="9"/>
      <c r="F121" s="10"/>
      <c r="G121" s="9"/>
      <c r="H121" s="9"/>
      <c r="I121" s="10"/>
      <c r="J121" s="9"/>
      <c r="K121" s="99"/>
      <c r="L121" s="9"/>
    </row>
    <row r="122" spans="1:12" ht="14.45">
      <c r="A122" s="9"/>
      <c r="B122" s="14"/>
      <c r="C122" s="9"/>
      <c r="D122" s="9"/>
      <c r="E122" s="9"/>
      <c r="F122" s="10"/>
      <c r="G122" s="9"/>
      <c r="H122" s="9"/>
      <c r="I122" s="10"/>
      <c r="J122" s="9"/>
      <c r="K122" s="99"/>
      <c r="L122" s="9"/>
    </row>
    <row r="123" spans="1:12" ht="14.45">
      <c r="A123" s="9"/>
      <c r="B123" s="14"/>
      <c r="C123" s="9"/>
      <c r="D123" s="9"/>
      <c r="E123" s="9"/>
      <c r="F123" s="10"/>
      <c r="G123" s="9"/>
      <c r="H123" s="9"/>
      <c r="I123" s="10"/>
      <c r="J123" s="9"/>
      <c r="K123" s="99"/>
      <c r="L123" s="9"/>
    </row>
    <row r="124" spans="1:12" ht="14.45">
      <c r="A124" s="9"/>
      <c r="B124" s="14"/>
      <c r="C124" s="9"/>
      <c r="D124" s="9"/>
      <c r="E124" s="9"/>
      <c r="F124" s="10"/>
      <c r="G124" s="9"/>
      <c r="H124" s="9"/>
      <c r="I124" s="10"/>
      <c r="J124" s="9"/>
      <c r="K124" s="99"/>
      <c r="L124" s="9"/>
    </row>
    <row r="125" spans="1:12" ht="14.45">
      <c r="A125" s="9"/>
      <c r="B125" s="14"/>
      <c r="C125" s="9"/>
      <c r="D125" s="9"/>
      <c r="E125" s="9"/>
      <c r="F125" s="10"/>
      <c r="G125" s="9"/>
      <c r="H125" s="9"/>
      <c r="I125" s="10"/>
      <c r="J125" s="9"/>
      <c r="K125" s="99"/>
      <c r="L125" s="9"/>
    </row>
    <row r="126" spans="1:12" ht="14.45">
      <c r="A126" s="9"/>
      <c r="B126" s="14"/>
      <c r="C126" s="9"/>
      <c r="D126" s="9"/>
      <c r="E126" s="9"/>
      <c r="F126" s="10"/>
      <c r="G126" s="9"/>
      <c r="H126" s="9"/>
      <c r="I126" s="10"/>
      <c r="J126" s="9"/>
      <c r="K126" s="99"/>
      <c r="L126" s="9"/>
    </row>
    <row r="127" spans="1:12" ht="14.45">
      <c r="A127" s="9"/>
      <c r="B127" s="14"/>
      <c r="C127" s="9"/>
      <c r="D127" s="9"/>
      <c r="E127" s="9"/>
      <c r="F127" s="10"/>
      <c r="G127" s="9"/>
      <c r="H127" s="9"/>
      <c r="I127" s="10"/>
      <c r="J127" s="9"/>
      <c r="K127" s="99"/>
      <c r="L127" s="9"/>
    </row>
    <row r="128" spans="1:12" ht="14.45">
      <c r="A128" s="9"/>
      <c r="B128" s="14"/>
      <c r="C128" s="9"/>
      <c r="D128" s="9"/>
      <c r="E128" s="9"/>
      <c r="F128" s="10"/>
      <c r="G128" s="9"/>
      <c r="H128" s="9"/>
      <c r="I128" s="10"/>
      <c r="J128" s="9"/>
      <c r="K128" s="99"/>
      <c r="L128" s="9"/>
    </row>
    <row r="129" spans="1:12" ht="14.45">
      <c r="A129" s="9"/>
      <c r="B129" s="14"/>
      <c r="C129" s="9"/>
      <c r="D129" s="9"/>
      <c r="E129" s="9"/>
      <c r="F129" s="10"/>
      <c r="G129" s="9"/>
      <c r="H129" s="9"/>
      <c r="I129" s="10"/>
      <c r="J129" s="9"/>
      <c r="K129" s="99"/>
      <c r="L129" s="9"/>
    </row>
    <row r="130" spans="1:12" ht="14.45">
      <c r="A130" s="9"/>
      <c r="B130" s="14"/>
      <c r="C130" s="9"/>
      <c r="D130" s="9"/>
      <c r="E130" s="9"/>
      <c r="F130" s="10"/>
      <c r="G130" s="9"/>
      <c r="H130" s="9"/>
      <c r="I130" s="10"/>
      <c r="J130" s="9"/>
      <c r="K130" s="99"/>
      <c r="L130" s="9"/>
    </row>
    <row r="131" spans="1:12" ht="14.45">
      <c r="A131" s="9"/>
      <c r="B131" s="14"/>
      <c r="C131" s="9"/>
      <c r="D131" s="9"/>
      <c r="E131" s="9"/>
      <c r="F131" s="10"/>
      <c r="G131" s="9"/>
      <c r="H131" s="9"/>
      <c r="I131" s="10"/>
      <c r="J131" s="9"/>
      <c r="K131" s="99"/>
      <c r="L131" s="9"/>
    </row>
    <row r="132" spans="1:12" ht="14.45">
      <c r="A132" s="9"/>
      <c r="B132" s="14"/>
      <c r="C132" s="9"/>
      <c r="D132" s="9"/>
      <c r="E132" s="9"/>
      <c r="F132" s="10"/>
      <c r="G132" s="9"/>
      <c r="H132" s="9"/>
      <c r="I132" s="10"/>
      <c r="J132" s="9"/>
      <c r="K132" s="99"/>
      <c r="L132" s="9"/>
    </row>
    <row r="133" spans="1:12" ht="14.45">
      <c r="A133" s="9"/>
      <c r="B133" s="14"/>
      <c r="C133" s="9"/>
      <c r="D133" s="9"/>
      <c r="E133" s="9"/>
      <c r="F133" s="10"/>
      <c r="G133" s="9"/>
      <c r="H133" s="9"/>
      <c r="I133" s="10"/>
      <c r="J133" s="9"/>
      <c r="K133" s="99"/>
      <c r="L133" s="9"/>
    </row>
    <row r="134" spans="1:12" ht="14.45">
      <c r="A134" s="9"/>
      <c r="B134" s="14"/>
      <c r="C134" s="9"/>
      <c r="D134" s="9"/>
      <c r="E134" s="9"/>
      <c r="F134" s="10"/>
      <c r="G134" s="9"/>
      <c r="H134" s="9"/>
      <c r="I134" s="10"/>
      <c r="J134" s="9"/>
      <c r="K134" s="99"/>
      <c r="L134" s="9"/>
    </row>
    <row r="135" spans="1:12" ht="14.45">
      <c r="A135" s="9"/>
      <c r="B135" s="14"/>
      <c r="C135" s="9"/>
      <c r="D135" s="9"/>
      <c r="E135" s="9"/>
      <c r="F135" s="10"/>
      <c r="G135" s="9"/>
      <c r="H135" s="9"/>
      <c r="I135" s="10"/>
      <c r="J135" s="9"/>
      <c r="K135" s="99"/>
      <c r="L135" s="9"/>
    </row>
    <row r="136" spans="1:12" ht="14.45">
      <c r="A136" s="9"/>
      <c r="B136" s="14"/>
      <c r="C136" s="9"/>
      <c r="D136" s="9"/>
      <c r="E136" s="9"/>
      <c r="F136" s="10"/>
      <c r="G136" s="9"/>
      <c r="H136" s="9"/>
      <c r="I136" s="10"/>
      <c r="J136" s="9"/>
      <c r="K136" s="99"/>
      <c r="L136" s="9"/>
    </row>
    <row r="137" spans="1:12" ht="14.45">
      <c r="A137" s="9"/>
      <c r="B137" s="14"/>
      <c r="C137" s="9"/>
      <c r="D137" s="9"/>
      <c r="E137" s="9"/>
      <c r="F137" s="10"/>
      <c r="G137" s="9"/>
      <c r="H137" s="9"/>
      <c r="I137" s="10"/>
      <c r="J137" s="9"/>
      <c r="K137" s="99"/>
      <c r="L137" s="9"/>
    </row>
    <row r="138" spans="1:12" ht="14.45">
      <c r="A138" s="9"/>
      <c r="B138" s="14"/>
      <c r="C138" s="9"/>
      <c r="D138" s="9"/>
      <c r="E138" s="9"/>
      <c r="F138" s="10"/>
      <c r="G138" s="9"/>
      <c r="H138" s="9"/>
      <c r="I138" s="10"/>
      <c r="J138" s="9"/>
      <c r="K138" s="99"/>
      <c r="L138" s="9"/>
    </row>
    <row r="139" spans="1:12" ht="14.45">
      <c r="A139" s="9"/>
      <c r="B139" s="14"/>
      <c r="C139" s="9"/>
      <c r="D139" s="9"/>
      <c r="E139" s="9"/>
      <c r="F139" s="10"/>
      <c r="G139" s="9"/>
      <c r="H139" s="9"/>
      <c r="I139" s="10"/>
      <c r="J139" s="9"/>
      <c r="K139" s="99"/>
      <c r="L139" s="9"/>
    </row>
    <row r="140" spans="1:12" ht="14.45">
      <c r="A140" s="9"/>
      <c r="B140" s="14"/>
      <c r="C140" s="9"/>
      <c r="D140" s="9"/>
      <c r="E140" s="9"/>
      <c r="F140" s="10"/>
      <c r="G140" s="9"/>
      <c r="H140" s="9"/>
      <c r="I140" s="10"/>
      <c r="J140" s="9"/>
      <c r="K140" s="99"/>
      <c r="L140" s="9"/>
    </row>
    <row r="141" spans="1:12" ht="14.45">
      <c r="A141" s="9"/>
      <c r="B141" s="14"/>
      <c r="C141" s="9"/>
      <c r="D141" s="9"/>
      <c r="E141" s="9"/>
      <c r="F141" s="10"/>
      <c r="G141" s="9"/>
      <c r="H141" s="9"/>
      <c r="I141" s="10"/>
      <c r="J141" s="9"/>
      <c r="K141" s="99"/>
      <c r="L141" s="9"/>
    </row>
    <row r="142" spans="1:12" ht="14.45">
      <c r="A142" s="9"/>
      <c r="B142" s="14"/>
      <c r="C142" s="9"/>
      <c r="D142" s="9"/>
      <c r="E142" s="9"/>
      <c r="F142" s="10"/>
      <c r="G142" s="9"/>
      <c r="H142" s="9"/>
      <c r="I142" s="10"/>
      <c r="J142" s="9"/>
      <c r="K142" s="99"/>
      <c r="L142" s="9"/>
    </row>
    <row r="143" spans="1:12" ht="14.45">
      <c r="A143" s="9"/>
      <c r="B143" s="14"/>
      <c r="C143" s="9"/>
      <c r="D143" s="9"/>
      <c r="E143" s="9"/>
      <c r="F143" s="10"/>
      <c r="G143" s="9"/>
      <c r="H143" s="9"/>
      <c r="I143" s="10"/>
      <c r="J143" s="9"/>
      <c r="K143" s="99"/>
      <c r="L143" s="9"/>
    </row>
    <row r="144" spans="1:12" ht="14.45">
      <c r="A144" s="9"/>
      <c r="B144" s="14"/>
      <c r="C144" s="9"/>
      <c r="D144" s="9"/>
      <c r="E144" s="9"/>
      <c r="F144" s="10"/>
      <c r="G144" s="9"/>
      <c r="H144" s="9"/>
      <c r="I144" s="10"/>
      <c r="J144" s="9"/>
      <c r="K144" s="99"/>
      <c r="L144" s="9"/>
    </row>
    <row r="145" spans="1:12" ht="14.45">
      <c r="A145" s="9"/>
      <c r="B145" s="14"/>
      <c r="C145" s="9"/>
      <c r="D145" s="9"/>
      <c r="E145" s="9"/>
      <c r="F145" s="10"/>
      <c r="G145" s="9"/>
      <c r="H145" s="9"/>
      <c r="I145" s="10"/>
      <c r="J145" s="9"/>
      <c r="K145" s="99"/>
      <c r="L145" s="9"/>
    </row>
    <row r="146" spans="1:12" ht="14.45">
      <c r="A146" s="9"/>
      <c r="B146" s="14"/>
      <c r="C146" s="9"/>
      <c r="D146" s="9"/>
      <c r="E146" s="9"/>
      <c r="F146" s="10"/>
      <c r="G146" s="9"/>
      <c r="H146" s="9"/>
      <c r="I146" s="10"/>
      <c r="J146" s="9"/>
      <c r="K146" s="99"/>
      <c r="L146" s="9"/>
    </row>
    <row r="147" spans="1:12" ht="14.45">
      <c r="A147" s="9"/>
      <c r="B147" s="14"/>
      <c r="C147" s="9"/>
      <c r="D147" s="9"/>
      <c r="E147" s="9"/>
      <c r="F147" s="10"/>
      <c r="G147" s="9"/>
      <c r="H147" s="9"/>
      <c r="I147" s="10"/>
      <c r="J147" s="9"/>
      <c r="K147" s="99"/>
      <c r="L147" s="9"/>
    </row>
    <row r="148" spans="1:12" ht="14.45">
      <c r="A148" s="9"/>
      <c r="B148" s="14"/>
      <c r="C148" s="9"/>
      <c r="D148" s="9"/>
      <c r="E148" s="9"/>
      <c r="F148" s="10"/>
      <c r="G148" s="9"/>
      <c r="H148" s="9"/>
      <c r="I148" s="10"/>
      <c r="J148" s="9"/>
      <c r="K148" s="99"/>
      <c r="L148" s="9"/>
    </row>
    <row r="149" spans="1:12" ht="14.45">
      <c r="A149" s="9"/>
      <c r="B149" s="14"/>
      <c r="C149" s="9"/>
      <c r="D149" s="9"/>
      <c r="E149" s="9"/>
      <c r="F149" s="10"/>
      <c r="G149" s="9"/>
      <c r="H149" s="9"/>
      <c r="I149" s="10"/>
      <c r="J149" s="9"/>
      <c r="K149" s="99"/>
      <c r="L149" s="9"/>
    </row>
    <row r="150" spans="1:12" ht="14.45">
      <c r="A150" s="9"/>
      <c r="B150" s="14"/>
      <c r="C150" s="9"/>
      <c r="D150" s="9"/>
      <c r="E150" s="9"/>
      <c r="F150" s="10"/>
      <c r="G150" s="9"/>
      <c r="H150" s="9"/>
      <c r="I150" s="10"/>
      <c r="J150" s="9"/>
      <c r="K150" s="99"/>
      <c r="L150" s="9"/>
    </row>
    <row r="151" spans="1:12" ht="14.45">
      <c r="A151" s="9"/>
      <c r="B151" s="14"/>
      <c r="C151" s="9"/>
      <c r="D151" s="9"/>
      <c r="E151" s="9"/>
      <c r="F151" s="10"/>
      <c r="G151" s="9"/>
      <c r="H151" s="9"/>
      <c r="I151" s="10"/>
      <c r="J151" s="9"/>
      <c r="K151" s="99"/>
      <c r="L151" s="9"/>
    </row>
    <row r="152" spans="1:12" ht="14.45">
      <c r="A152" s="9"/>
      <c r="B152" s="14"/>
      <c r="C152" s="9"/>
      <c r="D152" s="9"/>
      <c r="E152" s="9"/>
      <c r="F152" s="10"/>
      <c r="G152" s="9"/>
      <c r="H152" s="9"/>
      <c r="I152" s="10"/>
      <c r="J152" s="9"/>
      <c r="K152" s="99"/>
      <c r="L152" s="9"/>
    </row>
    <row r="153" spans="1:12" ht="14.45">
      <c r="A153" s="9"/>
      <c r="B153" s="14"/>
      <c r="C153" s="9"/>
      <c r="D153" s="9"/>
      <c r="E153" s="9"/>
      <c r="F153" s="10"/>
      <c r="G153" s="9"/>
      <c r="H153" s="9"/>
      <c r="I153" s="10"/>
      <c r="J153" s="9"/>
      <c r="K153" s="99"/>
      <c r="L153" s="9"/>
    </row>
    <row r="154" spans="1:12" ht="14.45">
      <c r="A154" s="9"/>
      <c r="B154" s="14"/>
      <c r="C154" s="9"/>
      <c r="D154" s="9"/>
      <c r="E154" s="9"/>
      <c r="F154" s="10"/>
      <c r="G154" s="9"/>
      <c r="H154" s="9"/>
      <c r="I154" s="10"/>
      <c r="J154" s="9"/>
      <c r="K154" s="99"/>
      <c r="L154" s="9"/>
    </row>
    <row r="155" spans="1:12" ht="14.45">
      <c r="A155" s="9"/>
      <c r="B155" s="14"/>
      <c r="C155" s="9"/>
      <c r="D155" s="9"/>
      <c r="E155" s="9"/>
      <c r="F155" s="10"/>
      <c r="G155" s="9"/>
      <c r="H155" s="9"/>
      <c r="I155" s="10"/>
      <c r="J155" s="9"/>
      <c r="K155" s="99"/>
      <c r="L155" s="9"/>
    </row>
    <row r="156" spans="1:12" ht="14.45">
      <c r="A156" s="9"/>
      <c r="B156" s="14"/>
      <c r="C156" s="9"/>
      <c r="D156" s="9"/>
      <c r="E156" s="9"/>
      <c r="F156" s="10"/>
      <c r="G156" s="9"/>
      <c r="H156" s="9"/>
      <c r="I156" s="10"/>
      <c r="J156" s="9"/>
      <c r="K156" s="99"/>
      <c r="L156" s="9"/>
    </row>
    <row r="157" spans="1:12" ht="14.45">
      <c r="A157" s="9"/>
      <c r="B157" s="14"/>
      <c r="C157" s="9"/>
      <c r="D157" s="9"/>
      <c r="E157" s="9"/>
      <c r="F157" s="10"/>
      <c r="G157" s="9"/>
      <c r="H157" s="9"/>
      <c r="I157" s="10"/>
      <c r="J157" s="9"/>
      <c r="K157" s="99"/>
      <c r="L157" s="9"/>
    </row>
    <row r="158" spans="1:12" ht="14.45">
      <c r="A158" s="9"/>
      <c r="B158" s="14"/>
      <c r="C158" s="9"/>
      <c r="D158" s="9"/>
      <c r="E158" s="9"/>
      <c r="F158" s="10"/>
      <c r="G158" s="9"/>
      <c r="H158" s="9"/>
      <c r="I158" s="10"/>
      <c r="J158" s="9"/>
      <c r="K158" s="99"/>
      <c r="L158" s="9"/>
    </row>
    <row r="159" spans="1:12" ht="14.45">
      <c r="A159" s="9"/>
      <c r="B159" s="14"/>
      <c r="C159" s="9"/>
      <c r="D159" s="9"/>
      <c r="E159" s="9"/>
      <c r="F159" s="10"/>
      <c r="G159" s="9"/>
      <c r="H159" s="9"/>
      <c r="I159" s="10"/>
      <c r="J159" s="9"/>
      <c r="K159" s="99"/>
      <c r="L159" s="9"/>
    </row>
    <row r="160" spans="1:12" ht="14.45">
      <c r="A160" s="9"/>
      <c r="B160" s="14"/>
      <c r="C160" s="9"/>
      <c r="D160" s="9"/>
      <c r="E160" s="9"/>
      <c r="F160" s="10"/>
      <c r="G160" s="9"/>
      <c r="H160" s="9"/>
      <c r="I160" s="10"/>
      <c r="J160" s="9"/>
      <c r="K160" s="99"/>
      <c r="L160" s="9"/>
    </row>
    <row r="161" spans="1:12" ht="14.45">
      <c r="A161" s="9"/>
      <c r="B161" s="14"/>
      <c r="C161" s="9"/>
      <c r="D161" s="9"/>
      <c r="E161" s="9"/>
      <c r="F161" s="10"/>
      <c r="G161" s="9"/>
      <c r="H161" s="9"/>
      <c r="I161" s="10"/>
      <c r="J161" s="9"/>
      <c r="K161" s="99"/>
      <c r="L161" s="9"/>
    </row>
    <row r="162" spans="1:12" ht="14.45">
      <c r="A162" s="9"/>
      <c r="B162" s="14"/>
      <c r="C162" s="9"/>
      <c r="D162" s="9"/>
      <c r="E162" s="9"/>
      <c r="F162" s="10"/>
      <c r="G162" s="9"/>
      <c r="H162" s="9"/>
      <c r="I162" s="10"/>
      <c r="J162" s="9"/>
      <c r="K162" s="99"/>
      <c r="L162" s="9"/>
    </row>
    <row r="163" spans="1:12" ht="14.45">
      <c r="A163" s="9"/>
      <c r="B163" s="14"/>
      <c r="C163" s="9"/>
      <c r="D163" s="9"/>
      <c r="E163" s="9"/>
      <c r="F163" s="10"/>
      <c r="G163" s="9"/>
      <c r="H163" s="9"/>
      <c r="I163" s="10"/>
      <c r="J163" s="9"/>
      <c r="K163" s="99"/>
      <c r="L163" s="9"/>
    </row>
    <row r="164" spans="1:12" ht="14.45">
      <c r="A164" s="9"/>
      <c r="B164" s="14"/>
      <c r="C164" s="9"/>
      <c r="D164" s="9"/>
      <c r="E164" s="9"/>
      <c r="F164" s="10"/>
      <c r="G164" s="9"/>
      <c r="H164" s="9"/>
      <c r="I164" s="10"/>
      <c r="J164" s="9"/>
      <c r="K164" s="99"/>
      <c r="L164" s="9"/>
    </row>
    <row r="165" spans="1:12" ht="14.45">
      <c r="A165" s="9"/>
      <c r="B165" s="14"/>
      <c r="C165" s="9"/>
      <c r="D165" s="9"/>
      <c r="E165" s="9"/>
      <c r="F165" s="10"/>
      <c r="G165" s="9"/>
      <c r="H165" s="9"/>
      <c r="I165" s="10"/>
      <c r="J165" s="9"/>
      <c r="K165" s="99"/>
      <c r="L165" s="9"/>
    </row>
    <row r="166" spans="1:12" ht="14.45">
      <c r="A166" s="9"/>
      <c r="B166" s="14"/>
      <c r="C166" s="9"/>
      <c r="D166" s="9"/>
      <c r="E166" s="9"/>
      <c r="F166" s="10"/>
      <c r="G166" s="9"/>
      <c r="H166" s="9"/>
      <c r="I166" s="10"/>
      <c r="J166" s="9"/>
      <c r="K166" s="99"/>
      <c r="L166" s="9"/>
    </row>
    <row r="167" spans="1:12" ht="14.45">
      <c r="A167" s="9"/>
      <c r="B167" s="14"/>
      <c r="C167" s="9"/>
      <c r="D167" s="9"/>
      <c r="E167" s="9"/>
      <c r="F167" s="10"/>
      <c r="G167" s="9"/>
      <c r="H167" s="9"/>
      <c r="I167" s="10"/>
      <c r="J167" s="9"/>
      <c r="K167" s="99"/>
      <c r="L167" s="9"/>
    </row>
    <row r="168" spans="1:12" ht="14.45">
      <c r="A168" s="9"/>
      <c r="B168" s="14"/>
      <c r="C168" s="9"/>
      <c r="D168" s="9"/>
      <c r="E168" s="9"/>
      <c r="F168" s="10"/>
      <c r="G168" s="9"/>
      <c r="H168" s="9"/>
      <c r="I168" s="10"/>
      <c r="J168" s="9"/>
      <c r="K168" s="99"/>
      <c r="L168" s="9"/>
    </row>
    <row r="169" spans="1:12" ht="14.45">
      <c r="A169" s="9"/>
      <c r="B169" s="14"/>
      <c r="C169" s="9"/>
      <c r="D169" s="9"/>
      <c r="E169" s="9"/>
      <c r="F169" s="10"/>
      <c r="G169" s="9"/>
      <c r="H169" s="9"/>
      <c r="I169" s="10"/>
      <c r="J169" s="9"/>
      <c r="K169" s="99"/>
      <c r="L169" s="9"/>
    </row>
    <row r="170" spans="1:12" ht="14.45">
      <c r="A170" s="9"/>
      <c r="B170" s="14"/>
      <c r="C170" s="9"/>
      <c r="D170" s="9"/>
      <c r="E170" s="9"/>
      <c r="F170" s="10"/>
      <c r="G170" s="9"/>
      <c r="H170" s="9"/>
      <c r="I170" s="10"/>
      <c r="J170" s="9"/>
      <c r="K170" s="99"/>
      <c r="L170" s="9"/>
    </row>
    <row r="171" spans="1:12" ht="14.45">
      <c r="A171" s="9"/>
      <c r="B171" s="14"/>
      <c r="C171" s="9"/>
      <c r="D171" s="9"/>
      <c r="E171" s="9"/>
      <c r="F171" s="10"/>
      <c r="G171" s="9"/>
      <c r="H171" s="9"/>
      <c r="I171" s="10"/>
      <c r="J171" s="9"/>
      <c r="K171" s="99"/>
      <c r="L171" s="9"/>
    </row>
    <row r="172" spans="1:12" ht="14.45">
      <c r="A172" s="9"/>
      <c r="B172" s="14"/>
      <c r="C172" s="9"/>
      <c r="D172" s="9"/>
      <c r="E172" s="9"/>
      <c r="F172" s="10"/>
      <c r="G172" s="9"/>
      <c r="H172" s="9"/>
      <c r="I172" s="10"/>
      <c r="J172" s="9"/>
      <c r="K172" s="99"/>
      <c r="L172" s="9"/>
    </row>
    <row r="173" spans="1:12" ht="14.45">
      <c r="A173" s="9"/>
      <c r="B173" s="14"/>
      <c r="C173" s="9"/>
      <c r="D173" s="9"/>
      <c r="E173" s="9"/>
      <c r="F173" s="10"/>
      <c r="G173" s="9"/>
      <c r="H173" s="9"/>
      <c r="I173" s="10"/>
      <c r="J173" s="9"/>
      <c r="K173" s="99"/>
      <c r="L173" s="9"/>
    </row>
    <row r="174" spans="1:12" ht="14.45">
      <c r="A174" s="9"/>
      <c r="B174" s="14"/>
      <c r="C174" s="9"/>
      <c r="D174" s="9"/>
      <c r="E174" s="9"/>
      <c r="F174" s="10"/>
      <c r="G174" s="9"/>
      <c r="H174" s="9"/>
      <c r="I174" s="10"/>
      <c r="J174" s="9"/>
      <c r="K174" s="99"/>
      <c r="L174" s="9"/>
    </row>
    <row r="175" spans="1:12" ht="14.45">
      <c r="A175" s="9"/>
      <c r="B175" s="14"/>
      <c r="C175" s="9"/>
      <c r="D175" s="9"/>
      <c r="E175" s="9"/>
      <c r="F175" s="10"/>
      <c r="G175" s="9"/>
      <c r="H175" s="9"/>
      <c r="I175" s="10"/>
      <c r="J175" s="9"/>
      <c r="K175" s="99"/>
      <c r="L175" s="9"/>
    </row>
    <row r="176" spans="1:12" ht="14.45">
      <c r="A176" s="9"/>
      <c r="B176" s="14"/>
      <c r="C176" s="9"/>
      <c r="D176" s="9"/>
      <c r="E176" s="9"/>
      <c r="F176" s="10"/>
      <c r="G176" s="9"/>
      <c r="H176" s="9"/>
      <c r="I176" s="10"/>
      <c r="J176" s="9"/>
      <c r="K176" s="99"/>
      <c r="L176" s="9"/>
    </row>
    <row r="177" spans="1:12" ht="14.45">
      <c r="A177" s="9"/>
      <c r="B177" s="14"/>
      <c r="C177" s="9"/>
      <c r="D177" s="9"/>
      <c r="E177" s="9"/>
      <c r="F177" s="10"/>
      <c r="G177" s="9"/>
      <c r="H177" s="9"/>
      <c r="I177" s="10"/>
      <c r="J177" s="9"/>
      <c r="K177" s="99"/>
      <c r="L177" s="9"/>
    </row>
    <row r="178" spans="1:12" ht="14.45">
      <c r="A178" s="9"/>
      <c r="B178" s="14"/>
      <c r="C178" s="9"/>
      <c r="D178" s="9"/>
      <c r="E178" s="9"/>
      <c r="F178" s="10"/>
      <c r="G178" s="9"/>
      <c r="H178" s="9"/>
      <c r="I178" s="10"/>
      <c r="J178" s="9"/>
      <c r="K178" s="99"/>
      <c r="L178" s="9"/>
    </row>
    <row r="179" spans="1:12" ht="14.45">
      <c r="A179" s="9"/>
      <c r="B179" s="14"/>
      <c r="C179" s="9"/>
      <c r="D179" s="9"/>
      <c r="E179" s="9"/>
      <c r="F179" s="10"/>
      <c r="G179" s="9"/>
      <c r="H179" s="9"/>
      <c r="I179" s="10"/>
      <c r="J179" s="9"/>
      <c r="K179" s="99"/>
      <c r="L179" s="9"/>
    </row>
    <row r="180" spans="1:12" ht="14.45">
      <c r="A180" s="9"/>
      <c r="B180" s="14"/>
      <c r="C180" s="9"/>
      <c r="D180" s="9"/>
      <c r="E180" s="9"/>
      <c r="F180" s="10"/>
      <c r="G180" s="9"/>
      <c r="H180" s="9"/>
      <c r="I180" s="10"/>
      <c r="J180" s="9"/>
      <c r="K180" s="99"/>
      <c r="L180" s="9"/>
    </row>
    <row r="181" spans="1:12" ht="14.45">
      <c r="A181" s="9"/>
      <c r="B181" s="14"/>
      <c r="C181" s="9"/>
      <c r="D181" s="9"/>
      <c r="E181" s="9"/>
      <c r="F181" s="10"/>
      <c r="G181" s="9"/>
      <c r="H181" s="9"/>
      <c r="I181" s="10"/>
      <c r="J181" s="9"/>
      <c r="K181" s="99"/>
      <c r="L181" s="9"/>
    </row>
    <row r="182" spans="1:12" ht="14.45">
      <c r="A182" s="9"/>
      <c r="B182" s="14"/>
      <c r="C182" s="9"/>
      <c r="D182" s="9"/>
      <c r="E182" s="9"/>
      <c r="F182" s="10"/>
      <c r="G182" s="9"/>
      <c r="H182" s="9"/>
      <c r="I182" s="10"/>
      <c r="J182" s="9"/>
      <c r="K182" s="99"/>
      <c r="L182" s="9"/>
    </row>
    <row r="183" spans="1:12" ht="14.45">
      <c r="A183" s="9"/>
      <c r="B183" s="14"/>
      <c r="C183" s="9"/>
      <c r="D183" s="9"/>
      <c r="E183" s="9"/>
      <c r="F183" s="10"/>
      <c r="G183" s="9"/>
      <c r="H183" s="9"/>
      <c r="I183" s="10"/>
      <c r="J183" s="9"/>
      <c r="K183" s="99"/>
      <c r="L183" s="9"/>
    </row>
    <row r="184" spans="1:12" ht="14.45">
      <c r="A184" s="9"/>
      <c r="B184" s="14"/>
      <c r="C184" s="9"/>
      <c r="D184" s="9"/>
      <c r="E184" s="9"/>
      <c r="F184" s="10"/>
      <c r="G184" s="9"/>
      <c r="H184" s="9"/>
      <c r="I184" s="10"/>
      <c r="J184" s="9"/>
      <c r="K184" s="99"/>
      <c r="L184" s="9"/>
    </row>
    <row r="185" spans="1:12" ht="14.45">
      <c r="A185" s="9"/>
      <c r="B185" s="14"/>
      <c r="C185" s="9"/>
      <c r="D185" s="9"/>
      <c r="E185" s="9"/>
      <c r="F185" s="10"/>
      <c r="G185" s="9"/>
      <c r="H185" s="9"/>
      <c r="I185" s="10"/>
      <c r="J185" s="9"/>
      <c r="K185" s="99"/>
      <c r="L185" s="9"/>
    </row>
    <row r="186" spans="1:12" ht="14.45">
      <c r="A186" s="9"/>
      <c r="B186" s="14"/>
      <c r="C186" s="9"/>
      <c r="D186" s="9"/>
      <c r="E186" s="9"/>
      <c r="F186" s="10"/>
      <c r="G186" s="9"/>
      <c r="H186" s="9"/>
      <c r="I186" s="10"/>
      <c r="J186" s="9"/>
      <c r="K186" s="99"/>
      <c r="L186" s="9"/>
    </row>
    <row r="187" spans="1:12" ht="14.45">
      <c r="A187" s="9"/>
      <c r="B187" s="14"/>
      <c r="C187" s="9"/>
      <c r="D187" s="9"/>
      <c r="E187" s="9"/>
      <c r="F187" s="10"/>
      <c r="G187" s="9"/>
      <c r="H187" s="9"/>
      <c r="I187" s="10"/>
      <c r="J187" s="9"/>
      <c r="K187" s="99"/>
      <c r="L187" s="9"/>
    </row>
    <row r="188" spans="1:12" ht="14.45">
      <c r="A188" s="9"/>
      <c r="B188" s="14"/>
      <c r="C188" s="9"/>
      <c r="D188" s="9"/>
      <c r="E188" s="9"/>
      <c r="F188" s="10"/>
      <c r="G188" s="9"/>
      <c r="H188" s="9"/>
      <c r="I188" s="10"/>
      <c r="J188" s="9"/>
      <c r="K188" s="99"/>
      <c r="L188" s="9"/>
    </row>
    <row r="189" spans="1:12" ht="14.45">
      <c r="A189" s="9"/>
      <c r="B189" s="14"/>
      <c r="C189" s="9"/>
      <c r="D189" s="9"/>
      <c r="E189" s="9"/>
      <c r="F189" s="10"/>
      <c r="G189" s="9"/>
      <c r="H189" s="9"/>
      <c r="I189" s="10"/>
      <c r="J189" s="9"/>
      <c r="K189" s="99"/>
      <c r="L189" s="9"/>
    </row>
    <row r="190" spans="1:12" ht="14.45">
      <c r="A190" s="9"/>
      <c r="B190" s="14"/>
      <c r="C190" s="9"/>
      <c r="D190" s="9"/>
      <c r="E190" s="9"/>
      <c r="F190" s="10"/>
      <c r="G190" s="9"/>
      <c r="H190" s="9"/>
      <c r="I190" s="10"/>
      <c r="J190" s="9"/>
      <c r="K190" s="99"/>
      <c r="L190" s="9"/>
    </row>
    <row r="191" spans="1:12" ht="14.45">
      <c r="A191" s="9"/>
      <c r="B191" s="14"/>
      <c r="C191" s="9"/>
      <c r="D191" s="9"/>
      <c r="E191" s="9"/>
      <c r="F191" s="10"/>
      <c r="G191" s="9"/>
      <c r="H191" s="9"/>
      <c r="I191" s="10"/>
      <c r="J191" s="9"/>
      <c r="K191" s="99"/>
      <c r="L191" s="9"/>
    </row>
    <row r="192" spans="1:12" ht="14.45">
      <c r="A192" s="9"/>
      <c r="B192" s="14"/>
      <c r="C192" s="9"/>
      <c r="D192" s="9"/>
      <c r="E192" s="9"/>
      <c r="F192" s="10"/>
      <c r="G192" s="9"/>
      <c r="H192" s="9"/>
      <c r="I192" s="10"/>
      <c r="J192" s="9"/>
      <c r="K192" s="99"/>
      <c r="L192" s="9"/>
    </row>
    <row r="193" spans="1:12" ht="14.45">
      <c r="A193" s="9"/>
      <c r="B193" s="14"/>
      <c r="C193" s="9"/>
      <c r="D193" s="9"/>
      <c r="E193" s="9"/>
      <c r="F193" s="10"/>
      <c r="G193" s="9"/>
      <c r="H193" s="9"/>
      <c r="I193" s="10"/>
      <c r="J193" s="9"/>
      <c r="K193" s="99"/>
      <c r="L193" s="9"/>
    </row>
    <row r="194" spans="1:12" ht="14.45">
      <c r="A194" s="9"/>
      <c r="B194" s="14"/>
      <c r="C194" s="9"/>
      <c r="D194" s="9"/>
      <c r="E194" s="9"/>
      <c r="F194" s="10"/>
      <c r="G194" s="9"/>
      <c r="H194" s="9"/>
      <c r="I194" s="10"/>
      <c r="J194" s="9"/>
      <c r="K194" s="99"/>
      <c r="L194" s="9"/>
    </row>
    <row r="195" spans="1:12" ht="14.45">
      <c r="A195" s="9"/>
      <c r="B195" s="14"/>
      <c r="C195" s="9"/>
      <c r="D195" s="9"/>
      <c r="E195" s="9"/>
      <c r="F195" s="10"/>
      <c r="G195" s="9"/>
      <c r="H195" s="9"/>
      <c r="I195" s="10"/>
      <c r="J195" s="9"/>
      <c r="K195" s="99"/>
      <c r="L195" s="9"/>
    </row>
    <row r="196" spans="1:12" ht="14.45">
      <c r="A196" s="9"/>
      <c r="B196" s="14"/>
      <c r="C196" s="9"/>
      <c r="D196" s="9"/>
      <c r="E196" s="9"/>
      <c r="F196" s="10"/>
      <c r="G196" s="9"/>
      <c r="H196" s="9"/>
      <c r="I196" s="10"/>
      <c r="J196" s="9"/>
      <c r="K196" s="99"/>
      <c r="L196" s="9"/>
    </row>
    <row r="197" spans="1:12" ht="14.45">
      <c r="A197" s="9"/>
      <c r="B197" s="14"/>
      <c r="C197" s="9"/>
      <c r="D197" s="9"/>
      <c r="E197" s="9"/>
      <c r="F197" s="10"/>
      <c r="G197" s="9"/>
      <c r="H197" s="9"/>
      <c r="I197" s="10"/>
      <c r="J197" s="9"/>
      <c r="K197" s="99"/>
      <c r="L197" s="9"/>
    </row>
    <row r="198" spans="1:12" ht="14.45">
      <c r="A198" s="9"/>
      <c r="B198" s="14"/>
      <c r="C198" s="9"/>
      <c r="D198" s="9"/>
      <c r="E198" s="9"/>
      <c r="F198" s="10"/>
      <c r="G198" s="9"/>
      <c r="H198" s="9"/>
      <c r="I198" s="10"/>
      <c r="J198" s="9"/>
      <c r="K198" s="99"/>
      <c r="L198" s="9"/>
    </row>
    <row r="199" spans="1:12" ht="14.45">
      <c r="A199" s="9"/>
      <c r="B199" s="14"/>
      <c r="C199" s="9"/>
      <c r="D199" s="9"/>
      <c r="E199" s="9"/>
      <c r="F199" s="10"/>
      <c r="G199" s="9"/>
      <c r="H199" s="9"/>
      <c r="I199" s="10"/>
      <c r="J199" s="9"/>
      <c r="K199" s="99"/>
      <c r="L199" s="9"/>
    </row>
    <row r="200" spans="1:12" ht="14.45">
      <c r="A200" s="9"/>
      <c r="B200" s="14"/>
      <c r="C200" s="9"/>
      <c r="D200" s="9"/>
      <c r="E200" s="9"/>
      <c r="F200" s="10"/>
      <c r="G200" s="9"/>
      <c r="H200" s="9"/>
      <c r="I200" s="10"/>
      <c r="J200" s="9"/>
      <c r="K200" s="99"/>
      <c r="L200" s="9"/>
    </row>
    <row r="201" spans="1:12" ht="14.45">
      <c r="A201" s="9"/>
      <c r="B201" s="14"/>
      <c r="C201" s="9"/>
      <c r="D201" s="9"/>
      <c r="E201" s="9"/>
      <c r="F201" s="10"/>
      <c r="G201" s="9"/>
      <c r="H201" s="9"/>
      <c r="I201" s="10"/>
      <c r="J201" s="9"/>
      <c r="K201" s="99"/>
      <c r="L201" s="9"/>
    </row>
    <row r="202" spans="1:12" ht="14.45">
      <c r="A202" s="9"/>
      <c r="B202" s="14"/>
      <c r="C202" s="9"/>
      <c r="D202" s="9"/>
      <c r="E202" s="9"/>
      <c r="F202" s="10"/>
      <c r="G202" s="9"/>
      <c r="H202" s="9"/>
      <c r="I202" s="10"/>
      <c r="J202" s="9"/>
      <c r="K202" s="99"/>
      <c r="L202" s="9"/>
    </row>
    <row r="203" spans="1:12" ht="14.45">
      <c r="A203" s="9"/>
      <c r="B203" s="14"/>
      <c r="C203" s="9"/>
      <c r="D203" s="9"/>
      <c r="E203" s="9"/>
      <c r="F203" s="10"/>
      <c r="G203" s="9"/>
      <c r="H203" s="9"/>
      <c r="I203" s="10"/>
      <c r="J203" s="9"/>
      <c r="K203" s="99"/>
      <c r="L203" s="9"/>
    </row>
    <row r="204" spans="1:12" ht="14.45">
      <c r="A204" s="9"/>
      <c r="B204" s="14"/>
      <c r="C204" s="9"/>
      <c r="D204" s="9"/>
      <c r="E204" s="9"/>
      <c r="F204" s="10"/>
      <c r="G204" s="9"/>
      <c r="H204" s="9"/>
      <c r="I204" s="10"/>
      <c r="J204" s="9"/>
      <c r="K204" s="99"/>
      <c r="L204" s="9"/>
    </row>
    <row r="205" spans="1:12" ht="14.45">
      <c r="A205" s="9"/>
      <c r="B205" s="14"/>
      <c r="C205" s="9"/>
      <c r="D205" s="9"/>
      <c r="E205" s="9"/>
      <c r="F205" s="10"/>
      <c r="G205" s="9"/>
      <c r="H205" s="9"/>
      <c r="I205" s="10"/>
      <c r="J205" s="9"/>
      <c r="K205" s="99"/>
      <c r="L205" s="9"/>
    </row>
    <row r="206" spans="1:12" ht="14.45">
      <c r="A206" s="9"/>
      <c r="B206" s="14"/>
      <c r="C206" s="9"/>
      <c r="D206" s="9"/>
      <c r="E206" s="9"/>
      <c r="F206" s="10"/>
      <c r="G206" s="9"/>
      <c r="H206" s="9"/>
      <c r="I206" s="10"/>
      <c r="J206" s="9"/>
      <c r="K206" s="99"/>
      <c r="L206" s="9"/>
    </row>
    <row r="207" spans="1:12" ht="14.45">
      <c r="A207" s="9"/>
      <c r="B207" s="14"/>
      <c r="C207" s="9"/>
      <c r="D207" s="9"/>
      <c r="E207" s="9"/>
      <c r="F207" s="10"/>
      <c r="G207" s="9"/>
      <c r="H207" s="9"/>
      <c r="I207" s="10"/>
      <c r="J207" s="9"/>
      <c r="K207" s="99"/>
      <c r="L207" s="9"/>
    </row>
    <row r="208" spans="1:12" ht="14.45">
      <c r="A208" s="9"/>
      <c r="B208" s="14"/>
      <c r="C208" s="9"/>
      <c r="D208" s="9"/>
      <c r="E208" s="9"/>
      <c r="F208" s="10"/>
      <c r="G208" s="9"/>
      <c r="H208" s="9"/>
      <c r="I208" s="10"/>
      <c r="J208" s="9"/>
      <c r="K208" s="99"/>
      <c r="L208" s="9"/>
    </row>
    <row r="209" spans="1:12" ht="14.45">
      <c r="A209" s="9"/>
      <c r="B209" s="14"/>
      <c r="C209" s="9"/>
      <c r="D209" s="9"/>
      <c r="E209" s="9"/>
      <c r="F209" s="10"/>
      <c r="G209" s="9"/>
      <c r="H209" s="9"/>
      <c r="I209" s="10"/>
      <c r="J209" s="9"/>
      <c r="K209" s="99"/>
      <c r="L209" s="9"/>
    </row>
    <row r="210" spans="1:12" ht="14.45">
      <c r="A210" s="9"/>
      <c r="B210" s="14"/>
      <c r="C210" s="9"/>
      <c r="D210" s="9"/>
      <c r="E210" s="9"/>
      <c r="F210" s="10"/>
      <c r="G210" s="9"/>
      <c r="H210" s="9"/>
      <c r="I210" s="10"/>
      <c r="J210" s="9"/>
      <c r="K210" s="99"/>
      <c r="L210" s="9"/>
    </row>
    <row r="211" spans="1:12" ht="14.45">
      <c r="A211" s="9"/>
      <c r="B211" s="14"/>
      <c r="C211" s="9"/>
      <c r="D211" s="9"/>
      <c r="E211" s="9"/>
      <c r="F211" s="10"/>
      <c r="G211" s="9"/>
      <c r="H211" s="9"/>
      <c r="I211" s="10"/>
      <c r="J211" s="9"/>
      <c r="K211" s="99"/>
      <c r="L211" s="9"/>
    </row>
    <row r="212" spans="1:12" ht="14.45">
      <c r="A212" s="9"/>
      <c r="B212" s="14"/>
      <c r="C212" s="9"/>
      <c r="D212" s="9"/>
      <c r="E212" s="9"/>
      <c r="F212" s="10"/>
      <c r="G212" s="9"/>
      <c r="H212" s="9"/>
      <c r="I212" s="10"/>
      <c r="J212" s="9"/>
      <c r="K212" s="99"/>
      <c r="L212" s="9"/>
    </row>
    <row r="213" spans="1:12" ht="14.45">
      <c r="A213" s="9"/>
      <c r="B213" s="14"/>
      <c r="C213" s="9"/>
      <c r="D213" s="9"/>
      <c r="E213" s="9"/>
      <c r="F213" s="10"/>
      <c r="G213" s="9"/>
      <c r="H213" s="9"/>
      <c r="I213" s="10"/>
      <c r="J213" s="9"/>
      <c r="K213" s="99"/>
      <c r="L213" s="9"/>
    </row>
    <row r="214" spans="1:12" ht="14.45">
      <c r="A214" s="9"/>
      <c r="B214" s="14"/>
      <c r="C214" s="9"/>
      <c r="D214" s="9"/>
      <c r="E214" s="9"/>
      <c r="F214" s="10"/>
      <c r="G214" s="9"/>
      <c r="H214" s="9"/>
      <c r="I214" s="10"/>
      <c r="J214" s="9"/>
      <c r="K214" s="99"/>
      <c r="L214" s="9"/>
    </row>
    <row r="215" spans="1:12" ht="14.45">
      <c r="A215" s="9"/>
      <c r="B215" s="14"/>
      <c r="C215" s="9"/>
      <c r="D215" s="9"/>
      <c r="E215" s="9"/>
      <c r="F215" s="10"/>
      <c r="G215" s="9"/>
      <c r="H215" s="9"/>
      <c r="I215" s="10"/>
      <c r="J215" s="9"/>
      <c r="K215" s="99"/>
      <c r="L215" s="9"/>
    </row>
    <row r="216" spans="1:12" ht="14.45">
      <c r="A216" s="9"/>
      <c r="B216" s="14"/>
      <c r="C216" s="9"/>
      <c r="D216" s="9"/>
      <c r="E216" s="9"/>
      <c r="F216" s="10"/>
      <c r="G216" s="9"/>
      <c r="H216" s="9"/>
      <c r="I216" s="10"/>
      <c r="J216" s="9"/>
      <c r="K216" s="99"/>
      <c r="L216" s="9"/>
    </row>
    <row r="217" spans="1:12" ht="14.45">
      <c r="A217" s="9"/>
      <c r="B217" s="14"/>
      <c r="C217" s="9"/>
      <c r="D217" s="9"/>
      <c r="E217" s="9"/>
      <c r="F217" s="10"/>
      <c r="G217" s="9"/>
      <c r="H217" s="9"/>
      <c r="I217" s="10"/>
      <c r="J217" s="9"/>
      <c r="K217" s="99"/>
      <c r="L217" s="9"/>
    </row>
    <row r="218" spans="1:12" ht="14.45">
      <c r="A218" s="9"/>
      <c r="B218" s="14"/>
      <c r="C218" s="9"/>
      <c r="D218" s="9"/>
      <c r="E218" s="9"/>
      <c r="F218" s="10"/>
      <c r="G218" s="9"/>
      <c r="H218" s="9"/>
      <c r="I218" s="10"/>
      <c r="J218" s="9"/>
      <c r="K218" s="99"/>
      <c r="L218" s="9"/>
    </row>
    <row r="219" spans="1:12" ht="14.45">
      <c r="A219" s="9"/>
      <c r="B219" s="14"/>
      <c r="C219" s="9"/>
      <c r="D219" s="9"/>
      <c r="E219" s="9"/>
      <c r="F219" s="10"/>
      <c r="G219" s="9"/>
      <c r="H219" s="9"/>
      <c r="I219" s="10"/>
      <c r="J219" s="9"/>
      <c r="K219" s="99"/>
      <c r="L219" s="9"/>
    </row>
    <row r="220" spans="1:12" ht="14.45">
      <c r="A220" s="9"/>
      <c r="B220" s="14"/>
      <c r="C220" s="9"/>
      <c r="D220" s="9"/>
      <c r="E220" s="9"/>
      <c r="F220" s="10"/>
      <c r="G220" s="9"/>
      <c r="H220" s="9"/>
      <c r="I220" s="10"/>
      <c r="J220" s="9"/>
      <c r="K220" s="99"/>
      <c r="L220" s="9"/>
    </row>
    <row r="221" spans="1:12" ht="14.45">
      <c r="A221" s="9"/>
      <c r="B221" s="14"/>
      <c r="C221" s="9"/>
      <c r="D221" s="9"/>
      <c r="E221" s="9"/>
      <c r="F221" s="10"/>
      <c r="G221" s="9"/>
      <c r="H221" s="9"/>
      <c r="I221" s="10"/>
      <c r="J221" s="9"/>
      <c r="K221" s="99"/>
      <c r="L221" s="9"/>
    </row>
    <row r="222" spans="1:12" ht="14.45">
      <c r="A222" s="9"/>
      <c r="B222" s="14"/>
      <c r="C222" s="9"/>
      <c r="D222" s="9"/>
      <c r="E222" s="9"/>
      <c r="F222" s="10"/>
      <c r="G222" s="9"/>
      <c r="H222" s="9"/>
      <c r="I222" s="10"/>
      <c r="J222" s="9"/>
      <c r="K222" s="99"/>
      <c r="L222" s="9"/>
    </row>
    <row r="223" spans="1:12" ht="14.45">
      <c r="A223" s="9"/>
      <c r="B223" s="14"/>
      <c r="C223" s="9"/>
      <c r="D223" s="9"/>
      <c r="E223" s="9"/>
      <c r="F223" s="10"/>
      <c r="G223" s="9"/>
      <c r="H223" s="9"/>
      <c r="I223" s="10"/>
      <c r="J223" s="9"/>
      <c r="K223" s="99"/>
      <c r="L223" s="9"/>
    </row>
    <row r="224" spans="1:12" ht="14.45">
      <c r="A224" s="9"/>
      <c r="B224" s="14"/>
      <c r="C224" s="9"/>
      <c r="D224" s="9"/>
      <c r="E224" s="9"/>
      <c r="F224" s="10"/>
      <c r="G224" s="9"/>
      <c r="H224" s="9"/>
      <c r="I224" s="10"/>
      <c r="J224" s="9"/>
      <c r="K224" s="99"/>
      <c r="L224" s="9"/>
    </row>
    <row r="225" spans="1:12" ht="14.45">
      <c r="A225" s="9"/>
      <c r="B225" s="14"/>
      <c r="C225" s="9"/>
      <c r="D225" s="9"/>
      <c r="E225" s="9"/>
      <c r="F225" s="10"/>
      <c r="G225" s="9"/>
      <c r="H225" s="9"/>
      <c r="I225" s="10"/>
      <c r="J225" s="9"/>
      <c r="K225" s="99"/>
      <c r="L225" s="9"/>
    </row>
    <row r="226" spans="1:12" ht="14.45">
      <c r="A226" s="9"/>
      <c r="B226" s="14"/>
      <c r="C226" s="9"/>
      <c r="D226" s="9"/>
      <c r="E226" s="9"/>
      <c r="F226" s="10"/>
      <c r="G226" s="9"/>
      <c r="H226" s="9"/>
      <c r="I226" s="10"/>
      <c r="J226" s="9"/>
      <c r="K226" s="99"/>
      <c r="L226" s="9"/>
    </row>
    <row r="227" spans="1:12" ht="14.45">
      <c r="A227" s="9"/>
      <c r="B227" s="14"/>
      <c r="C227" s="9"/>
      <c r="D227" s="9"/>
      <c r="E227" s="9"/>
      <c r="F227" s="10"/>
      <c r="G227" s="9"/>
      <c r="H227" s="9"/>
      <c r="I227" s="10"/>
      <c r="J227" s="9"/>
      <c r="K227" s="99"/>
      <c r="L227" s="9"/>
    </row>
    <row r="228" spans="1:12" ht="14.45">
      <c r="A228" s="9"/>
      <c r="B228" s="14"/>
      <c r="C228" s="9"/>
      <c r="D228" s="9"/>
      <c r="E228" s="9"/>
      <c r="F228" s="10"/>
      <c r="G228" s="9"/>
      <c r="H228" s="9"/>
      <c r="I228" s="10"/>
      <c r="J228" s="9"/>
      <c r="K228" s="99"/>
      <c r="L228" s="9"/>
    </row>
    <row r="229" spans="1:12" ht="14.45">
      <c r="A229" s="9"/>
      <c r="B229" s="14"/>
      <c r="C229" s="9"/>
      <c r="D229" s="9"/>
      <c r="E229" s="9"/>
      <c r="F229" s="10"/>
      <c r="G229" s="9"/>
      <c r="H229" s="9"/>
      <c r="I229" s="10"/>
      <c r="J229" s="9"/>
      <c r="K229" s="99"/>
      <c r="L229" s="9"/>
    </row>
    <row r="230" spans="1:12" ht="14.45">
      <c r="A230" s="9"/>
      <c r="B230" s="14"/>
      <c r="C230" s="9"/>
      <c r="D230" s="9"/>
      <c r="E230" s="9"/>
      <c r="F230" s="10"/>
      <c r="G230" s="9"/>
      <c r="H230" s="9"/>
      <c r="I230" s="10"/>
      <c r="J230" s="9"/>
      <c r="K230" s="99"/>
      <c r="L230" s="9"/>
    </row>
    <row r="231" spans="1:12" ht="14.45">
      <c r="A231" s="9"/>
      <c r="B231" s="14"/>
      <c r="C231" s="9"/>
      <c r="D231" s="9"/>
      <c r="E231" s="9"/>
      <c r="F231" s="10"/>
      <c r="G231" s="9"/>
      <c r="H231" s="9"/>
      <c r="I231" s="10"/>
      <c r="J231" s="9"/>
      <c r="K231" s="99"/>
      <c r="L231" s="9"/>
    </row>
    <row r="232" spans="1:12" ht="14.45">
      <c r="A232" s="9"/>
      <c r="B232" s="14"/>
      <c r="C232" s="9"/>
      <c r="D232" s="9"/>
      <c r="E232" s="9"/>
      <c r="F232" s="10"/>
      <c r="G232" s="9"/>
      <c r="H232" s="9"/>
      <c r="I232" s="10"/>
      <c r="J232" s="9"/>
      <c r="K232" s="99"/>
      <c r="L232" s="9"/>
    </row>
    <row r="233" spans="1:12" ht="14.45">
      <c r="A233" s="9"/>
      <c r="B233" s="14"/>
      <c r="C233" s="9"/>
      <c r="D233" s="9"/>
      <c r="E233" s="9"/>
      <c r="F233" s="10"/>
      <c r="G233" s="9"/>
      <c r="H233" s="9"/>
      <c r="I233" s="10"/>
      <c r="J233" s="9"/>
      <c r="K233" s="99"/>
      <c r="L233" s="9"/>
    </row>
    <row r="234" spans="1:12" ht="14.45">
      <c r="A234" s="9"/>
      <c r="B234" s="14"/>
      <c r="C234" s="9"/>
      <c r="D234" s="9"/>
      <c r="E234" s="9"/>
      <c r="F234" s="10"/>
      <c r="G234" s="9"/>
      <c r="H234" s="9"/>
      <c r="I234" s="10"/>
      <c r="J234" s="9"/>
      <c r="K234" s="99"/>
      <c r="L234" s="9"/>
    </row>
    <row r="235" spans="1:12" ht="14.45">
      <c r="A235" s="9"/>
      <c r="B235" s="14"/>
      <c r="C235" s="9"/>
      <c r="D235" s="9"/>
      <c r="E235" s="9"/>
      <c r="F235" s="10"/>
      <c r="G235" s="9"/>
      <c r="H235" s="9"/>
      <c r="I235" s="10"/>
      <c r="J235" s="9"/>
      <c r="K235" s="99"/>
      <c r="L235" s="9"/>
    </row>
    <row r="236" spans="1:12" ht="14.45">
      <c r="A236" s="9"/>
      <c r="B236" s="14"/>
      <c r="C236" s="9"/>
      <c r="D236" s="9"/>
      <c r="E236" s="9"/>
      <c r="F236" s="10"/>
      <c r="G236" s="9"/>
      <c r="H236" s="9"/>
      <c r="I236" s="10"/>
      <c r="J236" s="9"/>
      <c r="K236" s="99"/>
      <c r="L236" s="9"/>
    </row>
    <row r="237" spans="1:12" ht="14.45">
      <c r="A237" s="9"/>
      <c r="B237" s="14"/>
      <c r="C237" s="9"/>
      <c r="D237" s="9"/>
      <c r="E237" s="9"/>
      <c r="F237" s="10"/>
      <c r="G237" s="9"/>
      <c r="H237" s="9"/>
      <c r="I237" s="10"/>
      <c r="J237" s="9"/>
      <c r="K237" s="99"/>
      <c r="L237" s="9"/>
    </row>
    <row r="238" spans="1:12" ht="14.45">
      <c r="A238" s="9"/>
      <c r="B238" s="14"/>
      <c r="C238" s="9"/>
      <c r="D238" s="9"/>
      <c r="E238" s="9"/>
      <c r="F238" s="10"/>
      <c r="G238" s="9"/>
      <c r="H238" s="9"/>
      <c r="I238" s="10"/>
      <c r="J238" s="9"/>
      <c r="K238" s="99"/>
      <c r="L238" s="9"/>
    </row>
    <row r="239" spans="1:12" ht="14.45">
      <c r="A239" s="9"/>
      <c r="B239" s="14"/>
      <c r="C239" s="9"/>
      <c r="D239" s="9"/>
      <c r="E239" s="9"/>
      <c r="F239" s="10"/>
      <c r="G239" s="9"/>
      <c r="H239" s="9"/>
      <c r="I239" s="10"/>
      <c r="J239" s="9"/>
      <c r="K239" s="99"/>
      <c r="L239" s="9"/>
    </row>
    <row r="240" spans="1:12" ht="14.45">
      <c r="A240" s="9"/>
      <c r="B240" s="14"/>
      <c r="C240" s="9"/>
      <c r="D240" s="9"/>
      <c r="E240" s="9"/>
      <c r="F240" s="10"/>
      <c r="G240" s="9"/>
      <c r="H240" s="9"/>
      <c r="I240" s="10"/>
      <c r="J240" s="9"/>
      <c r="K240" s="99"/>
      <c r="L240" s="9"/>
    </row>
    <row r="241" spans="1:12" ht="14.45">
      <c r="A241" s="9"/>
      <c r="B241" s="14"/>
      <c r="C241" s="9"/>
      <c r="D241" s="9"/>
      <c r="E241" s="9"/>
      <c r="F241" s="10"/>
      <c r="G241" s="9"/>
      <c r="H241" s="9"/>
      <c r="I241" s="10"/>
      <c r="J241" s="9"/>
      <c r="K241" s="99"/>
      <c r="L241" s="9"/>
    </row>
    <row r="242" spans="1:12" ht="14.45">
      <c r="A242" s="9"/>
      <c r="B242" s="14"/>
      <c r="C242" s="9"/>
      <c r="D242" s="9"/>
      <c r="E242" s="9"/>
      <c r="F242" s="10"/>
      <c r="G242" s="9"/>
      <c r="H242" s="9"/>
      <c r="I242" s="10"/>
      <c r="J242" s="9"/>
      <c r="K242" s="99"/>
      <c r="L242" s="9"/>
    </row>
    <row r="243" spans="1:12" ht="14.45">
      <c r="A243" s="9"/>
      <c r="B243" s="14"/>
      <c r="C243" s="9"/>
      <c r="D243" s="9"/>
      <c r="E243" s="9"/>
      <c r="F243" s="10"/>
      <c r="G243" s="9"/>
      <c r="H243" s="9"/>
      <c r="I243" s="10"/>
      <c r="J243" s="9"/>
      <c r="K243" s="99"/>
      <c r="L243" s="9"/>
    </row>
    <row r="244" spans="1:12" ht="14.45">
      <c r="A244" s="9"/>
      <c r="B244" s="14"/>
      <c r="C244" s="9"/>
      <c r="D244" s="9"/>
      <c r="E244" s="9"/>
      <c r="F244" s="10"/>
      <c r="G244" s="9"/>
      <c r="H244" s="9"/>
      <c r="I244" s="10"/>
      <c r="J244" s="9"/>
      <c r="K244" s="99"/>
      <c r="L244" s="9"/>
    </row>
    <row r="245" spans="1:12" ht="14.45">
      <c r="A245" s="9"/>
      <c r="B245" s="14"/>
      <c r="C245" s="9"/>
      <c r="D245" s="9"/>
      <c r="E245" s="9"/>
      <c r="F245" s="10"/>
      <c r="G245" s="9"/>
      <c r="H245" s="9"/>
      <c r="I245" s="10"/>
      <c r="J245" s="9"/>
      <c r="K245" s="99"/>
      <c r="L245" s="9"/>
    </row>
    <row r="246" spans="1:12" ht="14.45">
      <c r="A246" s="9"/>
      <c r="B246" s="14"/>
      <c r="C246" s="9"/>
      <c r="D246" s="9"/>
      <c r="E246" s="9"/>
      <c r="F246" s="10"/>
      <c r="G246" s="9"/>
      <c r="H246" s="9"/>
      <c r="I246" s="10"/>
      <c r="J246" s="9"/>
      <c r="K246" s="99"/>
      <c r="L246" s="9"/>
    </row>
    <row r="247" spans="1:12" ht="14.45">
      <c r="A247" s="9"/>
      <c r="B247" s="14"/>
      <c r="C247" s="9"/>
      <c r="D247" s="9"/>
      <c r="E247" s="9"/>
      <c r="F247" s="10"/>
      <c r="G247" s="9"/>
      <c r="H247" s="9"/>
      <c r="I247" s="10"/>
      <c r="J247" s="9"/>
      <c r="K247" s="99"/>
      <c r="L247" s="9"/>
    </row>
    <row r="248" spans="1:12" ht="14.45">
      <c r="A248" s="9"/>
      <c r="B248" s="14"/>
      <c r="C248" s="9"/>
      <c r="D248" s="9"/>
      <c r="E248" s="9"/>
      <c r="F248" s="10"/>
      <c r="G248" s="9"/>
      <c r="H248" s="9"/>
      <c r="I248" s="10"/>
      <c r="J248" s="9"/>
      <c r="K248" s="99"/>
      <c r="L248" s="9"/>
    </row>
    <row r="249" spans="1:12" ht="14.45">
      <c r="A249" s="9"/>
      <c r="B249" s="14"/>
      <c r="C249" s="9"/>
      <c r="D249" s="9"/>
      <c r="E249" s="9"/>
      <c r="F249" s="10"/>
      <c r="G249" s="9"/>
      <c r="H249" s="9"/>
      <c r="I249" s="10"/>
      <c r="J249" s="9"/>
      <c r="K249" s="99"/>
      <c r="L249" s="9"/>
    </row>
    <row r="250" spans="1:12" ht="14.45">
      <c r="A250" s="9"/>
      <c r="B250" s="14"/>
      <c r="C250" s="9"/>
      <c r="D250" s="9"/>
      <c r="E250" s="9"/>
      <c r="F250" s="10"/>
      <c r="G250" s="9"/>
      <c r="H250" s="9"/>
      <c r="I250" s="10"/>
      <c r="J250" s="9"/>
      <c r="K250" s="99"/>
      <c r="L250" s="9"/>
    </row>
    <row r="251" spans="1:12" ht="14.45">
      <c r="A251" s="9"/>
      <c r="B251" s="14"/>
      <c r="C251" s="9"/>
      <c r="D251" s="9"/>
      <c r="E251" s="9"/>
      <c r="F251" s="10"/>
      <c r="G251" s="9"/>
      <c r="H251" s="9"/>
      <c r="I251" s="10"/>
      <c r="J251" s="9"/>
      <c r="K251" s="99"/>
      <c r="L251" s="9"/>
    </row>
    <row r="252" spans="1:12" ht="14.45">
      <c r="A252" s="9"/>
      <c r="B252" s="14"/>
      <c r="C252" s="9"/>
      <c r="D252" s="9"/>
      <c r="E252" s="9"/>
      <c r="F252" s="10"/>
      <c r="G252" s="9"/>
      <c r="H252" s="9"/>
      <c r="I252" s="10"/>
      <c r="J252" s="9"/>
      <c r="K252" s="99"/>
      <c r="L252" s="9"/>
    </row>
    <row r="253" spans="1:12" ht="14.45">
      <c r="A253" s="9"/>
      <c r="B253" s="14"/>
      <c r="C253" s="9"/>
      <c r="D253" s="9"/>
      <c r="E253" s="9"/>
      <c r="F253" s="10"/>
      <c r="G253" s="9"/>
      <c r="H253" s="9"/>
      <c r="I253" s="10"/>
      <c r="J253" s="9"/>
      <c r="K253" s="99"/>
      <c r="L253" s="9"/>
    </row>
    <row r="254" spans="1:12" ht="14.45">
      <c r="A254" s="9"/>
      <c r="B254" s="14"/>
      <c r="C254" s="9"/>
      <c r="D254" s="9"/>
      <c r="E254" s="9"/>
      <c r="F254" s="10"/>
      <c r="G254" s="9"/>
      <c r="H254" s="9"/>
      <c r="I254" s="10"/>
      <c r="J254" s="9"/>
      <c r="K254" s="99"/>
      <c r="L254" s="9"/>
    </row>
    <row r="255" spans="1:12" ht="14.45">
      <c r="A255" s="9"/>
      <c r="B255" s="14"/>
      <c r="C255" s="9"/>
      <c r="D255" s="9"/>
      <c r="E255" s="9"/>
      <c r="F255" s="10"/>
      <c r="G255" s="9"/>
      <c r="H255" s="9"/>
      <c r="I255" s="10"/>
      <c r="J255" s="9"/>
      <c r="K255" s="99"/>
      <c r="L255" s="9"/>
    </row>
    <row r="256" spans="1:12" ht="14.45">
      <c r="A256" s="9"/>
      <c r="B256" s="14"/>
      <c r="C256" s="9"/>
      <c r="D256" s="9"/>
      <c r="E256" s="9"/>
      <c r="F256" s="10"/>
      <c r="G256" s="9"/>
      <c r="H256" s="9"/>
      <c r="I256" s="10"/>
      <c r="J256" s="9"/>
      <c r="K256" s="99"/>
      <c r="L256" s="9"/>
    </row>
    <row r="257" spans="1:12" ht="14.45">
      <c r="A257" s="9"/>
      <c r="B257" s="14"/>
      <c r="C257" s="9"/>
      <c r="D257" s="9"/>
      <c r="E257" s="9"/>
      <c r="F257" s="10"/>
      <c r="G257" s="9"/>
      <c r="H257" s="9"/>
      <c r="I257" s="10"/>
      <c r="J257" s="9"/>
      <c r="K257" s="99"/>
      <c r="L257" s="9"/>
    </row>
    <row r="258" spans="1:12" ht="14.45">
      <c r="A258" s="9"/>
      <c r="B258" s="14"/>
      <c r="C258" s="9"/>
      <c r="D258" s="9"/>
      <c r="E258" s="9"/>
      <c r="F258" s="10"/>
      <c r="G258" s="9"/>
      <c r="H258" s="9"/>
      <c r="I258" s="10"/>
      <c r="J258" s="9"/>
      <c r="K258" s="99"/>
      <c r="L258" s="9"/>
    </row>
    <row r="259" spans="1:12" ht="14.45">
      <c r="A259" s="9"/>
      <c r="B259" s="14"/>
      <c r="C259" s="9"/>
      <c r="D259" s="9"/>
      <c r="E259" s="9"/>
      <c r="F259" s="10"/>
      <c r="G259" s="9"/>
      <c r="H259" s="9"/>
      <c r="I259" s="10"/>
      <c r="J259" s="9"/>
      <c r="K259" s="99"/>
      <c r="L259" s="9"/>
    </row>
    <row r="260" spans="1:12" ht="14.45">
      <c r="A260" s="9"/>
      <c r="B260" s="14"/>
      <c r="C260" s="9"/>
      <c r="D260" s="9"/>
      <c r="E260" s="9"/>
      <c r="F260" s="10"/>
      <c r="G260" s="9"/>
      <c r="H260" s="9"/>
      <c r="I260" s="10"/>
      <c r="J260" s="9"/>
      <c r="K260" s="99"/>
      <c r="L260" s="9"/>
    </row>
    <row r="261" spans="1:12" ht="14.45">
      <c r="A261" s="9"/>
      <c r="B261" s="14"/>
      <c r="C261" s="9"/>
      <c r="D261" s="9"/>
      <c r="E261" s="9"/>
      <c r="F261" s="10"/>
      <c r="G261" s="9"/>
      <c r="H261" s="9"/>
      <c r="I261" s="10"/>
      <c r="J261" s="9"/>
      <c r="K261" s="99"/>
      <c r="L261" s="9"/>
    </row>
    <row r="262" spans="1:12" ht="14.45">
      <c r="A262" s="9"/>
      <c r="B262" s="14"/>
      <c r="C262" s="9"/>
      <c r="D262" s="9"/>
      <c r="E262" s="9"/>
      <c r="F262" s="10"/>
      <c r="G262" s="9"/>
      <c r="H262" s="9"/>
      <c r="I262" s="10"/>
      <c r="J262" s="9"/>
      <c r="K262" s="99"/>
      <c r="L262" s="9"/>
    </row>
    <row r="263" spans="1:12" ht="14.45">
      <c r="A263" s="9"/>
      <c r="B263" s="14"/>
      <c r="C263" s="9"/>
      <c r="D263" s="9"/>
      <c r="E263" s="9"/>
      <c r="F263" s="10"/>
      <c r="G263" s="9"/>
      <c r="H263" s="9"/>
      <c r="I263" s="10"/>
      <c r="J263" s="9"/>
      <c r="K263" s="99"/>
      <c r="L263" s="9"/>
    </row>
    <row r="264" spans="1:12" ht="14.45">
      <c r="A264" s="9"/>
      <c r="B264" s="14"/>
      <c r="C264" s="9"/>
      <c r="D264" s="9"/>
      <c r="E264" s="9"/>
      <c r="F264" s="10"/>
      <c r="G264" s="9"/>
      <c r="H264" s="9"/>
      <c r="I264" s="10"/>
      <c r="J264" s="9"/>
      <c r="K264" s="99"/>
      <c r="L264" s="9"/>
    </row>
    <row r="265" spans="1:12" ht="14.45">
      <c r="A265" s="9"/>
      <c r="B265" s="14"/>
      <c r="C265" s="9"/>
      <c r="D265" s="9"/>
      <c r="E265" s="9"/>
      <c r="F265" s="10"/>
      <c r="G265" s="9"/>
      <c r="H265" s="9"/>
      <c r="I265" s="10"/>
      <c r="J265" s="9"/>
      <c r="K265" s="99"/>
      <c r="L265" s="9"/>
    </row>
    <row r="266" spans="1:12" ht="14.45">
      <c r="A266" s="9"/>
      <c r="B266" s="14"/>
      <c r="C266" s="9"/>
      <c r="D266" s="9"/>
      <c r="E266" s="9"/>
      <c r="F266" s="10"/>
      <c r="G266" s="9"/>
      <c r="H266" s="9"/>
      <c r="I266" s="10"/>
      <c r="J266" s="9"/>
      <c r="K266" s="99"/>
      <c r="L266" s="9"/>
    </row>
    <row r="267" spans="1:12" ht="14.45">
      <c r="A267" s="9"/>
      <c r="B267" s="14"/>
      <c r="C267" s="9"/>
      <c r="D267" s="9"/>
      <c r="E267" s="9"/>
      <c r="F267" s="10"/>
      <c r="G267" s="9"/>
      <c r="H267" s="9"/>
      <c r="I267" s="10"/>
      <c r="J267" s="9"/>
      <c r="K267" s="99"/>
      <c r="L267" s="9"/>
    </row>
    <row r="268" spans="1:12" ht="14.45">
      <c r="A268" s="9"/>
      <c r="B268" s="14"/>
      <c r="C268" s="9"/>
      <c r="D268" s="9"/>
      <c r="E268" s="9"/>
      <c r="F268" s="10"/>
      <c r="G268" s="9"/>
      <c r="H268" s="9"/>
      <c r="I268" s="10"/>
      <c r="J268" s="9"/>
      <c r="K268" s="99"/>
      <c r="L268" s="9"/>
    </row>
    <row r="269" spans="1:12" ht="14.45">
      <c r="A269" s="9"/>
      <c r="B269" s="14"/>
      <c r="C269" s="9"/>
      <c r="D269" s="9"/>
      <c r="E269" s="9"/>
      <c r="F269" s="10"/>
      <c r="G269" s="9"/>
      <c r="H269" s="9"/>
      <c r="I269" s="10"/>
      <c r="J269" s="9"/>
      <c r="K269" s="99"/>
      <c r="L269" s="9"/>
    </row>
    <row r="270" spans="1:12" ht="14.45">
      <c r="A270" s="9"/>
      <c r="B270" s="14"/>
      <c r="C270" s="9"/>
      <c r="D270" s="9"/>
      <c r="E270" s="9"/>
      <c r="F270" s="10"/>
      <c r="G270" s="9"/>
      <c r="H270" s="9"/>
      <c r="I270" s="10"/>
      <c r="J270" s="9"/>
      <c r="K270" s="99"/>
      <c r="L270" s="9"/>
    </row>
    <row r="271" spans="1:12" ht="14.45">
      <c r="A271" s="9"/>
      <c r="B271" s="14"/>
      <c r="C271" s="9"/>
      <c r="D271" s="9"/>
      <c r="E271" s="9"/>
      <c r="F271" s="10"/>
      <c r="G271" s="9"/>
      <c r="H271" s="9"/>
      <c r="I271" s="10"/>
      <c r="J271" s="9"/>
      <c r="K271" s="99"/>
      <c r="L271" s="9"/>
    </row>
    <row r="272" spans="1:12" ht="14.45">
      <c r="A272" s="9"/>
      <c r="B272" s="14"/>
      <c r="C272" s="9"/>
      <c r="D272" s="9"/>
      <c r="E272" s="9"/>
      <c r="F272" s="10"/>
      <c r="G272" s="9"/>
      <c r="H272" s="9"/>
      <c r="I272" s="10"/>
      <c r="J272" s="9"/>
      <c r="K272" s="99"/>
      <c r="L272" s="9"/>
    </row>
    <row r="273" spans="1:12" ht="14.45">
      <c r="A273" s="9"/>
      <c r="B273" s="14"/>
      <c r="C273" s="9"/>
      <c r="D273" s="9"/>
      <c r="E273" s="9"/>
      <c r="F273" s="10"/>
      <c r="G273" s="9"/>
      <c r="H273" s="9"/>
      <c r="I273" s="10"/>
      <c r="J273" s="9"/>
      <c r="K273" s="99"/>
      <c r="L273" s="9"/>
    </row>
    <row r="274" spans="1:12" ht="14.45">
      <c r="A274" s="9"/>
      <c r="B274" s="14"/>
      <c r="C274" s="9"/>
      <c r="D274" s="9"/>
      <c r="E274" s="9"/>
      <c r="F274" s="10"/>
      <c r="G274" s="9"/>
      <c r="H274" s="9"/>
      <c r="I274" s="10"/>
      <c r="J274" s="9"/>
      <c r="K274" s="99"/>
      <c r="L274" s="9"/>
    </row>
    <row r="275" spans="1:12" ht="14.45">
      <c r="A275" s="9"/>
      <c r="B275" s="14"/>
      <c r="C275" s="9"/>
      <c r="D275" s="9"/>
      <c r="E275" s="9"/>
      <c r="F275" s="10"/>
      <c r="G275" s="9"/>
      <c r="H275" s="9"/>
      <c r="I275" s="10"/>
      <c r="J275" s="9"/>
      <c r="K275" s="99"/>
      <c r="L275" s="9"/>
    </row>
    <row r="276" spans="1:12" ht="14.45">
      <c r="A276" s="9"/>
      <c r="B276" s="14"/>
      <c r="C276" s="9"/>
      <c r="D276" s="9"/>
      <c r="E276" s="9"/>
      <c r="F276" s="10"/>
      <c r="G276" s="9"/>
      <c r="H276" s="9"/>
      <c r="I276" s="10"/>
      <c r="J276" s="9"/>
      <c r="K276" s="99"/>
      <c r="L276" s="9"/>
    </row>
    <row r="277" spans="1:12" ht="14.45">
      <c r="A277" s="9"/>
      <c r="B277" s="14"/>
      <c r="C277" s="9"/>
      <c r="D277" s="9"/>
      <c r="E277" s="9"/>
      <c r="F277" s="10"/>
      <c r="G277" s="9"/>
      <c r="H277" s="9"/>
      <c r="I277" s="10"/>
      <c r="J277" s="9"/>
      <c r="K277" s="99"/>
      <c r="L277" s="9"/>
    </row>
    <row r="278" spans="1:12" ht="14.45">
      <c r="A278" s="9"/>
      <c r="B278" s="14"/>
      <c r="C278" s="9"/>
      <c r="D278" s="9"/>
      <c r="E278" s="9"/>
      <c r="F278" s="10"/>
      <c r="G278" s="9"/>
      <c r="H278" s="9"/>
      <c r="I278" s="10"/>
      <c r="J278" s="9"/>
      <c r="K278" s="99"/>
      <c r="L278" s="9"/>
    </row>
    <row r="279" spans="1:12" ht="14.45">
      <c r="A279" s="9"/>
      <c r="B279" s="14"/>
      <c r="C279" s="9"/>
      <c r="D279" s="9"/>
      <c r="E279" s="9"/>
      <c r="F279" s="10"/>
      <c r="G279" s="9"/>
      <c r="H279" s="9"/>
      <c r="I279" s="10"/>
      <c r="J279" s="9"/>
      <c r="K279" s="99"/>
      <c r="L279" s="9"/>
    </row>
    <row r="280" spans="1:12" ht="14.45">
      <c r="A280" s="9"/>
      <c r="B280" s="14"/>
      <c r="C280" s="9"/>
      <c r="D280" s="9"/>
      <c r="E280" s="9"/>
      <c r="F280" s="10"/>
      <c r="G280" s="9"/>
      <c r="H280" s="9"/>
      <c r="I280" s="10"/>
      <c r="J280" s="9"/>
      <c r="K280" s="99"/>
      <c r="L280" s="9"/>
    </row>
    <row r="281" spans="1:12" ht="14.45">
      <c r="A281" s="9"/>
      <c r="B281" s="14"/>
      <c r="C281" s="9"/>
      <c r="D281" s="9"/>
      <c r="E281" s="9"/>
      <c r="F281" s="10"/>
      <c r="G281" s="9"/>
      <c r="H281" s="9"/>
      <c r="I281" s="10"/>
      <c r="J281" s="9"/>
      <c r="K281" s="99"/>
      <c r="L281" s="9"/>
    </row>
    <row r="282" spans="1:12" ht="14.45">
      <c r="A282" s="9"/>
      <c r="B282" s="14"/>
      <c r="C282" s="9"/>
      <c r="D282" s="9"/>
      <c r="E282" s="9"/>
      <c r="F282" s="10"/>
      <c r="G282" s="9"/>
      <c r="H282" s="9"/>
      <c r="I282" s="10"/>
      <c r="J282" s="9"/>
      <c r="K282" s="99"/>
      <c r="L282" s="9"/>
    </row>
    <row r="283" spans="1:12" ht="14.45">
      <c r="A283" s="9"/>
      <c r="B283" s="14"/>
      <c r="C283" s="9"/>
      <c r="D283" s="9"/>
      <c r="E283" s="9"/>
      <c r="F283" s="10"/>
      <c r="G283" s="9"/>
      <c r="H283" s="9"/>
      <c r="I283" s="10"/>
      <c r="J283" s="9"/>
      <c r="K283" s="99"/>
      <c r="L283" s="9"/>
    </row>
    <row r="284" spans="1:12" ht="14.45">
      <c r="A284" s="9"/>
      <c r="B284" s="14"/>
      <c r="C284" s="9"/>
      <c r="D284" s="9"/>
      <c r="E284" s="9"/>
      <c r="F284" s="10"/>
      <c r="G284" s="9"/>
      <c r="H284" s="9"/>
      <c r="I284" s="10"/>
      <c r="J284" s="9"/>
      <c r="K284" s="99"/>
      <c r="L284" s="9"/>
    </row>
    <row r="285" spans="1:12" ht="14.45">
      <c r="A285" s="9"/>
      <c r="B285" s="14"/>
      <c r="C285" s="9"/>
      <c r="D285" s="9"/>
      <c r="E285" s="9"/>
      <c r="F285" s="10"/>
      <c r="G285" s="9"/>
      <c r="H285" s="9"/>
      <c r="I285" s="10"/>
      <c r="J285" s="9"/>
      <c r="K285" s="99"/>
      <c r="L285" s="9"/>
    </row>
    <row r="286" spans="1:12" ht="14.45">
      <c r="A286" s="9"/>
      <c r="B286" s="14"/>
      <c r="C286" s="9"/>
      <c r="D286" s="9"/>
      <c r="E286" s="9"/>
      <c r="F286" s="10"/>
      <c r="G286" s="9"/>
      <c r="H286" s="9"/>
      <c r="I286" s="10"/>
      <c r="J286" s="9"/>
      <c r="K286" s="99"/>
      <c r="L286" s="9"/>
    </row>
    <row r="287" spans="1:12" ht="14.45">
      <c r="A287" s="9"/>
      <c r="B287" s="14"/>
      <c r="C287" s="9"/>
      <c r="D287" s="9"/>
      <c r="E287" s="9"/>
      <c r="F287" s="10"/>
      <c r="G287" s="9"/>
      <c r="H287" s="9"/>
      <c r="I287" s="10"/>
      <c r="J287" s="9"/>
      <c r="K287" s="99"/>
      <c r="L287" s="9"/>
    </row>
    <row r="288" spans="1:12" ht="14.45">
      <c r="A288" s="9"/>
      <c r="B288" s="14"/>
      <c r="C288" s="9"/>
      <c r="D288" s="9"/>
      <c r="E288" s="9"/>
      <c r="F288" s="10"/>
      <c r="G288" s="9"/>
      <c r="H288" s="9"/>
      <c r="I288" s="10"/>
      <c r="J288" s="9"/>
      <c r="K288" s="99"/>
      <c r="L288" s="9"/>
    </row>
    <row r="289" spans="1:12" ht="14.45">
      <c r="A289" s="9"/>
      <c r="B289" s="14"/>
      <c r="C289" s="9"/>
      <c r="D289" s="9"/>
      <c r="E289" s="9"/>
      <c r="F289" s="10"/>
      <c r="G289" s="9"/>
      <c r="H289" s="9"/>
      <c r="I289" s="10"/>
      <c r="J289" s="9"/>
      <c r="K289" s="99"/>
      <c r="L289" s="9"/>
    </row>
    <row r="290" spans="1:12" ht="14.45">
      <c r="A290" s="9"/>
      <c r="B290" s="14"/>
      <c r="C290" s="9"/>
      <c r="D290" s="9"/>
      <c r="E290" s="9"/>
      <c r="F290" s="10"/>
      <c r="G290" s="9"/>
      <c r="H290" s="9"/>
      <c r="I290" s="10"/>
      <c r="J290" s="9"/>
      <c r="K290" s="99"/>
      <c r="L290" s="9"/>
    </row>
    <row r="291" spans="1:12" ht="14.45">
      <c r="A291" s="9"/>
      <c r="B291" s="14"/>
      <c r="C291" s="9"/>
      <c r="D291" s="9"/>
      <c r="E291" s="9"/>
      <c r="F291" s="10"/>
      <c r="G291" s="9"/>
      <c r="H291" s="9"/>
      <c r="I291" s="10"/>
      <c r="J291" s="9"/>
      <c r="K291" s="99"/>
      <c r="L291" s="9"/>
    </row>
    <row r="292" spans="1:12" ht="14.45">
      <c r="A292" s="9"/>
      <c r="B292" s="14"/>
      <c r="C292" s="9"/>
      <c r="D292" s="9"/>
      <c r="E292" s="9"/>
      <c r="F292" s="10"/>
      <c r="G292" s="9"/>
      <c r="H292" s="9"/>
      <c r="I292" s="10"/>
      <c r="J292" s="9"/>
      <c r="K292" s="99"/>
      <c r="L292" s="9"/>
    </row>
    <row r="293" spans="1:12" ht="14.45">
      <c r="A293" s="9"/>
      <c r="B293" s="14"/>
      <c r="C293" s="9"/>
      <c r="D293" s="9"/>
      <c r="E293" s="9"/>
      <c r="F293" s="10"/>
      <c r="G293" s="9"/>
      <c r="H293" s="9"/>
      <c r="I293" s="10"/>
      <c r="J293" s="9"/>
      <c r="K293" s="99"/>
      <c r="L293" s="9"/>
    </row>
    <row r="294" spans="1:12" ht="14.45">
      <c r="A294" s="9"/>
      <c r="B294" s="14"/>
      <c r="C294" s="9"/>
      <c r="D294" s="9"/>
      <c r="E294" s="9"/>
      <c r="F294" s="10"/>
      <c r="G294" s="9"/>
      <c r="H294" s="9"/>
      <c r="I294" s="10"/>
      <c r="J294" s="9"/>
      <c r="K294" s="99"/>
      <c r="L294" s="9"/>
    </row>
    <row r="295" spans="1:12" ht="14.45">
      <c r="A295" s="9"/>
      <c r="B295" s="14"/>
      <c r="C295" s="9"/>
      <c r="D295" s="9"/>
      <c r="E295" s="9"/>
      <c r="F295" s="10"/>
      <c r="G295" s="9"/>
      <c r="H295" s="9"/>
      <c r="I295" s="10"/>
      <c r="J295" s="9"/>
      <c r="K295" s="99"/>
      <c r="L295" s="9"/>
    </row>
    <row r="296" spans="1:12" ht="14.45">
      <c r="A296" s="9"/>
      <c r="B296" s="14"/>
      <c r="C296" s="9"/>
      <c r="D296" s="9"/>
      <c r="E296" s="9"/>
      <c r="F296" s="10"/>
      <c r="G296" s="9"/>
      <c r="H296" s="9"/>
      <c r="I296" s="10"/>
      <c r="J296" s="9"/>
      <c r="K296" s="99"/>
      <c r="L296" s="9"/>
    </row>
    <row r="297" spans="1:12" ht="14.45">
      <c r="A297" s="9"/>
      <c r="B297" s="14"/>
      <c r="C297" s="9"/>
      <c r="D297" s="9"/>
      <c r="E297" s="9"/>
      <c r="F297" s="10"/>
      <c r="G297" s="9"/>
      <c r="H297" s="9"/>
      <c r="I297" s="10"/>
      <c r="J297" s="9"/>
      <c r="K297" s="99"/>
      <c r="L297" s="9"/>
    </row>
    <row r="298" spans="1:12" ht="14.45">
      <c r="A298" s="9"/>
      <c r="B298" s="14"/>
      <c r="C298" s="9"/>
      <c r="D298" s="9"/>
      <c r="E298" s="9"/>
      <c r="F298" s="10"/>
      <c r="G298" s="9"/>
      <c r="H298" s="9"/>
      <c r="I298" s="10"/>
      <c r="J298" s="9"/>
      <c r="K298" s="99"/>
      <c r="L298" s="9"/>
    </row>
    <row r="299" spans="1:12" ht="14.45">
      <c r="A299" s="9"/>
      <c r="B299" s="14"/>
      <c r="C299" s="9"/>
      <c r="D299" s="9"/>
      <c r="E299" s="9"/>
      <c r="F299" s="10"/>
      <c r="G299" s="9"/>
      <c r="H299" s="9"/>
      <c r="I299" s="10"/>
      <c r="J299" s="9"/>
      <c r="K299" s="99"/>
      <c r="L299" s="9"/>
    </row>
    <row r="300" spans="1:12" ht="14.45">
      <c r="A300" s="9"/>
      <c r="B300" s="14"/>
      <c r="C300" s="9"/>
      <c r="D300" s="9"/>
      <c r="E300" s="9"/>
      <c r="F300" s="10"/>
      <c r="G300" s="9"/>
      <c r="H300" s="9"/>
      <c r="I300" s="10"/>
      <c r="J300" s="9"/>
      <c r="K300" s="99"/>
      <c r="L300" s="9"/>
    </row>
    <row r="301" spans="1:12" ht="14.45">
      <c r="A301" s="9"/>
      <c r="B301" s="14"/>
      <c r="C301" s="9"/>
      <c r="D301" s="9"/>
      <c r="E301" s="9"/>
      <c r="F301" s="10"/>
      <c r="G301" s="9"/>
      <c r="H301" s="9"/>
      <c r="I301" s="10"/>
      <c r="J301" s="9"/>
      <c r="K301" s="99"/>
      <c r="L301" s="9"/>
    </row>
    <row r="302" spans="1:12" ht="14.45">
      <c r="A302" s="9"/>
      <c r="B302" s="14"/>
      <c r="C302" s="9"/>
      <c r="D302" s="9"/>
      <c r="E302" s="9"/>
      <c r="F302" s="10"/>
      <c r="G302" s="9"/>
      <c r="H302" s="9"/>
      <c r="I302" s="10"/>
      <c r="J302" s="9"/>
      <c r="K302" s="99"/>
      <c r="L302" s="9"/>
    </row>
    <row r="303" spans="1:12" ht="14.45">
      <c r="A303" s="9"/>
      <c r="B303" s="14"/>
      <c r="C303" s="9"/>
      <c r="D303" s="9"/>
      <c r="E303" s="9"/>
      <c r="F303" s="10"/>
      <c r="G303" s="9"/>
      <c r="H303" s="9"/>
      <c r="I303" s="10"/>
      <c r="J303" s="9"/>
      <c r="K303" s="99"/>
      <c r="L303" s="9"/>
    </row>
    <row r="304" spans="1:12" ht="14.45">
      <c r="A304" s="9"/>
      <c r="B304" s="14"/>
      <c r="C304" s="9"/>
      <c r="D304" s="9"/>
      <c r="E304" s="9"/>
      <c r="F304" s="10"/>
      <c r="G304" s="9"/>
      <c r="H304" s="9"/>
      <c r="I304" s="10"/>
      <c r="J304" s="9"/>
      <c r="K304" s="99"/>
      <c r="L304" s="9"/>
    </row>
    <row r="305" spans="1:12" ht="14.45">
      <c r="A305" s="9"/>
      <c r="B305" s="14"/>
      <c r="C305" s="9"/>
      <c r="D305" s="9"/>
      <c r="E305" s="9"/>
      <c r="F305" s="10"/>
      <c r="G305" s="9"/>
      <c r="H305" s="9"/>
      <c r="I305" s="10"/>
      <c r="J305" s="9"/>
      <c r="K305" s="99"/>
      <c r="L305" s="9"/>
    </row>
    <row r="306" spans="1:12" ht="14.45">
      <c r="A306" s="9"/>
      <c r="B306" s="14"/>
      <c r="C306" s="9"/>
      <c r="D306" s="9"/>
      <c r="E306" s="9"/>
      <c r="F306" s="10"/>
      <c r="G306" s="9"/>
      <c r="H306" s="9"/>
      <c r="I306" s="10"/>
      <c r="J306" s="9"/>
      <c r="K306" s="99"/>
      <c r="L306" s="9"/>
    </row>
    <row r="307" spans="1:12" ht="14.45">
      <c r="A307" s="9"/>
      <c r="B307" s="14"/>
      <c r="C307" s="9"/>
      <c r="D307" s="9"/>
      <c r="E307" s="9"/>
      <c r="F307" s="10"/>
      <c r="G307" s="9"/>
      <c r="H307" s="9"/>
      <c r="I307" s="10"/>
      <c r="J307" s="9"/>
      <c r="K307" s="99"/>
      <c r="L307" s="9"/>
    </row>
    <row r="308" spans="1:12" ht="14.45">
      <c r="A308" s="9"/>
      <c r="B308" s="14"/>
      <c r="C308" s="9"/>
      <c r="D308" s="9"/>
      <c r="E308" s="9"/>
      <c r="F308" s="10"/>
      <c r="G308" s="9"/>
      <c r="H308" s="9"/>
      <c r="I308" s="10"/>
      <c r="J308" s="9"/>
      <c r="K308" s="99"/>
      <c r="L308" s="9"/>
    </row>
    <row r="309" spans="1:12" ht="14.45">
      <c r="A309" s="9"/>
      <c r="B309" s="14"/>
      <c r="C309" s="9"/>
      <c r="D309" s="9"/>
      <c r="E309" s="9"/>
      <c r="F309" s="10"/>
      <c r="G309" s="9"/>
      <c r="H309" s="9"/>
      <c r="I309" s="10"/>
      <c r="J309" s="9"/>
      <c r="K309" s="99"/>
      <c r="L309" s="9"/>
    </row>
    <row r="310" spans="1:12" ht="14.45">
      <c r="A310" s="9"/>
      <c r="B310" s="14"/>
      <c r="C310" s="9"/>
      <c r="D310" s="9"/>
      <c r="E310" s="9"/>
      <c r="F310" s="10"/>
      <c r="G310" s="9"/>
      <c r="H310" s="9"/>
      <c r="I310" s="10"/>
      <c r="J310" s="9"/>
      <c r="K310" s="99"/>
      <c r="L310" s="9"/>
    </row>
    <row r="311" spans="1:12" ht="14.45">
      <c r="A311" s="9"/>
      <c r="B311" s="14"/>
      <c r="C311" s="9"/>
      <c r="D311" s="9"/>
      <c r="E311" s="9"/>
      <c r="F311" s="10"/>
      <c r="G311" s="9"/>
      <c r="H311" s="9"/>
      <c r="I311" s="10"/>
      <c r="J311" s="9"/>
      <c r="K311" s="99"/>
      <c r="L311" s="9"/>
    </row>
    <row r="312" spans="1:12" ht="14.45">
      <c r="A312" s="9"/>
      <c r="B312" s="14"/>
      <c r="C312" s="9"/>
      <c r="D312" s="9"/>
      <c r="E312" s="9"/>
      <c r="F312" s="10"/>
      <c r="G312" s="9"/>
      <c r="H312" s="9"/>
      <c r="I312" s="10"/>
      <c r="J312" s="9"/>
      <c r="K312" s="99"/>
      <c r="L312" s="9"/>
    </row>
    <row r="313" spans="1:12" ht="14.45">
      <c r="A313" s="9"/>
      <c r="B313" s="14"/>
      <c r="C313" s="9"/>
      <c r="D313" s="9"/>
      <c r="E313" s="9"/>
      <c r="F313" s="10"/>
      <c r="G313" s="9"/>
      <c r="H313" s="9"/>
      <c r="I313" s="10"/>
      <c r="J313" s="9"/>
      <c r="K313" s="99"/>
      <c r="L313" s="9"/>
    </row>
    <row r="314" spans="1:12" ht="14.45">
      <c r="A314" s="9"/>
      <c r="B314" s="14"/>
      <c r="C314" s="9"/>
      <c r="D314" s="9"/>
      <c r="E314" s="9"/>
      <c r="F314" s="10"/>
      <c r="G314" s="9"/>
      <c r="H314" s="9"/>
      <c r="I314" s="10"/>
      <c r="J314" s="9"/>
      <c r="K314" s="99"/>
      <c r="L314" s="9"/>
    </row>
    <row r="315" spans="1:12" ht="14.45">
      <c r="A315" s="9"/>
      <c r="B315" s="14"/>
      <c r="C315" s="9"/>
      <c r="D315" s="9"/>
      <c r="E315" s="9"/>
      <c r="F315" s="10"/>
      <c r="G315" s="9"/>
      <c r="H315" s="9"/>
      <c r="I315" s="10"/>
      <c r="J315" s="9"/>
      <c r="K315" s="99"/>
      <c r="L315" s="9"/>
    </row>
    <row r="316" spans="1:12" ht="14.45">
      <c r="A316" s="9"/>
      <c r="B316" s="14"/>
      <c r="C316" s="9"/>
      <c r="D316" s="9"/>
      <c r="E316" s="9"/>
      <c r="F316" s="10"/>
      <c r="G316" s="9"/>
      <c r="H316" s="9"/>
      <c r="I316" s="10"/>
      <c r="J316" s="9"/>
      <c r="K316" s="99"/>
      <c r="L316" s="9"/>
    </row>
    <row r="317" spans="1:12" ht="14.45">
      <c r="A317" s="9"/>
      <c r="B317" s="14"/>
      <c r="C317" s="9"/>
      <c r="D317" s="9"/>
      <c r="E317" s="9"/>
      <c r="F317" s="10"/>
      <c r="G317" s="9"/>
      <c r="H317" s="9"/>
      <c r="I317" s="10"/>
      <c r="J317" s="9"/>
      <c r="K317" s="99"/>
      <c r="L317" s="9"/>
    </row>
    <row r="318" spans="1:12" ht="14.45">
      <c r="A318" s="9"/>
      <c r="B318" s="14"/>
      <c r="C318" s="9"/>
      <c r="D318" s="9"/>
      <c r="E318" s="9"/>
      <c r="F318" s="10"/>
      <c r="G318" s="9"/>
      <c r="H318" s="9"/>
      <c r="I318" s="10"/>
      <c r="J318" s="9"/>
      <c r="K318" s="99"/>
      <c r="L318" s="9"/>
    </row>
    <row r="319" spans="1:12" ht="14.45">
      <c r="A319" s="9"/>
      <c r="B319" s="14"/>
      <c r="C319" s="9"/>
      <c r="D319" s="9"/>
      <c r="E319" s="9"/>
      <c r="F319" s="10"/>
      <c r="G319" s="9"/>
      <c r="H319" s="9"/>
      <c r="I319" s="10"/>
      <c r="J319" s="9"/>
      <c r="K319" s="99"/>
      <c r="L319" s="9"/>
    </row>
    <row r="320" spans="1:12" ht="14.45">
      <c r="A320" s="9"/>
      <c r="B320" s="14"/>
      <c r="C320" s="9"/>
      <c r="D320" s="9"/>
      <c r="E320" s="9"/>
      <c r="F320" s="10"/>
      <c r="G320" s="9"/>
      <c r="H320" s="9"/>
      <c r="I320" s="10"/>
      <c r="J320" s="9"/>
      <c r="K320" s="99"/>
      <c r="L320" s="9"/>
    </row>
    <row r="321" spans="1:12" ht="14.45">
      <c r="A321" s="9"/>
      <c r="B321" s="14"/>
      <c r="C321" s="9"/>
      <c r="D321" s="9"/>
      <c r="E321" s="9"/>
      <c r="F321" s="10"/>
      <c r="G321" s="9"/>
      <c r="H321" s="9"/>
      <c r="I321" s="10"/>
      <c r="J321" s="9"/>
      <c r="K321" s="99"/>
      <c r="L321" s="9"/>
    </row>
    <row r="322" spans="1:12" ht="14.45">
      <c r="C322" s="9"/>
      <c r="D322" s="9"/>
      <c r="E322" s="9"/>
      <c r="F322" s="10"/>
      <c r="G322" s="9"/>
      <c r="H322" s="9"/>
      <c r="I322" s="10"/>
      <c r="J322" s="9"/>
      <c r="K322" s="99"/>
      <c r="L322" s="9"/>
    </row>
  </sheetData>
  <mergeCells count="4">
    <mergeCell ref="G1:I1"/>
    <mergeCell ref="A1:C1"/>
    <mergeCell ref="D1:F1"/>
    <mergeCell ref="A2:B2"/>
  </mergeCells>
  <phoneticPr fontId="4" type="noConversion"/>
  <conditionalFormatting sqref="F2 I2 F4:F80 I4:I80">
    <cfRule type="cellIs" dxfId="4" priority="3" stopIfTrue="1" operator="lessThanOrEqual">
      <formula>-0.1</formula>
    </cfRule>
    <cfRule type="expression" dxfId="3" priority="4">
      <formula>AND(ISNUMBER(F2), F2&gt;=0.1)</formula>
    </cfRule>
  </conditionalFormatting>
  <hyperlinks>
    <hyperlink ref="K5" r:id="rId1" display="https://us3.assetplanner.com/service_request?ID=111519" xr:uid="{C542B697-D41C-4539-887A-2D717D388F4F}"/>
    <hyperlink ref="M5" r:id="rId2" display="https://us3.assetplanner.com/service_request?ID=113758" xr:uid="{9AD303A6-E00A-4F86-8394-29CE361BC4BE}"/>
    <hyperlink ref="K7" r:id="rId3" display="https://us3.assetplanner.com/service_request?ID=110592" xr:uid="{FAFDDE93-2127-4FE7-B900-D1360A0FFE3E}"/>
    <hyperlink ref="K8" r:id="rId4" display="https://us3.assetplanner.com/service_request?ID=106818" xr:uid="{415B130E-F2DC-4E69-8C3B-1393ED4DEDDB}"/>
    <hyperlink ref="M8" r:id="rId5" display="https://us3.assetplanner.com/service_request?ID=112077" xr:uid="{DFC17418-7AD5-4DB8-9366-D4A7CA9F56E7}"/>
    <hyperlink ref="K10" r:id="rId6" display="https://us3.assetplanner.com/service_request?ID=111075" xr:uid="{C479F726-4F49-410E-A873-BABAC74AFB02}"/>
    <hyperlink ref="K11" r:id="rId7" display="https://us3.assetplanner.com/service_request?ID=111761" xr:uid="{BFFC1F15-BC2B-44B0-B189-63B2F197836D}"/>
    <hyperlink ref="K12" r:id="rId8" display="https://us3.assetplanner.com/service_request?ID=113733" xr:uid="{D74F1D06-4AFB-42B7-911C-C38D9E98DD3D}"/>
    <hyperlink ref="M12" r:id="rId9" display="https://us3.assetplanner.com/service_request?ID=111939" xr:uid="{B4F65059-8389-4228-8315-E9FDA3745C31}"/>
    <hyperlink ref="N12" r:id="rId10" display="https://us3.assetplanner.com/service_request?ID=112291" xr:uid="{3DB68FC4-AA80-4B3F-AE10-2DBC527AC7A6}"/>
    <hyperlink ref="O12" r:id="rId11" display="https://us3.assetplanner.com/service_request?ID=112585" xr:uid="{B2609C01-6CEE-49EE-88D8-8276DCB1E56F}"/>
    <hyperlink ref="K13" r:id="rId12" display="https://us3.assetplanner.com/service_request?ID=113453" xr:uid="{91351226-4D3A-41BE-9EF8-2CE13A7700A2}"/>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6"/>
  <sheetViews>
    <sheetView workbookViewId="0">
      <pane ySplit="3" topLeftCell="A4" activePane="bottomLeft" state="frozen"/>
      <selection pane="bottomLeft" activeCell="A9" sqref="A9"/>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323</v>
      </c>
      <c r="B1" t="s">
        <v>324</v>
      </c>
    </row>
    <row r="3" spans="1:12" ht="13.15">
      <c r="A3" t="s">
        <v>325</v>
      </c>
      <c r="B3" t="s">
        <v>3</v>
      </c>
      <c r="C3" t="s">
        <v>4</v>
      </c>
      <c r="D3" t="s">
        <v>326</v>
      </c>
      <c r="E3" s="2" t="s">
        <v>327</v>
      </c>
    </row>
    <row r="4" spans="1:12" ht="14.45">
      <c r="A4" s="24" t="s">
        <v>328</v>
      </c>
      <c r="B4" t="s">
        <v>329</v>
      </c>
      <c r="C4" s="23" t="s">
        <v>330</v>
      </c>
      <c r="D4" s="22"/>
      <c r="E4" t="s">
        <v>331</v>
      </c>
      <c r="G4" s="3"/>
    </row>
    <row r="5" spans="1:12" ht="14.45">
      <c r="A5" s="24" t="s">
        <v>332</v>
      </c>
      <c r="B5" t="s">
        <v>332</v>
      </c>
      <c r="C5" s="23" t="s">
        <v>333</v>
      </c>
      <c r="D5" s="22" t="s">
        <v>334</v>
      </c>
      <c r="E5" t="s">
        <v>331</v>
      </c>
      <c r="G5" s="3"/>
    </row>
    <row r="6" spans="1:12" ht="14.45">
      <c r="A6" s="24" t="s">
        <v>335</v>
      </c>
      <c r="B6" t="s">
        <v>336</v>
      </c>
      <c r="C6" s="23" t="s">
        <v>333</v>
      </c>
      <c r="D6" s="22"/>
      <c r="E6" t="s">
        <v>331</v>
      </c>
      <c r="G6" s="3"/>
    </row>
    <row r="7" spans="1:12" ht="12.75" customHeight="1">
      <c r="A7" s="67" t="s">
        <v>337</v>
      </c>
      <c r="B7" s="60" t="s">
        <v>338</v>
      </c>
      <c r="C7" s="23" t="s">
        <v>339</v>
      </c>
      <c r="E7" t="s">
        <v>331</v>
      </c>
      <c r="K7" s="21"/>
      <c r="L7" s="21"/>
    </row>
    <row r="8" spans="1:12" ht="12.75" customHeight="1">
      <c r="A8" s="67" t="s">
        <v>340</v>
      </c>
      <c r="B8" s="60" t="s">
        <v>341</v>
      </c>
      <c r="C8" s="23" t="s">
        <v>333</v>
      </c>
      <c r="E8" t="s">
        <v>331</v>
      </c>
      <c r="K8" s="21"/>
      <c r="L8" s="21"/>
    </row>
    <row r="9" spans="1:12" ht="12.75" customHeight="1">
      <c r="A9" s="67" t="s">
        <v>342</v>
      </c>
      <c r="B9" s="60" t="s">
        <v>343</v>
      </c>
      <c r="C9" s="23" t="s">
        <v>339</v>
      </c>
      <c r="E9" t="s">
        <v>331</v>
      </c>
      <c r="K9" s="21"/>
      <c r="L9" s="21"/>
    </row>
    <row r="10" spans="1:12" ht="12.75" customHeight="1">
      <c r="A10" s="67" t="s">
        <v>344</v>
      </c>
      <c r="B10" s="60" t="s">
        <v>344</v>
      </c>
      <c r="C10" s="23" t="s">
        <v>333</v>
      </c>
      <c r="E10" t="s">
        <v>331</v>
      </c>
      <c r="K10" s="21"/>
      <c r="L10" s="21"/>
    </row>
    <row r="11" spans="1:12" ht="12.75" customHeight="1">
      <c r="A11" s="63" t="s">
        <v>345</v>
      </c>
      <c r="B11" s="60" t="s">
        <v>346</v>
      </c>
      <c r="C11" s="23" t="s">
        <v>333</v>
      </c>
      <c r="E11" t="s">
        <v>331</v>
      </c>
      <c r="K11" s="21"/>
      <c r="L11" s="21"/>
    </row>
    <row r="12" spans="1:12" ht="12.75" customHeight="1">
      <c r="A12" s="67" t="s">
        <v>347</v>
      </c>
      <c r="B12" s="60" t="s">
        <v>348</v>
      </c>
      <c r="C12" s="23" t="s">
        <v>333</v>
      </c>
      <c r="E12" t="s">
        <v>331</v>
      </c>
      <c r="K12" s="21"/>
      <c r="L12" s="21"/>
    </row>
    <row r="13" spans="1:12" ht="12.75" customHeight="1">
      <c r="A13" s="67" t="s">
        <v>349</v>
      </c>
      <c r="B13" s="60" t="s">
        <v>350</v>
      </c>
      <c r="C13" s="23" t="s">
        <v>351</v>
      </c>
      <c r="D13" t="s">
        <v>334</v>
      </c>
      <c r="E13" s="72" t="s">
        <v>331</v>
      </c>
    </row>
    <row r="14" spans="1:12" ht="12.75" customHeight="1">
      <c r="A14" s="67" t="s">
        <v>352</v>
      </c>
      <c r="B14" s="60" t="s">
        <v>353</v>
      </c>
      <c r="C14" s="23" t="s">
        <v>339</v>
      </c>
      <c r="D14" t="s">
        <v>334</v>
      </c>
      <c r="E14" t="s">
        <v>331</v>
      </c>
    </row>
    <row r="16" spans="1:12" ht="12.75" customHeight="1">
      <c r="A16" s="63"/>
      <c r="B16" s="60"/>
      <c r="C16" s="23"/>
      <c r="K16" s="21"/>
      <c r="L16"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3A7101F-9A85-4235-8B03-415370C100B2}"/>
</file>

<file path=customXml/itemProps2.xml><?xml version="1.0" encoding="utf-8"?>
<ds:datastoreItem xmlns:ds="http://schemas.openxmlformats.org/officeDocument/2006/customXml" ds:itemID="{13C801A4-5CB3-4B13-B1C2-60E44A135842}"/>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078388C9-06F9-42F4-B857-EF76B5CAF1FD}"/>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E20E8303-6A67-485C-B6F4-303542CC295C}"/>
</file>

<file path=customXml/itemProps7.xml><?xml version="1.0" encoding="utf-8"?>
<ds:datastoreItem xmlns:ds="http://schemas.openxmlformats.org/officeDocument/2006/customXml" ds:itemID="{CB52044A-5C0B-44A2-99D0-C1C315EC302D}"/>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2BC74AAC-D69B-4AF1-9649-B21EF3C1C463}"/>
</file>

<file path=customXml/itemProps11.xml><?xml version="1.0" encoding="utf-8"?>
<ds:datastoreItem xmlns:ds="http://schemas.openxmlformats.org/officeDocument/2006/customXml" ds:itemID="{BE26B669-A686-459C-A5E9-FEC3409C4C81}"/>
</file>

<file path=customXml/itemProps12.xml><?xml version="1.0" encoding="utf-8"?>
<ds:datastoreItem xmlns:ds="http://schemas.openxmlformats.org/officeDocument/2006/customXml" ds:itemID="{14966E4F-347B-477B-B74C-9DAC05405806}"/>
</file>

<file path=customXml/itemProps13.xml><?xml version="1.0" encoding="utf-8"?>
<ds:datastoreItem xmlns:ds="http://schemas.openxmlformats.org/officeDocument/2006/customXml" ds:itemID="{8D732231-4216-4543-A665-18A2886B0EB7}"/>
</file>

<file path=customXml/itemProps14.xml><?xml version="1.0" encoding="utf-8"?>
<ds:datastoreItem xmlns:ds="http://schemas.openxmlformats.org/officeDocument/2006/customXml" ds:itemID="{3AEAA9D8-2182-46BA-A58E-96C72DDA1C54}"/>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F12EFA50-0068-4A8C-85A0-F1B26389EBC3}"/>
</file>

<file path=customXml/itemProps18.xml><?xml version="1.0" encoding="utf-8"?>
<ds:datastoreItem xmlns:ds="http://schemas.openxmlformats.org/officeDocument/2006/customXml" ds:itemID="{66B09F59-6532-46F8-924A-9A02417E070D}"/>
</file>

<file path=customXml/itemProps19.xml><?xml version="1.0" encoding="utf-8"?>
<ds:datastoreItem xmlns:ds="http://schemas.openxmlformats.org/officeDocument/2006/customXml" ds:itemID="{0389C43E-394D-44C0-87DC-4780FCFCFB40}"/>
</file>

<file path=customXml/itemProps20.xml><?xml version="1.0" encoding="utf-8"?>
<ds:datastoreItem xmlns:ds="http://schemas.openxmlformats.org/officeDocument/2006/customXml" ds:itemID="{E3716282-BFD2-4ED2-BA47-BFA1123827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2026-02-20T19:07:33Z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2024-09-13T14:09:38Z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5e2876eb-07b3-41bf-9665-a07636594534</vt:lpwstr>
  </property>
  <property fmtid="{D5CDD505-2E9C-101B-9397-08002B2CF9AE}" pid="9" name="MSIP_Label_9d817c99-0b37-4a07-8277-96aa1f96b74b_ContentBits">
    <vt:lpwstr>0</vt:lpwstr>
  </property>
</Properties>
</file>