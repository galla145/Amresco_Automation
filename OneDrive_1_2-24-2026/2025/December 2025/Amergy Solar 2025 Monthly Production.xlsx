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0C64397B-0618-41B6-B9D7-3673ACD6EDE9}" xr6:coauthVersionLast="47" xr6:coauthVersionMax="47" xr10:uidLastSave="{00000000-0000-0000-0000-00000000000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2" l="1"/>
  <c r="G5" i="29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30"/>
  <c r="G4" i="30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I5" i="32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2" i="30" l="1"/>
  <c r="E4" i="30"/>
  <c r="F4" i="30" s="1"/>
  <c r="G2" i="30"/>
  <c r="G2" i="29"/>
  <c r="G5" i="34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5" i="34" s="1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<sst xmlns="http://schemas.openxmlformats.org/spreadsheetml/2006/main" count="298" uniqueCount="95">
  <si>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</si>
  <si>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</si>
  <si>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</si>
  <si>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</si>
  <si>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</si>
  <si>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</si>
  <si>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</si>
  <si>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</si>
  <si>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</si>
  <si>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</si>
  <si>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</si>
  <si>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</si>
  <si>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</si>
  <si>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</si>
  <si>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</si>
  <si>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</si>
  <si>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</si>
  <si>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</si>
  <si>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</si>
  <si>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</si>
  <si>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</si>
  <si>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</si>
  <si>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</si>
  <si>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</si>
  <si>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</si>
  <si>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</si>
  <si>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</si>
  <si>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</si>
  <si>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</si>
  <si>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</si>
  <si>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</si>
  <si>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</si>
  <si>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</si>
  <si>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</si>
  <si>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</si>
  <si>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</si>
  <si>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</si>
  <si>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</si>
  <si>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</si>
  <si>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</si>
  <si>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</si>
  <si>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</si>
  <si>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</si>
  <si>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</si>
  <si>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</si>
  <si>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</si>
  <si>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</si>
  <si>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</si>
  <si>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</si>
  <si>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1. Inverter 2 is underperforming by 10kW down compared to peer inverter. The quote was expired.</t>
  </si>
  <si>
    <t>1. Inverter 6 tripped offline at 15:15 on 07/02 and back online at 8:15 on 07/04. and again inverter 6 was offline from 12:15 to 15:45 on 07/12. The inverter again went offline  at 13:00 on 07/31 and remained offline.
2. Inverter 13 was offline from 13:30 to 16:00 on 07/09.
3. Actual vs expected delta is showing 60% due to expected energy recording low possibly due to data glitch (similar event observe last 2 years).</t>
  </si>
  <si>
    <t>1. SR103325
2. SR104216</t>
  </si>
  <si>
    <t>SR104216</t>
  </si>
  <si>
    <t>August Actual v. Expected</t>
  </si>
  <si>
    <t>August Actual v. Forecasted</t>
  </si>
  <si>
    <t>1. Inverter 2 was underperforming by 10kW down compared to peer inverter. The quote was expired.</t>
  </si>
  <si>
    <t>1.	SR100595</t>
  </si>
  <si>
    <t>1.Inverter 6 started production at 09:00 on 08/01 
2.Inverter 13 tripped offline at 13:15 on 08/14 and came back online at 13:15 on 08/15 
3.Actual vs expected delta is showing 70% due to expected energy recording low possibly due to data glitch (similar event observe last 2 years).</t>
  </si>
  <si>
    <t>1.	SR103325
2.SR106294</t>
  </si>
  <si>
    <t>SR106294</t>
  </si>
  <si>
    <t>September Actual v. Expected</t>
  </si>
  <si>
    <t>September Actual v. Forecasted</t>
  </si>
  <si>
    <t>1.Actual vs expected delta is showing 85% due to expected energy recording low possibly due to data glitch (similar event observe last 2 years).</t>
  </si>
  <si>
    <t>October Actual v. Expected</t>
  </si>
  <si>
    <t>October Actual v. Forecasted</t>
  </si>
  <si>
    <t>Status</t>
  </si>
  <si>
    <t>1. Closed</t>
  </si>
  <si>
    <t>1. Inverter 8 tripped offline at 16:30 on 10/09 and later self-resolved, back online at 09:45 on 10/12.
2.Actual vs expected delta is showing 105% due to expected energy recording low possibly due to data glitch (similar event observe last 2 years).</t>
  </si>
  <si>
    <t>1. SR109305</t>
  </si>
  <si>
    <t>November Actual v. Expected</t>
  </si>
  <si>
    <t>November Actual v. Forecasted</t>
  </si>
  <si>
    <t>1. Inverter 2 was underperforming by 10kW down compared to peer inverter. The quote was expired.
2. Inverter 5 Started derating to 60kW on 10/16. This is no longer happening as seasonal irradiance has decreased, although at the time there was a consistent small loss at noon. Losses will likely not reappear until spring but 40kW losses would be anticipated next summer if not resolved.</t>
  </si>
  <si>
    <t>1.	SR100595
2.SR110743</t>
  </si>
  <si>
    <t>1.Closed
2.Pending</t>
  </si>
  <si>
    <t>SR110743</t>
  </si>
  <si>
    <t xml:space="preserve">1.Actual vs expected delta is showing 119% due to expected energy recording low possibly due to data glitch (similar event observe last 2 years
2.Inverter are tripped on and offline 09:15 to 09:45 due to technician was onsite to work on PM  </t>
  </si>
  <si>
    <t>2.PM9733</t>
  </si>
  <si>
    <t>2.Completed</t>
  </si>
  <si>
    <t>December Actual v. Expected</t>
  </si>
  <si>
    <t>December Actual v. Forecasted</t>
  </si>
  <si>
    <t>1.Inverter 12 was offline on 12/28 and back online at 08:15 on 12/29
2.Actual vs expected delta is showing 119% due to expected energy recording low possibly due to data glitch (similar event observe last 2 years)</t>
  </si>
  <si>
    <t>1.SR113695</t>
  </si>
  <si>
    <t xml:space="preserve">1.Closed
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</si>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</sst>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5" fillId="46" borderId="12" xfId="0" applyFont="1" applyFill="1" applyBorder="1"/>
    <xf numFmtId="0" fontId="35" fillId="0" borderId="0" xfId="0" applyFont="1"/>
    <xf numFmtId="0" fontId="35" fillId="0" borderId="12" xfId="0" applyFont="1" applyBorder="1"/>
    <xf numFmtId="164" fontId="28" fillId="47" borderId="0" xfId="1" applyNumberFormat="1" applyFont="1" applyFill="1" applyBorder="1" applyAlignment="1">
      <alignment horizontal="center" vertical="center"/>
    </xf>
    <xf numFmtId="3" fontId="30" fillId="48" borderId="0" xfId="0" applyNumberFormat="1" applyFont="1" applyFill="1" applyAlignment="1">
      <alignment horizontal="right" vertical="center"/>
    </xf>
    <xf numFmtId="3" fontId="30" fillId="48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36" fillId="0" borderId="0" xfId="45" applyNumberFormat="1" applyAlignment="1">
      <alignment vertical="top" wrapText="1"/>
    </xf>
    <xf numFmtId="4" fontId="37" fillId="0" borderId="0" xfId="0" applyNumberFormat="1" applyFont="1"/>
    <xf numFmtId="0" fontId="23" fillId="0" borderId="0" xfId="0" applyFont="1"/>
    <xf numFmtId="0" fontId="35" fillId="46" borderId="0" xfId="0" applyFont="1" applyFill="1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38" fillId="0" borderId="0" xfId="0" applyFont="1"/>
    <xf numFmtId="0" fontId="39" fillId="45" borderId="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top" wrapText="1"/>
    </xf>
    <xf numFmtId="0" fontId="3" fillId="0" borderId="0" xfId="0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0" fontId="36" fillId="0" borderId="0" xfId="45"/>
    <xf numFmtId="49" fontId="38" fillId="38" borderId="0" xfId="2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6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294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930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1074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3695" TargetMode="External"/><Relationship Id="rId2" Type="http://schemas.openxmlformats.org/officeDocument/2006/relationships/hyperlink" Target="https://us3.assetplanner.com/service_request?ID=11074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SUM(C4:C88)</f>
        <v>1683898.5</v>
      </c>
      <c r="D2" s="5">
        <f>SUM(D4:D88)</f>
        <v>1381092.5860000001</v>
      </c>
      <c r="E2" s="5">
        <f>C2-D2</f>
        <v>302805.91399999987</v>
      </c>
      <c r="F2" s="6">
        <f>IFERROR(E2/D2, 0)</f>
        <v>0.21925098800001802</v>
      </c>
      <c r="G2" s="5">
        <f>SUM(G4:G88)</f>
        <v>1860529.534</v>
      </c>
      <c r="H2" s="7">
        <f>C2-G2</f>
        <v>-176631.03399999999</v>
      </c>
      <c r="I2" s="6">
        <f>IFERROR(H2/G2, 0)</f>
        <v>-9.4935893664776394E-2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694521.20000000019</v>
      </c>
      <c r="D4" s="13">
        <f>SUM('1st Qtr'!D4, '2nd Qtr'!D4, '3rd Qtr'!D4, '4th Qtr'!D4)</f>
        <v>700135.24500000011</v>
      </c>
      <c r="E4" s="13">
        <f>IF(AND(ISNUMBER(C4),ISNUMBER(D4)), C4-D4, "")</f>
        <v>-5614.0449999999255</v>
      </c>
      <c r="F4" s="14">
        <f>IFERROR(E4/D4, "")</f>
        <v>-8.0185150513311532E-3</v>
      </c>
      <c r="G4" s="15">
        <f>SUM('1st Qtr'!G4+'2nd Qtr'!G4+'3rd Qtr'!G4+'4th Qtr'!G4)</f>
        <v>880654.06200000003</v>
      </c>
      <c r="H4" s="15">
        <f>SUM('1st Qtr'!H4, '2nd Qtr'!H4, '3rd Qtr'!H4, '4th Qtr'!H4)</f>
        <v>-186132.86199999991</v>
      </c>
      <c r="I4" s="16">
        <f>IFERROR(H4/G4, "")</f>
        <v>-0.21135752394905766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989377.29999999993</v>
      </c>
      <c r="D5" s="47">
        <f>SUM('1st Qtr'!D5, '2nd Qtr'!D5, '3rd Qtr'!D5, '4th Qtr'!D5)</f>
        <v>680957.34100000001</v>
      </c>
      <c r="E5" s="18">
        <f t="shared" ref="E5" si="0">IF(AND(ISNUMBER(C5),ISNUMBER(D5)), C5-D5, "")</f>
        <v>308419.95899999992</v>
      </c>
      <c r="F5" s="19">
        <f>IFERROR(E5/D5, "")</f>
        <v>0.45292111624360903</v>
      </c>
      <c r="G5" s="48">
        <f>SUM('1st Qtr'!G5+'2nd Qtr'!G5+'3rd Qtr'!G5+'4th Qtr'!G5)</f>
        <v>979875.47200000007</v>
      </c>
      <c r="H5" s="18">
        <f>SUM('1st Qtr'!H5, '2nd Qtr'!H5, '3rd Qtr'!H5, '4th Qtr'!H5)</f>
        <v>9501.8279999998849</v>
      </c>
      <c r="I5" s="19">
        <f>IFERROR(H5/G5, "")</f>
        <v>9.6969750458248891E-3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H5" sqref="H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SUM(C4:C87)</f>
        <v>564948.80000000016</v>
      </c>
      <c r="D2" s="5">
        <f>SUM(D4:D87)</f>
        <v>429606.81200000003</v>
      </c>
      <c r="E2" s="5">
        <f>C2-D2</f>
        <v>135341.98800000013</v>
      </c>
      <c r="F2" s="6">
        <f>IFERROR(E2/D2, 0)</f>
        <v>0.31503687609124809</v>
      </c>
      <c r="G2" s="5">
        <f>SUM(G4:G87)</f>
        <v>582665.50600000005</v>
      </c>
      <c r="H2" s="7">
        <f>C2-G2</f>
        <v>-17716.705999999889</v>
      </c>
      <c r="I2" s="6">
        <f>IFERROR(H2/G2, 0)</f>
        <v>-3.0406306564507504E-2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233789.60000000012</v>
      </c>
      <c r="D4" s="13">
        <f>SUM(Jul!D4, Aug!D4, Sep!D4)</f>
        <v>235237.60200000001</v>
      </c>
      <c r="E4" s="13">
        <f>IF(AND(ISNUMBER(C4),ISNUMBER(D4)), C4-D4, "")</f>
        <v>-1448.0019999998913</v>
      </c>
      <c r="F4" s="14">
        <f>IFERROR(E4/D4, "")</f>
        <v>-6.1554869956542543E-3</v>
      </c>
      <c r="G4" s="15">
        <f>SUM(Jul!G4,Aug!G4,Sep!G4)</f>
        <v>264136.36600000004</v>
      </c>
      <c r="H4" s="15">
        <f>SUM(Jul!H4, Aug!H4, Sep!H4)</f>
        <v>-30346.765999999909</v>
      </c>
      <c r="I4" s="16">
        <f>IFERROR(H4/G4, "")</f>
        <v>-0.11489052590357779</v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331159.2</v>
      </c>
      <c r="D5" s="18">
        <f>SUM(Jul!D5, Aug!D5, Sep!D5)</f>
        <v>194369.21</v>
      </c>
      <c r="E5" s="18">
        <f t="shared" ref="E5" si="0">IF(AND(ISNUMBER(C5),ISNUMBER(D5)), C5-D5, "")</f>
        <v>136789.99000000002</v>
      </c>
      <c r="F5" s="19">
        <f>IFERROR(E5/D5, "")</f>
        <v>0.70376367738491108</v>
      </c>
      <c r="G5" s="11">
        <f>SUM(Jul!G5,Aug!G5,Sep!G5)</f>
        <v>318529.14</v>
      </c>
      <c r="H5" s="20">
        <f>SUM(Jul!H5, Aug!H5, Sep!H5)</f>
        <v>12630.059999999983</v>
      </c>
      <c r="I5" s="19">
        <f>IFERROR(H5/G5, "")</f>
        <v>3.9651191724562412E-2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E23" sqref="E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Amergy Solar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SUM(C4:C86)</f>
        <v>263673.79999999993</v>
      </c>
      <c r="D2" s="5">
        <f>SUM(D4:D86)</f>
        <v>179457.17300000001</v>
      </c>
      <c r="E2" s="5">
        <f>C2-D2</f>
        <v>84216.62699999992</v>
      </c>
      <c r="F2" s="6">
        <f>IFERROR(E2/D2, 0)</f>
        <v>0.46928537651710311</v>
      </c>
      <c r="G2" s="5">
        <f>SUM(G4:G86)</f>
        <v>317419.56700000004</v>
      </c>
      <c r="H2" s="7">
        <f>C2-G2</f>
        <v>-53745.767000000109</v>
      </c>
      <c r="I2" s="6">
        <f>IFERROR(H2/G2, 0)</f>
        <v>-0.1693209007496381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106452.00000000012</v>
      </c>
      <c r="D4" s="13">
        <f>SUM(Oct!D4, Nov!D4, Dec!D4)</f>
        <v>104287.273</v>
      </c>
      <c r="E4" s="13">
        <f>IF(AND(ISNUMBER(C4),ISNUMBER(D4)), C4-D4, "")</f>
        <v>2164.7270000001154</v>
      </c>
      <c r="F4" s="14">
        <f>IFERROR(E4/D4, "")</f>
        <v>2.0757345913150066E-2</v>
      </c>
      <c r="G4" s="15">
        <f>SUM(Oct!G4,Nov!G4,Dec!G4)</f>
        <v>155042.851</v>
      </c>
      <c r="H4" s="15">
        <f>SUM(Oct!H4, Nov!H4, Dec!H4)</f>
        <v>-48590.850999999901</v>
      </c>
      <c r="I4" s="16">
        <f>IFERROR(H4/G4, "")</f>
        <v>-0.31340271858132884</v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157221.79999999981</v>
      </c>
      <c r="D5" s="18">
        <f>SUM(Oct!D5, Nov!D5, Dec!D5)</f>
        <v>75169.899999999994</v>
      </c>
      <c r="E5" s="18">
        <f t="shared" ref="E5" si="0">IF(AND(ISNUMBER(C5),ISNUMBER(D5)), C5-D5, "")</f>
        <v>82051.89999999982</v>
      </c>
      <c r="F5" s="19">
        <f>IFERROR(E5/D5, "")</f>
        <v>1.0915526028370375</v>
      </c>
      <c r="G5" s="18">
        <f>SUM(Oct!G5,Nov!G5,Dec!G5)</f>
        <v>162376.71600000001</v>
      </c>
      <c r="H5" s="20">
        <f>SUM(Oct!H5, Nov!H5, Dec!H5)</f>
        <v>-5154.9160000002012</v>
      </c>
      <c r="I5" s="19">
        <f>IFERROR(H5/G5, "")</f>
        <v>-3.1746645251774896E-2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I29" sqref="I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25</v>
      </c>
      <c r="E1" s="75"/>
      <c r="F1" s="75"/>
      <c r="G1" s="73" t="s">
        <v>26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27</v>
      </c>
      <c r="E1" s="75"/>
      <c r="F1" s="75"/>
      <c r="G1" s="73" t="s">
        <v>28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30</v>
      </c>
      <c r="E1" s="75"/>
      <c r="F1" s="75"/>
      <c r="G1" s="73" t="s">
        <v>31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36</v>
      </c>
      <c r="E1" s="75"/>
      <c r="F1" s="75"/>
      <c r="G1" s="73" t="s">
        <v>37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40</v>
      </c>
      <c r="E1" s="75"/>
      <c r="F1" s="75"/>
      <c r="G1" s="73" t="s">
        <v>41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47</v>
      </c>
      <c r="E1" s="75"/>
      <c r="F1" s="75"/>
      <c r="G1" s="73" t="s">
        <v>48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SUM(C4:C89)</f>
        <v>208635.6</v>
      </c>
      <c r="D2" s="5">
        <f>SUM(D4:D89)</f>
        <v>163551.62</v>
      </c>
      <c r="E2" s="5">
        <f>C2-D2</f>
        <v>45083.98000000001</v>
      </c>
      <c r="F2" s="6">
        <f>IFERROR(E2/D2, 0)</f>
        <v>0.27565596721084151</v>
      </c>
      <c r="G2" s="5">
        <f>SUM(G4:G89)</f>
        <v>220673.45</v>
      </c>
      <c r="H2" s="7">
        <f>C2-G2</f>
        <v>-12037.850000000006</v>
      </c>
      <c r="I2" s="6">
        <f>IFERROR(H2/G2, 0)</f>
        <v>-5.4550513439654863E-2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0" t="str" cm="1">
        <f t="array" ref="A4:A5">Sites[Site]</f>
        <v>Farmingdale - Howell Ice Arena</v>
      </c>
      <c r="B4" s="28" t="str" cm="1">
        <f t="array" ref="B4:B5">Sites[State]</f>
        <v>NJ</v>
      </c>
      <c r="C4" s="24">
        <v>86004.6</v>
      </c>
      <c r="D4" s="13"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v>96882.35</v>
      </c>
      <c r="H4" s="15">
        <f>IF(AND(ISNUMBER(C4),ISNUMBER(G4)), C4-G4, "")</f>
        <v>-10877.75</v>
      </c>
      <c r="I4" s="16">
        <f>IFERROR(H4/G4, "")</f>
        <v>-0.11227793297747216</v>
      </c>
      <c r="J4" s="40" t="s">
        <v>49</v>
      </c>
      <c r="K4" s="55" t="s">
        <v>33</v>
      </c>
    </row>
    <row r="5" spans="1:12" ht="105" customHeight="1">
      <c r="A5" s="29" t="str">
        <v>Mount Laurel - Igloo Ice Rink</v>
      </c>
      <c r="B5" s="30" t="str">
        <v>NJ</v>
      </c>
      <c r="C5" s="11">
        <v>122631</v>
      </c>
      <c r="D5" s="18">
        <v>76187.05</v>
      </c>
      <c r="E5" s="18">
        <f t="shared" ref="E5:E6" si="0">IF(AND(ISNUMBER(C5),ISNUMBER(D5)), C5-D5, "")</f>
        <v>46443.95</v>
      </c>
      <c r="F5" s="19">
        <f>IFERROR(E5/D5, "")</f>
        <v>0.60960425689142705</v>
      </c>
      <c r="G5" s="20">
        <v>123791.1</v>
      </c>
      <c r="H5" s="20">
        <f t="shared" ref="H5:H6" si="1">IF(AND(ISNUMBER(C5),ISNUMBER(G5)), C5-G5, "")</f>
        <v>-1160.1000000000058</v>
      </c>
      <c r="I5" s="19">
        <f t="shared" ref="I5:I6" si="2">IFERROR(H5/G5, "")</f>
        <v>-9.3714330028572788E-3</v>
      </c>
      <c r="J5" s="50" t="s">
        <v>50</v>
      </c>
      <c r="K5" s="51" t="s">
        <v>51</v>
      </c>
      <c r="L5" s="59" t="s">
        <v>52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595" xr:uid="{DBB57D04-09D4-40FC-803F-D1D7F93AAC9A}"/>
    <hyperlink ref="K5" r:id="rId2" display="https://us3.assetplanner.com/service_request?ID=103325" xr:uid="{630C8ECC-DA5B-43E8-B705-14DC45DBB8A6}"/>
    <hyperlink ref="L5" r:id="rId3" display="https://us3.assetplanner.com/service_request?ID=104216" xr:uid="{23289CBD-779E-4651-A6CE-8D975090CF43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53</v>
      </c>
      <c r="E1" s="75"/>
      <c r="F1" s="75"/>
      <c r="G1" s="73" t="s">
        <v>54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SUM(C4:C89)</f>
        <v>198389.3000000001</v>
      </c>
      <c r="D2" s="5">
        <f>SUM(D4:D89)</f>
        <v>151075.19</v>
      </c>
      <c r="E2" s="5">
        <f>C2-D2</f>
        <v>47314.110000000102</v>
      </c>
      <c r="F2" s="6">
        <f>IFERROR(E2/D2, 0)</f>
        <v>0.31318252851444439</v>
      </c>
      <c r="G2" s="5">
        <f>SUM(G4:G89)</f>
        <v>198737.33000000002</v>
      </c>
      <c r="H2" s="7">
        <f>C2-G2</f>
        <v>-348.02999999991152</v>
      </c>
      <c r="I2" s="6">
        <f>IFERROR(H2/G2, 0)</f>
        <v>-1.7512059762497137E-3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0.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82994.400000000096</v>
      </c>
      <c r="D4" s="13">
        <v>83230.399999999994</v>
      </c>
      <c r="E4" s="13">
        <f>IF(AND(ISNUMBER(C4),ISNUMBER(D4)), C4-D4, "")</f>
        <v>-235.99999999989814</v>
      </c>
      <c r="F4" s="14">
        <f>IFERROR(E4/D4, "")</f>
        <v>-2.8355024125787951E-3</v>
      </c>
      <c r="G4" s="15">
        <v>90835.03</v>
      </c>
      <c r="H4" s="15">
        <f>IF(AND(ISNUMBER(C4),ISNUMBER(G4)), C4-G4, "")</f>
        <v>-7840.6299999999028</v>
      </c>
      <c r="I4" s="16">
        <f>IFERROR(H4/G4, "")</f>
        <v>-8.6317250074116808E-2</v>
      </c>
      <c r="J4" s="40" t="s">
        <v>55</v>
      </c>
      <c r="K4" s="55" t="s">
        <v>56</v>
      </c>
    </row>
    <row r="5" spans="1:12" ht="101.25" customHeight="1">
      <c r="A5" s="29" t="str">
        <v>Mount Laurel - Igloo Ice Rink</v>
      </c>
      <c r="B5" s="30" t="str">
        <v>NJ</v>
      </c>
      <c r="C5" s="11">
        <v>115394.9</v>
      </c>
      <c r="D5" s="18">
        <v>67844.789999999994</v>
      </c>
      <c r="E5" s="18">
        <f t="shared" ref="E5:E6" si="0">IF(AND(ISNUMBER(C5),ISNUMBER(D5)), C5-D5, "")</f>
        <v>47550.11</v>
      </c>
      <c r="F5" s="19">
        <f>IFERROR(E5/D5, "")</f>
        <v>0.70086605028919691</v>
      </c>
      <c r="G5" s="20">
        <v>107902.3</v>
      </c>
      <c r="H5" s="20">
        <f t="shared" ref="H5:H6" si="1">IF(AND(ISNUMBER(C5),ISNUMBER(G5)), C5-G5, "")</f>
        <v>7492.5999999999913</v>
      </c>
      <c r="I5" s="19">
        <f t="shared" ref="I5:I6" si="2">IFERROR(H5/G5, "")</f>
        <v>6.9438742269627166E-2</v>
      </c>
      <c r="J5" s="49" t="s">
        <v>57</v>
      </c>
      <c r="K5" s="51" t="s">
        <v>58</v>
      </c>
      <c r="L5" s="57" t="s">
        <v>59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0595" xr:uid="{FB417A9F-1C58-46D1-9720-7F0FE87585A5}"/>
    <hyperlink ref="K5" r:id="rId2" display="https://us3.assetplanner.com/service_request?ID=103325" xr:uid="{78A75FD4-8E28-42C6-AC9F-E1D375B555D2}"/>
    <hyperlink ref="L5" r:id="rId3" display="https://us3.assetplanner.com/service_request?ID=106294" xr:uid="{C48CAFB7-F706-4D20-9540-E13AA805573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Amergy Solar</v>
      </c>
      <c r="B1" s="74"/>
      <c r="C1" s="74"/>
      <c r="D1" s="75" t="s">
        <v>60</v>
      </c>
      <c r="E1" s="75"/>
      <c r="F1" s="75"/>
      <c r="G1" s="73" t="s">
        <v>61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SUM(C4:C89)</f>
        <v>157923.9</v>
      </c>
      <c r="D2" s="5">
        <f>SUM(D4:D89)</f>
        <v>114980.00200000001</v>
      </c>
      <c r="E2" s="5">
        <f>C2-D2</f>
        <v>42943.897999999986</v>
      </c>
      <c r="F2" s="6">
        <f>IFERROR(E2/D2, 0)</f>
        <v>0.37349014831292127</v>
      </c>
      <c r="G2" s="5">
        <f>SUM(G4:G89)</f>
        <v>163254.72600000002</v>
      </c>
      <c r="H2" s="7">
        <f>C2-G2</f>
        <v>-5330.82600000003</v>
      </c>
      <c r="I2" s="6">
        <f>IFERROR(H2/G2, 0)</f>
        <v>-3.2653425298083127E-2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64790.6</v>
      </c>
      <c r="D4" s="13">
        <v>64642.631999999998</v>
      </c>
      <c r="E4" s="13">
        <f>IF(AND(ISNUMBER(C4),ISNUMBER(D4)), C4-D4, "")</f>
        <v>147.96800000000076</v>
      </c>
      <c r="F4" s="14">
        <f>IFERROR(E4/D4, "")</f>
        <v>2.2890157071574803E-3</v>
      </c>
      <c r="G4" s="15">
        <v>76418.986000000004</v>
      </c>
      <c r="H4" s="15">
        <f>IF(AND(ISNUMBER(C4),ISNUMBER(G4)), C4-G4, "")</f>
        <v>-11628.386000000006</v>
      </c>
      <c r="I4" s="16">
        <f>IFERROR(H4/G4, "")</f>
        <v>-0.1521661907421803</v>
      </c>
      <c r="J4" s="40" t="s">
        <v>55</v>
      </c>
      <c r="K4" s="55" t="s">
        <v>56</v>
      </c>
    </row>
    <row r="5" spans="1:11" ht="28.9">
      <c r="A5" s="29" t="str">
        <v>Mount Laurel - Igloo Ice Rink</v>
      </c>
      <c r="B5" s="30" t="str">
        <v>NJ</v>
      </c>
      <c r="C5" s="11">
        <v>93133.3</v>
      </c>
      <c r="D5" s="18">
        <v>50337.37</v>
      </c>
      <c r="E5" s="18">
        <f t="shared" ref="E5:E6" si="0">IF(AND(ISNUMBER(C5),ISNUMBER(D5)), C5-D5, "")</f>
        <v>42795.93</v>
      </c>
      <c r="F5" s="19">
        <f>IFERROR(E5/D5, "")</f>
        <v>0.85018208142380103</v>
      </c>
      <c r="G5" s="20">
        <v>86835.74</v>
      </c>
      <c r="H5" s="20">
        <f t="shared" ref="H5:H6" si="1">IF(AND(ISNUMBER(C5),ISNUMBER(G5)), C5-G5, "")</f>
        <v>6297.5599999999977</v>
      </c>
      <c r="I5" s="19">
        <f t="shared" ref="I5:I6" si="2">IFERROR(H5/G5, "")</f>
        <v>7.2522673267942414E-2</v>
      </c>
      <c r="J5" s="41" t="s">
        <v>62</v>
      </c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0595" xr:uid="{E033DD91-3C56-4E58-AFA2-DDB80CAD46AD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0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4.4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1" customWidth="1"/>
    <col min="11" max="11" width="20.5703125" style="61" bestFit="1" customWidth="1"/>
    <col min="12" max="12" width="8.85546875" style="61"/>
  </cols>
  <sheetData>
    <row r="1" spans="1:12" ht="19.5" customHeight="1">
      <c r="A1" s="74" t="str" cm="1">
        <f t="array" ref="A1">portfolio</f>
        <v>Amergy Solar</v>
      </c>
      <c r="B1" s="74"/>
      <c r="C1" s="74"/>
      <c r="D1" s="75" t="s">
        <v>63</v>
      </c>
      <c r="E1" s="75"/>
      <c r="F1" s="75"/>
      <c r="G1" s="73" t="s">
        <v>64</v>
      </c>
      <c r="H1" s="73"/>
      <c r="I1" s="73"/>
      <c r="J1" s="63"/>
      <c r="K1" s="63"/>
    </row>
    <row r="2" spans="1:12" ht="19.5" customHeight="1">
      <c r="A2" s="76" t="s">
        <v>2</v>
      </c>
      <c r="B2" s="76"/>
      <c r="C2" s="5">
        <f>SUM(C4:C88)</f>
        <v>125532.1</v>
      </c>
      <c r="D2" s="5">
        <f>SUM(D4:D88)</f>
        <v>85756.03</v>
      </c>
      <c r="E2" s="5">
        <f>C2-D2</f>
        <v>39776.070000000007</v>
      </c>
      <c r="F2" s="6">
        <f>IFERROR(E2/D2, 0)</f>
        <v>0.46382825790792798</v>
      </c>
      <c r="G2" s="5">
        <f>SUM(G4:G88)</f>
        <v>133798.08900000001</v>
      </c>
      <c r="H2" s="7">
        <f>C2-G2</f>
        <v>-8265.9890000000014</v>
      </c>
      <c r="I2" s="6">
        <f>IFERROR(H2/G2, 0)</f>
        <v>-6.1779574445192567E-2</v>
      </c>
      <c r="J2" s="6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63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62" t="s">
        <v>20</v>
      </c>
      <c r="K3" s="62" t="s">
        <v>21</v>
      </c>
      <c r="L3" s="62" t="s">
        <v>65</v>
      </c>
    </row>
    <row r="4" spans="1:12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49580.5</v>
      </c>
      <c r="D4" s="13">
        <v>48704.9</v>
      </c>
      <c r="E4" s="13">
        <f>IF(AND(ISNUMBER(C4),ISNUMBER(D4)), C4-D4, "")</f>
        <v>875.59999999999854</v>
      </c>
      <c r="F4" s="14">
        <f>IFERROR(E4/D4, "")</f>
        <v>1.7977657278836389E-2</v>
      </c>
      <c r="G4" s="15">
        <v>62157</v>
      </c>
      <c r="H4" s="15">
        <f>IF(AND(ISNUMBER(C4),ISNUMBER(G4)), C4-G4, "")</f>
        <v>-12576.5</v>
      </c>
      <c r="I4" s="16">
        <f>IFERROR(H4/G4, "")</f>
        <v>-0.20233441124893414</v>
      </c>
      <c r="J4" s="72" t="s">
        <v>55</v>
      </c>
      <c r="K4" s="67" t="s">
        <v>33</v>
      </c>
      <c r="L4" s="65" t="s">
        <v>66</v>
      </c>
    </row>
    <row r="5" spans="1:12" ht="57.6">
      <c r="A5" s="29" t="str">
        <v>Mount Laurel - Igloo Ice Rink</v>
      </c>
      <c r="B5" s="30" t="str">
        <v>NJ</v>
      </c>
      <c r="C5" s="11">
        <v>75951.600000000006</v>
      </c>
      <c r="D5" s="18">
        <v>37051.129999999997</v>
      </c>
      <c r="E5" s="18">
        <f t="shared" ref="E5" si="0">IF(AND(ISNUMBER(C5),ISNUMBER(D5)), C5-D5, "")</f>
        <v>38900.470000000008</v>
      </c>
      <c r="F5" s="19">
        <f>IFERROR(E5/D5, "")</f>
        <v>1.0499131875330121</v>
      </c>
      <c r="G5" s="20">
        <v>71641.089000000007</v>
      </c>
      <c r="H5" s="20">
        <f t="shared" ref="H5" si="1">IF(AND(ISNUMBER(C5),ISNUMBER(G5)), C5-G5, "")</f>
        <v>4310.5109999999986</v>
      </c>
      <c r="I5" s="19">
        <f t="shared" ref="I5" si="2">IFERROR(H5/G5, "")</f>
        <v>6.0168138985156945E-2</v>
      </c>
      <c r="J5" s="70" t="s">
        <v>67</v>
      </c>
      <c r="K5" s="68" t="s">
        <v>68</v>
      </c>
      <c r="L5" s="66" t="s">
        <v>66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</row>
    <row r="7" spans="1:12">
      <c r="A7" s="21"/>
      <c r="B7" s="32"/>
      <c r="C7" s="21"/>
      <c r="D7" s="21"/>
      <c r="E7" s="21"/>
      <c r="F7" s="21"/>
      <c r="G7" s="21"/>
      <c r="H7" s="21"/>
      <c r="I7" s="21"/>
    </row>
    <row r="8" spans="1:12">
      <c r="A8" s="21"/>
      <c r="B8" s="32"/>
      <c r="C8" s="21"/>
      <c r="D8" s="21"/>
      <c r="E8" s="21"/>
      <c r="F8" s="21"/>
      <c r="G8" s="21"/>
      <c r="H8" s="21"/>
      <c r="I8" s="21"/>
    </row>
    <row r="9" spans="1:12">
      <c r="A9" s="21"/>
      <c r="B9" s="32"/>
      <c r="C9" s="21"/>
      <c r="D9" s="21"/>
      <c r="E9" s="21"/>
      <c r="F9" s="21"/>
      <c r="G9" s="21"/>
      <c r="H9" s="21"/>
      <c r="I9" s="21"/>
    </row>
    <row r="10" spans="1:12">
      <c r="A10" s="21"/>
      <c r="B10" s="32"/>
      <c r="C10" s="21"/>
      <c r="D10" s="21"/>
      <c r="E10" s="21"/>
      <c r="F10" s="21"/>
      <c r="G10" s="21"/>
      <c r="H10" s="21"/>
      <c r="I10" s="21"/>
    </row>
    <row r="11" spans="1:12">
      <c r="A11" s="21"/>
      <c r="B11" s="32"/>
      <c r="C11" s="21"/>
      <c r="D11" s="21"/>
      <c r="E11" s="21"/>
      <c r="F11" s="21"/>
      <c r="G11" s="21"/>
      <c r="H11" s="21"/>
      <c r="I11" s="21"/>
    </row>
    <row r="12" spans="1:12">
      <c r="A12" s="21"/>
      <c r="B12" s="32"/>
      <c r="C12" s="21"/>
      <c r="D12" s="21"/>
      <c r="E12" s="21"/>
      <c r="F12" s="21"/>
      <c r="G12" s="21"/>
      <c r="H12" s="21"/>
      <c r="I12" s="21"/>
    </row>
    <row r="13" spans="1:12">
      <c r="A13" s="21"/>
      <c r="B13" s="32"/>
      <c r="C13" s="21"/>
      <c r="D13" s="21"/>
      <c r="E13" s="21"/>
      <c r="F13" s="21"/>
      <c r="G13" s="21"/>
      <c r="H13" s="21"/>
      <c r="I13" s="21"/>
    </row>
    <row r="14" spans="1:12">
      <c r="A14" s="21"/>
      <c r="B14" s="32"/>
      <c r="C14" s="21"/>
      <c r="D14" s="21"/>
      <c r="E14" s="21"/>
      <c r="F14" s="21"/>
      <c r="G14" s="21"/>
      <c r="H14" s="21"/>
      <c r="I14" s="21"/>
    </row>
    <row r="15" spans="1:12">
      <c r="A15" s="21"/>
      <c r="B15" s="32"/>
      <c r="C15" s="21"/>
      <c r="D15" s="21"/>
      <c r="E15" s="21"/>
      <c r="F15" s="21"/>
      <c r="G15" s="21"/>
      <c r="H15" s="21"/>
      <c r="I15" s="21"/>
    </row>
    <row r="16" spans="1:12">
      <c r="A16" s="21"/>
      <c r="B16" s="32"/>
      <c r="C16" s="21"/>
      <c r="D16" s="21"/>
      <c r="E16" s="21"/>
      <c r="F16" s="21"/>
      <c r="G16" s="21"/>
      <c r="H16" s="21"/>
      <c r="I16" s="21"/>
    </row>
    <row r="17" spans="1:9">
      <c r="A17" s="21"/>
      <c r="B17" s="32"/>
      <c r="C17" s="21"/>
      <c r="D17" s="21"/>
      <c r="E17" s="21"/>
      <c r="F17" s="21"/>
      <c r="G17" s="21"/>
      <c r="H17" s="21"/>
      <c r="I17" s="21"/>
    </row>
    <row r="18" spans="1:9">
      <c r="A18" s="21"/>
      <c r="B18" s="32"/>
      <c r="C18" s="21"/>
      <c r="D18" s="21"/>
      <c r="E18" s="21"/>
      <c r="F18" s="21"/>
      <c r="G18" s="21"/>
      <c r="H18" s="21"/>
      <c r="I18" s="21"/>
    </row>
    <row r="19" spans="1:9">
      <c r="A19" s="21"/>
      <c r="B19" s="32"/>
      <c r="C19" s="21"/>
      <c r="D19" s="21"/>
      <c r="E19" s="21"/>
      <c r="F19" s="21"/>
      <c r="G19" s="21"/>
      <c r="H19" s="21"/>
      <c r="I19" s="21"/>
    </row>
    <row r="20" spans="1:9">
      <c r="A20" s="21"/>
      <c r="B20" s="32"/>
      <c r="C20" s="21"/>
      <c r="D20" s="21"/>
      <c r="E20" s="21"/>
      <c r="F20" s="21"/>
      <c r="G20" s="21"/>
      <c r="H20" s="21"/>
      <c r="I20" s="21"/>
    </row>
    <row r="21" spans="1:9">
      <c r="A21" s="21"/>
      <c r="B21" s="32"/>
      <c r="C21" s="21"/>
      <c r="D21" s="21"/>
      <c r="E21" s="21"/>
      <c r="F21" s="22"/>
      <c r="G21" s="21"/>
      <c r="H21" s="21"/>
      <c r="I21" s="22"/>
    </row>
    <row r="22" spans="1:9">
      <c r="A22" s="21"/>
      <c r="B22" s="32"/>
      <c r="C22" s="21"/>
      <c r="D22" s="21"/>
      <c r="E22" s="21"/>
      <c r="F22" s="22"/>
      <c r="G22" s="21"/>
      <c r="H22" s="21"/>
      <c r="I22" s="22"/>
    </row>
    <row r="23" spans="1:9">
      <c r="A23" s="21"/>
      <c r="B23" s="32"/>
      <c r="C23" s="21"/>
      <c r="D23" s="21"/>
      <c r="E23" s="21"/>
      <c r="F23" s="22"/>
      <c r="G23" s="21"/>
      <c r="H23" s="21"/>
      <c r="I23" s="22"/>
    </row>
    <row r="24" spans="1:9">
      <c r="A24" s="21"/>
      <c r="B24" s="32"/>
      <c r="C24" s="21"/>
      <c r="D24" s="21"/>
      <c r="E24" s="21"/>
      <c r="F24" s="22"/>
      <c r="G24" s="21"/>
      <c r="H24" s="21"/>
      <c r="I24" s="22"/>
    </row>
    <row r="25" spans="1:9">
      <c r="A25" s="21"/>
      <c r="B25" s="32"/>
      <c r="C25" s="21"/>
      <c r="D25" s="21"/>
      <c r="E25" s="21"/>
      <c r="F25" s="22"/>
      <c r="G25" s="21"/>
      <c r="H25" s="21"/>
      <c r="I25" s="22"/>
    </row>
    <row r="26" spans="1:9">
      <c r="A26" s="21"/>
      <c r="B26" s="32"/>
      <c r="C26" s="21"/>
      <c r="D26" s="21"/>
      <c r="E26" s="21"/>
      <c r="F26" s="22"/>
      <c r="G26" s="21"/>
      <c r="H26" s="21"/>
      <c r="I26" s="22"/>
    </row>
    <row r="27" spans="1:9">
      <c r="A27" s="21"/>
      <c r="B27" s="32"/>
      <c r="C27" s="21"/>
      <c r="D27" s="21"/>
      <c r="E27" s="21"/>
      <c r="F27" s="22"/>
      <c r="G27" s="21"/>
      <c r="H27" s="21"/>
      <c r="I27" s="22"/>
    </row>
    <row r="28" spans="1:9">
      <c r="A28" s="21"/>
      <c r="B28" s="32"/>
      <c r="C28" s="21"/>
      <c r="D28" s="21"/>
      <c r="E28" s="21"/>
      <c r="F28" s="22"/>
      <c r="G28" s="21"/>
      <c r="H28" s="21"/>
      <c r="I28" s="22"/>
    </row>
    <row r="29" spans="1:9">
      <c r="A29" s="21"/>
      <c r="B29" s="32"/>
      <c r="C29" s="21"/>
      <c r="D29" s="21"/>
      <c r="E29" s="21"/>
      <c r="F29" s="22"/>
      <c r="G29" s="21"/>
      <c r="H29" s="21"/>
      <c r="I29" s="22"/>
    </row>
    <row r="30" spans="1:9">
      <c r="A30" s="21"/>
      <c r="B30" s="32"/>
      <c r="C30" s="21"/>
      <c r="D30" s="21"/>
      <c r="E30" s="21"/>
      <c r="F30" s="22"/>
      <c r="G30" s="21"/>
      <c r="H30" s="21"/>
      <c r="I30" s="22"/>
    </row>
    <row r="31" spans="1:9">
      <c r="A31" s="21"/>
      <c r="B31" s="32"/>
      <c r="C31" s="21"/>
      <c r="D31" s="21"/>
      <c r="E31" s="21"/>
      <c r="F31" s="22"/>
      <c r="G31" s="21"/>
      <c r="H31" s="21"/>
      <c r="I31" s="22"/>
    </row>
    <row r="32" spans="1:9">
      <c r="A32" s="21"/>
      <c r="B32" s="32"/>
      <c r="C32" s="21"/>
      <c r="D32" s="21"/>
      <c r="E32" s="21"/>
      <c r="F32" s="22"/>
      <c r="G32" s="21"/>
      <c r="H32" s="21"/>
      <c r="I32" s="22"/>
    </row>
    <row r="33" spans="1:9">
      <c r="A33" s="21"/>
      <c r="B33" s="32"/>
      <c r="C33" s="21"/>
      <c r="D33" s="21"/>
      <c r="E33" s="21"/>
      <c r="F33" s="22"/>
      <c r="G33" s="21"/>
      <c r="H33" s="21"/>
      <c r="I33" s="22"/>
    </row>
    <row r="34" spans="1:9">
      <c r="A34" s="21"/>
      <c r="B34" s="32"/>
      <c r="C34" s="21"/>
      <c r="D34" s="21"/>
      <c r="E34" s="21"/>
      <c r="F34" s="22"/>
      <c r="G34" s="21"/>
      <c r="H34" s="21"/>
      <c r="I34" s="22"/>
    </row>
    <row r="35" spans="1:9">
      <c r="A35" s="21"/>
      <c r="B35" s="32"/>
      <c r="C35" s="21"/>
      <c r="D35" s="21"/>
      <c r="E35" s="21"/>
      <c r="F35" s="22"/>
      <c r="G35" s="21"/>
      <c r="H35" s="21"/>
      <c r="I35" s="22"/>
    </row>
    <row r="36" spans="1:9">
      <c r="A36" s="21"/>
      <c r="B36" s="32"/>
      <c r="C36" s="21"/>
      <c r="D36" s="21"/>
      <c r="E36" s="21"/>
      <c r="F36" s="22"/>
      <c r="G36" s="21"/>
      <c r="H36" s="21"/>
      <c r="I36" s="22"/>
    </row>
    <row r="37" spans="1:9">
      <c r="A37" s="21"/>
      <c r="B37" s="32"/>
      <c r="C37" s="21"/>
      <c r="D37" s="21"/>
      <c r="E37" s="21"/>
      <c r="F37" s="22"/>
      <c r="G37" s="21"/>
      <c r="H37" s="21"/>
      <c r="I37" s="22"/>
    </row>
    <row r="38" spans="1:9">
      <c r="A38" s="21"/>
      <c r="B38" s="32"/>
      <c r="C38" s="21"/>
      <c r="D38" s="21"/>
      <c r="E38" s="21"/>
      <c r="F38" s="22"/>
      <c r="G38" s="21"/>
      <c r="H38" s="21"/>
      <c r="I38" s="22"/>
    </row>
    <row r="39" spans="1:9">
      <c r="A39" s="21"/>
      <c r="B39" s="32"/>
      <c r="C39" s="21"/>
      <c r="D39" s="21"/>
      <c r="E39" s="21"/>
      <c r="F39" s="22"/>
      <c r="G39" s="21"/>
      <c r="H39" s="21"/>
      <c r="I39" s="22"/>
    </row>
    <row r="40" spans="1:9">
      <c r="A40" s="21"/>
      <c r="B40" s="32"/>
      <c r="C40" s="21"/>
      <c r="D40" s="21"/>
      <c r="E40" s="21"/>
      <c r="F40" s="22"/>
      <c r="G40" s="21"/>
      <c r="H40" s="21"/>
      <c r="I40" s="22"/>
    </row>
    <row r="41" spans="1:9">
      <c r="A41" s="21"/>
      <c r="B41" s="32"/>
      <c r="C41" s="21"/>
      <c r="D41" s="21"/>
      <c r="E41" s="21"/>
      <c r="F41" s="22"/>
      <c r="G41" s="21"/>
      <c r="H41" s="21"/>
      <c r="I41" s="22"/>
    </row>
    <row r="42" spans="1:9">
      <c r="A42" s="21"/>
      <c r="B42" s="32"/>
      <c r="C42" s="21"/>
      <c r="D42" s="21"/>
      <c r="E42" s="21"/>
      <c r="F42" s="22"/>
      <c r="G42" s="21"/>
      <c r="H42" s="21"/>
      <c r="I42" s="22"/>
    </row>
    <row r="43" spans="1:9">
      <c r="A43" s="21"/>
      <c r="B43" s="32"/>
      <c r="C43" s="21"/>
      <c r="D43" s="21"/>
      <c r="E43" s="21"/>
      <c r="F43" s="22"/>
      <c r="G43" s="21"/>
      <c r="H43" s="21"/>
      <c r="I43" s="22"/>
    </row>
    <row r="44" spans="1:9">
      <c r="A44" s="21"/>
      <c r="B44" s="32"/>
      <c r="C44" s="21"/>
      <c r="D44" s="21"/>
      <c r="E44" s="21"/>
      <c r="F44" s="22"/>
      <c r="G44" s="21"/>
      <c r="H44" s="21"/>
      <c r="I44" s="22"/>
    </row>
    <row r="45" spans="1:9">
      <c r="A45" s="21"/>
      <c r="B45" s="32"/>
      <c r="C45" s="21"/>
      <c r="D45" s="21"/>
      <c r="E45" s="21"/>
      <c r="F45" s="22"/>
      <c r="G45" s="21"/>
      <c r="H45" s="21"/>
      <c r="I45" s="22"/>
    </row>
    <row r="46" spans="1:9">
      <c r="A46" s="21"/>
      <c r="B46" s="32"/>
      <c r="C46" s="21"/>
      <c r="D46" s="21"/>
      <c r="E46" s="21"/>
      <c r="F46" s="22"/>
      <c r="G46" s="21"/>
      <c r="H46" s="21"/>
      <c r="I46" s="22"/>
    </row>
    <row r="47" spans="1:9">
      <c r="A47" s="21"/>
      <c r="B47" s="32"/>
      <c r="C47" s="21"/>
      <c r="D47" s="21"/>
      <c r="E47" s="21"/>
      <c r="F47" s="22"/>
      <c r="G47" s="21"/>
      <c r="H47" s="21"/>
      <c r="I47" s="22"/>
    </row>
    <row r="48" spans="1:9">
      <c r="A48" s="21"/>
      <c r="B48" s="32"/>
      <c r="C48" s="21"/>
      <c r="D48" s="21"/>
      <c r="E48" s="21"/>
      <c r="F48" s="22"/>
      <c r="G48" s="21"/>
      <c r="H48" s="21"/>
      <c r="I48" s="22"/>
    </row>
    <row r="49" spans="1:9">
      <c r="A49" s="21"/>
      <c r="B49" s="32"/>
      <c r="C49" s="21"/>
      <c r="D49" s="21"/>
      <c r="E49" s="21"/>
      <c r="F49" s="22"/>
      <c r="G49" s="21"/>
      <c r="H49" s="21"/>
      <c r="I49" s="22"/>
    </row>
    <row r="50" spans="1:9">
      <c r="A50" s="21"/>
      <c r="B50" s="32"/>
      <c r="C50" s="21"/>
      <c r="D50" s="21"/>
      <c r="E50" s="21"/>
      <c r="F50" s="22"/>
      <c r="G50" s="21"/>
      <c r="H50" s="21"/>
      <c r="I50" s="22"/>
    </row>
    <row r="51" spans="1:9">
      <c r="A51" s="21"/>
      <c r="B51" s="32"/>
      <c r="C51" s="21"/>
      <c r="D51" s="21"/>
      <c r="E51" s="21"/>
      <c r="F51" s="22"/>
      <c r="G51" s="21"/>
      <c r="H51" s="21"/>
      <c r="I51" s="22"/>
    </row>
    <row r="52" spans="1:9">
      <c r="A52" s="21"/>
      <c r="B52" s="32"/>
      <c r="C52" s="21"/>
      <c r="D52" s="21"/>
      <c r="E52" s="21"/>
      <c r="F52" s="22"/>
      <c r="G52" s="21"/>
      <c r="H52" s="21"/>
      <c r="I52" s="22"/>
    </row>
    <row r="53" spans="1:9">
      <c r="A53" s="21"/>
      <c r="B53" s="32"/>
      <c r="C53" s="21"/>
      <c r="D53" s="21"/>
      <c r="E53" s="21"/>
      <c r="F53" s="22"/>
      <c r="G53" s="21"/>
      <c r="H53" s="21"/>
      <c r="I53" s="22"/>
    </row>
    <row r="54" spans="1:9">
      <c r="A54" s="21"/>
      <c r="B54" s="32"/>
      <c r="C54" s="21"/>
      <c r="D54" s="21"/>
      <c r="E54" s="21"/>
      <c r="F54" s="22"/>
      <c r="G54" s="21"/>
      <c r="H54" s="21"/>
      <c r="I54" s="22"/>
    </row>
    <row r="55" spans="1:9">
      <c r="A55" s="21"/>
      <c r="B55" s="32"/>
      <c r="C55" s="21"/>
      <c r="D55" s="21"/>
      <c r="E55" s="21"/>
      <c r="F55" s="22"/>
      <c r="G55" s="21"/>
      <c r="H55" s="21"/>
      <c r="I55" s="22"/>
    </row>
    <row r="56" spans="1:9">
      <c r="A56" s="21"/>
      <c r="B56" s="32"/>
      <c r="C56" s="21"/>
      <c r="D56" s="21"/>
      <c r="E56" s="21"/>
      <c r="F56" s="22"/>
      <c r="G56" s="21"/>
      <c r="H56" s="21"/>
      <c r="I56" s="22"/>
    </row>
    <row r="57" spans="1:9">
      <c r="A57" s="21"/>
      <c r="B57" s="32"/>
      <c r="C57" s="21"/>
      <c r="D57" s="21"/>
      <c r="E57" s="21"/>
      <c r="F57" s="22"/>
      <c r="G57" s="21"/>
      <c r="H57" s="21"/>
      <c r="I57" s="22"/>
    </row>
    <row r="58" spans="1:9">
      <c r="A58" s="21"/>
      <c r="B58" s="32"/>
      <c r="C58" s="21"/>
      <c r="D58" s="21"/>
      <c r="E58" s="21"/>
      <c r="F58" s="22"/>
      <c r="G58" s="21"/>
      <c r="H58" s="21"/>
      <c r="I58" s="22"/>
    </row>
    <row r="59" spans="1:9">
      <c r="A59" s="21"/>
      <c r="B59" s="32"/>
      <c r="C59" s="21"/>
      <c r="D59" s="21"/>
      <c r="E59" s="21"/>
      <c r="F59" s="22"/>
      <c r="G59" s="21"/>
      <c r="H59" s="21"/>
      <c r="I59" s="22"/>
    </row>
    <row r="60" spans="1:9">
      <c r="A60" s="21"/>
      <c r="B60" s="32"/>
      <c r="C60" s="21"/>
      <c r="D60" s="21"/>
      <c r="E60" s="21"/>
      <c r="F60" s="22"/>
      <c r="G60" s="21"/>
      <c r="H60" s="21"/>
      <c r="I60" s="22"/>
    </row>
    <row r="61" spans="1:9">
      <c r="A61" s="21"/>
      <c r="B61" s="32"/>
      <c r="C61" s="21"/>
      <c r="D61" s="21"/>
      <c r="E61" s="21"/>
      <c r="F61" s="22"/>
      <c r="G61" s="21"/>
      <c r="H61" s="21"/>
      <c r="I61" s="22"/>
    </row>
    <row r="62" spans="1:9">
      <c r="A62" s="21"/>
      <c r="B62" s="32"/>
      <c r="C62" s="21"/>
      <c r="D62" s="21"/>
      <c r="E62" s="21"/>
      <c r="F62" s="22"/>
      <c r="G62" s="21"/>
      <c r="H62" s="21"/>
      <c r="I62" s="22"/>
    </row>
    <row r="63" spans="1:9">
      <c r="A63" s="21"/>
      <c r="B63" s="32"/>
      <c r="C63" s="21"/>
      <c r="D63" s="21"/>
      <c r="E63" s="21"/>
      <c r="F63" s="22"/>
      <c r="G63" s="21"/>
      <c r="H63" s="21"/>
      <c r="I63" s="22"/>
    </row>
    <row r="64" spans="1:9">
      <c r="A64" s="21"/>
      <c r="B64" s="32"/>
      <c r="C64" s="21"/>
      <c r="D64" s="21"/>
      <c r="E64" s="21"/>
      <c r="F64" s="22"/>
      <c r="G64" s="21"/>
      <c r="H64" s="21"/>
      <c r="I64" s="22"/>
    </row>
    <row r="65" spans="1:9">
      <c r="A65" s="21"/>
      <c r="B65" s="32"/>
      <c r="C65" s="21"/>
      <c r="D65" s="21"/>
      <c r="E65" s="21"/>
      <c r="F65" s="22"/>
      <c r="G65" s="21"/>
      <c r="H65" s="21"/>
      <c r="I65" s="22"/>
    </row>
    <row r="66" spans="1:9">
      <c r="A66" s="21"/>
      <c r="B66" s="32"/>
      <c r="C66" s="21"/>
      <c r="D66" s="21"/>
      <c r="E66" s="21"/>
      <c r="F66" s="22"/>
      <c r="G66" s="21"/>
      <c r="H66" s="21"/>
      <c r="I66" s="22"/>
    </row>
    <row r="67" spans="1:9">
      <c r="A67" s="21"/>
      <c r="B67" s="32"/>
      <c r="C67" s="21"/>
      <c r="D67" s="21"/>
      <c r="E67" s="21"/>
      <c r="F67" s="22"/>
      <c r="G67" s="21"/>
      <c r="H67" s="21"/>
      <c r="I67" s="22"/>
    </row>
    <row r="68" spans="1:9">
      <c r="A68" s="21"/>
      <c r="B68" s="32"/>
      <c r="C68" s="21"/>
      <c r="D68" s="21"/>
      <c r="E68" s="21"/>
      <c r="F68" s="22"/>
      <c r="G68" s="21"/>
      <c r="H68" s="21"/>
      <c r="I68" s="22"/>
    </row>
    <row r="69" spans="1:9">
      <c r="A69" s="21"/>
      <c r="B69" s="32"/>
      <c r="C69" s="21"/>
      <c r="D69" s="21"/>
      <c r="E69" s="21"/>
      <c r="F69" s="22"/>
      <c r="G69" s="21"/>
      <c r="H69" s="21"/>
      <c r="I69" s="22"/>
    </row>
    <row r="70" spans="1:9">
      <c r="A70" s="21"/>
      <c r="B70" s="32"/>
      <c r="C70" s="21"/>
      <c r="D70" s="21"/>
      <c r="E70" s="21"/>
      <c r="F70" s="22"/>
      <c r="G70" s="21"/>
      <c r="H70" s="21"/>
      <c r="I70" s="22"/>
    </row>
    <row r="71" spans="1:9">
      <c r="A71" s="21"/>
      <c r="B71" s="32"/>
      <c r="C71" s="21"/>
      <c r="D71" s="21"/>
      <c r="E71" s="21"/>
      <c r="F71" s="22"/>
      <c r="G71" s="21"/>
      <c r="H71" s="21"/>
      <c r="I71" s="22"/>
    </row>
    <row r="72" spans="1:9">
      <c r="A72" s="21"/>
      <c r="B72" s="32"/>
      <c r="C72" s="21"/>
      <c r="D72" s="21"/>
      <c r="E72" s="21"/>
      <c r="F72" s="22"/>
      <c r="G72" s="21"/>
      <c r="H72" s="21"/>
      <c r="I72" s="22"/>
    </row>
    <row r="73" spans="1:9">
      <c r="A73" s="21"/>
      <c r="B73" s="32"/>
      <c r="C73" s="21"/>
      <c r="D73" s="21"/>
      <c r="E73" s="21"/>
      <c r="F73" s="22"/>
      <c r="G73" s="21"/>
      <c r="H73" s="21"/>
      <c r="I73" s="22"/>
    </row>
    <row r="74" spans="1:9">
      <c r="A74" s="21"/>
      <c r="B74" s="32"/>
      <c r="C74" s="21"/>
      <c r="D74" s="21"/>
      <c r="E74" s="21"/>
      <c r="F74" s="22"/>
      <c r="G74" s="21"/>
      <c r="H74" s="21"/>
      <c r="I74" s="22"/>
    </row>
    <row r="75" spans="1:9">
      <c r="A75" s="21"/>
      <c r="B75" s="32"/>
      <c r="C75" s="21"/>
      <c r="D75" s="21"/>
      <c r="E75" s="21"/>
      <c r="F75" s="22"/>
      <c r="G75" s="21"/>
      <c r="H75" s="21"/>
      <c r="I75" s="22"/>
    </row>
    <row r="76" spans="1:9">
      <c r="A76" s="21"/>
      <c r="B76" s="32"/>
      <c r="C76" s="21"/>
      <c r="D76" s="21"/>
      <c r="E76" s="21"/>
      <c r="F76" s="22"/>
      <c r="G76" s="21"/>
      <c r="H76" s="21"/>
      <c r="I76" s="22"/>
    </row>
    <row r="77" spans="1:9">
      <c r="A77" s="21"/>
      <c r="B77" s="32"/>
      <c r="C77" s="21"/>
      <c r="D77" s="21"/>
      <c r="E77" s="21"/>
      <c r="F77" s="22"/>
      <c r="G77" s="21"/>
      <c r="H77" s="21"/>
      <c r="I77" s="22"/>
    </row>
    <row r="78" spans="1:9">
      <c r="A78" s="21"/>
      <c r="B78" s="32"/>
      <c r="C78" s="21"/>
      <c r="D78" s="21"/>
      <c r="E78" s="21"/>
      <c r="F78" s="22"/>
      <c r="G78" s="21"/>
      <c r="H78" s="21"/>
      <c r="I78" s="22"/>
    </row>
    <row r="79" spans="1:9">
      <c r="A79" s="21"/>
      <c r="B79" s="32"/>
      <c r="C79" s="21"/>
      <c r="D79" s="21"/>
      <c r="E79" s="21"/>
      <c r="F79" s="22"/>
      <c r="G79" s="21"/>
      <c r="H79" s="21"/>
      <c r="I79" s="22"/>
    </row>
    <row r="80" spans="1:9">
      <c r="A80" s="21"/>
      <c r="B80" s="32"/>
      <c r="C80" s="21"/>
      <c r="D80" s="21"/>
      <c r="E80" s="21"/>
      <c r="F80" s="22"/>
      <c r="G80" s="21"/>
      <c r="H80" s="21"/>
      <c r="I80" s="22"/>
    </row>
    <row r="81" spans="1:9">
      <c r="A81" s="21"/>
      <c r="B81" s="32"/>
      <c r="C81" s="21"/>
      <c r="D81" s="21"/>
      <c r="E81" s="21"/>
      <c r="F81" s="22"/>
      <c r="G81" s="21"/>
      <c r="H81" s="21"/>
      <c r="I81" s="22"/>
    </row>
    <row r="82" spans="1:9">
      <c r="A82" s="21"/>
      <c r="B82" s="32"/>
      <c r="C82" s="21"/>
      <c r="D82" s="21"/>
      <c r="E82" s="21"/>
      <c r="F82" s="22"/>
      <c r="G82" s="21"/>
      <c r="H82" s="21"/>
      <c r="I82" s="22"/>
    </row>
    <row r="83" spans="1:9">
      <c r="A83" s="21"/>
      <c r="B83" s="32"/>
      <c r="C83" s="21"/>
      <c r="D83" s="21"/>
      <c r="E83" s="21"/>
      <c r="F83" s="22"/>
      <c r="G83" s="21"/>
      <c r="H83" s="21"/>
      <c r="I83" s="22"/>
    </row>
    <row r="84" spans="1:9">
      <c r="A84" s="21"/>
      <c r="B84" s="32"/>
      <c r="C84" s="21"/>
      <c r="D84" s="21"/>
      <c r="E84" s="21"/>
      <c r="F84" s="22"/>
      <c r="G84" s="21"/>
      <c r="H84" s="21"/>
      <c r="I84" s="22"/>
    </row>
    <row r="85" spans="1:9">
      <c r="A85" s="21"/>
      <c r="B85" s="32"/>
      <c r="C85" s="21"/>
      <c r="D85" s="21"/>
      <c r="E85" s="21"/>
      <c r="F85" s="22"/>
      <c r="G85" s="21"/>
      <c r="H85" s="21"/>
      <c r="I85" s="22"/>
    </row>
    <row r="86" spans="1:9">
      <c r="A86" s="21"/>
      <c r="B86" s="32"/>
      <c r="C86" s="21"/>
      <c r="D86" s="21"/>
      <c r="E86" s="21"/>
      <c r="F86" s="22"/>
      <c r="G86" s="21"/>
      <c r="H86" s="21"/>
      <c r="I86" s="22"/>
    </row>
    <row r="87" spans="1:9">
      <c r="A87" s="21"/>
      <c r="B87" s="32"/>
      <c r="C87" s="21"/>
      <c r="D87" s="21"/>
      <c r="E87" s="21"/>
      <c r="F87" s="22"/>
      <c r="G87" s="21"/>
      <c r="H87" s="21"/>
      <c r="I87" s="22"/>
    </row>
    <row r="88" spans="1:9">
      <c r="A88" s="21"/>
      <c r="B88" s="32"/>
      <c r="C88" s="21"/>
      <c r="D88" s="21"/>
      <c r="E88" s="21"/>
      <c r="F88" s="22"/>
      <c r="G88" s="21"/>
      <c r="H88" s="21"/>
      <c r="I88" s="22"/>
    </row>
    <row r="89" spans="1:9">
      <c r="A89" s="21"/>
      <c r="B89" s="32"/>
      <c r="C89" s="21"/>
      <c r="D89" s="21"/>
      <c r="E89" s="21"/>
      <c r="F89" s="22"/>
      <c r="G89" s="21"/>
      <c r="H89" s="21"/>
      <c r="I89" s="22"/>
    </row>
    <row r="90" spans="1:9">
      <c r="A90" s="21"/>
      <c r="B90" s="32"/>
      <c r="C90" s="21"/>
      <c r="D90" s="21"/>
      <c r="E90" s="21"/>
      <c r="F90" s="22"/>
      <c r="G90" s="21"/>
      <c r="H90" s="21"/>
      <c r="I90" s="22"/>
    </row>
    <row r="91" spans="1:9">
      <c r="A91" s="21"/>
      <c r="B91" s="32"/>
      <c r="C91" s="21"/>
      <c r="D91" s="21"/>
      <c r="E91" s="21"/>
      <c r="F91" s="22"/>
      <c r="G91" s="21"/>
      <c r="H91" s="21"/>
      <c r="I91" s="22"/>
    </row>
    <row r="92" spans="1:9">
      <c r="A92" s="21"/>
      <c r="B92" s="32"/>
      <c r="C92" s="21"/>
      <c r="D92" s="21"/>
      <c r="E92" s="21"/>
      <c r="F92" s="22"/>
      <c r="G92" s="21"/>
      <c r="H92" s="21"/>
      <c r="I92" s="22"/>
    </row>
    <row r="93" spans="1:9">
      <c r="A93" s="21"/>
      <c r="B93" s="32"/>
      <c r="C93" s="21"/>
      <c r="D93" s="21"/>
      <c r="E93" s="21"/>
      <c r="F93" s="22"/>
      <c r="G93" s="21"/>
      <c r="H93" s="21"/>
      <c r="I93" s="22"/>
    </row>
    <row r="94" spans="1:9">
      <c r="A94" s="21"/>
      <c r="B94" s="32"/>
      <c r="C94" s="21"/>
      <c r="D94" s="21"/>
      <c r="E94" s="21"/>
      <c r="F94" s="22"/>
      <c r="G94" s="21"/>
      <c r="H94" s="21"/>
      <c r="I94" s="22"/>
    </row>
    <row r="95" spans="1:9">
      <c r="A95" s="21"/>
      <c r="B95" s="32"/>
      <c r="C95" s="21"/>
      <c r="D95" s="21"/>
      <c r="E95" s="21"/>
      <c r="F95" s="22"/>
      <c r="G95" s="21"/>
      <c r="H95" s="21"/>
      <c r="I95" s="22"/>
    </row>
    <row r="96" spans="1:9">
      <c r="A96" s="21"/>
      <c r="B96" s="32"/>
      <c r="C96" s="21"/>
      <c r="D96" s="21"/>
      <c r="E96" s="21"/>
      <c r="F96" s="22"/>
      <c r="G96" s="21"/>
      <c r="H96" s="21"/>
      <c r="I96" s="22"/>
    </row>
    <row r="97" spans="1:9">
      <c r="A97" s="21"/>
      <c r="B97" s="32"/>
      <c r="C97" s="21"/>
      <c r="D97" s="21"/>
      <c r="E97" s="21"/>
      <c r="F97" s="22"/>
      <c r="G97" s="21"/>
      <c r="H97" s="21"/>
      <c r="I97" s="22"/>
    </row>
    <row r="98" spans="1:9">
      <c r="A98" s="21"/>
      <c r="B98" s="32"/>
      <c r="C98" s="21"/>
      <c r="D98" s="21"/>
      <c r="E98" s="21"/>
      <c r="F98" s="22"/>
      <c r="G98" s="21"/>
      <c r="H98" s="21"/>
      <c r="I98" s="22"/>
    </row>
    <row r="99" spans="1:9">
      <c r="A99" s="21"/>
      <c r="B99" s="32"/>
      <c r="C99" s="21"/>
      <c r="D99" s="21"/>
      <c r="E99" s="21"/>
      <c r="F99" s="22"/>
      <c r="G99" s="21"/>
      <c r="H99" s="21"/>
      <c r="I99" s="22"/>
    </row>
    <row r="100" spans="1:9">
      <c r="A100" s="21"/>
      <c r="B100" s="32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32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32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32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32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32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32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32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32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32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32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32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32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32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32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32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32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32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32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32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32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32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32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32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32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32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32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32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32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32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32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32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32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32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32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32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32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32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32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32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32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32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32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32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32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32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32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32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32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32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32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32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32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32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32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32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32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32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32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32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32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32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32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32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32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32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32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32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32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32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32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32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32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32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32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32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32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32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32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32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32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32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32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32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32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32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32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32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32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32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32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32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32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32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32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32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32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32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32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32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32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32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32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32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32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32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32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32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32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32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32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32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32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32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32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32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32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32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32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32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32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32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32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32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32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32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32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32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32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32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32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32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32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32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32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32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32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32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32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32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32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32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32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32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32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32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32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32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32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32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32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32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32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32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32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32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32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32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32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32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32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32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32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32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32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32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32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32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32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32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32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32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32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32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32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32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32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32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32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32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32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32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32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32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32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32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32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32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32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32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32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32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32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32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32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32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32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32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32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32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32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32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32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32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32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32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32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32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32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32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32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32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32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32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32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32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32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32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32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32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32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32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32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32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32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32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32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32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32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32"/>
      <c r="C329" s="21"/>
      <c r="D329" s="21"/>
      <c r="E329" s="21"/>
      <c r="F329" s="22"/>
      <c r="G329" s="21"/>
      <c r="H329" s="21"/>
      <c r="I329" s="22"/>
    </row>
    <row r="330" spans="1:9">
      <c r="C330" s="21"/>
      <c r="D330" s="21"/>
      <c r="E330" s="21"/>
      <c r="F330" s="22"/>
      <c r="G330" s="21"/>
      <c r="H330" s="21"/>
      <c r="I330" s="22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0595" xr:uid="{6F1E3A59-575B-4B2A-8ED6-709F49774134}"/>
    <hyperlink ref="K5" r:id="rId2" display="https://us3.assetplanner.com/service_request?ID=109305" xr:uid="{C7381B13-0844-43A0-B18A-9E12E3A1B06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30"/>
  <sheetViews>
    <sheetView zoomScale="78" zoomScaleNormal="78" zoomScaleSheetLayoutView="100" workbookViewId="0">
      <pane xSplit="2" ySplit="3" topLeftCell="E4" activePane="bottomRight" state="frozen"/>
      <selection pane="bottomRight" activeCell="N14" sqref="N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28515625" customWidth="1"/>
  </cols>
  <sheetData>
    <row r="1" spans="1:13" ht="19.5" customHeight="1">
      <c r="A1" s="74" t="str" cm="1">
        <f t="array" ref="A1">portfolio</f>
        <v>Amergy Solar</v>
      </c>
      <c r="B1" s="74"/>
      <c r="C1" s="74"/>
      <c r="D1" s="75" t="s">
        <v>69</v>
      </c>
      <c r="E1" s="75"/>
      <c r="F1" s="75"/>
      <c r="G1" s="73" t="s">
        <v>70</v>
      </c>
      <c r="H1" s="73"/>
      <c r="I1" s="73"/>
      <c r="J1" s="4"/>
      <c r="K1" s="4"/>
    </row>
    <row r="2" spans="1:13" ht="19.5" customHeight="1">
      <c r="A2" s="76" t="s">
        <v>2</v>
      </c>
      <c r="B2" s="76"/>
      <c r="C2" s="5">
        <f>SUM(C4:C88)</f>
        <v>80391.699999999895</v>
      </c>
      <c r="D2" s="5">
        <f>SUM(D4:D88)</f>
        <v>52198.498</v>
      </c>
      <c r="E2" s="5">
        <f>C2-D2</f>
        <v>28193.201999999896</v>
      </c>
      <c r="F2" s="6">
        <f>IFERROR(E2/D2, 0)</f>
        <v>0.5401151964181018</v>
      </c>
      <c r="G2" s="5">
        <f>SUM(G4:G88)</f>
        <v>100717.89</v>
      </c>
      <c r="H2" s="7">
        <f>C2-G2</f>
        <v>-20326.190000000104</v>
      </c>
      <c r="I2" s="6">
        <f>IFERROR(H2/G2, 0)</f>
        <v>-0.20181310390835336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65</v>
      </c>
    </row>
    <row r="4" spans="1:13" ht="114.7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33029.900000000103</v>
      </c>
      <c r="D4" s="13">
        <v>30586.328000000001</v>
      </c>
      <c r="E4" s="13">
        <f>IF(AND(ISNUMBER(C4),ISNUMBER(D4)), C4-D4, "")</f>
        <v>2443.572000000102</v>
      </c>
      <c r="F4" s="14">
        <f>IFERROR(E4/D4, "")</f>
        <v>7.9890989202760845E-2</v>
      </c>
      <c r="G4" s="15">
        <v>48553.96</v>
      </c>
      <c r="H4" s="15">
        <f>IF(AND(ISNUMBER(C4),ISNUMBER(G4)), C4-G4, "")</f>
        <v>-15524.059999999896</v>
      </c>
      <c r="I4" s="16">
        <f>IFERROR(H4/G4, "")</f>
        <v>-0.31972798923094831</v>
      </c>
      <c r="J4" s="40" t="s">
        <v>71</v>
      </c>
      <c r="K4" s="55" t="s">
        <v>72</v>
      </c>
      <c r="L4" s="40" t="s">
        <v>73</v>
      </c>
      <c r="M4" s="71" t="s">
        <v>74</v>
      </c>
    </row>
    <row r="5" spans="1:13" ht="73.5" customHeight="1">
      <c r="A5" s="29" t="str">
        <v>Mount Laurel - Igloo Ice Rink</v>
      </c>
      <c r="B5" s="30" t="str">
        <v>NJ</v>
      </c>
      <c r="C5" s="11">
        <v>47361.799999999799</v>
      </c>
      <c r="D5" s="18">
        <v>21612.17</v>
      </c>
      <c r="E5" s="18">
        <f t="shared" ref="E5" si="0">IF(AND(ISNUMBER(C5),ISNUMBER(D5)), C5-D5, "")</f>
        <v>25749.629999999801</v>
      </c>
      <c r="F5" s="19">
        <f>IFERROR(E5/D5, "")</f>
        <v>1.1914412111324222</v>
      </c>
      <c r="G5" s="20">
        <v>52163.93</v>
      </c>
      <c r="H5" s="20">
        <f>IF(AND(ISNUMBER(C5),ISNUMBER(G5)), C5-G5, "")</f>
        <v>-4802.1300000002011</v>
      </c>
      <c r="I5" s="19">
        <f t="shared" ref="I5" si="1">IFERROR(H5/G5, "")</f>
        <v>-9.2058439615270576E-2</v>
      </c>
      <c r="J5" s="41" t="s">
        <v>75</v>
      </c>
      <c r="K5" s="50" t="s">
        <v>76</v>
      </c>
      <c r="L5" s="69" t="s">
        <v>77</v>
      </c>
    </row>
    <row r="6" spans="1:13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3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3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3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3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3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3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0595" xr:uid="{37A1EA8C-60B4-4EC9-BB45-CA643084919A}"/>
    <hyperlink ref="M4" r:id="rId2" display="https://us3.assetplanner.com/service_request?ID=110743" xr:uid="{34C014E5-B70F-4570-8031-649FF6FB578E}"/>
  </hyperlinks>
  <pageMargins left="0.4" right="0.7" top="0.25" bottom="0.25" header="0.3" footer="0.3"/>
  <pageSetup scale="53"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30"/>
  <sheetViews>
    <sheetView tabSelected="1" zoomScale="75" zoomScaleNormal="75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7109375" customWidth="1"/>
  </cols>
  <sheetData>
    <row r="1" spans="1:13" ht="19.5" customHeight="1">
      <c r="A1" s="74" t="str" cm="1">
        <f t="array" ref="A1">portfolio</f>
        <v>Amergy Solar</v>
      </c>
      <c r="B1" s="74"/>
      <c r="C1" s="74"/>
      <c r="D1" s="75" t="s">
        <v>78</v>
      </c>
      <c r="E1" s="75"/>
      <c r="F1" s="75"/>
      <c r="G1" s="73" t="s">
        <v>79</v>
      </c>
      <c r="H1" s="73"/>
      <c r="I1" s="73"/>
      <c r="J1" s="4"/>
      <c r="K1" s="4"/>
      <c r="L1" s="4"/>
    </row>
    <row r="2" spans="1:13" ht="19.5" customHeight="1">
      <c r="A2" s="76" t="s">
        <v>2</v>
      </c>
      <c r="B2" s="76"/>
      <c r="C2" s="5">
        <f>SUM(C4:C88)</f>
        <v>57750</v>
      </c>
      <c r="D2" s="5">
        <f>SUM(D4:D88)</f>
        <v>41502.644999999997</v>
      </c>
      <c r="E2" s="5">
        <f>C2-D2</f>
        <v>16247.355000000003</v>
      </c>
      <c r="F2" s="6">
        <f>IFERROR(E2/D2, 0)</f>
        <v>0.39147757932054705</v>
      </c>
      <c r="G2" s="5">
        <f>SUM(G4:G88)</f>
        <v>82903.588000000003</v>
      </c>
      <c r="H2" s="7">
        <f>C2-G2</f>
        <v>-25153.588000000003</v>
      </c>
      <c r="I2" s="6">
        <f>IFERROR(H2/G2, 0)</f>
        <v>-0.30340771258295846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65</v>
      </c>
    </row>
    <row r="4" spans="1:13" ht="91.5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23841.599999999999</v>
      </c>
      <c r="D4" s="13">
        <v>24996.044999999998</v>
      </c>
      <c r="E4" s="13">
        <f>IF(AND(ISNUMBER(C4),ISNUMBER(D4)), C4-D4, "")</f>
        <v>-1154.4449999999997</v>
      </c>
      <c r="F4" s="14">
        <f>IFERROR(E4/D4, "")</f>
        <v>-4.6185106483845738E-2</v>
      </c>
      <c r="G4" s="15">
        <v>44331.891000000003</v>
      </c>
      <c r="H4" s="15">
        <f>IF(AND(ISNUMBER(C4),ISNUMBER(G4)), C4-G4, "")</f>
        <v>-20490.291000000005</v>
      </c>
      <c r="I4" s="16">
        <f>IFERROR(H4/G4, "")</f>
        <v>-0.46220205224270727</v>
      </c>
      <c r="J4" s="40" t="s">
        <v>71</v>
      </c>
      <c r="K4" s="55" t="s">
        <v>72</v>
      </c>
      <c r="L4" s="40" t="s">
        <v>73</v>
      </c>
      <c r="M4" s="71" t="s">
        <v>74</v>
      </c>
    </row>
    <row r="5" spans="1:13" ht="45.75">
      <c r="A5" s="29" t="str">
        <v>Mount Laurel - Igloo Ice Rink</v>
      </c>
      <c r="B5" s="30" t="str">
        <v>NJ</v>
      </c>
      <c r="C5" s="11">
        <v>33908.400000000001</v>
      </c>
      <c r="D5" s="18">
        <v>16506.599999999999</v>
      </c>
      <c r="E5" s="18">
        <f t="shared" ref="E5" si="0">IF(AND(ISNUMBER(C5),ISNUMBER(D5)), C5-D5, "")</f>
        <v>17401.800000000003</v>
      </c>
      <c r="F5" s="19">
        <f>IFERROR(E5/D5, "")</f>
        <v>1.0542328523136202</v>
      </c>
      <c r="G5" s="20">
        <v>38571.697</v>
      </c>
      <c r="H5" s="20">
        <f t="shared" ref="H5" si="1">IF(AND(ISNUMBER(C5),ISNUMBER(G5)), C5-G5, "")</f>
        <v>-4663.2969999999987</v>
      </c>
      <c r="I5" s="19">
        <f t="shared" ref="I5" si="2">IFERROR(H5/G5, "")</f>
        <v>-0.1208994512219672</v>
      </c>
      <c r="J5" s="50" t="s">
        <v>80</v>
      </c>
      <c r="K5" s="68" t="s">
        <v>81</v>
      </c>
      <c r="L5" s="49" t="s">
        <v>82</v>
      </c>
    </row>
    <row r="6" spans="1:13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3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3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3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3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00595" xr:uid="{15C07554-D695-4DFE-956E-9BBDE035C1B2}"/>
    <hyperlink ref="M4" r:id="rId2" display="https://us3.assetplanner.com/service_request?ID=110743" xr:uid="{37291D14-E0B3-4F06-846E-3647B886E214}"/>
    <hyperlink ref="K5" r:id="rId3" display="https://us3.assetplanner.com/service_request?ID=113695" xr:uid="{BFDF37F5-2899-4FB1-853A-75F7B67B9382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83</v>
      </c>
      <c r="B1" t="s">
        <v>84</v>
      </c>
    </row>
    <row r="3" spans="1:7" ht="13.15">
      <c r="A3" t="s">
        <v>85</v>
      </c>
      <c r="B3" t="s">
        <v>3</v>
      </c>
      <c r="C3" t="s">
        <v>4</v>
      </c>
      <c r="D3" t="s">
        <v>86</v>
      </c>
      <c r="E3" s="2" t="s">
        <v>87</v>
      </c>
    </row>
    <row r="4" spans="1:7" ht="14.45">
      <c r="A4" s="43" t="s">
        <v>88</v>
      </c>
      <c r="B4" s="43" t="s">
        <v>89</v>
      </c>
      <c r="C4" s="43" t="s">
        <v>90</v>
      </c>
      <c r="D4" s="54" t="s">
        <v>91</v>
      </c>
      <c r="E4" t="s">
        <v>92</v>
      </c>
      <c r="G4" s="3"/>
    </row>
    <row r="5" spans="1:7" ht="14.45">
      <c r="A5" s="44" t="s">
        <v>93</v>
      </c>
      <c r="B5" s="44" t="s">
        <v>94</v>
      </c>
      <c r="C5" s="45" t="s">
        <v>90</v>
      </c>
      <c r="D5" s="44" t="s">
        <v>91</v>
      </c>
      <c r="E5" t="s">
        <v>92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00BF5BF7-CABB-4F5B-B002-2C4D4AA1D610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