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CB7ADB74-CC95-445E-BCA1-73726EACE19A}" xr6:coauthVersionLast="47" xr6:coauthVersionMax="47" xr10:uidLastSave="{00000000-0000-0000-0000-000000000000}"/>
  <bookViews>
    <workbookView xWindow="-108" yWindow="-108" windowWidth="23256" windowHeight="1389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C4" i="30"/>
  <c r="G4" i="29"/>
  <c r="G4" i="18"/>
  <c r="E4" i="19"/>
  <c r="E4" i="4"/>
  <c r="G2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<sst xmlns="http://schemas.openxmlformats.org/spreadsheetml/2006/main" count="301" uniqueCount="103">
  <si>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</si>
  <si>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</si>
  <si>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</si>
  <si>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</si>
  <si>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</si>
  <si>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</si>
  <si>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</si>
  <si>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</si>
  <si>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</si>
  <si>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</si>
  <si>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</si>
  <si>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</si>
  <si>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</si>
  <si>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</si>
  <si>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</si>
  <si>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</si>
  <si>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</si>
  <si>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</si>
  <si>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</si>
  <si>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</si>
  <si>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</si>
  <si>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</si>
  <si>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</si>
  <si>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</si>
  <si>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</si>
  <si>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</si>
  <si>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</si>
  <si>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</si>
  <si>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</si>
  <si>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</si>
  <si>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</si>
  <si>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</si>
  <si>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</si>
  <si>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</si>
  <si>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</si>
  <si>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</si>
  <si>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</si>
  <si>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</si>
  <si>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</si>
  <si>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</si>
  <si>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</si>
  <si>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</si>
  <si>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</si>
  <si>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</si>
  <si>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</si>
  <si>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</si>
  <si>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</si>
  <si>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</si>
  <si>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</si>
  <si>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</si>
  <si>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</si>
  <si>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</si>
  <si>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</si>
  <si>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</si>
  <si>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</si>
  <si>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</si>
  <si>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1.Inverter 1 offline from 06/30. On 07/23 inverter came back online at 09:00
2. Inverter B was derating by 1000kW from 07/01 to 07/10. Inverter B offline from 07/11. On 07/23 inverter came back online at 11:15 and again started derating byn 500kW from 07/23 to 07/31 at peek hours.
3. Inverter 1 is derating by 300 kW during high irradiance starting from 07/26 due to down a module. 
4. The ratio of meter to inverter production is 97%, it could be a CT issue affecting the total meter production v/s the inverter production for whole month.</t>
  </si>
  <si>
    <t>1. SR103746 , 	SR103157
2. SR103157
3.SR105299
4. SR104462</t>
  </si>
  <si>
    <t>SR105299</t>
  </si>
  <si>
    <t>SR104462</t>
  </si>
  <si>
    <t>August Actual v. Expected</t>
  </si>
  <si>
    <t>August Actual v. Forecasted</t>
  </si>
  <si>
    <t>1.Inverter 2 was offline on 08/01, and Inverter 1 also went offline on 08/04 at 17:00. Both inverters came back online at 10:00 on 08/06. Again inverter 2 stated late for the production at 14:30 on 08/07.
Inverter 2 went offline again on 08/22, followed by Inverter 1 on 08/26. Both inverters came back online at 07:45 on 08/28
2.Inverter 1 went offline on 08/11, and Inverter 2 went offline on 08/12. Both inverters came back online at 11:00 on 08/19.
Inverter 1 tripped offline again from 12:00 to 13:00 on 08/20
3.The site was offline from 07:45 to 10:45 on 08/28 because a technician was on-site to take transformer DGA samples.
4. The ratio of meter to inverter production is 97%, it could be a CT issue affecting the total meter production v/s the inverter production for whole month.</t>
  </si>
  <si>
    <t>1.SR103157 , SR106097
2.SR106001 , SR105299
3.PM8643
4.SR104462</t>
  </si>
  <si>
    <t>SR106097</t>
  </si>
  <si>
    <t>SR106001</t>
  </si>
  <si>
    <t>September Actual v. Expected</t>
  </si>
  <si>
    <t>September Actual v. Forecasted</t>
  </si>
  <si>
    <t>1. Inverter 1 was offline at 16:00 on 09/14 and back online at 08:30 on 09/15
2. Inverter 2 was taken offline by PE at 12:45 on 09/22 and back online at 10:00 on 09/23
3. Inverter 1 was taken offline by PE at 10:45 to 14:00 on 09/23
4. Inverter 2 is offline from 09/25 till end of the month
5. Inverter 1 was offline from 09/27 till end of the month
6. Inverter 1 and 2 was derated for whole month.</t>
  </si>
  <si>
    <t>1.SR106001
2.SR108348
3.SR108442
4.SR106097
5.SR108673
6. SR103157, SR103746</t>
  </si>
  <si>
    <t>SR108348</t>
  </si>
  <si>
    <t>SR108442</t>
  </si>
  <si>
    <t>SR108673</t>
  </si>
  <si>
    <t>October Actual v. Expected</t>
  </si>
  <si>
    <t>October Actual v. Forecasted</t>
  </si>
  <si>
    <t>Status</t>
  </si>
  <si>
    <t>1. Inverter 1 tripped offline at 13:30 on 09/30, reporting "IMI has detected an insulation problem," and was back online at 12:15 on 10/01. and again tripped offline at 11:45 on 10/29 and back online at 13:30 on 10/30.
2. Inverter 2 tripped offline at 13:30 on 09/30, and after a remote reset, it was back online at 16:30 on 10/01.</t>
  </si>
  <si>
    <t>1. SR108673, SR110226
2. SR110267</t>
  </si>
  <si>
    <t>1. pending
2. Closed</t>
  </si>
  <si>
    <t>SR110226</t>
  </si>
  <si>
    <t>SR110267</t>
  </si>
  <si>
    <t>November Actual v. Expected</t>
  </si>
  <si>
    <t>November Actual v. Forecasted</t>
  </si>
  <si>
    <t>SR status</t>
  </si>
  <si>
    <t>1. Inverter 1 was offline from 12:00 on 11/01 to 14:00 on 11/04 and again inverter 1 was offline from 11:30 on 11/08 to 08:15 on 11/10 and again the inverter 1 was offline from 06:00 on 11/14 to end of the month.
2. Inverter 2 was offline from 17:00 on 11/05 to 08:15 on 11/24.</t>
  </si>
  <si>
    <t>1. SR110226, SR111088
2. SR110717</t>
  </si>
  <si>
    <t>1. Closed, Pending
2. Pending.</t>
  </si>
  <si>
    <t>SR111088</t>
  </si>
  <si>
    <t>SR110717</t>
  </si>
  <si>
    <t>December Actual v. Expected</t>
  </si>
  <si>
    <t>December Actual v. Forecasted</t>
  </si>
  <si>
    <t>1.Inverter 1 tripped offline at 08:30 on 12/24 and remained offline rest of the month
1.Inverter 1 was offline from 11/14 and back online at 14:00 on 12/02</t>
  </si>
  <si>
    <t>1.SR113602
2.SR111088</t>
  </si>
  <si>
    <t>1.Closed
2.Closed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</si>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</sst>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5" fillId="0" borderId="0" xfId="45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57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3746" TargetMode="External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001" TargetMode="External"/><Relationship Id="rId2" Type="http://schemas.openxmlformats.org/officeDocument/2006/relationships/hyperlink" Target="https://us3.assetplanner.com/service_request?ID=106097" TargetMode="External"/><Relationship Id="rId1" Type="http://schemas.openxmlformats.org/officeDocument/2006/relationships/hyperlink" Target="https://us3.assetplanner.com/service_request?ID=103157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8442" TargetMode="External"/><Relationship Id="rId7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8348" TargetMode="External"/><Relationship Id="rId1" Type="http://schemas.openxmlformats.org/officeDocument/2006/relationships/hyperlink" Target="https://us3.assetplanner.com/service_request?ID=106001" TargetMode="External"/><Relationship Id="rId6" Type="http://schemas.openxmlformats.org/officeDocument/2006/relationships/hyperlink" Target="https://us3.assetplanner.com/service_request?ID=103157" TargetMode="External"/><Relationship Id="rId5" Type="http://schemas.openxmlformats.org/officeDocument/2006/relationships/hyperlink" Target="https://us3.assetplanner.com/service_request?ID=108673" TargetMode="External"/><Relationship Id="rId4" Type="http://schemas.openxmlformats.org/officeDocument/2006/relationships/hyperlink" Target="https://us3.assetplanner.com/service_request?ID=10609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267" TargetMode="External"/><Relationship Id="rId2" Type="http://schemas.openxmlformats.org/officeDocument/2006/relationships/hyperlink" Target="https://us3.assetplanner.com/service_request?ID=110226" TargetMode="External"/><Relationship Id="rId1" Type="http://schemas.openxmlformats.org/officeDocument/2006/relationships/hyperlink" Target="https://us3.assetplanner.com/service_request?ID=108673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0717" TargetMode="External"/><Relationship Id="rId2" Type="http://schemas.openxmlformats.org/officeDocument/2006/relationships/hyperlink" Target="https://us3.assetplanner.com/service_request?ID=111088" TargetMode="External"/><Relationship Id="rId1" Type="http://schemas.openxmlformats.org/officeDocument/2006/relationships/hyperlink" Target="https://us3.assetplanner.com/service_request?ID=110226" TargetMode="External"/><Relationship Id="rId4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11088" TargetMode="External"/><Relationship Id="rId1" Type="http://schemas.openxmlformats.org/officeDocument/2006/relationships/hyperlink" Target="https://us3.assetplanner.com/service_request?ID=113602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I4" sqref="I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SUM(C4:C72)</f>
        <v>7187080</v>
      </c>
      <c r="D2" s="5">
        <f>SUM(D4:D72)</f>
        <v>12354142.802999999</v>
      </c>
      <c r="E2" s="5">
        <f>C2-D2</f>
        <v>-5167062.8029999994</v>
      </c>
      <c r="F2" s="6">
        <f>IFERROR(E2/D2, 0)</f>
        <v>-0.41824535181390843</v>
      </c>
      <c r="G2" s="5">
        <f>SUM(G4:G72)</f>
        <v>12314198.52</v>
      </c>
      <c r="H2" s="7">
        <f>C2-G2</f>
        <v>-5127118.5199999996</v>
      </c>
      <c r="I2" s="6">
        <f>IFERROR(H2/G2, 0)</f>
        <v>-0.41635828037633421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7187080</v>
      </c>
      <c r="D4" s="11">
        <f>SUM('1st Qtr'!D4, '2nd Qtr'!D4, '3rd Qtr'!D4, '4th Qtr'!D4)</f>
        <v>12354142.802999999</v>
      </c>
      <c r="E4" s="11">
        <f>IF(AND(ISNUMBER(C4),ISNUMBER(D4)), C4-D4, "")</f>
        <v>-5167062.8029999994</v>
      </c>
      <c r="F4" s="12">
        <f>IFERROR(E4/D4, "")</f>
        <v>-0.41824535181390843</v>
      </c>
      <c r="G4" s="13">
        <f>SUM('1st Qtr'!G4, '2nd Qtr'!G4, '3rd Qtr'!G4, '4th Qtr'!G4)</f>
        <v>12314198.52</v>
      </c>
      <c r="H4" s="13">
        <f>SUM('1st Qtr'!H4, '2nd Qtr'!H4, '3rd Qtr'!H4, '4th Qtr'!H4)</f>
        <v>-5127118.5200000005</v>
      </c>
      <c r="I4" s="14">
        <f>IFERROR(H4/G4, "")</f>
        <v>-0.41635828037633427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SUM(C4:C72)</f>
        <v>1658850</v>
      </c>
      <c r="D2" s="5">
        <f>SUM(D4:D72)</f>
        <v>3252416.1189999999</v>
      </c>
      <c r="E2" s="5">
        <f>C2-D2</f>
        <v>-1593566.1189999999</v>
      </c>
      <c r="F2" s="6">
        <f>IFERROR(E2/D2, 0)</f>
        <v>-0.4899637871337213</v>
      </c>
      <c r="G2" s="5">
        <f>SUM(G4:G72)</f>
        <v>3435205.41</v>
      </c>
      <c r="H2" s="7">
        <f>C2-G2</f>
        <v>-1776355.4100000001</v>
      </c>
      <c r="I2" s="6">
        <f>IFERROR(H2/G2, 0)</f>
        <v>-0.51710311261998165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1658850</v>
      </c>
      <c r="D4" s="11">
        <f>SUM(Jul!D4, Aug!D4, Sep!D4)</f>
        <v>3252416.1189999999</v>
      </c>
      <c r="E4" s="11">
        <f>IF(AND(ISNUMBER(C4),ISNUMBER(D4)), C4-D4, "")</f>
        <v>-1593566.1189999999</v>
      </c>
      <c r="F4" s="12">
        <f>IFERROR(E4/D4, "")</f>
        <v>-0.4899637871337213</v>
      </c>
      <c r="G4" s="13">
        <f>SUM(Jul!G4,Aug!G4,Sep!G4)</f>
        <v>3435205.41</v>
      </c>
      <c r="H4" s="13">
        <f>SUM(Jul!H4, Aug!H4, Sep!H4)</f>
        <v>-1776355.4100000001</v>
      </c>
      <c r="I4" s="14">
        <f>IFERROR(H4/G4, "")</f>
        <v>-0.51710311261998165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tabSelected="1" workbookViewId="0">
      <pane xSplit="2" ySplit="3" topLeftCell="C4" activePane="bottomRight" state="frozen"/>
      <selection pane="bottomRight" activeCell="D14" sqref="D1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Altus Power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SUM(C4:C72)</f>
        <v>1876560</v>
      </c>
      <c r="D2" s="5">
        <f>SUM(D4:D72)</f>
        <v>2792217.3149999999</v>
      </c>
      <c r="E2" s="5">
        <f>C2-D2</f>
        <v>-915657.31499999994</v>
      </c>
      <c r="F2" s="6">
        <f>IFERROR(E2/D2, 0)</f>
        <v>-0.32793196649881817</v>
      </c>
      <c r="G2" s="5">
        <f>SUM(G4:G72)</f>
        <v>2763142.12</v>
      </c>
      <c r="H2" s="7">
        <f>C2-G2</f>
        <v>-886582.12000000011</v>
      </c>
      <c r="I2" s="6">
        <f>IFERROR(H2/G2, 0)</f>
        <v>-0.3208601228227812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1876560</v>
      </c>
      <c r="D4" s="11">
        <f>SUM(Oct!D4, Nov!D4, Dec!D4)</f>
        <v>2792217.3149999999</v>
      </c>
      <c r="E4" s="11">
        <f>IF(AND(ISNUMBER(C4),ISNUMBER(D4)), C4-D4, "")</f>
        <v>-915657.31499999994</v>
      </c>
      <c r="F4" s="12">
        <f>IFERROR(E4/D4, "")</f>
        <v>-0.32793196649881817</v>
      </c>
      <c r="G4" s="13">
        <f>SUM(Oct!G4, Nov!G4, Dec!G4)</f>
        <v>2763142.12</v>
      </c>
      <c r="H4" s="13">
        <f>SUM(Oct!H4, Nov!H4, Dec!H4)</f>
        <v>-886582.12</v>
      </c>
      <c r="I4" s="14">
        <f>IFERROR(H4/G4, "")</f>
        <v>-0.3208601228227812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Altus Power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Altus Power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3" t="str" cm="1">
        <f t="array" ref="A1">portfolio</f>
        <v>Altus Power</v>
      </c>
      <c r="B1" s="53"/>
      <c r="C1" s="53"/>
      <c r="D1" s="54" t="s">
        <v>27</v>
      </c>
      <c r="E1" s="54"/>
      <c r="F1" s="54"/>
      <c r="G1" s="52" t="s">
        <v>28</v>
      </c>
      <c r="H1" s="52"/>
      <c r="I1" s="52"/>
      <c r="J1" s="4"/>
      <c r="K1" s="4"/>
    </row>
    <row r="2" spans="1:14" ht="19.5" customHeight="1">
      <c r="A2" s="55" t="s">
        <v>2</v>
      </c>
      <c r="B2" s="55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3" t="str" cm="1">
        <f t="array" ref="A1">portfolio</f>
        <v>Altus Power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3" ht="19.5" customHeight="1">
      <c r="A2" s="55" t="s">
        <v>2</v>
      </c>
      <c r="B2" s="55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3" t="str" cm="1">
        <f t="array" ref="A1">portfolio</f>
        <v>Altus Power</v>
      </c>
      <c r="B1" s="53"/>
      <c r="C1" s="53"/>
      <c r="D1" s="54" t="s">
        <v>39</v>
      </c>
      <c r="E1" s="54"/>
      <c r="F1" s="54"/>
      <c r="G1" s="52" t="s">
        <v>40</v>
      </c>
      <c r="H1" s="52"/>
      <c r="I1" s="52"/>
      <c r="J1" s="4"/>
      <c r="K1" s="4"/>
    </row>
    <row r="2" spans="1:17" ht="19.5" customHeight="1">
      <c r="A2" s="55" t="s">
        <v>2</v>
      </c>
      <c r="B2" s="55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F21" activePane="bottomRight" state="frozen"/>
      <selection pane="bottomRight" activeCell="F21" sqref="F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3" t="str" cm="1">
        <f t="array" ref="A1">portfolio</f>
        <v>Altus Power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4"/>
      <c r="K1" s="4"/>
    </row>
    <row r="2" spans="1:13" ht="19.5" customHeight="1">
      <c r="A2" s="55" t="s">
        <v>2</v>
      </c>
      <c r="B2" s="55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3" t="str" cm="1">
        <f t="array" ref="A1">portfolio</f>
        <v>Altus Power</v>
      </c>
      <c r="B1" s="53"/>
      <c r="C1" s="53"/>
      <c r="D1" s="54" t="s">
        <v>54</v>
      </c>
      <c r="E1" s="54"/>
      <c r="F1" s="54"/>
      <c r="G1" s="52" t="s">
        <v>55</v>
      </c>
      <c r="H1" s="52"/>
      <c r="I1" s="52"/>
      <c r="J1" s="4"/>
      <c r="K1" s="4"/>
    </row>
    <row r="2" spans="1:15" ht="19.5" customHeight="1">
      <c r="A2" s="55" t="s">
        <v>2</v>
      </c>
      <c r="B2" s="55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38.75" customHeight="1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477710</v>
      </c>
      <c r="D4" s="11"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v>1189387.3600000001</v>
      </c>
      <c r="H4" s="13">
        <f>IF(AND(ISNUMBER(C4),ISNUMBER(G4)), C4-G4, "")</f>
        <v>-711677.3600000001</v>
      </c>
      <c r="I4" s="14">
        <f>IFERROR(H4/G4, "")</f>
        <v>-0.5983562495569148</v>
      </c>
      <c r="J4" s="32" t="s">
        <v>56</v>
      </c>
      <c r="K4" s="46" t="s">
        <v>57</v>
      </c>
      <c r="L4" s="48" t="s">
        <v>52</v>
      </c>
      <c r="M4" s="48" t="s">
        <v>52</v>
      </c>
      <c r="N4" s="48" t="s">
        <v>58</v>
      </c>
      <c r="O4" s="48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746" xr:uid="{F17D34D8-EC9B-449D-8C6F-D6F8ECA66FA2}"/>
    <hyperlink ref="L4" r:id="rId2" display="https://us3.assetplanner.com/service_request?ID=103157" xr:uid="{FF478992-478D-4A9D-B45F-371DE38F59CA}"/>
    <hyperlink ref="M4" r:id="rId3" display="https://us3.assetplanner.com/service_request?ID=103157" xr:uid="{5992B095-025E-4AFA-8CBC-D984A7C32463}"/>
    <hyperlink ref="N4" r:id="rId4" display="https://us3.assetplanner.com/service_request?ID=105299" xr:uid="{D7161549-F917-461F-8CBA-CB73DD2B3B17}"/>
    <hyperlink ref="O4" r:id="rId5" display="https://us3.assetplanner.com/service_request?ID=104462" xr:uid="{457494EB-B042-48F7-9852-6BF55464BC3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4"/>
  <sheetViews>
    <sheetView zoomScale="70" zoomScaleNormal="7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9"/>
  </cols>
  <sheetData>
    <row r="1" spans="1:15" ht="19.5" customHeight="1">
      <c r="A1" s="53" t="str" cm="1">
        <f t="array" ref="A1">portfolio</f>
        <v>Altus Power</v>
      </c>
      <c r="B1" s="53"/>
      <c r="C1" s="53"/>
      <c r="D1" s="54" t="s">
        <v>60</v>
      </c>
      <c r="E1" s="54"/>
      <c r="F1" s="54"/>
      <c r="G1" s="52" t="s">
        <v>61</v>
      </c>
      <c r="H1" s="52"/>
      <c r="I1" s="52"/>
      <c r="J1" s="4"/>
      <c r="K1" s="4"/>
    </row>
    <row r="2" spans="1:15" ht="19.5" customHeight="1">
      <c r="A2" s="55" t="s">
        <v>2</v>
      </c>
      <c r="B2" s="55"/>
      <c r="C2" s="5">
        <f>SUM(C4:C72)</f>
        <v>442700</v>
      </c>
      <c r="D2" s="5">
        <f>SUM(D4:D72)</f>
        <v>1070863.358</v>
      </c>
      <c r="E2" s="5">
        <f>C2-D2</f>
        <v>-628163.35800000001</v>
      </c>
      <c r="F2" s="6">
        <f>IFERROR(E2/D2, 0)</f>
        <v>-0.58659524887768177</v>
      </c>
      <c r="G2" s="5">
        <f>SUM(G4:G72)</f>
        <v>1150995.8400000001</v>
      </c>
      <c r="H2" s="7">
        <f>C2-G2</f>
        <v>-708295.84000000008</v>
      </c>
      <c r="I2" s="6">
        <f>IFERROR(H2/G2, 0)</f>
        <v>-0.61537654210809312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72.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442700</v>
      </c>
      <c r="D4" s="11">
        <v>1070863.358</v>
      </c>
      <c r="E4" s="11">
        <f>IF(AND(ISNUMBER(C4),ISNUMBER(D4)), C4-D4, "")</f>
        <v>-628163.35800000001</v>
      </c>
      <c r="F4" s="12">
        <f>IFERROR(E4/D4, "")</f>
        <v>-0.58659524887768177</v>
      </c>
      <c r="G4" s="43">
        <v>1150995.8400000001</v>
      </c>
      <c r="H4" s="13">
        <f>IF(AND(ISNUMBER(C4),ISNUMBER(G4)), C4-G4, "")</f>
        <v>-708295.84000000008</v>
      </c>
      <c r="I4" s="14">
        <f>IFERROR(H4/G4, "")</f>
        <v>-0.61537654210809312</v>
      </c>
      <c r="J4" s="32" t="s">
        <v>62</v>
      </c>
      <c r="K4" s="46" t="s">
        <v>63</v>
      </c>
      <c r="L4" s="50" t="s">
        <v>64</v>
      </c>
      <c r="M4" s="50" t="s">
        <v>65</v>
      </c>
      <c r="N4" s="50" t="s">
        <v>58</v>
      </c>
      <c r="O4" s="50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3157" xr:uid="{688EDB49-4238-416C-B320-C6E6A8953FA7}"/>
    <hyperlink ref="L4" r:id="rId2" display="https://us3.assetplanner.com/service_request?ID=106097" xr:uid="{49CA08E0-230D-4E87-BD2E-1E8280745793}"/>
    <hyperlink ref="M4" r:id="rId3" display="https://us3.assetplanner.com/service_request?ID=106001" xr:uid="{BFF5BBB4-D0E6-495F-9682-F299FE94AFB6}"/>
    <hyperlink ref="N4" r:id="rId4" display="https://us3.assetplanner.com/service_request?ID=105299" xr:uid="{877E9B34-50D5-48C3-99F9-99B5E8DB78C9}"/>
    <hyperlink ref="O4" r:id="rId5" display="https://us3.assetplanner.com/service_request?ID=104462" xr:uid="{83D6FA0B-02BF-44C5-83DD-91D32305084A}"/>
  </hyperlinks>
  <pageMargins left="0.4" right="0.7" top="0.25" bottom="0.25" header="0.3" footer="0.3"/>
  <pageSetup fitToHeight="99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Q314"/>
  <sheetViews>
    <sheetView workbookViewId="0">
      <pane xSplit="2" ySplit="3" topLeftCell="J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3" t="str" cm="1">
        <f t="array" ref="A1">portfolio</f>
        <v>Altus Power</v>
      </c>
      <c r="B1" s="53"/>
      <c r="C1" s="53"/>
      <c r="D1" s="54" t="s">
        <v>66</v>
      </c>
      <c r="E1" s="54"/>
      <c r="F1" s="54"/>
      <c r="G1" s="52" t="s">
        <v>67</v>
      </c>
      <c r="H1" s="52"/>
      <c r="I1" s="52"/>
      <c r="J1" s="4"/>
      <c r="K1" s="4"/>
    </row>
    <row r="2" spans="1:17" ht="19.5" customHeight="1">
      <c r="A2" s="55" t="s">
        <v>2</v>
      </c>
      <c r="B2" s="55"/>
      <c r="C2" s="5">
        <f>SUM(C4:C72)</f>
        <v>738440</v>
      </c>
      <c r="D2" s="5">
        <f>SUM(D4:D72)</f>
        <v>1044444.379</v>
      </c>
      <c r="E2" s="5">
        <f>C2-D2</f>
        <v>-306004.37899999996</v>
      </c>
      <c r="F2" s="6">
        <f>IFERROR(E2/D2, 0)</f>
        <v>-0.29298293442201573</v>
      </c>
      <c r="G2" s="5">
        <f>SUM(G4:G72)</f>
        <v>1094822.21</v>
      </c>
      <c r="H2" s="7">
        <f>C2-G2</f>
        <v>-356382.20999999996</v>
      </c>
      <c r="I2" s="6">
        <f>IFERROR(H2/G2, 0)</f>
        <v>-0.32551605799082206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00.9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738440</v>
      </c>
      <c r="D4" s="11">
        <v>1044444.379</v>
      </c>
      <c r="E4" s="11">
        <f>IF(AND(ISNUMBER(C4),ISNUMBER(D4)), C4-D4, "")</f>
        <v>-306004.37899999996</v>
      </c>
      <c r="F4" s="12">
        <f>IFERROR(E4/D4, "")</f>
        <v>-0.29298293442201573</v>
      </c>
      <c r="G4" s="43">
        <v>1094822.21</v>
      </c>
      <c r="H4" s="13">
        <f>IF(AND(ISNUMBER(C4),ISNUMBER(G4)), C4-G4, "")</f>
        <v>-356382.20999999996</v>
      </c>
      <c r="I4" s="14">
        <f>IFERROR(H4/G4, "")</f>
        <v>-0.32551605799082206</v>
      </c>
      <c r="J4" s="32" t="s">
        <v>68</v>
      </c>
      <c r="K4" s="46" t="s">
        <v>69</v>
      </c>
      <c r="L4" s="48" t="s">
        <v>70</v>
      </c>
      <c r="M4" s="48" t="s">
        <v>71</v>
      </c>
      <c r="N4" s="48" t="s">
        <v>64</v>
      </c>
      <c r="O4" s="48" t="s">
        <v>72</v>
      </c>
      <c r="P4" s="48" t="s">
        <v>52</v>
      </c>
      <c r="Q4" s="48" t="s">
        <v>53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6001" xr:uid="{56451189-8076-44A6-814F-62293CEFFE7D}"/>
    <hyperlink ref="L4" r:id="rId2" display="https://us3.assetplanner.com/service_request?ID=108348" xr:uid="{B9E3D71B-7D14-4236-9C35-9EF052B1CC57}"/>
    <hyperlink ref="M4" r:id="rId3" display="https://us3.assetplanner.com/service_request?ID=108442" xr:uid="{3ADBF74D-AF49-4F0B-9C9A-20DA6E8F8B55}"/>
    <hyperlink ref="N4" r:id="rId4" display="https://us3.assetplanner.com/service_request?ID=106097" xr:uid="{32605E8C-1C62-4C02-9735-091A385F5DE7}"/>
    <hyperlink ref="O4" r:id="rId5" display="https://us3.assetplanner.com/service_request?ID=108673" xr:uid="{267BFF5A-ADEF-4E32-A5DB-47EA09F9125A}"/>
    <hyperlink ref="P4" r:id="rId6" display="https://us3.assetplanner.com/service_request?ID=103157" xr:uid="{DC631458-F2D9-44EA-ACF2-0588E79CBEE1}"/>
    <hyperlink ref="Q4" r:id="rId7" display="https://us3.assetplanner.com/service_request?ID=103746" xr:uid="{EC901E22-73DD-4D3E-92E1-FD01868DBEC0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14"/>
  <sheetViews>
    <sheetView workbookViewId="0">
      <pane xSplit="2" ySplit="3" topLeftCell="I4" activePane="bottomRight" state="frozen"/>
      <selection pane="bottomRight" activeCell="Y5" sqref="Y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85546875" customWidth="1"/>
  </cols>
  <sheetData>
    <row r="1" spans="1:14" ht="19.5" customHeight="1">
      <c r="A1" s="53" t="str" cm="1">
        <f t="array" ref="A1">portfolio</f>
        <v>Altus Power</v>
      </c>
      <c r="B1" s="53"/>
      <c r="C1" s="53"/>
      <c r="D1" s="54" t="s">
        <v>73</v>
      </c>
      <c r="E1" s="54"/>
      <c r="F1" s="54"/>
      <c r="G1" s="52" t="s">
        <v>74</v>
      </c>
      <c r="H1" s="52"/>
      <c r="I1" s="52"/>
      <c r="J1" s="4"/>
      <c r="K1" s="4"/>
    </row>
    <row r="2" spans="1:14" ht="19.5" customHeight="1">
      <c r="A2" s="55" t="s">
        <v>2</v>
      </c>
      <c r="B2" s="55"/>
      <c r="C2" s="5">
        <f>SUM(C4:C72)</f>
        <v>874760</v>
      </c>
      <c r="D2" s="5">
        <f>SUM(D4:D72)</f>
        <v>972750.23</v>
      </c>
      <c r="E2" s="5">
        <f>C2-D2</f>
        <v>-97990.229999999981</v>
      </c>
      <c r="F2" s="6">
        <f>IFERROR(E2/D2, 0)</f>
        <v>-0.10073524218030766</v>
      </c>
      <c r="G2" s="5">
        <f>SUM(G4:G72)</f>
        <v>972750.23</v>
      </c>
      <c r="H2" s="7">
        <f>C2-G2</f>
        <v>-97990.229999999981</v>
      </c>
      <c r="I2" s="6">
        <f>IFERROR(H2/G2, 0)</f>
        <v>-0.10073524218030766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75</v>
      </c>
    </row>
    <row r="4" spans="1:14" ht="72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874760</v>
      </c>
      <c r="D4" s="11">
        <v>972750.23</v>
      </c>
      <c r="E4" s="11">
        <f>IF(AND(ISNUMBER(C4),ISNUMBER(D4)), C4-D4, "")</f>
        <v>-97990.229999999981</v>
      </c>
      <c r="F4" s="12">
        <f>IFERROR(E4/D4, "")</f>
        <v>-0.10073524218030766</v>
      </c>
      <c r="G4" s="13">
        <v>972750.23</v>
      </c>
      <c r="H4" s="13">
        <f>IF(AND(ISNUMBER(C4),ISNUMBER(G4)), C4-G4, "")</f>
        <v>-97990.229999999981</v>
      </c>
      <c r="I4" s="14">
        <f>IFERROR(H4/G4, "")</f>
        <v>-0.10073524218030766</v>
      </c>
      <c r="J4" s="32" t="s">
        <v>76</v>
      </c>
      <c r="K4" s="46" t="s">
        <v>77</v>
      </c>
      <c r="L4" s="32" t="s">
        <v>78</v>
      </c>
      <c r="M4" s="51" t="s">
        <v>79</v>
      </c>
      <c r="N4" s="51" t="s">
        <v>80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108673" xr:uid="{3DFAA526-D7D2-4C3A-B084-62D058248428}"/>
    <hyperlink ref="M4" r:id="rId2" display="https://us3.assetplanner.com/service_request?ID=110226" xr:uid="{B2E30A33-47B4-433F-83FC-67DEF6FA74C3}"/>
    <hyperlink ref="N4" r:id="rId3" display="https://us3.assetplanner.com/service_request?ID=110267" xr:uid="{5A74C9BE-35F2-4171-BB74-6A994809790D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14"/>
  <sheetViews>
    <sheetView zoomScale="70" zoomScaleNormal="70" workbookViewId="0">
      <pane xSplit="2" ySplit="3" topLeftCell="C4" activePane="bottomRight" state="frozen"/>
      <selection pane="bottomRight" activeCell="N15" sqref="N15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28515625" customWidth="1"/>
  </cols>
  <sheetData>
    <row r="1" spans="1:14" ht="19.5" customHeight="1">
      <c r="A1" s="53" t="str" cm="1">
        <f t="array" ref="A1">portfolio</f>
        <v>Altus Power</v>
      </c>
      <c r="B1" s="53"/>
      <c r="C1" s="53"/>
      <c r="D1" s="54" t="s">
        <v>81</v>
      </c>
      <c r="E1" s="54"/>
      <c r="F1" s="54"/>
      <c r="G1" s="52" t="s">
        <v>82</v>
      </c>
      <c r="H1" s="52"/>
      <c r="I1" s="52"/>
      <c r="J1" s="4"/>
      <c r="K1" s="4"/>
    </row>
    <row r="2" spans="1:14" ht="19.5" customHeight="1">
      <c r="A2" s="55" t="s">
        <v>2</v>
      </c>
      <c r="B2" s="55"/>
      <c r="C2" s="5">
        <f>SUM(C4:C72)</f>
        <v>308800</v>
      </c>
      <c r="D2" s="5">
        <f>SUM(D4:D72)</f>
        <v>936046.35400000005</v>
      </c>
      <c r="E2" s="5">
        <f>C2-D2</f>
        <v>-627246.35400000005</v>
      </c>
      <c r="F2" s="6">
        <f>IFERROR(E2/D2, 0)</f>
        <v>-0.67010180780000139</v>
      </c>
      <c r="G2" s="5">
        <f>SUM(G4:G72)</f>
        <v>956340</v>
      </c>
      <c r="H2" s="7">
        <f>C2-G2</f>
        <v>-647540</v>
      </c>
      <c r="I2" s="6">
        <f>IFERROR(H2/G2, 0)</f>
        <v>-0.67710228579793796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83</v>
      </c>
    </row>
    <row r="4" spans="1:14" ht="80.25" customHeight="1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308800</v>
      </c>
      <c r="D4" s="11">
        <v>936046.35400000005</v>
      </c>
      <c r="E4" s="11">
        <f>IF(AND(ISNUMBER(C4),ISNUMBER(D4)), C4-D4, "")</f>
        <v>-627246.35400000005</v>
      </c>
      <c r="F4" s="12">
        <f>IFERROR(E4/D4, "")</f>
        <v>-0.67010180780000139</v>
      </c>
      <c r="G4" s="13">
        <v>956340</v>
      </c>
      <c r="H4" s="13">
        <f>IF(AND(ISNUMBER(C4),ISNUMBER(G4)), C4-G4, "")</f>
        <v>-647540</v>
      </c>
      <c r="I4" s="14">
        <f>IFERROR(H4/G4, "")</f>
        <v>-0.67710228579793796</v>
      </c>
      <c r="J4" s="32" t="s">
        <v>84</v>
      </c>
      <c r="K4" s="46" t="s">
        <v>85</v>
      </c>
      <c r="L4" s="32" t="s">
        <v>86</v>
      </c>
      <c r="M4" s="51" t="s">
        <v>87</v>
      </c>
      <c r="N4" s="51" t="s">
        <v>88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10226" xr:uid="{A178876E-8E3A-4DD9-846B-076375EAB12E}"/>
    <hyperlink ref="M4" r:id="rId2" display="https://us3.assetplanner.com/service_request?ID=111088" xr:uid="{36F6CC1C-8338-4F6C-8FD4-35E9C4FDF239}"/>
    <hyperlink ref="N4" r:id="rId3" display="https://us3.assetplanner.com/service_request?ID=110717" xr:uid="{4FAA0485-8056-4514-9463-6D57743C609C}"/>
  </hyperlinks>
  <pageMargins left="0.4" right="0.7" top="0.25" bottom="0.25" header="0.3" footer="0.3"/>
  <pageSetup fitToHeight="99" orientation="landscape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14"/>
  <sheetViews>
    <sheetView zoomScaleNormal="100" workbookViewId="0">
      <pane xSplit="2" ySplit="3" topLeftCell="H4" activePane="bottomRight" state="frozen"/>
      <selection pane="bottomRight" activeCell="L12" sqref="L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53" t="str" cm="1">
        <f t="array" ref="A1">portfolio</f>
        <v>Altus Power</v>
      </c>
      <c r="B1" s="53"/>
      <c r="C1" s="53"/>
      <c r="D1" s="54" t="s">
        <v>89</v>
      </c>
      <c r="E1" s="54"/>
      <c r="F1" s="54"/>
      <c r="G1" s="52" t="s">
        <v>90</v>
      </c>
      <c r="H1" s="52"/>
      <c r="I1" s="52"/>
      <c r="J1" s="4"/>
      <c r="K1" s="4"/>
      <c r="L1" s="4"/>
    </row>
    <row r="2" spans="1:13" ht="19.5" customHeight="1">
      <c r="A2" s="55" t="s">
        <v>2</v>
      </c>
      <c r="B2" s="55"/>
      <c r="C2" s="5">
        <f>SUM(C4:C72)</f>
        <v>693000</v>
      </c>
      <c r="D2" s="5">
        <f>SUM(D4:D72)</f>
        <v>883420.73100000003</v>
      </c>
      <c r="E2" s="5">
        <f>C2-D2</f>
        <v>-190420.73100000003</v>
      </c>
      <c r="F2" s="6">
        <f>IFERROR(E2/D2, 0)</f>
        <v>-0.2155493122562912</v>
      </c>
      <c r="G2" s="5">
        <f>SUM(G4:G72)</f>
        <v>834051.89</v>
      </c>
      <c r="H2" s="7">
        <f>C2-G2</f>
        <v>-141051.89000000001</v>
      </c>
      <c r="I2" s="6">
        <f>IFERROR(H2/G2, 0)</f>
        <v>-0.16911644430180478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75</v>
      </c>
    </row>
    <row r="4" spans="1:13" ht="28.9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693000</v>
      </c>
      <c r="D4" s="11">
        <v>883420.73100000003</v>
      </c>
      <c r="E4" s="11">
        <f>IF(AND(ISNUMBER(C4),ISNUMBER(D4)), C4-D4, "")</f>
        <v>-190420.73100000003</v>
      </c>
      <c r="F4" s="12">
        <f>IFERROR(E4/D4, "")</f>
        <v>-0.2155493122562912</v>
      </c>
      <c r="G4" s="13">
        <v>834051.89</v>
      </c>
      <c r="H4" s="13">
        <f>IF(AND(ISNUMBER(C4),ISNUMBER(G4)), C4-G4, "")</f>
        <v>-141051.89000000001</v>
      </c>
      <c r="I4" s="14">
        <f>IFERROR(H4/G4, "")</f>
        <v>-0.16911644430180478</v>
      </c>
      <c r="J4" s="32" t="s">
        <v>91</v>
      </c>
      <c r="K4" s="46" t="s">
        <v>92</v>
      </c>
      <c r="L4" s="32" t="s">
        <v>93</v>
      </c>
      <c r="M4" s="51" t="s">
        <v>87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  <c r="L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  <c r="L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  <c r="L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  <c r="L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  <c r="L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  <c r="L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  <c r="L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  <c r="L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  <c r="L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  <c r="L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  <c r="L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  <c r="L16" s="15"/>
    </row>
    <row r="17" spans="1:12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  <c r="L17" s="15"/>
    </row>
    <row r="18" spans="1:12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  <c r="L18" s="15"/>
    </row>
    <row r="19" spans="1:12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  <c r="L19" s="15"/>
    </row>
    <row r="20" spans="1:12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  <c r="L20" s="15"/>
    </row>
    <row r="21" spans="1:12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  <c r="L21" s="15"/>
    </row>
    <row r="22" spans="1:12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  <c r="L22" s="15"/>
    </row>
    <row r="23" spans="1:12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  <c r="L23" s="15"/>
    </row>
    <row r="24" spans="1:12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  <c r="L24" s="15"/>
    </row>
    <row r="25" spans="1:12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  <c r="L25" s="15"/>
    </row>
    <row r="26" spans="1:12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  <c r="L26" s="15"/>
    </row>
    <row r="27" spans="1:12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  <c r="L27" s="15"/>
    </row>
    <row r="28" spans="1:12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  <c r="L28" s="15"/>
    </row>
    <row r="29" spans="1:12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  <c r="L29" s="15"/>
    </row>
    <row r="30" spans="1:12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  <c r="L30" s="15"/>
    </row>
    <row r="31" spans="1:12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  <c r="L31" s="15"/>
    </row>
    <row r="32" spans="1:12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  <c r="L32" s="15"/>
    </row>
    <row r="33" spans="1:12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  <c r="L33" s="15"/>
    </row>
    <row r="34" spans="1:12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  <c r="L34" s="15"/>
    </row>
    <row r="35" spans="1:12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  <c r="L35" s="15"/>
    </row>
    <row r="36" spans="1:12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  <c r="L36" s="15"/>
    </row>
    <row r="37" spans="1:12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  <c r="L37" s="15"/>
    </row>
    <row r="38" spans="1:12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  <c r="L38" s="15"/>
    </row>
    <row r="39" spans="1:12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  <c r="L39" s="15"/>
    </row>
    <row r="40" spans="1:12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  <c r="L40" s="15"/>
    </row>
    <row r="41" spans="1:12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  <c r="L41" s="15"/>
    </row>
    <row r="42" spans="1:12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  <c r="L42" s="15"/>
    </row>
    <row r="43" spans="1:12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  <c r="L43" s="15"/>
    </row>
    <row r="44" spans="1:12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  <c r="L44" s="15"/>
    </row>
    <row r="45" spans="1:12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  <c r="L45" s="15"/>
    </row>
    <row r="46" spans="1:12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  <c r="L46" s="15"/>
    </row>
    <row r="47" spans="1:12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  <c r="L47" s="15"/>
    </row>
    <row r="48" spans="1:12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  <c r="L48" s="15"/>
    </row>
    <row r="49" spans="1:12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  <c r="L49" s="15"/>
    </row>
    <row r="50" spans="1:12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  <c r="L50" s="15"/>
    </row>
    <row r="51" spans="1:12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  <c r="L51" s="15"/>
    </row>
    <row r="52" spans="1:12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  <c r="L52" s="15"/>
    </row>
    <row r="53" spans="1:12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  <c r="L53" s="15"/>
    </row>
    <row r="54" spans="1:12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  <c r="L54" s="15"/>
    </row>
    <row r="55" spans="1:12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  <c r="L55" s="15"/>
    </row>
    <row r="56" spans="1:12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  <c r="L56" s="15"/>
    </row>
    <row r="57" spans="1:12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  <c r="L57" s="15"/>
    </row>
    <row r="58" spans="1:12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  <c r="L58" s="15"/>
    </row>
    <row r="59" spans="1:12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  <c r="L59" s="15"/>
    </row>
    <row r="60" spans="1:12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  <c r="L60" s="15"/>
    </row>
    <row r="61" spans="1:12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  <c r="L61" s="15"/>
    </row>
    <row r="62" spans="1:12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  <c r="L62" s="15"/>
    </row>
    <row r="63" spans="1:12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  <c r="L63" s="15"/>
    </row>
    <row r="64" spans="1:12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  <c r="L64" s="15"/>
    </row>
    <row r="65" spans="1:12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  <c r="L65" s="15"/>
    </row>
    <row r="66" spans="1:12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  <c r="L66" s="15"/>
    </row>
    <row r="67" spans="1:12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  <c r="L67" s="15"/>
    </row>
    <row r="68" spans="1:12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  <c r="L68" s="15"/>
    </row>
    <row r="69" spans="1:12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  <c r="L69" s="15"/>
    </row>
    <row r="70" spans="1:12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  <c r="L70" s="15"/>
    </row>
    <row r="71" spans="1:12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  <c r="L71" s="15"/>
    </row>
    <row r="72" spans="1:12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  <c r="L72" s="15"/>
    </row>
    <row r="73" spans="1:12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  <c r="L73" s="15"/>
    </row>
    <row r="74" spans="1:12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  <c r="L74" s="15"/>
    </row>
    <row r="75" spans="1:12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  <c r="L75" s="15"/>
    </row>
    <row r="76" spans="1:12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  <c r="L76" s="15"/>
    </row>
    <row r="77" spans="1:12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  <c r="L77" s="15"/>
    </row>
    <row r="78" spans="1:12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  <c r="L78" s="15"/>
    </row>
    <row r="79" spans="1:12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  <c r="L79" s="15"/>
    </row>
    <row r="80" spans="1:12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  <c r="L80" s="15"/>
    </row>
    <row r="81" spans="1:12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  <c r="L81" s="15"/>
    </row>
    <row r="82" spans="1:12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  <c r="L82" s="15"/>
    </row>
    <row r="83" spans="1:12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  <c r="L83" s="15"/>
    </row>
    <row r="84" spans="1:12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  <c r="L84" s="15"/>
    </row>
    <row r="85" spans="1:12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  <c r="L85" s="15"/>
    </row>
    <row r="86" spans="1:12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  <c r="L86" s="15"/>
    </row>
    <row r="87" spans="1:12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  <c r="L87" s="15"/>
    </row>
    <row r="88" spans="1:12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  <c r="L88" s="15"/>
    </row>
    <row r="89" spans="1:12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  <c r="L89" s="15"/>
    </row>
    <row r="90" spans="1:12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  <c r="L90" s="15"/>
    </row>
    <row r="91" spans="1:12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  <c r="L91" s="15"/>
    </row>
    <row r="92" spans="1:12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  <c r="L92" s="15"/>
    </row>
    <row r="93" spans="1:12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  <c r="L93" s="15"/>
    </row>
    <row r="94" spans="1:12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  <c r="L94" s="15"/>
    </row>
    <row r="95" spans="1:12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  <c r="L95" s="15"/>
    </row>
    <row r="96" spans="1:12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  <c r="L96" s="15"/>
    </row>
    <row r="97" spans="1:12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  <c r="L97" s="15"/>
    </row>
    <row r="98" spans="1:12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  <c r="L98" s="15"/>
    </row>
    <row r="99" spans="1:12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  <c r="L99" s="15"/>
    </row>
    <row r="100" spans="1:12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  <c r="L100" s="15"/>
    </row>
    <row r="101" spans="1:12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  <c r="L101" s="15"/>
    </row>
    <row r="102" spans="1:12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  <c r="L102" s="15"/>
    </row>
    <row r="103" spans="1:12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  <c r="L103" s="15"/>
    </row>
    <row r="104" spans="1:12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  <c r="L104" s="15"/>
    </row>
    <row r="105" spans="1:12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  <c r="L105" s="15"/>
    </row>
    <row r="106" spans="1:12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  <c r="L106" s="15"/>
    </row>
    <row r="107" spans="1:12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  <c r="L107" s="15"/>
    </row>
    <row r="108" spans="1:12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  <c r="L108" s="15"/>
    </row>
    <row r="109" spans="1:12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  <c r="L109" s="15"/>
    </row>
    <row r="110" spans="1:12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  <c r="L110" s="15"/>
    </row>
    <row r="111" spans="1:12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  <c r="L111" s="15"/>
    </row>
    <row r="112" spans="1:12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  <c r="L112" s="15"/>
    </row>
    <row r="113" spans="1:12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  <c r="L113" s="15"/>
    </row>
    <row r="114" spans="1:12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  <c r="L114" s="15"/>
    </row>
    <row r="115" spans="1:12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  <c r="L115" s="15"/>
    </row>
    <row r="116" spans="1:12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  <c r="L116" s="15"/>
    </row>
    <row r="117" spans="1:12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  <c r="L117" s="15"/>
    </row>
    <row r="118" spans="1:12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  <c r="L118" s="15"/>
    </row>
    <row r="119" spans="1:12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  <c r="L119" s="15"/>
    </row>
    <row r="120" spans="1:12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  <c r="L120" s="15"/>
    </row>
    <row r="121" spans="1:12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  <c r="L121" s="15"/>
    </row>
    <row r="122" spans="1:12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  <c r="L122" s="15"/>
    </row>
    <row r="123" spans="1:12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  <c r="L123" s="15"/>
    </row>
    <row r="124" spans="1:12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  <c r="L124" s="15"/>
    </row>
    <row r="125" spans="1:12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  <c r="L125" s="15"/>
    </row>
    <row r="126" spans="1:12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  <c r="L126" s="15"/>
    </row>
    <row r="127" spans="1:12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  <c r="L127" s="15"/>
    </row>
    <row r="128" spans="1:12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  <c r="L128" s="15"/>
    </row>
    <row r="129" spans="1:12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  <c r="L129" s="15"/>
    </row>
    <row r="130" spans="1:12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  <c r="L130" s="15"/>
    </row>
    <row r="131" spans="1:12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  <c r="L131" s="15"/>
    </row>
    <row r="132" spans="1:12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  <c r="L132" s="15"/>
    </row>
    <row r="133" spans="1:12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  <c r="L133" s="15"/>
    </row>
    <row r="134" spans="1:12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  <c r="L134" s="15"/>
    </row>
    <row r="135" spans="1:12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  <c r="L135" s="15"/>
    </row>
    <row r="136" spans="1:12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  <c r="L136" s="15"/>
    </row>
    <row r="137" spans="1:12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  <c r="L137" s="15"/>
    </row>
    <row r="138" spans="1:12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  <c r="L138" s="15"/>
    </row>
    <row r="139" spans="1:12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  <c r="L139" s="15"/>
    </row>
    <row r="140" spans="1:12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  <c r="L140" s="15"/>
    </row>
    <row r="141" spans="1:12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  <c r="L141" s="15"/>
    </row>
    <row r="142" spans="1:12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  <c r="L142" s="15"/>
    </row>
    <row r="143" spans="1:12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  <c r="L143" s="15"/>
    </row>
    <row r="144" spans="1:12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  <c r="L144" s="15"/>
    </row>
    <row r="145" spans="1:12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  <c r="L145" s="15"/>
    </row>
    <row r="146" spans="1:12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  <c r="L146" s="15"/>
    </row>
    <row r="147" spans="1:12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  <c r="L147" s="15"/>
    </row>
    <row r="148" spans="1:12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  <c r="L148" s="15"/>
    </row>
    <row r="149" spans="1:12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  <c r="L149" s="15"/>
    </row>
    <row r="150" spans="1:12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  <c r="L150" s="15"/>
    </row>
    <row r="151" spans="1:12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  <c r="L151" s="15"/>
    </row>
    <row r="152" spans="1:12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  <c r="L152" s="15"/>
    </row>
    <row r="153" spans="1:12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  <c r="L153" s="15"/>
    </row>
    <row r="154" spans="1:12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  <c r="L154" s="15"/>
    </row>
    <row r="155" spans="1:12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  <c r="L155" s="15"/>
    </row>
    <row r="156" spans="1:12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  <c r="L156" s="15"/>
    </row>
    <row r="157" spans="1:12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  <c r="L157" s="15"/>
    </row>
    <row r="158" spans="1:12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  <c r="L158" s="15"/>
    </row>
    <row r="159" spans="1:12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  <c r="L159" s="15"/>
    </row>
    <row r="160" spans="1:12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  <c r="L160" s="15"/>
    </row>
    <row r="161" spans="1:12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  <c r="L161" s="15"/>
    </row>
    <row r="162" spans="1:12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  <c r="L162" s="15"/>
    </row>
    <row r="163" spans="1:12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  <c r="L163" s="15"/>
    </row>
    <row r="164" spans="1:12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  <c r="L164" s="15"/>
    </row>
    <row r="165" spans="1:12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  <c r="L165" s="15"/>
    </row>
    <row r="166" spans="1:12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  <c r="L166" s="15"/>
    </row>
    <row r="167" spans="1:12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  <c r="L167" s="15"/>
    </row>
    <row r="168" spans="1:12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  <c r="L168" s="15"/>
    </row>
    <row r="169" spans="1:12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  <c r="L169" s="15"/>
    </row>
    <row r="170" spans="1:12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  <c r="L170" s="15"/>
    </row>
    <row r="171" spans="1:12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  <c r="L171" s="15"/>
    </row>
    <row r="172" spans="1:12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  <c r="L172" s="15"/>
    </row>
    <row r="173" spans="1:12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  <c r="L173" s="15"/>
    </row>
    <row r="174" spans="1:12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  <c r="L174" s="15"/>
    </row>
    <row r="175" spans="1:12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  <c r="L175" s="15"/>
    </row>
    <row r="176" spans="1:12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  <c r="L176" s="15"/>
    </row>
    <row r="177" spans="1:12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  <c r="L177" s="15"/>
    </row>
    <row r="178" spans="1:12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  <c r="L178" s="15"/>
    </row>
    <row r="179" spans="1:12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  <c r="L179" s="15"/>
    </row>
    <row r="180" spans="1:12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  <c r="L180" s="15"/>
    </row>
    <row r="181" spans="1:12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  <c r="L181" s="15"/>
    </row>
    <row r="182" spans="1:12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  <c r="L182" s="15"/>
    </row>
    <row r="183" spans="1:12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  <c r="L183" s="15"/>
    </row>
    <row r="184" spans="1:12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  <c r="L184" s="15"/>
    </row>
    <row r="185" spans="1:12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  <c r="L185" s="15"/>
    </row>
    <row r="186" spans="1:12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  <c r="L186" s="15"/>
    </row>
    <row r="187" spans="1:12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  <c r="L187" s="15"/>
    </row>
    <row r="188" spans="1:12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  <c r="L188" s="15"/>
    </row>
    <row r="189" spans="1:12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  <c r="L189" s="15"/>
    </row>
    <row r="190" spans="1:12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  <c r="L190" s="15"/>
    </row>
    <row r="191" spans="1:12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  <c r="L191" s="15"/>
    </row>
    <row r="192" spans="1:12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  <c r="L192" s="15"/>
    </row>
    <row r="193" spans="1:12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  <c r="L193" s="15"/>
    </row>
    <row r="194" spans="1:12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  <c r="L194" s="15"/>
    </row>
    <row r="195" spans="1:12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  <c r="L195" s="15"/>
    </row>
    <row r="196" spans="1:12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  <c r="L196" s="15"/>
    </row>
    <row r="197" spans="1:12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  <c r="L197" s="15"/>
    </row>
    <row r="198" spans="1:12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  <c r="L198" s="15"/>
    </row>
    <row r="199" spans="1:12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  <c r="L199" s="15"/>
    </row>
    <row r="200" spans="1:12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  <c r="L200" s="15"/>
    </row>
    <row r="201" spans="1:12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  <c r="L201" s="15"/>
    </row>
    <row r="202" spans="1:12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  <c r="L202" s="15"/>
    </row>
    <row r="203" spans="1:12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  <c r="L203" s="15"/>
    </row>
    <row r="204" spans="1:12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  <c r="L204" s="15"/>
    </row>
    <row r="205" spans="1:12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  <c r="L205" s="15"/>
    </row>
    <row r="206" spans="1:12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  <c r="L206" s="15"/>
    </row>
    <row r="207" spans="1:12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  <c r="L207" s="15"/>
    </row>
    <row r="208" spans="1:12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  <c r="L208" s="15"/>
    </row>
    <row r="209" spans="1:12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  <c r="L209" s="15"/>
    </row>
    <row r="210" spans="1:12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  <c r="L210" s="15"/>
    </row>
    <row r="211" spans="1:12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  <c r="L211" s="15"/>
    </row>
    <row r="212" spans="1:12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  <c r="L212" s="15"/>
    </row>
    <row r="213" spans="1:12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  <c r="L213" s="15"/>
    </row>
    <row r="214" spans="1:12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  <c r="L214" s="15"/>
    </row>
    <row r="215" spans="1:12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  <c r="L215" s="15"/>
    </row>
    <row r="216" spans="1:12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  <c r="L216" s="15"/>
    </row>
    <row r="217" spans="1:12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  <c r="L217" s="15"/>
    </row>
    <row r="218" spans="1:12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  <c r="L218" s="15"/>
    </row>
    <row r="219" spans="1:12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  <c r="L219" s="15"/>
    </row>
    <row r="220" spans="1:12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  <c r="L220" s="15"/>
    </row>
    <row r="221" spans="1:12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  <c r="L221" s="15"/>
    </row>
    <row r="222" spans="1:12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  <c r="L222" s="15"/>
    </row>
    <row r="223" spans="1:12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  <c r="L223" s="15"/>
    </row>
    <row r="224" spans="1:12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  <c r="L224" s="15"/>
    </row>
    <row r="225" spans="1:12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  <c r="L225" s="15"/>
    </row>
    <row r="226" spans="1:12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  <c r="L226" s="15"/>
    </row>
    <row r="227" spans="1:12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  <c r="L227" s="15"/>
    </row>
    <row r="228" spans="1:12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  <c r="L228" s="15"/>
    </row>
    <row r="229" spans="1:12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  <c r="L229" s="15"/>
    </row>
    <row r="230" spans="1:12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  <c r="L230" s="15"/>
    </row>
    <row r="231" spans="1:12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  <c r="L231" s="15"/>
    </row>
    <row r="232" spans="1:12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  <c r="L232" s="15"/>
    </row>
    <row r="233" spans="1:12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  <c r="L233" s="15"/>
    </row>
    <row r="234" spans="1:12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  <c r="L234" s="15"/>
    </row>
    <row r="235" spans="1:12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  <c r="L235" s="15"/>
    </row>
    <row r="236" spans="1:12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  <c r="L236" s="15"/>
    </row>
    <row r="237" spans="1:12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  <c r="L237" s="15"/>
    </row>
    <row r="238" spans="1:12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  <c r="L238" s="15"/>
    </row>
    <row r="239" spans="1:12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  <c r="L239" s="15"/>
    </row>
    <row r="240" spans="1:12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  <c r="L240" s="15"/>
    </row>
    <row r="241" spans="1:12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  <c r="L241" s="15"/>
    </row>
    <row r="242" spans="1:12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  <c r="L242" s="15"/>
    </row>
    <row r="243" spans="1:12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  <c r="L243" s="15"/>
    </row>
    <row r="244" spans="1:12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  <c r="L244" s="15"/>
    </row>
    <row r="245" spans="1:12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  <c r="L245" s="15"/>
    </row>
    <row r="246" spans="1:12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  <c r="L246" s="15"/>
    </row>
    <row r="247" spans="1:12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  <c r="L247" s="15"/>
    </row>
    <row r="248" spans="1:12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  <c r="L248" s="15"/>
    </row>
    <row r="249" spans="1:12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  <c r="L249" s="15"/>
    </row>
    <row r="250" spans="1:12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  <c r="L250" s="15"/>
    </row>
    <row r="251" spans="1:12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  <c r="L251" s="15"/>
    </row>
    <row r="252" spans="1:12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  <c r="L252" s="15"/>
    </row>
    <row r="253" spans="1:12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  <c r="L253" s="15"/>
    </row>
    <row r="254" spans="1:12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  <c r="L254" s="15"/>
    </row>
    <row r="255" spans="1:12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  <c r="L255" s="15"/>
    </row>
    <row r="256" spans="1:12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  <c r="L256" s="15"/>
    </row>
    <row r="257" spans="1:12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  <c r="L257" s="15"/>
    </row>
    <row r="258" spans="1:12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  <c r="L258" s="15"/>
    </row>
    <row r="259" spans="1:12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  <c r="L259" s="15"/>
    </row>
    <row r="260" spans="1:12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  <c r="L260" s="15"/>
    </row>
    <row r="261" spans="1:12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  <c r="L261" s="15"/>
    </row>
    <row r="262" spans="1:12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  <c r="L262" s="15"/>
    </row>
    <row r="263" spans="1:12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  <c r="L263" s="15"/>
    </row>
    <row r="264" spans="1:12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  <c r="L264" s="15"/>
    </row>
    <row r="265" spans="1:12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  <c r="L265" s="15"/>
    </row>
    <row r="266" spans="1:12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  <c r="L266" s="15"/>
    </row>
    <row r="267" spans="1:12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  <c r="L267" s="15"/>
    </row>
    <row r="268" spans="1:12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  <c r="L268" s="15"/>
    </row>
    <row r="269" spans="1:12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  <c r="L269" s="15"/>
    </row>
    <row r="270" spans="1:12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  <c r="L270" s="15"/>
    </row>
    <row r="271" spans="1:12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  <c r="L271" s="15"/>
    </row>
    <row r="272" spans="1:12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  <c r="L272" s="15"/>
    </row>
    <row r="273" spans="1:12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  <c r="L273" s="15"/>
    </row>
    <row r="274" spans="1:12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  <c r="L274" s="15"/>
    </row>
    <row r="275" spans="1:12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  <c r="L275" s="15"/>
    </row>
    <row r="276" spans="1:12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  <c r="L276" s="15"/>
    </row>
    <row r="277" spans="1:12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  <c r="L277" s="15"/>
    </row>
    <row r="278" spans="1:12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  <c r="L278" s="15"/>
    </row>
    <row r="279" spans="1:12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  <c r="L279" s="15"/>
    </row>
    <row r="280" spans="1:12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  <c r="L280" s="15"/>
    </row>
    <row r="281" spans="1:12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  <c r="L281" s="15"/>
    </row>
    <row r="282" spans="1:12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  <c r="L282" s="15"/>
    </row>
    <row r="283" spans="1:12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  <c r="L283" s="15"/>
    </row>
    <row r="284" spans="1:12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  <c r="L284" s="15"/>
    </row>
    <row r="285" spans="1:12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  <c r="L285" s="15"/>
    </row>
    <row r="286" spans="1:12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  <c r="L286" s="15"/>
    </row>
    <row r="287" spans="1:12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  <c r="L287" s="15"/>
    </row>
    <row r="288" spans="1:12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  <c r="L288" s="15"/>
    </row>
    <row r="289" spans="1:12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  <c r="L289" s="15"/>
    </row>
    <row r="290" spans="1:12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  <c r="L290" s="15"/>
    </row>
    <row r="291" spans="1:12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  <c r="L291" s="15"/>
    </row>
    <row r="292" spans="1:12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  <c r="L292" s="15"/>
    </row>
    <row r="293" spans="1:12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  <c r="L293" s="15"/>
    </row>
    <row r="294" spans="1:12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  <c r="L294" s="15"/>
    </row>
    <row r="295" spans="1:12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  <c r="L295" s="15"/>
    </row>
    <row r="296" spans="1:12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  <c r="L296" s="15"/>
    </row>
    <row r="297" spans="1:12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  <c r="L297" s="15"/>
    </row>
    <row r="298" spans="1:12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  <c r="L298" s="15"/>
    </row>
    <row r="299" spans="1:12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  <c r="L299" s="15"/>
    </row>
    <row r="300" spans="1:12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  <c r="L300" s="15"/>
    </row>
    <row r="301" spans="1:12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  <c r="L301" s="15"/>
    </row>
    <row r="302" spans="1:12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  <c r="L302" s="15"/>
    </row>
    <row r="303" spans="1:12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  <c r="L303" s="15"/>
    </row>
    <row r="304" spans="1:12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  <c r="L304" s="15"/>
    </row>
    <row r="305" spans="1:12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  <c r="L305" s="15"/>
    </row>
    <row r="306" spans="1:12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  <c r="L306" s="15"/>
    </row>
    <row r="307" spans="1:12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  <c r="L307" s="15"/>
    </row>
    <row r="308" spans="1:12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  <c r="L308" s="15"/>
    </row>
    <row r="309" spans="1:12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  <c r="L309" s="15"/>
    </row>
    <row r="310" spans="1:12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  <c r="L310" s="15"/>
    </row>
    <row r="311" spans="1:12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  <c r="L311" s="15"/>
    </row>
    <row r="312" spans="1:12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  <c r="L312" s="15"/>
    </row>
    <row r="313" spans="1:12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  <c r="L313" s="15"/>
    </row>
    <row r="314" spans="1:12" ht="14.45">
      <c r="C314" s="15"/>
      <c r="D314" s="15"/>
      <c r="E314" s="15"/>
      <c r="F314" s="16"/>
      <c r="G314" s="15"/>
      <c r="H314" s="15"/>
      <c r="I314" s="16"/>
      <c r="J314" s="15"/>
      <c r="K314" s="15"/>
      <c r="L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113602" xr:uid="{702298B3-7937-42F7-9785-BE81ACE1CD62}"/>
    <hyperlink ref="M4" r:id="rId2" display="https://us3.assetplanner.com/service_request?ID=111088" xr:uid="{5B9FDF34-CA54-43C6-B629-121D789AA2F4}"/>
  </hyperlinks>
  <pageMargins left="0.4" right="0.7" top="0.25" bottom="0.25" header="0.3" footer="0.3"/>
  <pageSetup scale="52" fitToHeight="99" orientation="landscape"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94</v>
      </c>
      <c r="B1" s="40" t="s">
        <v>95</v>
      </c>
    </row>
    <row r="3" spans="1:12" ht="13.15">
      <c r="A3" t="s">
        <v>96</v>
      </c>
      <c r="B3" t="s">
        <v>3</v>
      </c>
      <c r="C3" t="s">
        <v>4</v>
      </c>
      <c r="D3" t="s">
        <v>97</v>
      </c>
      <c r="E3" s="2" t="s">
        <v>98</v>
      </c>
    </row>
    <row r="4" spans="1:12" ht="14.45">
      <c r="A4" s="38" t="s">
        <v>99</v>
      </c>
      <c r="B4" t="s">
        <v>100</v>
      </c>
      <c r="C4" s="36" t="s">
        <v>101</v>
      </c>
      <c r="D4" s="41"/>
      <c r="E4" s="40" t="s">
        <v>102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27D77216-2D59-4DEF-AD63-B4D9625B37FE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