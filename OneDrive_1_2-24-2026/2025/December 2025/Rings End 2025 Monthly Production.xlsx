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DD3B679-98B6-4B9D-8E52-3F0DA8CB5B0B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6" l="1"/>
  <c r="H6" i="26"/>
  <c r="E6" i="26"/>
  <c r="E4" i="26"/>
  <c r="H4" i="19"/>
  <c r="H6" i="33"/>
  <c r="G5" i="30"/>
  <c r="G6" i="30"/>
  <c r="G4" i="30"/>
  <c r="G4" i="29"/>
  <c r="G5" i="29"/>
  <c r="G6" i="29"/>
  <c r="C6" i="29"/>
  <c r="G5" i="18"/>
  <c r="G6" i="18"/>
  <c r="G4" i="18"/>
  <c r="E4" i="19"/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B4" i="34" a="1"/>
  <c r="B4" i="34" s="1"/>
  <c r="A4" i="34" a="1"/>
  <c r="A4" i="34" s="1"/>
  <c r="A1" i="34" a="1"/>
  <c r="A1" i="34" s="1"/>
  <c r="D6" i="30"/>
  <c r="C6" i="30"/>
  <c r="D5" i="30"/>
  <c r="C5" i="30"/>
  <c r="D4" i="30"/>
  <c r="C4" i="30"/>
  <c r="D6" i="29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F6" i="26"/>
  <c r="H5" i="26"/>
  <c r="I5" i="26" s="1"/>
  <c r="E5" i="26"/>
  <c r="F5" i="26" s="1"/>
  <c r="H4" i="26"/>
  <c r="F4" i="26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I4" i="19"/>
  <c r="F4" i="19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6" i="30" l="1"/>
  <c r="F6" i="30" s="1"/>
  <c r="E4" i="30"/>
  <c r="F4" i="30" s="1"/>
  <c r="D2" i="18"/>
  <c r="C6" i="34"/>
  <c r="C5" i="34"/>
  <c r="E5" i="34" s="1"/>
  <c r="F5" i="34" s="1"/>
  <c r="C4" i="34"/>
  <c r="H6" i="29"/>
  <c r="I6" i="29" s="1"/>
  <c r="D2" i="29"/>
  <c r="E4" i="18"/>
  <c r="F4" i="18" s="1"/>
  <c r="E5" i="18"/>
  <c r="F5" i="18" s="1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<sst xmlns="http://schemas.openxmlformats.org/spreadsheetml/2006/main" count="351" uniqueCount="97">
  <si>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</si>
  <si>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</si>
  <si>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</si>
  <si>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</si>
  <si>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</si>
  <si>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</si>
  <si>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</si>
  <si>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</si>
  <si>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</si>
  <si>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</si>
  <si>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</si>
  <si>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</si>
  <si>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</si>
  <si>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</si>
  <si>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</si>
  <si>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</si>
  <si>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</si>
  <si>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</si>
  <si>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</si>
  <si>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</si>
  <si>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</si>
  <si>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</si>
  <si>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</si>
  <si>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 on 01/20 , 01/21</t>
  </si>
  <si>
    <t>1. Inverter 2 tripped offline at 08:45 AM on 01/18/25. On 01/23/25, the technician performed a reset inhibition and brought it back online at 09:30.
2. Inverter 1 &amp; 2 are offline from 01/29/25 due to an ARC fault and remained offline through the month.
3. Low generation due to weather/snow on 01/21  ,01/22</t>
  </si>
  <si>
    <t>1. SR095695
2. SR096102</t>
  </si>
  <si>
    <t>SR096102</t>
  </si>
  <si>
    <t>1.  Inverter 2 was underperforming approximately 18kW compared to peer as Strings 2.2 and 2.3 have been disconnected from 09/03 for further troubleshooting.
2. Low generation due to weather/snow 01/06 ,01/31</t>
  </si>
  <si>
    <t>1. SR088902</t>
  </si>
  <si>
    <t>February Actual v. Expected</t>
  </si>
  <si>
    <t>February Actual v. Forecasted</t>
  </si>
  <si>
    <t>1. Site  was offline from 13:00 on 02/03/25 and came back online at 14:15 on 02/05/25, after the technician re-energized it.
2. Low generation due to weather/snow on 02/09 to 02/13</t>
  </si>
  <si>
    <t>1. SR096277</t>
  </si>
  <si>
    <t>1. Inverter 1 &amp; 2 back online at 10:15 on 02/25/25, after the technician re-energized them.
2. Low generation due to weather/snow on 02/09 to 02/13</t>
  </si>
  <si>
    <t>1. SR096102</t>
  </si>
  <si>
    <t>1.  Inverter 2 was underperforming approximately 18kW compared to peer as Strings 2.2 and 2.3 have been disconnected from 09/03 for further troubleshooting.
2. Low generation due to weather/snow on 02/09 to 02/13</t>
  </si>
  <si>
    <t>March Actual v. Expected</t>
  </si>
  <si>
    <t>March Actual v. Forecasted</t>
  </si>
  <si>
    <t>1.Low generation due to weather/snow on 03/24</t>
  </si>
  <si>
    <t>1.Inverter 1 was offline from 03/06 and remained offline for rest of the month
2.Low generation due to weather/snow on 03/24</t>
  </si>
  <si>
    <t>1.SR098202</t>
  </si>
  <si>
    <t>1. Inverter 2 was underperforming by approximately 18 kW compared to its peer, as Strings 2.2 and 2.3 have been disconnected since 09/03/24 for further troubleshooting. Four optimizers required to repair Strings 2.2 and 2.3 have been RMAd from 10/30/24
2.Inverter 1 intermittently tripped on 03/25 due to high voltage on Line 3. The issue self-resolved on 03/26.
3.Low generation due to weather/snow on 03/24</t>
  </si>
  <si>
    <t>1.SR088902
2.SR098985</t>
  </si>
  <si>
    <t>SR098985</t>
  </si>
  <si>
    <t>April Actual v. Expected</t>
  </si>
  <si>
    <t>April Actual v. Forecasted</t>
  </si>
  <si>
    <t>1.Inverter 1 was offline from 04/01 to 04/09 .Inverter 1 is back online  at 10:15  after technician has reset inverter</t>
  </si>
  <si>
    <t>1.Inverter 2 was underperforming by approximately 18 kW compared to its peers. Four optimizers required to repair Strings 2.2 and 2.3 have been RMAd from 10/30/24.Issue resolved on 04/10 after technician has troubleshoot the optimizers</t>
  </si>
  <si>
    <t>1.SR088902</t>
  </si>
  <si>
    <t>May Actual v. Expected</t>
  </si>
  <si>
    <t>May Actual v. Forecasted</t>
  </si>
  <si>
    <t>1.Low generation due to rain on 05/05,05/09,05/21,05/22.</t>
  </si>
  <si>
    <t>1.Low generation due to rain on 05/04,05/09,05/21,05/22.</t>
  </si>
  <si>
    <t>1.Inverter 2 is underperming approximately 22kw compared to its peer inverter
string 2.2 was Rma'd from 10/30/24</t>
  </si>
  <si>
    <t>June Actual v. Expected</t>
  </si>
  <si>
    <t>June Actual v. Forecasted</t>
  </si>
  <si>
    <t>1.Inverters 1,2&amp;3 were offline through out the month due to "High Residual Current".</t>
  </si>
  <si>
    <t>1.SR103735,SR096102</t>
  </si>
  <si>
    <t>1.Inverter 2 is underperming approximately 22kw compared to its peer inverter,
Strings 2.2 and 2.3 have been disconnected from 09/03 for further troubleshooting  and 4 P700 optimizers are needed to repair the strings.</t>
  </si>
  <si>
    <t>July Actual v. Expected</t>
  </si>
  <si>
    <t>July Actual v. Forecasted</t>
  </si>
  <si>
    <t>The pant is performing as expected. The forecasted (theoretical) values appear lower and they are based on long-term average weather data (typically 10–15 years). In contrast, actual vs expected generation reflects real-time weather conditions during the period, providing a more accurate measure of current performance</t>
  </si>
  <si>
    <t>1.Inverter 2 had been offline since 06/28.</t>
  </si>
  <si>
    <t>1.SR107540,SR096102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</si>
  <si>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</si>
  <si>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</si>
  <si>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</si>
  <si>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</si>
  <si>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</si>
  <si>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</si>
  <si>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</si>
  <si>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1. Inverter 2 had been offline since 06/28.
2. Inverter 1 was offline at 07:00 10/31.</t>
  </si>
  <si>
    <t>1. SR107540, SR096102
2. SR110797</t>
  </si>
  <si>
    <t>1. Pending
2. Closed</t>
  </si>
  <si>
    <t>SR110797</t>
  </si>
  <si>
    <t>1. pending</t>
  </si>
  <si>
    <t>November Actual v. Expected</t>
  </si>
  <si>
    <t>November Actual v. Forecasted</t>
  </si>
  <si>
    <t>1. pending
2. pending</t>
  </si>
  <si>
    <t>December Actual v. Expected</t>
  </si>
  <si>
    <t>December Actual v. Forecasted</t>
  </si>
  <si>
    <t>1.Closed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</si>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</sst>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9" fontId="1" fillId="38" borderId="12" xfId="2" applyFont="1" applyFill="1" applyBorder="1" applyAlignment="1">
      <alignment horizontal="left" vertical="top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36" fillId="0" borderId="0" xfId="45" applyAlignment="1">
      <alignment vertical="top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6" fillId="0" borderId="0" xfId="45"/>
    <xf numFmtId="0" fontId="0" fillId="0" borderId="0" xfId="0" applyAlignment="1">
      <alignment vertical="top"/>
    </xf>
    <xf numFmtId="3" fontId="30" fillId="4" borderId="0" xfId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5695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6277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985" TargetMode="External"/><Relationship Id="rId2" Type="http://schemas.openxmlformats.org/officeDocument/2006/relationships/hyperlink" Target="https://us3.assetplanner.com/service_request?ID=088902" TargetMode="External"/><Relationship Id="rId1" Type="http://schemas.openxmlformats.org/officeDocument/2006/relationships/hyperlink" Target="https://us3.assetplanner.com/service_request?ID=0982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8902" TargetMode="External"/><Relationship Id="rId1" Type="http://schemas.openxmlformats.org/officeDocument/2006/relationships/hyperlink" Target="https://us3.assetplanner.com/service_request?ID=09820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890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373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797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Relationship Id="rId4" Type="http://schemas.openxmlformats.org/officeDocument/2006/relationships/hyperlink" Target="https://us3.assetplanner.com/service_request?ID=088902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797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8890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797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107540" TargetMode="External"/><Relationship Id="rId4" Type="http://schemas.openxmlformats.org/officeDocument/2006/relationships/hyperlink" Target="https://us3.assetplanner.com/service_request?ID=088902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RINGS END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9" ht="19.5" customHeight="1">
      <c r="A2" s="70" t="s">
        <v>2</v>
      </c>
      <c r="B2" s="70"/>
      <c r="C2" s="5">
        <f>SUM(C4:C100)</f>
        <v>247430.36210593773</v>
      </c>
      <c r="D2" s="5">
        <f>SUM(D4:D100)</f>
        <v>0</v>
      </c>
      <c r="E2" s="5">
        <f>C2-D2</f>
        <v>247430.36210593773</v>
      </c>
      <c r="F2" s="6">
        <f>IFERROR(E2/D2, 0)</f>
        <v>0</v>
      </c>
      <c r="G2" s="5">
        <f>SUM(G4:G100)</f>
        <v>269550.11699999997</v>
      </c>
      <c r="H2" s="7">
        <f>C2-G2</f>
        <v>-22119.754894062236</v>
      </c>
      <c r="I2" s="6">
        <f>IFERROR(H2/G2, 0)</f>
        <v>-8.2061752152985487E-2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121791.922551</v>
      </c>
      <c r="D4" s="13">
        <f>SUM('1st Qtr'!D4, '2nd Qtr'!D4, '3rd Qtr'!D4, '4th Qtr'!D4)</f>
        <v>0</v>
      </c>
      <c r="E4" s="13">
        <f>IF(AND(ISNUMBER(C4),ISNUMBER(D4)), C4-D4, "")</f>
        <v>121791.922551</v>
      </c>
      <c r="F4" s="14" t="str">
        <f>IFERROR(E4/D4, "")</f>
        <v/>
      </c>
      <c r="G4" s="15">
        <f>SUM('1st Qtr'!G4, '2nd Qtr'!G4, '3rd Qtr'!G4, '4th Qtr'!G4)</f>
        <v>126945.912</v>
      </c>
      <c r="H4" s="15">
        <f>SUM('1st Qtr'!H4, '2nd Qtr'!H4, '3rd Qtr'!H4, '4th Qtr'!H4)</f>
        <v>-5153.9894490000006</v>
      </c>
      <c r="I4" s="16">
        <f>IFERROR(H4/G4, "")</f>
        <v>-4.0599885162115351E-2</v>
      </c>
    </row>
    <row r="5" spans="1:9" ht="15.6">
      <c r="A5" s="17" t="str">
        <v>Milford - Rings End</v>
      </c>
      <c r="B5" s="10" t="str">
        <v>CT</v>
      </c>
      <c r="C5" s="11">
        <f>SUM('1st Qtr'!C5, '2nd Qtr'!C5, '3rd Qtr'!C5, '4th Qtr'!C5)</f>
        <v>70937.192013676002</v>
      </c>
      <c r="D5" s="18">
        <f>SUM(Jan!D5, Feb!D5, Mar!D5)</f>
        <v>0</v>
      </c>
      <c r="E5" s="18">
        <f t="shared" ref="E5:E6" si="0">IF(AND(ISNUMBER(C5),ISNUMBER(D5)), C5-D5, "")</f>
        <v>70937.192013676002</v>
      </c>
      <c r="F5" s="19" t="str">
        <f>IFERROR(E5/D5, "")</f>
        <v/>
      </c>
      <c r="G5" s="20">
        <f>SUM('1st Qtr'!G5, '2nd Qtr'!G5, '3rd Qtr'!G5, '4th Qtr'!G5)</f>
        <v>67543.335999999996</v>
      </c>
      <c r="H5" s="20">
        <f>SUM(Jan!H5, Feb!H5, Mar!H5)</f>
        <v>-557.01498199999969</v>
      </c>
      <c r="I5" s="19">
        <f>IFERROR(H5/G5, "")</f>
        <v>-8.2467792529525002E-3</v>
      </c>
    </row>
    <row r="6" spans="1:9" ht="15.6">
      <c r="A6" s="12" t="str">
        <v>New Milford - Rings End</v>
      </c>
      <c r="B6" s="9" t="str">
        <v>CT</v>
      </c>
      <c r="C6" s="24">
        <f>SUM('1st Qtr'!C6, '2nd Qtr'!C6, '3rd Qtr'!C6, '4th Qtr'!C6)</f>
        <v>54701.24754126172</v>
      </c>
      <c r="D6" s="13">
        <f>SUM(Jan!D6, Feb!D6, Mar!D6)</f>
        <v>0</v>
      </c>
      <c r="E6" s="13">
        <f t="shared" si="0"/>
        <v>54701.24754126172</v>
      </c>
      <c r="F6" s="14" t="str">
        <f t="shared" ref="F6" si="1">IFERROR(E6/D6, "")</f>
        <v/>
      </c>
      <c r="G6" s="15">
        <f>SUM('1st Qtr'!G6, '2nd Qtr'!G6, '3rd Qtr'!G6, '4th Qtr'!G6)</f>
        <v>75060.869000000006</v>
      </c>
      <c r="H6" s="15">
        <f>SUM(Jan!H6, Feb!H6, Mar!H6)</f>
        <v>-4010.4574830000001</v>
      </c>
      <c r="I6" s="16">
        <f t="shared" ref="I6" si="2">IFERROR(H6/G6, "")</f>
        <v>-5.3429403848228828E-2</v>
      </c>
    </row>
    <row r="7" spans="1:9">
      <c r="F7"/>
      <c r="I7"/>
    </row>
    <row r="8" spans="1:9">
      <c r="F8"/>
      <c r="I8"/>
    </row>
    <row r="9" spans="1:9">
      <c r="F9"/>
      <c r="I9"/>
    </row>
    <row r="10" spans="1:9">
      <c r="F10"/>
      <c r="I10"/>
    </row>
    <row r="11" spans="1:9">
      <c r="F11"/>
      <c r="I11"/>
    </row>
    <row r="12" spans="1:9">
      <c r="F12"/>
      <c r="I12"/>
    </row>
    <row r="13" spans="1:9">
      <c r="F13"/>
      <c r="I13"/>
    </row>
    <row r="14" spans="1:9">
      <c r="F14"/>
      <c r="I14"/>
    </row>
    <row r="15" spans="1:9">
      <c r="F15"/>
      <c r="I15"/>
    </row>
    <row r="16" spans="1:9">
      <c r="F16"/>
      <c r="I16"/>
    </row>
    <row r="17" spans="1:9">
      <c r="F17"/>
      <c r="I17"/>
    </row>
    <row r="18" spans="1:9" ht="12.75" customHeight="1">
      <c r="F18"/>
      <c r="I18"/>
    </row>
    <row r="19" spans="1:9">
      <c r="F19"/>
      <c r="I19"/>
    </row>
    <row r="20" spans="1:9">
      <c r="F20"/>
      <c r="I20"/>
    </row>
    <row r="21" spans="1:9">
      <c r="F21"/>
      <c r="I21"/>
    </row>
    <row r="22" spans="1:9">
      <c r="F22"/>
      <c r="I22"/>
    </row>
    <row r="23" spans="1:9">
      <c r="F23"/>
      <c r="I23"/>
    </row>
    <row r="24" spans="1:9">
      <c r="F24"/>
      <c r="I24"/>
    </row>
    <row r="25" spans="1:9">
      <c r="F25"/>
      <c r="I25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9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F26:F100 I26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RINGS END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9" ht="19.5" customHeight="1">
      <c r="A2" s="70" t="s">
        <v>2</v>
      </c>
      <c r="B2" s="70"/>
      <c r="C2" s="5">
        <f>SUM(C4:C73)</f>
        <v>48284.327535000004</v>
      </c>
      <c r="D2" s="5">
        <f>SUM(D4:D73)</f>
        <v>0</v>
      </c>
      <c r="E2" s="5">
        <f>C2-D2</f>
        <v>48284.327535000004</v>
      </c>
      <c r="F2" s="6">
        <f>IFERROR(E2/D2, 0)</f>
        <v>0</v>
      </c>
      <c r="G2" s="5">
        <f>SUM(G4:G73)</f>
        <v>53385.402999999998</v>
      </c>
      <c r="H2" s="7">
        <f>C2-G2</f>
        <v>-5101.0754649999944</v>
      </c>
      <c r="I2" s="6">
        <f>IFERROR(H2/G2, 0)</f>
        <v>-9.5551877073963357E-2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25250.7</v>
      </c>
      <c r="D4" s="13">
        <f>SUM(Jan!D4, Feb!D4, Mar!D4)</f>
        <v>0</v>
      </c>
      <c r="E4" s="13">
        <f>IF(AND(ISNUMBER(C4),ISNUMBER(D4)), C4-D4, "")</f>
        <v>25250.7</v>
      </c>
      <c r="F4" s="14" t="str">
        <f>IFERROR(E4/D4, "")</f>
        <v/>
      </c>
      <c r="G4" s="15">
        <f>SUM(Jan!G4, Feb!G4, Mar!G4)</f>
        <v>25784.303</v>
      </c>
      <c r="H4" s="15">
        <f>SUM(Jan!H4, Feb!H4, Mar!H4)</f>
        <v>-533.60299999999916</v>
      </c>
      <c r="I4" s="16">
        <f>IFERROR(H4/G4, "")</f>
        <v>-2.0694877809960547E-2</v>
      </c>
    </row>
    <row r="5" spans="1:9" ht="15.6">
      <c r="A5" s="47" t="str">
        <v>Milford - Rings End</v>
      </c>
      <c r="B5" s="10" t="str">
        <v>CT</v>
      </c>
      <c r="C5" s="11">
        <f>SUM(Jan!C5, Feb!C5, Mar!C5)</f>
        <v>13111.985017999999</v>
      </c>
      <c r="D5" s="18">
        <f>SUM(Jan!D5, Feb!D5, Mar!D5)</f>
        <v>0</v>
      </c>
      <c r="E5" s="18">
        <f t="shared" ref="E5:E6" si="0">IF(AND(ISNUMBER(C5),ISNUMBER(D5)), C5-D5, "")</f>
        <v>13111.985017999999</v>
      </c>
      <c r="F5" s="19" t="str">
        <f>IFERROR(E5/D5, "")</f>
        <v/>
      </c>
      <c r="G5" s="20">
        <f>SUM(Jan!G5, Feb!G5, Mar!G5)</f>
        <v>13669</v>
      </c>
      <c r="H5" s="20">
        <f>SUM(Jan!H5, Feb!H5, Mar!H5)</f>
        <v>-557.01498199999969</v>
      </c>
      <c r="I5" s="19">
        <f>IFERROR(H5/G5, "")</f>
        <v>-4.0750236447435778E-2</v>
      </c>
    </row>
    <row r="6" spans="1:9" ht="15.6">
      <c r="A6" s="46" t="str">
        <v>New Milford - Rings End</v>
      </c>
      <c r="B6" s="9" t="str">
        <v>CT</v>
      </c>
      <c r="C6" s="24">
        <f>SUM(Jan!C6, Feb!C6, Mar!C6)</f>
        <v>9921.6425170000002</v>
      </c>
      <c r="D6" s="13">
        <f>SUM(Jan!D6, Feb!D6, Mar!D6)</f>
        <v>0</v>
      </c>
      <c r="E6" s="13">
        <f t="shared" si="0"/>
        <v>9921.6425170000002</v>
      </c>
      <c r="F6" s="14" t="str">
        <f t="shared" ref="F6" si="1">IFERROR(E6/D6, "")</f>
        <v/>
      </c>
      <c r="G6" s="15">
        <f>SUM(Jan!G6, Feb!G6, Mar!G6)</f>
        <v>13932.1</v>
      </c>
      <c r="H6" s="15">
        <f>SUM(Jan!H6, Feb!H6, Mar!H6)</f>
        <v>-4010.4574830000001</v>
      </c>
      <c r="I6" s="16">
        <f t="shared" ref="I6" si="2">IFERROR(H6/G6, "")</f>
        <v>-0.28785735696700426</v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3 I4:I73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RINGS END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>
      <c r="A2" s="70" t="s">
        <v>2</v>
      </c>
      <c r="B2" s="70"/>
      <c r="C2" s="5">
        <f>SUM(C4:C73)</f>
        <v>83226.576960937731</v>
      </c>
      <c r="D2" s="5">
        <f>SUM(D4:D73)</f>
        <v>0</v>
      </c>
      <c r="E2" s="5">
        <f>C2-D2</f>
        <v>83226.576960937731</v>
      </c>
      <c r="F2" s="6">
        <f>IFERROR(E2/D2, 0)</f>
        <v>0</v>
      </c>
      <c r="G2" s="5">
        <f>SUM(G4:G73)</f>
        <v>89722.073999999993</v>
      </c>
      <c r="H2" s="7">
        <f>C2-G2</f>
        <v>-6495.497039062262</v>
      </c>
      <c r="I2" s="6">
        <f>IFERROR(H2/G2, 0)</f>
        <v>-7.2395752232190511E-2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39086.129999999997</v>
      </c>
      <c r="D4" s="13">
        <f>SUM(Apr!D4, May!D4, Jun!D4)</f>
        <v>0</v>
      </c>
      <c r="E4" s="13">
        <f>IF(AND(ISNUMBER(C4),ISNUMBER(D4)), C4-D4, "")</f>
        <v>39086.129999999997</v>
      </c>
      <c r="F4" s="14" t="str">
        <f>IFERROR(E4/D4, "")</f>
        <v/>
      </c>
      <c r="G4" s="15">
        <f>SUM(Apr!G4,May!G4,Jun!G4)</f>
        <v>41799.620999999999</v>
      </c>
      <c r="H4" s="15">
        <f>SUM(Apr!H4, May!H4, Jun!H4)</f>
        <v>-2713.491</v>
      </c>
      <c r="I4" s="16">
        <f>IFERROR(H4/G4, "")</f>
        <v>-6.4916641229833164E-2</v>
      </c>
    </row>
    <row r="5" spans="1:9" ht="15.6">
      <c r="A5" s="47" t="str">
        <v>Milford - Rings End</v>
      </c>
      <c r="B5" s="10" t="str">
        <v>CT</v>
      </c>
      <c r="C5" s="11">
        <f>SUM(Apr!C5, May!C5, Jun!C5)</f>
        <v>26162.969492676009</v>
      </c>
      <c r="D5" s="18">
        <f>SUM(Apr!D5, May!D5, Jun!D5)</f>
        <v>0</v>
      </c>
      <c r="E5" s="18">
        <f t="shared" ref="E5:E6" si="0">IF(AND(ISNUMBER(C5),ISNUMBER(D5)), C5-D5, "")</f>
        <v>26162.969492676009</v>
      </c>
      <c r="F5" s="19" t="str">
        <f>IFERROR(E5/D5, "")</f>
        <v/>
      </c>
      <c r="G5" s="18">
        <f>SUM(Apr!G5,May!G5,Jun!G5)</f>
        <v>21705.120999999999</v>
      </c>
      <c r="H5" s="20">
        <f>SUM(Apr!H5, May!H5, Jun!H5)</f>
        <v>4457.8484926760093</v>
      </c>
      <c r="I5" s="19">
        <f>IFERROR(H5/G5, "")</f>
        <v>0.20538233777531162</v>
      </c>
    </row>
    <row r="6" spans="1:9" ht="15.6">
      <c r="A6" s="46" t="str">
        <v>New Milford - Rings End</v>
      </c>
      <c r="B6" s="9" t="str">
        <v>CT</v>
      </c>
      <c r="C6" s="24">
        <f>SUM(Apr!C6, May!C6, Jun!C6)</f>
        <v>17977.477468261721</v>
      </c>
      <c r="D6" s="13">
        <f>SUM(Apr!D6, May!D6, Jun!D6)</f>
        <v>0</v>
      </c>
      <c r="E6" s="13">
        <f t="shared" si="0"/>
        <v>17977.477468261721</v>
      </c>
      <c r="F6" s="14" t="str">
        <f t="shared" ref="F6" si="1">IFERROR(E6/D6, "")</f>
        <v/>
      </c>
      <c r="G6" s="15">
        <f>SUM(Apr!G6,May!G6,Jun!G6)</f>
        <v>26217.332000000002</v>
      </c>
      <c r="H6" s="15">
        <f>SUM(Apr!H6, May!H6, Jun!H6)</f>
        <v>-8239.8545317382814</v>
      </c>
      <c r="I6" s="16">
        <f t="shared" ref="I6" si="2">IFERROR(H6/G6, "")</f>
        <v>-0.31429035310451425</v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3 I4:I73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workbookViewId="0">
      <pane xSplit="2" ySplit="3" topLeftCell="C4" activePane="bottomRight" state="frozen"/>
      <selection pane="bottomRight" activeCell="C5" sqref="C5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RINGS END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>
      <c r="A2" s="70" t="s">
        <v>2</v>
      </c>
      <c r="B2" s="70"/>
      <c r="C2" s="5">
        <f>SUM(C4:C73)</f>
        <v>77307.207611999998</v>
      </c>
      <c r="D2" s="5">
        <f>SUM(D4:D73)</f>
        <v>0</v>
      </c>
      <c r="E2" s="5">
        <f>C2-D2</f>
        <v>77307.207611999998</v>
      </c>
      <c r="F2" s="6">
        <f>IFERROR(E2/D2, 0)</f>
        <v>0</v>
      </c>
      <c r="G2" s="5">
        <f>SUM(G4:G73)</f>
        <v>83288.931000000011</v>
      </c>
      <c r="H2" s="7">
        <f>C2-G2</f>
        <v>-5981.7233880000131</v>
      </c>
      <c r="I2" s="6">
        <f>IFERROR(H2/G2, 0)</f>
        <v>-7.181894780231976E-2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SUM(Jul!C6, Aug!C4, Sep!C4)</f>
        <v>34983.382551000002</v>
      </c>
      <c r="D4" s="13">
        <f>SUM(Jul!D4, Aug!D4, Sep!D4)</f>
        <v>0</v>
      </c>
      <c r="E4" s="13">
        <f>IF(AND(ISNUMBER(C4),ISNUMBER(D4)), C4-D4, "")</f>
        <v>34983.382551000002</v>
      </c>
      <c r="F4" s="14" t="str">
        <f>IFERROR(E4/D4, "")</f>
        <v/>
      </c>
      <c r="G4" s="15">
        <f>SUM(Jul!G4,Aug!G4,Sep!G4)</f>
        <v>38603.587</v>
      </c>
      <c r="H4" s="15">
        <f>SUM(Jul!H4, Aug!H4, Sep!H4)</f>
        <v>-3620.2044490000017</v>
      </c>
      <c r="I4" s="16">
        <f>IFERROR(H4/G4, "")</f>
        <v>-9.3778965384745255E-2</v>
      </c>
    </row>
    <row r="5" spans="1:9" ht="15.6">
      <c r="A5" s="47" t="str">
        <v>Milford - Rings End</v>
      </c>
      <c r="B5" s="10" t="str">
        <v>CT</v>
      </c>
      <c r="C5" s="11">
        <f>SUM(Jul!C5, Aug!C5, Sep!C5)</f>
        <v>23235.782509999997</v>
      </c>
      <c r="D5" s="18">
        <f>SUM(Jul!D5, Aug!D5, Sep!D5)</f>
        <v>0</v>
      </c>
      <c r="E5" s="18">
        <f t="shared" ref="E5:E6" si="0">IF(AND(ISNUMBER(C5),ISNUMBER(D5)), C5-D5, "")</f>
        <v>23235.782509999997</v>
      </c>
      <c r="F5" s="19" t="str">
        <f>IFERROR(E5/D5, "")</f>
        <v/>
      </c>
      <c r="G5" s="18">
        <f>SUM(Jul!G5,Aug!G5,Sep!G5)</f>
        <v>20847.400000000001</v>
      </c>
      <c r="H5" s="20">
        <f>SUM(Jul!H5, Aug!H5, Sep!H5)</f>
        <v>2388.3825100000004</v>
      </c>
      <c r="I5" s="19">
        <f>IFERROR(H5/G5, "")</f>
        <v>0.11456500618782199</v>
      </c>
    </row>
    <row r="6" spans="1:9" ht="15.6">
      <c r="A6" s="46" t="str">
        <v>New Milford - Rings End</v>
      </c>
      <c r="B6" s="9" t="str">
        <v>CT</v>
      </c>
      <c r="C6" s="24">
        <f>SUM(Jul!C6, Aug!C6, Sep!C6)</f>
        <v>19088.042550999999</v>
      </c>
      <c r="D6" s="13">
        <f>SUM(Jul!D6, Aug!D6, Sep!D6)</f>
        <v>0</v>
      </c>
      <c r="E6" s="13">
        <f t="shared" si="0"/>
        <v>19088.042550999999</v>
      </c>
      <c r="F6" s="14" t="str">
        <f t="shared" ref="F6" si="1">IFERROR(E6/D6, "")</f>
        <v/>
      </c>
      <c r="G6" s="15">
        <f>SUM(Jul!G6,Aug!G6,Sep!G6)</f>
        <v>23837.944000000003</v>
      </c>
      <c r="H6" s="15">
        <f>SUM(Jul!H6, Aug!H6, Sep!H6)</f>
        <v>-4749.901449</v>
      </c>
      <c r="I6" s="16">
        <f t="shared" ref="I6" si="2">IFERROR(H6/G6, "")</f>
        <v>-0.19925801692461395</v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RINGS END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>
      <c r="A2" s="70" t="s">
        <v>2</v>
      </c>
      <c r="B2" s="70"/>
      <c r="C2" s="5">
        <f>SUM(C4:C73)</f>
        <v>38612.249997999999</v>
      </c>
      <c r="D2" s="5">
        <f>SUM(D4:D73)</f>
        <v>0</v>
      </c>
      <c r="E2" s="5">
        <f>C2-D2</f>
        <v>38612.249997999999</v>
      </c>
      <c r="F2" s="6">
        <f>IFERROR(E2/D2, 0)</f>
        <v>0</v>
      </c>
      <c r="G2" s="5">
        <f>SUM(G4:G73)</f>
        <v>43153.709000000003</v>
      </c>
      <c r="H2" s="7">
        <f>C2-G2</f>
        <v>-4541.4590020000032</v>
      </c>
      <c r="I2" s="6">
        <f>IFERROR(H2/G2, 0)</f>
        <v>-0.10523913487946084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22471.71</v>
      </c>
      <c r="D4" s="13">
        <f>SUM(Oct!D4, Nov!D4, Dec!D4)</f>
        <v>0</v>
      </c>
      <c r="E4" s="13">
        <f>IF(AND(ISNUMBER(C4),ISNUMBER(D4)), C4-D4, "")</f>
        <v>22471.71</v>
      </c>
      <c r="F4" s="14" t="str">
        <f>IFERROR(E4/D4, "")</f>
        <v/>
      </c>
      <c r="G4" s="15">
        <f>SUM(Oct!G4,Nov!G4,Dec!G4)</f>
        <v>20758.401000000002</v>
      </c>
      <c r="H4" s="15">
        <f>SUM(Oct!H4, Nov!H4, Dec!H4)</f>
        <v>1713.3090000000002</v>
      </c>
      <c r="I4" s="16">
        <f>IFERROR(H4/G4, "")</f>
        <v>8.2535692416771417E-2</v>
      </c>
    </row>
    <row r="5" spans="1:9" ht="15.6">
      <c r="A5" s="47" t="str">
        <v>Milford - Rings End</v>
      </c>
      <c r="B5" s="10" t="str">
        <v>CT</v>
      </c>
      <c r="C5" s="11">
        <f>SUM(Oct!C5, Nov!C5, Dec!C5)</f>
        <v>8426.4549929999994</v>
      </c>
      <c r="D5" s="18">
        <f>SUM(Oct!D5, Nov!D5, Dec!D5)</f>
        <v>0</v>
      </c>
      <c r="E5" s="18">
        <f t="shared" ref="E5:E6" si="0">IF(AND(ISNUMBER(C5),ISNUMBER(D5)), C5-D5, "")</f>
        <v>8426.4549929999994</v>
      </c>
      <c r="F5" s="19" t="str">
        <f>IFERROR(E5/D5, "")</f>
        <v/>
      </c>
      <c r="G5" s="18">
        <f>SUM(Oct!G5,Nov!G5,Dec!G5)</f>
        <v>11321.815000000001</v>
      </c>
      <c r="H5" s="20">
        <f>SUM(Oct!H5, Nov!H5, Dec!H5)</f>
        <v>-2895.3600070000002</v>
      </c>
      <c r="I5" s="19">
        <f>IFERROR(H5/G5, "")</f>
        <v>-0.25573284910590749</v>
      </c>
    </row>
    <row r="6" spans="1:9" ht="15.6">
      <c r="A6" s="46" t="str">
        <v>New Milford - Rings End</v>
      </c>
      <c r="B6" s="9" t="str">
        <v>CT</v>
      </c>
      <c r="C6" s="24">
        <f>SUM(Oct!C6, Nov!C6, Dec!C6)</f>
        <v>7714.0850049999999</v>
      </c>
      <c r="D6" s="13">
        <f>SUM(Oct!D6, Nov!D6, Dec!D6)</f>
        <v>0</v>
      </c>
      <c r="E6" s="13">
        <f t="shared" si="0"/>
        <v>7714.0850049999999</v>
      </c>
      <c r="F6" s="14" t="str">
        <f t="shared" ref="F6" si="1">IFERROR(E6/D6, "")</f>
        <v/>
      </c>
      <c r="G6" s="15">
        <f>SUM(Oct!G6,Nov!G6,Dec!G6)</f>
        <v>11073.493</v>
      </c>
      <c r="H6" s="15">
        <f>SUM(Oct!H6, Nov!H6, Dec!H6)</f>
        <v>-3359.407995</v>
      </c>
      <c r="I6" s="16">
        <f t="shared" ref="I6" si="2">IFERROR(H6/G6, "")</f>
        <v>-0.30337383109376598</v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14"/>
  <sheetViews>
    <sheetView zoomScale="80" zoomScaleNormal="80" workbookViewId="0">
      <pane xSplit="2" ySplit="3" topLeftCell="I4" activePane="bottomRight" state="frozen"/>
      <selection pane="bottomRight" activeCell="I15" sqref="I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RINGS END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SUM(C4:C72)</f>
        <v>12740.642518000001</v>
      </c>
      <c r="D2" s="5">
        <f>SUM(D4:D72)</f>
        <v>0</v>
      </c>
      <c r="E2" s="5">
        <f>C2-D2</f>
        <v>12740.642518000001</v>
      </c>
      <c r="F2" s="6">
        <f>IFERROR(E2/D2, 0)</f>
        <v>0</v>
      </c>
      <c r="G2" s="5">
        <f>SUM(G4:G72)</f>
        <v>12946.1</v>
      </c>
      <c r="H2" s="7">
        <f>C2-G2</f>
        <v>-205.4574819999998</v>
      </c>
      <c r="I2" s="6">
        <f>IFERROR(H2/G2, 0)</f>
        <v>-1.5870222074601602E-2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6650.53</v>
      </c>
      <c r="D4" s="13" t="s">
        <v>22</v>
      </c>
      <c r="E4" s="13" t="str">
        <f>IF(AND(ISNUMBER(C4),ISNUMBER(D4)), C4-D4, "")</f>
        <v/>
      </c>
      <c r="F4" s="13" t="str">
        <f>IFERROR(E4/D4, "")</f>
        <v/>
      </c>
      <c r="G4" s="15">
        <v>6291.7</v>
      </c>
      <c r="H4" s="15">
        <f>IF(AND(ISNUMBER(C4),ISNUMBER(G4)), C4-G4, "")</f>
        <v>358.82999999999993</v>
      </c>
      <c r="I4" s="16">
        <f>IFERROR(H4/G4, "")</f>
        <v>5.7032280623678808E-2</v>
      </c>
      <c r="J4" s="55" t="s">
        <v>23</v>
      </c>
      <c r="K4" s="55"/>
    </row>
    <row r="5" spans="1:12" ht="72">
      <c r="A5" s="49" t="str">
        <v>Milford - Rings End</v>
      </c>
      <c r="B5" s="31" t="str">
        <v>CT</v>
      </c>
      <c r="C5" s="18">
        <v>3552.2200010000001</v>
      </c>
      <c r="D5" s="18" t="s">
        <v>22</v>
      </c>
      <c r="E5" s="18" t="str">
        <f t="shared" ref="E5:E6" si="0">IF(AND(ISNUMBER(C5),ISNUMBER(D5)), C5-D5, "")</f>
        <v/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254.22000100000014</v>
      </c>
      <c r="I5" s="19">
        <f t="shared" ref="I5:I6" si="3">IFERROR(H5/G5, "")</f>
        <v>7.7083080958156497E-2</v>
      </c>
      <c r="J5" s="42" t="s">
        <v>24</v>
      </c>
      <c r="K5" s="56" t="s">
        <v>25</v>
      </c>
      <c r="L5" s="58" t="s">
        <v>26</v>
      </c>
    </row>
    <row r="6" spans="1:12" ht="43.15">
      <c r="A6" s="50" t="str">
        <v>New Milford - Rings End</v>
      </c>
      <c r="B6" s="29" t="str">
        <v>CT</v>
      </c>
      <c r="C6" s="13">
        <v>2537.8925170000002</v>
      </c>
      <c r="D6" s="13" t="s">
        <v>22</v>
      </c>
      <c r="E6" s="13" t="str">
        <f t="shared" si="0"/>
        <v/>
      </c>
      <c r="F6" s="44" t="str">
        <f t="shared" si="1"/>
        <v/>
      </c>
      <c r="G6" s="15">
        <v>3356.4</v>
      </c>
      <c r="H6" s="15">
        <f t="shared" si="2"/>
        <v>-818.50748299999987</v>
      </c>
      <c r="I6" s="16">
        <f t="shared" si="3"/>
        <v>-0.24386470116791797</v>
      </c>
      <c r="J6" s="41" t="s">
        <v>27</v>
      </c>
      <c r="K6" s="57" t="s">
        <v>28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hyperlinks>
    <hyperlink ref="K5" r:id="rId1" display="https://us3.assetplanner.com/service_request?ID=095695" xr:uid="{49F434EF-1FF2-4962-9B00-DFB3E4FBD365}"/>
    <hyperlink ref="L5" r:id="rId2" display="https://us3.assetplanner.com/service_request?ID=096102" xr:uid="{3FD3D2B8-EF75-444C-B3FA-29902FB5DAB6}"/>
    <hyperlink ref="K6" r:id="rId3" display="https://us3.assetplanner.com/service_request?ID=088902" xr:uid="{7D0B28B3-C56F-4010-BB61-F51B2661A0C0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zoomScale="80" zoomScaleNormal="80" workbookViewId="0">
      <pane xSplit="2" ySplit="3" topLeftCell="J4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RINGS END</v>
      </c>
      <c r="B1" s="68"/>
      <c r="C1" s="68"/>
      <c r="D1" s="69" t="s">
        <v>29</v>
      </c>
      <c r="E1" s="69"/>
      <c r="F1" s="69"/>
      <c r="G1" s="67" t="s">
        <v>30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SUM(C4:C73)</f>
        <v>11728.335003</v>
      </c>
      <c r="D2" s="5">
        <f>SUM(D4:D73)</f>
        <v>0</v>
      </c>
      <c r="E2" s="5">
        <f>C2-D2</f>
        <v>11728.335003</v>
      </c>
      <c r="F2" s="6">
        <f>IFERROR(E2/D2, 0)</f>
        <v>0</v>
      </c>
      <c r="G2" s="5">
        <f>SUM(G4:G73)</f>
        <v>16349.5</v>
      </c>
      <c r="H2" s="7">
        <f>C2-G2</f>
        <v>-4621.1649969999999</v>
      </c>
      <c r="I2" s="6">
        <f>IFERROR(H2/G2, 0)</f>
        <v>-0.28264870466986758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43.15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6751.05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7839.8</v>
      </c>
      <c r="H4" s="15">
        <f>IF(AND(ISNUMBER(C4),ISNUMBER(G4)), C4-G4, "")</f>
        <v>-1088.75</v>
      </c>
      <c r="I4" s="16">
        <f>IFERROR(H4/G4, "")</f>
        <v>-0.13887471619173958</v>
      </c>
      <c r="J4" s="41" t="s">
        <v>31</v>
      </c>
      <c r="K4" s="57" t="s">
        <v>32</v>
      </c>
    </row>
    <row r="5" spans="1:11" ht="43.15">
      <c r="A5" s="49" t="str">
        <v>Milford - Rings End</v>
      </c>
      <c r="B5" s="31" t="str">
        <v>CT</v>
      </c>
      <c r="C5" s="11">
        <v>2518.8349910000002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-1686.1650089999998</v>
      </c>
      <c r="I5" s="19">
        <f t="shared" ref="I5:I6" si="2">IFERROR(H5/G5, "")</f>
        <v>-0.40099048965517237</v>
      </c>
      <c r="J5" s="42" t="s">
        <v>33</v>
      </c>
      <c r="K5" s="56" t="s">
        <v>34</v>
      </c>
    </row>
    <row r="6" spans="1:11" ht="43.15">
      <c r="A6" s="50" t="str">
        <v>New Milford - Rings End</v>
      </c>
      <c r="B6" s="29" t="str">
        <v>CT</v>
      </c>
      <c r="C6" s="24">
        <v>2458.4500119999998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4304.7</v>
      </c>
      <c r="H6" s="15">
        <f t="shared" si="1"/>
        <v>-1846.249988</v>
      </c>
      <c r="I6" s="16">
        <f t="shared" si="2"/>
        <v>-0.42889167375194559</v>
      </c>
      <c r="J6" s="41" t="s">
        <v>35</v>
      </c>
      <c r="K6" s="57" t="s">
        <v>28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F4:F73 I4:I73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4" r:id="rId1" display="https://us3.assetplanner.com/service_request?ID=096277" xr:uid="{39751F6E-288D-40B6-B514-9E3D359408C2}"/>
    <hyperlink ref="K5" r:id="rId2" display="https://us3.assetplanner.com/service_request?ID=096102" xr:uid="{3BBA531D-722A-4266-8972-3ABCF221C1A6}"/>
    <hyperlink ref="K6" r:id="rId3" display="https://us3.assetplanner.com/service_request?ID=088902" xr:uid="{658F9003-45FE-4555-BFEF-1BEDCFE632D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5"/>
  <sheetViews>
    <sheetView zoomScale="80" zoomScaleNormal="80" workbookViewId="0">
      <pane xSplit="2" ySplit="3" topLeftCell="I5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RINGS END</v>
      </c>
      <c r="B1" s="68"/>
      <c r="C1" s="68"/>
      <c r="D1" s="69" t="s">
        <v>36</v>
      </c>
      <c r="E1" s="69"/>
      <c r="F1" s="69"/>
      <c r="G1" s="67" t="s">
        <v>37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SUM(C4:C73)</f>
        <v>23815.350014</v>
      </c>
      <c r="D2" s="5">
        <f>SUM(D4:D73)</f>
        <v>0</v>
      </c>
      <c r="E2" s="5">
        <f>C2-D2</f>
        <v>23815.350014</v>
      </c>
      <c r="F2" s="6">
        <f>IFERROR(E2/D2, 0)</f>
        <v>0</v>
      </c>
      <c r="G2" s="5">
        <f>SUM(G4:G73)</f>
        <v>24089.803</v>
      </c>
      <c r="H2" s="7">
        <f>C2-G2</f>
        <v>-274.45298600000024</v>
      </c>
      <c r="I2" s="6">
        <f>IFERROR(H2/G2, 0)</f>
        <v>-1.1392911183208938E-2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11849.12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11652.803</v>
      </c>
      <c r="H4" s="15">
        <f>IF(AND(ISNUMBER(C4),ISNUMBER(G4)), C4-G4, "")</f>
        <v>196.31700000000092</v>
      </c>
      <c r="I4" s="16">
        <f>IFERROR(H4/G4, "")</f>
        <v>1.6847191186532624E-2</v>
      </c>
      <c r="J4" s="41" t="s">
        <v>38</v>
      </c>
      <c r="K4" s="41"/>
    </row>
    <row r="5" spans="1:12" ht="28.9">
      <c r="A5" s="30" t="str">
        <v>Milford - Rings End</v>
      </c>
      <c r="B5" s="31" t="str">
        <v>CT</v>
      </c>
      <c r="C5" s="11">
        <v>7040.930026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6166</v>
      </c>
      <c r="H5" s="20">
        <f t="shared" ref="H5:H6" si="1">IF(AND(ISNUMBER(C5),ISNUMBER(G5)), C5-G5, "")</f>
        <v>874.930026</v>
      </c>
      <c r="I5" s="19">
        <f t="shared" ref="I5:I6" si="2">IFERROR(H5/G5, "")</f>
        <v>0.14189588485241647</v>
      </c>
      <c r="J5" s="42" t="s">
        <v>39</v>
      </c>
      <c r="K5" s="59" t="s">
        <v>40</v>
      </c>
    </row>
    <row r="6" spans="1:12" ht="100.9">
      <c r="A6" s="28" t="str">
        <v>New Milford - Rings End</v>
      </c>
      <c r="B6" s="29" t="str">
        <v>CT</v>
      </c>
      <c r="C6" s="24">
        <v>4925.2999879999998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6271</v>
      </c>
      <c r="H6" s="15">
        <f t="shared" si="1"/>
        <v>-1345.7000120000002</v>
      </c>
      <c r="I6" s="16">
        <f t="shared" si="2"/>
        <v>-0.2145909762398342</v>
      </c>
      <c r="J6" s="41" t="s">
        <v>41</v>
      </c>
      <c r="K6" s="60" t="s">
        <v>42</v>
      </c>
      <c r="L6" s="58" t="s">
        <v>43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73 I4:I73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5" r:id="rId1" display="https://us3.assetplanner.com/service_request?ID=098202" xr:uid="{EFD26D77-7955-4995-8014-7B9CF582592F}"/>
    <hyperlink ref="K6" r:id="rId2" display="https://us3.assetplanner.com/service_request?ID=088902" xr:uid="{D17F5C04-FC88-4744-A7AB-EADBC1E4DE05}"/>
    <hyperlink ref="L6" r:id="rId3" display="https://us3.assetplanner.com/service_request?ID=098985" xr:uid="{D96CC36B-46C8-4A87-8B96-28095770079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J4" activePane="bottomRight" state="frozen"/>
      <selection pane="bottomRight" activeCell="K4" sqref="K4:K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RINGS END</v>
      </c>
      <c r="B1" s="68"/>
      <c r="C1" s="68"/>
      <c r="D1" s="69" t="s">
        <v>44</v>
      </c>
      <c r="E1" s="69"/>
      <c r="F1" s="69"/>
      <c r="G1" s="67" t="s">
        <v>45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SUM(C4:C73)</f>
        <v>29485.587</v>
      </c>
      <c r="D2" s="5">
        <f>SUM(D4:D73)</f>
        <v>0</v>
      </c>
      <c r="E2" s="5">
        <f>C2-D2</f>
        <v>29485.587</v>
      </c>
      <c r="F2" s="6">
        <f>IFERROR(E2/D2, 0)</f>
        <v>0</v>
      </c>
      <c r="G2" s="5">
        <f>SUM(G4:G73)</f>
        <v>27323.733</v>
      </c>
      <c r="H2" s="7">
        <f>C2-G2</f>
        <v>2161.8539999999994</v>
      </c>
      <c r="I2" s="6">
        <f>IFERROR(H2/G2, 0)</f>
        <v>7.9120008968027886E-2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12913.49</v>
      </c>
      <c r="D4" s="13">
        <v>0</v>
      </c>
      <c r="E4" s="13"/>
      <c r="F4" s="14" t="str">
        <f>IFERROR(E4/D4, "")</f>
        <v/>
      </c>
      <c r="G4" s="15">
        <v>12686.516</v>
      </c>
      <c r="H4" s="15">
        <f>IF(AND(ISNUMBER(C4),ISNUMBER(G4)), C4-G4, "")</f>
        <v>226.97400000000016</v>
      </c>
      <c r="I4" s="16">
        <f>IFERROR(H4/G4, "")</f>
        <v>1.7890963917910965E-2</v>
      </c>
      <c r="J4" s="41"/>
      <c r="K4" s="41"/>
    </row>
    <row r="5" spans="1:11" ht="28.9">
      <c r="A5" s="30" t="str">
        <v>Milford - Rings End</v>
      </c>
      <c r="B5" s="31" t="str">
        <v>CT</v>
      </c>
      <c r="C5" s="11">
        <v>10560.201999999999</v>
      </c>
      <c r="D5" s="18">
        <v>0</v>
      </c>
      <c r="E5" s="18">
        <f t="shared" ref="E5:E6" si="0">IF(AND(ISNUMBER(C5),ISNUMBER(D5)), C5-D5, "")</f>
        <v>10560.201999999999</v>
      </c>
      <c r="F5" s="19" t="str">
        <f>IFERROR(E5/D5, "")</f>
        <v/>
      </c>
      <c r="G5" s="20">
        <v>6762.3819999999996</v>
      </c>
      <c r="H5" s="20">
        <f t="shared" ref="H5:H6" si="1">IF(AND(ISNUMBER(C5),ISNUMBER(G5)), C5-G5, "")</f>
        <v>3797.8199999999997</v>
      </c>
      <c r="I5" s="19">
        <f t="shared" ref="I5:I6" si="2">IFERROR(H5/G5, "")</f>
        <v>0.56160979962386037</v>
      </c>
      <c r="J5" s="42" t="s">
        <v>46</v>
      </c>
      <c r="K5" s="61" t="s">
        <v>40</v>
      </c>
    </row>
    <row r="6" spans="1:11" ht="43.15">
      <c r="A6" s="28" t="str">
        <v>New Milford - Rings End</v>
      </c>
      <c r="B6" s="29" t="str">
        <v>CT</v>
      </c>
      <c r="C6" s="24">
        <v>6011.8950000000004</v>
      </c>
      <c r="D6" s="13">
        <v>0</v>
      </c>
      <c r="E6" s="13">
        <f t="shared" si="0"/>
        <v>6011.8950000000004</v>
      </c>
      <c r="F6" s="14" t="str">
        <f t="shared" ref="F6" si="3">IFERROR(E6/D6, "")</f>
        <v/>
      </c>
      <c r="G6" s="15">
        <v>7874.835</v>
      </c>
      <c r="H6" s="15">
        <f t="shared" si="1"/>
        <v>-1862.9399999999996</v>
      </c>
      <c r="I6" s="16">
        <f t="shared" si="2"/>
        <v>-0.23656876620272038</v>
      </c>
      <c r="J6" s="53" t="s">
        <v>47</v>
      </c>
      <c r="K6" s="60" t="s">
        <v>48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73 I4:I73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hyperlinks>
    <hyperlink ref="K5" r:id="rId1" display="https://us3.assetplanner.com/service_request?ID=098202" xr:uid="{1775FF1E-2B42-46BF-8D03-87915DA74296}"/>
    <hyperlink ref="K6" r:id="rId2" display="https://us3.assetplanner.com/service_request?ID=088902" xr:uid="{D5A40AB3-684F-4C68-93EC-23ED61808407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C4" activePane="bottomRight" state="frozen"/>
      <selection pane="bottomRight" activeCell="J6" sqref="J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RINGS END</v>
      </c>
      <c r="B1" s="68"/>
      <c r="C1" s="68"/>
      <c r="D1" s="69" t="s">
        <v>49</v>
      </c>
      <c r="E1" s="69"/>
      <c r="F1" s="69"/>
      <c r="G1" s="67" t="s">
        <v>50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SUM(C4:C73)</f>
        <v>28177.485000000001</v>
      </c>
      <c r="D2" s="5">
        <f>SUM(D4:D73)</f>
        <v>0</v>
      </c>
      <c r="E2" s="5">
        <f>C2-D2</f>
        <v>28177.485000000001</v>
      </c>
      <c r="F2" s="6">
        <f>IFERROR(E2/D2, 0)</f>
        <v>0</v>
      </c>
      <c r="G2" s="5">
        <f>SUM(G4:G73)</f>
        <v>31023.922999999999</v>
      </c>
      <c r="H2" s="7">
        <f>C2-G2</f>
        <v>-2846.4379999999983</v>
      </c>
      <c r="I2" s="6">
        <f>IFERROR(H2/G2, 0)</f>
        <v>-9.1749776454770032E-2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12453.97</v>
      </c>
      <c r="D4" s="13">
        <v>0</v>
      </c>
      <c r="E4" s="13">
        <f>IF(AND(ISNUMBER(C4),ISNUMBER(D4)), C4-D4, "")</f>
        <v>12453.97</v>
      </c>
      <c r="F4" s="14" t="str">
        <f>IFERROR(E4/D4, "")</f>
        <v/>
      </c>
      <c r="G4" s="15">
        <v>14490.436</v>
      </c>
      <c r="H4" s="15">
        <f>IF(AND(ISNUMBER(C4),ISNUMBER(G4)), C4-G4, "")</f>
        <v>-2036.4660000000003</v>
      </c>
      <c r="I4" s="16">
        <f>IFERROR(H4/G4, "")</f>
        <v>-0.14053862837529529</v>
      </c>
      <c r="J4" s="41" t="s">
        <v>51</v>
      </c>
      <c r="K4" s="41"/>
    </row>
    <row r="5" spans="1:11" ht="15.6">
      <c r="A5" s="30" t="str">
        <v>Milford - Rings End</v>
      </c>
      <c r="B5" s="31" t="str">
        <v>CT</v>
      </c>
      <c r="C5" s="11">
        <v>9999.0249999999996</v>
      </c>
      <c r="D5" s="18">
        <v>0</v>
      </c>
      <c r="E5" s="18">
        <f t="shared" ref="E5:E6" si="0">IF(AND(ISNUMBER(C5),ISNUMBER(D5)), C5-D5, "")</f>
        <v>9999.0249999999996</v>
      </c>
      <c r="F5" s="19" t="str">
        <f>IFERROR(E5/D5, "")</f>
        <v/>
      </c>
      <c r="G5" s="20">
        <v>7403.9480000000003</v>
      </c>
      <c r="H5" s="20">
        <f t="shared" ref="H5:H6" si="1">IF(AND(ISNUMBER(C5),ISNUMBER(G5)), C5-G5, "")</f>
        <v>2595.0769999999993</v>
      </c>
      <c r="I5" s="19">
        <f t="shared" ref="I5:I6" si="2">IFERROR(H5/G5, "")</f>
        <v>0.35049908508271521</v>
      </c>
      <c r="J5" s="42" t="s">
        <v>52</v>
      </c>
      <c r="K5" s="42"/>
    </row>
    <row r="6" spans="1:11" ht="28.9">
      <c r="A6" s="28" t="str">
        <v>New Milford - Rings End</v>
      </c>
      <c r="B6" s="29" t="str">
        <v>CT</v>
      </c>
      <c r="C6" s="24">
        <v>5724.49</v>
      </c>
      <c r="D6" s="13">
        <v>0</v>
      </c>
      <c r="E6" s="13">
        <f t="shared" si="0"/>
        <v>5724.49</v>
      </c>
      <c r="F6" s="14" t="str">
        <f t="shared" ref="F6" si="3">IFERROR(E6/D6, "")</f>
        <v/>
      </c>
      <c r="G6" s="15">
        <v>9129.5390000000007</v>
      </c>
      <c r="H6" s="15">
        <f t="shared" si="1"/>
        <v>-3405.0490000000009</v>
      </c>
      <c r="I6" s="16">
        <f t="shared" si="2"/>
        <v>-0.37297053005633696</v>
      </c>
      <c r="J6" s="41" t="s">
        <v>53</v>
      </c>
      <c r="K6" s="60" t="s">
        <v>28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3 I4:I73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6" r:id="rId1" display="https://us3.assetplanner.com/service_request?ID=088902" xr:uid="{9DB8D9A4-560B-4217-8D65-11F72E58AB24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15"/>
  <sheetViews>
    <sheetView workbookViewId="0">
      <pane xSplit="2" ySplit="3" topLeftCell="G4" activePane="bottomRight" state="frozen"/>
      <selection pane="bottomRight" activeCell="J12" sqref="J12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2"/>
  </cols>
  <sheetData>
    <row r="1" spans="1:12" ht="19.5" customHeight="1">
      <c r="A1" s="68" t="str" cm="1">
        <f t="array" ref="A1">portfolio</f>
        <v>RINGS END</v>
      </c>
      <c r="B1" s="68"/>
      <c r="C1" s="68"/>
      <c r="D1" s="69" t="s">
        <v>54</v>
      </c>
      <c r="E1" s="69"/>
      <c r="F1" s="69"/>
      <c r="G1" s="67" t="s">
        <v>55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SUM(C4:C73)</f>
        <v>25563.504960937731</v>
      </c>
      <c r="D2" s="5">
        <f>SUM(D4:D73)</f>
        <v>0</v>
      </c>
      <c r="E2" s="5">
        <f>C2-D2</f>
        <v>25563.504960937731</v>
      </c>
      <c r="F2" s="6">
        <f>IFERROR(E2/D2, 0)</f>
        <v>0</v>
      </c>
      <c r="G2" s="5">
        <f>SUM(G4:G73)</f>
        <v>31374.417999999998</v>
      </c>
      <c r="H2" s="7">
        <f>C2-G2</f>
        <v>-5810.9130390622668</v>
      </c>
      <c r="I2" s="6">
        <f>IFERROR(H2/G2, 0)</f>
        <v>-0.18521181935748632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13718.67</v>
      </c>
      <c r="D4" s="13">
        <v>0</v>
      </c>
      <c r="E4" s="13">
        <f>IF(AND(ISNUMBER(C4),ISNUMBER(D4)), C4-D4, "")</f>
        <v>13718.67</v>
      </c>
      <c r="F4" s="14" t="str">
        <f>IFERROR(E4/D4, "")</f>
        <v/>
      </c>
      <c r="G4" s="15">
        <v>14622.669</v>
      </c>
      <c r="H4" s="15">
        <f t="shared" ref="H4:H6" si="0">IF(AND(ISNUMBER(C4),ISNUMBER(G4)), C4-G4, "")</f>
        <v>-903.9989999999998</v>
      </c>
      <c r="I4" s="16">
        <f>IFERROR(H4/G4, "")</f>
        <v>-6.182175087188254E-2</v>
      </c>
      <c r="J4" s="41"/>
      <c r="K4" s="41"/>
    </row>
    <row r="5" spans="1:12" ht="15.6">
      <c r="A5" s="30" t="str">
        <v>Milford - Rings End</v>
      </c>
      <c r="B5" s="31" t="str">
        <v>CT</v>
      </c>
      <c r="C5" s="11">
        <v>5603.7424926760104</v>
      </c>
      <c r="D5" s="18">
        <v>0</v>
      </c>
      <c r="E5" s="18">
        <f t="shared" ref="E5:E6" si="1">IF(AND(ISNUMBER(C5),ISNUMBER(D5)), C5-D5, "")</f>
        <v>5603.7424926760104</v>
      </c>
      <c r="F5" s="19" t="str">
        <f>IFERROR(E5/D5, "")</f>
        <v/>
      </c>
      <c r="G5" s="20">
        <v>7538.7910000000002</v>
      </c>
      <c r="H5" s="20">
        <f t="shared" si="0"/>
        <v>-1935.0485073239897</v>
      </c>
      <c r="I5" s="19">
        <f t="shared" ref="I5:I6" si="2">IFERROR(H5/G5, "")</f>
        <v>-0.25667889019923618</v>
      </c>
      <c r="J5" s="42" t="s">
        <v>56</v>
      </c>
      <c r="K5" s="59" t="s">
        <v>57</v>
      </c>
      <c r="L5" s="63" t="s">
        <v>26</v>
      </c>
    </row>
    <row r="6" spans="1:12" ht="43.15">
      <c r="A6" s="28" t="str">
        <v>New Milford - Rings End</v>
      </c>
      <c r="B6" s="29" t="str">
        <v>CT</v>
      </c>
      <c r="C6" s="24">
        <v>6241.0924682617197</v>
      </c>
      <c r="D6" s="13">
        <v>0</v>
      </c>
      <c r="E6" s="13">
        <f t="shared" si="1"/>
        <v>6241.0924682617197</v>
      </c>
      <c r="F6" s="14" t="str">
        <f t="shared" ref="F6" si="3">IFERROR(E6/D6, "")</f>
        <v/>
      </c>
      <c r="G6" s="15">
        <v>9212.9580000000005</v>
      </c>
      <c r="H6" s="15">
        <f t="shared" si="0"/>
        <v>-2971.8655317382809</v>
      </c>
      <c r="I6" s="16">
        <f t="shared" si="2"/>
        <v>-0.32257452294239058</v>
      </c>
      <c r="J6" s="41" t="s">
        <v>58</v>
      </c>
      <c r="K6" s="60" t="s">
        <v>48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73 I4:I7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5" r:id="rId1" display="https://us3.assetplanner.com/service_request?ID=103735" xr:uid="{8836E8B3-A87A-460B-A69C-D9A950DDCD44}"/>
    <hyperlink ref="L5" r:id="rId2" display="https://us3.assetplanner.com/service_request?ID=096102" xr:uid="{57FC040A-CFF2-4130-87F2-B164B9F8BE7A}"/>
    <hyperlink ref="K6" r:id="rId3" display="https://us3.assetplanner.com/service_request?ID=088902" xr:uid="{C92C6381-EFCE-443E-8DB1-8234DBA022F9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15"/>
  <sheetViews>
    <sheetView zoomScale="70" zoomScaleNormal="70" workbookViewId="0">
      <pane xSplit="2" ySplit="3" topLeftCell="C4" activePane="bottomRight" state="frozen"/>
      <selection pane="bottomRight" activeCell="G23" sqref="G23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5"/>
  </cols>
  <sheetData>
    <row r="1" spans="1:12" ht="19.5" customHeight="1">
      <c r="A1" s="68" t="str" cm="1">
        <f t="array" ref="A1">portfolio</f>
        <v>RINGS END</v>
      </c>
      <c r="B1" s="68"/>
      <c r="C1" s="68"/>
      <c r="D1" s="69" t="s">
        <v>59</v>
      </c>
      <c r="E1" s="69"/>
      <c r="F1" s="69"/>
      <c r="G1" s="67" t="s">
        <v>60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SUM(C5:C73)</f>
        <v>15569.927551000001</v>
      </c>
      <c r="D2" s="5">
        <f>SUM(D4:D73)</f>
        <v>0</v>
      </c>
      <c r="E2" s="5">
        <f>C2-D2</f>
        <v>15569.927551000001</v>
      </c>
      <c r="F2" s="6">
        <f>IFERROR(E2/D2, 0)</f>
        <v>0</v>
      </c>
      <c r="G2" s="5">
        <f>SUM(G4:G73)</f>
        <v>31253.226999999999</v>
      </c>
      <c r="H2" s="7">
        <f>C2-G2</f>
        <v>-15683.299448999998</v>
      </c>
      <c r="I2" s="6">
        <f>IFERROR(H2/G2, 0)</f>
        <v>-0.50181376307157011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72">
      <c r="A4" s="28" t="str" cm="1">
        <f t="array" ref="A4:A6">Sites[Site]</f>
        <v>Branford - Rings End</v>
      </c>
      <c r="B4" s="29" t="str" cm="1">
        <f t="array" ref="B4:B6">Sites[State]</f>
        <v>CT</v>
      </c>
      <c r="C4" s="24">
        <v>14923.87</v>
      </c>
      <c r="D4" s="13" t="s">
        <v>22</v>
      </c>
      <c r="E4" s="13" t="str">
        <f>IF(AND(ISNUMBER(C6),ISNUMBER(D4)), C4-D4, "")</f>
        <v/>
      </c>
      <c r="F4" s="14" t="str">
        <f>IFERROR(E4/D4, "")</f>
        <v/>
      </c>
      <c r="G4" s="15">
        <v>14237.642</v>
      </c>
      <c r="H4" s="15">
        <f>IF(AND(ISNUMBER(C6),ISNUMBER(G4)), C6-G4, "")</f>
        <v>-7283.3394490000001</v>
      </c>
      <c r="I4" s="16">
        <f>IFERROR(H4/G4, "")</f>
        <v>-0.5115551752881552</v>
      </c>
      <c r="J4" s="41" t="s">
        <v>61</v>
      </c>
      <c r="K4" s="41"/>
    </row>
    <row r="5" spans="1:12" ht="15.6">
      <c r="A5" s="30" t="str">
        <v>Milford - Rings End</v>
      </c>
      <c r="B5" s="31" t="str">
        <v>CT</v>
      </c>
      <c r="C5" s="11">
        <v>8615.625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7841</v>
      </c>
      <c r="H5" s="20">
        <f t="shared" ref="H5" si="1">IF(AND(ISNUMBER(C5),ISNUMBER(G5)), C5-G5, "")</f>
        <v>774.625</v>
      </c>
      <c r="I5" s="19">
        <f t="shared" ref="I5:I6" si="2">IFERROR(H5/G5, "")</f>
        <v>9.8791608213238111E-2</v>
      </c>
      <c r="J5" s="42" t="s">
        <v>62</v>
      </c>
      <c r="K5" s="59" t="s">
        <v>63</v>
      </c>
      <c r="L5" s="58" t="s">
        <v>26</v>
      </c>
    </row>
    <row r="6" spans="1:12" ht="28.9">
      <c r="A6" s="28" t="str">
        <v>New Milford - Rings End</v>
      </c>
      <c r="B6" s="29" t="str">
        <v>CT</v>
      </c>
      <c r="C6" s="24">
        <v>6954.3025509999998</v>
      </c>
      <c r="D6" s="13" t="s">
        <v>22</v>
      </c>
      <c r="E6" s="13" t="str">
        <f>IF(AND(ISNUMBER(C6),ISNUMBER(D6)), C6-D6, "")</f>
        <v/>
      </c>
      <c r="F6" s="14" t="str">
        <f t="shared" ref="F6" si="3">IFERROR(E6/D6, "")</f>
        <v/>
      </c>
      <c r="G6" s="15">
        <v>9174.5849999999991</v>
      </c>
      <c r="H6" s="15">
        <f>IF(AND(ISNUMBER(C6),ISNUMBER(G6)), C6-G6, "")</f>
        <v>-2220.2824489999994</v>
      </c>
      <c r="I6" s="16">
        <f t="shared" si="2"/>
        <v>-0.242003583704331</v>
      </c>
      <c r="J6" s="41" t="s">
        <v>53</v>
      </c>
      <c r="K6" s="60" t="s">
        <v>48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73 I4:I73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hyperlinks>
    <hyperlink ref="K5" r:id="rId1" display="https://us3.assetplanner.com/service_request?ID=107540" xr:uid="{6E690AA1-4BDC-4B24-A0EB-270E91CD4174}"/>
    <hyperlink ref="L5" r:id="rId2" display="https://us3.assetplanner.com/service_request?ID=096102" xr:uid="{E0FB772D-C818-43F1-954F-0E14117E20E1}"/>
    <hyperlink ref="K6" r:id="rId3" display="https://us3.assetplanner.com/service_request?ID=088902" xr:uid="{42A9CCC6-AB3C-41AD-B885-9C4177DF28C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15"/>
  <sheetViews>
    <sheetView workbookViewId="0">
      <pane xSplit="2" ySplit="3" topLeftCell="H4" activePane="bottomRight" state="frozen"/>
      <selection pane="bottomRight" activeCell="I18" sqref="I18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RINGS END</v>
      </c>
      <c r="B1" s="68"/>
      <c r="C1" s="68"/>
      <c r="D1" s="69" t="s">
        <v>64</v>
      </c>
      <c r="E1" s="69"/>
      <c r="F1" s="69"/>
      <c r="G1" s="67" t="s">
        <v>65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SUM(C4:C73)</f>
        <v>30767.127509999998</v>
      </c>
      <c r="D2" s="5">
        <f>SUM(D4:D73)</f>
        <v>0</v>
      </c>
      <c r="E2" s="5">
        <f>C2-D2</f>
        <v>30767.127509999998</v>
      </c>
      <c r="F2" s="6">
        <f>IFERROR(E2/D2, 0)</f>
        <v>0</v>
      </c>
      <c r="G2" s="5">
        <f>SUM(G4:G73)</f>
        <v>28684.704000000005</v>
      </c>
      <c r="H2" s="7">
        <f>C2-G2</f>
        <v>2082.4235099999933</v>
      </c>
      <c r="I2" s="6">
        <f>IFERROR(H2/G2, 0)</f>
        <v>7.2597001872495973E-2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15627.18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13198.745000000001</v>
      </c>
      <c r="H4" s="15">
        <f>IF(AND(ISNUMBER(C4),ISNUMBER(G4)), C4-G4, "")</f>
        <v>2428.4349999999995</v>
      </c>
      <c r="I4" s="16">
        <f>IFERROR(H4/G4, "")</f>
        <v>0.18398984145841132</v>
      </c>
      <c r="J4" s="41"/>
      <c r="K4" s="41"/>
    </row>
    <row r="5" spans="1:12" ht="15.6">
      <c r="A5" s="30" t="str">
        <v>Milford - Rings End</v>
      </c>
      <c r="B5" s="31" t="str">
        <v>CT</v>
      </c>
      <c r="C5" s="11">
        <v>8258.19751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7282</v>
      </c>
      <c r="H5" s="20">
        <f t="shared" ref="H5:H6" si="1">IF(AND(ISNUMBER(C5),ISNUMBER(G5)), C5-G5, "")</f>
        <v>976.19750999999997</v>
      </c>
      <c r="I5" s="19">
        <f t="shared" ref="I5:I6" si="2">IFERROR(H5/G5, "")</f>
        <v>0.13405623592419663</v>
      </c>
      <c r="J5" s="42" t="s">
        <v>62</v>
      </c>
      <c r="K5" s="59" t="s">
        <v>63</v>
      </c>
      <c r="L5" s="64" t="s">
        <v>26</v>
      </c>
    </row>
    <row r="6" spans="1:12" ht="28.9">
      <c r="A6" s="28" t="str">
        <v>New Milford - Rings End</v>
      </c>
      <c r="B6" s="29" t="str">
        <v>CT</v>
      </c>
      <c r="C6" s="24">
        <v>6881.75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8203.9590000000007</v>
      </c>
      <c r="H6" s="15">
        <f t="shared" si="1"/>
        <v>-1322.2090000000007</v>
      </c>
      <c r="I6" s="16">
        <f t="shared" si="2"/>
        <v>-0.16116718769559923</v>
      </c>
      <c r="J6" s="41" t="s">
        <v>53</v>
      </c>
      <c r="K6" s="60" t="s">
        <v>48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73 I4:I73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hyperlinks>
    <hyperlink ref="K5" r:id="rId1" display="https://us3.assetplanner.com/service_request?ID=107540" xr:uid="{D26D1DB8-C841-4B0A-AA4F-B264F2BEEA67}"/>
    <hyperlink ref="L5" r:id="rId2" display="https://us3.assetplanner.com/service_request?ID=096102" xr:uid="{5F8A1394-9D77-4C3D-B083-B814DB16BACD}"/>
    <hyperlink ref="K6" r:id="rId3" display="https://us3.assetplanner.com/service_request?ID=088902" xr:uid="{EFD4997B-090C-4A3A-A4B4-5DC7109DBF4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15"/>
  <sheetViews>
    <sheetView zoomScale="80" zoomScaleNormal="80" workbookViewId="0">
      <pane xSplit="2" ySplit="3" topLeftCell="D4" activePane="bottomRight" state="frozen"/>
      <selection pane="bottomRight" activeCell="K6" sqref="K6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RINGS END</v>
      </c>
      <c r="B1" s="68"/>
      <c r="C1" s="68"/>
      <c r="D1" s="69" t="s">
        <v>66</v>
      </c>
      <c r="E1" s="69"/>
      <c r="F1" s="69"/>
      <c r="G1" s="67" t="s">
        <v>67</v>
      </c>
      <c r="H1" s="67"/>
      <c r="I1" s="67"/>
      <c r="J1" s="4"/>
      <c r="K1" s="4"/>
    </row>
    <row r="2" spans="1:12" ht="19.5" customHeight="1">
      <c r="A2" s="70" t="s">
        <v>2</v>
      </c>
      <c r="B2" s="70"/>
      <c r="C2" s="5">
        <f>SUM(C4:C73)</f>
        <v>24015.85</v>
      </c>
      <c r="D2" s="5">
        <f>SUM(D4:D73)</f>
        <v>0</v>
      </c>
      <c r="E2" s="5">
        <f>C2-D2</f>
        <v>24015.85</v>
      </c>
      <c r="F2" s="6">
        <f>IFERROR(E2/D2, 0)</f>
        <v>0</v>
      </c>
      <c r="G2" s="5">
        <f>SUM(G4:G73)</f>
        <v>23351</v>
      </c>
      <c r="H2" s="7">
        <f>C2-G2</f>
        <v>664.84999999999854</v>
      </c>
      <c r="I2" s="6">
        <f>IFERROR(H2/G2, 0)</f>
        <v>2.8472014046507583E-2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12401.9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11167.2</v>
      </c>
      <c r="H4" s="15">
        <f>IF(AND(ISNUMBER(C4),ISNUMBER(G4)), C4-G4, "")</f>
        <v>1234.6999999999989</v>
      </c>
      <c r="I4" s="16">
        <f>IFERROR(H4/G4, "")</f>
        <v>0.11056486854359185</v>
      </c>
      <c r="J4" s="41"/>
      <c r="K4" s="41"/>
    </row>
    <row r="5" spans="1:12" ht="15.6">
      <c r="A5" s="30" t="str">
        <v>Milford - Rings End</v>
      </c>
      <c r="B5" s="31" t="str">
        <v>CT</v>
      </c>
      <c r="C5" s="11">
        <v>6361.96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5724.4</v>
      </c>
      <c r="H5" s="20">
        <f t="shared" ref="H5:H6" si="1">IF(AND(ISNUMBER(C5),ISNUMBER(G5)), C5-G5, "")</f>
        <v>637.5600000000004</v>
      </c>
      <c r="I5" s="19">
        <f t="shared" ref="I5:I6" si="2">IFERROR(H5/G5, "")</f>
        <v>0.11137586471944666</v>
      </c>
      <c r="J5" s="42" t="s">
        <v>62</v>
      </c>
      <c r="K5" s="59" t="s">
        <v>63</v>
      </c>
      <c r="L5" s="64" t="s">
        <v>26</v>
      </c>
    </row>
    <row r="6" spans="1:12" ht="28.9">
      <c r="A6" s="28" t="str">
        <v>New Milford - Rings End</v>
      </c>
      <c r="B6" s="29" t="str">
        <v>CT</v>
      </c>
      <c r="C6" s="24">
        <v>5251.99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6459.4</v>
      </c>
      <c r="H6" s="15">
        <f t="shared" si="1"/>
        <v>-1207.4099999999999</v>
      </c>
      <c r="I6" s="16">
        <f t="shared" si="2"/>
        <v>-0.18692293401863949</v>
      </c>
      <c r="J6" s="41" t="s">
        <v>53</v>
      </c>
      <c r="K6" s="60" t="s">
        <v>48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73 I4:I73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5" r:id="rId1" display="https://us3.assetplanner.com/service_request?ID=107540" xr:uid="{DF254779-EFD6-49FB-B66E-DB808977A5EC}"/>
    <hyperlink ref="L5" r:id="rId2" display="https://us3.assetplanner.com/service_request?ID=096102" xr:uid="{C864D028-1D3D-4184-AF30-C65825E9C1A4}"/>
    <hyperlink ref="K6" r:id="rId3" display="https://us3.assetplanner.com/service_request?ID=088902" xr:uid="{BCF8559A-E198-42CC-996C-993D49FFBF05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15"/>
  <sheetViews>
    <sheetView tabSelected="1" zoomScale="80" zoomScaleNormal="80" workbookViewId="0">
      <pane xSplit="2" ySplit="3" topLeftCell="J4" activePane="bottomRight" state="frozen"/>
      <selection pane="bottomRight" activeCell="N10" sqref="N10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7.7109375" customWidth="1"/>
    <col min="13" max="15" width="8.85546875" style="62"/>
  </cols>
  <sheetData>
    <row r="1" spans="1:14" ht="19.5" customHeight="1">
      <c r="A1" s="68" t="str" cm="1">
        <f t="array" ref="A1">portfolio</f>
        <v>RINGS END</v>
      </c>
      <c r="B1" s="68"/>
      <c r="C1" s="68"/>
      <c r="D1" s="69" t="s">
        <v>68</v>
      </c>
      <c r="E1" s="69"/>
      <c r="F1" s="69"/>
      <c r="G1" s="67" t="s">
        <v>69</v>
      </c>
      <c r="H1" s="67"/>
      <c r="I1" s="67"/>
      <c r="J1" s="4"/>
      <c r="K1" s="4"/>
      <c r="L1" s="4"/>
    </row>
    <row r="2" spans="1:14" ht="19.5" customHeight="1">
      <c r="A2" s="70" t="s">
        <v>2</v>
      </c>
      <c r="B2" s="70"/>
      <c r="C2" s="5">
        <f>SUM(C4:C73)</f>
        <v>18889.2</v>
      </c>
      <c r="D2" s="5">
        <f>SUM(D4:D73)</f>
        <v>0</v>
      </c>
      <c r="E2" s="5">
        <f>C2-D2</f>
        <v>18889.2</v>
      </c>
      <c r="F2" s="6">
        <f>IFERROR(E2/D2, 0)</f>
        <v>0</v>
      </c>
      <c r="G2" s="5">
        <f>SUM(G4:G73)</f>
        <v>19065.891000000003</v>
      </c>
      <c r="H2" s="7">
        <f>C2-G2</f>
        <v>-176.69100000000253</v>
      </c>
      <c r="I2" s="6">
        <f>IFERROR(H2/G2, 0)</f>
        <v>-9.2673875036840669E-3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70</v>
      </c>
    </row>
    <row r="4" spans="1:14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10284.6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9144.2080000000005</v>
      </c>
      <c r="H4" s="15">
        <f>IF(AND(ISNUMBER(C4),ISNUMBER(G4)), C4-G4, "")</f>
        <v>1140.3919999999998</v>
      </c>
      <c r="I4" s="16">
        <f>IFERROR(H4/G4, "")</f>
        <v>0.12471194880956336</v>
      </c>
      <c r="J4" s="41"/>
      <c r="K4" s="41"/>
      <c r="L4" s="41"/>
    </row>
    <row r="5" spans="1:14" ht="39.6">
      <c r="A5" s="30" t="str">
        <v>Milford - Rings End</v>
      </c>
      <c r="B5" s="31" t="str">
        <v>CT</v>
      </c>
      <c r="C5" s="11">
        <v>4809.5649999999996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4888.835</v>
      </c>
      <c r="H5" s="20">
        <f t="shared" ref="H5:H6" si="1">IF(AND(ISNUMBER(C5),ISNUMBER(G5)), C5-G5, "")</f>
        <v>-79.270000000000437</v>
      </c>
      <c r="I5" s="19">
        <f t="shared" ref="I5:I6" si="2">IFERROR(H5/G5, "")</f>
        <v>-1.6214496909795571E-2</v>
      </c>
      <c r="J5" s="42" t="s">
        <v>71</v>
      </c>
      <c r="K5" s="59" t="s">
        <v>72</v>
      </c>
      <c r="L5" s="42" t="s">
        <v>73</v>
      </c>
      <c r="M5" s="63" t="s">
        <v>26</v>
      </c>
      <c r="N5" s="63" t="s">
        <v>74</v>
      </c>
    </row>
    <row r="6" spans="1:14" ht="33.75" customHeight="1">
      <c r="A6" s="28" t="str">
        <v>New Milford - Rings End</v>
      </c>
      <c r="B6" s="29" t="str">
        <v>CT</v>
      </c>
      <c r="C6" s="24">
        <v>3795.0349999999999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5032.848</v>
      </c>
      <c r="H6" s="15">
        <f t="shared" si="1"/>
        <v>-1237.8130000000001</v>
      </c>
      <c r="I6" s="16">
        <f t="shared" si="2"/>
        <v>-0.24594682772060672</v>
      </c>
      <c r="J6" s="41" t="s">
        <v>53</v>
      </c>
      <c r="K6" s="60" t="s">
        <v>48</v>
      </c>
      <c r="L6" s="41" t="s">
        <v>75</v>
      </c>
    </row>
    <row r="7" spans="1:14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4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4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4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4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4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4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4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4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4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73 I4:I73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hyperlinks>
    <hyperlink ref="K5" r:id="rId1" display="https://us3.assetplanner.com/service_request?ID=107540" xr:uid="{E6834C02-7D08-43D1-BB83-294581F5D5FB}"/>
    <hyperlink ref="M5" r:id="rId2" display="https://us3.assetplanner.com/service_request?ID=096102" xr:uid="{82DA3401-ECBB-447D-A0BB-8144947CE3A3}"/>
    <hyperlink ref="N5" r:id="rId3" display="https://us3.assetplanner.com/service_request?ID=110797" xr:uid="{4D0F65FC-2FEC-4797-BECB-01E55FDF3AFB}"/>
    <hyperlink ref="K6" r:id="rId4" display="https://us3.assetplanner.com/service_request?ID=088902" xr:uid="{8B5D04DB-CCB3-4E86-8894-B398608FBB0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P315"/>
  <sheetViews>
    <sheetView zoomScale="60" zoomScaleNormal="60" workbookViewId="0">
      <pane xSplit="2" ySplit="3" topLeftCell="C4" activePane="bottomRight" state="frozen"/>
      <selection pane="bottomRight" activeCell="K14" sqref="K14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7109375" customWidth="1"/>
    <col min="13" max="16" width="8.85546875" style="62"/>
  </cols>
  <sheetData>
    <row r="1" spans="1:14" ht="19.5" customHeight="1">
      <c r="A1" s="68" t="str" cm="1">
        <f t="array" ref="A1">portfolio</f>
        <v>RINGS END</v>
      </c>
      <c r="B1" s="68"/>
      <c r="C1" s="68"/>
      <c r="D1" s="69" t="s">
        <v>76</v>
      </c>
      <c r="E1" s="69"/>
      <c r="F1" s="69"/>
      <c r="G1" s="67" t="s">
        <v>77</v>
      </c>
      <c r="H1" s="67"/>
      <c r="I1" s="67"/>
      <c r="J1" s="4"/>
      <c r="K1" s="4"/>
      <c r="L1" s="4"/>
    </row>
    <row r="2" spans="1:14" ht="19.5" customHeight="1">
      <c r="A2" s="70" t="s">
        <v>2</v>
      </c>
      <c r="B2" s="70"/>
      <c r="C2" s="5">
        <f>SUM(C4:C73)</f>
        <v>9760.4089999999997</v>
      </c>
      <c r="D2" s="5">
        <f>SUM(D4:D73)</f>
        <v>0</v>
      </c>
      <c r="E2" s="5">
        <f>C2-D2</f>
        <v>9760.4089999999997</v>
      </c>
      <c r="F2" s="6">
        <f>IFERROR(E2/D2, 0)</f>
        <v>0</v>
      </c>
      <c r="G2" s="5">
        <f>SUM(G4:G73)</f>
        <v>12872.137999999999</v>
      </c>
      <c r="H2" s="7">
        <f>C2-G2</f>
        <v>-3111.7289999999994</v>
      </c>
      <c r="I2" s="6">
        <f>IFERROR(H2/G2, 0)</f>
        <v>-0.24174142632715712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70</v>
      </c>
    </row>
    <row r="4" spans="1:14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5967.0290000000005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6106.2870000000003</v>
      </c>
      <c r="H4" s="15">
        <f>IF(AND(ISNUMBER(C4),ISNUMBER(G4)), C4-G4, "")</f>
        <v>-139.25799999999981</v>
      </c>
      <c r="I4" s="16">
        <f>IFERROR(H4/G4, "")</f>
        <v>-2.2805675527534132E-2</v>
      </c>
      <c r="J4" s="41"/>
      <c r="K4" s="41"/>
      <c r="L4" s="41"/>
    </row>
    <row r="5" spans="1:14" ht="39.6">
      <c r="A5" s="30" t="str">
        <v>Milford - Rings End</v>
      </c>
      <c r="B5" s="31" t="str">
        <v>CT</v>
      </c>
      <c r="C5" s="11">
        <v>1525.71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3523.98</v>
      </c>
      <c r="H5" s="20">
        <f t="shared" ref="H5:H6" si="1">IF(AND(ISNUMBER(C5),ISNUMBER(G5)), C5-G5, "")</f>
        <v>-1998.27</v>
      </c>
      <c r="I5" s="19">
        <f t="shared" ref="I5:I6" si="2">IFERROR(H5/G5, "")</f>
        <v>-0.56704918870141141</v>
      </c>
      <c r="J5" s="42" t="s">
        <v>71</v>
      </c>
      <c r="K5" s="59" t="s">
        <v>72</v>
      </c>
      <c r="L5" s="42" t="s">
        <v>78</v>
      </c>
      <c r="M5" s="63" t="s">
        <v>26</v>
      </c>
      <c r="N5" s="63" t="s">
        <v>74</v>
      </c>
    </row>
    <row r="6" spans="1:14" ht="33" customHeight="1">
      <c r="A6" s="28" t="str">
        <v>New Milford - Rings End</v>
      </c>
      <c r="B6" s="29" t="str">
        <v>CT</v>
      </c>
      <c r="C6" s="24">
        <v>2267.67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3241.8710000000001</v>
      </c>
      <c r="H6" s="15">
        <f t="shared" si="1"/>
        <v>-974.20100000000002</v>
      </c>
      <c r="I6" s="16">
        <f t="shared" si="2"/>
        <v>-0.30050578816985624</v>
      </c>
      <c r="J6" s="41" t="s">
        <v>53</v>
      </c>
      <c r="K6" s="60" t="s">
        <v>28</v>
      </c>
      <c r="L6" s="41" t="s">
        <v>75</v>
      </c>
    </row>
    <row r="7" spans="1:14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4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4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4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4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4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4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4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4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4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73 I4:I73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hyperlinks>
    <hyperlink ref="K5" r:id="rId1" display="https://us3.assetplanner.com/service_request?ID=107540" xr:uid="{15998CBF-89C9-4E5D-9FBE-8BF068C067E1}"/>
    <hyperlink ref="M5" r:id="rId2" display="https://us3.assetplanner.com/service_request?ID=096102" xr:uid="{44E394AC-B7A4-48B8-B596-90A6DA622C3D}"/>
    <hyperlink ref="N5" r:id="rId3" display="https://us3.assetplanner.com/service_request?ID=110797" xr:uid="{F30F6CA7-11C7-4A5F-80F7-DCB7E9F0062D}"/>
    <hyperlink ref="K6" r:id="rId4" display="https://us3.assetplanner.com/service_request?ID=088902" xr:uid="{2C000150-D22A-4922-BC5D-03A8A198AEFB}"/>
  </hyperlinks>
  <pageMargins left="0.4" right="0.7" top="0.25" bottom="0.25" header="0.3" footer="0.3"/>
  <pageSetup fitToHeight="99" orientation="landscape"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O315"/>
  <sheetViews>
    <sheetView zoomScale="70" zoomScaleNormal="70" workbookViewId="0">
      <pane xSplit="2" ySplit="3" topLeftCell="F4" activePane="bottomRight" state="frozen"/>
      <selection pane="bottomRight" activeCell="L1" sqref="L1:L1048576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  <col min="13" max="15" width="8.85546875" style="62"/>
  </cols>
  <sheetData>
    <row r="1" spans="1:14" ht="19.5" customHeight="1">
      <c r="A1" s="68" t="str" cm="1">
        <f t="array" ref="A1">portfolio</f>
        <v>RINGS END</v>
      </c>
      <c r="B1" s="68"/>
      <c r="C1" s="68"/>
      <c r="D1" s="69" t="s">
        <v>79</v>
      </c>
      <c r="E1" s="69"/>
      <c r="F1" s="69"/>
      <c r="G1" s="67" t="s">
        <v>80</v>
      </c>
      <c r="H1" s="67"/>
      <c r="I1" s="67"/>
      <c r="J1" s="4"/>
      <c r="K1" s="4"/>
      <c r="L1" s="4"/>
    </row>
    <row r="2" spans="1:14" ht="19.5" customHeight="1">
      <c r="A2" s="70" t="s">
        <v>2</v>
      </c>
      <c r="B2" s="70"/>
      <c r="C2" s="5">
        <f>SUM(C4:C73)</f>
        <v>9962.6409979999989</v>
      </c>
      <c r="D2" s="5">
        <f>SUM(D4:D73)</f>
        <v>0</v>
      </c>
      <c r="E2" s="5">
        <f>C2-D2</f>
        <v>9962.6409979999989</v>
      </c>
      <c r="F2" s="6">
        <f>IFERROR(E2/D2, 0)</f>
        <v>0</v>
      </c>
      <c r="G2" s="5">
        <f>SUM(G4:G73)</f>
        <v>11215.679999999998</v>
      </c>
      <c r="H2" s="7">
        <f>C2-G2</f>
        <v>-1253.0390019999995</v>
      </c>
      <c r="I2" s="6">
        <f>IFERROR(H2/G2, 0)</f>
        <v>-0.11172207142143853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70</v>
      </c>
    </row>
    <row r="4" spans="1:14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6220.0810000000001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5507.9059999999999</v>
      </c>
      <c r="H4" s="15">
        <f>IF(AND(ISNUMBER(C4),ISNUMBER(G4)), C4-G4, "")</f>
        <v>712.17500000000018</v>
      </c>
      <c r="I4" s="16">
        <f>IFERROR(H4/G4, "")</f>
        <v>0.12930050004484467</v>
      </c>
      <c r="J4" s="41"/>
      <c r="K4" s="41"/>
      <c r="L4" s="41"/>
    </row>
    <row r="5" spans="1:14" ht="39.6">
      <c r="A5" s="30" t="str">
        <v>Milford - Rings End</v>
      </c>
      <c r="B5" s="31" t="str">
        <v>CT</v>
      </c>
      <c r="C5" s="11">
        <v>2091.1799930000002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2909</v>
      </c>
      <c r="H5" s="20">
        <f t="shared" ref="H5" si="1">IF(AND(ISNUMBER(C5),ISNUMBER(G5)), C5-G5, "")</f>
        <v>-817.8200069999998</v>
      </c>
      <c r="I5" s="19">
        <f t="shared" ref="I5:I6" si="2">IFERROR(H5/G5, "")</f>
        <v>-0.28113441285665169</v>
      </c>
      <c r="J5" s="54" t="s">
        <v>71</v>
      </c>
      <c r="K5" s="56" t="s">
        <v>72</v>
      </c>
      <c r="L5" s="54" t="s">
        <v>78</v>
      </c>
      <c r="M5" s="63" t="s">
        <v>26</v>
      </c>
      <c r="N5" s="63" t="s">
        <v>74</v>
      </c>
    </row>
    <row r="6" spans="1:14" ht="44.25" customHeight="1">
      <c r="A6" s="28" t="str">
        <v>New Milford - Rings End</v>
      </c>
      <c r="B6" s="29" t="str">
        <v>CT</v>
      </c>
      <c r="C6" s="24">
        <v>1651.380005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66">
        <v>2798.7739999999999</v>
      </c>
      <c r="H6" s="15">
        <f>IF(AND(ISNUMBER(C6),ISNUMBER(G6)), C6-G6, "")</f>
        <v>-1147.3939949999999</v>
      </c>
      <c r="I6" s="16">
        <f t="shared" si="2"/>
        <v>-0.4099630749035113</v>
      </c>
      <c r="J6" s="53" t="s">
        <v>53</v>
      </c>
      <c r="K6" s="57" t="s">
        <v>28</v>
      </c>
      <c r="L6" s="53" t="s">
        <v>81</v>
      </c>
    </row>
    <row r="7" spans="1:14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4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4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4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4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4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4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4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4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4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73 I4:I73">
    <cfRule type="cellIs" dxfId="4" priority="3" stopIfTrue="1" operator="lessThanOrEqual">
      <formula>-0.1</formula>
    </cfRule>
    <cfRule type="expression" dxfId="3" priority="4">
      <formula>AND(ISNUMBER(F4), F4&gt;=0.1)</formula>
    </cfRule>
  </conditionalFormatting>
  <hyperlinks>
    <hyperlink ref="K5" r:id="rId1" display="https://us3.assetplanner.com/service_request?ID=107540" xr:uid="{48A573EE-82C3-4440-88C0-5AC1282B49A3}"/>
    <hyperlink ref="M5" r:id="rId2" display="https://us3.assetplanner.com/service_request?ID=096102" xr:uid="{AEDE8433-CB91-45C8-87E6-115DDD0CD2BE}"/>
    <hyperlink ref="N5" r:id="rId3" display="https://us3.assetplanner.com/service_request?ID=110797" xr:uid="{2231C55F-5757-4209-8D81-C13D248BC429}"/>
    <hyperlink ref="K6" r:id="rId4" display="https://us3.assetplanner.com/service_request?ID=088902" xr:uid="{1C4317F3-1643-4CDC-AAC6-DF7D70C4FF62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82</v>
      </c>
      <c r="B1" t="s">
        <v>83</v>
      </c>
    </row>
    <row r="3" spans="1:12" ht="13.15">
      <c r="A3" t="s">
        <v>84</v>
      </c>
      <c r="B3" t="s">
        <v>3</v>
      </c>
      <c r="C3" t="s">
        <v>4</v>
      </c>
      <c r="D3" t="s">
        <v>85</v>
      </c>
      <c r="E3" s="2" t="s">
        <v>86</v>
      </c>
    </row>
    <row r="4" spans="1:12" ht="14.45">
      <c r="A4" s="52" t="s">
        <v>87</v>
      </c>
      <c r="B4" s="52" t="s">
        <v>88</v>
      </c>
      <c r="C4" s="2" t="s">
        <v>89</v>
      </c>
      <c r="D4" s="45" t="s">
        <v>90</v>
      </c>
      <c r="E4" s="51" t="s">
        <v>91</v>
      </c>
      <c r="G4" s="3"/>
    </row>
    <row r="5" spans="1:12" ht="14.45">
      <c r="A5" s="52" t="s">
        <v>92</v>
      </c>
      <c r="B5" s="52" t="s">
        <v>93</v>
      </c>
      <c r="C5" s="2" t="s">
        <v>89</v>
      </c>
      <c r="D5" s="45" t="s">
        <v>90</v>
      </c>
      <c r="E5" s="52" t="s">
        <v>91</v>
      </c>
      <c r="G5" s="3"/>
    </row>
    <row r="6" spans="1:12" ht="14.45">
      <c r="A6" s="52" t="s">
        <v>94</v>
      </c>
      <c r="B6" s="52" t="s">
        <v>95</v>
      </c>
      <c r="C6" s="2" t="s">
        <v>89</v>
      </c>
      <c r="D6" s="45" t="s">
        <v>96</v>
      </c>
      <c r="E6" s="51" t="s">
        <v>91</v>
      </c>
      <c r="G6" s="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  <row r="14" spans="1:12" ht="12.75" customHeight="1">
      <c r="K14" s="43"/>
      <c r="L14" s="43"/>
    </row>
    <row r="15" spans="1:12" ht="12.75" customHeight="1">
      <c r="K15" s="43"/>
      <c r="L15" s="43"/>
    </row>
    <row r="16" spans="1:12" ht="12.75" customHeight="1">
      <c r="K16" s="43"/>
      <c r="L16" s="43"/>
    </row>
    <row r="17" spans="11:12" ht="12.75" customHeight="1">
      <c r="K17" s="43"/>
      <c r="L17" s="43"/>
    </row>
    <row r="18" spans="11:12" ht="12.75" customHeight="1">
      <c r="K18" s="43"/>
      <c r="L18" s="43"/>
    </row>
    <row r="19" spans="11:12" ht="12.75" customHeight="1">
      <c r="K19" s="43"/>
      <c r="L19" s="43"/>
    </row>
    <row r="20" spans="11:12" ht="12.75" customHeight="1">
      <c r="K20" s="43"/>
      <c r="L20" s="43"/>
    </row>
    <row r="21" spans="11:12" ht="12.75" customHeight="1">
      <c r="K21" s="43"/>
      <c r="L21" s="43"/>
    </row>
    <row r="22" spans="11:12" ht="12.75" customHeight="1">
      <c r="K22" s="43"/>
      <c r="L22" s="43"/>
    </row>
    <row r="23" spans="11:12" ht="12.75" customHeight="1">
      <c r="K23" s="43"/>
      <c r="L23" s="43"/>
    </row>
    <row r="24" spans="11:12" ht="12.75" customHeight="1">
      <c r="K24" s="43"/>
      <c r="L24" s="43"/>
    </row>
    <row r="25" spans="11:12" ht="12.75" customHeight="1">
      <c r="K25" s="43"/>
      <c r="L25" s="43"/>
    </row>
    <row r="26" spans="11:12" ht="12.75" customHeight="1">
      <c r="K26" s="43"/>
      <c r="L26" s="43"/>
    </row>
    <row r="27" spans="11:12" ht="12.75" customHeight="1">
      <c r="K27" s="43"/>
      <c r="L27" s="43"/>
    </row>
    <row r="28" spans="11:12" ht="12.75" customHeight="1">
      <c r="K28" s="43"/>
      <c r="L28" s="43"/>
    </row>
    <row r="29" spans="11:12" ht="12.75" customHeight="1">
      <c r="K29" s="43"/>
      <c r="L29" s="43"/>
    </row>
    <row r="30" spans="11:12" ht="12.75" customHeight="1">
      <c r="K30" s="43"/>
      <c r="L30" s="43"/>
    </row>
    <row r="31" spans="11:12" ht="12.75" customHeight="1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A1221358-CD0F-49A6-B626-5F4012CB8707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2025-10-29T23:20:49Z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d31bdde9-3cfb-4b07-b7c6-cde1ef81ef55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